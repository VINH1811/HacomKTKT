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F:\1. Project\1. 2022\1. Hacom Mall\1. CDT\10. CHAM THAU\1. Goi thau ME\1. HSCG\2025.12.09\5. Tong hop chao gia 11.12.2025\"/>
    </mc:Choice>
  </mc:AlternateContent>
  <xr:revisionPtr revIDLastSave="0" documentId="13_ncr:1_{99B9B888-A00A-454C-8224-BA35233112AE}" xr6:coauthVersionLast="47" xr6:coauthVersionMax="47" xr10:uidLastSave="{00000000-0000-0000-0000-000000000000}"/>
  <bookViews>
    <workbookView xWindow="-120" yWindow="-120" windowWidth="29040" windowHeight="15840" tabRatio="888" xr2:uid="{00000000-000D-0000-FFFF-FFFF00000000}"/>
  </bookViews>
  <sheets>
    <sheet name="TỔNG HỢP" sheetId="165" r:id="rId1"/>
    <sheet name="1. HT điện" sheetId="172" r:id="rId2"/>
    <sheet name="2. HT điện nhẹ" sheetId="173" r:id="rId3"/>
    <sheet name="3. HT CTN" sheetId="174" r:id="rId4"/>
    <sheet name="4.1 ĐH VRV" sheetId="175" r:id="rId5"/>
    <sheet name="4.2 Quạt" sheetId="176" r:id="rId6"/>
    <sheet name="4.3 DHKK &amp; TG" sheetId="177" r:id="rId7"/>
    <sheet name="5. Ngăn cháy lan" sheetId="178" r:id="rId8"/>
  </sheets>
  <definedNames>
    <definedName name="____________________a1" hidden="1">{"'Sheet1'!$L$16"}</definedName>
    <definedName name="____________________Goi8" hidden="1">{"'Sheet1'!$L$16"}</definedName>
    <definedName name="____________________SCL4" hidden="1">{"'Sheet1'!$L$16"}</definedName>
    <definedName name="___________________a1" hidden="1">{"'Sheet1'!$L$16"}</definedName>
    <definedName name="___________________Goi8" hidden="1">{"'Sheet1'!$L$16"}</definedName>
    <definedName name="___________________SCL4" hidden="1">{"'Sheet1'!$L$16"}</definedName>
    <definedName name="__________________a1" hidden="1">{"'Sheet1'!$L$16"}</definedName>
    <definedName name="__________________Goi8" hidden="1">{"'Sheet1'!$L$16"}</definedName>
    <definedName name="__________________SCL4" hidden="1">{"'Sheet1'!$L$16"}</definedName>
    <definedName name="_________________a1" hidden="1">{"'Sheet1'!$L$16"}</definedName>
    <definedName name="_________________Goi8" hidden="1">{"'Sheet1'!$L$16"}</definedName>
    <definedName name="_________________SCL4" hidden="1">{"'Sheet1'!$L$16"}</definedName>
    <definedName name="________________a1" hidden="1">{"'Sheet1'!$L$16"}</definedName>
    <definedName name="________________Goi8" hidden="1">{"'Sheet1'!$L$16"}</definedName>
    <definedName name="________________SCL4" hidden="1">{"'Sheet1'!$L$16"}</definedName>
    <definedName name="_______________a1" hidden="1">{"'Sheet1'!$L$16"}</definedName>
    <definedName name="_______________Goi8" hidden="1">{"'Sheet1'!$L$16"}</definedName>
    <definedName name="_______________SCL4" hidden="1">{"'Sheet1'!$L$16"}</definedName>
    <definedName name="______________a1" hidden="1">{"'Sheet1'!$L$16"}</definedName>
    <definedName name="______________Goi8" hidden="1">{"'Sheet1'!$L$16"}</definedName>
    <definedName name="______________SCL4" hidden="1">{"'Sheet1'!$L$16"}</definedName>
    <definedName name="______________tu4" hidden="1">{"'Sheet1'!$L$16"}</definedName>
    <definedName name="_____________a1" hidden="1">{"'Sheet1'!$L$16"}</definedName>
    <definedName name="_____________Goi8" hidden="1">{"'Sheet1'!$L$16"}</definedName>
    <definedName name="_____________PA3" hidden="1">{"'Sheet1'!$L$16"}</definedName>
    <definedName name="_____________SCL4" hidden="1">{"'Sheet1'!$L$16"}</definedName>
    <definedName name="_____________tu4" hidden="1">{"'Sheet1'!$L$16"}</definedName>
    <definedName name="____________a1" hidden="1">{"'Sheet1'!$L$16"}</definedName>
    <definedName name="____________Goi8" hidden="1">{"'Sheet1'!$L$16"}</definedName>
    <definedName name="____________SCL4" hidden="1">{"'Sheet1'!$L$16"}</definedName>
    <definedName name="____________tu4" hidden="1">{"'Sheet1'!$L$16"}</definedName>
    <definedName name="___________a1" hidden="1">{"'Sheet1'!$L$16"}</definedName>
    <definedName name="___________Goi8" hidden="1">{"'Sheet1'!$L$16"}</definedName>
    <definedName name="___________PA3" hidden="1">{"'Sheet1'!$L$16"}</definedName>
    <definedName name="___________SCL4" hidden="1">{"'Sheet1'!$L$16"}</definedName>
    <definedName name="___________tu4" hidden="1">{"'Sheet1'!$L$16"}</definedName>
    <definedName name="__________a1" hidden="1">{"'Sheet1'!$L$16"}</definedName>
    <definedName name="__________Goi8" hidden="1">{"'Sheet1'!$L$16"}</definedName>
    <definedName name="__________SCL4" hidden="1">{"'Sheet1'!$L$16"}</definedName>
    <definedName name="__________tu4" hidden="1">{"'Sheet1'!$L$16"}</definedName>
    <definedName name="_________a1" hidden="1">{"'Sheet1'!$L$16"}</definedName>
    <definedName name="_________Goi8" hidden="1">{"'Sheet1'!$L$16"}</definedName>
    <definedName name="_________PA3" hidden="1">{"'Sheet1'!$L$16"}</definedName>
    <definedName name="_________SCL4" hidden="1">{"'Sheet1'!$L$16"}</definedName>
    <definedName name="_________tu4" hidden="1">{"'Sheet1'!$L$16"}</definedName>
    <definedName name="________a1" hidden="1">{"'Sheet1'!$L$16"}</definedName>
    <definedName name="________CN1" hidden="1">{"'Sheet1'!$L$16"}</definedName>
    <definedName name="________Goi8" hidden="1">{"'Sheet1'!$L$16"}</definedName>
    <definedName name="________SCL4" hidden="1">{"'Sheet1'!$L$16"}</definedName>
    <definedName name="________tu4" hidden="1">{"'Sheet1'!$L$16"}</definedName>
    <definedName name="_______a1" hidden="1">{"'Sheet1'!$L$16"}</definedName>
    <definedName name="_______BG12" hidden="1">{"'Sheet1'!$L$16"}</definedName>
    <definedName name="_______Goi8" hidden="1">{"'Sheet1'!$L$16"}</definedName>
    <definedName name="_______PA3" hidden="1">{"'Sheet1'!$L$16"}</definedName>
    <definedName name="_______SCL4" hidden="1">{"'Sheet1'!$L$16"}</definedName>
    <definedName name="_______tu4" hidden="1">{"'Sheet1'!$L$16"}</definedName>
    <definedName name="______a1" hidden="1">{"'Sheet1'!$L$16"}</definedName>
    <definedName name="______CN1" hidden="1">{"'Sheet1'!$L$16"}</definedName>
    <definedName name="______Goi8" hidden="1">{"'Sheet1'!$L$16"}</definedName>
    <definedName name="______SCL4" hidden="1">{"'Sheet1'!$L$16"}</definedName>
    <definedName name="______tu4" hidden="1">{"'Sheet1'!$L$16"}</definedName>
    <definedName name="_____a1" hidden="1">{"'Sheet1'!$L$16"}</definedName>
    <definedName name="_____BG12" hidden="1">{"'Sheet1'!$L$16"}</definedName>
    <definedName name="_____CN1" hidden="1">{"'Sheet1'!$L$16"}</definedName>
    <definedName name="_____Goi8" hidden="1">{"'Sheet1'!$L$16"}</definedName>
    <definedName name="_____PA3" hidden="1">{"'Sheet1'!$L$16"}</definedName>
    <definedName name="_____SCL4" hidden="1">{"'Sheet1'!$L$16"}</definedName>
    <definedName name="_____tu4" hidden="1">{"'Sheet1'!$L$16"}</definedName>
    <definedName name="____a1" hidden="1">{"'Sheet1'!$L$16"}</definedName>
    <definedName name="____BG12" hidden="1">{"'Sheet1'!$L$16"}</definedName>
    <definedName name="____Goi8" hidden="1">{"'Sheet1'!$L$16"}</definedName>
    <definedName name="____NSO2" hidden="1">{"'Sheet1'!$L$16"}</definedName>
    <definedName name="____PA3" hidden="1">{"'Sheet1'!$L$16"}</definedName>
    <definedName name="____SCL4" hidden="1">{"'Sheet1'!$L$16"}</definedName>
    <definedName name="____TM2" hidden="1">{"'Sheet1'!$L$16"}</definedName>
    <definedName name="____tt3" hidden="1">{"'Sheet1'!$L$16"}</definedName>
    <definedName name="____tu4" hidden="1">{"'Sheet1'!$L$16"}</definedName>
    <definedName name="___a1" hidden="1">{"'Sheet1'!$L$16"}</definedName>
    <definedName name="___CN1" hidden="1">{"'Sheet1'!$L$16"}</definedName>
    <definedName name="___Goi8" hidden="1">{"'Sheet1'!$L$16"}</definedName>
    <definedName name="___PA3" hidden="1">{"'Sheet1'!$L$16"}</definedName>
    <definedName name="___SCL4" hidden="1">{"'Sheet1'!$L$16"}</definedName>
    <definedName name="___tu4" hidden="1">{"'Sheet1'!$L$16"}</definedName>
    <definedName name="__a1" hidden="1">{"'Sheet1'!$L$16"}</definedName>
    <definedName name="__a2" hidden="1">{"'Sheet1'!$L$16"}</definedName>
    <definedName name="__a9" hidden="1">{"'Sheet1'!$L$16"}</definedName>
    <definedName name="__BG12" hidden="1">{"'Sheet1'!$L$16"}</definedName>
    <definedName name="__CN1" hidden="1">{"'Sheet1'!$L$16"}</definedName>
    <definedName name="__Goi8" hidden="1">{"'Sheet1'!$L$16"}</definedName>
    <definedName name="__IntlFixup" hidden="1">TRUE</definedName>
    <definedName name="__PA3" hidden="1">{"'Sheet1'!$L$16"}</definedName>
    <definedName name="__SCL4" hidden="1">{"'Sheet1'!$L$16"}</definedName>
    <definedName name="__tu4" hidden="1">{"'Sheet1'!$L$16"}</definedName>
    <definedName name="_17a1_" hidden="1">{"'Sheet1'!$L$16"}</definedName>
    <definedName name="_a1" hidden="1">{"'Sheet1'!$L$16"}</definedName>
    <definedName name="_a1s" hidden="1">{"'Sheet1'!$L$16"}</definedName>
    <definedName name="_a2" hidden="1">{"'Sheet1'!$L$16"}</definedName>
    <definedName name="_a9" hidden="1">{"'Sheet1'!$L$16"}</definedName>
    <definedName name="_bht6" hidden="1">{"'Sheet1'!$L$16"}</definedName>
    <definedName name="_xlnm._FilterDatabase" localSheetId="1" hidden="1">'1. HT điện'!$A$8:$S$2730</definedName>
    <definedName name="_xlnm._FilterDatabase" localSheetId="2" hidden="1">'2. HT điện nhẹ'!$A$8:$S$60</definedName>
    <definedName name="_xlnm._FilterDatabase" hidden="1">#REF!</definedName>
    <definedName name="_Goi8" hidden="1">{"'Sheet1'!$L$16"}</definedName>
    <definedName name="_h1" hidden="1">{"'Sheet1'!$L$16"}</definedName>
    <definedName name="_h2"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NSO2" hidden="1">{"'Sheet1'!$L$16"}</definedName>
    <definedName name="_Order1" hidden="1">255</definedName>
    <definedName name="_Order2" hidden="1">255</definedName>
    <definedName name="_PA3" hidden="1">{"'Sheet1'!$L$16"}</definedName>
    <definedName name="_Regression_Int" hidden="1">1</definedName>
    <definedName name="_SCL4" hidden="1">{"'Sheet1'!$L$16"}</definedName>
    <definedName name="_sxt5" hidden="1">{"'Sheet1'!$L$16"}</definedName>
    <definedName name="_T10" hidden="1">{"'Sheet1'!$L$16"}</definedName>
    <definedName name="_tu4" hidden="1">{"'Sheet1'!$L$16"}</definedName>
    <definedName name="_vpt5" hidden="1">{"'Sheet1'!$L$16"}</definedName>
    <definedName name="_vpt6" hidden="1">{"'Sheet1'!$L$16"}</definedName>
    <definedName name="a1" hidden="1">{"'Sheet1'!$L$16"}</definedName>
    <definedName name="a129" hidden="1">{"Offgrid",#N/A,FALSE,"OFFGRID";"Region",#N/A,FALSE,"REGION";"Offgrid -2",#N/A,FALSE,"OFFGRID";"WTP",#N/A,FALSE,"WTP";"WTP -2",#N/A,FALSE,"WTP";"Project",#N/A,FALSE,"PROJECT";"Summary -2",#N/A,FALSE,"SUMMARY"}</definedName>
    <definedName name="a130" hidden="1">{"Offgrid",#N/A,FALSE,"OFFGRID";"Region",#N/A,FALSE,"REGION";"Offgrid -2",#N/A,FALSE,"OFFGRID";"WTP",#N/A,FALSE,"WTP";"WTP -2",#N/A,FALSE,"WTP";"Project",#N/A,FALSE,"PROJECT";"Summary -2",#N/A,FALSE,"SUMMARY"}</definedName>
    <definedName name="AAAAA" hidden="1">{0}</definedName>
    <definedName name="ACMV" hidden="1">{"'Sheet1'!$L$16"}</definedName>
    <definedName name="anscount" hidden="1">3</definedName>
    <definedName name="Antoan" hidden="1">{"'Sheet1'!$L$16"}</definedName>
    <definedName name="AS2DocOpenMode" hidden="1">"AS2DocumentEdit"</definedName>
    <definedName name="AS2ReportLS" hidden="1">1</definedName>
    <definedName name="AS2SyncStepLS" hidden="1">0</definedName>
    <definedName name="AS2VersionLS" hidden="1">300</definedName>
    <definedName name="asa" hidden="1">{"'Sheet1'!$L$16"}</definedName>
    <definedName name="aserasdea" hidden="1">{"'Sheet1'!$L$16"}</definedName>
    <definedName name="asf" hidden="1">{"'Sheet1'!$L$16"}</definedName>
    <definedName name="ATGT" hidden="1">{"'Sheet1'!$L$16"}</definedName>
    <definedName name="ầ" hidden="1">{"'Sheet1'!$L$16"}</definedName>
    <definedName name="B6a" hidden="1">{"'Sheet1'!$L$16"}</definedName>
    <definedName name="BBB" hidden="1">{"'Sheet1'!$L$16"}</definedName>
    <definedName name="bg" hidden="1">{"'Sheet1'!$L$16"}</definedName>
    <definedName name="BG_Del" hidden="1">15</definedName>
    <definedName name="BG_Ins" hidden="1">4</definedName>
    <definedName name="BG_Mod" hidden="1">6</definedName>
    <definedName name="bhthang6" hidden="1">{"'Sheet1'!$L$16"}</definedName>
    <definedName name="Binh" hidden="1">{"'Sheet1'!$L$16"}</definedName>
    <definedName name="caccccc" hidden="1">{"'Sheet1'!$L$16"}</definedName>
    <definedName name="CALBE" hidden="1">{"'Sheet1'!$L$16"}</definedName>
    <definedName name="CTCT1" hidden="1">{"'Sheet1'!$L$16"}</definedName>
    <definedName name="cung" hidden="1">{"'Sheet1'!$L$16"}</definedName>
    <definedName name="cuong" hidden="1">{"'Sheet1'!$L$16"}</definedName>
    <definedName name="chot3" hidden="1">{"'Sheet1'!$L$16"}</definedName>
    <definedName name="chottda" hidden="1">{"'Sheet1'!$L$16"}</definedName>
    <definedName name="da" hidden="1">{"'Sheet1'!$L$16"}</definedName>
    <definedName name="dà" hidden="1">{"'Sheet1'!$L$16"}</definedName>
    <definedName name="das" hidden="1">{"'Sheet1'!$L$16"}</definedName>
    <definedName name="dc" hidden="1">{"'Sheet1'!$L$16"}</definedName>
    <definedName name="ddång" hidden="1">{"'Sheet1'!$L$16"}</definedName>
    <definedName name="ddc" hidden="1">{"'Sheet1'!$L$16"}</definedName>
    <definedName name="dddd" hidden="1">{"'Sheet1'!$L$16"}</definedName>
    <definedName name="dfh" hidden="1">{"'Sheet1'!$L$16"}</definedName>
    <definedName name="dfsfsd" hidden="1">{"'Sheet1'!$L$16"}</definedName>
    <definedName name="dldyddn" hidden="1">{"'별표'!$N$220"}</definedName>
    <definedName name="DN1_CT5" hidden="1">{"'Sheet1'!$L$16"}</definedName>
    <definedName name="dntt10" hidden="1">{"'Sheet1'!$L$16"}</definedName>
    <definedName name="dntt9" hidden="1">{"'Sheet1'!$L$16"}</definedName>
    <definedName name="duc" hidden="1">{"'Sheet1'!$L$16"}</definedName>
    <definedName name="ERT" hidden="1">{"'Sheet1'!$L$16"}</definedName>
    <definedName name="es" hidden="1">{"'Sheet1'!$L$16"}</definedName>
    <definedName name="ews" hidden="1">{0}</definedName>
    <definedName name="fáaafafaf" hidden="1">{"'Sheet1'!$L$16"}</definedName>
    <definedName name="fasfaga" hidden="1">{"'Sheet1'!$L$16"}</definedName>
    <definedName name="fdsfsdfd" hidden="1">{"'Sheet1'!$L$16"}</definedName>
    <definedName name="ffff" hidden="1">{"'Sheet1'!$L$16"}</definedName>
    <definedName name="fffffffffffffff" hidden="1">{"'Sheet1'!$L$16"}</definedName>
    <definedName name="gdfgdfgdf" hidden="1">{"'Sheet1'!$L$16"}</definedName>
    <definedName name="Goi8" hidden="1">{"'Sheet1'!$L$16"}</definedName>
    <definedName name="h" hidden="1">{"'Sheet1'!$L$16"}</definedName>
    <definedName name="h_xoa" hidden="1">{"'Sheet1'!$L$16"}</definedName>
    <definedName name="h_xoa2" hidden="1">{"'Sheet1'!$L$16"}</definedName>
    <definedName name="hanh" hidden="1">{"'Sheet1'!$L$16"}</definedName>
    <definedName name="hb" hidden="1">{"'Sheet1'!$L$16"}</definedName>
    <definedName name="hfgsdf" hidden="1">{"'Sheet1'!$L$16"}</definedName>
    <definedName name="hh" hidden="1">{"'Sheet1'!$L$16"}</definedName>
    <definedName name="hhb" hidden="1">{"'Sheet1'!$L$16"}</definedName>
    <definedName name="html" hidden="1">{"'Sheet1'!$L$16"}</definedName>
    <definedName name="HTML_CodePage" hidden="1">950</definedName>
    <definedName name="HTML_Control" hidden="1">{"'Sheet1'!$L$16"}</definedName>
    <definedName name="html_control_xoa2" hidden="1">{"'Sheet1'!$L$16"}</definedName>
    <definedName name="HTML_Control1"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Title" hidden="1">"00Q3961-SUM"</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MLcpnmtrol" hidden="1">{"'Sheet1'!$L$16"}</definedName>
    <definedName name="hu" hidden="1">{"'Sheet1'!$L$16"}</definedName>
    <definedName name="hui" hidden="1">{"'Sheet1'!$L$16"}</definedName>
    <definedName name="huy" hidden="1">{"'Sheet1'!$L$16"}</definedName>
    <definedName name="huy_xoa" hidden="1">{"'Sheet1'!$L$16"}</definedName>
    <definedName name="huy_xoa2" hidden="1">{"'Sheet1'!$L$16"}</definedName>
    <definedName name="HUYØ" hidden="1">{"'Sheet1'!$L$16"}</definedName>
    <definedName name="jsdh" hidden="1">{"'Sheet1'!$L$16"}</definedName>
    <definedName name="K" hidden="1">{"'Sheet1'!$L$16"}</definedName>
    <definedName name="khongtruotgia" hidden="1">{"'Sheet1'!$L$16"}</definedName>
    <definedName name="Lan1" hidden="1">{"'Sheet1'!$L$16"}</definedName>
    <definedName name="Lan2" hidden="1">{"'Sheet1'!$L$16"}</definedName>
    <definedName name="LAN3" hidden="1">{"'Sheet1'!$L$16"}</definedName>
    <definedName name="luan" hidden="1">{"'Sheet1'!$L$16"}</definedName>
    <definedName name="luong" hidden="1">{"'Sheet1'!$L$16"}</definedName>
    <definedName name="M10." hidden="1">{"'Sheet1'!$L$16"}</definedName>
    <definedName name="m4" hidden="1">{"'Sheet1'!$L$16"}</definedName>
    <definedName name="mat.spare" hidden="1">{"'ELEC'!$A$2:$H$216","'ELEC'!$C$2:$D$2"}</definedName>
    <definedName name="MAU" hidden="1">{"'Sheet1'!$L$16"}</definedName>
    <definedName name="moi" hidden="1">{"'Sheet1'!$L$16"}</definedName>
    <definedName name="Nhiem" hidden="1">{"'Sheet1'!$L$16"}</definedName>
    <definedName name="oanh" hidden="1">{"'Sheet1'!$L$16"}</definedName>
    <definedName name="OC" hidden="1">{"'Sheet1'!$L$16"}</definedName>
    <definedName name="ｐｐｐｐ" hidden="1">{"'Sheet1'!$L$16"}</definedName>
    <definedName name="p" hidden="1">{"'Sheet1'!$L$16"}</definedName>
    <definedName name="P3" hidden="1">{#N/A,#N/A,FALSE,"特殊室（ＢＱ表）"}</definedName>
    <definedName name="PA3" hidden="1">{"'Sheet1'!$L$16"}</definedName>
    <definedName name="PAIII_" hidden="1">{"'Sheet1'!$L$16"}</definedName>
    <definedName name="PMS" hidden="1">{"'Sheet1'!$L$16"}</definedName>
    <definedName name="PPP3" hidden="1">{#N/A,#N/A,FALSE,"特殊室（ＢＱ表）"}</definedName>
    <definedName name="PPP33" hidden="1">{#N/A,#N/A,FALSE,"特殊室（ＢＱ表）"}</definedName>
    <definedName name="ppp34" hidden="1">{#N/A,#N/A,FALSE,"特殊室（ＢＱ表）"}</definedName>
    <definedName name="ppp3444" hidden="1">{#N/A,#N/A,FALSE,"特殊室（ＢＱ表）"}</definedName>
    <definedName name="PPPP" hidden="1">{"'Sheet1'!$L$16"}</definedName>
    <definedName name="_xlnm.Print_Area" hidden="1">#REF!</definedName>
    <definedName name="Print_Area_Reset">OFFSET(Full_Print,0,0,Last_Row)</definedName>
    <definedName name="_xlnm.Print_Titles" localSheetId="1">'1. HT điện'!$1:$8</definedName>
    <definedName name="_xlnm.Print_Titles" localSheetId="2">'2. HT điện nhẹ'!$1:$8</definedName>
    <definedName name="_xlnm.Print_Titles" localSheetId="3">'3. HT CTN'!$1:$8</definedName>
    <definedName name="_xlnm.Print_Titles" localSheetId="4">'4.1 ĐH VRV'!$1:$8</definedName>
    <definedName name="_xlnm.Print_Titles" localSheetId="5">'4.2 Quạt'!$1:$8</definedName>
    <definedName name="_xlnm.Print_Titles" localSheetId="6">'4.3 DHKK &amp; TG'!$1:$8</definedName>
    <definedName name="_xlnm.Print_Titles" localSheetId="7">'5. Ngăn cháy lan'!$1:$8</definedName>
    <definedName name="_xlnm.Print_Titles" hidden="1">#REF!</definedName>
    <definedName name="PRODUCTION" hidden="1">{"'Sheet1'!$L$16"}</definedName>
    <definedName name="PUBLIC" hidden="1">{"'Sheet1'!$L$16"}</definedName>
    <definedName name="PVC" hidden="1">{"'Sheet1'!$L$16"}</definedName>
    <definedName name="Phuong" hidden="1">{"'Sheet1'!$L$16"}</definedName>
    <definedName name="qd10_gt" hidden="1">{"'Sheet1'!$L$16"}</definedName>
    <definedName name="qqq" hidden="1">{"'Sheet1'!$L$16"}</definedName>
    <definedName name="qwertet" hidden="1">{"'Sheet1'!$L$16"}</definedName>
    <definedName name="qwwqe" hidden="1">{"'Sheet1'!$L$16"}</definedName>
    <definedName name="Ranhxay" hidden="1">{"'Sheet1'!$L$16"}</definedName>
    <definedName name="rewr" hidden="1">{"'Sheet1'!$L$16"}</definedName>
    <definedName name="RHODIA" hidden="1">{"'DocTypeCode'!$A$142:$A$226"}</definedName>
    <definedName name="rrr" hidden="1">{"'Sheet1'!$L$16"}</definedName>
    <definedName name="s" hidden="1">{"'Sheet1'!$L$16"}</definedName>
    <definedName name="SD" hidden="1">{"'ELEC'!$A$2:$H$216","'ELEC'!$C$2:$D$2"}</definedName>
    <definedName name="sdd" hidden="1">{"'Sheet1'!$L$16"}</definedName>
    <definedName name="sdf" hidden="1">{"'Sheet1'!$L$16"}</definedName>
    <definedName name="sdfda" hidden="1">{"'Sheet1'!$L$16"}</definedName>
    <definedName name="sdfsdfsd" hidden="1">{"'Sheet1'!$L$16"}</definedName>
    <definedName name="SGG" hidden="1">{"'Sheet1'!$L$16"}</definedName>
    <definedName name="solver_lin" hidden="1">0</definedName>
    <definedName name="solver_num" hidden="1">0</definedName>
    <definedName name="solver_typ" hidden="1">1</definedName>
    <definedName name="solver_val" hidden="1">0</definedName>
    <definedName name="Spample" hidden="1">{"'Sheet1'!$L$16"}</definedName>
    <definedName name="sumimasenn" hidden="1">{"'Sheet1'!$L$16"}</definedName>
    <definedName name="tan" hidden="1">{"'Sheet1'!$L$16"}</definedName>
    <definedName name="TM2" hidden="1">{"'Sheet1'!$L$16"}</definedName>
    <definedName name="tt3" hidden="1">{"'Sheet1'!$L$16"}</definedName>
    <definedName name="TT623" hidden="1">{"'Sheet1'!$L$16"}</definedName>
    <definedName name="tttt" hidden="1">{"'Sheet1'!$L$16"}</definedName>
    <definedName name="tuam" hidden="1">{"'Sheet1'!$L$16"}</definedName>
    <definedName name="tuan03" hidden="1">{"'Sheet1'!$L$16"}</definedName>
    <definedName name="TUANKHANHTUYET45" hidden="1">{0}</definedName>
    <definedName name="tha" hidden="1">{"'Sheet1'!$L$16"}</definedName>
    <definedName name="thang" hidden="1">{"'Sheet1'!$L$16"}</definedName>
    <definedName name="thang10" hidden="1">{"'Sheet1'!$L$16"}</definedName>
    <definedName name="thanh" hidden="1">{"'Sheet1'!$L$16"}</definedName>
    <definedName name="THDT" hidden="1">{"'Sheet1'!$L$16"}</definedName>
    <definedName name="thuy" hidden="1">{"'Sheet1'!$L$16"}</definedName>
    <definedName name="Tram" hidden="1">{"'Sheet1'!$L$16"}</definedName>
    <definedName name="Viet" hidden="1">{"'Sheet1'!$L$16"}</definedName>
    <definedName name="walkway" hidden="1">{"'Sheet1'!$L$16"}</definedName>
    <definedName name="wdd" hidden="1">{"'Sheet1'!$L$16"}</definedName>
    <definedName name="wqe" hidden="1">{"'ELEC'!$A$2:$H$216","'ELEC'!$C$2:$D$2"}</definedName>
    <definedName name="xoa1" hidden="1">{"'Sheet1'!$L$16"}</definedName>
    <definedName name="XXXAAAA" hidden="1">{"'Sheet1'!$L$16"}</definedName>
    <definedName name="ZXzX" hidden="1">{"'Sheet1'!$L$16"}</definedName>
    <definedName name="ㅂㅂㅂㅂㅂ" hidden="1">{"'별표'!$N$220"}</definedName>
    <definedName name="우후" hidden="1">{"'별표'!$N$220"}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321" i="172" l="1"/>
  <c r="P2706" i="172"/>
  <c r="Q2706" i="172" l="1"/>
  <c r="R2706" i="172"/>
  <c r="P21" i="178" l="1"/>
  <c r="P14" i="178"/>
  <c r="R21" i="178" l="1"/>
  <c r="Q21" i="178"/>
  <c r="R14" i="178"/>
  <c r="Q14" i="178"/>
  <c r="F1109" i="177" l="1"/>
  <c r="F1108" i="177"/>
  <c r="F1107" i="177"/>
  <c r="F1106" i="177"/>
  <c r="F1105" i="177"/>
  <c r="F1104" i="177"/>
  <c r="F1103" i="177"/>
  <c r="F1102" i="177"/>
  <c r="F1101" i="177"/>
  <c r="F1100" i="177"/>
  <c r="F1099" i="177"/>
  <c r="F1098" i="177"/>
  <c r="F1097" i="177"/>
  <c r="F1096" i="177"/>
  <c r="F1095" i="177"/>
  <c r="F1094" i="177"/>
  <c r="F1093" i="177"/>
  <c r="F1092" i="177"/>
  <c r="F1091" i="177"/>
  <c r="F1090" i="177"/>
  <c r="F1089" i="177"/>
  <c r="F1088" i="177"/>
  <c r="F1087" i="177"/>
  <c r="F1086" i="177"/>
  <c r="F1085" i="177"/>
  <c r="F1084" i="177"/>
  <c r="F1083" i="177"/>
  <c r="F1082" i="177"/>
  <c r="F1081" i="177"/>
  <c r="F1080" i="177"/>
  <c r="F1079" i="177"/>
  <c r="F1078" i="177"/>
  <c r="F1077" i="177"/>
  <c r="F1076" i="177"/>
  <c r="F1075" i="177"/>
  <c r="F1074" i="177"/>
  <c r="F1073" i="177"/>
  <c r="F1072" i="177"/>
  <c r="F1071" i="177"/>
  <c r="F1070" i="177"/>
  <c r="F1069" i="177"/>
  <c r="F1068" i="177"/>
  <c r="F1067" i="177"/>
  <c r="F1066" i="177"/>
  <c r="F1065" i="177"/>
  <c r="F1064" i="177"/>
  <c r="F1063" i="177"/>
  <c r="F1062" i="177"/>
  <c r="F1061" i="177"/>
  <c r="F1060" i="177"/>
  <c r="F1059" i="177"/>
  <c r="F1058" i="177"/>
  <c r="F1057" i="177"/>
  <c r="F1056" i="177"/>
  <c r="F1055" i="177"/>
  <c r="F1054" i="177"/>
  <c r="F1053" i="177"/>
  <c r="F1052" i="177"/>
  <c r="F1051" i="177"/>
  <c r="F1050" i="177"/>
  <c r="F1049" i="177"/>
  <c r="F1048" i="177"/>
  <c r="F1047" i="177"/>
  <c r="F1046" i="177"/>
  <c r="F1045" i="177"/>
  <c r="F1044" i="177"/>
  <c r="F1043" i="177"/>
  <c r="F1042" i="177"/>
  <c r="F1041" i="177"/>
  <c r="F1040" i="177"/>
  <c r="F1039" i="177"/>
  <c r="F1038" i="177"/>
  <c r="F1037" i="177"/>
  <c r="F1036" i="177"/>
  <c r="F1035" i="177"/>
  <c r="F1034" i="177"/>
  <c r="F1033" i="177"/>
  <c r="F1032" i="177"/>
  <c r="F1031" i="177"/>
  <c r="F1030" i="177"/>
  <c r="F1029" i="177"/>
  <c r="F1028" i="177"/>
  <c r="F1027" i="177"/>
  <c r="F1026" i="177"/>
  <c r="F1025" i="177"/>
  <c r="F1024" i="177"/>
  <c r="F1023" i="177"/>
  <c r="F1022" i="177"/>
  <c r="F1021" i="177"/>
  <c r="F1020" i="177"/>
  <c r="F1019" i="177"/>
  <c r="F1018" i="177"/>
  <c r="F1017" i="177"/>
  <c r="F1016" i="177"/>
  <c r="F1015" i="177"/>
  <c r="F1014" i="177"/>
  <c r="F1013" i="177"/>
  <c r="F1012" i="177"/>
  <c r="F1011" i="177"/>
  <c r="F1010" i="177"/>
  <c r="F1009" i="177"/>
  <c r="F1008" i="177"/>
  <c r="F1007" i="177"/>
  <c r="F1006" i="177"/>
  <c r="F1005" i="177"/>
  <c r="F1004" i="177"/>
  <c r="F1003" i="177"/>
  <c r="F1002" i="177"/>
  <c r="F1001" i="177"/>
  <c r="F1000" i="177"/>
  <c r="F999" i="177"/>
  <c r="F998" i="177"/>
  <c r="F997" i="177"/>
  <c r="F996" i="177"/>
  <c r="F995" i="177"/>
  <c r="F994" i="177"/>
  <c r="F993" i="177"/>
  <c r="F992" i="177"/>
  <c r="F991" i="177"/>
  <c r="F990" i="177"/>
  <c r="F989" i="177"/>
  <c r="F988" i="177"/>
  <c r="F987" i="177"/>
  <c r="F986" i="177"/>
  <c r="F985" i="177"/>
  <c r="F984" i="177"/>
  <c r="F983" i="177"/>
  <c r="F982" i="177"/>
  <c r="F981" i="177"/>
  <c r="F980" i="177"/>
  <c r="F979" i="177"/>
  <c r="F978" i="177"/>
  <c r="F977" i="177"/>
  <c r="F976" i="177"/>
  <c r="F975" i="177"/>
  <c r="F974" i="177"/>
  <c r="F973" i="177"/>
  <c r="F972" i="177"/>
  <c r="F971" i="177"/>
  <c r="F970" i="177"/>
  <c r="F969" i="177"/>
  <c r="F968" i="177"/>
  <c r="F967" i="177"/>
  <c r="F966" i="177"/>
  <c r="F965" i="177"/>
  <c r="F964" i="177"/>
  <c r="F963" i="177"/>
  <c r="F962" i="177"/>
  <c r="F961" i="177"/>
  <c r="F960" i="177"/>
  <c r="F959" i="177"/>
  <c r="F958" i="177"/>
  <c r="F957" i="177"/>
  <c r="F956" i="177"/>
  <c r="F955" i="177"/>
  <c r="F954" i="177"/>
  <c r="F953" i="177"/>
  <c r="F952" i="177"/>
  <c r="F951" i="177"/>
  <c r="F950" i="177"/>
  <c r="F949" i="177"/>
  <c r="F948" i="177"/>
  <c r="F947" i="177"/>
  <c r="F946" i="177"/>
  <c r="F945" i="177"/>
  <c r="F944" i="177"/>
  <c r="F943" i="177"/>
  <c r="F942" i="177"/>
  <c r="F941" i="177"/>
  <c r="F940" i="177"/>
  <c r="F939" i="177"/>
  <c r="F938" i="177"/>
  <c r="F937" i="177"/>
  <c r="F936" i="177"/>
  <c r="F935" i="177"/>
  <c r="F934" i="177"/>
  <c r="F933" i="177"/>
  <c r="F932" i="177"/>
  <c r="F931" i="177"/>
  <c r="F930" i="177"/>
  <c r="F929" i="177"/>
  <c r="F928" i="177"/>
  <c r="F927" i="177"/>
  <c r="F926" i="177"/>
  <c r="F925" i="177"/>
  <c r="F924" i="177"/>
  <c r="F923" i="177"/>
  <c r="F922" i="177"/>
  <c r="F921" i="177"/>
  <c r="F920" i="177"/>
  <c r="F919" i="177"/>
  <c r="F918" i="177"/>
  <c r="F917" i="177"/>
  <c r="F916" i="177"/>
  <c r="F915" i="177"/>
  <c r="F914" i="177"/>
  <c r="F913" i="177"/>
  <c r="F912" i="177"/>
  <c r="F911" i="177"/>
  <c r="F910" i="177"/>
  <c r="F909" i="177"/>
  <c r="F908" i="177"/>
  <c r="F907" i="177"/>
  <c r="F906" i="177"/>
  <c r="F905" i="177"/>
  <c r="F904" i="177"/>
  <c r="F902" i="177"/>
  <c r="F901" i="177"/>
  <c r="F900" i="177"/>
  <c r="F899" i="177"/>
  <c r="F898" i="177"/>
  <c r="F897" i="177"/>
  <c r="F896" i="177"/>
  <c r="F895" i="177"/>
  <c r="F894" i="177"/>
  <c r="F893" i="177"/>
  <c r="F892" i="177"/>
  <c r="F891" i="177"/>
  <c r="F890" i="177"/>
  <c r="F889" i="177"/>
  <c r="F888" i="177"/>
  <c r="F887" i="177"/>
  <c r="F886" i="177"/>
  <c r="F885" i="177"/>
  <c r="F884" i="177"/>
  <c r="F883" i="177"/>
  <c r="F882" i="177"/>
  <c r="F881" i="177"/>
  <c r="F880" i="177"/>
  <c r="F879" i="177"/>
  <c r="F878" i="177"/>
  <c r="F877" i="177"/>
  <c r="F876" i="177"/>
  <c r="F875" i="177"/>
  <c r="F874" i="177"/>
  <c r="F873" i="177"/>
  <c r="F872" i="177"/>
  <c r="F871" i="177"/>
  <c r="F870" i="177"/>
  <c r="F869" i="177"/>
  <c r="F868" i="177"/>
  <c r="F867" i="177"/>
  <c r="F866" i="177"/>
  <c r="F865" i="177"/>
  <c r="F864" i="177"/>
  <c r="F863" i="177"/>
  <c r="F862" i="177"/>
  <c r="F861" i="177"/>
  <c r="F860" i="177"/>
  <c r="F859" i="177"/>
  <c r="F858" i="177"/>
  <c r="F857" i="177"/>
  <c r="F856" i="177"/>
  <c r="F855" i="177"/>
  <c r="F854" i="177"/>
  <c r="F853" i="177"/>
  <c r="F852" i="177"/>
  <c r="F851" i="177"/>
  <c r="F850" i="177"/>
  <c r="F849" i="177"/>
  <c r="F848" i="177"/>
  <c r="F847" i="177"/>
  <c r="F846" i="177"/>
  <c r="F845" i="177"/>
  <c r="F844" i="177"/>
  <c r="F843" i="177"/>
  <c r="F842" i="177"/>
  <c r="F841" i="177"/>
  <c r="F840" i="177"/>
  <c r="F839" i="177"/>
  <c r="F838" i="177"/>
  <c r="F837" i="177"/>
  <c r="F836" i="177"/>
  <c r="F835" i="177"/>
  <c r="F834" i="177"/>
  <c r="F833" i="177"/>
  <c r="F832" i="177"/>
  <c r="F831" i="177"/>
  <c r="F830" i="177"/>
  <c r="F829" i="177"/>
  <c r="F828" i="177"/>
  <c r="F827" i="177"/>
  <c r="F826" i="177"/>
  <c r="F825" i="177"/>
  <c r="F824" i="177"/>
  <c r="F823" i="177"/>
  <c r="F822" i="177"/>
  <c r="F821" i="177"/>
  <c r="F820" i="177"/>
  <c r="F819" i="177"/>
  <c r="F818" i="177"/>
  <c r="F817" i="177"/>
  <c r="F816" i="177"/>
  <c r="F815" i="177"/>
  <c r="F814" i="177"/>
  <c r="F813" i="177"/>
  <c r="F812" i="177"/>
  <c r="F811" i="177"/>
  <c r="F810" i="177"/>
  <c r="F809" i="177"/>
  <c r="F808" i="177"/>
  <c r="F807" i="177"/>
  <c r="F806" i="177"/>
  <c r="F805" i="177"/>
  <c r="F804" i="177"/>
  <c r="F803" i="177"/>
  <c r="F802" i="177"/>
  <c r="F801" i="177"/>
  <c r="F800" i="177"/>
  <c r="F799" i="177"/>
  <c r="F798" i="177"/>
  <c r="F797" i="177"/>
  <c r="F796" i="177"/>
  <c r="F795" i="177"/>
  <c r="F794" i="177"/>
  <c r="F793" i="177"/>
  <c r="F792" i="177"/>
  <c r="F791" i="177"/>
  <c r="F790" i="177"/>
  <c r="F789" i="177"/>
  <c r="F788" i="177"/>
  <c r="F787" i="177"/>
  <c r="F786" i="177"/>
  <c r="F785" i="177"/>
  <c r="F784" i="177"/>
  <c r="F783" i="177"/>
  <c r="F782" i="177"/>
  <c r="F781" i="177"/>
  <c r="F780" i="177"/>
  <c r="F779" i="177"/>
  <c r="F778" i="177"/>
  <c r="F777" i="177"/>
  <c r="F776" i="177"/>
  <c r="F775" i="177"/>
  <c r="F774" i="177"/>
  <c r="F773" i="177"/>
  <c r="F772" i="177"/>
  <c r="F771" i="177"/>
  <c r="F770" i="177"/>
  <c r="F769" i="177"/>
  <c r="F768" i="177"/>
  <c r="F767" i="177"/>
  <c r="F766" i="177"/>
  <c r="F765" i="177"/>
  <c r="F764" i="177"/>
  <c r="F763" i="177"/>
  <c r="F762" i="177"/>
  <c r="F761" i="177"/>
  <c r="F760" i="177"/>
  <c r="F759" i="177"/>
  <c r="F758" i="177"/>
  <c r="F757" i="177"/>
  <c r="F756" i="177"/>
  <c r="F755" i="177"/>
  <c r="F754" i="177"/>
  <c r="F753" i="177"/>
  <c r="F752" i="177"/>
  <c r="F751" i="177"/>
  <c r="F750" i="177"/>
  <c r="F749" i="177"/>
  <c r="F748" i="177"/>
  <c r="F747" i="177"/>
  <c r="F746" i="177"/>
  <c r="F745" i="177"/>
  <c r="F744" i="177"/>
  <c r="F743" i="177"/>
  <c r="F742" i="177"/>
  <c r="F741" i="177"/>
  <c r="F740" i="177"/>
  <c r="F739" i="177"/>
  <c r="F738" i="177"/>
  <c r="F737" i="177"/>
  <c r="F736" i="177"/>
  <c r="F735" i="177"/>
  <c r="F734" i="177"/>
  <c r="F733" i="177"/>
  <c r="F732" i="177"/>
  <c r="F731" i="177"/>
  <c r="F730" i="177"/>
  <c r="F729" i="177"/>
  <c r="F728" i="177"/>
  <c r="F727" i="177"/>
  <c r="F726" i="177"/>
  <c r="F725" i="177"/>
  <c r="F724" i="177"/>
  <c r="F723" i="177"/>
  <c r="F722" i="177"/>
  <c r="F721" i="177"/>
  <c r="F720" i="177"/>
  <c r="F719" i="177"/>
  <c r="F718" i="177"/>
  <c r="F717" i="177"/>
  <c r="F716" i="177"/>
  <c r="F715" i="177"/>
  <c r="F714" i="177"/>
  <c r="F713" i="177"/>
  <c r="F712" i="177"/>
  <c r="F711" i="177"/>
  <c r="F710" i="177"/>
  <c r="F709" i="177"/>
  <c r="F708" i="177"/>
  <c r="F707" i="177"/>
  <c r="F706" i="177"/>
  <c r="F705" i="177"/>
  <c r="F704" i="177"/>
  <c r="F703" i="177"/>
  <c r="F702" i="177"/>
  <c r="F701" i="177"/>
  <c r="F700" i="177"/>
  <c r="F699" i="177"/>
  <c r="F698" i="177"/>
  <c r="F697" i="177"/>
  <c r="F696" i="177"/>
  <c r="F695" i="177"/>
  <c r="F694" i="177"/>
  <c r="F693" i="177"/>
  <c r="F692" i="177"/>
  <c r="F691" i="177"/>
  <c r="F690" i="177"/>
  <c r="F689" i="177"/>
  <c r="F688" i="177"/>
  <c r="F687" i="177"/>
  <c r="F686" i="177"/>
  <c r="F685" i="177"/>
  <c r="F684" i="177"/>
  <c r="F683" i="177"/>
  <c r="F682" i="177"/>
  <c r="F681" i="177"/>
  <c r="F680" i="177"/>
  <c r="F679" i="177"/>
  <c r="F678" i="177"/>
  <c r="F677" i="177"/>
  <c r="F676" i="177"/>
  <c r="F675" i="177"/>
  <c r="F674" i="177"/>
  <c r="F673" i="177"/>
  <c r="F672" i="177"/>
  <c r="F671" i="177"/>
  <c r="F670" i="177"/>
  <c r="F669" i="177"/>
  <c r="F668" i="177"/>
  <c r="F667" i="177"/>
  <c r="F666" i="177"/>
  <c r="F665" i="177"/>
  <c r="F664" i="177"/>
  <c r="F663" i="177"/>
  <c r="F662" i="177"/>
  <c r="F661" i="177"/>
  <c r="F660" i="177"/>
  <c r="F659" i="177"/>
  <c r="F658" i="177"/>
  <c r="F657" i="177"/>
  <c r="F656" i="177"/>
  <c r="F655" i="177"/>
  <c r="F654" i="177"/>
  <c r="F653" i="177"/>
  <c r="F652" i="177"/>
  <c r="F651" i="177"/>
  <c r="F650" i="177"/>
  <c r="F649" i="177"/>
  <c r="F648" i="177"/>
  <c r="F647" i="177"/>
  <c r="F646" i="177"/>
  <c r="F645" i="177"/>
  <c r="F644" i="177"/>
  <c r="F643" i="177"/>
  <c r="F642" i="177"/>
  <c r="F641" i="177"/>
  <c r="F640" i="177"/>
  <c r="F639" i="177"/>
  <c r="F638" i="177"/>
  <c r="F637" i="177"/>
  <c r="F636" i="177"/>
  <c r="F635" i="177"/>
  <c r="F634" i="177"/>
  <c r="F633" i="177"/>
  <c r="F632" i="177"/>
  <c r="F631" i="177"/>
  <c r="F630" i="177"/>
  <c r="F629" i="177"/>
  <c r="F628" i="177"/>
  <c r="F627" i="177"/>
  <c r="F626" i="177"/>
  <c r="F625" i="177"/>
  <c r="F624" i="177"/>
  <c r="F623" i="177"/>
  <c r="F622" i="177"/>
  <c r="F621" i="177"/>
  <c r="F620" i="177"/>
  <c r="F619" i="177"/>
  <c r="F618" i="177"/>
  <c r="F617" i="177"/>
  <c r="F616" i="177"/>
  <c r="F615" i="177"/>
  <c r="F614" i="177"/>
  <c r="F613" i="177"/>
  <c r="F612" i="177"/>
  <c r="F611" i="177"/>
  <c r="F610" i="177"/>
  <c r="F609" i="177"/>
  <c r="F608" i="177"/>
  <c r="F607" i="177"/>
  <c r="F606" i="177"/>
  <c r="F605" i="177"/>
  <c r="F604" i="177"/>
  <c r="F603" i="177"/>
  <c r="F602" i="177"/>
  <c r="F601" i="177"/>
  <c r="F600" i="177"/>
  <c r="F599" i="177"/>
  <c r="F598" i="177"/>
  <c r="F597" i="177"/>
  <c r="F596" i="177"/>
  <c r="F595" i="177"/>
  <c r="F594" i="177"/>
  <c r="F593" i="177"/>
  <c r="F592" i="177"/>
  <c r="F591" i="177"/>
  <c r="F590" i="177"/>
  <c r="F589" i="177"/>
  <c r="F588" i="177"/>
  <c r="F587" i="177"/>
  <c r="F586" i="177"/>
  <c r="F585" i="177"/>
  <c r="F584" i="177"/>
  <c r="F583" i="177"/>
  <c r="F582" i="177"/>
  <c r="F581" i="177"/>
  <c r="F580" i="177"/>
  <c r="F579" i="177"/>
  <c r="F578" i="177"/>
  <c r="F577" i="177"/>
  <c r="F576" i="177"/>
  <c r="F575" i="177"/>
  <c r="F574" i="177"/>
  <c r="F573" i="177"/>
  <c r="F572" i="177"/>
  <c r="F571" i="177"/>
  <c r="F570" i="177"/>
  <c r="F569" i="177"/>
  <c r="F568" i="177"/>
  <c r="F567" i="177"/>
  <c r="F566" i="177"/>
  <c r="F565" i="177"/>
  <c r="F564" i="177"/>
  <c r="F563" i="177"/>
  <c r="F562" i="177"/>
  <c r="F561" i="177"/>
  <c r="F560" i="177"/>
  <c r="F559" i="177"/>
  <c r="F558" i="177"/>
  <c r="F557" i="177"/>
  <c r="F556" i="177"/>
  <c r="F555" i="177"/>
  <c r="F554" i="177"/>
  <c r="F553" i="177"/>
  <c r="F552" i="177"/>
  <c r="F551" i="177"/>
  <c r="F550" i="177"/>
  <c r="F549" i="177"/>
  <c r="F548" i="177"/>
  <c r="F547" i="177"/>
  <c r="F546" i="177"/>
  <c r="F545" i="177"/>
  <c r="F544" i="177"/>
  <c r="F543" i="177"/>
  <c r="F542" i="177"/>
  <c r="F541" i="177"/>
  <c r="F540" i="177"/>
  <c r="F539" i="177"/>
  <c r="F538" i="177"/>
  <c r="F537" i="177"/>
  <c r="F536" i="177"/>
  <c r="F535" i="177"/>
  <c r="F534" i="177"/>
  <c r="F533" i="177"/>
  <c r="F532" i="177"/>
  <c r="F531" i="177"/>
  <c r="F530" i="177"/>
  <c r="F529" i="177"/>
  <c r="F528" i="177"/>
  <c r="F527" i="177"/>
  <c r="F526" i="177"/>
  <c r="F525" i="177"/>
  <c r="F524" i="177"/>
  <c r="F523" i="177"/>
  <c r="F522" i="177"/>
  <c r="F521" i="177"/>
  <c r="F520" i="177"/>
  <c r="F519" i="177"/>
  <c r="F518" i="177"/>
  <c r="F517" i="177"/>
  <c r="F516" i="177"/>
  <c r="F515" i="177"/>
  <c r="F514" i="177"/>
  <c r="F513" i="177"/>
  <c r="F512" i="177"/>
  <c r="F511" i="177"/>
  <c r="F510" i="177"/>
  <c r="F509" i="177"/>
  <c r="F508" i="177"/>
  <c r="F507" i="177"/>
  <c r="F506" i="177"/>
  <c r="F505" i="177"/>
  <c r="F504" i="177"/>
  <c r="F503" i="177"/>
  <c r="F502" i="177"/>
  <c r="F501" i="177"/>
  <c r="F500" i="177"/>
  <c r="F499" i="177"/>
  <c r="F498" i="177"/>
  <c r="F497" i="177"/>
  <c r="F496" i="177"/>
  <c r="F495" i="177"/>
  <c r="F494" i="177"/>
  <c r="F493" i="177"/>
  <c r="F492" i="177"/>
  <c r="F491" i="177"/>
  <c r="F490" i="177"/>
  <c r="F489" i="177"/>
  <c r="F488" i="177"/>
  <c r="F487" i="177"/>
  <c r="F486" i="177"/>
  <c r="F485" i="177"/>
  <c r="F484" i="177"/>
  <c r="F483" i="177"/>
  <c r="F482" i="177"/>
  <c r="F481" i="177"/>
  <c r="F480" i="177"/>
  <c r="F479" i="177"/>
  <c r="F478" i="177"/>
  <c r="F477" i="177"/>
  <c r="F476" i="177"/>
  <c r="F475" i="177"/>
  <c r="F474" i="177"/>
  <c r="F473" i="177"/>
  <c r="F472" i="177"/>
  <c r="F471" i="177"/>
  <c r="F470" i="177"/>
  <c r="F469" i="177"/>
  <c r="F468" i="177"/>
  <c r="F467" i="177"/>
  <c r="F466" i="177"/>
  <c r="F465" i="177"/>
  <c r="F464" i="177"/>
  <c r="F463" i="177"/>
  <c r="F462" i="177"/>
  <c r="F461" i="177"/>
  <c r="F460" i="177"/>
  <c r="F459" i="177"/>
  <c r="F458" i="177"/>
  <c r="F457" i="177"/>
  <c r="F456" i="177"/>
  <c r="F454" i="177"/>
  <c r="F453" i="177"/>
  <c r="F452" i="177"/>
  <c r="F451" i="177"/>
  <c r="F450" i="177"/>
  <c r="F449" i="177"/>
  <c r="F448" i="177"/>
  <c r="F447" i="177"/>
  <c r="F446" i="177"/>
  <c r="F445" i="177"/>
  <c r="F444" i="177"/>
  <c r="F443" i="177"/>
  <c r="F442" i="177"/>
  <c r="F441" i="177"/>
  <c r="F440" i="177"/>
  <c r="F439" i="177"/>
  <c r="F438" i="177"/>
  <c r="F437" i="177"/>
  <c r="F436" i="177"/>
  <c r="F435" i="177"/>
  <c r="F434" i="177"/>
  <c r="F433" i="177"/>
  <c r="F432" i="177"/>
  <c r="F431" i="177"/>
  <c r="F430" i="177"/>
  <c r="F429" i="177"/>
  <c r="F428" i="177"/>
  <c r="F427" i="177"/>
  <c r="F426" i="177"/>
  <c r="F425" i="177"/>
  <c r="F424" i="177"/>
  <c r="F423" i="177"/>
  <c r="F422" i="177"/>
  <c r="F421" i="177"/>
  <c r="F420" i="177"/>
  <c r="F419" i="177"/>
  <c r="F418" i="177"/>
  <c r="F417" i="177"/>
  <c r="F416" i="177"/>
  <c r="F415" i="177"/>
  <c r="F414" i="177"/>
  <c r="F413" i="177"/>
  <c r="F412" i="177"/>
  <c r="F411" i="177"/>
  <c r="F410" i="177"/>
  <c r="F409" i="177"/>
  <c r="F408" i="177"/>
  <c r="F407" i="177"/>
  <c r="F406" i="177"/>
  <c r="F405" i="177"/>
  <c r="F404" i="177"/>
  <c r="F403" i="177"/>
  <c r="F402" i="177"/>
  <c r="F401" i="177"/>
  <c r="F400" i="177"/>
  <c r="F399" i="177"/>
  <c r="F398" i="177"/>
  <c r="F397" i="177"/>
  <c r="F396" i="177"/>
  <c r="F395" i="177"/>
  <c r="F394" i="177"/>
  <c r="F393" i="177"/>
  <c r="F392" i="177"/>
  <c r="F391" i="177"/>
  <c r="F390" i="177"/>
  <c r="F389" i="177"/>
  <c r="F388" i="177"/>
  <c r="F387" i="177"/>
  <c r="F386" i="177"/>
  <c r="F385" i="177"/>
  <c r="F384" i="177"/>
  <c r="F383" i="177"/>
  <c r="F382" i="177"/>
  <c r="F381" i="177"/>
  <c r="F380" i="177"/>
  <c r="F379" i="177"/>
  <c r="F378" i="177"/>
  <c r="F377" i="177"/>
  <c r="F376" i="177"/>
  <c r="F375" i="177"/>
  <c r="F374" i="177"/>
  <c r="F373" i="177"/>
  <c r="F372" i="177"/>
  <c r="F371" i="177"/>
  <c r="F370" i="177"/>
  <c r="F369" i="177"/>
  <c r="F368" i="177"/>
  <c r="F367" i="177"/>
  <c r="F366" i="177"/>
  <c r="F365" i="177"/>
  <c r="F364" i="177"/>
  <c r="F363" i="177"/>
  <c r="F362" i="177"/>
  <c r="F361" i="177"/>
  <c r="F360" i="177"/>
  <c r="F359" i="177"/>
  <c r="F358" i="177"/>
  <c r="F357" i="177"/>
  <c r="F356" i="177"/>
  <c r="F355" i="177"/>
  <c r="F354" i="177"/>
  <c r="F353" i="177"/>
  <c r="F352" i="177"/>
  <c r="F351" i="177"/>
  <c r="F350" i="177"/>
  <c r="F349" i="177"/>
  <c r="F348" i="177"/>
  <c r="F347" i="177"/>
  <c r="F346" i="177"/>
  <c r="F345" i="177"/>
  <c r="F344" i="177"/>
  <c r="F343" i="177"/>
  <c r="F342" i="177"/>
  <c r="F341" i="177"/>
  <c r="F340" i="177"/>
  <c r="F339" i="177"/>
  <c r="F338" i="177"/>
  <c r="F337" i="177"/>
  <c r="F336" i="177"/>
  <c r="F335" i="177"/>
  <c r="F334" i="177"/>
  <c r="F333" i="177"/>
  <c r="F332" i="177"/>
  <c r="F331" i="177"/>
  <c r="F330" i="177"/>
  <c r="F329" i="177"/>
  <c r="F328" i="177"/>
  <c r="F327" i="177"/>
  <c r="F326" i="177"/>
  <c r="F325" i="177"/>
  <c r="F324" i="177"/>
  <c r="F323" i="177"/>
  <c r="F322" i="177"/>
  <c r="F321" i="177"/>
  <c r="F320" i="177"/>
  <c r="F319" i="177"/>
  <c r="F318" i="177"/>
  <c r="F317" i="177"/>
  <c r="F316" i="177"/>
  <c r="F315" i="177"/>
  <c r="F314" i="177"/>
  <c r="F313" i="177"/>
  <c r="F312" i="177"/>
  <c r="F311" i="177"/>
  <c r="F310" i="177"/>
  <c r="F309" i="177"/>
  <c r="F308" i="177"/>
  <c r="F307" i="177"/>
  <c r="F306" i="177"/>
  <c r="F305" i="177"/>
  <c r="F304" i="177"/>
  <c r="F303" i="177"/>
  <c r="F302" i="177"/>
  <c r="F301" i="177"/>
  <c r="F300" i="177"/>
  <c r="F299" i="177"/>
  <c r="F298" i="177"/>
  <c r="F297" i="177"/>
  <c r="F296" i="177"/>
  <c r="F295" i="177"/>
  <c r="F294" i="177"/>
  <c r="F293" i="177"/>
  <c r="F292" i="177"/>
  <c r="F291" i="177"/>
  <c r="F290" i="177"/>
  <c r="F289" i="177"/>
  <c r="F288" i="177"/>
  <c r="F287" i="177"/>
  <c r="F286" i="177"/>
  <c r="F285" i="177"/>
  <c r="F284" i="177"/>
  <c r="F283" i="177"/>
  <c r="F282" i="177"/>
  <c r="F281" i="177"/>
  <c r="F280" i="177"/>
  <c r="F279" i="177"/>
  <c r="F278" i="177"/>
  <c r="F277" i="177"/>
  <c r="F276" i="177"/>
  <c r="F275" i="177"/>
  <c r="F274" i="177"/>
  <c r="F273" i="177"/>
  <c r="F272" i="177"/>
  <c r="F271" i="177"/>
  <c r="F270" i="177"/>
  <c r="F269" i="177"/>
  <c r="F268" i="177"/>
  <c r="F267" i="177"/>
  <c r="F266" i="177"/>
  <c r="F265" i="177"/>
  <c r="F264" i="177"/>
  <c r="F263" i="177"/>
  <c r="F262" i="177"/>
  <c r="F261" i="177"/>
  <c r="F260" i="177"/>
  <c r="F259" i="177"/>
  <c r="F258" i="177"/>
  <c r="F257" i="177"/>
  <c r="F256" i="177"/>
  <c r="F255" i="177"/>
  <c r="F254" i="177"/>
  <c r="F253" i="177"/>
  <c r="F252" i="177"/>
  <c r="F251" i="177"/>
  <c r="F250" i="177"/>
  <c r="F249" i="177"/>
  <c r="F248" i="177"/>
  <c r="F246" i="177"/>
  <c r="F245" i="177"/>
  <c r="F244" i="177"/>
  <c r="F243" i="177"/>
  <c r="F242" i="177"/>
  <c r="F241" i="177"/>
  <c r="F240" i="177"/>
  <c r="F239" i="177"/>
  <c r="F238" i="177"/>
  <c r="F237" i="177"/>
  <c r="F236" i="177"/>
  <c r="F235" i="177"/>
  <c r="F234" i="177"/>
  <c r="F233" i="177"/>
  <c r="F232" i="177"/>
  <c r="F231" i="177"/>
  <c r="F230" i="177"/>
  <c r="F229" i="177"/>
  <c r="F228" i="177"/>
  <c r="F227" i="177"/>
  <c r="F226" i="177"/>
  <c r="F225" i="177"/>
  <c r="F224" i="177"/>
  <c r="F223" i="177"/>
  <c r="F222" i="177"/>
  <c r="F221" i="177"/>
  <c r="F220" i="177"/>
  <c r="F219" i="177"/>
  <c r="F218" i="177"/>
  <c r="F217" i="177"/>
  <c r="F216" i="177"/>
  <c r="F215" i="177"/>
  <c r="F214" i="177"/>
  <c r="F213" i="177"/>
  <c r="F212" i="177"/>
  <c r="F211" i="177"/>
  <c r="F210" i="177"/>
  <c r="F209" i="177"/>
  <c r="F208" i="177"/>
  <c r="F207" i="177"/>
  <c r="F206" i="177"/>
  <c r="F205" i="177"/>
  <c r="F204" i="177"/>
  <c r="F203" i="177"/>
  <c r="F202" i="177"/>
  <c r="F201" i="177"/>
  <c r="F200" i="177"/>
  <c r="F199" i="177"/>
  <c r="F198" i="177"/>
  <c r="F197" i="177"/>
  <c r="F196" i="177"/>
  <c r="F195" i="177"/>
  <c r="F194" i="177"/>
  <c r="F193" i="177"/>
  <c r="F192" i="177"/>
  <c r="F190" i="177"/>
  <c r="F189" i="177"/>
  <c r="F188" i="177"/>
  <c r="F187" i="177"/>
  <c r="F186" i="177"/>
  <c r="F185" i="177"/>
  <c r="F184" i="177"/>
  <c r="F183" i="177"/>
  <c r="F182" i="177"/>
  <c r="F181" i="177"/>
  <c r="F180" i="177"/>
  <c r="F179" i="177"/>
  <c r="F178" i="177"/>
  <c r="F177" i="177"/>
  <c r="F176" i="177"/>
  <c r="F175" i="177"/>
  <c r="F174" i="177"/>
  <c r="F173" i="177"/>
  <c r="F172" i="177"/>
  <c r="F171" i="177"/>
  <c r="F170" i="177"/>
  <c r="F169" i="177"/>
  <c r="F168" i="177"/>
  <c r="F167" i="177"/>
  <c r="F166" i="177"/>
  <c r="F165" i="177"/>
  <c r="F164" i="177"/>
  <c r="F163" i="177"/>
  <c r="F162" i="177"/>
  <c r="F161" i="177"/>
  <c r="F160" i="177"/>
  <c r="F159" i="177"/>
  <c r="F158" i="177"/>
  <c r="F157" i="177"/>
  <c r="F156" i="177"/>
  <c r="F155" i="177"/>
  <c r="F154" i="177"/>
  <c r="F153" i="177"/>
  <c r="F152" i="177"/>
  <c r="F151" i="177"/>
  <c r="F150" i="177"/>
  <c r="F149" i="177"/>
  <c r="F148" i="177"/>
  <c r="F147" i="177"/>
  <c r="F146" i="177"/>
  <c r="F145" i="177"/>
  <c r="F144" i="177"/>
  <c r="F143" i="177"/>
  <c r="F142" i="177"/>
  <c r="F141" i="177"/>
  <c r="F140" i="177"/>
  <c r="F139" i="177"/>
  <c r="F138" i="177"/>
  <c r="F137" i="177"/>
  <c r="F136" i="177"/>
  <c r="F135" i="177"/>
  <c r="F134" i="177"/>
  <c r="F133" i="177"/>
  <c r="F132" i="177"/>
  <c r="F131" i="177"/>
  <c r="F130" i="177"/>
  <c r="F129" i="177"/>
  <c r="F128" i="177"/>
  <c r="F127" i="177"/>
  <c r="F126" i="177"/>
  <c r="F125" i="177"/>
  <c r="F124" i="177"/>
  <c r="F123" i="177"/>
  <c r="F122" i="177"/>
  <c r="F121" i="177"/>
  <c r="F120" i="177"/>
  <c r="F119" i="177"/>
  <c r="F118" i="177"/>
  <c r="F117" i="177"/>
  <c r="F116" i="177"/>
  <c r="F115" i="177"/>
  <c r="F114" i="177"/>
  <c r="F113" i="177"/>
  <c r="F112" i="177"/>
  <c r="F111" i="177"/>
  <c r="F110" i="177"/>
  <c r="F109" i="177"/>
  <c r="F108" i="177"/>
  <c r="F107" i="177"/>
  <c r="F106" i="177"/>
  <c r="F105" i="177"/>
  <c r="F104" i="177"/>
  <c r="F103" i="177"/>
  <c r="F102" i="177"/>
  <c r="F101" i="177"/>
  <c r="F100" i="177"/>
  <c r="F99" i="177"/>
  <c r="F98" i="177"/>
  <c r="F97" i="177"/>
  <c r="F96" i="177"/>
  <c r="F95" i="177"/>
  <c r="F94" i="177"/>
  <c r="F93" i="177"/>
  <c r="F92" i="177"/>
  <c r="F91" i="177"/>
  <c r="F90" i="177"/>
  <c r="F89" i="177"/>
  <c r="F87" i="177"/>
  <c r="F86" i="177"/>
  <c r="F85" i="177"/>
  <c r="F84" i="177"/>
  <c r="F83" i="177"/>
  <c r="F82" i="177"/>
  <c r="F81" i="177"/>
  <c r="F80" i="177"/>
  <c r="F79" i="177"/>
  <c r="F78" i="177"/>
  <c r="F77" i="177"/>
  <c r="F76" i="177"/>
  <c r="F75" i="177"/>
  <c r="F74" i="177"/>
  <c r="F73" i="177"/>
  <c r="F72" i="177"/>
  <c r="F71" i="177"/>
  <c r="F70" i="177"/>
  <c r="F69" i="177"/>
  <c r="F68" i="177"/>
  <c r="F67" i="177"/>
  <c r="F66" i="177"/>
  <c r="F65" i="177"/>
  <c r="F64" i="177"/>
  <c r="F63" i="177"/>
  <c r="F62" i="177"/>
  <c r="F61" i="177"/>
  <c r="F60" i="177"/>
  <c r="F59" i="177"/>
  <c r="F58" i="177"/>
  <c r="F57" i="177"/>
  <c r="F56" i="177"/>
  <c r="F55" i="177"/>
  <c r="F54" i="177"/>
  <c r="F53" i="177"/>
  <c r="F52" i="177"/>
  <c r="F51" i="177"/>
  <c r="F50" i="177"/>
  <c r="F49" i="177"/>
  <c r="F48" i="177"/>
  <c r="F47" i="177"/>
  <c r="F46" i="177"/>
  <c r="F45" i="177"/>
  <c r="F44" i="177"/>
  <c r="F43" i="177"/>
  <c r="F42" i="177"/>
  <c r="F41" i="177"/>
  <c r="F40" i="177"/>
  <c r="F39" i="177"/>
  <c r="F38" i="177"/>
  <c r="F37" i="177"/>
  <c r="F36" i="177"/>
  <c r="F35" i="177"/>
  <c r="F34" i="177"/>
  <c r="F33" i="177"/>
  <c r="F32" i="177"/>
  <c r="F31" i="177"/>
  <c r="F30" i="177"/>
  <c r="F29" i="177"/>
  <c r="F28" i="177"/>
  <c r="F27" i="177"/>
  <c r="F26" i="177"/>
  <c r="F25" i="177"/>
  <c r="F24" i="177"/>
  <c r="F23" i="177"/>
  <c r="F22" i="177"/>
  <c r="F21" i="177"/>
  <c r="F20" i="177"/>
  <c r="F19" i="177"/>
  <c r="F18" i="177"/>
  <c r="F17" i="177"/>
  <c r="F16" i="177"/>
  <c r="F15" i="177"/>
  <c r="P992" i="177" l="1"/>
  <c r="P61" i="177"/>
  <c r="Q61" i="177" s="1"/>
  <c r="P178" i="177"/>
  <c r="R178" i="177" s="1"/>
  <c r="P1026" i="177"/>
  <c r="Q1026" i="177" s="1"/>
  <c r="P1013" i="177"/>
  <c r="R1013" i="177" s="1"/>
  <c r="P37" i="177"/>
  <c r="Q37" i="177" s="1"/>
  <c r="P145" i="177"/>
  <c r="R145" i="177" s="1"/>
  <c r="P218" i="177"/>
  <c r="Q218" i="177" s="1"/>
  <c r="P892" i="177"/>
  <c r="Q892" i="177" s="1"/>
  <c r="P987" i="177"/>
  <c r="Q987" i="177" s="1"/>
  <c r="P1031" i="177"/>
  <c r="Q1031" i="177" s="1"/>
  <c r="P121" i="177"/>
  <c r="R121" i="177" s="1"/>
  <c r="P231" i="177"/>
  <c r="R231" i="177" s="1"/>
  <c r="P361" i="177"/>
  <c r="R361" i="177" s="1"/>
  <c r="P1067" i="177"/>
  <c r="P173" i="177"/>
  <c r="Q173" i="177" s="1"/>
  <c r="P853" i="177"/>
  <c r="R853" i="177" s="1"/>
  <c r="P470" i="177"/>
  <c r="Q470" i="177" s="1"/>
  <c r="P113" i="177"/>
  <c r="Q113" i="177" s="1"/>
  <c r="P29" i="177"/>
  <c r="Q29" i="177" s="1"/>
  <c r="P162" i="177"/>
  <c r="Q162" i="177" s="1"/>
  <c r="P183" i="177"/>
  <c r="Q183" i="177" s="1"/>
  <c r="P192" i="177"/>
  <c r="Q192" i="177" s="1"/>
  <c r="P475" i="177"/>
  <c r="R475" i="177" s="1"/>
  <c r="P293" i="177"/>
  <c r="Q293" i="177" s="1"/>
  <c r="P637" i="177"/>
  <c r="P564" i="177"/>
  <c r="P686" i="177"/>
  <c r="P901" i="177"/>
  <c r="R901" i="177" s="1"/>
  <c r="P895" i="177"/>
  <c r="R895" i="177" s="1"/>
  <c r="P1018" i="177"/>
  <c r="R1018" i="177" s="1"/>
  <c r="P84" i="177"/>
  <c r="Q84" i="177" s="1"/>
  <c r="P424" i="177"/>
  <c r="R424" i="177" s="1"/>
  <c r="P430" i="177"/>
  <c r="R430" i="177" s="1"/>
  <c r="P436" i="177"/>
  <c r="Q436" i="177" s="1"/>
  <c r="P997" i="177"/>
  <c r="R997" i="177" s="1"/>
  <c r="P1006" i="177"/>
  <c r="R1006" i="177" s="1"/>
  <c r="P504" i="177"/>
  <c r="R504" i="177" s="1"/>
  <c r="P889" i="177"/>
  <c r="R889" i="177" s="1"/>
  <c r="P960" i="177"/>
  <c r="R960" i="177" s="1"/>
  <c r="AB44" i="176"/>
  <c r="P111" i="177"/>
  <c r="Q111" i="177" s="1"/>
  <c r="P194" i="177"/>
  <c r="R194" i="177" s="1"/>
  <c r="P242" i="177"/>
  <c r="R242" i="177" s="1"/>
  <c r="P279" i="177"/>
  <c r="P681" i="177"/>
  <c r="R681" i="177" s="1"/>
  <c r="P965" i="177"/>
  <c r="P745" i="177"/>
  <c r="R745" i="177" s="1"/>
  <c r="P214" i="177"/>
  <c r="R214" i="177" s="1"/>
  <c r="P248" i="177"/>
  <c r="Q248" i="177" s="1"/>
  <c r="P551" i="177"/>
  <c r="Q551" i="177" s="1"/>
  <c r="P643" i="177"/>
  <c r="R643" i="177" s="1"/>
  <c r="P63" i="177"/>
  <c r="Q63" i="177" s="1"/>
  <c r="P342" i="177"/>
  <c r="Q342" i="177" s="1"/>
  <c r="P655" i="177"/>
  <c r="R655" i="177" s="1"/>
  <c r="P835" i="177"/>
  <c r="R835" i="177" s="1"/>
  <c r="P520" i="177"/>
  <c r="R520" i="177" s="1"/>
  <c r="P54" i="177"/>
  <c r="P109" i="177"/>
  <c r="Q109" i="177" s="1"/>
  <c r="P289" i="177"/>
  <c r="Q289" i="177" s="1"/>
  <c r="P89" i="177"/>
  <c r="R89" i="177" s="1"/>
  <c r="P224" i="177"/>
  <c r="R224" i="177" s="1"/>
  <c r="P646" i="177"/>
  <c r="P1017" i="177"/>
  <c r="P155" i="177"/>
  <c r="R155" i="177" s="1"/>
  <c r="P187" i="177"/>
  <c r="Q187" i="177" s="1"/>
  <c r="P457" i="177"/>
  <c r="Q457" i="177" s="1"/>
  <c r="P107" i="177"/>
  <c r="Q107" i="177" s="1"/>
  <c r="P168" i="177"/>
  <c r="R168" i="177" s="1"/>
  <c r="P207" i="177"/>
  <c r="Q207" i="177" s="1"/>
  <c r="P297" i="177"/>
  <c r="R297" i="177" s="1"/>
  <c r="P303" i="177"/>
  <c r="Q303" i="177" s="1"/>
  <c r="P575" i="177"/>
  <c r="P490" i="177"/>
  <c r="R490" i="177" s="1"/>
  <c r="P516" i="177"/>
  <c r="P612" i="177"/>
  <c r="Q612" i="177" s="1"/>
  <c r="P1038" i="177"/>
  <c r="R1038" i="177" s="1"/>
  <c r="P1086" i="177"/>
  <c r="R1086" i="177" s="1"/>
  <c r="P353" i="177"/>
  <c r="R353" i="177" s="1"/>
  <c r="P782" i="177"/>
  <c r="P865" i="177"/>
  <c r="R865" i="177" s="1"/>
  <c r="P1044" i="177"/>
  <c r="P1053" i="177"/>
  <c r="R1053" i="177" s="1"/>
  <c r="P1101" i="177"/>
  <c r="Q1101" i="177" s="1"/>
  <c r="P301" i="177"/>
  <c r="R301" i="177" s="1"/>
  <c r="P309" i="177"/>
  <c r="Q309" i="177" s="1"/>
  <c r="P370" i="177"/>
  <c r="R370" i="177" s="1"/>
  <c r="P867" i="177"/>
  <c r="R867" i="177" s="1"/>
  <c r="P675" i="177"/>
  <c r="P723" i="177"/>
  <c r="P291" i="177"/>
  <c r="AB73" i="176"/>
  <c r="Q231" i="177" l="1"/>
  <c r="R37" i="177"/>
  <c r="R987" i="177"/>
  <c r="Q1013" i="177"/>
  <c r="Q992" i="177"/>
  <c r="R992" i="177"/>
  <c r="R892" i="177"/>
  <c r="R1026" i="177"/>
  <c r="R551" i="177"/>
  <c r="Q214" i="177"/>
  <c r="R1031" i="177"/>
  <c r="Q865" i="177"/>
  <c r="R29" i="177"/>
  <c r="R207" i="177"/>
  <c r="Q178" i="177"/>
  <c r="Q145" i="177"/>
  <c r="R218" i="177"/>
  <c r="Q361" i="177"/>
  <c r="R61" i="177"/>
  <c r="R113" i="177"/>
  <c r="Q504" i="177"/>
  <c r="Q853" i="177"/>
  <c r="Q520" i="177"/>
  <c r="Q121" i="177"/>
  <c r="R303" i="177"/>
  <c r="R173" i="177"/>
  <c r="Q681" i="177"/>
  <c r="R183" i="177"/>
  <c r="R436" i="177"/>
  <c r="Q1067" i="177"/>
  <c r="R1067" i="177"/>
  <c r="R289" i="177"/>
  <c r="Q901" i="177"/>
  <c r="Q155" i="177"/>
  <c r="Q643" i="177"/>
  <c r="Q370" i="177"/>
  <c r="Q1018" i="177"/>
  <c r="Q297" i="177"/>
  <c r="R470" i="177"/>
  <c r="Q895" i="177"/>
  <c r="R342" i="177"/>
  <c r="R309" i="177"/>
  <c r="R192" i="177"/>
  <c r="Q655" i="177"/>
  <c r="R293" i="177"/>
  <c r="Q867" i="177"/>
  <c r="Q490" i="177"/>
  <c r="R248" i="177"/>
  <c r="Q430" i="177"/>
  <c r="Q475" i="177"/>
  <c r="Q242" i="177"/>
  <c r="R84" i="177"/>
  <c r="R111" i="177"/>
  <c r="R162" i="177"/>
  <c r="Q89" i="177"/>
  <c r="Q224" i="177"/>
  <c r="R686" i="177"/>
  <c r="Q686" i="177"/>
  <c r="R54" i="177"/>
  <c r="Q54" i="177"/>
  <c r="R1044" i="177"/>
  <c r="Q1044" i="177"/>
  <c r="R782" i="177"/>
  <c r="Q782" i="177"/>
  <c r="Q637" i="177"/>
  <c r="R637" i="177"/>
  <c r="Q889" i="177"/>
  <c r="R965" i="177"/>
  <c r="Q965" i="177"/>
  <c r="Q279" i="177"/>
  <c r="R279" i="177"/>
  <c r="Q564" i="177"/>
  <c r="R564" i="177"/>
  <c r="R187" i="177"/>
  <c r="Q168" i="177"/>
  <c r="Q745" i="177"/>
  <c r="Q1017" i="177"/>
  <c r="R1017" i="177"/>
  <c r="Q1086" i="177"/>
  <c r="R457" i="177"/>
  <c r="R107" i="177"/>
  <c r="Q1006" i="177"/>
  <c r="Q960" i="177"/>
  <c r="Q1038" i="177"/>
  <c r="Q835" i="177"/>
  <c r="R109" i="177"/>
  <c r="Q301" i="177"/>
  <c r="Q997" i="177"/>
  <c r="R63" i="177"/>
  <c r="Q424" i="177"/>
  <c r="Q1053" i="177"/>
  <c r="Q194" i="177"/>
  <c r="R1101" i="177"/>
  <c r="R575" i="177"/>
  <c r="Q575" i="177"/>
  <c r="Q353" i="177"/>
  <c r="R612" i="177"/>
  <c r="R646" i="177"/>
  <c r="Q646" i="177"/>
  <c r="Q516" i="177"/>
  <c r="R516" i="177"/>
  <c r="R723" i="177"/>
  <c r="Q723" i="177"/>
  <c r="R675" i="177"/>
  <c r="Q675" i="177"/>
  <c r="Q291" i="177"/>
  <c r="R291" i="177"/>
  <c r="P879" i="174" l="1"/>
  <c r="P873" i="174"/>
  <c r="P871" i="174"/>
  <c r="P848" i="174"/>
  <c r="P841" i="174"/>
  <c r="P816" i="174"/>
  <c r="P864" i="174" l="1"/>
  <c r="P880" i="174"/>
  <c r="P815" i="174"/>
  <c r="P230" i="174"/>
  <c r="P688" i="174"/>
  <c r="R688" i="174" s="1"/>
  <c r="P828" i="174"/>
  <c r="P847" i="174"/>
  <c r="Q847" i="174" s="1"/>
  <c r="P838" i="174"/>
  <c r="Q838" i="174" s="1"/>
  <c r="P850" i="174"/>
  <c r="R850" i="174" s="1"/>
  <c r="P866" i="174"/>
  <c r="R866" i="174" s="1"/>
  <c r="P903" i="174"/>
  <c r="P839" i="174"/>
  <c r="Q839" i="174" s="1"/>
  <c r="P846" i="174"/>
  <c r="R846" i="174" s="1"/>
  <c r="P872" i="174"/>
  <c r="P821" i="174"/>
  <c r="P829" i="174"/>
  <c r="P868" i="174"/>
  <c r="P853" i="174"/>
  <c r="P844" i="174"/>
  <c r="Q844" i="174" s="1"/>
  <c r="P855" i="174"/>
  <c r="Q855" i="174" s="1"/>
  <c r="P899" i="174"/>
  <c r="R899" i="174" s="1"/>
  <c r="P837" i="174"/>
  <c r="R837" i="174" s="1"/>
  <c r="P898" i="174"/>
  <c r="Q898" i="174" s="1"/>
  <c r="P822" i="174"/>
  <c r="Q822" i="174" s="1"/>
  <c r="P833" i="174"/>
  <c r="R833" i="174" s="1"/>
  <c r="P827" i="174"/>
  <c r="P865" i="174"/>
  <c r="R880" i="174"/>
  <c r="R821" i="174"/>
  <c r="Q903" i="174"/>
  <c r="R868" i="174"/>
  <c r="R903" i="174"/>
  <c r="R871" i="174"/>
  <c r="R848" i="174"/>
  <c r="Q853" i="174"/>
  <c r="R829" i="174"/>
  <c r="R828" i="174"/>
  <c r="R872" i="174"/>
  <c r="R873" i="174"/>
  <c r="R841" i="174"/>
  <c r="Q865" i="174"/>
  <c r="R879" i="174"/>
  <c r="Q841" i="174"/>
  <c r="R864" i="174"/>
  <c r="R853" i="174"/>
  <c r="R827" i="174"/>
  <c r="Q827" i="174"/>
  <c r="R816" i="174"/>
  <c r="Q828" i="174"/>
  <c r="Q848" i="174"/>
  <c r="Q864" i="174"/>
  <c r="Q880" i="174"/>
  <c r="R815" i="174"/>
  <c r="Q815" i="174"/>
  <c r="R898" i="174" l="1"/>
  <c r="R822" i="174"/>
  <c r="Q866" i="174"/>
  <c r="Q899" i="174"/>
  <c r="R838" i="174"/>
  <c r="Q821" i="174"/>
  <c r="Q868" i="174"/>
  <c r="Q873" i="174"/>
  <c r="R844" i="174"/>
  <c r="R865" i="174"/>
  <c r="Q688" i="174"/>
  <c r="Q850" i="174"/>
  <c r="Q837" i="174"/>
  <c r="Q871" i="174"/>
  <c r="Q846" i="174"/>
  <c r="R847" i="174"/>
  <c r="R855" i="174"/>
  <c r="R839" i="174"/>
  <c r="Q879" i="174"/>
  <c r="Q872" i="174"/>
  <c r="Q829" i="174"/>
  <c r="Q833" i="174"/>
  <c r="Q816" i="174"/>
  <c r="Q230" i="174"/>
  <c r="R230" i="174"/>
  <c r="F144" i="176" l="1"/>
  <c r="F143" i="176"/>
  <c r="F142" i="176"/>
  <c r="F141" i="176"/>
  <c r="F140" i="176"/>
  <c r="F139" i="176"/>
  <c r="F138" i="176"/>
  <c r="F137" i="176"/>
  <c r="F136" i="176"/>
  <c r="F135" i="176"/>
  <c r="F134" i="176"/>
  <c r="F133" i="176"/>
  <c r="F132" i="176"/>
  <c r="F131" i="176"/>
  <c r="F130" i="176"/>
  <c r="F129" i="176"/>
  <c r="F128" i="176"/>
  <c r="F127" i="176"/>
  <c r="F126" i="176"/>
  <c r="F125" i="176"/>
  <c r="F124" i="176"/>
  <c r="F123" i="176"/>
  <c r="F122" i="176"/>
  <c r="F121" i="176"/>
  <c r="F120" i="176"/>
  <c r="F119" i="176"/>
  <c r="F118" i="176"/>
  <c r="F117" i="176"/>
  <c r="F116" i="176"/>
  <c r="F115" i="176"/>
  <c r="F114" i="176"/>
  <c r="F113" i="176"/>
  <c r="F112" i="176"/>
  <c r="F111" i="176"/>
  <c r="F110" i="176"/>
  <c r="F109" i="176"/>
  <c r="F108" i="176"/>
  <c r="F107" i="176"/>
  <c r="F106" i="176"/>
  <c r="F105" i="176"/>
  <c r="F104" i="176"/>
  <c r="F103" i="176"/>
  <c r="F102" i="176"/>
  <c r="F101" i="176"/>
  <c r="F100" i="176"/>
  <c r="F99" i="176"/>
  <c r="F98" i="176"/>
  <c r="F97" i="176"/>
  <c r="F96" i="176"/>
  <c r="F95" i="176"/>
  <c r="F94" i="176"/>
  <c r="F93" i="176"/>
  <c r="F92" i="176"/>
  <c r="F91" i="176"/>
  <c r="F90" i="176"/>
  <c r="F89" i="176"/>
  <c r="F88" i="176"/>
  <c r="F87" i="176"/>
  <c r="F86" i="176"/>
  <c r="F85" i="176"/>
  <c r="F84" i="176"/>
  <c r="F83" i="176"/>
  <c r="F82" i="176"/>
  <c r="F81" i="176"/>
  <c r="F80" i="176"/>
  <c r="F79" i="176"/>
  <c r="F78" i="176"/>
  <c r="F77" i="176"/>
  <c r="F76" i="176"/>
  <c r="F75" i="176"/>
  <c r="A75" i="176"/>
  <c r="F74" i="176"/>
  <c r="F73" i="176"/>
  <c r="F72" i="176"/>
  <c r="F71" i="176"/>
  <c r="F70" i="176"/>
  <c r="F69" i="176"/>
  <c r="F68" i="176"/>
  <c r="F67" i="176"/>
  <c r="F66" i="176"/>
  <c r="F65" i="176"/>
  <c r="A65" i="176"/>
  <c r="F64" i="176"/>
  <c r="F63" i="176"/>
  <c r="F62" i="176"/>
  <c r="F61" i="176"/>
  <c r="F60" i="176"/>
  <c r="F59" i="176"/>
  <c r="F58" i="176"/>
  <c r="F57" i="176"/>
  <c r="F56" i="176"/>
  <c r="F55" i="176"/>
  <c r="F54" i="176"/>
  <c r="F52" i="176"/>
  <c r="F51" i="176"/>
  <c r="F50" i="176"/>
  <c r="F49" i="176"/>
  <c r="F48" i="176"/>
  <c r="F47" i="176"/>
  <c r="F46" i="176"/>
  <c r="A46" i="176"/>
  <c r="F45" i="176"/>
  <c r="F44" i="176"/>
  <c r="F43" i="176"/>
  <c r="F42" i="176"/>
  <c r="F41" i="176"/>
  <c r="F40" i="176"/>
  <c r="F39" i="176"/>
  <c r="F38" i="176"/>
  <c r="A38" i="176"/>
  <c r="F37" i="176"/>
  <c r="F36" i="176"/>
  <c r="F35" i="176"/>
  <c r="F34" i="176"/>
  <c r="F33" i="176"/>
  <c r="F32" i="176"/>
  <c r="F31" i="176"/>
  <c r="F30" i="176"/>
  <c r="F29" i="176"/>
  <c r="F28" i="176"/>
  <c r="F27" i="176"/>
  <c r="F26" i="176"/>
  <c r="F25" i="176"/>
  <c r="A25" i="176"/>
  <c r="F24" i="176"/>
  <c r="F23" i="176"/>
  <c r="F22" i="176"/>
  <c r="F21" i="176"/>
  <c r="F20" i="176"/>
  <c r="F19" i="176"/>
  <c r="F18" i="176"/>
  <c r="F17" i="176"/>
  <c r="F16" i="176"/>
  <c r="F15" i="176"/>
  <c r="F14" i="176"/>
  <c r="F13" i="176"/>
  <c r="A76" i="176" l="1"/>
  <c r="AD44" i="176"/>
  <c r="AC44" i="176"/>
  <c r="A26" i="176"/>
  <c r="A47" i="176"/>
  <c r="A66" i="176"/>
  <c r="A39" i="176"/>
  <c r="AD73" i="176"/>
  <c r="AC73" i="176"/>
  <c r="P2695" i="172"/>
  <c r="R2695" i="172" s="1"/>
  <c r="P2728" i="172"/>
  <c r="R2728" i="172" s="1"/>
  <c r="P2689" i="172"/>
  <c r="Q2689" i="172" s="1"/>
  <c r="P2684" i="172"/>
  <c r="Q2684" i="172" s="1"/>
  <c r="P2696" i="172"/>
  <c r="Q2696" i="172" s="1"/>
  <c r="P2713" i="172"/>
  <c r="Q2713" i="172" s="1"/>
  <c r="P2683" i="172"/>
  <c r="R2683" i="172" s="1"/>
  <c r="P2687" i="172"/>
  <c r="R2687" i="172" s="1"/>
  <c r="P2454" i="172"/>
  <c r="Q2454" i="172" s="1"/>
  <c r="P2693" i="172"/>
  <c r="Q2693" i="172" s="1"/>
  <c r="P58" i="173"/>
  <c r="R58" i="173" s="1"/>
  <c r="P55" i="173"/>
  <c r="R55" i="173" s="1"/>
  <c r="P2400" i="172"/>
  <c r="R2400" i="172" s="1"/>
  <c r="P2503" i="172"/>
  <c r="Q2503" i="172" s="1"/>
  <c r="P2530" i="172"/>
  <c r="Q2530" i="172" s="1"/>
  <c r="P2635" i="172"/>
  <c r="R2635" i="172" s="1"/>
  <c r="P2656" i="172"/>
  <c r="Q2656" i="172" s="1"/>
  <c r="P51" i="173"/>
  <c r="R51" i="173" s="1"/>
  <c r="P53" i="173"/>
  <c r="R53" i="173" s="1"/>
  <c r="P47" i="173"/>
  <c r="Q47" i="173" s="1"/>
  <c r="P2513" i="172"/>
  <c r="Q2513" i="172" s="1"/>
  <c r="P2436" i="172"/>
  <c r="R2436" i="172" s="1"/>
  <c r="P2523" i="172"/>
  <c r="R2523" i="172" s="1"/>
  <c r="P2666" i="172"/>
  <c r="Q2666" i="172" s="1"/>
  <c r="P2409" i="172"/>
  <c r="Q2409" i="172" s="1"/>
  <c r="P2418" i="172"/>
  <c r="R2418" i="172" s="1"/>
  <c r="P2487" i="172"/>
  <c r="Q2487" i="172" s="1"/>
  <c r="P2511" i="172"/>
  <c r="R2511" i="172" s="1"/>
  <c r="P2518" i="172"/>
  <c r="Q2518" i="172" s="1"/>
  <c r="P2645" i="172"/>
  <c r="R2645" i="172" s="1"/>
  <c r="P2476" i="172"/>
  <c r="R2476" i="172" s="1"/>
  <c r="P2495" i="172"/>
  <c r="Q2495" i="172" s="1"/>
  <c r="P2640" i="172"/>
  <c r="R2640" i="172" s="1"/>
  <c r="P2445" i="172"/>
  <c r="Q2445" i="172" s="1"/>
  <c r="P2486" i="172"/>
  <c r="Q2486" i="172" s="1"/>
  <c r="P2510" i="172"/>
  <c r="Q2510" i="172" s="1"/>
  <c r="P2427" i="172"/>
  <c r="R2427" i="172" s="1"/>
  <c r="P2466" i="172"/>
  <c r="Q2466" i="172" s="1"/>
  <c r="A48" i="176" l="1"/>
  <c r="A77" i="176"/>
  <c r="A27" i="176"/>
  <c r="A67" i="176"/>
  <c r="A40" i="176"/>
  <c r="Q2695" i="172"/>
  <c r="Q2728" i="172"/>
  <c r="R2689" i="172"/>
  <c r="R2696" i="172"/>
  <c r="R2454" i="172"/>
  <c r="Q2683" i="172"/>
  <c r="R2684" i="172"/>
  <c r="R2713" i="172"/>
  <c r="Q58" i="173"/>
  <c r="Q2687" i="172"/>
  <c r="R2693" i="172"/>
  <c r="Q2400" i="172"/>
  <c r="R2503" i="172"/>
  <c r="Q55" i="173"/>
  <c r="Q2635" i="172"/>
  <c r="R2530" i="172"/>
  <c r="Q51" i="173"/>
  <c r="Q53" i="173"/>
  <c r="R2656" i="172"/>
  <c r="R47" i="173"/>
  <c r="R2513" i="172"/>
  <c r="R2666" i="172"/>
  <c r="Q2523" i="172"/>
  <c r="Q2476" i="172"/>
  <c r="Q2436" i="172"/>
  <c r="R2518" i="172"/>
  <c r="R2487" i="172"/>
  <c r="R2409" i="172"/>
  <c r="Q2511" i="172"/>
  <c r="Q2645" i="172"/>
  <c r="R2495" i="172"/>
  <c r="R2445" i="172"/>
  <c r="Q2418" i="172"/>
  <c r="Q2640" i="172"/>
  <c r="R2486" i="172"/>
  <c r="P1829" i="172"/>
  <c r="Q1829" i="172" s="1"/>
  <c r="R2510" i="172"/>
  <c r="P1788" i="172"/>
  <c r="Q1788" i="172" s="1"/>
  <c r="P1786" i="172"/>
  <c r="Q1786" i="172" s="1"/>
  <c r="R2466" i="172"/>
  <c r="P541" i="172"/>
  <c r="R541" i="172" s="1"/>
  <c r="P823" i="172"/>
  <c r="Q823" i="172" s="1"/>
  <c r="P974" i="172"/>
  <c r="Q974" i="172" s="1"/>
  <c r="Q2427" i="172"/>
  <c r="P2253" i="172"/>
  <c r="Q2253" i="172" s="1"/>
  <c r="P2190" i="172"/>
  <c r="R2190" i="172" s="1"/>
  <c r="P1244" i="172"/>
  <c r="R1244" i="172" s="1"/>
  <c r="P1220" i="172"/>
  <c r="R1220" i="172" s="1"/>
  <c r="P1481" i="172"/>
  <c r="R1481" i="172" s="1"/>
  <c r="P1056" i="172"/>
  <c r="Q1056" i="172" s="1"/>
  <c r="P617" i="172"/>
  <c r="R617" i="172" s="1"/>
  <c r="P423" i="172"/>
  <c r="R423" i="172" s="1"/>
  <c r="P1814" i="172"/>
  <c r="P1562" i="172"/>
  <c r="R1562" i="172" s="1"/>
  <c r="P389" i="172"/>
  <c r="Q389" i="172" s="1"/>
  <c r="P1575" i="172"/>
  <c r="Q1575" i="172" s="1"/>
  <c r="P1509" i="172"/>
  <c r="Q1509" i="172" s="1"/>
  <c r="P1156" i="172"/>
  <c r="R1156" i="172" s="1"/>
  <c r="P939" i="172"/>
  <c r="R939" i="172" s="1"/>
  <c r="P930" i="172"/>
  <c r="Q930" i="172" s="1"/>
  <c r="P880" i="172"/>
  <c r="R880" i="172" s="1"/>
  <c r="P854" i="172"/>
  <c r="R854" i="172" s="1"/>
  <c r="P1537" i="172"/>
  <c r="R1537" i="172" s="1"/>
  <c r="P1501" i="172"/>
  <c r="Q1501" i="172" s="1"/>
  <c r="P827" i="172"/>
  <c r="Q827" i="172" s="1"/>
  <c r="P1050" i="172"/>
  <c r="Q1050" i="172" s="1"/>
  <c r="P1633" i="172"/>
  <c r="R1633" i="172" s="1"/>
  <c r="P1595" i="172"/>
  <c r="Q1595" i="172" s="1"/>
  <c r="P587" i="172"/>
  <c r="R587" i="172" s="1"/>
  <c r="P503" i="172"/>
  <c r="Q503" i="172" s="1"/>
  <c r="P393" i="172"/>
  <c r="R393" i="172" s="1"/>
  <c r="P556" i="172"/>
  <c r="Q556" i="172" s="1"/>
  <c r="P2270" i="172"/>
  <c r="Q2270" i="172" s="1"/>
  <c r="P2216" i="172"/>
  <c r="Q2216" i="172" s="1"/>
  <c r="P1406" i="172"/>
  <c r="Q1406" i="172" s="1"/>
  <c r="P1128" i="172"/>
  <c r="R1128" i="172" s="1"/>
  <c r="P1070" i="172"/>
  <c r="Q1070" i="172" s="1"/>
  <c r="P982" i="172"/>
  <c r="R982" i="172" s="1"/>
  <c r="P1793" i="172"/>
  <c r="Q1793" i="172" s="1"/>
  <c r="P1338" i="172"/>
  <c r="Q1338" i="172" s="1"/>
  <c r="P1314" i="172"/>
  <c r="Q1314" i="172" s="1"/>
  <c r="P2155" i="172"/>
  <c r="Q2155" i="172" s="1"/>
  <c r="P698" i="172"/>
  <c r="Q698" i="172" s="1"/>
  <c r="P674" i="172"/>
  <c r="R674" i="172" s="1"/>
  <c r="P1557" i="172"/>
  <c r="Q1557" i="172" s="1"/>
  <c r="P533" i="172"/>
  <c r="R533" i="172" s="1"/>
  <c r="P2284" i="172"/>
  <c r="R2284" i="172" s="1"/>
  <c r="P1205" i="172"/>
  <c r="Q1205" i="172" s="1"/>
  <c r="P1030" i="172"/>
  <c r="R1030" i="172" s="1"/>
  <c r="P952" i="172"/>
  <c r="R952" i="172" s="1"/>
  <c r="P1353" i="172"/>
  <c r="Q1353" i="172" s="1"/>
  <c r="P579" i="172"/>
  <c r="R579" i="172" s="1"/>
  <c r="P1809" i="172"/>
  <c r="R1809" i="172" s="1"/>
  <c r="P1776" i="172"/>
  <c r="Q1776" i="172" s="1"/>
  <c r="P1761" i="172"/>
  <c r="Q1761" i="172" s="1"/>
  <c r="P1533" i="172"/>
  <c r="Q1533" i="172" s="1"/>
  <c r="P374" i="172"/>
  <c r="R374" i="172" s="1"/>
  <c r="P2095" i="172"/>
  <c r="R2095" i="172" s="1"/>
  <c r="P876" i="172"/>
  <c r="R876" i="172" s="1"/>
  <c r="P1802" i="172"/>
  <c r="Q1802" i="172" s="1"/>
  <c r="P469" i="172"/>
  <c r="R469" i="172" s="1"/>
  <c r="P399" i="172"/>
  <c r="R399" i="172" s="1"/>
  <c r="P2304" i="172"/>
  <c r="R2304" i="172" s="1"/>
  <c r="P2258" i="172"/>
  <c r="Q2258" i="172" s="1"/>
  <c r="P2246" i="172"/>
  <c r="R2246" i="172" s="1"/>
  <c r="P2125" i="172"/>
  <c r="R2125" i="172" s="1"/>
  <c r="P2083" i="172"/>
  <c r="Q2083" i="172" s="1"/>
  <c r="P1928" i="172"/>
  <c r="Q1928" i="172" s="1"/>
  <c r="P2174" i="172"/>
  <c r="Q2174" i="172" s="1"/>
  <c r="P1892" i="172"/>
  <c r="Q1892" i="172" s="1"/>
  <c r="P1708" i="172"/>
  <c r="Q1708" i="172" s="1"/>
  <c r="P1647" i="172"/>
  <c r="Q1647" i="172" s="1"/>
  <c r="P1517" i="172"/>
  <c r="Q1517" i="172" s="1"/>
  <c r="P1012" i="172"/>
  <c r="R1012" i="172" s="1"/>
  <c r="P858" i="172"/>
  <c r="Q858" i="172" s="1"/>
  <c r="P731" i="172"/>
  <c r="R731" i="172" s="1"/>
  <c r="P2240" i="172"/>
  <c r="Q2240" i="172" s="1"/>
  <c r="P2228" i="172"/>
  <c r="Q2228" i="172" s="1"/>
  <c r="P2221" i="172"/>
  <c r="Q2221" i="172" s="1"/>
  <c r="P2061" i="172"/>
  <c r="Q2061" i="172" s="1"/>
  <c r="P2059" i="172"/>
  <c r="R2059" i="172" s="1"/>
  <c r="P1753" i="172"/>
  <c r="Q1753" i="172" s="1"/>
  <c r="P817" i="172"/>
  <c r="R817" i="172" s="1"/>
  <c r="P815" i="172"/>
  <c r="Q815" i="172" s="1"/>
  <c r="P477" i="172"/>
  <c r="Q477" i="172" s="1"/>
  <c r="P2073" i="172"/>
  <c r="Q2073" i="172" s="1"/>
  <c r="P2071" i="172"/>
  <c r="R2071" i="172" s="1"/>
  <c r="P1192" i="172"/>
  <c r="P836" i="172"/>
  <c r="R836" i="172" s="1"/>
  <c r="P786" i="172"/>
  <c r="P908" i="172"/>
  <c r="Q908" i="172" s="1"/>
  <c r="P2264" i="172"/>
  <c r="P2063" i="172"/>
  <c r="Q2063" i="172" s="1"/>
  <c r="P1987" i="172"/>
  <c r="Q1987" i="172" s="1"/>
  <c r="P1920" i="172"/>
  <c r="R1920" i="172" s="1"/>
  <c r="P1780" i="172"/>
  <c r="P1676" i="172"/>
  <c r="Q1676" i="172" s="1"/>
  <c r="P1046" i="172"/>
  <c r="Q1046" i="172" s="1"/>
  <c r="P454" i="172"/>
  <c r="R454" i="172" s="1"/>
  <c r="P2113" i="172"/>
  <c r="Q2113" i="172" s="1"/>
  <c r="P2047" i="172"/>
  <c r="R2047" i="172" s="1"/>
  <c r="P1139" i="172"/>
  <c r="Q1139" i="172" s="1"/>
  <c r="P1571" i="172"/>
  <c r="R1571" i="172" s="1"/>
  <c r="P1488" i="172"/>
  <c r="R1488" i="172" s="1"/>
  <c r="P2128" i="172"/>
  <c r="R2128" i="172" s="1"/>
  <c r="P1414" i="172"/>
  <c r="Q1414" i="172" s="1"/>
  <c r="P1402" i="172"/>
  <c r="Q1402" i="172" s="1"/>
  <c r="P723" i="172"/>
  <c r="Q723" i="172" s="1"/>
  <c r="P682" i="172"/>
  <c r="R682" i="172" s="1"/>
  <c r="P2027" i="172"/>
  <c r="Q2027" i="172" s="1"/>
  <c r="P1730" i="172"/>
  <c r="P1306" i="172"/>
  <c r="R1306" i="172" s="1"/>
  <c r="P778" i="172"/>
  <c r="R778" i="172" s="1"/>
  <c r="P596" i="172"/>
  <c r="Q596" i="172" s="1"/>
  <c r="P591" i="172"/>
  <c r="P589" i="172"/>
  <c r="R589" i="172" s="1"/>
  <c r="P1016" i="172"/>
  <c r="R1016" i="172" s="1"/>
  <c r="P957" i="172"/>
  <c r="Q957" i="172" s="1"/>
  <c r="P446" i="172"/>
  <c r="R446" i="172" s="1"/>
  <c r="P948" i="172"/>
  <c r="R948" i="172" s="1"/>
  <c r="P650" i="172"/>
  <c r="Q650" i="172" s="1"/>
  <c r="P2274" i="172"/>
  <c r="P1816" i="172"/>
  <c r="P2051" i="172"/>
  <c r="P2019" i="172"/>
  <c r="Q2019" i="172" s="1"/>
  <c r="P1738" i="172"/>
  <c r="P2143" i="172"/>
  <c r="R2143" i="172" s="1"/>
  <c r="P2049" i="172"/>
  <c r="P2209" i="172"/>
  <c r="Q2209" i="172" s="1"/>
  <c r="P2075" i="172"/>
  <c r="R2075" i="172" s="1"/>
  <c r="P1979" i="172"/>
  <c r="P2233" i="172"/>
  <c r="R2233" i="172" s="1"/>
  <c r="P2193" i="172"/>
  <c r="Q2193" i="172" s="1"/>
  <c r="P2085" i="172"/>
  <c r="Q2085" i="172" s="1"/>
  <c r="P1795" i="172"/>
  <c r="P1553" i="172"/>
  <c r="R1553" i="172" s="1"/>
  <c r="P1821" i="172"/>
  <c r="Q1821" i="172" s="1"/>
  <c r="P1581" i="172"/>
  <c r="P1720" i="172"/>
  <c r="P1619" i="172"/>
  <c r="Q1619" i="172" s="1"/>
  <c r="P1900" i="172"/>
  <c r="P1689" i="172"/>
  <c r="P1638" i="172"/>
  <c r="P1629" i="172"/>
  <c r="P1807" i="172"/>
  <c r="R1807" i="172" s="1"/>
  <c r="P1698" i="172"/>
  <c r="R1698" i="172" s="1"/>
  <c r="P1671" i="172"/>
  <c r="Q1671" i="172" s="1"/>
  <c r="P1543" i="172"/>
  <c r="Q1543" i="172" s="1"/>
  <c r="P1422" i="172"/>
  <c r="P1685" i="172"/>
  <c r="R1685" i="172" s="1"/>
  <c r="P1667" i="172"/>
  <c r="P1657" i="172"/>
  <c r="P1591" i="172"/>
  <c r="P1385" i="172"/>
  <c r="Q1385" i="172" s="1"/>
  <c r="P1336" i="172"/>
  <c r="P1104" i="172"/>
  <c r="R1104" i="172" s="1"/>
  <c r="P1651" i="172"/>
  <c r="Q1651" i="172" s="1"/>
  <c r="P1613" i="172"/>
  <c r="P1600" i="172"/>
  <c r="P1392" i="172"/>
  <c r="P1268" i="172"/>
  <c r="R1268" i="172" s="1"/>
  <c r="P1066" i="172"/>
  <c r="P904" i="172"/>
  <c r="R904" i="172" s="1"/>
  <c r="P1188" i="172"/>
  <c r="P1209" i="172"/>
  <c r="Q1209" i="172" s="1"/>
  <c r="P1224" i="172"/>
  <c r="R1224" i="172" s="1"/>
  <c r="P1345" i="172"/>
  <c r="P1146" i="172"/>
  <c r="Q1146" i="172" s="1"/>
  <c r="P1132" i="172"/>
  <c r="Q1132" i="172" s="1"/>
  <c r="P1088" i="172"/>
  <c r="P1080" i="172"/>
  <c r="P966" i="172"/>
  <c r="Q966" i="172" s="1"/>
  <c r="P1164" i="172"/>
  <c r="Q1164" i="172" s="1"/>
  <c r="P802" i="172"/>
  <c r="P760" i="172"/>
  <c r="R760" i="172" s="1"/>
  <c r="P1026" i="172"/>
  <c r="P1036" i="172"/>
  <c r="P609" i="172"/>
  <c r="P495" i="172"/>
  <c r="P431" i="172"/>
  <c r="Q431" i="172" s="1"/>
  <c r="P840" i="172"/>
  <c r="R840" i="172" s="1"/>
  <c r="P379" i="172"/>
  <c r="R379" i="172" s="1"/>
  <c r="P370" i="172"/>
  <c r="P564" i="172"/>
  <c r="Q564" i="172" s="1"/>
  <c r="P2152" i="172"/>
  <c r="P2291" i="172"/>
  <c r="P2098" i="172"/>
  <c r="P2087" i="172"/>
  <c r="P2171" i="172"/>
  <c r="P2110" i="172"/>
  <c r="P2296" i="172"/>
  <c r="P2140" i="172"/>
  <c r="P1800" i="172"/>
  <c r="P1712" i="172"/>
  <c r="P1498" i="172"/>
  <c r="P1609" i="172"/>
  <c r="P1252" i="172"/>
  <c r="P1276" i="172"/>
  <c r="P1112" i="172"/>
  <c r="P806" i="172"/>
  <c r="P706" i="172"/>
  <c r="P934" i="172"/>
  <c r="P752" i="172"/>
  <c r="P642" i="172"/>
  <c r="P600" i="172"/>
  <c r="A41" i="176" l="1"/>
  <c r="A49" i="176"/>
  <c r="A28" i="176"/>
  <c r="A68" i="176"/>
  <c r="A78" i="176"/>
  <c r="R1647" i="172"/>
  <c r="Q904" i="172"/>
  <c r="R1788" i="172"/>
  <c r="Q1016" i="172"/>
  <c r="R1829" i="172"/>
  <c r="Q399" i="172"/>
  <c r="R823" i="172"/>
  <c r="Q541" i="172"/>
  <c r="R1509" i="172"/>
  <c r="R1786" i="172"/>
  <c r="Q2190" i="172"/>
  <c r="R974" i="172"/>
  <c r="Q952" i="172"/>
  <c r="Q446" i="172"/>
  <c r="R389" i="172"/>
  <c r="R1402" i="172"/>
  <c r="R1353" i="172"/>
  <c r="R2155" i="172"/>
  <c r="Q674" i="172"/>
  <c r="R1338" i="172"/>
  <c r="R1776" i="172"/>
  <c r="Q617" i="172"/>
  <c r="Q682" i="172"/>
  <c r="R1164" i="172"/>
  <c r="R2258" i="172"/>
  <c r="R908" i="172"/>
  <c r="Q1481" i="172"/>
  <c r="Q836" i="172"/>
  <c r="Q854" i="172"/>
  <c r="R1543" i="172"/>
  <c r="R1056" i="172"/>
  <c r="R1676" i="172"/>
  <c r="R503" i="172"/>
  <c r="Q393" i="172"/>
  <c r="R1517" i="172"/>
  <c r="Q587" i="172"/>
  <c r="R1050" i="172"/>
  <c r="Q469" i="172"/>
  <c r="Q1685" i="172"/>
  <c r="Q1809" i="172"/>
  <c r="Q939" i="172"/>
  <c r="R1793" i="172"/>
  <c r="Q454" i="172"/>
  <c r="Q817" i="172"/>
  <c r="Q1244" i="172"/>
  <c r="R1314" i="172"/>
  <c r="Q2047" i="172"/>
  <c r="R2253" i="172"/>
  <c r="Q1156" i="172"/>
  <c r="Q579" i="172"/>
  <c r="R1753" i="172"/>
  <c r="Q1030" i="172"/>
  <c r="R1575" i="172"/>
  <c r="R858" i="172"/>
  <c r="R1501" i="172"/>
  <c r="R1595" i="172"/>
  <c r="Q1633" i="172"/>
  <c r="Q1814" i="172"/>
  <c r="R1814" i="172"/>
  <c r="Q2059" i="172"/>
  <c r="R1708" i="172"/>
  <c r="R1802" i="172"/>
  <c r="Q589" i="172"/>
  <c r="Q423" i="172"/>
  <c r="Q1562" i="172"/>
  <c r="Q1220" i="172"/>
  <c r="Q1537" i="172"/>
  <c r="R2270" i="172"/>
  <c r="R827" i="172"/>
  <c r="Q374" i="172"/>
  <c r="R2240" i="172"/>
  <c r="R1046" i="172"/>
  <c r="Q880" i="172"/>
  <c r="Q1807" i="172"/>
  <c r="R2085" i="172"/>
  <c r="R556" i="172"/>
  <c r="Q379" i="172"/>
  <c r="Q1306" i="172"/>
  <c r="R930" i="172"/>
  <c r="Q731" i="172"/>
  <c r="R815" i="172"/>
  <c r="Q2125" i="172"/>
  <c r="Q2075" i="172"/>
  <c r="Q533" i="172"/>
  <c r="R1406" i="172"/>
  <c r="R2209" i="172"/>
  <c r="R1557" i="172"/>
  <c r="Q1224" i="172"/>
  <c r="Q840" i="172"/>
  <c r="R698" i="172"/>
  <c r="R2174" i="172"/>
  <c r="R2061" i="172"/>
  <c r="Q1571" i="172"/>
  <c r="R1070" i="172"/>
  <c r="Q1128" i="172"/>
  <c r="R1821" i="172"/>
  <c r="Q2284" i="172"/>
  <c r="R2019" i="172"/>
  <c r="Q2246" i="172"/>
  <c r="Q982" i="172"/>
  <c r="R2193" i="172"/>
  <c r="R1928" i="172"/>
  <c r="R1209" i="172"/>
  <c r="R2083" i="172"/>
  <c r="R966" i="172"/>
  <c r="Q948" i="172"/>
  <c r="R2221" i="172"/>
  <c r="R596" i="172"/>
  <c r="R2027" i="172"/>
  <c r="Q2095" i="172"/>
  <c r="R564" i="172"/>
  <c r="Q876" i="172"/>
  <c r="Q1012" i="172"/>
  <c r="Q1698" i="172"/>
  <c r="R1533" i="172"/>
  <c r="R2216" i="172"/>
  <c r="Q1104" i="172"/>
  <c r="Q2128" i="172"/>
  <c r="Q1553" i="172"/>
  <c r="Q1488" i="172"/>
  <c r="R1205" i="172"/>
  <c r="R723" i="172"/>
  <c r="R1761" i="172"/>
  <c r="R957" i="172"/>
  <c r="Q760" i="172"/>
  <c r="R1619" i="172"/>
  <c r="R477" i="172"/>
  <c r="R2113" i="172"/>
  <c r="R2073" i="172"/>
  <c r="R2228" i="172"/>
  <c r="Q2143" i="172"/>
  <c r="Q2233" i="172"/>
  <c r="Q2071" i="172"/>
  <c r="R1892" i="172"/>
  <c r="Q2304" i="172"/>
  <c r="Q1268" i="172"/>
  <c r="R2063" i="172"/>
  <c r="Q1780" i="172"/>
  <c r="R1780" i="172"/>
  <c r="R1414" i="172"/>
  <c r="Q1920" i="172"/>
  <c r="Q778" i="172"/>
  <c r="Q2264" i="172"/>
  <c r="R2264" i="172"/>
  <c r="R1139" i="172"/>
  <c r="R1651" i="172"/>
  <c r="Q786" i="172"/>
  <c r="R786" i="172"/>
  <c r="R1987" i="172"/>
  <c r="Q1730" i="172"/>
  <c r="R1730" i="172"/>
  <c r="R1385" i="172"/>
  <c r="R1132" i="172"/>
  <c r="R1671" i="172"/>
  <c r="R650" i="172"/>
  <c r="Q1192" i="172"/>
  <c r="R1192" i="172"/>
  <c r="Q591" i="172"/>
  <c r="R591" i="172"/>
  <c r="R1088" i="172"/>
  <c r="Q1088" i="172"/>
  <c r="Q1188" i="172"/>
  <c r="R1188" i="172"/>
  <c r="Q1613" i="172"/>
  <c r="R1613" i="172"/>
  <c r="Q1657" i="172"/>
  <c r="R1657" i="172"/>
  <c r="Q1638" i="172"/>
  <c r="R1638" i="172"/>
  <c r="Q1795" i="172"/>
  <c r="R1795" i="172"/>
  <c r="Q2049" i="172"/>
  <c r="R2049" i="172"/>
  <c r="Q609" i="172"/>
  <c r="R609" i="172"/>
  <c r="R802" i="172"/>
  <c r="Q802" i="172"/>
  <c r="Q1667" i="172"/>
  <c r="R1667" i="172"/>
  <c r="Q1900" i="172"/>
  <c r="R1900" i="172"/>
  <c r="R431" i="172"/>
  <c r="R1146" i="172"/>
  <c r="R495" i="172"/>
  <c r="Q495" i="172"/>
  <c r="Q1689" i="172"/>
  <c r="R1689" i="172"/>
  <c r="R1036" i="172"/>
  <c r="Q1036" i="172"/>
  <c r="R1026" i="172"/>
  <c r="Q1026" i="172"/>
  <c r="R1422" i="172"/>
  <c r="Q1422" i="172"/>
  <c r="Q1720" i="172"/>
  <c r="R1720" i="172"/>
  <c r="Q1738" i="172"/>
  <c r="R1738" i="172"/>
  <c r="R1345" i="172"/>
  <c r="Q1345" i="172"/>
  <c r="R1066" i="172"/>
  <c r="Q1066" i="172"/>
  <c r="R1581" i="172"/>
  <c r="Q1581" i="172"/>
  <c r="Q1979" i="172"/>
  <c r="R1979" i="172"/>
  <c r="R2051" i="172"/>
  <c r="Q2051" i="172"/>
  <c r="Q370" i="172"/>
  <c r="R370" i="172"/>
  <c r="Q1336" i="172"/>
  <c r="R1336" i="172"/>
  <c r="R1816" i="172"/>
  <c r="Q1816" i="172"/>
  <c r="Q1392" i="172"/>
  <c r="R1392" i="172"/>
  <c r="R2274" i="172"/>
  <c r="Q2274" i="172"/>
  <c r="R1080" i="172"/>
  <c r="Q1080" i="172"/>
  <c r="Q1600" i="172"/>
  <c r="R1600" i="172"/>
  <c r="Q1591" i="172"/>
  <c r="R1591" i="172"/>
  <c r="R1629" i="172"/>
  <c r="Q1629" i="172"/>
  <c r="Q1800" i="172"/>
  <c r="R1800" i="172"/>
  <c r="Q1276" i="172"/>
  <c r="R1276" i="172"/>
  <c r="Q1252" i="172"/>
  <c r="R1252" i="172"/>
  <c r="R752" i="172"/>
  <c r="Q752" i="172"/>
  <c r="Q934" i="172"/>
  <c r="R934" i="172"/>
  <c r="Q600" i="172"/>
  <c r="R600" i="172"/>
  <c r="R2087" i="172"/>
  <c r="Q2087" i="172"/>
  <c r="Q2098" i="172"/>
  <c r="R2098" i="172"/>
  <c r="R2291" i="172"/>
  <c r="Q2291" i="172"/>
  <c r="Q1712" i="172"/>
  <c r="R1712" i="172"/>
  <c r="Q2140" i="172"/>
  <c r="R2140" i="172"/>
  <c r="R2171" i="172"/>
  <c r="Q2171" i="172"/>
  <c r="R642" i="172"/>
  <c r="Q642" i="172"/>
  <c r="Q706" i="172"/>
  <c r="R706" i="172"/>
  <c r="Q1609" i="172"/>
  <c r="R1609" i="172"/>
  <c r="Q2296" i="172"/>
  <c r="R2296" i="172"/>
  <c r="Q1498" i="172"/>
  <c r="R1498" i="172"/>
  <c r="Q806" i="172"/>
  <c r="R806" i="172"/>
  <c r="R1112" i="172"/>
  <c r="Q1112" i="172"/>
  <c r="Q2110" i="172"/>
  <c r="R2110" i="172"/>
  <c r="Q2152" i="172"/>
  <c r="R2152" i="172"/>
  <c r="A29" i="176" l="1"/>
  <c r="A42" i="176"/>
  <c r="A79" i="176"/>
  <c r="A50" i="176"/>
  <c r="A69" i="176"/>
  <c r="A80" i="176" l="1"/>
  <c r="A43" i="176"/>
  <c r="A70" i="176"/>
  <c r="A51" i="176"/>
  <c r="A30" i="176"/>
  <c r="A31" i="176" l="1"/>
  <c r="A52" i="176"/>
  <c r="A71" i="176"/>
  <c r="A81" i="176"/>
  <c r="A72" i="176" l="1"/>
  <c r="A82" i="176"/>
  <c r="A55" i="176"/>
  <c r="A32" i="176"/>
  <c r="A56" i="176" l="1"/>
  <c r="A33" i="176"/>
  <c r="A83" i="176"/>
  <c r="A84" i="176" l="1"/>
  <c r="A34" i="176"/>
  <c r="A57" i="176"/>
  <c r="A58" i="176" l="1"/>
  <c r="A35" i="176"/>
  <c r="A59" i="176" l="1"/>
  <c r="A60" i="176" l="1"/>
  <c r="A61" i="176" l="1"/>
  <c r="A62" i="176" l="1"/>
  <c r="C19" i="165" l="1"/>
  <c r="P678" i="177" l="1"/>
  <c r="P1056" i="177"/>
  <c r="P2722" i="172"/>
  <c r="P40" i="173"/>
  <c r="P2715" i="172"/>
  <c r="P2343" i="172"/>
  <c r="P539" i="172"/>
  <c r="P178" i="172"/>
  <c r="P2701" i="172" l="1"/>
  <c r="P52" i="173"/>
  <c r="P2712" i="172"/>
  <c r="P2719" i="172"/>
  <c r="R2719" i="172" s="1"/>
  <c r="P13" i="178"/>
  <c r="P24" i="178"/>
  <c r="P19" i="178"/>
  <c r="P20" i="178"/>
  <c r="P22" i="178"/>
  <c r="P11" i="178"/>
  <c r="P23" i="178"/>
  <c r="P16" i="178"/>
  <c r="P18" i="178"/>
  <c r="P12" i="178"/>
  <c r="P15" i="178"/>
  <c r="P17" i="178"/>
  <c r="AB106" i="176"/>
  <c r="P1089" i="177"/>
  <c r="P1015" i="177"/>
  <c r="AB115" i="176"/>
  <c r="P1105" i="177"/>
  <c r="P1049" i="177"/>
  <c r="P2707" i="172"/>
  <c r="P755" i="177"/>
  <c r="P423" i="174"/>
  <c r="P20" i="174"/>
  <c r="P181" i="174"/>
  <c r="P697" i="174"/>
  <c r="P364" i="174"/>
  <c r="P690" i="174"/>
  <c r="P351" i="174"/>
  <c r="P819" i="174"/>
  <c r="P629" i="174"/>
  <c r="P651" i="174"/>
  <c r="P459" i="174"/>
  <c r="P606" i="174"/>
  <c r="P456" i="174"/>
  <c r="P116" i="174"/>
  <c r="P34" i="174"/>
  <c r="P617" i="174"/>
  <c r="P621" i="174"/>
  <c r="P878" i="174"/>
  <c r="P849" i="174"/>
  <c r="P24" i="174"/>
  <c r="P119" i="174"/>
  <c r="P741" i="174"/>
  <c r="P157" i="174"/>
  <c r="P513" i="174"/>
  <c r="P249" i="174"/>
  <c r="P702" i="174"/>
  <c r="P320" i="174"/>
  <c r="P409" i="174"/>
  <c r="P607" i="174"/>
  <c r="P485" i="174"/>
  <c r="P81" i="174"/>
  <c r="P255" i="174"/>
  <c r="P341" i="174"/>
  <c r="P854" i="174"/>
  <c r="P296" i="174"/>
  <c r="P609" i="174"/>
  <c r="P396" i="174"/>
  <c r="P895" i="174"/>
  <c r="P146" i="174"/>
  <c r="P301" i="174"/>
  <c r="P403" i="174"/>
  <c r="P68" i="174"/>
  <c r="P23" i="174"/>
  <c r="P233" i="174"/>
  <c r="P457" i="174"/>
  <c r="P546" i="174"/>
  <c r="P733" i="174"/>
  <c r="P641" i="174"/>
  <c r="P620" i="174"/>
  <c r="P637" i="174"/>
  <c r="P439" i="174"/>
  <c r="P672" i="174"/>
  <c r="P425" i="174"/>
  <c r="P17" i="174"/>
  <c r="P654" i="174"/>
  <c r="P780" i="174"/>
  <c r="P579" i="174"/>
  <c r="P532" i="174"/>
  <c r="P419" i="177"/>
  <c r="P648" i="177"/>
  <c r="P607" i="177"/>
  <c r="P668" i="177"/>
  <c r="P590" i="177"/>
  <c r="P1052" i="177"/>
  <c r="P609" i="177"/>
  <c r="AE35" i="175"/>
  <c r="P1008" i="177"/>
  <c r="P618" i="177"/>
  <c r="P396" i="177"/>
  <c r="P617" i="177"/>
  <c r="P497" i="177"/>
  <c r="P487" i="177"/>
  <c r="P898" i="177"/>
  <c r="AE23" i="175"/>
  <c r="P1072" i="177"/>
  <c r="P141" i="177"/>
  <c r="AB65" i="176"/>
  <c r="P726" i="177"/>
  <c r="P31" i="177"/>
  <c r="P344" i="177"/>
  <c r="P1045" i="177"/>
  <c r="P56" i="177"/>
  <c r="P778" i="177"/>
  <c r="P758" i="177"/>
  <c r="P462" i="177"/>
  <c r="P845" i="177"/>
  <c r="P1088" i="177"/>
  <c r="P381" i="177"/>
  <c r="P877" i="177"/>
  <c r="AB107" i="176"/>
  <c r="P1069" i="177"/>
  <c r="P334" i="177"/>
  <c r="P1066" i="177"/>
  <c r="P356" i="177"/>
  <c r="P956" i="177"/>
  <c r="P676" i="177"/>
  <c r="P157" i="177"/>
  <c r="P522" i="177"/>
  <c r="AE43" i="175"/>
  <c r="P432" i="177"/>
  <c r="P261" i="177"/>
  <c r="P789" i="177"/>
  <c r="P128" i="177"/>
  <c r="P660" i="177"/>
  <c r="P442" i="177"/>
  <c r="P227" i="177"/>
  <c r="P535" i="177"/>
  <c r="P1022" i="177"/>
  <c r="P791" i="177"/>
  <c r="AB69" i="176"/>
  <c r="AB118" i="176"/>
  <c r="P102" i="177"/>
  <c r="P554" i="177"/>
  <c r="P325" i="177"/>
  <c r="P327" i="177"/>
  <c r="P62" i="177"/>
  <c r="P556" i="177"/>
  <c r="P32" i="177"/>
  <c r="P1037" i="177"/>
  <c r="AB77" i="176"/>
  <c r="P208" i="177"/>
  <c r="P855" i="177"/>
  <c r="P638" i="177"/>
  <c r="P440" i="177"/>
  <c r="P375" i="177"/>
  <c r="P211" i="177"/>
  <c r="P338" i="177"/>
  <c r="P486" i="177"/>
  <c r="P977" i="177"/>
  <c r="P262" i="177"/>
  <c r="P437" i="177"/>
  <c r="P897" i="177"/>
  <c r="P371" i="177"/>
  <c r="P1099" i="177"/>
  <c r="P347" i="177"/>
  <c r="P1011" i="177"/>
  <c r="P645" i="177"/>
  <c r="AB93" i="176"/>
  <c r="P1106" i="177"/>
  <c r="AB89" i="176"/>
  <c r="P2709" i="172"/>
  <c r="AB100" i="176"/>
  <c r="P286" i="177"/>
  <c r="P749" i="177"/>
  <c r="P667" i="177"/>
  <c r="P929" i="177"/>
  <c r="P155" i="174"/>
  <c r="P25" i="174"/>
  <c r="P77" i="174"/>
  <c r="P88" i="174"/>
  <c r="P691" i="174"/>
  <c r="P413" i="174"/>
  <c r="P512" i="174"/>
  <c r="P348" i="174"/>
  <c r="P732" i="174"/>
  <c r="P421" i="174"/>
  <c r="P426" i="174"/>
  <c r="P136" i="174"/>
  <c r="P813" i="174"/>
  <c r="P64" i="174"/>
  <c r="P52" i="174"/>
  <c r="P290" i="174"/>
  <c r="P429" i="174"/>
  <c r="P757" i="174"/>
  <c r="P268" i="174"/>
  <c r="P201" i="174"/>
  <c r="P882" i="174"/>
  <c r="P28" i="174"/>
  <c r="P710" i="174"/>
  <c r="P412" i="174"/>
  <c r="P14" i="174"/>
  <c r="P390" i="174"/>
  <c r="P776" i="174"/>
  <c r="P242" i="174"/>
  <c r="P392" i="174"/>
  <c r="P506" i="174"/>
  <c r="P823" i="174"/>
  <c r="P183" i="174"/>
  <c r="P790" i="174"/>
  <c r="P54" i="174"/>
  <c r="P354" i="174"/>
  <c r="P598" i="174"/>
  <c r="P204" i="174"/>
  <c r="P649" i="174"/>
  <c r="P591" i="174"/>
  <c r="P475" i="174"/>
  <c r="P845" i="174"/>
  <c r="P739" i="174"/>
  <c r="P762" i="174"/>
  <c r="P21" i="174"/>
  <c r="P615" i="174"/>
  <c r="P717" i="174"/>
  <c r="P888" i="174"/>
  <c r="P32" i="174"/>
  <c r="P503" i="174"/>
  <c r="P657" i="174"/>
  <c r="P692" i="174"/>
  <c r="P600" i="174"/>
  <c r="P499" i="174"/>
  <c r="P168" i="174"/>
  <c r="P228" i="174"/>
  <c r="P597" i="174"/>
  <c r="P222" i="174"/>
  <c r="P628" i="174"/>
  <c r="P531" i="174"/>
  <c r="P742" i="174"/>
  <c r="P388" i="174"/>
  <c r="P486" i="174"/>
  <c r="P402" i="177"/>
  <c r="P824" i="177"/>
  <c r="AE38" i="175"/>
  <c r="P417" i="177"/>
  <c r="P401" i="177"/>
  <c r="P870" i="177"/>
  <c r="P670" i="177"/>
  <c r="P413" i="177"/>
  <c r="P1007" i="177"/>
  <c r="P1002" i="177"/>
  <c r="P1051" i="177"/>
  <c r="P83" i="177"/>
  <c r="AE18" i="175"/>
  <c r="P1080" i="177"/>
  <c r="P912" i="177"/>
  <c r="P415" i="177"/>
  <c r="P659" i="177"/>
  <c r="P172" i="177"/>
  <c r="AB95" i="176"/>
  <c r="AB59" i="176"/>
  <c r="P840" i="177"/>
  <c r="P701" i="177"/>
  <c r="P790" i="177"/>
  <c r="P651" i="177"/>
  <c r="P770" i="177"/>
  <c r="P976" i="177"/>
  <c r="P195" i="177"/>
  <c r="P204" i="177"/>
  <c r="P970" i="177"/>
  <c r="P854" i="177"/>
  <c r="AB34" i="176"/>
  <c r="P864" i="177"/>
  <c r="P439" i="177"/>
  <c r="P839" i="177"/>
  <c r="P509" i="177"/>
  <c r="P837" i="177"/>
  <c r="AB33" i="176"/>
  <c r="P799" i="177"/>
  <c r="P477" i="177"/>
  <c r="P634" i="177"/>
  <c r="P101" i="177"/>
  <c r="P507" i="177"/>
  <c r="P1058" i="177"/>
  <c r="P123" i="177"/>
  <c r="P25" i="177"/>
  <c r="P532" i="177"/>
  <c r="P367" i="177"/>
  <c r="P847" i="177"/>
  <c r="P1040" i="177"/>
  <c r="P116" i="177"/>
  <c r="P742" i="177"/>
  <c r="P705" i="177"/>
  <c r="P1048" i="177"/>
  <c r="P425" i="177"/>
  <c r="P196" i="177"/>
  <c r="P165" i="177"/>
  <c r="P251" i="177"/>
  <c r="AB70" i="176"/>
  <c r="P287" i="177"/>
  <c r="P252" i="177"/>
  <c r="P968" i="177"/>
  <c r="P488" i="177"/>
  <c r="P124" i="177"/>
  <c r="P580" i="177"/>
  <c r="P438" i="177"/>
  <c r="P780" i="177"/>
  <c r="P517" i="177"/>
  <c r="P223" i="177"/>
  <c r="P135" i="177"/>
  <c r="P781" i="177"/>
  <c r="P560" i="177"/>
  <c r="AB94" i="176"/>
  <c r="P100" i="177"/>
  <c r="P942" i="177"/>
  <c r="P317" i="177"/>
  <c r="P546" i="177"/>
  <c r="P630" i="177"/>
  <c r="P117" i="177"/>
  <c r="P579" i="177"/>
  <c r="P1065" i="177"/>
  <c r="P450" i="177"/>
  <c r="P2697" i="172"/>
  <c r="R2697" i="172" s="1"/>
  <c r="P949" i="177"/>
  <c r="P993" i="177"/>
  <c r="P456" i="177"/>
  <c r="P658" i="177"/>
  <c r="P1090" i="177"/>
  <c r="P980" i="177"/>
  <c r="P2708" i="172"/>
  <c r="AB37" i="176"/>
  <c r="AB52" i="176"/>
  <c r="AB99" i="176"/>
  <c r="AB25" i="176"/>
  <c r="P422" i="174"/>
  <c r="P316" i="174"/>
  <c r="P256" i="174"/>
  <c r="P859" i="174"/>
  <c r="P53" i="174"/>
  <c r="P171" i="174"/>
  <c r="P604" i="174"/>
  <c r="P791" i="174"/>
  <c r="P874" i="174"/>
  <c r="P884" i="174"/>
  <c r="P292" i="174"/>
  <c r="P48" i="174"/>
  <c r="P544" i="174"/>
  <c r="P635" i="174"/>
  <c r="P131" i="174"/>
  <c r="P328" i="174"/>
  <c r="P536" i="174"/>
  <c r="P521" i="174"/>
  <c r="P897" i="174"/>
  <c r="P271" i="174"/>
  <c r="P535" i="174"/>
  <c r="P515" i="174"/>
  <c r="P401" i="174"/>
  <c r="P165" i="174"/>
  <c r="P650" i="174"/>
  <c r="P539" i="174"/>
  <c r="P511" i="174"/>
  <c r="P100" i="174"/>
  <c r="P869" i="174"/>
  <c r="P145" i="174"/>
  <c r="P63" i="174"/>
  <c r="P805" i="174"/>
  <c r="P723" i="174"/>
  <c r="P487" i="174"/>
  <c r="P428" i="174"/>
  <c r="P563" i="174"/>
  <c r="P861" i="174"/>
  <c r="P718" i="174"/>
  <c r="P362" i="174"/>
  <c r="P586" i="174"/>
  <c r="P550" i="174"/>
  <c r="P35" i="174"/>
  <c r="P549" i="174"/>
  <c r="P557" i="174"/>
  <c r="P203" i="174"/>
  <c r="P842" i="174"/>
  <c r="P745" i="174"/>
  <c r="P408" i="174"/>
  <c r="P344" i="174"/>
  <c r="P74" i="174"/>
  <c r="P110" i="174"/>
  <c r="P82" i="174"/>
  <c r="P792" i="174"/>
  <c r="P224" i="174"/>
  <c r="P198" i="174"/>
  <c r="P752" i="174"/>
  <c r="P594" i="174"/>
  <c r="P367" i="174"/>
  <c r="P153" i="177"/>
  <c r="P238" i="177"/>
  <c r="P418" i="177"/>
  <c r="P959" i="177"/>
  <c r="P657" i="177"/>
  <c r="P930" i="177"/>
  <c r="P394" i="177"/>
  <c r="P160" i="177"/>
  <c r="P237" i="177"/>
  <c r="P275" i="177"/>
  <c r="P604" i="177"/>
  <c r="P397" i="177"/>
  <c r="P75" i="177"/>
  <c r="P380" i="177"/>
  <c r="P822" i="177"/>
  <c r="P383" i="177"/>
  <c r="P919" i="177"/>
  <c r="P552" i="177"/>
  <c r="P343" i="177"/>
  <c r="P411" i="177"/>
  <c r="P27" i="177"/>
  <c r="P750" i="177"/>
  <c r="P349" i="177"/>
  <c r="P765" i="177"/>
  <c r="P880" i="177"/>
  <c r="AB43" i="176"/>
  <c r="P896" i="177"/>
  <c r="P769" i="177"/>
  <c r="P119" i="177"/>
  <c r="P1024" i="177"/>
  <c r="P721" i="177"/>
  <c r="P562" i="177"/>
  <c r="AB109" i="176"/>
  <c r="P873" i="177"/>
  <c r="AB138" i="176"/>
  <c r="P819" i="177"/>
  <c r="P376" i="177"/>
  <c r="P1028" i="177"/>
  <c r="P18" i="177"/>
  <c r="P1070" i="177"/>
  <c r="P201" i="177"/>
  <c r="AB108" i="176"/>
  <c r="P566" i="177"/>
  <c r="P118" i="177"/>
  <c r="AE29" i="175"/>
  <c r="P49" i="177"/>
  <c r="P65" i="177"/>
  <c r="P169" i="177"/>
  <c r="P1020" i="177"/>
  <c r="P849" i="177"/>
  <c r="P134" i="177"/>
  <c r="AB132" i="176"/>
  <c r="AB87" i="176"/>
  <c r="AB56" i="176"/>
  <c r="P514" i="177"/>
  <c r="P1054" i="177"/>
  <c r="P493" i="177"/>
  <c r="P1042" i="177"/>
  <c r="P295" i="177"/>
  <c r="P641" i="177"/>
  <c r="AB141" i="176"/>
  <c r="AB80" i="176"/>
  <c r="AB135" i="176"/>
  <c r="P352" i="177"/>
  <c r="P467" i="177"/>
  <c r="P1025" i="177"/>
  <c r="P149" i="177"/>
  <c r="P537" i="177"/>
  <c r="AB21" i="176"/>
  <c r="P1047" i="177"/>
  <c r="AB92" i="176"/>
  <c r="P578" i="177"/>
  <c r="AB62" i="176"/>
  <c r="P679" i="177"/>
  <c r="P862" i="177"/>
  <c r="P138" i="177"/>
  <c r="P216" i="177"/>
  <c r="P296" i="177"/>
  <c r="P151" i="177"/>
  <c r="P16" i="177"/>
  <c r="P87" i="177"/>
  <c r="P922" i="177"/>
  <c r="P503" i="177"/>
  <c r="P593" i="177"/>
  <c r="P409" i="177"/>
  <c r="P733" i="177"/>
  <c r="P357" i="177"/>
  <c r="P777" i="177"/>
  <c r="P405" i="177"/>
  <c r="P581" i="177"/>
  <c r="P979" i="177"/>
  <c r="P940" i="177"/>
  <c r="P905" i="177"/>
  <c r="P923" i="177"/>
  <c r="AB26" i="176"/>
  <c r="AB28" i="176"/>
  <c r="P299" i="177"/>
  <c r="P189" i="174"/>
  <c r="P167" i="174"/>
  <c r="P276" i="174"/>
  <c r="P251" i="174"/>
  <c r="P342" i="174"/>
  <c r="P565" i="174"/>
  <c r="P30" i="174"/>
  <c r="P66" i="174"/>
  <c r="P555" i="174"/>
  <c r="P862" i="174"/>
  <c r="P40" i="174"/>
  <c r="P85" i="174"/>
  <c r="P416" i="174"/>
  <c r="P736" i="174"/>
  <c r="P16" i="174"/>
  <c r="P199" i="174"/>
  <c r="P361" i="174"/>
  <c r="P55" i="174"/>
  <c r="P282" i="174"/>
  <c r="P22" i="174"/>
  <c r="P770" i="174"/>
  <c r="P477" i="174"/>
  <c r="P113" i="174"/>
  <c r="P250" i="174"/>
  <c r="P541" i="174"/>
  <c r="P443" i="174"/>
  <c r="P618" i="174"/>
  <c r="P58" i="174"/>
  <c r="P663" i="174"/>
  <c r="P480" i="174"/>
  <c r="P317" i="174"/>
  <c r="P152" i="174"/>
  <c r="P347" i="174"/>
  <c r="P87" i="174"/>
  <c r="P335" i="174"/>
  <c r="P121" i="174"/>
  <c r="P567" i="174"/>
  <c r="P281" i="174"/>
  <c r="P901" i="174"/>
  <c r="P153" i="174"/>
  <c r="P36" i="174"/>
  <c r="P786" i="174"/>
  <c r="P257" i="174"/>
  <c r="P104" i="174"/>
  <c r="P47" i="174"/>
  <c r="P797" i="174"/>
  <c r="P867" i="174"/>
  <c r="P468" i="174"/>
  <c r="P616" i="174"/>
  <c r="P885" i="174"/>
  <c r="P441" i="174"/>
  <c r="P529" i="174"/>
  <c r="P507" i="174"/>
  <c r="P896" i="174"/>
  <c r="P466" i="174"/>
  <c r="P294" i="174"/>
  <c r="P179" i="174"/>
  <c r="AE22" i="175"/>
  <c r="P872" i="177"/>
  <c r="P69" i="177"/>
  <c r="P596" i="177"/>
  <c r="AE15" i="175"/>
  <c r="P871" i="177"/>
  <c r="P392" i="177"/>
  <c r="P1061" i="177"/>
  <c r="P277" i="177"/>
  <c r="P1003" i="177"/>
  <c r="P384" i="177"/>
  <c r="P627" i="177"/>
  <c r="P829" i="177"/>
  <c r="P624" i="177"/>
  <c r="P307" i="177"/>
  <c r="P861" i="177"/>
  <c r="AB142" i="176"/>
  <c r="P884" i="177"/>
  <c r="AB83" i="176"/>
  <c r="P1098" i="177"/>
  <c r="AB55" i="176"/>
  <c r="P838" i="177"/>
  <c r="P975" i="177"/>
  <c r="P743" i="177"/>
  <c r="P856" i="177"/>
  <c r="P762" i="177"/>
  <c r="P200" i="177"/>
  <c r="P41" i="177"/>
  <c r="P816" i="177"/>
  <c r="P458" i="177"/>
  <c r="AE37" i="175"/>
  <c r="P957" i="177"/>
  <c r="P481" i="177"/>
  <c r="P747" i="177"/>
  <c r="AE28" i="175"/>
  <c r="P82" i="177"/>
  <c r="AB81" i="176"/>
  <c r="P708" i="177"/>
  <c r="P563" i="177"/>
  <c r="P74" i="177"/>
  <c r="P1033" i="177"/>
  <c r="P28" i="177"/>
  <c r="P703" i="177"/>
  <c r="P292" i="177"/>
  <c r="P506" i="177"/>
  <c r="P806" i="177"/>
  <c r="AB13" i="176"/>
  <c r="P538" i="177"/>
  <c r="P757" i="177"/>
  <c r="P416" i="177"/>
  <c r="P281" i="177"/>
  <c r="P858" i="177"/>
  <c r="P857" i="177"/>
  <c r="P19" i="177"/>
  <c r="AB18" i="176"/>
  <c r="AB29" i="176"/>
  <c r="AB68" i="176"/>
  <c r="P350" i="177"/>
  <c r="P945" i="177"/>
  <c r="P832" i="177"/>
  <c r="AB116" i="176"/>
  <c r="P212" i="177"/>
  <c r="P98" i="177"/>
  <c r="AB90" i="176"/>
  <c r="P332" i="177"/>
  <c r="P215" i="177"/>
  <c r="AB71" i="176"/>
  <c r="AE26" i="175"/>
  <c r="P322" i="177"/>
  <c r="P983" i="177"/>
  <c r="AB46" i="176"/>
  <c r="P697" i="177"/>
  <c r="P1109" i="177"/>
  <c r="P38" i="177"/>
  <c r="AE21" i="175"/>
  <c r="P46" i="177"/>
  <c r="P136" i="177"/>
  <c r="P184" i="177"/>
  <c r="P156" i="177"/>
  <c r="P569" i="177"/>
  <c r="P524" i="177"/>
  <c r="P561" i="177"/>
  <c r="P1111" i="177"/>
  <c r="P426" i="177"/>
  <c r="P774" i="177"/>
  <c r="P700" i="177"/>
  <c r="P530" i="177"/>
  <c r="P26" i="173"/>
  <c r="AB133" i="176"/>
  <c r="P948" i="177"/>
  <c r="AB36" i="176"/>
  <c r="P974" i="177"/>
  <c r="P1076" i="177"/>
  <c r="P801" i="177"/>
  <c r="P1012" i="177"/>
  <c r="P335" i="177"/>
  <c r="P676" i="174"/>
  <c r="P26" i="174"/>
  <c r="P315" i="174"/>
  <c r="P84" i="174"/>
  <c r="P158" i="174"/>
  <c r="P642" i="174"/>
  <c r="P33" i="174"/>
  <c r="P79" i="174"/>
  <c r="P200" i="174"/>
  <c r="P857" i="174"/>
  <c r="P522" i="174"/>
  <c r="P570" i="174"/>
  <c r="P573" i="174"/>
  <c r="P122" i="174"/>
  <c r="P114" i="174"/>
  <c r="P13" i="174"/>
  <c r="P305" i="174"/>
  <c r="P763" i="174"/>
  <c r="P581" i="174"/>
  <c r="P86" i="174"/>
  <c r="P226" i="174"/>
  <c r="P404" i="174"/>
  <c r="P681" i="174"/>
  <c r="P193" i="174"/>
  <c r="P89" i="174"/>
  <c r="P631" i="174"/>
  <c r="P319" i="174"/>
  <c r="P795" i="174"/>
  <c r="P62" i="174"/>
  <c r="P517" i="174"/>
  <c r="P259" i="174"/>
  <c r="P389" i="174"/>
  <c r="P109" i="174"/>
  <c r="P622" i="174"/>
  <c r="P448" i="174"/>
  <c r="P460" i="174"/>
  <c r="P481" i="174"/>
  <c r="P300" i="174"/>
  <c r="P350" i="174"/>
  <c r="P321" i="174"/>
  <c r="P311" i="174"/>
  <c r="P244" i="174"/>
  <c r="P523" i="174"/>
  <c r="P734" i="174"/>
  <c r="P57" i="174"/>
  <c r="P634" i="174"/>
  <c r="P781" i="174"/>
  <c r="P612" i="174"/>
  <c r="P708" i="174"/>
  <c r="P619" i="174"/>
  <c r="P768" i="174"/>
  <c r="P804" i="174"/>
  <c r="P666" i="174"/>
  <c r="P407" i="174"/>
  <c r="P371" i="174"/>
  <c r="P128" i="174"/>
  <c r="P482" i="174"/>
  <c r="P834" i="174"/>
  <c r="P433" i="174"/>
  <c r="P162" i="174"/>
  <c r="P175" i="174"/>
  <c r="P161" i="174"/>
  <c r="P591" i="177"/>
  <c r="P600" i="177"/>
  <c r="P385" i="177"/>
  <c r="P410" i="177"/>
  <c r="P1093" i="177"/>
  <c r="P1078" i="177"/>
  <c r="P1074" i="177"/>
  <c r="P628" i="177"/>
  <c r="P423" i="177"/>
  <c r="P881" i="177"/>
  <c r="P621" i="177"/>
  <c r="P932" i="177"/>
  <c r="P229" i="177"/>
  <c r="P874" i="177"/>
  <c r="P595" i="177"/>
  <c r="P1050" i="177"/>
  <c r="P690" i="177"/>
  <c r="AB16" i="176"/>
  <c r="P754" i="177"/>
  <c r="P696" i="177"/>
  <c r="P544" i="177"/>
  <c r="P429" i="177"/>
  <c r="P793" i="177"/>
  <c r="P284" i="177"/>
  <c r="P150" i="177"/>
  <c r="P820" i="177"/>
  <c r="P331" i="177"/>
  <c r="P47" i="177"/>
  <c r="P179" i="177"/>
  <c r="P813" i="177"/>
  <c r="AB121" i="176"/>
  <c r="AE16" i="175"/>
  <c r="P768" i="177"/>
  <c r="P48" i="177"/>
  <c r="P711" i="177"/>
  <c r="P142" i="177"/>
  <c r="AB110" i="176"/>
  <c r="P311" i="177"/>
  <c r="P642" i="177"/>
  <c r="P147" i="177"/>
  <c r="AB74" i="176"/>
  <c r="P967" i="177"/>
  <c r="AB72" i="176"/>
  <c r="P729" i="177"/>
  <c r="P259" i="177"/>
  <c r="P468" i="177"/>
  <c r="P304" i="177"/>
  <c r="P1087" i="177"/>
  <c r="P321" i="177"/>
  <c r="P469" i="177"/>
  <c r="P50" i="177"/>
  <c r="P44" i="177"/>
  <c r="P258" i="177"/>
  <c r="P368" i="177"/>
  <c r="P209" i="177"/>
  <c r="P126" i="177"/>
  <c r="P213" i="177"/>
  <c r="P738" i="177"/>
  <c r="P891" i="177"/>
  <c r="P1057" i="177"/>
  <c r="AB45" i="176"/>
  <c r="P122" i="177"/>
  <c r="P271" i="177"/>
  <c r="P104" i="177"/>
  <c r="P883" i="177"/>
  <c r="P921" i="177"/>
  <c r="P427" i="177"/>
  <c r="AB57" i="176"/>
  <c r="AB66" i="176"/>
  <c r="P767" i="177"/>
  <c r="P232" i="177"/>
  <c r="P197" i="177"/>
  <c r="AB82" i="176"/>
  <c r="AE42" i="175"/>
  <c r="P131" i="177"/>
  <c r="P464" i="177"/>
  <c r="P265" i="177"/>
  <c r="P585" i="177"/>
  <c r="P746" i="177"/>
  <c r="P802" i="177"/>
  <c r="P494" i="177"/>
  <c r="P572" i="177"/>
  <c r="P1034" i="177"/>
  <c r="P185" i="177"/>
  <c r="P1027" i="177"/>
  <c r="P24" i="173"/>
  <c r="P991" i="177"/>
  <c r="P937" i="177"/>
  <c r="P938" i="177"/>
  <c r="P904" i="177"/>
  <c r="P953" i="177"/>
  <c r="AB123" i="176"/>
  <c r="AB61" i="176"/>
  <c r="AB84" i="176"/>
  <c r="P225" i="177"/>
  <c r="P319" i="177"/>
  <c r="P355" i="177"/>
  <c r="P414" i="177"/>
  <c r="P516" i="174"/>
  <c r="P279" i="174"/>
  <c r="P245" i="174"/>
  <c r="P547" i="174"/>
  <c r="P192" i="174"/>
  <c r="P782" i="174"/>
  <c r="P394" i="174"/>
  <c r="P520" i="174"/>
  <c r="P405" i="174"/>
  <c r="P608" i="174"/>
  <c r="P505" i="174"/>
  <c r="P803" i="174"/>
  <c r="P69" i="174"/>
  <c r="P56" i="174"/>
  <c r="P715" i="174"/>
  <c r="P685" i="174"/>
  <c r="P72" i="174"/>
  <c r="P808" i="174"/>
  <c r="P721" i="174"/>
  <c r="P353" i="174"/>
  <c r="P674" i="174"/>
  <c r="P156" i="174"/>
  <c r="P285" i="174"/>
  <c r="P93" i="174"/>
  <c r="P689" i="174"/>
  <c r="P241" i="174"/>
  <c r="P639" i="174"/>
  <c r="P484" i="174"/>
  <c r="P298" i="174"/>
  <c r="P182" i="174"/>
  <c r="P696" i="174"/>
  <c r="P318" i="174"/>
  <c r="P587" i="174"/>
  <c r="P858" i="174"/>
  <c r="P478" i="174"/>
  <c r="P728" i="174"/>
  <c r="P528" i="174"/>
  <c r="P49" i="174"/>
  <c r="P703" i="174"/>
  <c r="P83" i="174"/>
  <c r="P111" i="174"/>
  <c r="P332" i="174"/>
  <c r="P269" i="174"/>
  <c r="P680" i="174"/>
  <c r="P730" i="174"/>
  <c r="P434" i="174"/>
  <c r="P647" i="174"/>
  <c r="P214" i="174"/>
  <c r="P469" i="174"/>
  <c r="P574" i="174"/>
  <c r="P494" i="174"/>
  <c r="P95" i="174"/>
  <c r="P578" i="174"/>
  <c r="P148" i="174"/>
  <c r="P307" i="174"/>
  <c r="P248" i="174"/>
  <c r="P472" i="174"/>
  <c r="P662" i="174"/>
  <c r="P207" i="174"/>
  <c r="P860" i="174"/>
  <c r="P596" i="174"/>
  <c r="P611" i="177"/>
  <c r="P664" i="177"/>
  <c r="P608" i="177"/>
  <c r="P831" i="177"/>
  <c r="P1081" i="177"/>
  <c r="P68" i="177"/>
  <c r="P601" i="177"/>
  <c r="P981" i="177"/>
  <c r="P60" i="177"/>
  <c r="P598" i="177"/>
  <c r="P393" i="177"/>
  <c r="P403" i="177"/>
  <c r="P825" i="177"/>
  <c r="P917" i="177"/>
  <c r="P602" i="177"/>
  <c r="P928" i="177"/>
  <c r="P910" i="177"/>
  <c r="P1114" i="177"/>
  <c r="P233" i="177"/>
  <c r="P725" i="177"/>
  <c r="P682" i="177"/>
  <c r="P496" i="177"/>
  <c r="P852" i="177"/>
  <c r="P695" i="177"/>
  <c r="P175" i="177"/>
  <c r="P1094" i="177"/>
  <c r="P885" i="177"/>
  <c r="AB42" i="176"/>
  <c r="AB126" i="176"/>
  <c r="P333" i="177"/>
  <c r="P698" i="177"/>
  <c r="P181" i="177"/>
  <c r="P30" i="177"/>
  <c r="P689" i="177"/>
  <c r="AB79" i="176"/>
  <c r="P843" i="177"/>
  <c r="P859" i="177"/>
  <c r="P406" i="177"/>
  <c r="P533" i="177"/>
  <c r="P707" i="177"/>
  <c r="P453" i="177"/>
  <c r="P712" i="177"/>
  <c r="P994" i="177"/>
  <c r="P283" i="177"/>
  <c r="P254" i="177"/>
  <c r="P302" i="177"/>
  <c r="P199" i="177"/>
  <c r="P182" i="177"/>
  <c r="P1023" i="177"/>
  <c r="AB51" i="176"/>
  <c r="P795" i="177"/>
  <c r="P542" i="177"/>
  <c r="P428" i="177"/>
  <c r="P584" i="177"/>
  <c r="P391" i="177"/>
  <c r="P582" i="177"/>
  <c r="P567" i="177"/>
  <c r="P267" i="177"/>
  <c r="P740" i="177"/>
  <c r="P164" i="177"/>
  <c r="P97" i="177"/>
  <c r="P893" i="177"/>
  <c r="P788" i="177"/>
  <c r="P718" i="177"/>
  <c r="P741" i="177"/>
  <c r="P541" i="177"/>
  <c r="P1113" i="177"/>
  <c r="AB131" i="176"/>
  <c r="P219" i="177"/>
  <c r="P205" i="177"/>
  <c r="P257" i="177"/>
  <c r="P717" i="177"/>
  <c r="P709" i="177"/>
  <c r="P466" i="177"/>
  <c r="P365" i="177"/>
  <c r="P95" i="177"/>
  <c r="AB67" i="176"/>
  <c r="AB27" i="176"/>
  <c r="AB125" i="176"/>
  <c r="P431" i="177"/>
  <c r="P377" i="177"/>
  <c r="P661" i="177"/>
  <c r="P752" i="177"/>
  <c r="P761" i="177"/>
  <c r="P615" i="177"/>
  <c r="P540" i="177"/>
  <c r="P395" i="177"/>
  <c r="P619" i="177"/>
  <c r="P435" i="177"/>
  <c r="P27" i="173"/>
  <c r="P943" i="177"/>
  <c r="AB137" i="176"/>
  <c r="P958" i="177"/>
  <c r="P1100" i="177"/>
  <c r="AB41" i="176"/>
  <c r="AB130" i="176"/>
  <c r="AB49" i="176"/>
  <c r="P243" i="177"/>
  <c r="P316" i="177"/>
  <c r="P391" i="174"/>
  <c r="P966" i="177"/>
  <c r="P1096" i="177"/>
  <c r="P378" i="174"/>
  <c r="P287" i="174"/>
  <c r="P538" i="174"/>
  <c r="P186" i="174"/>
  <c r="P564" i="174"/>
  <c r="P577" i="174"/>
  <c r="P818" i="174"/>
  <c r="P463" i="174"/>
  <c r="P537" i="174"/>
  <c r="P599" i="174"/>
  <c r="P764" i="174"/>
  <c r="P749" i="174"/>
  <c r="P856" i="174"/>
  <c r="P397" i="174"/>
  <c r="P385" i="174"/>
  <c r="P215" i="174"/>
  <c r="P881" i="174"/>
  <c r="P760" i="174"/>
  <c r="P415" i="174"/>
  <c r="P379" i="174"/>
  <c r="P447" i="174"/>
  <c r="P453" i="174"/>
  <c r="P262" i="174"/>
  <c r="P646" i="174"/>
  <c r="P682" i="174"/>
  <c r="P559" i="174"/>
  <c r="P851" i="174"/>
  <c r="P483" i="174"/>
  <c r="P807" i="174"/>
  <c r="P280" i="174"/>
  <c r="P554" i="174"/>
  <c r="P613" i="174"/>
  <c r="P410" i="174"/>
  <c r="P870" i="174"/>
  <c r="P625" i="174"/>
  <c r="P811" i="174"/>
  <c r="P163" i="174"/>
  <c r="P424" i="174"/>
  <c r="P759" i="174"/>
  <c r="P707" i="174"/>
  <c r="P772" i="174"/>
  <c r="P135" i="174"/>
  <c r="P212" i="174"/>
  <c r="P273" i="174"/>
  <c r="P731" i="174"/>
  <c r="P835" i="174"/>
  <c r="P330" i="174"/>
  <c r="P97" i="174"/>
  <c r="P283" i="174"/>
  <c r="P92" i="174"/>
  <c r="P223" i="174"/>
  <c r="P774" i="174"/>
  <c r="P458" i="174"/>
  <c r="P160" i="174"/>
  <c r="P217" i="174"/>
  <c r="P386" i="174"/>
  <c r="P154" i="174"/>
  <c r="P141" i="174"/>
  <c r="P500" i="174"/>
  <c r="P172" i="174"/>
  <c r="P229" i="174"/>
  <c r="P1103" i="177"/>
  <c r="P633" i="177"/>
  <c r="P389" i="177"/>
  <c r="P266" i="177"/>
  <c r="P80" i="177"/>
  <c r="P272" i="177"/>
  <c r="P914" i="177"/>
  <c r="P70" i="177"/>
  <c r="P823" i="177"/>
  <c r="P821" i="177"/>
  <c r="P485" i="177"/>
  <c r="P594" i="177"/>
  <c r="AE17" i="175"/>
  <c r="P236" i="177"/>
  <c r="P1102" i="177"/>
  <c r="P631" i="177"/>
  <c r="P235" i="177"/>
  <c r="P710" i="177"/>
  <c r="P656" i="177"/>
  <c r="P1041" i="177"/>
  <c r="P39" i="177"/>
  <c r="P571" i="177"/>
  <c r="P644" i="177"/>
  <c r="P737" i="177"/>
  <c r="P222" i="177"/>
  <c r="P672" i="177"/>
  <c r="P719" i="177"/>
  <c r="AB31" i="176"/>
  <c r="P298" i="177"/>
  <c r="P354" i="177"/>
  <c r="P836" i="177"/>
  <c r="P24" i="177"/>
  <c r="P140" i="177"/>
  <c r="P1063" i="177"/>
  <c r="P559" i="177"/>
  <c r="P478" i="177"/>
  <c r="P704" i="177"/>
  <c r="P398" i="177"/>
  <c r="AB22" i="176"/>
  <c r="P558" i="177"/>
  <c r="P253" i="177"/>
  <c r="P577" i="177"/>
  <c r="P45" i="177"/>
  <c r="AB139" i="176"/>
  <c r="P348" i="177"/>
  <c r="P536" i="177"/>
  <c r="P482" i="177"/>
  <c r="AB19" i="176"/>
  <c r="P103" i="177"/>
  <c r="P1032" i="177"/>
  <c r="P176" i="177"/>
  <c r="P163" i="177"/>
  <c r="AB104" i="176"/>
  <c r="P722" i="177"/>
  <c r="P565" i="177"/>
  <c r="P902" i="177"/>
  <c r="P797" i="177"/>
  <c r="P760" i="177"/>
  <c r="P694" i="177"/>
  <c r="P422" i="177"/>
  <c r="P543" i="177"/>
  <c r="P794" i="177"/>
  <c r="P614" i="177"/>
  <c r="P950" i="177"/>
  <c r="P245" i="177"/>
  <c r="AE27" i="175"/>
  <c r="P445" i="177"/>
  <c r="AB120" i="176"/>
  <c r="P460" i="177"/>
  <c r="P483" i="177"/>
  <c r="P99" i="177"/>
  <c r="P882" i="177"/>
  <c r="P246" i="177"/>
  <c r="P137" i="177"/>
  <c r="P568" i="177"/>
  <c r="P728" i="177"/>
  <c r="P36" i="177"/>
  <c r="P766" i="177"/>
  <c r="P358" i="177"/>
  <c r="P771" i="177"/>
  <c r="P846" i="177"/>
  <c r="P935" i="177"/>
  <c r="P420" i="177"/>
  <c r="P798" i="177"/>
  <c r="P484" i="177"/>
  <c r="P294" i="177"/>
  <c r="P636" i="177"/>
  <c r="P28" i="173"/>
  <c r="P685" i="177"/>
  <c r="AB63" i="176"/>
  <c r="AB91" i="176"/>
  <c r="AB85" i="176"/>
  <c r="P158" i="177"/>
  <c r="P996" i="177"/>
  <c r="P671" i="177"/>
  <c r="P783" i="177"/>
  <c r="P763" i="177"/>
  <c r="P443" i="177"/>
  <c r="P86" i="177"/>
  <c r="Q1056" i="177"/>
  <c r="R1056" i="177"/>
  <c r="P247" i="174"/>
  <c r="P101" i="174"/>
  <c r="P261" i="174"/>
  <c r="P234" i="174"/>
  <c r="P686" i="174"/>
  <c r="P875" i="174"/>
  <c r="P118" i="174"/>
  <c r="P125" i="174"/>
  <c r="P645" i="174"/>
  <c r="P246" i="174"/>
  <c r="P518" i="174"/>
  <c r="P400" i="174"/>
  <c r="P235" i="174"/>
  <c r="P754" i="174"/>
  <c r="P545" i="174"/>
  <c r="P197" i="174"/>
  <c r="P783" i="174"/>
  <c r="P278" i="174"/>
  <c r="P177" i="174"/>
  <c r="P323" i="174"/>
  <c r="P712" i="174"/>
  <c r="P709" i="174"/>
  <c r="P380" i="174"/>
  <c r="P889" i="174"/>
  <c r="P452" i="174"/>
  <c r="P418" i="174"/>
  <c r="P451" i="174"/>
  <c r="P369" i="174"/>
  <c r="P826" i="174"/>
  <c r="P343" i="174"/>
  <c r="P387" i="174"/>
  <c r="P164" i="174"/>
  <c r="P107" i="174"/>
  <c r="P191" i="174"/>
  <c r="P375" i="174"/>
  <c r="P627" i="174"/>
  <c r="P626" i="174"/>
  <c r="P38" i="174"/>
  <c r="P661" i="174"/>
  <c r="P572" i="174"/>
  <c r="P891" i="174"/>
  <c r="P436" i="174"/>
  <c r="P99" i="174"/>
  <c r="P778" i="174"/>
  <c r="P373" i="174"/>
  <c r="P291" i="174"/>
  <c r="P123" i="174"/>
  <c r="P852" i="174"/>
  <c r="P679" i="174"/>
  <c r="P127" i="174"/>
  <c r="P398" i="174"/>
  <c r="P671" i="174"/>
  <c r="P800" i="174"/>
  <c r="P333" i="174"/>
  <c r="P802" i="174"/>
  <c r="P643" i="174"/>
  <c r="P568" i="174"/>
  <c r="P61" i="174"/>
  <c r="P832" i="174"/>
  <c r="P238" i="174"/>
  <c r="P91" i="174"/>
  <c r="P701" i="174"/>
  <c r="P76" i="177"/>
  <c r="P610" i="177"/>
  <c r="P498" i="177"/>
  <c r="P918" i="177"/>
  <c r="P270" i="177"/>
  <c r="P978" i="177"/>
  <c r="P924" i="177"/>
  <c r="P669" i="177"/>
  <c r="P933" i="177"/>
  <c r="P190" i="177"/>
  <c r="P869" i="177"/>
  <c r="P230" i="177"/>
  <c r="P154" i="177"/>
  <c r="P400" i="177"/>
  <c r="P879" i="177"/>
  <c r="AE31" i="175"/>
  <c r="P603" i="177"/>
  <c r="P911" i="177"/>
  <c r="P35" i="177"/>
  <c r="P653" i="177"/>
  <c r="P779" i="177"/>
  <c r="P649" i="177"/>
  <c r="P597" i="177"/>
  <c r="P907" i="177"/>
  <c r="P93" i="177"/>
  <c r="P775" i="177"/>
  <c r="P674" i="177"/>
  <c r="P528" i="177"/>
  <c r="P1009" i="177"/>
  <c r="P374" i="177"/>
  <c r="P647" i="177"/>
  <c r="P125" i="177"/>
  <c r="P20" i="177"/>
  <c r="P776" i="177"/>
  <c r="P454" i="177"/>
  <c r="P285" i="177"/>
  <c r="P908" i="177"/>
  <c r="P57" i="177"/>
  <c r="P539" i="177"/>
  <c r="P818" i="177"/>
  <c r="P640" i="177"/>
  <c r="AB105" i="176"/>
  <c r="P33" i="177"/>
  <c r="P495" i="177"/>
  <c r="P715" i="177"/>
  <c r="P969" i="177"/>
  <c r="P362" i="177"/>
  <c r="P972" i="177"/>
  <c r="P555" i="177"/>
  <c r="P751" i="177"/>
  <c r="AB76" i="176"/>
  <c r="P132" i="177"/>
  <c r="P1035" i="177"/>
  <c r="P518" i="177"/>
  <c r="P786" i="177"/>
  <c r="P465" i="177"/>
  <c r="P804" i="177"/>
  <c r="P946" i="177"/>
  <c r="P1071" i="177"/>
  <c r="AB144" i="176"/>
  <c r="P186" i="177"/>
  <c r="P735" i="177"/>
  <c r="P66" i="177"/>
  <c r="P988" i="177"/>
  <c r="P574" i="177"/>
  <c r="P198" i="177"/>
  <c r="P521" i="177"/>
  <c r="P250" i="177"/>
  <c r="P472" i="177"/>
  <c r="AB129" i="176"/>
  <c r="P1073" i="177"/>
  <c r="P639" i="177"/>
  <c r="P174" i="177"/>
  <c r="AB14" i="176"/>
  <c r="P146" i="177"/>
  <c r="P43" i="177"/>
  <c r="AB111" i="176"/>
  <c r="P842" i="177"/>
  <c r="P684" i="177"/>
  <c r="P985" i="177"/>
  <c r="P1062" i="177"/>
  <c r="P680" i="177"/>
  <c r="P206" i="177"/>
  <c r="P434" i="177"/>
  <c r="P734" i="177"/>
  <c r="P241" i="177"/>
  <c r="P25" i="173"/>
  <c r="P888" i="177"/>
  <c r="AE40" i="175"/>
  <c r="P1016" i="177"/>
  <c r="AE41" i="175"/>
  <c r="AB98" i="176"/>
  <c r="AB23" i="176"/>
  <c r="P315" i="177"/>
  <c r="P359" i="177"/>
  <c r="P809" i="177"/>
  <c r="P115" i="174"/>
  <c r="P636" i="174"/>
  <c r="P205" i="174"/>
  <c r="P788" i="174"/>
  <c r="P673" i="174"/>
  <c r="P272" i="174"/>
  <c r="P449" i="174"/>
  <c r="P665" i="174"/>
  <c r="P237" i="174"/>
  <c r="P411" i="174"/>
  <c r="P603" i="174"/>
  <c r="P345" i="174"/>
  <c r="P738" i="174"/>
  <c r="P324" i="174"/>
  <c r="P746" i="174"/>
  <c r="P417" i="174"/>
  <c r="P39" i="174"/>
  <c r="P37" i="174"/>
  <c r="P73" i="174"/>
  <c r="P349" i="174"/>
  <c r="P440" i="174"/>
  <c r="P277" i="174"/>
  <c r="P575" i="174"/>
  <c r="P716" i="174"/>
  <c r="P442" i="174"/>
  <c r="P150" i="174"/>
  <c r="P18" i="174"/>
  <c r="P743" i="174"/>
  <c r="P221" i="174"/>
  <c r="P366" i="174"/>
  <c r="P495" i="174"/>
  <c r="P583" i="174"/>
  <c r="P102" i="174"/>
  <c r="P796" i="174"/>
  <c r="P124" i="174"/>
  <c r="P464" i="174"/>
  <c r="P737" i="174"/>
  <c r="P90" i="174"/>
  <c r="P188" i="174"/>
  <c r="P12" i="174"/>
  <c r="P376" i="174"/>
  <c r="P414" i="174"/>
  <c r="P892" i="174"/>
  <c r="P432" i="174"/>
  <c r="P302" i="174"/>
  <c r="P758" i="174"/>
  <c r="P258" i="174"/>
  <c r="P117" i="174"/>
  <c r="P810" i="174"/>
  <c r="P27" i="174"/>
  <c r="P444" i="174"/>
  <c r="P108" i="174"/>
  <c r="P883" i="174"/>
  <c r="P589" i="174"/>
  <c r="P445" i="174"/>
  <c r="P149" i="174"/>
  <c r="P799" i="174"/>
  <c r="P798" i="174"/>
  <c r="P363" i="174"/>
  <c r="P611" i="174"/>
  <c r="P695" i="174"/>
  <c r="P19" i="174"/>
  <c r="P293" i="174"/>
  <c r="P1092" i="177"/>
  <c r="P827" i="177"/>
  <c r="P616" i="177"/>
  <c r="P666" i="177"/>
  <c r="P239" i="177"/>
  <c r="P78" i="177"/>
  <c r="P834" i="177"/>
  <c r="AE24" i="175"/>
  <c r="P622" i="177"/>
  <c r="P826" i="177"/>
  <c r="P650" i="177"/>
  <c r="P404" i="177"/>
  <c r="P71" i="177"/>
  <c r="P382" i="177"/>
  <c r="P161" i="177"/>
  <c r="P159" i="177"/>
  <c r="P79" i="177"/>
  <c r="P875" i="177"/>
  <c r="P699" i="177"/>
  <c r="P444" i="177"/>
  <c r="P512" i="177"/>
  <c r="P736" i="177"/>
  <c r="AB143" i="176"/>
  <c r="P193" i="177"/>
  <c r="P841" i="177"/>
  <c r="AB114" i="176"/>
  <c r="P1068" i="177"/>
  <c r="P592" i="177"/>
  <c r="P363" i="177"/>
  <c r="P773" i="177"/>
  <c r="P64" i="177"/>
  <c r="P927" i="177"/>
  <c r="AB97" i="176"/>
  <c r="P527" i="177"/>
  <c r="P714" i="177"/>
  <c r="P330" i="177"/>
  <c r="P202" i="177"/>
  <c r="P720" i="177"/>
  <c r="P787" i="177"/>
  <c r="AB119" i="176"/>
  <c r="P814" i="177"/>
  <c r="AE32" i="175"/>
  <c r="P345" i="177"/>
  <c r="AE20" i="175"/>
  <c r="P240" i="177"/>
  <c r="P282" i="177"/>
  <c r="P449" i="177"/>
  <c r="P112" i="177"/>
  <c r="P803" i="177"/>
  <c r="P764" i="177"/>
  <c r="P1064" i="177"/>
  <c r="P94" i="177"/>
  <c r="P688" i="177"/>
  <c r="P480" i="177"/>
  <c r="P1085" i="177"/>
  <c r="P1055" i="177"/>
  <c r="P167" i="177"/>
  <c r="P510" i="177"/>
  <c r="P115" i="177"/>
  <c r="P1001" i="177"/>
  <c r="P491" i="177"/>
  <c r="P221" i="177"/>
  <c r="AB103" i="176"/>
  <c r="P844" i="177"/>
  <c r="P264" i="177"/>
  <c r="P492" i="177"/>
  <c r="P366" i="177"/>
  <c r="P526" i="177"/>
  <c r="AB78" i="176"/>
  <c r="P373" i="177"/>
  <c r="P576" i="177"/>
  <c r="P203" i="177"/>
  <c r="P1019" i="177"/>
  <c r="P691" i="177"/>
  <c r="P226" i="177"/>
  <c r="P144" i="177"/>
  <c r="P635" i="177"/>
  <c r="AB86" i="176"/>
  <c r="P106" i="177"/>
  <c r="P114" i="177"/>
  <c r="P866" i="177"/>
  <c r="P702" i="177"/>
  <c r="P1039" i="177"/>
  <c r="P234" i="177"/>
  <c r="P1108" i="177"/>
  <c r="P499" i="177"/>
  <c r="P1112" i="177"/>
  <c r="P346" i="177"/>
  <c r="P305" i="177"/>
  <c r="AB54" i="176"/>
  <c r="P995" i="177"/>
  <c r="P663" i="177"/>
  <c r="AB122" i="176"/>
  <c r="P1115" i="177"/>
  <c r="P67" i="177"/>
  <c r="AE25" i="175"/>
  <c r="P166" i="174"/>
  <c r="P196" i="174"/>
  <c r="P260" i="177"/>
  <c r="P451" i="177"/>
  <c r="P314" i="177"/>
  <c r="P166" i="177"/>
  <c r="P1060" i="177"/>
  <c r="Q678" i="177"/>
  <c r="R678" i="177"/>
  <c r="P312" i="174"/>
  <c r="AE44" i="175"/>
  <c r="P356" i="174"/>
  <c r="P825" i="174"/>
  <c r="P337" i="174"/>
  <c r="P384" i="174"/>
  <c r="P493" i="174"/>
  <c r="P660" i="174"/>
  <c r="P876" i="174"/>
  <c r="P144" i="174"/>
  <c r="P80" i="174"/>
  <c r="P601" i="174"/>
  <c r="P501" i="174"/>
  <c r="P502" i="174"/>
  <c r="P705" i="174"/>
  <c r="P137" i="174"/>
  <c r="P809" i="174"/>
  <c r="P304" i="174"/>
  <c r="P706" i="174"/>
  <c r="P530" i="174"/>
  <c r="P138" i="174"/>
  <c r="P840" i="174"/>
  <c r="P270" i="174"/>
  <c r="P274" i="174"/>
  <c r="P558" i="174"/>
  <c r="P667" i="174"/>
  <c r="P525" i="174"/>
  <c r="P254" i="174"/>
  <c r="P677" i="174"/>
  <c r="P231" i="174"/>
  <c r="P698" i="174"/>
  <c r="P729" i="174"/>
  <c r="P219" i="174"/>
  <c r="P170" i="174"/>
  <c r="P322" i="174"/>
  <c r="P358" i="174"/>
  <c r="P720" i="174"/>
  <c r="P806" i="174"/>
  <c r="P726" i="174"/>
  <c r="P31" i="174"/>
  <c r="P633" i="174"/>
  <c r="P735" i="174"/>
  <c r="P761" i="174"/>
  <c r="P338" i="174"/>
  <c r="P863" i="174"/>
  <c r="P310" i="174"/>
  <c r="P602" i="174"/>
  <c r="P252" i="174"/>
  <c r="P830" i="174"/>
  <c r="P70" i="174"/>
  <c r="P784" i="174"/>
  <c r="P395" i="174"/>
  <c r="P42" i="174"/>
  <c r="P46" i="174"/>
  <c r="P264" i="174"/>
  <c r="P187" i="174"/>
  <c r="P427" i="174"/>
  <c r="P461" i="174"/>
  <c r="P303" i="174"/>
  <c r="P824" i="174"/>
  <c r="P552" i="174"/>
  <c r="P112" i="174"/>
  <c r="P755" i="174"/>
  <c r="P630" i="174"/>
  <c r="P476" i="174"/>
  <c r="P665" i="177"/>
  <c r="P1077" i="177"/>
  <c r="P81" i="177"/>
  <c r="P269" i="177"/>
  <c r="AE34" i="175"/>
  <c r="P274" i="177"/>
  <c r="P934" i="177"/>
  <c r="P878" i="177"/>
  <c r="P388" i="177"/>
  <c r="P920" i="177"/>
  <c r="P386" i="177"/>
  <c r="P308" i="177"/>
  <c r="P833" i="177"/>
  <c r="AE19" i="175"/>
  <c r="P817" i="177"/>
  <c r="P589" i="177"/>
  <c r="P916" i="177"/>
  <c r="P390" i="177"/>
  <c r="P692" i="177"/>
  <c r="P22" i="177"/>
  <c r="P130" i="177"/>
  <c r="P851" i="177"/>
  <c r="AB146" i="176"/>
  <c r="P90" i="177"/>
  <c r="P812" i="177"/>
  <c r="AB64" i="176"/>
  <c r="P1075" i="177"/>
  <c r="P1000" i="177"/>
  <c r="P550" i="177"/>
  <c r="P952" i="177"/>
  <c r="AB50" i="176"/>
  <c r="P800" i="177"/>
  <c r="AE30" i="175"/>
  <c r="P1036" i="177"/>
  <c r="P446" i="177"/>
  <c r="P53" i="177"/>
  <c r="AB134" i="176"/>
  <c r="P677" i="177"/>
  <c r="P92" i="177"/>
  <c r="P848" i="177"/>
  <c r="P1084" i="177"/>
  <c r="P324" i="177"/>
  <c r="P473" i="177"/>
  <c r="P1010" i="177"/>
  <c r="AB53" i="176"/>
  <c r="P341" i="177"/>
  <c r="P256" i="177"/>
  <c r="P40" i="177"/>
  <c r="P312" i="177"/>
  <c r="P716" i="177"/>
  <c r="P508" i="177"/>
  <c r="P549" i="177"/>
  <c r="P693" i="177"/>
  <c r="P1005" i="177"/>
  <c r="P1030" i="177"/>
  <c r="P955" i="177"/>
  <c r="AB32" i="176"/>
  <c r="P748" i="177"/>
  <c r="P1014" i="177"/>
  <c r="P547" i="177"/>
  <c r="P531" i="177"/>
  <c r="AB75" i="176"/>
  <c r="P792" i="177"/>
  <c r="AB38" i="176"/>
  <c r="P17" i="177"/>
  <c r="AE36" i="175"/>
  <c r="P772" i="177"/>
  <c r="P249" i="177"/>
  <c r="P471" i="177"/>
  <c r="P329" i="177"/>
  <c r="P170" i="177"/>
  <c r="P476" i="177"/>
  <c r="P318" i="177"/>
  <c r="AB60" i="176"/>
  <c r="P964" i="177"/>
  <c r="P120" i="177"/>
  <c r="AB30" i="176"/>
  <c r="P148" i="177"/>
  <c r="P55" i="177"/>
  <c r="P887" i="177"/>
  <c r="P936" i="177"/>
  <c r="P990" i="177"/>
  <c r="P963" i="177"/>
  <c r="P96" i="177"/>
  <c r="P171" i="177"/>
  <c r="P1091" i="177"/>
  <c r="P807" i="177"/>
  <c r="P263" i="177"/>
  <c r="P899" i="177"/>
  <c r="AE46" i="175"/>
  <c r="P583" i="177"/>
  <c r="P59" i="177"/>
  <c r="AB113" i="176"/>
  <c r="P1082" i="177"/>
  <c r="P77" i="177"/>
  <c r="P944" i="177"/>
  <c r="P961" i="177"/>
  <c r="AB140" i="176"/>
  <c r="AB128" i="176"/>
  <c r="P652" i="174"/>
  <c r="P773" i="174"/>
  <c r="P817" i="174"/>
  <c r="P103" i="174"/>
  <c r="P659" i="174"/>
  <c r="P377" i="174"/>
  <c r="P210" i="174"/>
  <c r="P886" i="174"/>
  <c r="P11" i="174"/>
  <c r="P683" i="174"/>
  <c r="P560" i="174"/>
  <c r="P653" i="174"/>
  <c r="P887" i="174"/>
  <c r="P700" i="174"/>
  <c r="P694" i="174"/>
  <c r="P134" i="174"/>
  <c r="P59" i="174"/>
  <c r="P180" i="174"/>
  <c r="P473" i="174"/>
  <c r="P360" i="174"/>
  <c r="P430" i="174"/>
  <c r="P142" i="174"/>
  <c r="P727" i="174"/>
  <c r="P488" i="174"/>
  <c r="P595" i="174"/>
  <c r="P286" i="174"/>
  <c r="P98" i="174"/>
  <c r="P902" i="174"/>
  <c r="P194" i="174"/>
  <c r="P243" i="174"/>
  <c r="P357" i="174"/>
  <c r="P562" i="174"/>
  <c r="P719" i="174"/>
  <c r="P297" i="174"/>
  <c r="P877" i="174"/>
  <c r="P309" i="174"/>
  <c r="P132" i="174"/>
  <c r="P492" i="174"/>
  <c r="P638" i="174"/>
  <c r="P644" i="174"/>
  <c r="P327" i="174"/>
  <c r="P744" i="174"/>
  <c r="P510" i="174"/>
  <c r="P820" i="174"/>
  <c r="P543" i="174"/>
  <c r="P236" i="174"/>
  <c r="P504" i="174"/>
  <c r="P766" i="174"/>
  <c r="P769" i="174"/>
  <c r="P687" i="174"/>
  <c r="P139" i="174"/>
  <c r="P419" i="174"/>
  <c r="P75" i="174"/>
  <c r="P890" i="174"/>
  <c r="P275" i="174"/>
  <c r="P71" i="174"/>
  <c r="P352" i="174"/>
  <c r="P206" i="174"/>
  <c r="P313" i="174"/>
  <c r="P623" i="174"/>
  <c r="P812" i="174"/>
  <c r="P331" i="174"/>
  <c r="P590" i="174"/>
  <c r="P605" i="174"/>
  <c r="P623" i="177"/>
  <c r="P999" i="177"/>
  <c r="P606" i="177"/>
  <c r="P421" i="177"/>
  <c r="P278" i="177"/>
  <c r="P1083" i="177"/>
  <c r="P811" i="177"/>
  <c r="P412" i="177"/>
  <c r="P1095" i="177"/>
  <c r="P1097" i="177"/>
  <c r="P808" i="177"/>
  <c r="P399" i="177"/>
  <c r="P268" i="177"/>
  <c r="P489" i="177"/>
  <c r="AE14" i="175"/>
  <c r="AE33" i="175"/>
  <c r="P599" i="177"/>
  <c r="P273" i="177"/>
  <c r="P1043" i="177"/>
  <c r="P34" i="177"/>
  <c r="P105" i="177"/>
  <c r="P626" i="177"/>
  <c r="P328" i="177"/>
  <c r="AB47" i="176"/>
  <c r="P982" i="177"/>
  <c r="AE45" i="175"/>
  <c r="P925" i="177"/>
  <c r="P654" i="177"/>
  <c r="P313" i="177"/>
  <c r="P886" i="177"/>
  <c r="P51" i="177"/>
  <c r="P652" i="177"/>
  <c r="P732" i="177"/>
  <c r="P629" i="177"/>
  <c r="P188" i="177"/>
  <c r="P553" i="177"/>
  <c r="AB124" i="176"/>
  <c r="P744" i="177"/>
  <c r="AB35" i="176"/>
  <c r="P915" i="177"/>
  <c r="P909" i="177"/>
  <c r="P683" i="177"/>
  <c r="P971" i="177"/>
  <c r="P326" i="177"/>
  <c r="P515" i="177"/>
  <c r="P220" i="177"/>
  <c r="P505" i="177"/>
  <c r="AB88" i="176"/>
  <c r="AB48" i="176"/>
  <c r="P21" i="177"/>
  <c r="P339" i="177"/>
  <c r="P280" i="177"/>
  <c r="P548" i="177"/>
  <c r="P336" i="177"/>
  <c r="P1046" i="177"/>
  <c r="P951" i="177"/>
  <c r="AB136" i="176"/>
  <c r="P973" i="177"/>
  <c r="P753" i="177"/>
  <c r="P941" i="177"/>
  <c r="P479" i="177"/>
  <c r="P177" i="177"/>
  <c r="P954" i="177"/>
  <c r="P300" i="177"/>
  <c r="P255" i="177"/>
  <c r="P523" i="177"/>
  <c r="P360" i="177"/>
  <c r="P463" i="177"/>
  <c r="P511" i="177"/>
  <c r="P23" i="177"/>
  <c r="P730" i="177"/>
  <c r="P108" i="177"/>
  <c r="AB112" i="176"/>
  <c r="P850" i="177"/>
  <c r="P180" i="177"/>
  <c r="P58" i="177"/>
  <c r="AB15" i="176"/>
  <c r="P876" i="177"/>
  <c r="P900" i="177"/>
  <c r="AE47" i="175"/>
  <c r="P189" i="177"/>
  <c r="P210" i="177"/>
  <c r="P586" i="177"/>
  <c r="P217" i="177"/>
  <c r="P605" i="177"/>
  <c r="P372" i="177"/>
  <c r="P1059" i="177"/>
  <c r="AB127" i="176"/>
  <c r="P519" i="177"/>
  <c r="AB102" i="176"/>
  <c r="P986" i="177"/>
  <c r="P1107" i="177"/>
  <c r="P152" i="177"/>
  <c r="P1079" i="177"/>
  <c r="P939" i="177"/>
  <c r="AB117" i="176"/>
  <c r="AB40" i="176"/>
  <c r="AB96" i="176"/>
  <c r="P437" i="174"/>
  <c r="P42" i="177"/>
  <c r="P129" i="177"/>
  <c r="P441" i="177"/>
  <c r="P474" i="177"/>
  <c r="P1021" i="177"/>
  <c r="P796" i="177"/>
  <c r="P91" i="177"/>
  <c r="P448" i="177"/>
  <c r="P408" i="177"/>
  <c r="P830" i="177"/>
  <c r="P828" i="177"/>
  <c r="P815" i="177"/>
  <c r="P72" i="177"/>
  <c r="P684" i="174"/>
  <c r="P120" i="174"/>
  <c r="P209" i="174"/>
  <c r="P326" i="174"/>
  <c r="P765" i="174"/>
  <c r="P450" i="174"/>
  <c r="P383" i="174"/>
  <c r="P41" i="174"/>
  <c r="P836" i="174"/>
  <c r="P664" i="174"/>
  <c r="P527" i="174"/>
  <c r="P308" i="174"/>
  <c r="P340" i="174"/>
  <c r="P94" i="174"/>
  <c r="P284" i="174"/>
  <c r="P105" i="174"/>
  <c r="P585" i="174"/>
  <c r="P140" i="174"/>
  <c r="P29" i="174"/>
  <c r="P76" i="174"/>
  <c r="P336" i="174"/>
  <c r="P479" i="174"/>
  <c r="P593" i="174"/>
  <c r="P263" i="174"/>
  <c r="P894" i="174"/>
  <c r="P471" i="174"/>
  <c r="P334" i="174"/>
  <c r="P455" i="174"/>
  <c r="P50" i="174"/>
  <c r="P299" i="174"/>
  <c r="P551" i="174"/>
  <c r="P655" i="174"/>
  <c r="P325" i="174"/>
  <c r="P771" i="174"/>
  <c r="P724" i="174"/>
  <c r="P173" i="174"/>
  <c r="P580" i="174"/>
  <c r="P266" i="174"/>
  <c r="P288" i="174"/>
  <c r="P289" i="174"/>
  <c r="P789" i="174"/>
  <c r="P785" i="174"/>
  <c r="P584" i="174"/>
  <c r="P526" i="174"/>
  <c r="P497" i="174"/>
  <c r="P751" i="174"/>
  <c r="P831" i="174"/>
  <c r="P15" i="174"/>
  <c r="P614" i="174"/>
  <c r="P508" i="174"/>
  <c r="P78" i="174"/>
  <c r="P747" i="174"/>
  <c r="P130" i="174"/>
  <c r="P843" i="174"/>
  <c r="P129" i="174"/>
  <c r="P893" i="174"/>
  <c r="P406" i="174"/>
  <c r="P658" i="174"/>
  <c r="P218" i="174"/>
  <c r="P588" i="174"/>
  <c r="P900" i="174"/>
  <c r="P359" i="174"/>
  <c r="P750" i="174"/>
  <c r="P794" i="174"/>
  <c r="P501" i="177"/>
  <c r="P620" i="177"/>
  <c r="P587" i="177"/>
  <c r="P868" i="177"/>
  <c r="P673" i="177"/>
  <c r="P407" i="177"/>
  <c r="P588" i="177"/>
  <c r="P931" i="177"/>
  <c r="P378" i="177"/>
  <c r="P306" i="177"/>
  <c r="P625" i="177"/>
  <c r="AE39" i="175"/>
  <c r="P632" i="177"/>
  <c r="P989" i="177"/>
  <c r="P998" i="177"/>
  <c r="P926" i="177"/>
  <c r="AE13" i="175"/>
  <c r="P73" i="177"/>
  <c r="P545" i="177"/>
  <c r="P452" i="177"/>
  <c r="P534" i="177"/>
  <c r="P756" i="177"/>
  <c r="AB58" i="176"/>
  <c r="AB24" i="176"/>
  <c r="P706" i="177"/>
  <c r="P713" i="177"/>
  <c r="P1029" i="177"/>
  <c r="P1004" i="177"/>
  <c r="P433" i="177"/>
  <c r="P731" i="177"/>
  <c r="P52" i="177"/>
  <c r="P785" i="177"/>
  <c r="P513" i="177"/>
  <c r="P894" i="177"/>
  <c r="P139" i="177"/>
  <c r="P687" i="177"/>
  <c r="P143" i="177"/>
  <c r="P860" i="177"/>
  <c r="P500" i="177"/>
  <c r="P784" i="177"/>
  <c r="P863" i="177"/>
  <c r="P369" i="177"/>
  <c r="P913" i="177"/>
  <c r="P459" i="177"/>
  <c r="P557" i="177"/>
  <c r="P739" i="177"/>
  <c r="P127" i="177"/>
  <c r="P525" i="177"/>
  <c r="P323" i="177"/>
  <c r="P810" i="177"/>
  <c r="P15" i="177"/>
  <c r="P379" i="177"/>
  <c r="AB20" i="176"/>
  <c r="AB39" i="176"/>
  <c r="P759" i="177"/>
  <c r="P890" i="177"/>
  <c r="P337" i="177"/>
  <c r="P984" i="177"/>
  <c r="P364" i="177"/>
  <c r="P662" i="177"/>
  <c r="P288" i="177"/>
  <c r="P947" i="177"/>
  <c r="P570" i="177"/>
  <c r="P26" i="177"/>
  <c r="P461" i="177"/>
  <c r="P724" i="177"/>
  <c r="P110" i="177"/>
  <c r="P805" i="177"/>
  <c r="P727" i="177"/>
  <c r="P340" i="177"/>
  <c r="AB17" i="176"/>
  <c r="P447" i="177"/>
  <c r="P573" i="177"/>
  <c r="P290" i="177"/>
  <c r="P244" i="177"/>
  <c r="P613" i="177"/>
  <c r="P529" i="177"/>
  <c r="P85" i="177"/>
  <c r="P133" i="177"/>
  <c r="P1104" i="177"/>
  <c r="P962" i="177"/>
  <c r="P320" i="177"/>
  <c r="P387" i="177"/>
  <c r="P276" i="177"/>
  <c r="P502" i="177"/>
  <c r="P310" i="177"/>
  <c r="P228" i="177"/>
  <c r="P351" i="177"/>
  <c r="P906" i="177"/>
  <c r="P2703" i="172"/>
  <c r="R2703" i="172" s="1"/>
  <c r="P2694" i="172"/>
  <c r="Q2694" i="172" s="1"/>
  <c r="P2726" i="172"/>
  <c r="R2726" i="172" s="1"/>
  <c r="P2721" i="172"/>
  <c r="R2721" i="172" s="1"/>
  <c r="P730" i="172"/>
  <c r="Q730" i="172" s="1"/>
  <c r="P2711" i="172"/>
  <c r="Q2711" i="172" s="1"/>
  <c r="P2688" i="172"/>
  <c r="R2688" i="172" s="1"/>
  <c r="P2716" i="172"/>
  <c r="Q2716" i="172" s="1"/>
  <c r="P2727" i="172"/>
  <c r="Q2727" i="172" s="1"/>
  <c r="P2692" i="172"/>
  <c r="R2692" i="172" s="1"/>
  <c r="P2729" i="172"/>
  <c r="Q2729" i="172" s="1"/>
  <c r="P2717" i="172"/>
  <c r="Q2717" i="172" s="1"/>
  <c r="P56" i="173"/>
  <c r="R56" i="173" s="1"/>
  <c r="P2714" i="172"/>
  <c r="R2714" i="172" s="1"/>
  <c r="P2705" i="172"/>
  <c r="Q2705" i="172" s="1"/>
  <c r="P2720" i="172"/>
  <c r="Q2720" i="172" s="1"/>
  <c r="P2725" i="172"/>
  <c r="Q2725" i="172" s="1"/>
  <c r="P39" i="173"/>
  <c r="R39" i="173" s="1"/>
  <c r="P2686" i="172"/>
  <c r="R2686" i="172" s="1"/>
  <c r="P2685" i="172"/>
  <c r="R2685" i="172" s="1"/>
  <c r="P2710" i="172"/>
  <c r="R2710" i="172" s="1"/>
  <c r="P2699" i="172"/>
  <c r="R2699" i="172" s="1"/>
  <c r="P2702" i="172"/>
  <c r="R2702" i="172" s="1"/>
  <c r="P2724" i="172"/>
  <c r="R2724" i="172" s="1"/>
  <c r="P2700" i="172"/>
  <c r="R2700" i="172" s="1"/>
  <c r="P2718" i="172"/>
  <c r="R2718" i="172" s="1"/>
  <c r="P2723" i="172"/>
  <c r="Q2723" i="172" s="1"/>
  <c r="P2698" i="172"/>
  <c r="R2698" i="172" s="1"/>
  <c r="Q2701" i="172"/>
  <c r="R2701" i="172"/>
  <c r="Q2715" i="172"/>
  <c r="R2715" i="172"/>
  <c r="Q2712" i="172"/>
  <c r="R2712" i="172"/>
  <c r="R2722" i="172"/>
  <c r="Q2722" i="172"/>
  <c r="P21" i="173"/>
  <c r="Q21" i="173" s="1"/>
  <c r="P22" i="173"/>
  <c r="Q22" i="173" s="1"/>
  <c r="P20" i="173"/>
  <c r="R20" i="173" s="1"/>
  <c r="P2347" i="172"/>
  <c r="R2347" i="172" s="1"/>
  <c r="P59" i="173"/>
  <c r="Q59" i="173" s="1"/>
  <c r="P54" i="173"/>
  <c r="Q54" i="173" s="1"/>
  <c r="P42" i="173"/>
  <c r="Q42" i="173" s="1"/>
  <c r="P34" i="173"/>
  <c r="R34" i="173" s="1"/>
  <c r="P49" i="173"/>
  <c r="Q49" i="173" s="1"/>
  <c r="P57" i="173"/>
  <c r="Q57" i="173" s="1"/>
  <c r="P44" i="173"/>
  <c r="R44" i="173" s="1"/>
  <c r="R52" i="173"/>
  <c r="Q52" i="173"/>
  <c r="P41" i="173"/>
  <c r="R41" i="173" s="1"/>
  <c r="P43" i="173"/>
  <c r="R43" i="173" s="1"/>
  <c r="R40" i="173"/>
  <c r="Q40" i="173"/>
  <c r="P2369" i="172"/>
  <c r="R2369" i="172" s="1"/>
  <c r="P2372" i="172"/>
  <c r="R2372" i="172" s="1"/>
  <c r="P2375" i="172"/>
  <c r="R2375" i="172" s="1"/>
  <c r="P426" i="172"/>
  <c r="R426" i="172" s="1"/>
  <c r="P552" i="172"/>
  <c r="Q552" i="172" s="1"/>
  <c r="P200" i="172"/>
  <c r="Q200" i="172" s="1"/>
  <c r="P2373" i="172"/>
  <c r="R2373" i="172" s="1"/>
  <c r="P2374" i="172"/>
  <c r="Q2374" i="172" s="1"/>
  <c r="P466" i="172"/>
  <c r="Q466" i="172" s="1"/>
  <c r="P578" i="172"/>
  <c r="R578" i="172" s="1"/>
  <c r="P947" i="172"/>
  <c r="R947" i="172" s="1"/>
  <c r="P918" i="172"/>
  <c r="R918" i="172" s="1"/>
  <c r="P2371" i="172"/>
  <c r="Q2371" i="172" s="1"/>
  <c r="P559" i="172"/>
  <c r="R559" i="172" s="1"/>
  <c r="P2379" i="172"/>
  <c r="R2379" i="172" s="1"/>
  <c r="P1127" i="172"/>
  <c r="Q1127" i="172" s="1"/>
  <c r="P385" i="172"/>
  <c r="R385" i="172" s="1"/>
  <c r="P481" i="172"/>
  <c r="Q481" i="172" s="1"/>
  <c r="P546" i="172"/>
  <c r="R546" i="172" s="1"/>
  <c r="P169" i="172"/>
  <c r="R169" i="172" s="1"/>
  <c r="P280" i="172"/>
  <c r="Q280" i="172" s="1"/>
  <c r="P2365" i="172"/>
  <c r="Q2365" i="172" s="1"/>
  <c r="P2367" i="172"/>
  <c r="Q2367" i="172" s="1"/>
  <c r="P2364" i="172"/>
  <c r="R2364" i="172" s="1"/>
  <c r="P40" i="172"/>
  <c r="Q40" i="172" s="1"/>
  <c r="P549" i="172"/>
  <c r="R549" i="172" s="1"/>
  <c r="P405" i="172"/>
  <c r="Q405" i="172" s="1"/>
  <c r="P2358" i="172"/>
  <c r="Q2358" i="172" s="1"/>
  <c r="P658" i="172"/>
  <c r="Q658" i="172" s="1"/>
  <c r="P34" i="172"/>
  <c r="Q34" i="172" s="1"/>
  <c r="P306" i="172"/>
  <c r="Q306" i="172" s="1"/>
  <c r="P485" i="172"/>
  <c r="R485" i="172" s="1"/>
  <c r="P143" i="172"/>
  <c r="R143" i="172" s="1"/>
  <c r="P558" i="172"/>
  <c r="Q558" i="172" s="1"/>
  <c r="P345" i="172"/>
  <c r="R345" i="172" s="1"/>
  <c r="P445" i="172"/>
  <c r="Q445" i="172" s="1"/>
  <c r="P2363" i="172"/>
  <c r="Q2363" i="172" s="1"/>
  <c r="P318" i="172"/>
  <c r="R318" i="172" s="1"/>
  <c r="P236" i="172"/>
  <c r="Q236" i="172" s="1"/>
  <c r="P2370" i="172"/>
  <c r="Q2370" i="172" s="1"/>
  <c r="P2380" i="172"/>
  <c r="Q2380" i="172" s="1"/>
  <c r="P2376" i="172"/>
  <c r="Q2376" i="172" s="1"/>
  <c r="P2378" i="172"/>
  <c r="R2378" i="172" s="1"/>
  <c r="P2390" i="172"/>
  <c r="R2390" i="172" s="1"/>
  <c r="P2381" i="172"/>
  <c r="Q2381" i="172" s="1"/>
  <c r="P2368" i="172"/>
  <c r="Q2368" i="172" s="1"/>
  <c r="P2334" i="172"/>
  <c r="Q2334" i="172" s="1"/>
  <c r="P2355" i="172"/>
  <c r="P2356" i="172"/>
  <c r="P2361" i="172"/>
  <c r="P2360" i="172"/>
  <c r="P2359" i="172"/>
  <c r="P2357" i="172"/>
  <c r="P2354" i="172"/>
  <c r="P2346" i="172"/>
  <c r="P2345" i="172"/>
  <c r="P2344" i="172"/>
  <c r="Q2343" i="172"/>
  <c r="R2343" i="172"/>
  <c r="P2342" i="172"/>
  <c r="P2352" i="172"/>
  <c r="P2351" i="172"/>
  <c r="P2350" i="172"/>
  <c r="P2349" i="172"/>
  <c r="P2348" i="172"/>
  <c r="P2341" i="172"/>
  <c r="P2340" i="172"/>
  <c r="P2339" i="172"/>
  <c r="P2337" i="172"/>
  <c r="P2330" i="172"/>
  <c r="P2329" i="172"/>
  <c r="P2328" i="172"/>
  <c r="P2327" i="172"/>
  <c r="P2325" i="172"/>
  <c r="P2324" i="172"/>
  <c r="P2326" i="172"/>
  <c r="P2323" i="172"/>
  <c r="P2333" i="172"/>
  <c r="P2335" i="172"/>
  <c r="P2331" i="172"/>
  <c r="P2332" i="172"/>
  <c r="P2336" i="172"/>
  <c r="P2322" i="172"/>
  <c r="P2321" i="172"/>
  <c r="P420" i="172"/>
  <c r="Q420" i="172" s="1"/>
  <c r="P258" i="172"/>
  <c r="Q258" i="172" s="1"/>
  <c r="P471" i="172"/>
  <c r="Q471" i="172" s="1"/>
  <c r="P170" i="172"/>
  <c r="Q170" i="172" s="1"/>
  <c r="P419" i="172"/>
  <c r="Q419" i="172" s="1"/>
  <c r="P182" i="172"/>
  <c r="R182" i="172" s="1"/>
  <c r="P111" i="172"/>
  <c r="R111" i="172" s="1"/>
  <c r="P32" i="172"/>
  <c r="R32" i="172" s="1"/>
  <c r="P1081" i="172"/>
  <c r="Q1081" i="172" s="1"/>
  <c r="P465" i="172"/>
  <c r="Q465" i="172" s="1"/>
  <c r="P561" i="172"/>
  <c r="Q561" i="172" s="1"/>
  <c r="P483" i="172"/>
  <c r="R483" i="172" s="1"/>
  <c r="P406" i="172"/>
  <c r="Q406" i="172" s="1"/>
  <c r="P575" i="172"/>
  <c r="R575" i="172" s="1"/>
  <c r="P595" i="172"/>
  <c r="R595" i="172" s="1"/>
  <c r="P517" i="172"/>
  <c r="R517" i="172" s="1"/>
  <c r="P436" i="172"/>
  <c r="Q436" i="172" s="1"/>
  <c r="P508" i="172"/>
  <c r="R508" i="172" s="1"/>
  <c r="P497" i="172"/>
  <c r="R497" i="172" s="1"/>
  <c r="P618" i="172"/>
  <c r="Q618" i="172" s="1"/>
  <c r="P511" i="172"/>
  <c r="R511" i="172" s="1"/>
  <c r="P1446" i="172"/>
  <c r="Q1446" i="172" s="1"/>
  <c r="R539" i="172"/>
  <c r="Q539" i="172"/>
  <c r="P640" i="172"/>
  <c r="Q640" i="172" s="1"/>
  <c r="P137" i="172"/>
  <c r="R137" i="172" s="1"/>
  <c r="P101" i="172"/>
  <c r="R101" i="172" s="1"/>
  <c r="P201" i="172"/>
  <c r="Q201" i="172" s="1"/>
  <c r="P36" i="172"/>
  <c r="R36" i="172" s="1"/>
  <c r="P15" i="172"/>
  <c r="R15" i="172" s="1"/>
  <c r="P67" i="172"/>
  <c r="Q67" i="172" s="1"/>
  <c r="P60" i="172"/>
  <c r="R60" i="172" s="1"/>
  <c r="P142" i="172"/>
  <c r="R142" i="172" s="1"/>
  <c r="P207" i="172"/>
  <c r="Q207" i="172" s="1"/>
  <c r="P259" i="172"/>
  <c r="Q259" i="172" s="1"/>
  <c r="P321" i="172"/>
  <c r="Q321" i="172" s="1"/>
  <c r="P175" i="172"/>
  <c r="R175" i="172" s="1"/>
  <c r="P257" i="172"/>
  <c r="R257" i="172" s="1"/>
  <c r="P58" i="172"/>
  <c r="R58" i="172" s="1"/>
  <c r="P164" i="172"/>
  <c r="R164" i="172" s="1"/>
  <c r="P272" i="172"/>
  <c r="P112" i="172"/>
  <c r="P168" i="172"/>
  <c r="R168" i="172" s="1"/>
  <c r="P219" i="172"/>
  <c r="R219" i="172" s="1"/>
  <c r="P39" i="172"/>
  <c r="R39" i="172" s="1"/>
  <c r="P99" i="172"/>
  <c r="R99" i="172" s="1"/>
  <c r="P79" i="172"/>
  <c r="R79" i="172" s="1"/>
  <c r="P59" i="172"/>
  <c r="R59" i="172" s="1"/>
  <c r="P246" i="172"/>
  <c r="Q246" i="172" s="1"/>
  <c r="P33" i="172"/>
  <c r="R33" i="172" s="1"/>
  <c r="P84" i="172"/>
  <c r="R84" i="172" s="1"/>
  <c r="P330" i="172"/>
  <c r="R330" i="172" s="1"/>
  <c r="P106" i="172"/>
  <c r="Q106" i="172" s="1"/>
  <c r="P364" i="172"/>
  <c r="R364" i="172" s="1"/>
  <c r="P202" i="172"/>
  <c r="R202" i="172" s="1"/>
  <c r="P337" i="172"/>
  <c r="R337" i="172" s="1"/>
  <c r="P331" i="172"/>
  <c r="R331" i="172" s="1"/>
  <c r="P172" i="172"/>
  <c r="R172" i="172" s="1"/>
  <c r="R178" i="172"/>
  <c r="Q178" i="172"/>
  <c r="P245" i="172"/>
  <c r="R245" i="172" s="1"/>
  <c r="P366" i="172"/>
  <c r="R366" i="172" s="1"/>
  <c r="P54" i="172"/>
  <c r="Q54" i="172" s="1"/>
  <c r="P2446" i="172"/>
  <c r="P2437" i="172"/>
  <c r="R2437" i="172" s="1"/>
  <c r="P2428" i="172"/>
  <c r="P2480" i="172"/>
  <c r="P2473" i="172"/>
  <c r="P2467" i="172"/>
  <c r="P2460" i="172"/>
  <c r="P2453" i="172"/>
  <c r="P2447" i="172"/>
  <c r="P2440" i="172"/>
  <c r="P17" i="173"/>
  <c r="P2669" i="172"/>
  <c r="P2433" i="172"/>
  <c r="P2426" i="172"/>
  <c r="P2420" i="172"/>
  <c r="P2413" i="172"/>
  <c r="P2406" i="172"/>
  <c r="P2305" i="172"/>
  <c r="P2298" i="172"/>
  <c r="R2298" i="172" s="1"/>
  <c r="P2290" i="172"/>
  <c r="P2283" i="172"/>
  <c r="Q2283" i="172" s="1"/>
  <c r="P2277" i="172"/>
  <c r="Q2277" i="172" s="1"/>
  <c r="P2485" i="172"/>
  <c r="P2479" i="172"/>
  <c r="P2472" i="172"/>
  <c r="P2465" i="172"/>
  <c r="P2459" i="172"/>
  <c r="P2452" i="172"/>
  <c r="P2439" i="172"/>
  <c r="P2673" i="172"/>
  <c r="P2432" i="172"/>
  <c r="P2425" i="172"/>
  <c r="P2419" i="172"/>
  <c r="P2412" i="172"/>
  <c r="P2405" i="172"/>
  <c r="P2303" i="172"/>
  <c r="R2303" i="172" s="1"/>
  <c r="P2297" i="172"/>
  <c r="P2289" i="172"/>
  <c r="Q2289" i="172" s="1"/>
  <c r="P2276" i="172"/>
  <c r="Q2276" i="172" s="1"/>
  <c r="P2261" i="172"/>
  <c r="R2261" i="172" s="1"/>
  <c r="P2254" i="172"/>
  <c r="P2247" i="172"/>
  <c r="P2239" i="172"/>
  <c r="P2232" i="172"/>
  <c r="R2232" i="172" s="1"/>
  <c r="P2225" i="172"/>
  <c r="P2218" i="172"/>
  <c r="Q2218" i="172" s="1"/>
  <c r="P2211" i="172"/>
  <c r="P2204" i="172"/>
  <c r="Q2204" i="172" s="1"/>
  <c r="P2198" i="172"/>
  <c r="R2198" i="172" s="1"/>
  <c r="P2191" i="172"/>
  <c r="P2178" i="172"/>
  <c r="Q2178" i="172" s="1"/>
  <c r="P2170" i="172"/>
  <c r="R2170" i="172" s="1"/>
  <c r="P2164" i="172"/>
  <c r="P2158" i="172"/>
  <c r="P2144" i="172"/>
  <c r="R2144" i="172" s="1"/>
  <c r="P2136" i="172"/>
  <c r="P2130" i="172"/>
  <c r="Q2130" i="172" s="1"/>
  <c r="P2122" i="172"/>
  <c r="P2116" i="172"/>
  <c r="P2102" i="172"/>
  <c r="R2102" i="172" s="1"/>
  <c r="P2094" i="172"/>
  <c r="R2094" i="172" s="1"/>
  <c r="P2088" i="172"/>
  <c r="P2079" i="172"/>
  <c r="P2070" i="172"/>
  <c r="P2064" i="172"/>
  <c r="P2055" i="172"/>
  <c r="P2046" i="172"/>
  <c r="P2040" i="172"/>
  <c r="P2034" i="172"/>
  <c r="Q2034" i="172" s="1"/>
  <c r="P2028" i="172"/>
  <c r="R2028" i="172" s="1"/>
  <c r="P2021" i="172"/>
  <c r="P2014" i="172"/>
  <c r="P2008" i="172"/>
  <c r="Q2008" i="172" s="1"/>
  <c r="P2002" i="172"/>
  <c r="R2002" i="172" s="1"/>
  <c r="P1996" i="172"/>
  <c r="P1990" i="172"/>
  <c r="P1983" i="172"/>
  <c r="P1976" i="172"/>
  <c r="P1970" i="172"/>
  <c r="P1964" i="172"/>
  <c r="R1964" i="172" s="1"/>
  <c r="P1958" i="172"/>
  <c r="R1958" i="172" s="1"/>
  <c r="P1952" i="172"/>
  <c r="P1946" i="172"/>
  <c r="P1940" i="172"/>
  <c r="R1940" i="172" s="1"/>
  <c r="P2484" i="172"/>
  <c r="P2478" i="172"/>
  <c r="P2471" i="172"/>
  <c r="P2464" i="172"/>
  <c r="P2458" i="172"/>
  <c r="P2451" i="172"/>
  <c r="P2444" i="172"/>
  <c r="P2671" i="172"/>
  <c r="P2482" i="172"/>
  <c r="P2475" i="172"/>
  <c r="P2469" i="172"/>
  <c r="P2462" i="172"/>
  <c r="P2456" i="172"/>
  <c r="P2449" i="172"/>
  <c r="P2442" i="172"/>
  <c r="P484" i="172"/>
  <c r="P494" i="172"/>
  <c r="P181" i="172"/>
  <c r="P174" i="172"/>
  <c r="P103" i="172"/>
  <c r="P85" i="172"/>
  <c r="P2680" i="172"/>
  <c r="P699" i="172"/>
  <c r="P681" i="172"/>
  <c r="Q681" i="172" s="1"/>
  <c r="P226" i="172"/>
  <c r="P51" i="172"/>
  <c r="P27" i="172"/>
  <c r="P14" i="172"/>
  <c r="P2675" i="172"/>
  <c r="P2481" i="172"/>
  <c r="P2474" i="172"/>
  <c r="P2468" i="172"/>
  <c r="P2461" i="172"/>
  <c r="P2455" i="172"/>
  <c r="P2448" i="172"/>
  <c r="P2441" i="172"/>
  <c r="P425" i="172"/>
  <c r="P422" i="172"/>
  <c r="R422" i="172" s="1"/>
  <c r="P162" i="172"/>
  <c r="P104" i="172"/>
  <c r="P2434" i="172"/>
  <c r="P2421" i="172"/>
  <c r="P2414" i="172"/>
  <c r="P2407" i="172"/>
  <c r="P2306" i="172"/>
  <c r="P2299" i="172"/>
  <c r="P2292" i="172"/>
  <c r="P2285" i="172"/>
  <c r="R2285" i="172" s="1"/>
  <c r="P2278" i="172"/>
  <c r="R2278" i="172" s="1"/>
  <c r="P2271" i="172"/>
  <c r="P2263" i="172"/>
  <c r="P2249" i="172"/>
  <c r="P2242" i="172"/>
  <c r="Q2242" i="172" s="1"/>
  <c r="P2235" i="172"/>
  <c r="Q2235" i="172" s="1"/>
  <c r="P2227" i="172"/>
  <c r="P2220" i="172"/>
  <c r="P2213" i="172"/>
  <c r="R2213" i="172" s="1"/>
  <c r="P2206" i="172"/>
  <c r="R2206" i="172" s="1"/>
  <c r="P2200" i="172"/>
  <c r="Q2200" i="172" s="1"/>
  <c r="P2194" i="172"/>
  <c r="P2186" i="172"/>
  <c r="P2180" i="172"/>
  <c r="P2173" i="172"/>
  <c r="P2166" i="172"/>
  <c r="Q2166" i="172" s="1"/>
  <c r="P2160" i="172"/>
  <c r="P2153" i="172"/>
  <c r="P2146" i="172"/>
  <c r="P2132" i="172"/>
  <c r="P2124" i="172"/>
  <c r="P2118" i="172"/>
  <c r="P2111" i="172"/>
  <c r="P2104" i="172"/>
  <c r="Q2104" i="172" s="1"/>
  <c r="P2097" i="172"/>
  <c r="P2090" i="172"/>
  <c r="R2090" i="172" s="1"/>
  <c r="P2074" i="172"/>
  <c r="P2066" i="172"/>
  <c r="P2050" i="172"/>
  <c r="R2050" i="172" s="1"/>
  <c r="P2042" i="172"/>
  <c r="P2036" i="172"/>
  <c r="P2030" i="172"/>
  <c r="P2023" i="172"/>
  <c r="R2023" i="172" s="1"/>
  <c r="P2016" i="172"/>
  <c r="P2010" i="172"/>
  <c r="P2004" i="172"/>
  <c r="P1998" i="172"/>
  <c r="Q1998" i="172" s="1"/>
  <c r="P1992" i="172"/>
  <c r="P1985" i="172"/>
  <c r="P1978" i="172"/>
  <c r="P1972" i="172"/>
  <c r="P1966" i="172"/>
  <c r="P1960" i="172"/>
  <c r="R1960" i="172" s="1"/>
  <c r="P1954" i="172"/>
  <c r="P1948" i="172"/>
  <c r="P1942" i="172"/>
  <c r="P1936" i="172"/>
  <c r="R1936" i="172" s="1"/>
  <c r="P1930" i="172"/>
  <c r="P1923" i="172"/>
  <c r="P1916" i="172"/>
  <c r="Q1916" i="172" s="1"/>
  <c r="P1910" i="172"/>
  <c r="Q1910" i="172" s="1"/>
  <c r="P1904" i="172"/>
  <c r="P1897" i="172"/>
  <c r="P1884" i="172"/>
  <c r="R1884" i="172" s="1"/>
  <c r="P1878" i="172"/>
  <c r="P1872" i="172"/>
  <c r="P1866" i="172"/>
  <c r="P1860" i="172"/>
  <c r="P1854" i="172"/>
  <c r="P1848" i="172"/>
  <c r="R1848" i="172" s="1"/>
  <c r="P1842" i="172"/>
  <c r="R1842" i="172" s="1"/>
  <c r="P1836" i="172"/>
  <c r="R1836" i="172" s="1"/>
  <c r="P1830" i="172"/>
  <c r="P1823" i="172"/>
  <c r="P1815" i="172"/>
  <c r="P1806" i="172"/>
  <c r="P1790" i="172"/>
  <c r="P1782" i="172"/>
  <c r="P1768" i="172"/>
  <c r="Q1768" i="172" s="1"/>
  <c r="P1762" i="172"/>
  <c r="Q1762" i="172" s="1"/>
  <c r="P1755" i="172"/>
  <c r="P1748" i="172"/>
  <c r="P1742" i="172"/>
  <c r="P1735" i="172"/>
  <c r="P1722" i="172"/>
  <c r="R1722" i="172" s="1"/>
  <c r="P1715" i="172"/>
  <c r="P1707" i="172"/>
  <c r="P1701" i="172"/>
  <c r="P1694" i="172"/>
  <c r="P1687" i="172"/>
  <c r="P1680" i="172"/>
  <c r="R1680" i="172" s="1"/>
  <c r="P1673" i="172"/>
  <c r="Q1673" i="172" s="1"/>
  <c r="P1659" i="172"/>
  <c r="P1652" i="172"/>
  <c r="P1644" i="172"/>
  <c r="P1637" i="172"/>
  <c r="R1637" i="172" s="1"/>
  <c r="P1630" i="172"/>
  <c r="P1623" i="172"/>
  <c r="P1616" i="172"/>
  <c r="P1608" i="172"/>
  <c r="P1602" i="172"/>
  <c r="P1594" i="172"/>
  <c r="P1587" i="172"/>
  <c r="P1580" i="172"/>
  <c r="Q1580" i="172" s="1"/>
  <c r="P1573" i="172"/>
  <c r="P1566" i="172"/>
  <c r="P1559" i="172"/>
  <c r="P1545" i="172"/>
  <c r="P1538" i="172"/>
  <c r="R1538" i="172" s="1"/>
  <c r="P1530" i="172"/>
  <c r="P1524" i="172"/>
  <c r="P1518" i="172"/>
  <c r="P1511" i="172"/>
  <c r="P1504" i="172"/>
  <c r="P1490" i="172"/>
  <c r="P1483" i="172"/>
  <c r="P1476" i="172"/>
  <c r="P1470" i="172"/>
  <c r="P1464" i="172"/>
  <c r="P1458" i="172"/>
  <c r="P1452" i="172"/>
  <c r="P1440" i="172"/>
  <c r="P1434" i="172"/>
  <c r="P1428" i="172"/>
  <c r="P1421" i="172"/>
  <c r="P1415" i="172"/>
  <c r="P1408" i="172"/>
  <c r="Q1408" i="172" s="1"/>
  <c r="P1394" i="172"/>
  <c r="P1387" i="172"/>
  <c r="P1380" i="172"/>
  <c r="P1374" i="172"/>
  <c r="Q1374" i="172" s="1"/>
  <c r="P1368" i="172"/>
  <c r="P1362" i="172"/>
  <c r="P1356" i="172"/>
  <c r="P1349" i="172"/>
  <c r="P1342" i="172"/>
  <c r="P1328" i="172"/>
  <c r="P1322" i="172"/>
  <c r="P1316" i="172"/>
  <c r="P1309" i="172"/>
  <c r="P1302" i="172"/>
  <c r="P1296" i="172"/>
  <c r="P1290" i="172"/>
  <c r="P1284" i="172"/>
  <c r="P1278" i="172"/>
  <c r="P1271" i="172"/>
  <c r="P1264" i="172"/>
  <c r="P1258" i="172"/>
  <c r="P1251" i="172"/>
  <c r="P1245" i="172"/>
  <c r="P1238" i="172"/>
  <c r="P1232" i="172"/>
  <c r="P1226" i="172"/>
  <c r="P1212" i="172"/>
  <c r="P1204" i="172"/>
  <c r="P1191" i="172"/>
  <c r="P1184" i="172"/>
  <c r="P1178" i="172"/>
  <c r="R1178" i="172" s="1"/>
  <c r="P1172" i="172"/>
  <c r="P1166" i="172"/>
  <c r="P1159" i="172"/>
  <c r="P1152" i="172"/>
  <c r="P1145" i="172"/>
  <c r="P1138" i="172"/>
  <c r="P1131" i="172"/>
  <c r="Q1131" i="172" s="1"/>
  <c r="P1124" i="172"/>
  <c r="P1118" i="172"/>
  <c r="P1111" i="172"/>
  <c r="P1105" i="172"/>
  <c r="P1098" i="172"/>
  <c r="P1092" i="172"/>
  <c r="P1085" i="172"/>
  <c r="P1072" i="172"/>
  <c r="P1058" i="172"/>
  <c r="P1051" i="172"/>
  <c r="P1043" i="172"/>
  <c r="P1037" i="172"/>
  <c r="P1029" i="172"/>
  <c r="P1022" i="172"/>
  <c r="P1015" i="172"/>
  <c r="P1008" i="172"/>
  <c r="P1002" i="172"/>
  <c r="P996" i="172"/>
  <c r="P990" i="172"/>
  <c r="P984" i="172"/>
  <c r="P977" i="172"/>
  <c r="P970" i="172"/>
  <c r="P963" i="172"/>
  <c r="P956" i="172"/>
  <c r="P949" i="172"/>
  <c r="Q949" i="172" s="1"/>
  <c r="P942" i="172"/>
  <c r="P935" i="172"/>
  <c r="P927" i="172"/>
  <c r="P921" i="172"/>
  <c r="P915" i="172"/>
  <c r="P909" i="172"/>
  <c r="R909" i="172" s="1"/>
  <c r="P901" i="172"/>
  <c r="P895" i="172"/>
  <c r="P889" i="172"/>
  <c r="P883" i="172"/>
  <c r="P875" i="172"/>
  <c r="P869" i="172"/>
  <c r="P863" i="172"/>
  <c r="P856" i="172"/>
  <c r="P849" i="172"/>
  <c r="P843" i="172"/>
  <c r="P835" i="172"/>
  <c r="P829" i="172"/>
  <c r="P807" i="172"/>
  <c r="P799" i="172"/>
  <c r="P793" i="172"/>
  <c r="P787" i="172"/>
  <c r="P780" i="172"/>
  <c r="P773" i="172"/>
  <c r="P767" i="172"/>
  <c r="P761" i="172"/>
  <c r="P754" i="172"/>
  <c r="P747" i="172"/>
  <c r="P741" i="172"/>
  <c r="P735" i="172"/>
  <c r="P728" i="172"/>
  <c r="P715" i="172"/>
  <c r="P709" i="172"/>
  <c r="P702" i="172"/>
  <c r="P695" i="172"/>
  <c r="P689" i="172"/>
  <c r="P683" i="172"/>
  <c r="P676" i="172"/>
  <c r="P669" i="172"/>
  <c r="P663" i="172"/>
  <c r="P657" i="172"/>
  <c r="P651" i="172"/>
  <c r="P644" i="172"/>
  <c r="P637" i="172"/>
  <c r="P631" i="172"/>
  <c r="P625" i="172"/>
  <c r="P619" i="172"/>
  <c r="P612" i="172"/>
  <c r="P605" i="172"/>
  <c r="P598" i="172"/>
  <c r="P590" i="172"/>
  <c r="P582" i="172"/>
  <c r="P569" i="172"/>
  <c r="P562" i="172"/>
  <c r="P555" i="172"/>
  <c r="P543" i="172"/>
  <c r="P536" i="172"/>
  <c r="P529" i="172"/>
  <c r="P523" i="172"/>
  <c r="P505" i="172"/>
  <c r="P498" i="172"/>
  <c r="P491" i="172"/>
  <c r="P479" i="172"/>
  <c r="P472" i="172"/>
  <c r="R472" i="172" s="1"/>
  <c r="P459" i="172"/>
  <c r="P452" i="172"/>
  <c r="P439" i="172"/>
  <c r="P433" i="172"/>
  <c r="P413" i="172"/>
  <c r="P407" i="172"/>
  <c r="P401" i="172"/>
  <c r="P394" i="172"/>
  <c r="P386" i="172"/>
  <c r="P380" i="172"/>
  <c r="P372" i="172"/>
  <c r="P356" i="172"/>
  <c r="R356" i="172" s="1"/>
  <c r="P343" i="172"/>
  <c r="R343" i="172" s="1"/>
  <c r="P312" i="172"/>
  <c r="P299" i="172"/>
  <c r="P292" i="172"/>
  <c r="P286" i="172"/>
  <c r="P279" i="172"/>
  <c r="P273" i="172"/>
  <c r="P266" i="172"/>
  <c r="P253" i="172"/>
  <c r="P240" i="172"/>
  <c r="P234" i="172"/>
  <c r="P227" i="172"/>
  <c r="P221" i="172"/>
  <c r="P214" i="172"/>
  <c r="P194" i="172"/>
  <c r="P188" i="172"/>
  <c r="P155" i="172"/>
  <c r="P149" i="172"/>
  <c r="P130" i="172"/>
  <c r="P124" i="172"/>
  <c r="P117" i="172"/>
  <c r="P91" i="172"/>
  <c r="P72" i="172"/>
  <c r="P46" i="172"/>
  <c r="P21" i="172"/>
  <c r="P548" i="172"/>
  <c r="P516" i="172"/>
  <c r="P136" i="172"/>
  <c r="P1047" i="172"/>
  <c r="P319" i="172"/>
  <c r="P305" i="172"/>
  <c r="P52" i="172"/>
  <c r="P2269" i="172"/>
  <c r="P2255" i="172"/>
  <c r="Q2255" i="172" s="1"/>
  <c r="P2248" i="172"/>
  <c r="R2248" i="172" s="1"/>
  <c r="P2241" i="172"/>
  <c r="Q2241" i="172" s="1"/>
  <c r="P2234" i="172"/>
  <c r="R2234" i="172" s="1"/>
  <c r="P2226" i="172"/>
  <c r="R2226" i="172" s="1"/>
  <c r="P2212" i="172"/>
  <c r="Q2212" i="172" s="1"/>
  <c r="P2205" i="172"/>
  <c r="P2199" i="172"/>
  <c r="P2192" i="172"/>
  <c r="P2185" i="172"/>
  <c r="P2179" i="172"/>
  <c r="P2172" i="172"/>
  <c r="P2159" i="172"/>
  <c r="Q2159" i="172" s="1"/>
  <c r="P2151" i="172"/>
  <c r="P2145" i="172"/>
  <c r="Q2145" i="172" s="1"/>
  <c r="P2137" i="172"/>
  <c r="P2131" i="172"/>
  <c r="P2117" i="172"/>
  <c r="P2109" i="172"/>
  <c r="P2103" i="172"/>
  <c r="P2096" i="172"/>
  <c r="P2089" i="172"/>
  <c r="P2080" i="172"/>
  <c r="P2072" i="172"/>
  <c r="R2072" i="172" s="1"/>
  <c r="P2065" i="172"/>
  <c r="P2056" i="172"/>
  <c r="P2048" i="172"/>
  <c r="P2041" i="172"/>
  <c r="P2035" i="172"/>
  <c r="P2029" i="172"/>
  <c r="R2029" i="172" s="1"/>
  <c r="P2022" i="172"/>
  <c r="P2015" i="172"/>
  <c r="P2009" i="172"/>
  <c r="P2003" i="172"/>
  <c r="Q2003" i="172" s="1"/>
  <c r="P1997" i="172"/>
  <c r="R1997" i="172" s="1"/>
  <c r="P1991" i="172"/>
  <c r="P1984" i="172"/>
  <c r="Q1984" i="172" s="1"/>
  <c r="P1971" i="172"/>
  <c r="P1965" i="172"/>
  <c r="Q1965" i="172" s="1"/>
  <c r="P1959" i="172"/>
  <c r="P1953" i="172"/>
  <c r="R1953" i="172" s="1"/>
  <c r="P1947" i="172"/>
  <c r="Q1947" i="172" s="1"/>
  <c r="P1941" i="172"/>
  <c r="P1935" i="172"/>
  <c r="P1929" i="172"/>
  <c r="P1922" i="172"/>
  <c r="Q1922" i="172" s="1"/>
  <c r="P1915" i="172"/>
  <c r="R1915" i="172" s="1"/>
  <c r="P1909" i="172"/>
  <c r="P1903" i="172"/>
  <c r="P1896" i="172"/>
  <c r="R1896" i="172" s="1"/>
  <c r="P1889" i="172"/>
  <c r="Q1889" i="172" s="1"/>
  <c r="P1883" i="172"/>
  <c r="R1883" i="172" s="1"/>
  <c r="P1877" i="172"/>
  <c r="P1871" i="172"/>
  <c r="P1865" i="172"/>
  <c r="P1859" i="172"/>
  <c r="P1853" i="172"/>
  <c r="P1847" i="172"/>
  <c r="P1841" i="172"/>
  <c r="P1835" i="172"/>
  <c r="P1828" i="172"/>
  <c r="P1822" i="172"/>
  <c r="R1822" i="172" s="1"/>
  <c r="P1813" i="172"/>
  <c r="R1813" i="172" s="1"/>
  <c r="P1797" i="172"/>
  <c r="P1789" i="172"/>
  <c r="P1781" i="172"/>
  <c r="P1773" i="172"/>
  <c r="P1767" i="172"/>
  <c r="R1767" i="172" s="1"/>
  <c r="P1760" i="172"/>
  <c r="R1760" i="172" s="1"/>
  <c r="P1754" i="172"/>
  <c r="P1747" i="172"/>
  <c r="P1741" i="172"/>
  <c r="P1734" i="172"/>
  <c r="P1727" i="172"/>
  <c r="R1727" i="172" s="1"/>
  <c r="P1721" i="172"/>
  <c r="R1721" i="172" s="1"/>
  <c r="P1714" i="172"/>
  <c r="P1700" i="172"/>
  <c r="Q1700" i="172" s="1"/>
  <c r="P1693" i="172"/>
  <c r="Q1693" i="172" s="1"/>
  <c r="P1686" i="172"/>
  <c r="P1679" i="172"/>
  <c r="P1672" i="172"/>
  <c r="P1664" i="172"/>
  <c r="P1658" i="172"/>
  <c r="Q1658" i="172" s="1"/>
  <c r="P1650" i="172"/>
  <c r="P1643" i="172"/>
  <c r="P1636" i="172"/>
  <c r="P1628" i="172"/>
  <c r="Q1628" i="172" s="1"/>
  <c r="P1622" i="172"/>
  <c r="P1615" i="172"/>
  <c r="Q1615" i="172" s="1"/>
  <c r="P1601" i="172"/>
  <c r="P1593" i="172"/>
  <c r="P1586" i="172"/>
  <c r="Q1586" i="172" s="1"/>
  <c r="P1579" i="172"/>
  <c r="P1572" i="172"/>
  <c r="P1565" i="172"/>
  <c r="Q1565" i="172" s="1"/>
  <c r="P1558" i="172"/>
  <c r="P1550" i="172"/>
  <c r="P1544" i="172"/>
  <c r="P1536" i="172"/>
  <c r="Q1536" i="172" s="1"/>
  <c r="P1529" i="172"/>
  <c r="P1523" i="172"/>
  <c r="P1516" i="172"/>
  <c r="R1516" i="172" s="1"/>
  <c r="P1510" i="172"/>
  <c r="P1503" i="172"/>
  <c r="P1495" i="172"/>
  <c r="P1489" i="172"/>
  <c r="R1489" i="172" s="1"/>
  <c r="P1482" i="172"/>
  <c r="P1475" i="172"/>
  <c r="R1475" i="172" s="1"/>
  <c r="P1469" i="172"/>
  <c r="Q1469" i="172" s="1"/>
  <c r="P1463" i="172"/>
  <c r="P1457" i="172"/>
  <c r="P1451" i="172"/>
  <c r="R1451" i="172" s="1"/>
  <c r="P1445" i="172"/>
  <c r="P1439" i="172"/>
  <c r="P1433" i="172"/>
  <c r="P1427" i="172"/>
  <c r="P1420" i="172"/>
  <c r="P1413" i="172"/>
  <c r="R1413" i="172" s="1"/>
  <c r="P1407" i="172"/>
  <c r="R1407" i="172" s="1"/>
  <c r="P1399" i="172"/>
  <c r="P1393" i="172"/>
  <c r="P1386" i="172"/>
  <c r="P1379" i="172"/>
  <c r="P1373" i="172"/>
  <c r="P1367" i="172"/>
  <c r="P1361" i="172"/>
  <c r="Q1361" i="172" s="1"/>
  <c r="P1355" i="172"/>
  <c r="P1348" i="172"/>
  <c r="P1341" i="172"/>
  <c r="P1333" i="172"/>
  <c r="P1327" i="172"/>
  <c r="P1321" i="172"/>
  <c r="P1315" i="172"/>
  <c r="P1308" i="172"/>
  <c r="P1301" i="172"/>
  <c r="P1295" i="172"/>
  <c r="P1289" i="172"/>
  <c r="P1283" i="172"/>
  <c r="P1277" i="172"/>
  <c r="P1270" i="172"/>
  <c r="P1263" i="172"/>
  <c r="P1257" i="172"/>
  <c r="P1250" i="172"/>
  <c r="P1243" i="172"/>
  <c r="P1237" i="172"/>
  <c r="P1231" i="172"/>
  <c r="P1225" i="172"/>
  <c r="P1217" i="172"/>
  <c r="P1211" i="172"/>
  <c r="R1211" i="172" s="1"/>
  <c r="P1197" i="172"/>
  <c r="Q1197" i="172" s="1"/>
  <c r="P1190" i="172"/>
  <c r="P1183" i="172"/>
  <c r="P1177" i="172"/>
  <c r="P1171" i="172"/>
  <c r="P1165" i="172"/>
  <c r="P1158" i="172"/>
  <c r="P1151" i="172"/>
  <c r="Q1151" i="172" s="1"/>
  <c r="P1144" i="172"/>
  <c r="P1130" i="172"/>
  <c r="P1123" i="172"/>
  <c r="P1117" i="172"/>
  <c r="P1110" i="172"/>
  <c r="P1103" i="172"/>
  <c r="P1097" i="172"/>
  <c r="P1091" i="172"/>
  <c r="P1084" i="172"/>
  <c r="P1077" i="172"/>
  <c r="Q1077" i="172" s="1"/>
  <c r="P1071" i="172"/>
  <c r="P1063" i="172"/>
  <c r="P1057" i="172"/>
  <c r="P1049" i="172"/>
  <c r="P1042" i="172"/>
  <c r="P1035" i="172"/>
  <c r="Q1035" i="172" s="1"/>
  <c r="P1028" i="172"/>
  <c r="P1021" i="172"/>
  <c r="Q1021" i="172" s="1"/>
  <c r="P1014" i="172"/>
  <c r="P1007" i="172"/>
  <c r="P1001" i="172"/>
  <c r="P995" i="172"/>
  <c r="P989" i="172"/>
  <c r="P983" i="172"/>
  <c r="P976" i="172"/>
  <c r="P969" i="172"/>
  <c r="P962" i="172"/>
  <c r="P955" i="172"/>
  <c r="P941" i="172"/>
  <c r="P933" i="172"/>
  <c r="P926" i="172"/>
  <c r="Q926" i="172" s="1"/>
  <c r="P920" i="172"/>
  <c r="P914" i="172"/>
  <c r="P907" i="172"/>
  <c r="P900" i="172"/>
  <c r="P894" i="172"/>
  <c r="P888" i="172"/>
  <c r="P882" i="172"/>
  <c r="P868" i="172"/>
  <c r="P862" i="172"/>
  <c r="P855" i="172"/>
  <c r="P848" i="172"/>
  <c r="P842" i="172"/>
  <c r="P828" i="172"/>
  <c r="P820" i="172"/>
  <c r="P812" i="172"/>
  <c r="P805" i="172"/>
  <c r="P798" i="172"/>
  <c r="P792" i="172"/>
  <c r="P785" i="172"/>
  <c r="P779" i="172"/>
  <c r="P772" i="172"/>
  <c r="P766" i="172"/>
  <c r="P759" i="172"/>
  <c r="R759" i="172" s="1"/>
  <c r="P753" i="172"/>
  <c r="P746" i="172"/>
  <c r="P740" i="172"/>
  <c r="P734" i="172"/>
  <c r="P727" i="172"/>
  <c r="P720" i="172"/>
  <c r="P714" i="172"/>
  <c r="R714" i="172" s="1"/>
  <c r="P708" i="172"/>
  <c r="P701" i="172"/>
  <c r="P694" i="172"/>
  <c r="P688" i="172"/>
  <c r="P675" i="172"/>
  <c r="P668" i="172"/>
  <c r="P662" i="172"/>
  <c r="P656" i="172"/>
  <c r="P649" i="172"/>
  <c r="R649" i="172" s="1"/>
  <c r="P643" i="172"/>
  <c r="P636" i="172"/>
  <c r="P630" i="172"/>
  <c r="P624" i="172"/>
  <c r="P611" i="172"/>
  <c r="P604" i="172"/>
  <c r="P597" i="172"/>
  <c r="P588" i="172"/>
  <c r="P581" i="172"/>
  <c r="P574" i="172"/>
  <c r="P568" i="172"/>
  <c r="Q568" i="172" s="1"/>
  <c r="P542" i="172"/>
  <c r="P535" i="172"/>
  <c r="P528" i="172"/>
  <c r="P522" i="172"/>
  <c r="P510" i="172"/>
  <c r="R510" i="172" s="1"/>
  <c r="P504" i="172"/>
  <c r="R504" i="172" s="1"/>
  <c r="P490" i="172"/>
  <c r="P478" i="172"/>
  <c r="P458" i="172"/>
  <c r="P451" i="172"/>
  <c r="P438" i="172"/>
  <c r="P432" i="172"/>
  <c r="P418" i="172"/>
  <c r="P412" i="172"/>
  <c r="P392" i="172"/>
  <c r="P371" i="172"/>
  <c r="P361" i="172"/>
  <c r="Q361" i="172" s="1"/>
  <c r="P355" i="172"/>
  <c r="Q355" i="172" s="1"/>
  <c r="P348" i="172"/>
  <c r="Q348" i="172" s="1"/>
  <c r="P342" i="172"/>
  <c r="Q342" i="172" s="1"/>
  <c r="P336" i="172"/>
  <c r="R336" i="172" s="1"/>
  <c r="P326" i="172"/>
  <c r="R326" i="172" s="1"/>
  <c r="P311" i="172"/>
  <c r="P298" i="172"/>
  <c r="P291" i="172"/>
  <c r="P285" i="172"/>
  <c r="P278" i="172"/>
  <c r="P265" i="172"/>
  <c r="P252" i="172"/>
  <c r="P239" i="172"/>
  <c r="P233" i="172"/>
  <c r="P213" i="172"/>
  <c r="P206" i="172"/>
  <c r="P193" i="172"/>
  <c r="P187" i="172"/>
  <c r="P161" i="172"/>
  <c r="P148" i="172"/>
  <c r="P129" i="172"/>
  <c r="P122" i="172"/>
  <c r="P116" i="172"/>
  <c r="P90" i="172"/>
  <c r="P71" i="172"/>
  <c r="P45" i="172"/>
  <c r="P26" i="172"/>
  <c r="P20" i="172"/>
  <c r="P378" i="172"/>
  <c r="P2672" i="172"/>
  <c r="P2438" i="172"/>
  <c r="P2431" i="172"/>
  <c r="P2424" i="172"/>
  <c r="P2417" i="172"/>
  <c r="P2411" i="172"/>
  <c r="P2404" i="172"/>
  <c r="P2302" i="172"/>
  <c r="R2302" i="172" s="1"/>
  <c r="P2295" i="172"/>
  <c r="R2295" i="172" s="1"/>
  <c r="P2288" i="172"/>
  <c r="P2281" i="172"/>
  <c r="P2275" i="172"/>
  <c r="P2267" i="172"/>
  <c r="R2267" i="172" s="1"/>
  <c r="P2260" i="172"/>
  <c r="P2252" i="172"/>
  <c r="P2245" i="172"/>
  <c r="P2238" i="172"/>
  <c r="R2238" i="172" s="1"/>
  <c r="P2224" i="172"/>
  <c r="Q2224" i="172" s="1"/>
  <c r="P2217" i="172"/>
  <c r="P2210" i="172"/>
  <c r="P2197" i="172"/>
  <c r="P2189" i="172"/>
  <c r="Q2189" i="172" s="1"/>
  <c r="P2183" i="172"/>
  <c r="P2177" i="172"/>
  <c r="P2163" i="172"/>
  <c r="P2157" i="172"/>
  <c r="P2149" i="172"/>
  <c r="P2142" i="172"/>
  <c r="P2129" i="172"/>
  <c r="Q2129" i="172" s="1"/>
  <c r="P2121" i="172"/>
  <c r="P2115" i="172"/>
  <c r="P2107" i="172"/>
  <c r="P2101" i="172"/>
  <c r="P2086" i="172"/>
  <c r="R2086" i="172" s="1"/>
  <c r="P2078" i="172"/>
  <c r="R2078" i="172" s="1"/>
  <c r="P2062" i="172"/>
  <c r="P2054" i="172"/>
  <c r="P2039" i="172"/>
  <c r="R2039" i="172" s="1"/>
  <c r="P2033" i="172"/>
  <c r="Q2033" i="172" s="1"/>
  <c r="P2026" i="172"/>
  <c r="P2020" i="172"/>
  <c r="P2013" i="172"/>
  <c r="P2007" i="172"/>
  <c r="R2007" i="172" s="1"/>
  <c r="P2001" i="172"/>
  <c r="P1995" i="172"/>
  <c r="Q1995" i="172" s="1"/>
  <c r="P1989" i="172"/>
  <c r="P1982" i="172"/>
  <c r="R1982" i="172" s="1"/>
  <c r="P1975" i="172"/>
  <c r="R1975" i="172" s="1"/>
  <c r="P1969" i="172"/>
  <c r="Q1969" i="172" s="1"/>
  <c r="P1963" i="172"/>
  <c r="P1957" i="172"/>
  <c r="P1951" i="172"/>
  <c r="R1951" i="172" s="1"/>
  <c r="P1945" i="172"/>
  <c r="R1945" i="172" s="1"/>
  <c r="P1939" i="172"/>
  <c r="P1933" i="172"/>
  <c r="P1926" i="172"/>
  <c r="Q1926" i="172" s="1"/>
  <c r="P1919" i="172"/>
  <c r="Q1919" i="172" s="1"/>
  <c r="P1913" i="172"/>
  <c r="P1907" i="172"/>
  <c r="P1901" i="172"/>
  <c r="P1894" i="172"/>
  <c r="R1894" i="172" s="1"/>
  <c r="P1887" i="172"/>
  <c r="P1881" i="172"/>
  <c r="P1875" i="172"/>
  <c r="R1875" i="172" s="1"/>
  <c r="P1869" i="172"/>
  <c r="P1863" i="172"/>
  <c r="R1863" i="172" s="1"/>
  <c r="P1857" i="172"/>
  <c r="R1857" i="172" s="1"/>
  <c r="P1851" i="172"/>
  <c r="P1845" i="172"/>
  <c r="R1845" i="172" s="1"/>
  <c r="P1839" i="172"/>
  <c r="P1833" i="172"/>
  <c r="P1826" i="172"/>
  <c r="Q1826" i="172" s="1"/>
  <c r="P1811" i="172"/>
  <c r="P1803" i="172"/>
  <c r="P1794" i="172"/>
  <c r="P1785" i="172"/>
  <c r="P1778" i="172"/>
  <c r="P1771" i="172"/>
  <c r="Q1771" i="172" s="1"/>
  <c r="P1765" i="172"/>
  <c r="R1765" i="172" s="1"/>
  <c r="P1758" i="172"/>
  <c r="P1745" i="172"/>
  <c r="P1739" i="172"/>
  <c r="P1732" i="172"/>
  <c r="P1725" i="172"/>
  <c r="P1718" i="172"/>
  <c r="P1711" i="172"/>
  <c r="P1704" i="172"/>
  <c r="P1697" i="172"/>
  <c r="P1691" i="172"/>
  <c r="Q1691" i="172" s="1"/>
  <c r="P1677" i="172"/>
  <c r="P1669" i="172"/>
  <c r="P1662" i="172"/>
  <c r="R1662" i="172" s="1"/>
  <c r="P1655" i="172"/>
  <c r="R1655" i="172" s="1"/>
  <c r="P1648" i="172"/>
  <c r="P1641" i="172"/>
  <c r="P1634" i="172"/>
  <c r="P1626" i="172"/>
  <c r="P1620" i="172"/>
  <c r="P1612" i="172"/>
  <c r="R1612" i="172" s="1"/>
  <c r="P1605" i="172"/>
  <c r="P1598" i="172"/>
  <c r="P1590" i="172"/>
  <c r="R1590" i="172" s="1"/>
  <c r="P1584" i="172"/>
  <c r="P1577" i="172"/>
  <c r="P1563" i="172"/>
  <c r="R1563" i="172" s="1"/>
  <c r="P1555" i="172"/>
  <c r="Q1555" i="172" s="1"/>
  <c r="P1548" i="172"/>
  <c r="R1548" i="172" s="1"/>
  <c r="P1541" i="172"/>
  <c r="P1534" i="172"/>
  <c r="P1527" i="172"/>
  <c r="P1521" i="172"/>
  <c r="Q1521" i="172" s="1"/>
  <c r="P1514" i="172"/>
  <c r="P1500" i="172"/>
  <c r="P1493" i="172"/>
  <c r="P1486" i="172"/>
  <c r="Q1486" i="172" s="1"/>
  <c r="P1473" i="172"/>
  <c r="P1467" i="172"/>
  <c r="P1461" i="172"/>
  <c r="P1455" i="172"/>
  <c r="P1449" i="172"/>
  <c r="P1443" i="172"/>
  <c r="R1443" i="172" s="1"/>
  <c r="P1437" i="172"/>
  <c r="P1431" i="172"/>
  <c r="P1425" i="172"/>
  <c r="P1418" i="172"/>
  <c r="Q1418" i="172" s="1"/>
  <c r="P1411" i="172"/>
  <c r="R1411" i="172" s="1"/>
  <c r="P1404" i="172"/>
  <c r="P1397" i="172"/>
  <c r="P1390" i="172"/>
  <c r="P1377" i="172"/>
  <c r="P1371" i="172"/>
  <c r="P1365" i="172"/>
  <c r="Q1365" i="172" s="1"/>
  <c r="P1359" i="172"/>
  <c r="R1359" i="172" s="1"/>
  <c r="P1352" i="172"/>
  <c r="P1346" i="172"/>
  <c r="P1339" i="172"/>
  <c r="P1331" i="172"/>
  <c r="Q1331" i="172" s="1"/>
  <c r="P1325" i="172"/>
  <c r="P1319" i="172"/>
  <c r="P1312" i="172"/>
  <c r="P1305" i="172"/>
  <c r="P1299" i="172"/>
  <c r="Q1299" i="172" s="1"/>
  <c r="P1293" i="172"/>
  <c r="P1287" i="172"/>
  <c r="P1281" i="172"/>
  <c r="P1274" i="172"/>
  <c r="P1267" i="172"/>
  <c r="P1261" i="172"/>
  <c r="P1255" i="172"/>
  <c r="P1248" i="172"/>
  <c r="P1241" i="172"/>
  <c r="P1235" i="172"/>
  <c r="P1229" i="172"/>
  <c r="P1222" i="172"/>
  <c r="P1215" i="172"/>
  <c r="P1208" i="172"/>
  <c r="P1201" i="172"/>
  <c r="P1195" i="172"/>
  <c r="P1187" i="172"/>
  <c r="P1181" i="172"/>
  <c r="P1175" i="172"/>
  <c r="Q1175" i="172" s="1"/>
  <c r="P1169" i="172"/>
  <c r="P1162" i="172"/>
  <c r="P1155" i="172"/>
  <c r="P1149" i="172"/>
  <c r="P1142" i="172"/>
  <c r="P1135" i="172"/>
  <c r="P1121" i="172"/>
  <c r="P1115" i="172"/>
  <c r="P1108" i="172"/>
  <c r="P1101" i="172"/>
  <c r="P1095" i="172"/>
  <c r="P1089" i="172"/>
  <c r="P1082" i="172"/>
  <c r="P1075" i="172"/>
  <c r="P1068" i="172"/>
  <c r="P1061" i="172"/>
  <c r="P1054" i="172"/>
  <c r="P1040" i="172"/>
  <c r="P1033" i="172"/>
  <c r="P1025" i="172"/>
  <c r="P1019" i="172"/>
  <c r="P1011" i="172"/>
  <c r="P1005" i="172"/>
  <c r="R1005" i="172" s="1"/>
  <c r="P999" i="172"/>
  <c r="P993" i="172"/>
  <c r="P987" i="172"/>
  <c r="P980" i="172"/>
  <c r="P973" i="172"/>
  <c r="P967" i="172"/>
  <c r="P953" i="172"/>
  <c r="P945" i="172"/>
  <c r="P938" i="172"/>
  <c r="P931" i="172"/>
  <c r="P924" i="172"/>
  <c r="P912" i="172"/>
  <c r="P905" i="172"/>
  <c r="P898" i="172"/>
  <c r="P892" i="172"/>
  <c r="P886" i="172"/>
  <c r="P879" i="172"/>
  <c r="P872" i="172"/>
  <c r="P866" i="172"/>
  <c r="P860" i="172"/>
  <c r="P846" i="172"/>
  <c r="P839" i="172"/>
  <c r="P832" i="172"/>
  <c r="P825" i="172"/>
  <c r="P818" i="172"/>
  <c r="P810" i="172"/>
  <c r="P803" i="172"/>
  <c r="P796" i="172"/>
  <c r="P790" i="172"/>
  <c r="P783" i="172"/>
  <c r="P770" i="172"/>
  <c r="P764" i="172"/>
  <c r="Q764" i="172" s="1"/>
  <c r="P757" i="172"/>
  <c r="P744" i="172"/>
  <c r="P738" i="172"/>
  <c r="P732" i="172"/>
  <c r="P725" i="172"/>
  <c r="P718" i="172"/>
  <c r="P712" i="172"/>
  <c r="P705" i="172"/>
  <c r="P692" i="172"/>
  <c r="P686" i="172"/>
  <c r="Q686" i="172" s="1"/>
  <c r="P679" i="172"/>
  <c r="P666" i="172"/>
  <c r="P660" i="172"/>
  <c r="P654" i="172"/>
  <c r="Q654" i="172" s="1"/>
  <c r="P647" i="172"/>
  <c r="P634" i="172"/>
  <c r="Q634" i="172" s="1"/>
  <c r="P628" i="172"/>
  <c r="P622" i="172"/>
  <c r="P615" i="172"/>
  <c r="P608" i="172"/>
  <c r="P602" i="172"/>
  <c r="P572" i="172"/>
  <c r="P566" i="172"/>
  <c r="P532" i="172"/>
  <c r="P526" i="172"/>
  <c r="P520" i="172"/>
  <c r="P514" i="172"/>
  <c r="R514" i="172" s="1"/>
  <c r="P501" i="172"/>
  <c r="P488" i="172"/>
  <c r="P482" i="172"/>
  <c r="P475" i="172"/>
  <c r="P468" i="172"/>
  <c r="P462" i="172"/>
  <c r="P449" i="172"/>
  <c r="P442" i="172"/>
  <c r="P429" i="172"/>
  <c r="P416" i="172"/>
  <c r="P410" i="172"/>
  <c r="P641" i="172"/>
  <c r="P217" i="172"/>
  <c r="P177" i="172"/>
  <c r="P1009" i="172"/>
  <c r="P314" i="172"/>
  <c r="P282" i="172"/>
  <c r="P53" i="172"/>
  <c r="P404" i="172"/>
  <c r="P397" i="172"/>
  <c r="P390" i="172"/>
  <c r="P383" i="172"/>
  <c r="P376" i="172"/>
  <c r="P352" i="172"/>
  <c r="R352" i="172" s="1"/>
  <c r="P346" i="172"/>
  <c r="Q346" i="172" s="1"/>
  <c r="P340" i="172"/>
  <c r="Q340" i="172" s="1"/>
  <c r="P334" i="172"/>
  <c r="Q334" i="172" s="1"/>
  <c r="P329" i="172"/>
  <c r="Q329" i="172" s="1"/>
  <c r="P322" i="172"/>
  <c r="P316" i="172"/>
  <c r="P309" i="172"/>
  <c r="P303" i="172"/>
  <c r="P289" i="172"/>
  <c r="P276" i="172"/>
  <c r="P270" i="172"/>
  <c r="P263" i="172"/>
  <c r="P256" i="172"/>
  <c r="P250" i="172"/>
  <c r="P243" i="172"/>
  <c r="P237" i="172"/>
  <c r="P230" i="172"/>
  <c r="P224" i="172"/>
  <c r="P211" i="172"/>
  <c r="P204" i="172"/>
  <c r="P198" i="172"/>
  <c r="P191" i="172"/>
  <c r="P185" i="172"/>
  <c r="P166" i="172"/>
  <c r="P159" i="172"/>
  <c r="P152" i="172"/>
  <c r="P146" i="172"/>
  <c r="P127" i="172"/>
  <c r="P120" i="172"/>
  <c r="P114" i="172"/>
  <c r="P107" i="172"/>
  <c r="P94" i="172"/>
  <c r="P88" i="172"/>
  <c r="P75" i="172"/>
  <c r="P69" i="172"/>
  <c r="P62" i="172"/>
  <c r="P49" i="172"/>
  <c r="P43" i="172"/>
  <c r="P24" i="172"/>
  <c r="P18" i="172"/>
  <c r="P1914" i="172"/>
  <c r="Q1914" i="172" s="1"/>
  <c r="P1705" i="172"/>
  <c r="P1556" i="172"/>
  <c r="P1462" i="172"/>
  <c r="P1378" i="172"/>
  <c r="P1326" i="172"/>
  <c r="P1262" i="172"/>
  <c r="P1196" i="172"/>
  <c r="P1122" i="172"/>
  <c r="P1055" i="172"/>
  <c r="P988" i="172"/>
  <c r="P919" i="172"/>
  <c r="P853" i="172"/>
  <c r="P791" i="172"/>
  <c r="Q791" i="172" s="1"/>
  <c r="P719" i="172"/>
  <c r="P655" i="172"/>
  <c r="P586" i="172"/>
  <c r="P540" i="172"/>
  <c r="P476" i="172"/>
  <c r="P310" i="172"/>
  <c r="P244" i="172"/>
  <c r="P192" i="172"/>
  <c r="P70" i="172"/>
  <c r="P457" i="172"/>
  <c r="P2483" i="172"/>
  <c r="P2477" i="172"/>
  <c r="P2470" i="172"/>
  <c r="P2463" i="172"/>
  <c r="P2457" i="172"/>
  <c r="P2450" i="172"/>
  <c r="P2443" i="172"/>
  <c r="P141" i="172"/>
  <c r="P1846" i="172"/>
  <c r="Q1846" i="172" s="1"/>
  <c r="P1746" i="172"/>
  <c r="R1746" i="172" s="1"/>
  <c r="P1684" i="172"/>
  <c r="Q1684" i="172" s="1"/>
  <c r="P1635" i="172"/>
  <c r="P1599" i="172"/>
  <c r="R1599" i="172" s="1"/>
  <c r="P1522" i="172"/>
  <c r="P1480" i="172"/>
  <c r="P1432" i="172"/>
  <c r="P1384" i="172"/>
  <c r="P1340" i="172"/>
  <c r="P1288" i="172"/>
  <c r="P1202" i="172"/>
  <c r="P1150" i="172"/>
  <c r="P1090" i="172"/>
  <c r="P1034" i="172"/>
  <c r="P975" i="172"/>
  <c r="P906" i="172"/>
  <c r="P833" i="172"/>
  <c r="P771" i="172"/>
  <c r="P713" i="172"/>
  <c r="P661" i="172"/>
  <c r="P610" i="172"/>
  <c r="P560" i="172"/>
  <c r="P509" i="172"/>
  <c r="P450" i="172"/>
  <c r="P424" i="172"/>
  <c r="P369" i="172"/>
  <c r="P284" i="172"/>
  <c r="P225" i="172"/>
  <c r="P173" i="172"/>
  <c r="P135" i="172"/>
  <c r="P89" i="172"/>
  <c r="P38" i="172"/>
  <c r="P2676" i="172"/>
  <c r="P2430" i="172"/>
  <c r="P2423" i="172"/>
  <c r="P2416" i="172"/>
  <c r="P2410" i="172"/>
  <c r="P2403" i="172"/>
  <c r="P2308" i="172"/>
  <c r="P2301" i="172"/>
  <c r="R2301" i="172" s="1"/>
  <c r="P2287" i="172"/>
  <c r="P2280" i="172"/>
  <c r="R2280" i="172" s="1"/>
  <c r="P2273" i="172"/>
  <c r="R2273" i="172" s="1"/>
  <c r="P2266" i="172"/>
  <c r="R2266" i="172" s="1"/>
  <c r="P2259" i="172"/>
  <c r="Q2259" i="172" s="1"/>
  <c r="P2251" i="172"/>
  <c r="P2237" i="172"/>
  <c r="R2237" i="172" s="1"/>
  <c r="P2230" i="172"/>
  <c r="Q2230" i="172" s="1"/>
  <c r="P2223" i="172"/>
  <c r="P2215" i="172"/>
  <c r="P2208" i="172"/>
  <c r="R2208" i="172" s="1"/>
  <c r="P2202" i="172"/>
  <c r="R2202" i="172" s="1"/>
  <c r="P2196" i="172"/>
  <c r="Q2196" i="172" s="1"/>
  <c r="P2182" i="172"/>
  <c r="P2176" i="172"/>
  <c r="P2168" i="172"/>
  <c r="P2162" i="172"/>
  <c r="Q2162" i="172" s="1"/>
  <c r="P2156" i="172"/>
  <c r="R2156" i="172" s="1"/>
  <c r="P2148" i="172"/>
  <c r="P2141" i="172"/>
  <c r="P2134" i="172"/>
  <c r="R2134" i="172" s="1"/>
  <c r="P2127" i="172"/>
  <c r="P2114" i="172"/>
  <c r="R2114" i="172" s="1"/>
  <c r="P2106" i="172"/>
  <c r="Q2106" i="172" s="1"/>
  <c r="P2100" i="172"/>
  <c r="Q2100" i="172" s="1"/>
  <c r="P2092" i="172"/>
  <c r="R2092" i="172" s="1"/>
  <c r="P2084" i="172"/>
  <c r="R2084" i="172" s="1"/>
  <c r="P2077" i="172"/>
  <c r="P2068" i="172"/>
  <c r="R2068" i="172" s="1"/>
  <c r="P2060" i="172"/>
  <c r="R2060" i="172" s="1"/>
  <c r="P2053" i="172"/>
  <c r="P2044" i="172"/>
  <c r="R2044" i="172" s="1"/>
  <c r="P2038" i="172"/>
  <c r="R2038" i="172" s="1"/>
  <c r="P2032" i="172"/>
  <c r="P2025" i="172"/>
  <c r="R2025" i="172" s="1"/>
  <c r="P2018" i="172"/>
  <c r="R2018" i="172" s="1"/>
  <c r="P2012" i="172"/>
  <c r="P2006" i="172"/>
  <c r="P2000" i="172"/>
  <c r="P1994" i="172"/>
  <c r="R1994" i="172" s="1"/>
  <c r="P1988" i="172"/>
  <c r="Q1988" i="172" s="1"/>
  <c r="P1981" i="172"/>
  <c r="P1974" i="172"/>
  <c r="P1968" i="172"/>
  <c r="Q1968" i="172" s="1"/>
  <c r="P1962" i="172"/>
  <c r="Q1962" i="172" s="1"/>
  <c r="P1956" i="172"/>
  <c r="P1950" i="172"/>
  <c r="P1944" i="172"/>
  <c r="R1944" i="172" s="1"/>
  <c r="P1938" i="172"/>
  <c r="R1938" i="172" s="1"/>
  <c r="P1932" i="172"/>
  <c r="P1925" i="172"/>
  <c r="P1912" i="172"/>
  <c r="P1906" i="172"/>
  <c r="R1906" i="172" s="1"/>
  <c r="P1899" i="172"/>
  <c r="P1893" i="172"/>
  <c r="P1886" i="172"/>
  <c r="Q1886" i="172" s="1"/>
  <c r="P1880" i="172"/>
  <c r="R1880" i="172" s="1"/>
  <c r="P1874" i="172"/>
  <c r="Q1874" i="172" s="1"/>
  <c r="P1868" i="172"/>
  <c r="P1862" i="172"/>
  <c r="P1856" i="172"/>
  <c r="P1850" i="172"/>
  <c r="P1844" i="172"/>
  <c r="R1844" i="172" s="1"/>
  <c r="P1838" i="172"/>
  <c r="P1832" i="172"/>
  <c r="P1825" i="172"/>
  <c r="Q1825" i="172" s="1"/>
  <c r="P1818" i="172"/>
  <c r="Q1818" i="172" s="1"/>
  <c r="P1810" i="172"/>
  <c r="P1801" i="172"/>
  <c r="R1801" i="172" s="1"/>
  <c r="P1792" i="172"/>
  <c r="P1777" i="172"/>
  <c r="P1770" i="172"/>
  <c r="P1764" i="172"/>
  <c r="P1757" i="172"/>
  <c r="Q1757" i="172" s="1"/>
  <c r="P1750" i="172"/>
  <c r="Q1750" i="172" s="1"/>
  <c r="P1744" i="172"/>
  <c r="P1737" i="172"/>
  <c r="P1731" i="172"/>
  <c r="R1731" i="172" s="1"/>
  <c r="P1724" i="172"/>
  <c r="P1717" i="172"/>
  <c r="Q1717" i="172" s="1"/>
  <c r="P1710" i="172"/>
  <c r="P1703" i="172"/>
  <c r="P1696" i="172"/>
  <c r="P1690" i="172"/>
  <c r="Q1690" i="172" s="1"/>
  <c r="P1682" i="172"/>
  <c r="P1675" i="172"/>
  <c r="P1668" i="172"/>
  <c r="R1668" i="172" s="1"/>
  <c r="P1661" i="172"/>
  <c r="P1654" i="172"/>
  <c r="P1646" i="172"/>
  <c r="P1640" i="172"/>
  <c r="P1632" i="172"/>
  <c r="Q1632" i="172" s="1"/>
  <c r="P1625" i="172"/>
  <c r="P1618" i="172"/>
  <c r="R1618" i="172" s="1"/>
  <c r="P1611" i="172"/>
  <c r="P1604" i="172"/>
  <c r="P1597" i="172"/>
  <c r="P1583" i="172"/>
  <c r="P1576" i="172"/>
  <c r="P1568" i="172"/>
  <c r="P1561" i="172"/>
  <c r="P1554" i="172"/>
  <c r="P1547" i="172"/>
  <c r="P1540" i="172"/>
  <c r="P1532" i="172"/>
  <c r="Q1532" i="172" s="1"/>
  <c r="P1526" i="172"/>
  <c r="P1520" i="172"/>
  <c r="P1513" i="172"/>
  <c r="P1506" i="172"/>
  <c r="P1499" i="172"/>
  <c r="P1492" i="172"/>
  <c r="Q1492" i="172" s="1"/>
  <c r="P1485" i="172"/>
  <c r="P1478" i="172"/>
  <c r="Q1478" i="172" s="1"/>
  <c r="P1472" i="172"/>
  <c r="P1466" i="172"/>
  <c r="P1460" i="172"/>
  <c r="P1454" i="172"/>
  <c r="P1448" i="172"/>
  <c r="P1442" i="172"/>
  <c r="Q1442" i="172" s="1"/>
  <c r="P1436" i="172"/>
  <c r="P1430" i="172"/>
  <c r="P1424" i="172"/>
  <c r="P1417" i="172"/>
  <c r="P1410" i="172"/>
  <c r="P1403" i="172"/>
  <c r="R1403" i="172" s="1"/>
  <c r="P1396" i="172"/>
  <c r="P1389" i="172"/>
  <c r="P1382" i="172"/>
  <c r="P1376" i="172"/>
  <c r="P1370" i="172"/>
  <c r="Q1370" i="172" s="1"/>
  <c r="P1364" i="172"/>
  <c r="P1358" i="172"/>
  <c r="P1351" i="172"/>
  <c r="P1344" i="172"/>
  <c r="P1337" i="172"/>
  <c r="R1337" i="172" s="1"/>
  <c r="P1330" i="172"/>
  <c r="Q1330" i="172" s="1"/>
  <c r="P1324" i="172"/>
  <c r="P1318" i="172"/>
  <c r="P1311" i="172"/>
  <c r="P1298" i="172"/>
  <c r="P1292" i="172"/>
  <c r="P1286" i="172"/>
  <c r="P1280" i="172"/>
  <c r="P1273" i="172"/>
  <c r="P1260" i="172"/>
  <c r="P1254" i="172"/>
  <c r="P1247" i="172"/>
  <c r="P1240" i="172"/>
  <c r="P1234" i="172"/>
  <c r="P1228" i="172"/>
  <c r="P1221" i="172"/>
  <c r="P1214" i="172"/>
  <c r="P1207" i="172"/>
  <c r="P1200" i="172"/>
  <c r="P1194" i="172"/>
  <c r="P1180" i="172"/>
  <c r="P1174" i="172"/>
  <c r="P1168" i="172"/>
  <c r="P1161" i="172"/>
  <c r="P1148" i="172"/>
  <c r="P1141" i="172"/>
  <c r="P1134" i="172"/>
  <c r="P1120" i="172"/>
  <c r="P1114" i="172"/>
  <c r="P1107" i="172"/>
  <c r="P1100" i="172"/>
  <c r="P1094" i="172"/>
  <c r="Q1094" i="172" s="1"/>
  <c r="P1087" i="172"/>
  <c r="P1074" i="172"/>
  <c r="P1067" i="172"/>
  <c r="P1060" i="172"/>
  <c r="P1053" i="172"/>
  <c r="P1045" i="172"/>
  <c r="P1039" i="172"/>
  <c r="P1032" i="172"/>
  <c r="P1018" i="172"/>
  <c r="P1004" i="172"/>
  <c r="P998" i="172"/>
  <c r="P992" i="172"/>
  <c r="P986" i="172"/>
  <c r="P979" i="172"/>
  <c r="P972" i="172"/>
  <c r="P965" i="172"/>
  <c r="P959" i="172"/>
  <c r="P951" i="172"/>
  <c r="P944" i="172"/>
  <c r="R944" i="172" s="1"/>
  <c r="P937" i="172"/>
  <c r="P929" i="172"/>
  <c r="P917" i="172"/>
  <c r="P903" i="172"/>
  <c r="P897" i="172"/>
  <c r="P891" i="172"/>
  <c r="P885" i="172"/>
  <c r="P878" i="172"/>
  <c r="P871" i="172"/>
  <c r="P865" i="172"/>
  <c r="P859" i="172"/>
  <c r="P851" i="172"/>
  <c r="P845" i="172"/>
  <c r="P838" i="172"/>
  <c r="P831" i="172"/>
  <c r="P824" i="172"/>
  <c r="P816" i="172"/>
  <c r="P809" i="172"/>
  <c r="P801" i="172"/>
  <c r="P795" i="172"/>
  <c r="P789" i="172"/>
  <c r="P782" i="172"/>
  <c r="P775" i="172"/>
  <c r="P769" i="172"/>
  <c r="P763" i="172"/>
  <c r="P756" i="172"/>
  <c r="P749" i="172"/>
  <c r="P743" i="172"/>
  <c r="P737" i="172"/>
  <c r="P724" i="172"/>
  <c r="P717" i="172"/>
  <c r="P711" i="172"/>
  <c r="P704" i="172"/>
  <c r="Q704" i="172" s="1"/>
  <c r="P697" i="172"/>
  <c r="P691" i="172"/>
  <c r="P685" i="172"/>
  <c r="P678" i="172"/>
  <c r="P671" i="172"/>
  <c r="P665" i="172"/>
  <c r="P659" i="172"/>
  <c r="P653" i="172"/>
  <c r="P646" i="172"/>
  <c r="P639" i="172"/>
  <c r="P633" i="172"/>
  <c r="P627" i="172"/>
  <c r="P621" i="172"/>
  <c r="P614" i="172"/>
  <c r="P601" i="172"/>
  <c r="P593" i="172"/>
  <c r="P584" i="172"/>
  <c r="P577" i="172"/>
  <c r="P571" i="172"/>
  <c r="P565" i="172"/>
  <c r="P551" i="172"/>
  <c r="P545" i="172"/>
  <c r="Q545" i="172" s="1"/>
  <c r="P538" i="172"/>
  <c r="P525" i="172"/>
  <c r="P519" i="172"/>
  <c r="P513" i="172"/>
  <c r="P507" i="172"/>
  <c r="P500" i="172"/>
  <c r="P487" i="172"/>
  <c r="P474" i="172"/>
  <c r="P461" i="172"/>
  <c r="P455" i="172"/>
  <c r="P448" i="172"/>
  <c r="P441" i="172"/>
  <c r="P435" i="172"/>
  <c r="P428" i="172"/>
  <c r="P415" i="172"/>
  <c r="P409" i="172"/>
  <c r="P403" i="172"/>
  <c r="P396" i="172"/>
  <c r="Q396" i="172" s="1"/>
  <c r="P388" i="172"/>
  <c r="P382" i="172"/>
  <c r="P375" i="172"/>
  <c r="P358" i="172"/>
  <c r="R358" i="172" s="1"/>
  <c r="P351" i="172"/>
  <c r="R351" i="172" s="1"/>
  <c r="P339" i="172"/>
  <c r="R339" i="172" s="1"/>
  <c r="P333" i="172"/>
  <c r="Q333" i="172" s="1"/>
  <c r="P328" i="172"/>
  <c r="Q328" i="172" s="1"/>
  <c r="P308" i="172"/>
  <c r="P302" i="172"/>
  <c r="P294" i="172"/>
  <c r="P288" i="172"/>
  <c r="P281" i="172"/>
  <c r="P275" i="172"/>
  <c r="P268" i="172"/>
  <c r="P261" i="172"/>
  <c r="P255" i="172"/>
  <c r="P249" i="172"/>
  <c r="P242" i="172"/>
  <c r="P229" i="172"/>
  <c r="P223" i="172"/>
  <c r="P216" i="172"/>
  <c r="P210" i="172"/>
  <c r="P203" i="172"/>
  <c r="P196" i="172"/>
  <c r="P190" i="172"/>
  <c r="P184" i="172"/>
  <c r="P158" i="172"/>
  <c r="P151" i="172"/>
  <c r="P145" i="172"/>
  <c r="P132" i="172"/>
  <c r="P126" i="172"/>
  <c r="P119" i="172"/>
  <c r="P113" i="172"/>
  <c r="P93" i="172"/>
  <c r="P87" i="172"/>
  <c r="P80" i="172"/>
  <c r="P61" i="172"/>
  <c r="P48" i="172"/>
  <c r="P42" i="172"/>
  <c r="P23" i="172"/>
  <c r="P17" i="172"/>
  <c r="P496" i="172"/>
  <c r="P180" i="172"/>
  <c r="P384" i="172"/>
  <c r="P1927" i="172"/>
  <c r="P1902" i="172"/>
  <c r="P1882" i="172"/>
  <c r="P1864" i="172"/>
  <c r="P1852" i="172"/>
  <c r="P1827" i="172"/>
  <c r="P1804" i="172"/>
  <c r="P1787" i="172"/>
  <c r="P1740" i="172"/>
  <c r="P1719" i="172"/>
  <c r="P1692" i="172"/>
  <c r="P1649" i="172"/>
  <c r="P1614" i="172"/>
  <c r="P1578" i="172"/>
  <c r="P1535" i="172"/>
  <c r="P1494" i="172"/>
  <c r="P1456" i="172"/>
  <c r="P1366" i="172"/>
  <c r="P1313" i="172"/>
  <c r="P1269" i="172"/>
  <c r="P1216" i="172"/>
  <c r="P1182" i="172"/>
  <c r="P1157" i="172"/>
  <c r="P1129" i="172"/>
  <c r="P1069" i="172"/>
  <c r="P1041" i="172"/>
  <c r="P1006" i="172"/>
  <c r="P981" i="172"/>
  <c r="P925" i="172"/>
  <c r="P893" i="172"/>
  <c r="P867" i="172"/>
  <c r="P841" i="172"/>
  <c r="P811" i="172"/>
  <c r="P777" i="172"/>
  <c r="P751" i="172"/>
  <c r="P726" i="172"/>
  <c r="P693" i="172"/>
  <c r="P667" i="172"/>
  <c r="P635" i="172"/>
  <c r="P616" i="172"/>
  <c r="P580" i="172"/>
  <c r="P547" i="172"/>
  <c r="P521" i="172"/>
  <c r="P417" i="172"/>
  <c r="P347" i="172"/>
  <c r="R347" i="172" s="1"/>
  <c r="P290" i="172"/>
  <c r="P238" i="172"/>
  <c r="P186" i="172"/>
  <c r="P128" i="172"/>
  <c r="P76" i="172"/>
  <c r="P25" i="172"/>
  <c r="R25" i="172" s="1"/>
  <c r="P359" i="172"/>
  <c r="R359" i="172" s="1"/>
  <c r="P165" i="172"/>
  <c r="P138" i="172"/>
  <c r="P1908" i="172"/>
  <c r="P1772" i="172"/>
  <c r="P1713" i="172"/>
  <c r="P1663" i="172"/>
  <c r="P1585" i="172"/>
  <c r="R1585" i="172" s="1"/>
  <c r="P1542" i="172"/>
  <c r="P1502" i="172"/>
  <c r="P1450" i="172"/>
  <c r="P1405" i="172"/>
  <c r="P1347" i="172"/>
  <c r="P1294" i="172"/>
  <c r="P1256" i="172"/>
  <c r="P1210" i="172"/>
  <c r="P1143" i="172"/>
  <c r="P1083" i="172"/>
  <c r="P1020" i="172"/>
  <c r="P968" i="172"/>
  <c r="P899" i="172"/>
  <c r="P826" i="172"/>
  <c r="P765" i="172"/>
  <c r="P707" i="172"/>
  <c r="P648" i="172"/>
  <c r="P527" i="172"/>
  <c r="P463" i="172"/>
  <c r="P430" i="172"/>
  <c r="P317" i="172"/>
  <c r="P264" i="172"/>
  <c r="P212" i="172"/>
  <c r="P167" i="172"/>
  <c r="P121" i="172"/>
  <c r="P82" i="172"/>
  <c r="P687" i="172"/>
  <c r="P248" i="172"/>
  <c r="P100" i="172"/>
  <c r="P37" i="172"/>
  <c r="P2435" i="172"/>
  <c r="P2429" i="172"/>
  <c r="P2422" i="172"/>
  <c r="P2415" i="172"/>
  <c r="P2408" i="172"/>
  <c r="P2402" i="172"/>
  <c r="P2307" i="172"/>
  <c r="P2300" i="172"/>
  <c r="P2293" i="172"/>
  <c r="P2286" i="172"/>
  <c r="R2286" i="172" s="1"/>
  <c r="P2279" i="172"/>
  <c r="R2279" i="172" s="1"/>
  <c r="P2272" i="172"/>
  <c r="Q2272" i="172" s="1"/>
  <c r="P2265" i="172"/>
  <c r="Q2265" i="172" s="1"/>
  <c r="P2257" i="172"/>
  <c r="P2250" i="172"/>
  <c r="R2250" i="172" s="1"/>
  <c r="P2243" i="172"/>
  <c r="R2243" i="172" s="1"/>
  <c r="P2236" i="172"/>
  <c r="Q2236" i="172" s="1"/>
  <c r="P2229" i="172"/>
  <c r="P2222" i="172"/>
  <c r="P2214" i="172"/>
  <c r="R2214" i="172" s="1"/>
  <c r="P2201" i="172"/>
  <c r="P2195" i="172"/>
  <c r="R2195" i="172" s="1"/>
  <c r="P2187" i="172"/>
  <c r="P2181" i="172"/>
  <c r="Q2181" i="172" s="1"/>
  <c r="P2175" i="172"/>
  <c r="P2167" i="172"/>
  <c r="P2161" i="172"/>
  <c r="P2154" i="172"/>
  <c r="R2154" i="172" s="1"/>
  <c r="P2147" i="172"/>
  <c r="P2139" i="172"/>
  <c r="P2133" i="172"/>
  <c r="P2126" i="172"/>
  <c r="Q2126" i="172" s="1"/>
  <c r="P2119" i="172"/>
  <c r="P2112" i="172"/>
  <c r="P2099" i="172"/>
  <c r="R2099" i="172" s="1"/>
  <c r="P2091" i="172"/>
  <c r="P2082" i="172"/>
  <c r="R2082" i="172" s="1"/>
  <c r="P2076" i="172"/>
  <c r="R2076" i="172" s="1"/>
  <c r="P2067" i="172"/>
  <c r="P2058" i="172"/>
  <c r="P2052" i="172"/>
  <c r="Q2052" i="172" s="1"/>
  <c r="P2043" i="172"/>
  <c r="P2037" i="172"/>
  <c r="P2031" i="172"/>
  <c r="P2024" i="172"/>
  <c r="Q2024" i="172" s="1"/>
  <c r="P2011" i="172"/>
  <c r="P2005" i="172"/>
  <c r="P1999" i="172"/>
  <c r="R1999" i="172" s="1"/>
  <c r="P1993" i="172"/>
  <c r="R1993" i="172" s="1"/>
  <c r="P1986" i="172"/>
  <c r="P1980" i="172"/>
  <c r="P1973" i="172"/>
  <c r="R1973" i="172" s="1"/>
  <c r="P1967" i="172"/>
  <c r="P1961" i="172"/>
  <c r="P1955" i="172"/>
  <c r="P1949" i="172"/>
  <c r="R1949" i="172" s="1"/>
  <c r="P1943" i="172"/>
  <c r="R1943" i="172" s="1"/>
  <c r="P1937" i="172"/>
  <c r="Q1937" i="172" s="1"/>
  <c r="P1931" i="172"/>
  <c r="P1924" i="172"/>
  <c r="P1917" i="172"/>
  <c r="P1911" i="172"/>
  <c r="Q1911" i="172" s="1"/>
  <c r="P1905" i="172"/>
  <c r="P1898" i="172"/>
  <c r="P1891" i="172"/>
  <c r="R1891" i="172" s="1"/>
  <c r="P1885" i="172"/>
  <c r="Q1885" i="172" s="1"/>
  <c r="P1879" i="172"/>
  <c r="Q1879" i="172" s="1"/>
  <c r="P1873" i="172"/>
  <c r="P1867" i="172"/>
  <c r="P1861" i="172"/>
  <c r="P1855" i="172"/>
  <c r="P1849" i="172"/>
  <c r="R1849" i="172" s="1"/>
  <c r="P1843" i="172"/>
  <c r="P1837" i="172"/>
  <c r="P1831" i="172"/>
  <c r="Q1831" i="172" s="1"/>
  <c r="P1824" i="172"/>
  <c r="R1824" i="172" s="1"/>
  <c r="P1817" i="172"/>
  <c r="P1808" i="172"/>
  <c r="R1808" i="172" s="1"/>
  <c r="P1799" i="172"/>
  <c r="P1783" i="172"/>
  <c r="P1775" i="172"/>
  <c r="Q1775" i="172" s="1"/>
  <c r="P1769" i="172"/>
  <c r="P1763" i="172"/>
  <c r="P1756" i="172"/>
  <c r="Q1756" i="172" s="1"/>
  <c r="P1749" i="172"/>
  <c r="P1743" i="172"/>
  <c r="P1736" i="172"/>
  <c r="Q1736" i="172" s="1"/>
  <c r="P1729" i="172"/>
  <c r="P1723" i="172"/>
  <c r="Q1723" i="172" s="1"/>
  <c r="P1716" i="172"/>
  <c r="R1716" i="172" s="1"/>
  <c r="P1709" i="172"/>
  <c r="P1702" i="172"/>
  <c r="P1695" i="172"/>
  <c r="Q1695" i="172" s="1"/>
  <c r="P1688" i="172"/>
  <c r="Q1688" i="172" s="1"/>
  <c r="P1681" i="172"/>
  <c r="P1674" i="172"/>
  <c r="P1666" i="172"/>
  <c r="P1660" i="172"/>
  <c r="P1653" i="172"/>
  <c r="R1653" i="172" s="1"/>
  <c r="P1639" i="172"/>
  <c r="P1631" i="172"/>
  <c r="R1631" i="172" s="1"/>
  <c r="P1624" i="172"/>
  <c r="Q1624" i="172" s="1"/>
  <c r="P1617" i="172"/>
  <c r="P1610" i="172"/>
  <c r="P1603" i="172"/>
  <c r="P1596" i="172"/>
  <c r="R1596" i="172" s="1"/>
  <c r="P1588" i="172"/>
  <c r="P1582" i="172"/>
  <c r="P1574" i="172"/>
  <c r="P1567" i="172"/>
  <c r="R1567" i="172" s="1"/>
  <c r="P1560" i="172"/>
  <c r="P1552" i="172"/>
  <c r="P1546" i="172"/>
  <c r="P1539" i="172"/>
  <c r="P1525" i="172"/>
  <c r="R1525" i="172" s="1"/>
  <c r="P1519" i="172"/>
  <c r="P1512" i="172"/>
  <c r="P1505" i="172"/>
  <c r="P1497" i="172"/>
  <c r="P1491" i="172"/>
  <c r="P1484" i="172"/>
  <c r="R1484" i="172" s="1"/>
  <c r="P1477" i="172"/>
  <c r="P1471" i="172"/>
  <c r="P1465" i="172"/>
  <c r="R1465" i="172" s="1"/>
  <c r="P1459" i="172"/>
  <c r="P1453" i="172"/>
  <c r="P1447" i="172"/>
  <c r="Q1447" i="172" s="1"/>
  <c r="P1441" i="172"/>
  <c r="P1435" i="172"/>
  <c r="P1429" i="172"/>
  <c r="P1423" i="172"/>
  <c r="R1423" i="172" s="1"/>
  <c r="P1416" i="172"/>
  <c r="P1409" i="172"/>
  <c r="P1401" i="172"/>
  <c r="P1395" i="172"/>
  <c r="P1388" i="172"/>
  <c r="P1381" i="172"/>
  <c r="P1375" i="172"/>
  <c r="P1369" i="172"/>
  <c r="P1363" i="172"/>
  <c r="R1363" i="172" s="1"/>
  <c r="P1357" i="172"/>
  <c r="P1350" i="172"/>
  <c r="P1335" i="172"/>
  <c r="P1329" i="172"/>
  <c r="P1323" i="172"/>
  <c r="Q1323" i="172" s="1"/>
  <c r="P1317" i="172"/>
  <c r="P1310" i="172"/>
  <c r="P1303" i="172"/>
  <c r="P1297" i="172"/>
  <c r="P1291" i="172"/>
  <c r="P1285" i="172"/>
  <c r="P1279" i="172"/>
  <c r="P1272" i="172"/>
  <c r="P1265" i="172"/>
  <c r="P1259" i="172"/>
  <c r="P1253" i="172"/>
  <c r="P1246" i="172"/>
  <c r="P1239" i="172"/>
  <c r="P1233" i="172"/>
  <c r="P1227" i="172"/>
  <c r="P1219" i="172"/>
  <c r="P1213" i="172"/>
  <c r="P1206" i="172"/>
  <c r="P1199" i="172"/>
  <c r="P1193" i="172"/>
  <c r="P1185" i="172"/>
  <c r="P1179" i="172"/>
  <c r="P1173" i="172"/>
  <c r="P1167" i="172"/>
  <c r="Q1167" i="172" s="1"/>
  <c r="P1160" i="172"/>
  <c r="P1153" i="172"/>
  <c r="P1147" i="172"/>
  <c r="Q1147" i="172" s="1"/>
  <c r="P1140" i="172"/>
  <c r="P1133" i="172"/>
  <c r="P1125" i="172"/>
  <c r="P1119" i="172"/>
  <c r="P1113" i="172"/>
  <c r="P1106" i="172"/>
  <c r="P1099" i="172"/>
  <c r="P1093" i="172"/>
  <c r="P1086" i="172"/>
  <c r="P1079" i="172"/>
  <c r="P1073" i="172"/>
  <c r="R1073" i="172" s="1"/>
  <c r="P1065" i="172"/>
  <c r="P1059" i="172"/>
  <c r="P1052" i="172"/>
  <c r="P1038" i="172"/>
  <c r="P1031" i="172"/>
  <c r="P1023" i="172"/>
  <c r="P1017" i="172"/>
  <c r="P1003" i="172"/>
  <c r="P997" i="172"/>
  <c r="R997" i="172" s="1"/>
  <c r="P991" i="172"/>
  <c r="P985" i="172"/>
  <c r="P978" i="172"/>
  <c r="P971" i="172"/>
  <c r="P958" i="172"/>
  <c r="P950" i="172"/>
  <c r="P943" i="172"/>
  <c r="R943" i="172" s="1"/>
  <c r="P936" i="172"/>
  <c r="P922" i="172"/>
  <c r="Q922" i="172" s="1"/>
  <c r="P916" i="172"/>
  <c r="R916" i="172" s="1"/>
  <c r="P910" i="172"/>
  <c r="P890" i="172"/>
  <c r="P884" i="172"/>
  <c r="Q884" i="172" s="1"/>
  <c r="P877" i="172"/>
  <c r="P870" i="172"/>
  <c r="P864" i="172"/>
  <c r="P857" i="172"/>
  <c r="P850" i="172"/>
  <c r="P844" i="172"/>
  <c r="P837" i="172"/>
  <c r="P830" i="172"/>
  <c r="P822" i="172"/>
  <c r="P814" i="172"/>
  <c r="P808" i="172"/>
  <c r="P794" i="172"/>
  <c r="P788" i="172"/>
  <c r="P781" i="172"/>
  <c r="P774" i="172"/>
  <c r="P768" i="172"/>
  <c r="P762" i="172"/>
  <c r="P755" i="172"/>
  <c r="P748" i="172"/>
  <c r="P742" i="172"/>
  <c r="P736" i="172"/>
  <c r="P729" i="172"/>
  <c r="P722" i="172"/>
  <c r="P716" i="172"/>
  <c r="P710" i="172"/>
  <c r="P703" i="172"/>
  <c r="P690" i="172"/>
  <c r="P684" i="172"/>
  <c r="P677" i="172"/>
  <c r="P670" i="172"/>
  <c r="P664" i="172"/>
  <c r="P652" i="172"/>
  <c r="P645" i="172"/>
  <c r="P638" i="172"/>
  <c r="R638" i="172" s="1"/>
  <c r="P632" i="172"/>
  <c r="P626" i="172"/>
  <c r="P620" i="172"/>
  <c r="P613" i="172"/>
  <c r="P606" i="172"/>
  <c r="P599" i="172"/>
  <c r="P592" i="172"/>
  <c r="P583" i="172"/>
  <c r="P576" i="172"/>
  <c r="P570" i="172"/>
  <c r="P563" i="172"/>
  <c r="P557" i="172"/>
  <c r="P550" i="172"/>
  <c r="P544" i="172"/>
  <c r="P537" i="172"/>
  <c r="P530" i="172"/>
  <c r="P524" i="172"/>
  <c r="P518" i="172"/>
  <c r="P512" i="172"/>
  <c r="P506" i="172"/>
  <c r="P499" i="172"/>
  <c r="P492" i="172"/>
  <c r="P486" i="172"/>
  <c r="P480" i="172"/>
  <c r="P473" i="172"/>
  <c r="P460" i="172"/>
  <c r="P453" i="172"/>
  <c r="P447" i="172"/>
  <c r="P440" i="172"/>
  <c r="P434" i="172"/>
  <c r="Q434" i="172" s="1"/>
  <c r="P427" i="172"/>
  <c r="P414" i="172"/>
  <c r="P408" i="172"/>
  <c r="P402" i="172"/>
  <c r="P395" i="172"/>
  <c r="P381" i="172"/>
  <c r="P373" i="172"/>
  <c r="P363" i="172"/>
  <c r="R363" i="172" s="1"/>
  <c r="P357" i="172"/>
  <c r="R357" i="172" s="1"/>
  <c r="P350" i="172"/>
  <c r="Q350" i="172" s="1"/>
  <c r="P344" i="172"/>
  <c r="R344" i="172" s="1"/>
  <c r="P327" i="172"/>
  <c r="Q327" i="172" s="1"/>
  <c r="P320" i="172"/>
  <c r="P307" i="172"/>
  <c r="P300" i="172"/>
  <c r="P293" i="172"/>
  <c r="P287" i="172"/>
  <c r="P274" i="172"/>
  <c r="P267" i="172"/>
  <c r="P260" i="172"/>
  <c r="P254" i="172"/>
  <c r="P241" i="172"/>
  <c r="P235" i="172"/>
  <c r="P228" i="172"/>
  <c r="P222" i="172"/>
  <c r="P215" i="172"/>
  <c r="P208" i="172"/>
  <c r="P189" i="172"/>
  <c r="P183" i="172"/>
  <c r="P176" i="172"/>
  <c r="P157" i="172"/>
  <c r="P150" i="172"/>
  <c r="P144" i="172"/>
  <c r="P131" i="172"/>
  <c r="P125" i="172"/>
  <c r="P118" i="172"/>
  <c r="P105" i="172"/>
  <c r="P92" i="172"/>
  <c r="P86" i="172"/>
  <c r="P73" i="172"/>
  <c r="P66" i="172"/>
  <c r="P47" i="172"/>
  <c r="P41" i="172"/>
  <c r="P35" i="172"/>
  <c r="P22" i="172"/>
  <c r="P16" i="172"/>
  <c r="P1921" i="172"/>
  <c r="P1766" i="172"/>
  <c r="P1670" i="172"/>
  <c r="P1621" i="172"/>
  <c r="P1564" i="172"/>
  <c r="P1515" i="172"/>
  <c r="P1474" i="172"/>
  <c r="P1426" i="172"/>
  <c r="P1391" i="172"/>
  <c r="P1360" i="172"/>
  <c r="P1332" i="172"/>
  <c r="P1320" i="172"/>
  <c r="P1282" i="172"/>
  <c r="P1236" i="172"/>
  <c r="P1176" i="172"/>
  <c r="P1116" i="172"/>
  <c r="P1062" i="172"/>
  <c r="P1000" i="172"/>
  <c r="P932" i="172"/>
  <c r="P861" i="172"/>
  <c r="P797" i="172"/>
  <c r="P745" i="172"/>
  <c r="P567" i="172"/>
  <c r="P502" i="172"/>
  <c r="P443" i="172"/>
  <c r="P398" i="172"/>
  <c r="P354" i="172"/>
  <c r="R354" i="172" s="1"/>
  <c r="P335" i="172"/>
  <c r="Q335" i="172" s="1"/>
  <c r="P304" i="172"/>
  <c r="P271" i="172"/>
  <c r="P231" i="172"/>
  <c r="P199" i="172"/>
  <c r="R199" i="172" s="1"/>
  <c r="P153" i="172"/>
  <c r="P96" i="172"/>
  <c r="P44" i="172"/>
  <c r="P1888" i="172"/>
  <c r="Q1888" i="172" s="1"/>
  <c r="P1752" i="172"/>
  <c r="R1752" i="172" s="1"/>
  <c r="P1656" i="172"/>
  <c r="P1592" i="172"/>
  <c r="P1549" i="172"/>
  <c r="P1508" i="172"/>
  <c r="R1508" i="172" s="1"/>
  <c r="P1468" i="172"/>
  <c r="P1438" i="172"/>
  <c r="Q1438" i="172" s="1"/>
  <c r="P1419" i="172"/>
  <c r="P1372" i="172"/>
  <c r="R1372" i="172" s="1"/>
  <c r="P1300" i="172"/>
  <c r="P1230" i="172"/>
  <c r="P1170" i="172"/>
  <c r="Q1170" i="172" s="1"/>
  <c r="P1096" i="172"/>
  <c r="P1027" i="172"/>
  <c r="P961" i="172"/>
  <c r="P881" i="172"/>
  <c r="P804" i="172"/>
  <c r="P739" i="172"/>
  <c r="P680" i="172"/>
  <c r="P629" i="172"/>
  <c r="P573" i="172"/>
  <c r="P534" i="172"/>
  <c r="P489" i="172"/>
  <c r="P437" i="172"/>
  <c r="P411" i="172"/>
  <c r="P377" i="172"/>
  <c r="P341" i="172"/>
  <c r="R341" i="172" s="1"/>
  <c r="P277" i="172"/>
  <c r="P160" i="172"/>
  <c r="P109" i="172"/>
  <c r="P57" i="172"/>
  <c r="P12" i="172"/>
  <c r="P171" i="172"/>
  <c r="P1834" i="172"/>
  <c r="P1934" i="172"/>
  <c r="R1934" i="172" s="1"/>
  <c r="P1895" i="172"/>
  <c r="Q1895" i="172" s="1"/>
  <c r="P1876" i="172"/>
  <c r="P1870" i="172"/>
  <c r="P1858" i="172"/>
  <c r="P1840" i="172"/>
  <c r="P1820" i="172"/>
  <c r="P1796" i="172"/>
  <c r="Q1796" i="172" s="1"/>
  <c r="P1779" i="172"/>
  <c r="P1759" i="172"/>
  <c r="P1733" i="172"/>
  <c r="P1726" i="172"/>
  <c r="P1699" i="172"/>
  <c r="P1678" i="172"/>
  <c r="P1642" i="172"/>
  <c r="P1606" i="172"/>
  <c r="P1570" i="172"/>
  <c r="P1528" i="172"/>
  <c r="Q1528" i="172" s="1"/>
  <c r="P1487" i="172"/>
  <c r="R1487" i="172" s="1"/>
  <c r="P1444" i="172"/>
  <c r="P1398" i="172"/>
  <c r="P1354" i="172"/>
  <c r="P1307" i="172"/>
  <c r="P1275" i="172"/>
  <c r="P1223" i="172"/>
  <c r="P1189" i="172"/>
  <c r="P1163" i="172"/>
  <c r="P1136" i="172"/>
  <c r="P1109" i="172"/>
  <c r="P1076" i="172"/>
  <c r="P1048" i="172"/>
  <c r="P1013" i="172"/>
  <c r="P994" i="172"/>
  <c r="P954" i="172"/>
  <c r="P940" i="172"/>
  <c r="P913" i="172"/>
  <c r="P873" i="172"/>
  <c r="P847" i="172"/>
  <c r="P819" i="172"/>
  <c r="P784" i="172"/>
  <c r="P758" i="172"/>
  <c r="P733" i="172"/>
  <c r="P700" i="172"/>
  <c r="P673" i="172"/>
  <c r="P603" i="172"/>
  <c r="P553" i="172"/>
  <c r="P515" i="172"/>
  <c r="P391" i="172"/>
  <c r="P323" i="172"/>
  <c r="P115" i="172"/>
  <c r="P63" i="172"/>
  <c r="P19" i="172"/>
  <c r="R19" i="172" s="1"/>
  <c r="P1249" i="172"/>
  <c r="P887" i="172"/>
  <c r="P623" i="172"/>
  <c r="P470" i="172"/>
  <c r="P360" i="172"/>
  <c r="Q360" i="172" s="1"/>
  <c r="P296" i="172"/>
  <c r="P251" i="172"/>
  <c r="P205" i="172"/>
  <c r="P147" i="172"/>
  <c r="P102" i="172"/>
  <c r="P50" i="172"/>
  <c r="P30" i="172"/>
  <c r="P960" i="172"/>
  <c r="P332" i="172"/>
  <c r="Q332" i="172" s="1"/>
  <c r="P313" i="172"/>
  <c r="P456" i="172"/>
  <c r="P362" i="172"/>
  <c r="R362" i="172" s="1"/>
  <c r="P31" i="172"/>
  <c r="P911" i="172"/>
  <c r="P400" i="172"/>
  <c r="P64" i="172"/>
  <c r="P55" i="172"/>
  <c r="P110" i="172"/>
  <c r="P464" i="172"/>
  <c r="P139" i="172"/>
  <c r="P133" i="172"/>
  <c r="P97" i="172"/>
  <c r="P77" i="172"/>
  <c r="R77" i="172" s="1"/>
  <c r="P1198" i="172"/>
  <c r="P74" i="172"/>
  <c r="P29" i="172"/>
  <c r="P349" i="172"/>
  <c r="R349" i="172" s="1"/>
  <c r="P98" i="172"/>
  <c r="P78" i="172"/>
  <c r="P65" i="172"/>
  <c r="P140" i="172"/>
  <c r="P2576" i="172"/>
  <c r="P2600" i="172"/>
  <c r="P2636" i="172"/>
  <c r="P2584" i="172"/>
  <c r="P2649" i="172"/>
  <c r="P2650" i="172"/>
  <c r="P2575" i="172"/>
  <c r="P45" i="173"/>
  <c r="P29" i="173"/>
  <c r="P2644" i="172"/>
  <c r="P2531" i="172"/>
  <c r="P2583" i="172"/>
  <c r="P2497" i="172"/>
  <c r="P35" i="173"/>
  <c r="P2646" i="172"/>
  <c r="P2571" i="172"/>
  <c r="P36" i="173"/>
  <c r="P2574" i="172"/>
  <c r="P2587" i="172"/>
  <c r="P31" i="173"/>
  <c r="P2642" i="172"/>
  <c r="P2579" i="172"/>
  <c r="P38" i="173"/>
  <c r="P2577" i="172"/>
  <c r="P2659" i="172"/>
  <c r="P2578" i="172"/>
  <c r="P2621" i="172"/>
  <c r="P154" i="172"/>
  <c r="P2637" i="172"/>
  <c r="P33" i="173"/>
  <c r="P2653" i="172"/>
  <c r="P2663" i="172"/>
  <c r="P2496" i="172"/>
  <c r="P2654" i="172"/>
  <c r="P2580" i="172"/>
  <c r="P2590" i="172"/>
  <c r="P2638" i="172"/>
  <c r="P2681" i="172"/>
  <c r="P2595" i="172"/>
  <c r="P2581" i="172"/>
  <c r="P2611" i="172"/>
  <c r="P37" i="173"/>
  <c r="P30" i="173"/>
  <c r="R30" i="173" s="1"/>
  <c r="P2582" i="172"/>
  <c r="P295" i="172"/>
  <c r="P2662" i="172"/>
  <c r="P2658" i="172"/>
  <c r="P2665" i="172"/>
  <c r="P2588" i="172"/>
  <c r="P2657" i="172"/>
  <c r="P2664" i="172"/>
  <c r="P2648" i="172"/>
  <c r="P2661" i="172"/>
  <c r="P2652" i="172"/>
  <c r="P2651" i="172"/>
  <c r="P2573" i="172"/>
  <c r="P2660" i="172"/>
  <c r="P2585" i="172"/>
  <c r="P32" i="173"/>
  <c r="P2643" i="172"/>
  <c r="P2655" i="172"/>
  <c r="P2528" i="172"/>
  <c r="P2647" i="172"/>
  <c r="P2586" i="172"/>
  <c r="P2639" i="172"/>
  <c r="P2572" i="172"/>
  <c r="P2589" i="172"/>
  <c r="P2641" i="172"/>
  <c r="P874" i="172"/>
  <c r="P1798" i="172"/>
  <c r="P554" i="172"/>
  <c r="P776" i="172"/>
  <c r="Q776" i="172" s="1"/>
  <c r="P2188" i="172"/>
  <c r="P1589" i="172"/>
  <c r="P923" i="172"/>
  <c r="P2069" i="172"/>
  <c r="P421" i="172"/>
  <c r="P821" i="172"/>
  <c r="Q821" i="172" s="1"/>
  <c r="P721" i="172"/>
  <c r="P1706" i="172"/>
  <c r="R1706" i="172" s="1"/>
  <c r="P2231" i="172"/>
  <c r="P2093" i="172"/>
  <c r="P672" i="172"/>
  <c r="P1010" i="172"/>
  <c r="P2256" i="172"/>
  <c r="P2123" i="172"/>
  <c r="P1218" i="172"/>
  <c r="P1078" i="172"/>
  <c r="P813" i="172"/>
  <c r="P2135" i="172"/>
  <c r="R2135" i="172" s="1"/>
  <c r="P607" i="172"/>
  <c r="P2207" i="172"/>
  <c r="P1645" i="172"/>
  <c r="P444" i="172"/>
  <c r="P2138" i="172"/>
  <c r="R2138" i="172" s="1"/>
  <c r="P1203" i="172"/>
  <c r="P1304" i="172"/>
  <c r="P1154" i="172"/>
  <c r="P902" i="172"/>
  <c r="P2108" i="172"/>
  <c r="P1890" i="172"/>
  <c r="R1890" i="172" s="1"/>
  <c r="P1728" i="172"/>
  <c r="P1551" i="172"/>
  <c r="P1400" i="172"/>
  <c r="Q1400" i="172" s="1"/>
  <c r="P2219" i="172"/>
  <c r="P1607" i="172"/>
  <c r="Q1607" i="172" s="1"/>
  <c r="P1683" i="172"/>
  <c r="P1507" i="172"/>
  <c r="P852" i="172"/>
  <c r="P1126" i="172"/>
  <c r="P2017" i="172"/>
  <c r="P896" i="172"/>
  <c r="Q896" i="172" s="1"/>
  <c r="P387" i="172"/>
  <c r="Q387" i="172" s="1"/>
  <c r="P1774" i="172"/>
  <c r="P1064" i="172"/>
  <c r="P2262" i="172"/>
  <c r="P834" i="172"/>
  <c r="P2169" i="172"/>
  <c r="P1242" i="172"/>
  <c r="Q1242" i="172" s="1"/>
  <c r="P493" i="172"/>
  <c r="Q493" i="172" s="1"/>
  <c r="P1044" i="172"/>
  <c r="P1819" i="172"/>
  <c r="P1784" i="172"/>
  <c r="P2282" i="172"/>
  <c r="P2165" i="172"/>
  <c r="P1977" i="172"/>
  <c r="P750" i="172"/>
  <c r="P594" i="172"/>
  <c r="P2120" i="172"/>
  <c r="P1186" i="172"/>
  <c r="P531" i="172"/>
  <c r="Q531" i="172" s="1"/>
  <c r="P467" i="172"/>
  <c r="P2105" i="172"/>
  <c r="P800" i="172"/>
  <c r="P218" i="172"/>
  <c r="P1496" i="172"/>
  <c r="P1334" i="172"/>
  <c r="P1137" i="172"/>
  <c r="Q1137" i="172" s="1"/>
  <c r="P2203" i="172"/>
  <c r="P585" i="172"/>
  <c r="P2294" i="172"/>
  <c r="P946" i="172"/>
  <c r="P1627" i="172"/>
  <c r="Q1627" i="172" s="1"/>
  <c r="P928" i="172"/>
  <c r="P1812" i="172"/>
  <c r="Q1812" i="172" s="1"/>
  <c r="P2184" i="172"/>
  <c r="P1665" i="172"/>
  <c r="P2244" i="172"/>
  <c r="P1918" i="172"/>
  <c r="Q1918" i="172" s="1"/>
  <c r="P1412" i="172"/>
  <c r="P1531" i="172"/>
  <c r="P1343" i="172"/>
  <c r="P696" i="172"/>
  <c r="R696" i="172" s="1"/>
  <c r="P195" i="172"/>
  <c r="P2081" i="172"/>
  <c r="P2268" i="172"/>
  <c r="P1751" i="172"/>
  <c r="P1383" i="172"/>
  <c r="P81" i="172"/>
  <c r="P1024" i="172"/>
  <c r="P2057" i="172"/>
  <c r="R2057" i="172" s="1"/>
  <c r="P1805" i="172"/>
  <c r="Q1805" i="172" s="1"/>
  <c r="P2045" i="172"/>
  <c r="P1569" i="172"/>
  <c r="P1479" i="172"/>
  <c r="P1266" i="172"/>
  <c r="R1266" i="172" s="1"/>
  <c r="P1102" i="172"/>
  <c r="P1791" i="172"/>
  <c r="P964" i="172"/>
  <c r="P2150" i="172"/>
  <c r="Q2719" i="172" l="1"/>
  <c r="R730" i="172"/>
  <c r="Q17" i="178"/>
  <c r="R17" i="178"/>
  <c r="R11" i="178"/>
  <c r="Q11" i="178"/>
  <c r="R15" i="178"/>
  <c r="Q15" i="178"/>
  <c r="R22" i="178"/>
  <c r="Q22" i="178"/>
  <c r="R12" i="178"/>
  <c r="Q12" i="178"/>
  <c r="Q18" i="178"/>
  <c r="R18" i="178"/>
  <c r="R16" i="178"/>
  <c r="Q16" i="178"/>
  <c r="R23" i="178"/>
  <c r="Q23" i="178"/>
  <c r="R20" i="178"/>
  <c r="Q20" i="178"/>
  <c r="R19" i="178"/>
  <c r="Q19" i="178"/>
  <c r="Q24" i="178"/>
  <c r="R24" i="178"/>
  <c r="Q13" i="178"/>
  <c r="R13" i="178"/>
  <c r="Q2697" i="172"/>
  <c r="Q2703" i="172"/>
  <c r="Q351" i="177"/>
  <c r="R351" i="177"/>
  <c r="Q320" i="177"/>
  <c r="R320" i="177"/>
  <c r="Q529" i="177"/>
  <c r="R529" i="177"/>
  <c r="R461" i="177"/>
  <c r="Q461" i="177"/>
  <c r="R364" i="177"/>
  <c r="Q364" i="177"/>
  <c r="Q127" i="177"/>
  <c r="R127" i="177"/>
  <c r="R152" i="177"/>
  <c r="Q152" i="177"/>
  <c r="R300" i="177"/>
  <c r="Q300" i="177"/>
  <c r="R973" i="177"/>
  <c r="Q973" i="177"/>
  <c r="R96" i="177"/>
  <c r="Q96" i="177"/>
  <c r="Q148" i="177"/>
  <c r="R148" i="177"/>
  <c r="Q476" i="177"/>
  <c r="R476" i="177"/>
  <c r="AF36" i="175"/>
  <c r="AG36" i="175"/>
  <c r="R1005" i="177"/>
  <c r="Q1005" i="177"/>
  <c r="R1019" i="177"/>
  <c r="Q1019" i="177"/>
  <c r="R366" i="177"/>
  <c r="Q366" i="177"/>
  <c r="R491" i="177"/>
  <c r="Q491" i="177"/>
  <c r="R803" i="177"/>
  <c r="Q803" i="177"/>
  <c r="R345" i="177"/>
  <c r="Q345" i="177"/>
  <c r="R202" i="177"/>
  <c r="Q202" i="177"/>
  <c r="R64" i="177"/>
  <c r="Q64" i="177"/>
  <c r="R699" i="177"/>
  <c r="Q699" i="177"/>
  <c r="Q834" i="177"/>
  <c r="R834" i="177"/>
  <c r="R1092" i="177"/>
  <c r="Q1092" i="177"/>
  <c r="Q363" i="174"/>
  <c r="R363" i="174"/>
  <c r="R589" i="174"/>
  <c r="Q589" i="174"/>
  <c r="R117" i="174"/>
  <c r="Q117" i="174"/>
  <c r="Q414" i="174"/>
  <c r="R414" i="174"/>
  <c r="Q25" i="173"/>
  <c r="R25" i="173"/>
  <c r="Q1062" i="177"/>
  <c r="R1062" i="177"/>
  <c r="R472" i="177"/>
  <c r="Q472" i="177"/>
  <c r="R66" i="177"/>
  <c r="Q66" i="177"/>
  <c r="Q715" i="177"/>
  <c r="R715" i="177"/>
  <c r="Q539" i="177"/>
  <c r="R539" i="177"/>
  <c r="R20" i="177"/>
  <c r="Q20" i="177"/>
  <c r="Q779" i="177"/>
  <c r="R779" i="177"/>
  <c r="R662" i="174"/>
  <c r="Q662" i="174"/>
  <c r="R494" i="177"/>
  <c r="Q494" i="177"/>
  <c r="R213" i="177"/>
  <c r="Q213" i="177"/>
  <c r="R50" i="177"/>
  <c r="Q50" i="177"/>
  <c r="Q175" i="174"/>
  <c r="R175" i="174"/>
  <c r="R481" i="174"/>
  <c r="Q481" i="174"/>
  <c r="R89" i="174"/>
  <c r="Q89" i="174"/>
  <c r="R1012" i="177"/>
  <c r="Q1012" i="177"/>
  <c r="Q957" i="177"/>
  <c r="R957" i="177"/>
  <c r="R596" i="177"/>
  <c r="Q596" i="177"/>
  <c r="R216" i="177"/>
  <c r="Q216" i="177"/>
  <c r="Q201" i="177"/>
  <c r="R201" i="177"/>
  <c r="Q604" i="177"/>
  <c r="R604" i="177"/>
  <c r="R717" i="174"/>
  <c r="Q717" i="174"/>
  <c r="Q863" i="177"/>
  <c r="R863" i="177"/>
  <c r="Q139" i="177"/>
  <c r="R139" i="177"/>
  <c r="R433" i="177"/>
  <c r="Q433" i="177"/>
  <c r="AF13" i="175"/>
  <c r="AG13" i="175"/>
  <c r="R625" i="177"/>
  <c r="Q625" i="177"/>
  <c r="R673" i="177"/>
  <c r="Q673" i="177"/>
  <c r="R794" i="174"/>
  <c r="Q794" i="174"/>
  <c r="R658" i="174"/>
  <c r="Q658" i="174"/>
  <c r="R747" i="174"/>
  <c r="Q747" i="174"/>
  <c r="R751" i="174"/>
  <c r="Q751" i="174"/>
  <c r="R289" i="174"/>
  <c r="Q289" i="174"/>
  <c r="Q1059" i="177"/>
  <c r="R1059" i="177"/>
  <c r="R280" i="177"/>
  <c r="Q280" i="177"/>
  <c r="R909" i="177"/>
  <c r="Q909" i="177"/>
  <c r="Q188" i="177"/>
  <c r="R188" i="177"/>
  <c r="R313" i="177"/>
  <c r="Q313" i="177"/>
  <c r="R328" i="177"/>
  <c r="Q328" i="177"/>
  <c r="R599" i="177"/>
  <c r="Q599" i="177"/>
  <c r="Q808" i="177"/>
  <c r="R808" i="177"/>
  <c r="R278" i="177"/>
  <c r="Q278" i="177"/>
  <c r="Q206" i="174"/>
  <c r="R206" i="174"/>
  <c r="Q236" i="174"/>
  <c r="R236" i="174"/>
  <c r="R644" i="174"/>
  <c r="Q644" i="174"/>
  <c r="Q142" i="174"/>
  <c r="R142" i="174"/>
  <c r="R77" i="177"/>
  <c r="Q77" i="177"/>
  <c r="R40" i="177"/>
  <c r="Q40" i="177"/>
  <c r="R324" i="177"/>
  <c r="Q324" i="177"/>
  <c r="R53" i="177"/>
  <c r="Q53" i="177"/>
  <c r="R952" i="177"/>
  <c r="Q952" i="177"/>
  <c r="R90" i="177"/>
  <c r="Q90" i="177"/>
  <c r="Q308" i="177"/>
  <c r="R308" i="177"/>
  <c r="Q274" i="177"/>
  <c r="R274" i="177"/>
  <c r="Q303" i="174"/>
  <c r="R303" i="174"/>
  <c r="Q42" i="174"/>
  <c r="R42" i="174"/>
  <c r="R602" i="174"/>
  <c r="Q602" i="174"/>
  <c r="R633" i="174"/>
  <c r="Q633" i="174"/>
  <c r="R322" i="174"/>
  <c r="Q322" i="174"/>
  <c r="Q305" i="177"/>
  <c r="R305" i="177"/>
  <c r="R1039" i="177"/>
  <c r="Q1039" i="177"/>
  <c r="R800" i="174"/>
  <c r="Q800" i="174"/>
  <c r="Q123" i="174"/>
  <c r="R123" i="174"/>
  <c r="R380" i="174"/>
  <c r="Q380" i="174"/>
  <c r="Q882" i="177"/>
  <c r="R882" i="177"/>
  <c r="Q422" i="177"/>
  <c r="R422" i="177"/>
  <c r="Q722" i="177"/>
  <c r="R722" i="177"/>
  <c r="Q577" i="177"/>
  <c r="R577" i="177"/>
  <c r="Q478" i="177"/>
  <c r="R478" i="177"/>
  <c r="R354" i="177"/>
  <c r="Q354" i="177"/>
  <c r="R594" i="177"/>
  <c r="Q594" i="177"/>
  <c r="Q272" i="177"/>
  <c r="R272" i="177"/>
  <c r="Q92" i="174"/>
  <c r="R92" i="174"/>
  <c r="Q273" i="174"/>
  <c r="R273" i="174"/>
  <c r="R709" i="177"/>
  <c r="Q709" i="177"/>
  <c r="R1113" i="177"/>
  <c r="Q1113" i="177"/>
  <c r="R893" i="177"/>
  <c r="Q893" i="177"/>
  <c r="R582" i="177"/>
  <c r="Q582" i="177"/>
  <c r="R283" i="177"/>
  <c r="Q283" i="177"/>
  <c r="R406" i="177"/>
  <c r="Q406" i="177"/>
  <c r="Q1094" i="177"/>
  <c r="R1094" i="177"/>
  <c r="Q725" i="177"/>
  <c r="R725" i="177"/>
  <c r="Q981" i="177"/>
  <c r="R981" i="177"/>
  <c r="R147" i="177"/>
  <c r="Q147" i="177"/>
  <c r="Q48" i="177"/>
  <c r="R48" i="177"/>
  <c r="R47" i="177"/>
  <c r="Q47" i="177"/>
  <c r="R429" i="177"/>
  <c r="Q429" i="177"/>
  <c r="R1050" i="177"/>
  <c r="Q1050" i="177"/>
  <c r="Q410" i="177"/>
  <c r="R410" i="177"/>
  <c r="R215" i="177"/>
  <c r="Q215" i="177"/>
  <c r="R757" i="177"/>
  <c r="Q757" i="177"/>
  <c r="R294" i="174"/>
  <c r="Q294" i="174"/>
  <c r="R529" i="174"/>
  <c r="Q529" i="174"/>
  <c r="AC28" i="176"/>
  <c r="AD28" i="176"/>
  <c r="R82" i="174"/>
  <c r="Q82" i="174"/>
  <c r="R790" i="177"/>
  <c r="Q790" i="177"/>
  <c r="Q102" i="177"/>
  <c r="R102" i="177"/>
  <c r="R157" i="177"/>
  <c r="Q157" i="177"/>
  <c r="R23" i="174"/>
  <c r="Q23" i="174"/>
  <c r="R228" i="177"/>
  <c r="Q228" i="177"/>
  <c r="Q962" i="177"/>
  <c r="R962" i="177"/>
  <c r="R613" i="177"/>
  <c r="Q613" i="177"/>
  <c r="R340" i="177"/>
  <c r="Q340" i="177"/>
  <c r="Q26" i="177"/>
  <c r="R26" i="177"/>
  <c r="Q984" i="177"/>
  <c r="R984" i="177"/>
  <c r="R379" i="177"/>
  <c r="Q379" i="177"/>
  <c r="AC96" i="176"/>
  <c r="AD96" i="176"/>
  <c r="R180" i="177"/>
  <c r="Q180" i="177"/>
  <c r="R511" i="177"/>
  <c r="Q511" i="177"/>
  <c r="R954" i="177"/>
  <c r="Q954" i="177"/>
  <c r="Q963" i="177"/>
  <c r="R963" i="177"/>
  <c r="R170" i="177"/>
  <c r="Q170" i="177"/>
  <c r="Q17" i="177"/>
  <c r="R17" i="177"/>
  <c r="R693" i="177"/>
  <c r="Q693" i="177"/>
  <c r="R203" i="177"/>
  <c r="Q203" i="177"/>
  <c r="Q492" i="177"/>
  <c r="R492" i="177"/>
  <c r="R1001" i="177"/>
  <c r="Q1001" i="177"/>
  <c r="R480" i="177"/>
  <c r="Q480" i="177"/>
  <c r="Q112" i="177"/>
  <c r="R112" i="177"/>
  <c r="Q330" i="177"/>
  <c r="R330" i="177"/>
  <c r="R773" i="177"/>
  <c r="Q773" i="177"/>
  <c r="R875" i="177"/>
  <c r="Q875" i="177"/>
  <c r="R404" i="177"/>
  <c r="Q404" i="177"/>
  <c r="R78" i="177"/>
  <c r="Q78" i="177"/>
  <c r="Q798" i="174"/>
  <c r="R798" i="174"/>
  <c r="R883" i="174"/>
  <c r="Q883" i="174"/>
  <c r="Q258" i="174"/>
  <c r="R258" i="174"/>
  <c r="R250" i="177"/>
  <c r="Q250" i="177"/>
  <c r="Q735" i="177"/>
  <c r="R735" i="177"/>
  <c r="R465" i="177"/>
  <c r="Q465" i="177"/>
  <c r="R751" i="177"/>
  <c r="Q751" i="177"/>
  <c r="R125" i="177"/>
  <c r="Q125" i="177"/>
  <c r="Q775" i="177"/>
  <c r="R775" i="177"/>
  <c r="R653" i="177"/>
  <c r="Q653" i="177"/>
  <c r="Q400" i="177"/>
  <c r="R400" i="177"/>
  <c r="R669" i="177"/>
  <c r="Q669" i="177"/>
  <c r="Q420" i="177"/>
  <c r="R420" i="177"/>
  <c r="Q494" i="174"/>
  <c r="R494" i="174"/>
  <c r="R703" i="174"/>
  <c r="Q703" i="174"/>
  <c r="Q802" i="177"/>
  <c r="R802" i="177"/>
  <c r="R122" i="177"/>
  <c r="Q122" i="177"/>
  <c r="Q162" i="174"/>
  <c r="R162" i="174"/>
  <c r="R244" i="174"/>
  <c r="Q244" i="174"/>
  <c r="Q856" i="177"/>
  <c r="R856" i="177"/>
  <c r="Q829" i="177"/>
  <c r="R829" i="177"/>
  <c r="Q1061" i="177"/>
  <c r="R1061" i="177"/>
  <c r="Q777" i="177"/>
  <c r="R777" i="177"/>
  <c r="R1042" i="177"/>
  <c r="Q1042" i="177"/>
  <c r="Q692" i="174"/>
  <c r="R692" i="174"/>
  <c r="R739" i="177"/>
  <c r="Q739" i="177"/>
  <c r="Q784" i="177"/>
  <c r="R784" i="177"/>
  <c r="Q894" i="177"/>
  <c r="R894" i="177"/>
  <c r="R1004" i="177"/>
  <c r="Q1004" i="177"/>
  <c r="Q756" i="177"/>
  <c r="R756" i="177"/>
  <c r="R926" i="177"/>
  <c r="Q926" i="177"/>
  <c r="Q306" i="177"/>
  <c r="R306" i="177"/>
  <c r="Q868" i="177"/>
  <c r="R868" i="177"/>
  <c r="R750" i="174"/>
  <c r="Q750" i="174"/>
  <c r="R406" i="174"/>
  <c r="Q406" i="174"/>
  <c r="Q78" i="174"/>
  <c r="R78" i="174"/>
  <c r="Q497" i="174"/>
  <c r="R497" i="174"/>
  <c r="Q334" i="174"/>
  <c r="R334" i="174"/>
  <c r="R1107" i="177"/>
  <c r="Q1107" i="177"/>
  <c r="R372" i="177"/>
  <c r="Q372" i="177"/>
  <c r="R339" i="177"/>
  <c r="Q339" i="177"/>
  <c r="Q915" i="177"/>
  <c r="R915" i="177"/>
  <c r="R629" i="177"/>
  <c r="Q629" i="177"/>
  <c r="Q654" i="177"/>
  <c r="R654" i="177"/>
  <c r="R626" i="177"/>
  <c r="Q626" i="177"/>
  <c r="AG33" i="175"/>
  <c r="AF33" i="175"/>
  <c r="Q1097" i="177"/>
  <c r="R1097" i="177"/>
  <c r="R421" i="177"/>
  <c r="Q421" i="177"/>
  <c r="R590" i="174"/>
  <c r="Q590" i="174"/>
  <c r="R352" i="174"/>
  <c r="Q352" i="174"/>
  <c r="R139" i="174"/>
  <c r="Q139" i="174"/>
  <c r="R543" i="174"/>
  <c r="Q543" i="174"/>
  <c r="AD128" i="176"/>
  <c r="AC128" i="176"/>
  <c r="Q1082" i="177"/>
  <c r="R1082" i="177"/>
  <c r="R256" i="177"/>
  <c r="Q256" i="177"/>
  <c r="R1084" i="177"/>
  <c r="Q1084" i="177"/>
  <c r="Q446" i="177"/>
  <c r="R446" i="177"/>
  <c r="Q550" i="177"/>
  <c r="R550" i="177"/>
  <c r="R916" i="177"/>
  <c r="Q916" i="177"/>
  <c r="R386" i="177"/>
  <c r="Q386" i="177"/>
  <c r="AG34" i="175"/>
  <c r="AF34" i="175"/>
  <c r="Q630" i="174"/>
  <c r="R630" i="174"/>
  <c r="Q461" i="174"/>
  <c r="R461" i="174"/>
  <c r="Q31" i="174"/>
  <c r="R31" i="174"/>
  <c r="Q840" i="174"/>
  <c r="R840" i="174"/>
  <c r="Q346" i="177"/>
  <c r="R346" i="177"/>
  <c r="Q277" i="174"/>
  <c r="R277" i="174"/>
  <c r="R61" i="174"/>
  <c r="Q61" i="174"/>
  <c r="R671" i="174"/>
  <c r="Q671" i="174"/>
  <c r="R291" i="174"/>
  <c r="Q291" i="174"/>
  <c r="R572" i="174"/>
  <c r="Q572" i="174"/>
  <c r="R99" i="177"/>
  <c r="Q99" i="177"/>
  <c r="R245" i="177"/>
  <c r="Q245" i="177"/>
  <c r="Q694" i="177"/>
  <c r="R694" i="177"/>
  <c r="R482" i="177"/>
  <c r="Q482" i="177"/>
  <c r="R253" i="177"/>
  <c r="Q253" i="177"/>
  <c r="R559" i="177"/>
  <c r="Q559" i="177"/>
  <c r="Q298" i="177"/>
  <c r="R298" i="177"/>
  <c r="R235" i="177"/>
  <c r="Q235" i="177"/>
  <c r="Q485" i="177"/>
  <c r="R485" i="177"/>
  <c r="R80" i="177"/>
  <c r="Q80" i="177"/>
  <c r="R229" i="174"/>
  <c r="Q229" i="174"/>
  <c r="Q217" i="174"/>
  <c r="R217" i="174"/>
  <c r="R212" i="174"/>
  <c r="Q212" i="174"/>
  <c r="R163" i="174"/>
  <c r="Q163" i="174"/>
  <c r="R717" i="177"/>
  <c r="Q717" i="177"/>
  <c r="R97" i="177"/>
  <c r="Q97" i="177"/>
  <c r="Q391" i="177"/>
  <c r="R391" i="177"/>
  <c r="Q1023" i="177"/>
  <c r="R1023" i="177"/>
  <c r="Q859" i="177"/>
  <c r="R859" i="177"/>
  <c r="R698" i="177"/>
  <c r="Q698" i="177"/>
  <c r="R825" i="177"/>
  <c r="Q825" i="177"/>
  <c r="Q601" i="177"/>
  <c r="R601" i="177"/>
  <c r="R24" i="173"/>
  <c r="Q24" i="173"/>
  <c r="Q544" i="177"/>
  <c r="R544" i="177"/>
  <c r="Q595" i="177"/>
  <c r="R595" i="177"/>
  <c r="Q441" i="174"/>
  <c r="R441" i="174"/>
  <c r="Q797" i="174"/>
  <c r="R797" i="174"/>
  <c r="R36" i="174"/>
  <c r="Q36" i="174"/>
  <c r="R546" i="177"/>
  <c r="Q546" i="177"/>
  <c r="R204" i="177"/>
  <c r="Q204" i="177"/>
  <c r="Q659" i="177"/>
  <c r="R659" i="177"/>
  <c r="R1052" i="177"/>
  <c r="Q1052" i="177"/>
  <c r="R310" i="177"/>
  <c r="Q310" i="177"/>
  <c r="Q244" i="177"/>
  <c r="R244" i="177"/>
  <c r="Q727" i="177"/>
  <c r="R727" i="177"/>
  <c r="R570" i="177"/>
  <c r="Q570" i="177"/>
  <c r="Q337" i="177"/>
  <c r="R337" i="177"/>
  <c r="R15" i="177"/>
  <c r="Q15" i="177"/>
  <c r="AD40" i="176"/>
  <c r="AC40" i="176"/>
  <c r="R850" i="177"/>
  <c r="Q850" i="177"/>
  <c r="Q177" i="177"/>
  <c r="R177" i="177"/>
  <c r="R263" i="177"/>
  <c r="Q263" i="177"/>
  <c r="R120" i="177"/>
  <c r="Q120" i="177"/>
  <c r="R329" i="177"/>
  <c r="Q329" i="177"/>
  <c r="Q748" i="177"/>
  <c r="R748" i="177"/>
  <c r="Q549" i="177"/>
  <c r="R549" i="177"/>
  <c r="Q863" i="174"/>
  <c r="R863" i="174"/>
  <c r="Q576" i="177"/>
  <c r="R576" i="177"/>
  <c r="R264" i="177"/>
  <c r="Q264" i="177"/>
  <c r="Q115" i="177"/>
  <c r="R115" i="177"/>
  <c r="Q688" i="177"/>
  <c r="R688" i="177"/>
  <c r="Q814" i="177"/>
  <c r="R814" i="177"/>
  <c r="Q714" i="177"/>
  <c r="R714" i="177"/>
  <c r="R363" i="177"/>
  <c r="Q363" i="177"/>
  <c r="R79" i="177"/>
  <c r="Q79" i="177"/>
  <c r="Q650" i="177"/>
  <c r="R650" i="177"/>
  <c r="R239" i="177"/>
  <c r="Q239" i="177"/>
  <c r="Q293" i="174"/>
  <c r="R293" i="174"/>
  <c r="Q108" i="174"/>
  <c r="R108" i="174"/>
  <c r="Q758" i="174"/>
  <c r="R758" i="174"/>
  <c r="R786" i="177"/>
  <c r="Q786" i="177"/>
  <c r="R908" i="177"/>
  <c r="Q908" i="177"/>
  <c r="R93" i="177"/>
  <c r="Q93" i="177"/>
  <c r="R35" i="177"/>
  <c r="Q35" i="177"/>
  <c r="R935" i="177"/>
  <c r="Q935" i="177"/>
  <c r="Q574" i="174"/>
  <c r="R574" i="174"/>
  <c r="Q680" i="174"/>
  <c r="R680" i="174"/>
  <c r="R746" i="177"/>
  <c r="Q746" i="177"/>
  <c r="R321" i="177"/>
  <c r="Q321" i="177"/>
  <c r="Q884" i="177"/>
  <c r="R884" i="177"/>
  <c r="R627" i="177"/>
  <c r="Q627" i="177"/>
  <c r="R872" i="177"/>
  <c r="Q872" i="177"/>
  <c r="AG29" i="175"/>
  <c r="AF29" i="175"/>
  <c r="R557" i="177"/>
  <c r="Q557" i="177"/>
  <c r="R500" i="177"/>
  <c r="Q500" i="177"/>
  <c r="Q513" i="177"/>
  <c r="R513" i="177"/>
  <c r="R1029" i="177"/>
  <c r="Q1029" i="177"/>
  <c r="R534" i="177"/>
  <c r="Q534" i="177"/>
  <c r="Q998" i="177"/>
  <c r="R998" i="177"/>
  <c r="R378" i="177"/>
  <c r="Q378" i="177"/>
  <c r="Q587" i="177"/>
  <c r="R587" i="177"/>
  <c r="Q359" i="174"/>
  <c r="R359" i="174"/>
  <c r="R893" i="174"/>
  <c r="Q893" i="174"/>
  <c r="R508" i="174"/>
  <c r="Q508" i="174"/>
  <c r="R526" i="174"/>
  <c r="Q526" i="174"/>
  <c r="R605" i="177"/>
  <c r="Q605" i="177"/>
  <c r="Q951" i="177"/>
  <c r="R951" i="177"/>
  <c r="R515" i="177"/>
  <c r="Q515" i="177"/>
  <c r="Q732" i="177"/>
  <c r="R732" i="177"/>
  <c r="R105" i="177"/>
  <c r="Q105" i="177"/>
  <c r="AF14" i="175"/>
  <c r="AG14" i="175"/>
  <c r="R1095" i="177"/>
  <c r="Q1095" i="177"/>
  <c r="R606" i="177"/>
  <c r="Q606" i="177"/>
  <c r="Q71" i="174"/>
  <c r="R71" i="174"/>
  <c r="R687" i="174"/>
  <c r="Q687" i="174"/>
  <c r="Q820" i="174"/>
  <c r="R820" i="174"/>
  <c r="R492" i="174"/>
  <c r="Q492" i="174"/>
  <c r="R341" i="177"/>
  <c r="Q341" i="177"/>
  <c r="Q848" i="177"/>
  <c r="R848" i="177"/>
  <c r="R1000" i="177"/>
  <c r="Q1000" i="177"/>
  <c r="Q851" i="177"/>
  <c r="R851" i="177"/>
  <c r="Q589" i="177"/>
  <c r="R589" i="177"/>
  <c r="R269" i="177"/>
  <c r="Q269" i="177"/>
  <c r="Q755" i="174"/>
  <c r="R755" i="174"/>
  <c r="Q427" i="174"/>
  <c r="R427" i="174"/>
  <c r="R784" i="174"/>
  <c r="Q784" i="174"/>
  <c r="R1112" i="177"/>
  <c r="Q1112" i="177"/>
  <c r="R702" i="177"/>
  <c r="Q702" i="177"/>
  <c r="Q186" i="177"/>
  <c r="R186" i="177"/>
  <c r="R568" i="174"/>
  <c r="Q568" i="174"/>
  <c r="Q398" i="174"/>
  <c r="R398" i="174"/>
  <c r="R373" i="174"/>
  <c r="Q373" i="174"/>
  <c r="Q661" i="174"/>
  <c r="R661" i="174"/>
  <c r="Q712" i="174"/>
  <c r="R712" i="174"/>
  <c r="Q28" i="173"/>
  <c r="R28" i="173"/>
  <c r="R483" i="177"/>
  <c r="Q483" i="177"/>
  <c r="R950" i="177"/>
  <c r="Q950" i="177"/>
  <c r="Q760" i="177"/>
  <c r="R760" i="177"/>
  <c r="R558" i="177"/>
  <c r="Q558" i="177"/>
  <c r="Q1063" i="177"/>
  <c r="R1063" i="177"/>
  <c r="R571" i="177"/>
  <c r="Q571" i="177"/>
  <c r="Q821" i="177"/>
  <c r="R821" i="177"/>
  <c r="Q266" i="177"/>
  <c r="R266" i="177"/>
  <c r="R160" i="174"/>
  <c r="Q160" i="174"/>
  <c r="R135" i="174"/>
  <c r="Q135" i="174"/>
  <c r="Q257" i="177"/>
  <c r="R257" i="177"/>
  <c r="Q164" i="177"/>
  <c r="R164" i="177"/>
  <c r="R584" i="177"/>
  <c r="Q584" i="177"/>
  <c r="Q182" i="177"/>
  <c r="R182" i="177"/>
  <c r="Q843" i="177"/>
  <c r="R843" i="177"/>
  <c r="R333" i="177"/>
  <c r="Q333" i="177"/>
  <c r="Q1114" i="177"/>
  <c r="R1114" i="177"/>
  <c r="R729" i="177"/>
  <c r="Q729" i="177"/>
  <c r="AG16" i="175"/>
  <c r="AF16" i="175"/>
  <c r="Q820" i="177"/>
  <c r="R820" i="177"/>
  <c r="R350" i="177"/>
  <c r="Q350" i="177"/>
  <c r="R858" i="177"/>
  <c r="Q858" i="177"/>
  <c r="R153" i="174"/>
  <c r="Q153" i="174"/>
  <c r="Q74" i="174"/>
  <c r="R74" i="174"/>
  <c r="R425" i="177"/>
  <c r="Q425" i="177"/>
  <c r="R477" i="177"/>
  <c r="Q477" i="177"/>
  <c r="R290" i="177"/>
  <c r="Q290" i="177"/>
  <c r="Q805" i="177"/>
  <c r="R805" i="177"/>
  <c r="Q947" i="177"/>
  <c r="R947" i="177"/>
  <c r="R890" i="177"/>
  <c r="Q890" i="177"/>
  <c r="Q810" i="177"/>
  <c r="R810" i="177"/>
  <c r="AD117" i="176"/>
  <c r="AC117" i="176"/>
  <c r="R360" i="177"/>
  <c r="Q360" i="177"/>
  <c r="Q479" i="177"/>
  <c r="R479" i="177"/>
  <c r="R807" i="177"/>
  <c r="Q807" i="177"/>
  <c r="R964" i="177"/>
  <c r="Q964" i="177"/>
  <c r="Q471" i="177"/>
  <c r="R471" i="177"/>
  <c r="Q792" i="177"/>
  <c r="R792" i="177"/>
  <c r="R373" i="177"/>
  <c r="Q373" i="177"/>
  <c r="R844" i="177"/>
  <c r="Q844" i="177"/>
  <c r="R510" i="177"/>
  <c r="Q510" i="177"/>
  <c r="R94" i="177"/>
  <c r="Q94" i="177"/>
  <c r="R592" i="177"/>
  <c r="Q592" i="177"/>
  <c r="Q736" i="177"/>
  <c r="R736" i="177"/>
  <c r="R159" i="177"/>
  <c r="Q159" i="177"/>
  <c r="R826" i="177"/>
  <c r="Q826" i="177"/>
  <c r="Q19" i="174"/>
  <c r="R19" i="174"/>
  <c r="R799" i="174"/>
  <c r="Q799" i="174"/>
  <c r="R444" i="174"/>
  <c r="Q444" i="174"/>
  <c r="R302" i="174"/>
  <c r="Q302" i="174"/>
  <c r="Q639" i="177"/>
  <c r="R639" i="177"/>
  <c r="R972" i="177"/>
  <c r="Q972" i="177"/>
  <c r="Q285" i="177"/>
  <c r="R285" i="177"/>
  <c r="R374" i="177"/>
  <c r="Q374" i="177"/>
  <c r="Q907" i="177"/>
  <c r="R907" i="177"/>
  <c r="R230" i="177"/>
  <c r="Q230" i="177"/>
  <c r="R978" i="177"/>
  <c r="Q978" i="177"/>
  <c r="R846" i="177"/>
  <c r="Q846" i="177"/>
  <c r="Q307" i="174"/>
  <c r="R307" i="174"/>
  <c r="R469" i="174"/>
  <c r="Q469" i="174"/>
  <c r="Q269" i="174"/>
  <c r="R269" i="174"/>
  <c r="Q185" i="177"/>
  <c r="R185" i="177"/>
  <c r="R1057" i="177"/>
  <c r="Q1057" i="177"/>
  <c r="Q834" i="174"/>
  <c r="R834" i="174"/>
  <c r="AF28" i="175"/>
  <c r="AG28" i="175"/>
  <c r="Q816" i="177"/>
  <c r="R816" i="177"/>
  <c r="R384" i="177"/>
  <c r="Q384" i="177"/>
  <c r="R871" i="177"/>
  <c r="Q871" i="177"/>
  <c r="AG22" i="175"/>
  <c r="AF22" i="175"/>
  <c r="R16" i="177"/>
  <c r="Q16" i="177"/>
  <c r="Q1028" i="177"/>
  <c r="R1028" i="177"/>
  <c r="Q238" i="177"/>
  <c r="R238" i="177"/>
  <c r="R579" i="174"/>
  <c r="Q579" i="174"/>
  <c r="R133" i="177"/>
  <c r="Q133" i="177"/>
  <c r="R459" i="177"/>
  <c r="Q459" i="177"/>
  <c r="Q860" i="177"/>
  <c r="R860" i="177"/>
  <c r="Q785" i="177"/>
  <c r="R785" i="177"/>
  <c r="Q713" i="177"/>
  <c r="R713" i="177"/>
  <c r="Q452" i="177"/>
  <c r="R452" i="177"/>
  <c r="R989" i="177"/>
  <c r="Q989" i="177"/>
  <c r="Q931" i="177"/>
  <c r="R931" i="177"/>
  <c r="R620" i="177"/>
  <c r="Q620" i="177"/>
  <c r="R900" i="174"/>
  <c r="Q900" i="174"/>
  <c r="R129" i="174"/>
  <c r="Q129" i="174"/>
  <c r="R614" i="174"/>
  <c r="Q614" i="174"/>
  <c r="R217" i="177"/>
  <c r="Q217" i="177"/>
  <c r="R876" i="177"/>
  <c r="Q876" i="177"/>
  <c r="Q1046" i="177"/>
  <c r="R1046" i="177"/>
  <c r="Q326" i="177"/>
  <c r="R326" i="177"/>
  <c r="Q744" i="177"/>
  <c r="R744" i="177"/>
  <c r="Q652" i="177"/>
  <c r="R652" i="177"/>
  <c r="R34" i="177"/>
  <c r="Q34" i="177"/>
  <c r="R489" i="177"/>
  <c r="Q489" i="177"/>
  <c r="Q412" i="177"/>
  <c r="R412" i="177"/>
  <c r="Q999" i="177"/>
  <c r="R999" i="177"/>
  <c r="R812" i="174"/>
  <c r="Q812" i="174"/>
  <c r="R275" i="174"/>
  <c r="Q275" i="174"/>
  <c r="R769" i="174"/>
  <c r="Q769" i="174"/>
  <c r="Q510" i="174"/>
  <c r="R510" i="174"/>
  <c r="R473" i="174"/>
  <c r="Q473" i="174"/>
  <c r="R59" i="177"/>
  <c r="Q59" i="177"/>
  <c r="R92" i="177"/>
  <c r="Q92" i="177"/>
  <c r="AF30" i="175"/>
  <c r="AG30" i="175"/>
  <c r="R130" i="177"/>
  <c r="Q130" i="177"/>
  <c r="R817" i="177"/>
  <c r="Q817" i="177"/>
  <c r="R388" i="177"/>
  <c r="Q388" i="177"/>
  <c r="Q81" i="177"/>
  <c r="R81" i="177"/>
  <c r="R112" i="174"/>
  <c r="Q112" i="174"/>
  <c r="R70" i="174"/>
  <c r="Q70" i="174"/>
  <c r="Q338" i="174"/>
  <c r="R338" i="174"/>
  <c r="R806" i="174"/>
  <c r="Q806" i="174"/>
  <c r="Q667" i="174"/>
  <c r="R667" i="174"/>
  <c r="R663" i="177"/>
  <c r="Q663" i="177"/>
  <c r="R499" i="177"/>
  <c r="Q499" i="177"/>
  <c r="R701" i="174"/>
  <c r="Q701" i="174"/>
  <c r="Q127" i="174"/>
  <c r="R127" i="174"/>
  <c r="R164" i="174"/>
  <c r="Q164" i="174"/>
  <c r="R568" i="177"/>
  <c r="Q568" i="177"/>
  <c r="Q797" i="177"/>
  <c r="R797" i="177"/>
  <c r="Q348" i="177"/>
  <c r="R348" i="177"/>
  <c r="Q140" i="177"/>
  <c r="R140" i="177"/>
  <c r="Q39" i="177"/>
  <c r="R39" i="177"/>
  <c r="Q823" i="177"/>
  <c r="R823" i="177"/>
  <c r="R389" i="177"/>
  <c r="Q389" i="177"/>
  <c r="Q500" i="174"/>
  <c r="R500" i="174"/>
  <c r="R458" i="174"/>
  <c r="Q458" i="174"/>
  <c r="Q330" i="174"/>
  <c r="R330" i="174"/>
  <c r="R619" i="177"/>
  <c r="Q619" i="177"/>
  <c r="R95" i="177"/>
  <c r="Q95" i="177"/>
  <c r="R428" i="177"/>
  <c r="Q428" i="177"/>
  <c r="R199" i="177"/>
  <c r="Q199" i="177"/>
  <c r="Q910" i="177"/>
  <c r="R910" i="177"/>
  <c r="Q393" i="177"/>
  <c r="R393" i="177"/>
  <c r="R754" i="177"/>
  <c r="Q754" i="177"/>
  <c r="Q591" i="177"/>
  <c r="R591" i="177"/>
  <c r="AF21" i="175"/>
  <c r="AG21" i="175"/>
  <c r="Q557" i="174"/>
  <c r="R557" i="174"/>
  <c r="R586" i="174"/>
  <c r="Q586" i="174"/>
  <c r="Q1065" i="177"/>
  <c r="R1065" i="177"/>
  <c r="R1048" i="177"/>
  <c r="Q1048" i="177"/>
  <c r="Q976" i="177"/>
  <c r="R976" i="177"/>
  <c r="R276" i="177"/>
  <c r="Q276" i="177"/>
  <c r="Q573" i="177"/>
  <c r="R573" i="177"/>
  <c r="Q110" i="177"/>
  <c r="R110" i="177"/>
  <c r="R288" i="177"/>
  <c r="Q288" i="177"/>
  <c r="Q759" i="177"/>
  <c r="R759" i="177"/>
  <c r="R323" i="177"/>
  <c r="Q323" i="177"/>
  <c r="Q108" i="177"/>
  <c r="R108" i="177"/>
  <c r="R523" i="177"/>
  <c r="Q523" i="177"/>
  <c r="R941" i="177"/>
  <c r="Q941" i="177"/>
  <c r="R1091" i="177"/>
  <c r="Q1091" i="177"/>
  <c r="Q249" i="177"/>
  <c r="R249" i="177"/>
  <c r="Q955" i="177"/>
  <c r="R955" i="177"/>
  <c r="R226" i="177"/>
  <c r="Q226" i="177"/>
  <c r="Q167" i="177"/>
  <c r="R167" i="177"/>
  <c r="R1068" i="177"/>
  <c r="Q1068" i="177"/>
  <c r="Q512" i="177"/>
  <c r="R512" i="177"/>
  <c r="R622" i="177"/>
  <c r="Q622" i="177"/>
  <c r="Q616" i="177"/>
  <c r="R616" i="177"/>
  <c r="R695" i="174"/>
  <c r="Q695" i="174"/>
  <c r="R149" i="174"/>
  <c r="Q149" i="174"/>
  <c r="Q432" i="174"/>
  <c r="R432" i="174"/>
  <c r="R150" i="174"/>
  <c r="Q150" i="174"/>
  <c r="R206" i="177"/>
  <c r="Q206" i="177"/>
  <c r="Q1035" i="177"/>
  <c r="R1035" i="177"/>
  <c r="R362" i="177"/>
  <c r="Q362" i="177"/>
  <c r="R454" i="177"/>
  <c r="Q454" i="177"/>
  <c r="R1009" i="177"/>
  <c r="Q1009" i="177"/>
  <c r="Q597" i="177"/>
  <c r="R597" i="177"/>
  <c r="R869" i="177"/>
  <c r="Q869" i="177"/>
  <c r="R270" i="177"/>
  <c r="Q270" i="177"/>
  <c r="R294" i="177"/>
  <c r="Q294" i="177"/>
  <c r="R148" i="174"/>
  <c r="Q148" i="174"/>
  <c r="R214" i="174"/>
  <c r="Q214" i="174"/>
  <c r="Q1034" i="177"/>
  <c r="R1034" i="177"/>
  <c r="Q883" i="177"/>
  <c r="R883" i="177"/>
  <c r="Q891" i="177"/>
  <c r="R891" i="177"/>
  <c r="R258" i="177"/>
  <c r="Q258" i="177"/>
  <c r="Q482" i="174"/>
  <c r="R482" i="174"/>
  <c r="R74" i="177"/>
  <c r="Q74" i="177"/>
  <c r="R747" i="177"/>
  <c r="Q747" i="177"/>
  <c r="R41" i="177"/>
  <c r="Q41" i="177"/>
  <c r="R151" i="177"/>
  <c r="Q151" i="177"/>
  <c r="Q721" i="177"/>
  <c r="R721" i="177"/>
  <c r="R168" i="174"/>
  <c r="Q168" i="174"/>
  <c r="R739" i="174"/>
  <c r="Q739" i="174"/>
  <c r="Q780" i="174"/>
  <c r="R780" i="174"/>
  <c r="Q913" i="177"/>
  <c r="R913" i="177"/>
  <c r="Q143" i="177"/>
  <c r="R143" i="177"/>
  <c r="Q52" i="177"/>
  <c r="R52" i="177"/>
  <c r="Q706" i="177"/>
  <c r="R706" i="177"/>
  <c r="R545" i="177"/>
  <c r="Q545" i="177"/>
  <c r="R632" i="177"/>
  <c r="Q632" i="177"/>
  <c r="Q588" i="177"/>
  <c r="R588" i="177"/>
  <c r="Q501" i="177"/>
  <c r="R501" i="177"/>
  <c r="R588" i="174"/>
  <c r="Q588" i="174"/>
  <c r="R843" i="174"/>
  <c r="Q843" i="174"/>
  <c r="R15" i="174"/>
  <c r="Q15" i="174"/>
  <c r="Q785" i="174"/>
  <c r="R785" i="174"/>
  <c r="Q939" i="177"/>
  <c r="R939" i="177"/>
  <c r="Q586" i="177"/>
  <c r="R586" i="177"/>
  <c r="R336" i="177"/>
  <c r="Q336" i="177"/>
  <c r="R51" i="177"/>
  <c r="Q51" i="177"/>
  <c r="R982" i="177"/>
  <c r="Q982" i="177"/>
  <c r="Q1043" i="177"/>
  <c r="R1043" i="177"/>
  <c r="R268" i="177"/>
  <c r="Q268" i="177"/>
  <c r="R623" i="177"/>
  <c r="Q623" i="177"/>
  <c r="Q623" i="174"/>
  <c r="R623" i="174"/>
  <c r="Q890" i="174"/>
  <c r="R890" i="174"/>
  <c r="R766" i="174"/>
  <c r="Q766" i="174"/>
  <c r="R583" i="177"/>
  <c r="Q583" i="177"/>
  <c r="R716" i="177"/>
  <c r="Q716" i="177"/>
  <c r="R1010" i="177"/>
  <c r="Q1010" i="177"/>
  <c r="Q677" i="177"/>
  <c r="R677" i="177"/>
  <c r="Q800" i="177"/>
  <c r="R800" i="177"/>
  <c r="R22" i="177"/>
  <c r="Q22" i="177"/>
  <c r="AG19" i="175"/>
  <c r="AF19" i="175"/>
  <c r="R878" i="177"/>
  <c r="Q878" i="177"/>
  <c r="Q552" i="174"/>
  <c r="R552" i="174"/>
  <c r="Q264" i="174"/>
  <c r="R264" i="174"/>
  <c r="R830" i="174"/>
  <c r="Q830" i="174"/>
  <c r="R761" i="174"/>
  <c r="Q761" i="174"/>
  <c r="R1108" i="177"/>
  <c r="Q1108" i="177"/>
  <c r="Q114" i="177"/>
  <c r="R114" i="177"/>
  <c r="R802" i="174"/>
  <c r="Q802" i="174"/>
  <c r="Q679" i="174"/>
  <c r="R679" i="174"/>
  <c r="Q99" i="174"/>
  <c r="R99" i="174"/>
  <c r="Q794" i="177"/>
  <c r="R794" i="177"/>
  <c r="R398" i="177"/>
  <c r="Q398" i="177"/>
  <c r="Q672" i="177"/>
  <c r="R672" i="177"/>
  <c r="R1041" i="177"/>
  <c r="Q1041" i="177"/>
  <c r="R236" i="177"/>
  <c r="Q236" i="177"/>
  <c r="R70" i="177"/>
  <c r="Q70" i="177"/>
  <c r="R633" i="177"/>
  <c r="Q633" i="177"/>
  <c r="Q774" i="174"/>
  <c r="R774" i="174"/>
  <c r="Q707" i="174"/>
  <c r="R707" i="174"/>
  <c r="R395" i="177"/>
  <c r="Q395" i="177"/>
  <c r="R377" i="177"/>
  <c r="Q377" i="177"/>
  <c r="R219" i="177"/>
  <c r="Q219" i="177"/>
  <c r="Q302" i="177"/>
  <c r="R302" i="177"/>
  <c r="R707" i="177"/>
  <c r="Q707" i="177"/>
  <c r="R689" i="177"/>
  <c r="Q689" i="177"/>
  <c r="Q928" i="177"/>
  <c r="R928" i="177"/>
  <c r="R831" i="177"/>
  <c r="Q831" i="177"/>
  <c r="R142" i="177"/>
  <c r="Q142" i="177"/>
  <c r="R813" i="177"/>
  <c r="Q813" i="177"/>
  <c r="R1078" i="177"/>
  <c r="Q1078" i="177"/>
  <c r="R212" i="177"/>
  <c r="Q212" i="177"/>
  <c r="Q224" i="174"/>
  <c r="R224" i="174"/>
  <c r="Q705" i="177"/>
  <c r="R705" i="177"/>
  <c r="Q912" i="177"/>
  <c r="R912" i="177"/>
  <c r="R128" i="177"/>
  <c r="Q128" i="177"/>
  <c r="R387" i="177"/>
  <c r="Q387" i="177"/>
  <c r="Q85" i="177"/>
  <c r="R85" i="177"/>
  <c r="R447" i="177"/>
  <c r="Q447" i="177"/>
  <c r="Q724" i="177"/>
  <c r="R724" i="177"/>
  <c r="R662" i="177"/>
  <c r="Q662" i="177"/>
  <c r="R525" i="177"/>
  <c r="Q525" i="177"/>
  <c r="Q1079" i="177"/>
  <c r="R1079" i="177"/>
  <c r="R255" i="177"/>
  <c r="Q255" i="177"/>
  <c r="R753" i="177"/>
  <c r="Q753" i="177"/>
  <c r="Q55" i="177"/>
  <c r="R55" i="177"/>
  <c r="Q318" i="177"/>
  <c r="R318" i="177"/>
  <c r="R772" i="177"/>
  <c r="Q772" i="177"/>
  <c r="R1030" i="177"/>
  <c r="Q1030" i="177"/>
  <c r="Q691" i="177"/>
  <c r="R691" i="177"/>
  <c r="R526" i="177"/>
  <c r="Q526" i="177"/>
  <c r="R221" i="177"/>
  <c r="Q221" i="177"/>
  <c r="R1055" i="177"/>
  <c r="Q1055" i="177"/>
  <c r="R764" i="177"/>
  <c r="Q764" i="177"/>
  <c r="Q720" i="177"/>
  <c r="R720" i="177"/>
  <c r="Q444" i="177"/>
  <c r="R444" i="177"/>
  <c r="R611" i="174"/>
  <c r="Q611" i="174"/>
  <c r="R810" i="174"/>
  <c r="Q810" i="174"/>
  <c r="Q43" i="177"/>
  <c r="R43" i="177"/>
  <c r="Q988" i="177"/>
  <c r="R988" i="177"/>
  <c r="R818" i="177"/>
  <c r="Q818" i="177"/>
  <c r="Q776" i="177"/>
  <c r="R776" i="177"/>
  <c r="Q528" i="177"/>
  <c r="R528" i="177"/>
  <c r="AF31" i="175"/>
  <c r="AG31" i="175"/>
  <c r="R190" i="177"/>
  <c r="Q190" i="177"/>
  <c r="Q578" i="174"/>
  <c r="R578" i="174"/>
  <c r="R647" i="174"/>
  <c r="Q647" i="174"/>
  <c r="R767" i="177"/>
  <c r="Q767" i="177"/>
  <c r="Q104" i="177"/>
  <c r="R104" i="177"/>
  <c r="R734" i="174"/>
  <c r="Q734" i="174"/>
  <c r="Q563" i="177"/>
  <c r="R563" i="177"/>
  <c r="AG15" i="175"/>
  <c r="AF15" i="175"/>
  <c r="Q641" i="177"/>
  <c r="R641" i="177"/>
  <c r="R765" i="177"/>
  <c r="Q765" i="177"/>
  <c r="R888" i="174"/>
  <c r="Q888" i="174"/>
  <c r="Q369" i="177"/>
  <c r="R369" i="177"/>
  <c r="Q687" i="177"/>
  <c r="R687" i="177"/>
  <c r="R731" i="177"/>
  <c r="Q731" i="177"/>
  <c r="Q73" i="177"/>
  <c r="R73" i="177"/>
  <c r="R407" i="177"/>
  <c r="Q407" i="177"/>
  <c r="Q218" i="174"/>
  <c r="R218" i="174"/>
  <c r="R831" i="174"/>
  <c r="Q831" i="174"/>
  <c r="R585" i="174"/>
  <c r="Q585" i="174"/>
  <c r="R210" i="177"/>
  <c r="Q210" i="177"/>
  <c r="R58" i="177"/>
  <c r="Q58" i="177"/>
  <c r="R548" i="177"/>
  <c r="Q548" i="177"/>
  <c r="R683" i="177"/>
  <c r="Q683" i="177"/>
  <c r="Q273" i="177"/>
  <c r="R273" i="177"/>
  <c r="R399" i="177"/>
  <c r="Q399" i="177"/>
  <c r="Q1083" i="177"/>
  <c r="R1083" i="177"/>
  <c r="Q313" i="174"/>
  <c r="R313" i="174"/>
  <c r="Q75" i="174"/>
  <c r="R75" i="174"/>
  <c r="R504" i="174"/>
  <c r="Q504" i="174"/>
  <c r="R327" i="174"/>
  <c r="Q327" i="174"/>
  <c r="R877" i="174"/>
  <c r="Q877" i="174"/>
  <c r="Q312" i="177"/>
  <c r="R312" i="177"/>
  <c r="Q473" i="177"/>
  <c r="R473" i="177"/>
  <c r="R812" i="177"/>
  <c r="Q812" i="177"/>
  <c r="Q692" i="177"/>
  <c r="R692" i="177"/>
  <c r="Q833" i="177"/>
  <c r="R833" i="177"/>
  <c r="R934" i="177"/>
  <c r="Q934" i="177"/>
  <c r="R665" i="177"/>
  <c r="Q665" i="177"/>
  <c r="Q824" i="174"/>
  <c r="R824" i="174"/>
  <c r="R46" i="174"/>
  <c r="Q46" i="174"/>
  <c r="Q252" i="174"/>
  <c r="R252" i="174"/>
  <c r="R735" i="174"/>
  <c r="Q735" i="174"/>
  <c r="R231" i="174"/>
  <c r="Q231" i="174"/>
  <c r="R67" i="177"/>
  <c r="Q67" i="177"/>
  <c r="R234" i="177"/>
  <c r="Q234" i="177"/>
  <c r="R106" i="177"/>
  <c r="Q106" i="177"/>
  <c r="Q436" i="174"/>
  <c r="R436" i="174"/>
  <c r="Q246" i="177"/>
  <c r="R246" i="177"/>
  <c r="R543" i="177"/>
  <c r="Q543" i="177"/>
  <c r="Q103" i="177"/>
  <c r="R103" i="177"/>
  <c r="Q836" i="177"/>
  <c r="R836" i="177"/>
  <c r="R656" i="177"/>
  <c r="Q656" i="177"/>
  <c r="R914" i="177"/>
  <c r="Q914" i="177"/>
  <c r="R154" i="174"/>
  <c r="Q154" i="174"/>
  <c r="R731" i="174"/>
  <c r="Q731" i="174"/>
  <c r="Q759" i="174"/>
  <c r="R759" i="174"/>
  <c r="R567" i="177"/>
  <c r="Q567" i="177"/>
  <c r="Q254" i="177"/>
  <c r="R254" i="177"/>
  <c r="R30" i="177"/>
  <c r="Q30" i="177"/>
  <c r="R682" i="177"/>
  <c r="Q682" i="177"/>
  <c r="Q602" i="177"/>
  <c r="R602" i="177"/>
  <c r="R608" i="177"/>
  <c r="Q608" i="177"/>
  <c r="Q711" i="177"/>
  <c r="R711" i="177"/>
  <c r="R179" i="174"/>
  <c r="Q179" i="174"/>
  <c r="Q468" i="174"/>
  <c r="R468" i="174"/>
  <c r="Q416" i="174"/>
  <c r="R416" i="174"/>
  <c r="AC37" i="176"/>
  <c r="AD37" i="176"/>
  <c r="R517" i="177"/>
  <c r="Q517" i="177"/>
  <c r="Q101" i="177"/>
  <c r="R101" i="177"/>
  <c r="R651" i="177"/>
  <c r="Q651" i="177"/>
  <c r="R1088" i="177"/>
  <c r="Q1088" i="177"/>
  <c r="Q497" i="177"/>
  <c r="R497" i="177"/>
  <c r="Q502" i="177"/>
  <c r="R502" i="177"/>
  <c r="AC84" i="176"/>
  <c r="AD84" i="176"/>
  <c r="R580" i="174"/>
  <c r="Q580" i="174"/>
  <c r="Q894" i="174"/>
  <c r="R894" i="174"/>
  <c r="R29" i="174"/>
  <c r="Q29" i="174"/>
  <c r="Q340" i="174"/>
  <c r="R340" i="174"/>
  <c r="Q383" i="174"/>
  <c r="R383" i="174"/>
  <c r="Q1008" i="177"/>
  <c r="R1008" i="177"/>
  <c r="Q924" i="177"/>
  <c r="R924" i="177"/>
  <c r="R1002" i="177"/>
  <c r="Q1002" i="177"/>
  <c r="R72" i="177"/>
  <c r="Q72" i="177"/>
  <c r="Q902" i="177"/>
  <c r="R902" i="177"/>
  <c r="R281" i="177"/>
  <c r="Q281" i="177"/>
  <c r="R553" i="177"/>
  <c r="Q553" i="177"/>
  <c r="R647" i="177"/>
  <c r="Q647" i="177"/>
  <c r="AD15" i="176"/>
  <c r="AC15" i="176"/>
  <c r="AD140" i="176"/>
  <c r="AC140" i="176"/>
  <c r="AD124" i="176"/>
  <c r="AC124" i="176"/>
  <c r="R744" i="174"/>
  <c r="Q744" i="174"/>
  <c r="R309" i="174"/>
  <c r="Q309" i="174"/>
  <c r="R653" i="174"/>
  <c r="Q653" i="174"/>
  <c r="R772" i="174"/>
  <c r="Q772" i="174"/>
  <c r="R927" i="177"/>
  <c r="Q927" i="177"/>
  <c r="Q1080" i="177"/>
  <c r="R1080" i="177"/>
  <c r="R892" i="174"/>
  <c r="Q892" i="174"/>
  <c r="Q798" i="177"/>
  <c r="R798" i="177"/>
  <c r="R770" i="177"/>
  <c r="Q770" i="177"/>
  <c r="Q762" i="177"/>
  <c r="R762" i="177"/>
  <c r="R899" i="177"/>
  <c r="Q899" i="177"/>
  <c r="AD30" i="176"/>
  <c r="AC30" i="176"/>
  <c r="R1014" i="177"/>
  <c r="Q1014" i="177"/>
  <c r="R170" i="174"/>
  <c r="Q170" i="174"/>
  <c r="Q254" i="174"/>
  <c r="R254" i="174"/>
  <c r="Q144" i="174"/>
  <c r="R144" i="174"/>
  <c r="Q825" i="174"/>
  <c r="R825" i="174"/>
  <c r="Q778" i="174"/>
  <c r="R778" i="174"/>
  <c r="R300" i="174"/>
  <c r="Q300" i="174"/>
  <c r="R417" i="177"/>
  <c r="Q417" i="177"/>
  <c r="R741" i="177"/>
  <c r="Q741" i="177"/>
  <c r="R314" i="177"/>
  <c r="Q314" i="177"/>
  <c r="R579" i="177"/>
  <c r="Q579" i="177"/>
  <c r="AC122" i="176"/>
  <c r="AD122" i="176"/>
  <c r="Q188" i="174"/>
  <c r="R188" i="174"/>
  <c r="Q102" i="174"/>
  <c r="R102" i="174"/>
  <c r="R18" i="174"/>
  <c r="Q18" i="174"/>
  <c r="Q746" i="174"/>
  <c r="R746" i="174"/>
  <c r="R205" i="174"/>
  <c r="Q205" i="174"/>
  <c r="Q901" i="174"/>
  <c r="R901" i="174"/>
  <c r="Q1058" i="177"/>
  <c r="R1058" i="177"/>
  <c r="Q615" i="177"/>
  <c r="R615" i="177"/>
  <c r="R82" i="177"/>
  <c r="Q82" i="177"/>
  <c r="R766" i="177"/>
  <c r="Q766" i="177"/>
  <c r="R359" i="177"/>
  <c r="Q359" i="177"/>
  <c r="Q555" i="177"/>
  <c r="R555" i="177"/>
  <c r="R156" i="177"/>
  <c r="Q156" i="177"/>
  <c r="R889" i="174"/>
  <c r="Q889" i="174"/>
  <c r="Q278" i="174"/>
  <c r="R278" i="174"/>
  <c r="Q875" i="174"/>
  <c r="R875" i="174"/>
  <c r="R60" i="177"/>
  <c r="Q60" i="177"/>
  <c r="Q453" i="177"/>
  <c r="R453" i="177"/>
  <c r="R445" i="177"/>
  <c r="Q445" i="177"/>
  <c r="R566" i="177"/>
  <c r="Q566" i="177"/>
  <c r="R368" i="177"/>
  <c r="Q368" i="177"/>
  <c r="AC120" i="176"/>
  <c r="AD120" i="176"/>
  <c r="AD139" i="176"/>
  <c r="AC139" i="176"/>
  <c r="Q870" i="174"/>
  <c r="R870" i="174"/>
  <c r="Q453" i="174"/>
  <c r="R453" i="174"/>
  <c r="Q215" i="174"/>
  <c r="R215" i="174"/>
  <c r="Q599" i="174"/>
  <c r="R599" i="174"/>
  <c r="Q186" i="174"/>
  <c r="R186" i="174"/>
  <c r="R391" i="174"/>
  <c r="Q391" i="174"/>
  <c r="Q1081" i="177"/>
  <c r="R1081" i="177"/>
  <c r="Q781" i="177"/>
  <c r="R781" i="177"/>
  <c r="Q541" i="177"/>
  <c r="R541" i="177"/>
  <c r="R179" i="177"/>
  <c r="Q179" i="177"/>
  <c r="Q715" i="174"/>
  <c r="R715" i="174"/>
  <c r="Q405" i="174"/>
  <c r="R405" i="174"/>
  <c r="R245" i="174"/>
  <c r="Q245" i="174"/>
  <c r="Q229" i="177"/>
  <c r="R229" i="177"/>
  <c r="R355" i="177"/>
  <c r="Q355" i="177"/>
  <c r="Q642" i="177"/>
  <c r="R642" i="177"/>
  <c r="R622" i="174"/>
  <c r="Q622" i="174"/>
  <c r="Q795" i="174"/>
  <c r="R795" i="174"/>
  <c r="R857" i="174"/>
  <c r="Q857" i="174"/>
  <c r="R84" i="174"/>
  <c r="Q84" i="174"/>
  <c r="AG26" i="175"/>
  <c r="AF26" i="175"/>
  <c r="R249" i="174"/>
  <c r="Q249" i="174"/>
  <c r="R335" i="177"/>
  <c r="Q335" i="177"/>
  <c r="R1047" i="177"/>
  <c r="Q1047" i="177"/>
  <c r="R801" i="177"/>
  <c r="Q801" i="177"/>
  <c r="AC46" i="176"/>
  <c r="AD46" i="176"/>
  <c r="Q332" i="177"/>
  <c r="R332" i="177"/>
  <c r="Q113" i="174"/>
  <c r="R113" i="174"/>
  <c r="Q970" i="177"/>
  <c r="R970" i="177"/>
  <c r="R110" i="174"/>
  <c r="Q110" i="174"/>
  <c r="Q895" i="174"/>
  <c r="R895" i="174"/>
  <c r="R657" i="177"/>
  <c r="Q657" i="177"/>
  <c r="R845" i="174"/>
  <c r="Q845" i="174"/>
  <c r="R100" i="174"/>
  <c r="Q100" i="174"/>
  <c r="Q328" i="174"/>
  <c r="R328" i="174"/>
  <c r="R884" i="174"/>
  <c r="Q884" i="174"/>
  <c r="R859" i="174"/>
  <c r="Q859" i="174"/>
  <c r="AF35" i="175"/>
  <c r="AG35" i="175"/>
  <c r="R251" i="177"/>
  <c r="Q251" i="177"/>
  <c r="Q864" i="177"/>
  <c r="R864" i="177"/>
  <c r="Q658" i="177"/>
  <c r="R658" i="177"/>
  <c r="R457" i="174"/>
  <c r="Q457" i="174"/>
  <c r="AG23" i="175"/>
  <c r="AF23" i="175"/>
  <c r="AD65" i="176"/>
  <c r="AC65" i="176"/>
  <c r="Q296" i="174"/>
  <c r="R296" i="174"/>
  <c r="Q157" i="174"/>
  <c r="R157" i="174"/>
  <c r="Q621" i="174"/>
  <c r="R621" i="174"/>
  <c r="Q459" i="174"/>
  <c r="R459" i="174"/>
  <c r="Q364" i="174"/>
  <c r="R364" i="174"/>
  <c r="R1105" i="177"/>
  <c r="Q1105" i="177"/>
  <c r="R551" i="174"/>
  <c r="Q551" i="174"/>
  <c r="AF39" i="175"/>
  <c r="AG39" i="175"/>
  <c r="R930" i="177"/>
  <c r="Q930" i="177"/>
  <c r="AG20" i="175"/>
  <c r="AF20" i="175"/>
  <c r="R815" i="177"/>
  <c r="Q815" i="177"/>
  <c r="R390" i="177"/>
  <c r="Q390" i="177"/>
  <c r="Q542" i="177"/>
  <c r="R542" i="177"/>
  <c r="R847" i="177"/>
  <c r="Q847" i="177"/>
  <c r="Q352" i="177"/>
  <c r="R352" i="177"/>
  <c r="Q676" i="177"/>
  <c r="R676" i="177"/>
  <c r="AC127" i="176"/>
  <c r="AD127" i="176"/>
  <c r="AD88" i="176"/>
  <c r="AC88" i="176"/>
  <c r="R194" i="174"/>
  <c r="Q194" i="174"/>
  <c r="Q59" i="174"/>
  <c r="R59" i="174"/>
  <c r="Q560" i="174"/>
  <c r="R560" i="174"/>
  <c r="R659" i="174"/>
  <c r="Q659" i="174"/>
  <c r="R350" i="174"/>
  <c r="Q350" i="174"/>
  <c r="R416" i="177"/>
  <c r="Q416" i="177"/>
  <c r="R734" i="177"/>
  <c r="Q734" i="177"/>
  <c r="Q327" i="177"/>
  <c r="R327" i="177"/>
  <c r="R536" i="177"/>
  <c r="Q536" i="177"/>
  <c r="AC146" i="176"/>
  <c r="AD146" i="176"/>
  <c r="R137" i="174"/>
  <c r="Q137" i="174"/>
  <c r="Q281" i="174"/>
  <c r="R281" i="174"/>
  <c r="R484" i="177"/>
  <c r="Q484" i="177"/>
  <c r="R1032" i="177"/>
  <c r="Q1032" i="177"/>
  <c r="AD119" i="176"/>
  <c r="AC119" i="176"/>
  <c r="Q440" i="174"/>
  <c r="R440" i="174"/>
  <c r="R237" i="174"/>
  <c r="Q237" i="174"/>
  <c r="R233" i="174"/>
  <c r="Q233" i="174"/>
  <c r="R271" i="177"/>
  <c r="Q271" i="177"/>
  <c r="Q69" i="177"/>
  <c r="R69" i="177"/>
  <c r="Q738" i="177"/>
  <c r="R738" i="177"/>
  <c r="R118" i="177"/>
  <c r="Q118" i="177"/>
  <c r="AC98" i="176"/>
  <c r="AD98" i="176"/>
  <c r="AC76" i="176"/>
  <c r="AD76" i="176"/>
  <c r="R375" i="174"/>
  <c r="Q375" i="174"/>
  <c r="Q783" i="174"/>
  <c r="R783" i="174"/>
  <c r="R686" i="174"/>
  <c r="Q686" i="174"/>
  <c r="Q877" i="177"/>
  <c r="R877" i="177"/>
  <c r="R86" i="177"/>
  <c r="Q86" i="177"/>
  <c r="Q789" i="177"/>
  <c r="R789" i="177"/>
  <c r="R334" i="177"/>
  <c r="Q334" i="177"/>
  <c r="Q506" i="177"/>
  <c r="R506" i="177"/>
  <c r="AD13" i="176"/>
  <c r="AC13" i="176"/>
  <c r="AD63" i="176"/>
  <c r="AC63" i="176"/>
  <c r="Q483" i="174"/>
  <c r="R483" i="174"/>
  <c r="R1111" i="177"/>
  <c r="Q1111" i="177"/>
  <c r="Q425" i="174"/>
  <c r="R425" i="174"/>
  <c r="R552" i="177"/>
  <c r="Q552" i="177"/>
  <c r="AD27" i="176"/>
  <c r="AC27" i="176"/>
  <c r="R994" i="177"/>
  <c r="Q994" i="177"/>
  <c r="Q233" i="177"/>
  <c r="R233" i="177"/>
  <c r="Q587" i="174"/>
  <c r="R587" i="174"/>
  <c r="Q639" i="174"/>
  <c r="R639" i="174"/>
  <c r="Q621" i="177"/>
  <c r="R621" i="177"/>
  <c r="Q196" i="177"/>
  <c r="R196" i="177"/>
  <c r="Q19" i="177"/>
  <c r="R19" i="177"/>
  <c r="Q869" i="174"/>
  <c r="R869" i="174"/>
  <c r="R232" i="177"/>
  <c r="Q232" i="177"/>
  <c r="AD72" i="176"/>
  <c r="AC72" i="176"/>
  <c r="AC110" i="176"/>
  <c r="AD110" i="176"/>
  <c r="AC121" i="176"/>
  <c r="AD121" i="176"/>
  <c r="R1074" i="177"/>
  <c r="Q1074" i="177"/>
  <c r="R404" i="174"/>
  <c r="Q404" i="174"/>
  <c r="Q13" i="174"/>
  <c r="R13" i="174"/>
  <c r="Q560" i="177"/>
  <c r="R560" i="177"/>
  <c r="Q58" i="174"/>
  <c r="R58" i="174"/>
  <c r="R477" i="174"/>
  <c r="Q477" i="174"/>
  <c r="Q199" i="174"/>
  <c r="R199" i="174"/>
  <c r="R862" i="174"/>
  <c r="Q862" i="174"/>
  <c r="Q362" i="174"/>
  <c r="R362" i="174"/>
  <c r="R554" i="177"/>
  <c r="Q554" i="177"/>
  <c r="R923" i="177"/>
  <c r="Q923" i="177"/>
  <c r="R979" i="177"/>
  <c r="Q979" i="177"/>
  <c r="AD62" i="176"/>
  <c r="AC62" i="176"/>
  <c r="AD141" i="176"/>
  <c r="AC141" i="176"/>
  <c r="Q515" i="174"/>
  <c r="R515" i="174"/>
  <c r="R968" i="177"/>
  <c r="Q968" i="177"/>
  <c r="R726" i="177"/>
  <c r="Q726" i="177"/>
  <c r="R195" i="177"/>
  <c r="Q195" i="177"/>
  <c r="R942" i="177"/>
  <c r="Q942" i="177"/>
  <c r="Q204" i="174"/>
  <c r="R204" i="174"/>
  <c r="Q823" i="174"/>
  <c r="R823" i="174"/>
  <c r="R813" i="174"/>
  <c r="Q813" i="174"/>
  <c r="AC93" i="176"/>
  <c r="AD93" i="176"/>
  <c r="Q522" i="177"/>
  <c r="R522" i="177"/>
  <c r="R173" i="174"/>
  <c r="Q173" i="174"/>
  <c r="Q299" i="174"/>
  <c r="R299" i="174"/>
  <c r="R263" i="174"/>
  <c r="Q263" i="174"/>
  <c r="R308" i="174"/>
  <c r="Q308" i="174"/>
  <c r="R450" i="174"/>
  <c r="Q450" i="174"/>
  <c r="R584" i="174"/>
  <c r="Q584" i="174"/>
  <c r="R331" i="174"/>
  <c r="Q331" i="174"/>
  <c r="Q238" i="174"/>
  <c r="R238" i="174"/>
  <c r="Q397" i="177"/>
  <c r="R397" i="177"/>
  <c r="Q381" i="177"/>
  <c r="R381" i="177"/>
  <c r="R36" i="177"/>
  <c r="Q36" i="177"/>
  <c r="R449" i="177"/>
  <c r="Q449" i="177"/>
  <c r="R441" i="177"/>
  <c r="Q441" i="177"/>
  <c r="Q284" i="177"/>
  <c r="R284" i="177"/>
  <c r="R437" i="174"/>
  <c r="Q437" i="174"/>
  <c r="R886" i="177"/>
  <c r="Q886" i="177"/>
  <c r="AC47" i="176"/>
  <c r="AD47" i="176"/>
  <c r="R434" i="174"/>
  <c r="Q434" i="174"/>
  <c r="R727" i="174"/>
  <c r="Q727" i="174"/>
  <c r="R773" i="174"/>
  <c r="Q773" i="174"/>
  <c r="Q283" i="174"/>
  <c r="R283" i="174"/>
  <c r="R128" i="174"/>
  <c r="Q128" i="174"/>
  <c r="R394" i="177"/>
  <c r="Q394" i="177"/>
  <c r="R793" i="177"/>
  <c r="Q793" i="177"/>
  <c r="Q426" i="177"/>
  <c r="R426" i="177"/>
  <c r="R282" i="177"/>
  <c r="Q282" i="177"/>
  <c r="Q574" i="177"/>
  <c r="R574" i="177"/>
  <c r="R990" i="177"/>
  <c r="Q990" i="177"/>
  <c r="AD38" i="176"/>
  <c r="AC38" i="176"/>
  <c r="R726" i="174"/>
  <c r="Q726" i="174"/>
  <c r="R219" i="174"/>
  <c r="Q219" i="174"/>
  <c r="R525" i="174"/>
  <c r="Q525" i="174"/>
  <c r="R138" i="174"/>
  <c r="Q138" i="174"/>
  <c r="R705" i="174"/>
  <c r="Q705" i="174"/>
  <c r="R876" i="174"/>
  <c r="Q876" i="174"/>
  <c r="R356" i="174"/>
  <c r="Q356" i="174"/>
  <c r="Q486" i="177"/>
  <c r="R486" i="177"/>
  <c r="R879" i="177"/>
  <c r="Q879" i="177"/>
  <c r="Q469" i="177"/>
  <c r="R469" i="177"/>
  <c r="R440" i="177"/>
  <c r="Q440" i="177"/>
  <c r="Q222" i="177"/>
  <c r="R222" i="177"/>
  <c r="R207" i="174"/>
  <c r="Q207" i="174"/>
  <c r="Q349" i="174"/>
  <c r="R349" i="174"/>
  <c r="R324" i="174"/>
  <c r="Q324" i="174"/>
  <c r="R665" i="174"/>
  <c r="Q665" i="174"/>
  <c r="R917" i="177"/>
  <c r="Q917" i="177"/>
  <c r="R95" i="174"/>
  <c r="Q95" i="174"/>
  <c r="Q827" i="177"/>
  <c r="R827" i="177"/>
  <c r="Q668" i="177"/>
  <c r="R668" i="177"/>
  <c r="R697" i="177"/>
  <c r="Q697" i="177"/>
  <c r="R241" i="177"/>
  <c r="Q241" i="177"/>
  <c r="R985" i="177"/>
  <c r="Q985" i="177"/>
  <c r="R826" i="174"/>
  <c r="Q826" i="174"/>
  <c r="R518" i="174"/>
  <c r="Q518" i="174"/>
  <c r="R403" i="174"/>
  <c r="Q403" i="174"/>
  <c r="R671" i="177"/>
  <c r="Q671" i="177"/>
  <c r="Q411" i="177"/>
  <c r="R411" i="177"/>
  <c r="Q347" i="177"/>
  <c r="R347" i="177"/>
  <c r="R783" i="177"/>
  <c r="Q783" i="177"/>
  <c r="R704" i="177"/>
  <c r="Q704" i="177"/>
  <c r="R410" i="174"/>
  <c r="Q410" i="174"/>
  <c r="R447" i="174"/>
  <c r="Q447" i="174"/>
  <c r="R537" i="174"/>
  <c r="Q537" i="174"/>
  <c r="R538" i="174"/>
  <c r="Q538" i="174"/>
  <c r="Q975" i="177"/>
  <c r="R975" i="177"/>
  <c r="Q641" i="174"/>
  <c r="R641" i="174"/>
  <c r="R958" i="177"/>
  <c r="Q958" i="177"/>
  <c r="Q804" i="174"/>
  <c r="R804" i="174"/>
  <c r="Q241" i="174"/>
  <c r="R241" i="174"/>
  <c r="Q353" i="174"/>
  <c r="R353" i="174"/>
  <c r="R520" i="174"/>
  <c r="Q520" i="174"/>
  <c r="Q279" i="174"/>
  <c r="R279" i="174"/>
  <c r="Q637" i="174"/>
  <c r="R637" i="174"/>
  <c r="R68" i="174"/>
  <c r="Q68" i="174"/>
  <c r="Q380" i="177"/>
  <c r="R380" i="177"/>
  <c r="R1106" i="177"/>
  <c r="Q1106" i="177"/>
  <c r="Q138" i="177"/>
  <c r="R138" i="177"/>
  <c r="Q371" i="174"/>
  <c r="R371" i="174"/>
  <c r="R937" i="177"/>
  <c r="Q937" i="177"/>
  <c r="R109" i="174"/>
  <c r="Q109" i="174"/>
  <c r="R319" i="174"/>
  <c r="Q319" i="174"/>
  <c r="R200" i="174"/>
  <c r="Q200" i="174"/>
  <c r="R745" i="174"/>
  <c r="Q745" i="174"/>
  <c r="R718" i="174"/>
  <c r="Q718" i="174"/>
  <c r="Q819" i="177"/>
  <c r="R819" i="177"/>
  <c r="R317" i="177"/>
  <c r="Q317" i="177"/>
  <c r="R1076" i="177"/>
  <c r="Q1076" i="177"/>
  <c r="R561" i="177"/>
  <c r="Q561" i="177"/>
  <c r="AD90" i="176"/>
  <c r="AC90" i="176"/>
  <c r="R87" i="174"/>
  <c r="Q87" i="174"/>
  <c r="R251" i="174"/>
  <c r="Q251" i="174"/>
  <c r="Q792" i="174"/>
  <c r="R792" i="174"/>
  <c r="R672" i="174"/>
  <c r="Q672" i="174"/>
  <c r="R723" i="174"/>
  <c r="Q723" i="174"/>
  <c r="Q511" i="174"/>
  <c r="R511" i="174"/>
  <c r="R131" i="174"/>
  <c r="Q131" i="174"/>
  <c r="Q874" i="174"/>
  <c r="R874" i="174"/>
  <c r="R256" i="174"/>
  <c r="Q256" i="174"/>
  <c r="R301" i="174"/>
  <c r="Q301" i="174"/>
  <c r="R401" i="177"/>
  <c r="Q401" i="177"/>
  <c r="R344" i="177"/>
  <c r="Q344" i="177"/>
  <c r="R456" i="177"/>
  <c r="Q456" i="177"/>
  <c r="R14" i="174"/>
  <c r="Q14" i="174"/>
  <c r="Q268" i="174"/>
  <c r="R268" i="174"/>
  <c r="R512" i="174"/>
  <c r="Q512" i="174"/>
  <c r="R155" i="174"/>
  <c r="Q155" i="174"/>
  <c r="Q261" i="177"/>
  <c r="R261" i="177"/>
  <c r="R556" i="177"/>
  <c r="Q556" i="177"/>
  <c r="R409" i="174"/>
  <c r="Q409" i="174"/>
  <c r="R617" i="174"/>
  <c r="Q617" i="174"/>
  <c r="Q697" i="174"/>
  <c r="R697" i="174"/>
  <c r="AC41" i="176"/>
  <c r="AD41" i="176"/>
  <c r="Q140" i="174"/>
  <c r="R140" i="174"/>
  <c r="Q781" i="174"/>
  <c r="R781" i="174"/>
  <c r="R628" i="174"/>
  <c r="Q628" i="174"/>
  <c r="Q528" i="174"/>
  <c r="R528" i="174"/>
  <c r="Q828" i="177"/>
  <c r="R828" i="177"/>
  <c r="Q71" i="177"/>
  <c r="R71" i="177"/>
  <c r="Q505" i="177"/>
  <c r="R505" i="177"/>
  <c r="Q703" i="177"/>
  <c r="R703" i="177"/>
  <c r="Q23" i="177"/>
  <c r="R23" i="177"/>
  <c r="Q198" i="174"/>
  <c r="R198" i="174"/>
  <c r="R605" i="174"/>
  <c r="Q605" i="174"/>
  <c r="R297" i="174"/>
  <c r="Q297" i="174"/>
  <c r="Q902" i="174"/>
  <c r="R902" i="174"/>
  <c r="R134" i="174"/>
  <c r="Q134" i="174"/>
  <c r="R683" i="174"/>
  <c r="Q683" i="174"/>
  <c r="R730" i="174"/>
  <c r="Q730" i="174"/>
  <c r="Q654" i="174"/>
  <c r="R654" i="174"/>
  <c r="R265" i="177"/>
  <c r="Q265" i="177"/>
  <c r="Q885" i="177"/>
  <c r="R885" i="177"/>
  <c r="Q527" i="177"/>
  <c r="R527" i="177"/>
  <c r="R45" i="177"/>
  <c r="Q45" i="177"/>
  <c r="Q287" i="177"/>
  <c r="R287" i="177"/>
  <c r="AD113" i="176"/>
  <c r="AC113" i="176"/>
  <c r="R1036" i="177"/>
  <c r="Q1036" i="177"/>
  <c r="Q661" i="177"/>
  <c r="R661" i="177"/>
  <c r="Q321" i="174"/>
  <c r="R321" i="174"/>
  <c r="R418" i="177"/>
  <c r="Q418" i="177"/>
  <c r="Q166" i="177"/>
  <c r="R166" i="177"/>
  <c r="R572" i="177"/>
  <c r="Q572" i="177"/>
  <c r="R468" i="177"/>
  <c r="Q468" i="177"/>
  <c r="R44" i="177"/>
  <c r="Q44" i="177"/>
  <c r="R187" i="174"/>
  <c r="Q187" i="174"/>
  <c r="AC78" i="176"/>
  <c r="AD78" i="176"/>
  <c r="AC103" i="176"/>
  <c r="AD103" i="176"/>
  <c r="Q1064" i="177"/>
  <c r="R1064" i="177"/>
  <c r="R240" i="177"/>
  <c r="Q240" i="177"/>
  <c r="AC97" i="176"/>
  <c r="AD97" i="176"/>
  <c r="R90" i="174"/>
  <c r="Q90" i="174"/>
  <c r="Q583" i="174"/>
  <c r="R583" i="174"/>
  <c r="Q666" i="174"/>
  <c r="R666" i="174"/>
  <c r="R523" i="174"/>
  <c r="Q523" i="174"/>
  <c r="Q603" i="177"/>
  <c r="R603" i="177"/>
  <c r="Q237" i="177"/>
  <c r="R237" i="177"/>
  <c r="Q778" i="177"/>
  <c r="R778" i="177"/>
  <c r="R710" i="177"/>
  <c r="Q710" i="177"/>
  <c r="R137" i="177"/>
  <c r="Q137" i="177"/>
  <c r="AF41" i="175"/>
  <c r="AG41" i="175"/>
  <c r="AC14" i="176"/>
  <c r="AD14" i="176"/>
  <c r="R57" i="177"/>
  <c r="Q57" i="177"/>
  <c r="R191" i="174"/>
  <c r="Q191" i="174"/>
  <c r="R709" i="174"/>
  <c r="Q709" i="174"/>
  <c r="R197" i="174"/>
  <c r="Q197" i="174"/>
  <c r="R247" i="174"/>
  <c r="Q247" i="174"/>
  <c r="R343" i="177"/>
  <c r="Q343" i="177"/>
  <c r="Q296" i="177"/>
  <c r="R296" i="177"/>
  <c r="Q176" i="177"/>
  <c r="R176" i="177"/>
  <c r="Q685" i="177"/>
  <c r="R685" i="177"/>
  <c r="R851" i="174"/>
  <c r="Q851" i="174"/>
  <c r="Q385" i="174"/>
  <c r="R385" i="174"/>
  <c r="R945" i="177"/>
  <c r="Q945" i="177"/>
  <c r="R860" i="174"/>
  <c r="Q860" i="174"/>
  <c r="R854" i="177"/>
  <c r="Q854" i="177"/>
  <c r="Q98" i="177"/>
  <c r="R98" i="177"/>
  <c r="Q435" i="177"/>
  <c r="R435" i="177"/>
  <c r="AD67" i="176"/>
  <c r="AC67" i="176"/>
  <c r="Q248" i="174"/>
  <c r="R248" i="174"/>
  <c r="R318" i="174"/>
  <c r="Q318" i="174"/>
  <c r="Q56" i="174"/>
  <c r="R56" i="174"/>
  <c r="R786" i="174"/>
  <c r="Q786" i="174"/>
  <c r="Q616" i="174"/>
  <c r="R616" i="174"/>
  <c r="R209" i="177"/>
  <c r="Q209" i="177"/>
  <c r="R750" i="177"/>
  <c r="Q750" i="177"/>
  <c r="Q28" i="177"/>
  <c r="R28" i="177"/>
  <c r="Q161" i="174"/>
  <c r="R161" i="174"/>
  <c r="AD16" i="176"/>
  <c r="AC16" i="176"/>
  <c r="R226" i="174"/>
  <c r="Q226" i="174"/>
  <c r="Q114" i="174"/>
  <c r="R114" i="174"/>
  <c r="Q315" i="174"/>
  <c r="R315" i="174"/>
  <c r="Q408" i="174"/>
  <c r="R408" i="174"/>
  <c r="R405" i="177"/>
  <c r="Q405" i="177"/>
  <c r="AD142" i="176"/>
  <c r="AC142" i="176"/>
  <c r="Q347" i="174"/>
  <c r="R347" i="174"/>
  <c r="Q618" i="174"/>
  <c r="R618" i="174"/>
  <c r="R770" i="174"/>
  <c r="Q770" i="174"/>
  <c r="R16" i="174"/>
  <c r="Q16" i="174"/>
  <c r="R276" i="174"/>
  <c r="Q276" i="174"/>
  <c r="R578" i="177"/>
  <c r="Q578" i="177"/>
  <c r="AD56" i="176"/>
  <c r="AC56" i="176"/>
  <c r="AC108" i="176"/>
  <c r="AD108" i="176"/>
  <c r="Q535" i="174"/>
  <c r="R535" i="174"/>
  <c r="Q392" i="174"/>
  <c r="R392" i="174"/>
  <c r="Q598" i="174"/>
  <c r="R598" i="174"/>
  <c r="R506" i="174"/>
  <c r="Q506" i="174"/>
  <c r="Q412" i="174"/>
  <c r="R412" i="174"/>
  <c r="R757" i="174"/>
  <c r="Q757" i="174"/>
  <c r="R136" i="174"/>
  <c r="Q136" i="174"/>
  <c r="R413" i="174"/>
  <c r="Q413" i="174"/>
  <c r="R645" i="177"/>
  <c r="Q645" i="177"/>
  <c r="R227" i="177"/>
  <c r="Q227" i="177"/>
  <c r="R854" i="174"/>
  <c r="Q854" i="174"/>
  <c r="R741" i="174"/>
  <c r="Q741" i="174"/>
  <c r="Q651" i="174"/>
  <c r="R651" i="174"/>
  <c r="R597" i="174"/>
  <c r="Q597" i="174"/>
  <c r="AC39" i="176"/>
  <c r="AD39" i="176"/>
  <c r="R130" i="174"/>
  <c r="Q130" i="174"/>
  <c r="Q724" i="174"/>
  <c r="R724" i="174"/>
  <c r="R50" i="174"/>
  <c r="Q50" i="174"/>
  <c r="Q593" i="174"/>
  <c r="R593" i="174"/>
  <c r="R527" i="174"/>
  <c r="Q527" i="174"/>
  <c r="R765" i="174"/>
  <c r="Q765" i="174"/>
  <c r="Q789" i="174"/>
  <c r="R789" i="174"/>
  <c r="R386" i="174"/>
  <c r="Q386" i="174"/>
  <c r="Q120" i="174"/>
  <c r="R120" i="174"/>
  <c r="Q628" i="177"/>
  <c r="R628" i="177"/>
  <c r="R487" i="177"/>
  <c r="Q487" i="177"/>
  <c r="R100" i="177"/>
  <c r="Q100" i="177"/>
  <c r="Q796" i="177"/>
  <c r="R796" i="177"/>
  <c r="R132" i="177"/>
  <c r="Q132" i="177"/>
  <c r="R163" i="177"/>
  <c r="Q163" i="177"/>
  <c r="R12" i="174"/>
  <c r="Q12" i="174"/>
  <c r="AD61" i="176"/>
  <c r="AC61" i="176"/>
  <c r="R103" i="174"/>
  <c r="Q103" i="174"/>
  <c r="Q445" i="174"/>
  <c r="R445" i="174"/>
  <c r="Q333" i="174"/>
  <c r="R333" i="174"/>
  <c r="Q409" i="177"/>
  <c r="R409" i="177"/>
  <c r="Q634" i="177"/>
  <c r="R634" i="177"/>
  <c r="Q532" i="177"/>
  <c r="R532" i="177"/>
  <c r="R936" i="177"/>
  <c r="Q936" i="177"/>
  <c r="AC32" i="176"/>
  <c r="AD32" i="176"/>
  <c r="R508" i="177"/>
  <c r="Q508" i="177"/>
  <c r="R729" i="174"/>
  <c r="Q729" i="174"/>
  <c r="Q530" i="174"/>
  <c r="R530" i="174"/>
  <c r="R502" i="174"/>
  <c r="Q502" i="174"/>
  <c r="R660" i="174"/>
  <c r="Q660" i="174"/>
  <c r="Q366" i="174"/>
  <c r="R366" i="174"/>
  <c r="R375" i="177"/>
  <c r="Q375" i="177"/>
  <c r="R68" i="177"/>
  <c r="Q68" i="177"/>
  <c r="R771" i="177"/>
  <c r="Q771" i="177"/>
  <c r="Q198" i="177"/>
  <c r="R198" i="177"/>
  <c r="AF25" i="175"/>
  <c r="AG25" i="175"/>
  <c r="R995" i="177"/>
  <c r="Q995" i="177"/>
  <c r="R442" i="174"/>
  <c r="Q442" i="174"/>
  <c r="R73" i="174"/>
  <c r="Q73" i="174"/>
  <c r="R449" i="174"/>
  <c r="Q449" i="174"/>
  <c r="AG38" i="175"/>
  <c r="AF38" i="175"/>
  <c r="R643" i="174"/>
  <c r="Q643" i="174"/>
  <c r="Q392" i="177"/>
  <c r="R392" i="177"/>
  <c r="R809" i="177"/>
  <c r="Q809" i="177"/>
  <c r="Q315" i="177"/>
  <c r="R315" i="177"/>
  <c r="Q684" i="177"/>
  <c r="R684" i="177"/>
  <c r="Q369" i="174"/>
  <c r="R369" i="174"/>
  <c r="Q246" i="174"/>
  <c r="R246" i="174"/>
  <c r="R234" i="174"/>
  <c r="Q234" i="174"/>
  <c r="R752" i="174"/>
  <c r="Q752" i="174"/>
  <c r="Q541" i="174"/>
  <c r="R541" i="174"/>
  <c r="Q644" i="177"/>
  <c r="R644" i="177"/>
  <c r="Q56" i="177"/>
  <c r="R56" i="177"/>
  <c r="AD130" i="176"/>
  <c r="AC130" i="176"/>
  <c r="AC19" i="176"/>
  <c r="AD19" i="176"/>
  <c r="Q613" i="174"/>
  <c r="R613" i="174"/>
  <c r="R559" i="174"/>
  <c r="Q559" i="174"/>
  <c r="Q379" i="174"/>
  <c r="R379" i="174"/>
  <c r="R463" i="174"/>
  <c r="Q463" i="174"/>
  <c r="R287" i="174"/>
  <c r="Q287" i="174"/>
  <c r="AG18" i="175"/>
  <c r="AF18" i="175"/>
  <c r="R488" i="177"/>
  <c r="Q488" i="177"/>
  <c r="Q356" i="177"/>
  <c r="R356" i="177"/>
  <c r="R338" i="177"/>
  <c r="Q338" i="177"/>
  <c r="R169" i="177"/>
  <c r="Q169" i="177"/>
  <c r="AC137" i="176"/>
  <c r="AD137" i="176"/>
  <c r="R689" i="174"/>
  <c r="Q689" i="174"/>
  <c r="R69" i="174"/>
  <c r="Q69" i="174"/>
  <c r="R394" i="174"/>
  <c r="Q394" i="174"/>
  <c r="R896" i="174"/>
  <c r="Q896" i="174"/>
  <c r="R46" i="177"/>
  <c r="Q46" i="177"/>
  <c r="R319" i="177"/>
  <c r="Q319" i="177"/>
  <c r="Q225" i="177"/>
  <c r="R225" i="177"/>
  <c r="R953" i="177"/>
  <c r="Q953" i="177"/>
  <c r="Q991" i="177"/>
  <c r="R991" i="177"/>
  <c r="Q631" i="174"/>
  <c r="R631" i="174"/>
  <c r="Q86" i="174"/>
  <c r="R86" i="174"/>
  <c r="Q79" i="174"/>
  <c r="R79" i="174"/>
  <c r="Q26" i="174"/>
  <c r="R26" i="174"/>
  <c r="Q806" i="177"/>
  <c r="R806" i="177"/>
  <c r="R376" i="177"/>
  <c r="Q376" i="177"/>
  <c r="Q402" i="177"/>
  <c r="R402" i="177"/>
  <c r="Q700" i="177"/>
  <c r="R700" i="177"/>
  <c r="R837" i="177"/>
  <c r="Q837" i="177"/>
  <c r="Q974" i="177"/>
  <c r="R974" i="177"/>
  <c r="AC68" i="176"/>
  <c r="AD68" i="176"/>
  <c r="AC52" i="176"/>
  <c r="AD52" i="176"/>
  <c r="R555" i="174"/>
  <c r="Q555" i="174"/>
  <c r="Q805" i="174"/>
  <c r="R805" i="174"/>
  <c r="Q539" i="174"/>
  <c r="R539" i="174"/>
  <c r="Q271" i="174"/>
  <c r="R271" i="174"/>
  <c r="R635" i="174"/>
  <c r="Q635" i="174"/>
  <c r="Q316" i="174"/>
  <c r="R316" i="174"/>
  <c r="AC70" i="176"/>
  <c r="AD70" i="176"/>
  <c r="AD33" i="176"/>
  <c r="AC33" i="176"/>
  <c r="AD34" i="176"/>
  <c r="AC34" i="176"/>
  <c r="AD59" i="176"/>
  <c r="AC59" i="176"/>
  <c r="R442" i="177"/>
  <c r="Q442" i="177"/>
  <c r="Q341" i="174"/>
  <c r="R341" i="174"/>
  <c r="Q320" i="174"/>
  <c r="R320" i="174"/>
  <c r="R119" i="174"/>
  <c r="Q119" i="174"/>
  <c r="Q34" i="174"/>
  <c r="R34" i="174"/>
  <c r="R629" i="174"/>
  <c r="Q629" i="174"/>
  <c r="R181" i="174"/>
  <c r="Q181" i="174"/>
  <c r="AC115" i="176"/>
  <c r="AD115" i="176"/>
  <c r="Q906" i="177"/>
  <c r="R906" i="177"/>
  <c r="AD24" i="176"/>
  <c r="AC24" i="176"/>
  <c r="R376" i="174"/>
  <c r="Q376" i="174"/>
  <c r="R439" i="174"/>
  <c r="Q439" i="174"/>
  <c r="R867" i="174"/>
  <c r="Q867" i="174"/>
  <c r="R830" i="177"/>
  <c r="Q830" i="177"/>
  <c r="R415" i="177"/>
  <c r="Q415" i="177"/>
  <c r="Q614" i="177"/>
  <c r="R614" i="177"/>
  <c r="R535" i="177"/>
  <c r="Q535" i="177"/>
  <c r="R135" i="177"/>
  <c r="Q135" i="177"/>
  <c r="AD123" i="176"/>
  <c r="AC123" i="176"/>
  <c r="Q260" i="177"/>
  <c r="R260" i="177"/>
  <c r="Q719" i="174"/>
  <c r="R719" i="174"/>
  <c r="Q98" i="174"/>
  <c r="R98" i="174"/>
  <c r="R694" i="174"/>
  <c r="Q694" i="174"/>
  <c r="Q768" i="174"/>
  <c r="R768" i="174"/>
  <c r="R652" i="174"/>
  <c r="Q652" i="174"/>
  <c r="Q496" i="177"/>
  <c r="R496" i="177"/>
  <c r="Q768" i="177"/>
  <c r="R768" i="177"/>
  <c r="Q493" i="177"/>
  <c r="R493" i="177"/>
  <c r="R146" i="177"/>
  <c r="Q146" i="177"/>
  <c r="Q126" i="177"/>
  <c r="R126" i="177"/>
  <c r="Q203" i="174"/>
  <c r="R203" i="174"/>
  <c r="AC53" i="176"/>
  <c r="AD53" i="176"/>
  <c r="R1075" i="177"/>
  <c r="Q1075" i="177"/>
  <c r="AG44" i="175"/>
  <c r="AF44" i="175"/>
  <c r="R1003" i="177"/>
  <c r="Q1003" i="177"/>
  <c r="Q495" i="177"/>
  <c r="R495" i="177"/>
  <c r="R881" i="177"/>
  <c r="Q881" i="177"/>
  <c r="Q507" i="177"/>
  <c r="R507" i="177"/>
  <c r="R569" i="177"/>
  <c r="Q569" i="177"/>
  <c r="R184" i="177"/>
  <c r="Q184" i="177"/>
  <c r="R150" i="177"/>
  <c r="Q150" i="177"/>
  <c r="AC114" i="176"/>
  <c r="AD114" i="176"/>
  <c r="Q737" i="174"/>
  <c r="R737" i="174"/>
  <c r="R495" i="174"/>
  <c r="Q495" i="174"/>
  <c r="Q738" i="174"/>
  <c r="R738" i="174"/>
  <c r="R636" i="174"/>
  <c r="Q636" i="174"/>
  <c r="R115" i="174"/>
  <c r="Q115" i="174"/>
  <c r="R413" i="177"/>
  <c r="Q413" i="177"/>
  <c r="R938" i="177"/>
  <c r="Q938" i="177"/>
  <c r="Q481" i="177"/>
  <c r="R481" i="177"/>
  <c r="R1016" i="177"/>
  <c r="Q1016" i="177"/>
  <c r="AD99" i="176"/>
  <c r="AC99" i="176"/>
  <c r="Q451" i="174"/>
  <c r="R451" i="174"/>
  <c r="R261" i="174"/>
  <c r="Q261" i="174"/>
  <c r="R403" i="177"/>
  <c r="Q403" i="177"/>
  <c r="R437" i="177"/>
  <c r="Q437" i="177"/>
  <c r="R443" i="177"/>
  <c r="Q443" i="177"/>
  <c r="R996" i="177"/>
  <c r="Q996" i="177"/>
  <c r="R433" i="174"/>
  <c r="Q433" i="174"/>
  <c r="Q397" i="174"/>
  <c r="R397" i="174"/>
  <c r="Q383" i="177"/>
  <c r="R383" i="177"/>
  <c r="R533" i="177"/>
  <c r="Q533" i="177"/>
  <c r="R1025" i="177"/>
  <c r="Q1025" i="177"/>
  <c r="R842" i="174"/>
  <c r="Q842" i="174"/>
  <c r="AC79" i="176"/>
  <c r="AD79" i="176"/>
  <c r="AD126" i="176"/>
  <c r="AC126" i="176"/>
  <c r="R696" i="174"/>
  <c r="Q696" i="174"/>
  <c r="Q721" i="174"/>
  <c r="R721" i="174"/>
  <c r="R516" i="174"/>
  <c r="Q516" i="174"/>
  <c r="R57" i="174"/>
  <c r="Q57" i="174"/>
  <c r="Q824" i="177"/>
  <c r="R824" i="177"/>
  <c r="R47" i="174"/>
  <c r="Q47" i="174"/>
  <c r="AC66" i="176"/>
  <c r="AD66" i="176"/>
  <c r="AC74" i="176"/>
  <c r="AD74" i="176"/>
  <c r="R122" i="174"/>
  <c r="Q122" i="174"/>
  <c r="Q367" i="174"/>
  <c r="R367" i="174"/>
  <c r="R670" i="177"/>
  <c r="Q670" i="177"/>
  <c r="R18" i="177"/>
  <c r="Q18" i="177"/>
  <c r="Q152" i="174"/>
  <c r="R152" i="174"/>
  <c r="R443" i="174"/>
  <c r="Q443" i="174"/>
  <c r="R22" i="174"/>
  <c r="Q22" i="174"/>
  <c r="Q736" i="174"/>
  <c r="R736" i="174"/>
  <c r="R66" i="174"/>
  <c r="Q66" i="174"/>
  <c r="R167" i="174"/>
  <c r="Q167" i="174"/>
  <c r="Q550" i="174"/>
  <c r="R550" i="174"/>
  <c r="Q462" i="177"/>
  <c r="R462" i="177"/>
  <c r="Q503" i="177"/>
  <c r="R503" i="177"/>
  <c r="AC92" i="176"/>
  <c r="AD92" i="176"/>
  <c r="AD87" i="176"/>
  <c r="AC87" i="176"/>
  <c r="AC138" i="176"/>
  <c r="AD138" i="176"/>
  <c r="Q791" i="174"/>
  <c r="R791" i="174"/>
  <c r="Q367" i="177"/>
  <c r="R367" i="177"/>
  <c r="R870" i="177"/>
  <c r="Q870" i="177"/>
  <c r="Q710" i="174"/>
  <c r="R710" i="174"/>
  <c r="R429" i="174"/>
  <c r="Q429" i="174"/>
  <c r="R426" i="174"/>
  <c r="Q426" i="174"/>
  <c r="R691" i="174"/>
  <c r="Q691" i="174"/>
  <c r="R1011" i="177"/>
  <c r="Q1011" i="177"/>
  <c r="AD118" i="176"/>
  <c r="AC118" i="176"/>
  <c r="AC17" i="176"/>
  <c r="AD17" i="176"/>
  <c r="AC20" i="176"/>
  <c r="AD20" i="176"/>
  <c r="Q455" i="174"/>
  <c r="R455" i="174"/>
  <c r="R105" i="174"/>
  <c r="Q105" i="174"/>
  <c r="R326" i="174"/>
  <c r="Q326" i="174"/>
  <c r="R419" i="174"/>
  <c r="Q419" i="174"/>
  <c r="Q627" i="174"/>
  <c r="R627" i="174"/>
  <c r="Q684" i="174"/>
  <c r="R684" i="174"/>
  <c r="R76" i="177"/>
  <c r="Q76" i="177"/>
  <c r="Q811" i="177"/>
  <c r="R811" i="177"/>
  <c r="R730" i="177"/>
  <c r="Q730" i="177"/>
  <c r="R855" i="177"/>
  <c r="Q855" i="177"/>
  <c r="R743" i="177"/>
  <c r="Q743" i="177"/>
  <c r="R144" i="177"/>
  <c r="Q144" i="177"/>
  <c r="AG47" i="175"/>
  <c r="AF47" i="175"/>
  <c r="AC136" i="176"/>
  <c r="AD136" i="176"/>
  <c r="Q220" i="177"/>
  <c r="R220" i="177"/>
  <c r="R638" i="174"/>
  <c r="Q638" i="174"/>
  <c r="Q430" i="174"/>
  <c r="R430" i="174"/>
  <c r="R11" i="174"/>
  <c r="Q11" i="174"/>
  <c r="R817" i="174"/>
  <c r="Q817" i="174"/>
  <c r="Q424" i="174"/>
  <c r="R424" i="174"/>
  <c r="Q832" i="177"/>
  <c r="R832" i="177"/>
  <c r="Q498" i="177"/>
  <c r="R498" i="177"/>
  <c r="R450" i="177"/>
  <c r="Q450" i="177"/>
  <c r="Q857" i="177"/>
  <c r="R857" i="177"/>
  <c r="Q205" i="177"/>
  <c r="R205" i="177"/>
  <c r="Q124" i="177"/>
  <c r="R124" i="177"/>
  <c r="R832" i="174"/>
  <c r="Q832" i="174"/>
  <c r="Q887" i="177"/>
  <c r="R887" i="177"/>
  <c r="AC60" i="176"/>
  <c r="AD60" i="176"/>
  <c r="AC75" i="176"/>
  <c r="AD75" i="176"/>
  <c r="AD49" i="176"/>
  <c r="AC49" i="176"/>
  <c r="R720" i="174"/>
  <c r="Q720" i="174"/>
  <c r="R706" i="174"/>
  <c r="Q706" i="174"/>
  <c r="R501" i="174"/>
  <c r="Q501" i="174"/>
  <c r="R493" i="174"/>
  <c r="Q493" i="174"/>
  <c r="R932" i="177"/>
  <c r="Q932" i="177"/>
  <c r="R610" i="177"/>
  <c r="Q610" i="177"/>
  <c r="Q267" i="177"/>
  <c r="R267" i="177"/>
  <c r="R740" i="177"/>
  <c r="Q740" i="177"/>
  <c r="R116" i="177"/>
  <c r="Q116" i="177"/>
  <c r="R65" i="177"/>
  <c r="Q65" i="177"/>
  <c r="AC54" i="176"/>
  <c r="AD54" i="176"/>
  <c r="Q464" i="174"/>
  <c r="R464" i="174"/>
  <c r="R716" i="174"/>
  <c r="Q716" i="174"/>
  <c r="R37" i="174"/>
  <c r="Q37" i="174"/>
  <c r="R345" i="174"/>
  <c r="Q345" i="174"/>
  <c r="R272" i="174"/>
  <c r="Q272" i="174"/>
  <c r="R567" i="174"/>
  <c r="Q567" i="174"/>
  <c r="R389" i="174"/>
  <c r="Q389" i="174"/>
  <c r="Q91" i="174"/>
  <c r="R91" i="174"/>
  <c r="R431" i="177"/>
  <c r="Q431" i="177"/>
  <c r="Q530" i="177"/>
  <c r="R530" i="177"/>
  <c r="Q737" i="177"/>
  <c r="R737" i="177"/>
  <c r="Q222" i="174"/>
  <c r="R222" i="174"/>
  <c r="R434" i="177"/>
  <c r="Q434" i="177"/>
  <c r="R107" i="174"/>
  <c r="Q107" i="174"/>
  <c r="R545" i="174"/>
  <c r="Q545" i="174"/>
  <c r="Q645" i="174"/>
  <c r="R645" i="174"/>
  <c r="Q585" i="177"/>
  <c r="R585" i="177"/>
  <c r="Q631" i="177"/>
  <c r="R631" i="177"/>
  <c r="R598" i="177"/>
  <c r="Q598" i="177"/>
  <c r="Q708" i="177"/>
  <c r="R708" i="177"/>
  <c r="Q514" i="177"/>
  <c r="R514" i="177"/>
  <c r="AD104" i="176"/>
  <c r="AC104" i="176"/>
  <c r="R682" i="174"/>
  <c r="Q682" i="174"/>
  <c r="R415" i="174"/>
  <c r="Q415" i="174"/>
  <c r="R856" i="174"/>
  <c r="Q856" i="174"/>
  <c r="R818" i="174"/>
  <c r="Q818" i="174"/>
  <c r="R378" i="174"/>
  <c r="Q378" i="174"/>
  <c r="Q591" i="174"/>
  <c r="R591" i="174"/>
  <c r="Q611" i="177"/>
  <c r="R611" i="177"/>
  <c r="Q331" i="177"/>
  <c r="R331" i="177"/>
  <c r="R357" i="177"/>
  <c r="Q357" i="177"/>
  <c r="R943" i="177"/>
  <c r="Q943" i="177"/>
  <c r="Q728" i="174"/>
  <c r="R728" i="174"/>
  <c r="R93" i="174"/>
  <c r="Q93" i="174"/>
  <c r="R808" i="174"/>
  <c r="Q808" i="174"/>
  <c r="R803" i="174"/>
  <c r="Q803" i="174"/>
  <c r="Q782" i="174"/>
  <c r="R782" i="174"/>
  <c r="R593" i="177"/>
  <c r="Q593" i="177"/>
  <c r="R197" i="177"/>
  <c r="Q197" i="177"/>
  <c r="R742" i="177"/>
  <c r="Q742" i="177"/>
  <c r="R904" i="177"/>
  <c r="Q904" i="177"/>
  <c r="R581" i="174"/>
  <c r="Q581" i="174"/>
  <c r="Q573" i="174"/>
  <c r="R573" i="174"/>
  <c r="Q33" i="174"/>
  <c r="R33" i="174"/>
  <c r="Q898" i="177"/>
  <c r="R898" i="177"/>
  <c r="Q438" i="177"/>
  <c r="R438" i="177"/>
  <c r="R38" i="177"/>
  <c r="Q38" i="177"/>
  <c r="AD36" i="176"/>
  <c r="AC36" i="176"/>
  <c r="AD29" i="176"/>
  <c r="AC29" i="176"/>
  <c r="R87" i="177"/>
  <c r="Q87" i="177"/>
  <c r="R630" i="177"/>
  <c r="Q630" i="177"/>
  <c r="R63" i="174"/>
  <c r="Q63" i="174"/>
  <c r="Q897" i="174"/>
  <c r="R897" i="174"/>
  <c r="R544" i="174"/>
  <c r="Q544" i="174"/>
  <c r="R2708" i="172"/>
  <c r="Q2708" i="172"/>
  <c r="R949" i="177"/>
  <c r="Q949" i="177"/>
  <c r="AD95" i="176"/>
  <c r="AC95" i="176"/>
  <c r="Q354" i="174"/>
  <c r="R354" i="174"/>
  <c r="R758" i="177"/>
  <c r="Q758" i="177"/>
  <c r="R1069" i="177"/>
  <c r="Q1069" i="177"/>
  <c r="Q1072" i="177"/>
  <c r="R1072" i="177"/>
  <c r="Q255" i="174"/>
  <c r="R255" i="174"/>
  <c r="R24" i="174"/>
  <c r="Q24" i="174"/>
  <c r="Q116" i="174"/>
  <c r="R116" i="174"/>
  <c r="Q819" i="174"/>
  <c r="R819" i="174"/>
  <c r="Q20" i="174"/>
  <c r="R20" i="174"/>
  <c r="R1015" i="177"/>
  <c r="Q1015" i="177"/>
  <c r="AD58" i="176"/>
  <c r="AC58" i="176"/>
  <c r="R771" i="174"/>
  <c r="Q771" i="174"/>
  <c r="R479" i="174"/>
  <c r="Q479" i="174"/>
  <c r="Q664" i="174"/>
  <c r="R664" i="174"/>
  <c r="Q804" i="177"/>
  <c r="R804" i="177"/>
  <c r="R344" i="174"/>
  <c r="Q344" i="174"/>
  <c r="R531" i="174"/>
  <c r="Q531" i="174"/>
  <c r="Q674" i="177"/>
  <c r="R674" i="177"/>
  <c r="R891" i="174"/>
  <c r="Q891" i="174"/>
  <c r="R448" i="177"/>
  <c r="Q448" i="177"/>
  <c r="Q1021" i="177"/>
  <c r="R1021" i="177"/>
  <c r="Q262" i="177"/>
  <c r="R262" i="177"/>
  <c r="Q119" i="177"/>
  <c r="R119" i="177"/>
  <c r="Q986" i="177"/>
  <c r="R986" i="177"/>
  <c r="R562" i="174"/>
  <c r="Q562" i="174"/>
  <c r="R286" i="174"/>
  <c r="Q286" i="174"/>
  <c r="Q920" i="177"/>
  <c r="R920" i="177"/>
  <c r="R946" i="177"/>
  <c r="Q946" i="177"/>
  <c r="R852" i="174"/>
  <c r="Q852" i="174"/>
  <c r="R382" i="177"/>
  <c r="Q382" i="177"/>
  <c r="R307" i="177"/>
  <c r="Q307" i="177"/>
  <c r="Q33" i="177"/>
  <c r="R33" i="177"/>
  <c r="Q896" i="177"/>
  <c r="R896" i="177"/>
  <c r="Q712" i="177"/>
  <c r="R712" i="177"/>
  <c r="R961" i="177"/>
  <c r="Q961" i="177"/>
  <c r="AD64" i="176"/>
  <c r="AC64" i="176"/>
  <c r="Q698" i="174"/>
  <c r="R698" i="174"/>
  <c r="R558" i="174"/>
  <c r="Q558" i="174"/>
  <c r="AF27" i="175"/>
  <c r="AG27" i="175"/>
  <c r="Q933" i="177"/>
  <c r="R933" i="177"/>
  <c r="R1060" i="177"/>
  <c r="Q1060" i="177"/>
  <c r="R1045" i="177"/>
  <c r="Q1045" i="177"/>
  <c r="Q842" i="177"/>
  <c r="R842" i="177"/>
  <c r="R181" i="177"/>
  <c r="Q181" i="177"/>
  <c r="R1085" i="177"/>
  <c r="Q1085" i="177"/>
  <c r="R311" i="174"/>
  <c r="Q311" i="174"/>
  <c r="Q141" i="174"/>
  <c r="R141" i="174"/>
  <c r="Q160" i="177"/>
  <c r="R160" i="177"/>
  <c r="R620" i="174"/>
  <c r="Q620" i="174"/>
  <c r="Q719" i="177"/>
  <c r="R719" i="177"/>
  <c r="Q123" i="177"/>
  <c r="R123" i="177"/>
  <c r="R472" i="174"/>
  <c r="Q472" i="174"/>
  <c r="AF40" i="175"/>
  <c r="AG40" i="175"/>
  <c r="AC105" i="176"/>
  <c r="AD105" i="176"/>
  <c r="R418" i="174"/>
  <c r="Q418" i="174"/>
  <c r="Q323" i="174"/>
  <c r="R323" i="174"/>
  <c r="R754" i="174"/>
  <c r="Q754" i="174"/>
  <c r="R125" i="174"/>
  <c r="Q125" i="174"/>
  <c r="R101" i="174"/>
  <c r="Q101" i="174"/>
  <c r="R486" i="174"/>
  <c r="Q486" i="174"/>
  <c r="R617" i="177"/>
  <c r="Q617" i="177"/>
  <c r="Q624" i="177"/>
  <c r="R624" i="177"/>
  <c r="R311" i="177"/>
  <c r="Q311" i="177"/>
  <c r="Q141" i="177"/>
  <c r="R141" i="177"/>
  <c r="R136" i="177"/>
  <c r="Q136" i="177"/>
  <c r="Q175" i="177"/>
  <c r="R175" i="177"/>
  <c r="Q104" i="174"/>
  <c r="R104" i="174"/>
  <c r="R940" i="177"/>
  <c r="Q940" i="177"/>
  <c r="R774" i="177"/>
  <c r="Q774" i="177"/>
  <c r="Q780" i="177"/>
  <c r="R780" i="177"/>
  <c r="R365" i="177"/>
  <c r="Q365" i="177"/>
  <c r="AC42" i="176"/>
  <c r="AD42" i="176"/>
  <c r="R182" i="174"/>
  <c r="Q182" i="174"/>
  <c r="R791" i="177"/>
  <c r="Q791" i="177"/>
  <c r="R432" i="177"/>
  <c r="Q432" i="177"/>
  <c r="R322" i="177"/>
  <c r="Q322" i="177"/>
  <c r="AF42" i="175"/>
  <c r="AG42" i="175"/>
  <c r="AD57" i="176"/>
  <c r="AC57" i="176"/>
  <c r="R259" i="174"/>
  <c r="Q259" i="174"/>
  <c r="R676" i="174"/>
  <c r="Q676" i="174"/>
  <c r="R845" i="177"/>
  <c r="Q845" i="177"/>
  <c r="AC55" i="176"/>
  <c r="AD55" i="176"/>
  <c r="Q317" i="174"/>
  <c r="R317" i="174"/>
  <c r="R282" i="174"/>
  <c r="Q282" i="174"/>
  <c r="R30" i="174"/>
  <c r="Q30" i="174"/>
  <c r="Q189" i="174"/>
  <c r="R189" i="174"/>
  <c r="R1051" i="177"/>
  <c r="Q1051" i="177"/>
  <c r="Q83" i="177"/>
  <c r="R83" i="177"/>
  <c r="R618" i="177"/>
  <c r="Q618" i="177"/>
  <c r="Q1040" i="177"/>
  <c r="R1040" i="177"/>
  <c r="R252" i="177"/>
  <c r="Q252" i="177"/>
  <c r="R922" i="177"/>
  <c r="Q922" i="177"/>
  <c r="AD132" i="176"/>
  <c r="AC132" i="176"/>
  <c r="R1070" i="177"/>
  <c r="Q1070" i="177"/>
  <c r="R959" i="177"/>
  <c r="Q959" i="177"/>
  <c r="Q861" i="174"/>
  <c r="R861" i="174"/>
  <c r="R650" i="174"/>
  <c r="Q650" i="174"/>
  <c r="R604" i="174"/>
  <c r="Q604" i="174"/>
  <c r="Q422" i="174"/>
  <c r="R422" i="174"/>
  <c r="R28" i="174"/>
  <c r="Q28" i="174"/>
  <c r="Q290" i="174"/>
  <c r="R290" i="174"/>
  <c r="R421" i="174"/>
  <c r="Q421" i="174"/>
  <c r="Q88" i="174"/>
  <c r="R88" i="174"/>
  <c r="Q546" i="174"/>
  <c r="R546" i="174"/>
  <c r="Q929" i="177"/>
  <c r="R929" i="177"/>
  <c r="R749" i="177"/>
  <c r="Q749" i="177"/>
  <c r="AC89" i="176"/>
  <c r="AD89" i="176"/>
  <c r="AD69" i="176"/>
  <c r="AC69" i="176"/>
  <c r="R702" i="174"/>
  <c r="Q702" i="174"/>
  <c r="AD25" i="176"/>
  <c r="AC25" i="176"/>
  <c r="Q288" i="174"/>
  <c r="R288" i="174"/>
  <c r="R325" i="174"/>
  <c r="Q325" i="174"/>
  <c r="R336" i="174"/>
  <c r="Q336" i="174"/>
  <c r="R284" i="174"/>
  <c r="Q284" i="174"/>
  <c r="R836" i="174"/>
  <c r="Q836" i="174"/>
  <c r="R209" i="174"/>
  <c r="Q209" i="174"/>
  <c r="R1077" i="177"/>
  <c r="Q1077" i="177"/>
  <c r="R657" i="174"/>
  <c r="Q657" i="174"/>
  <c r="Q97" i="174"/>
  <c r="R97" i="174"/>
  <c r="R275" i="177"/>
  <c r="Q275" i="177"/>
  <c r="R565" i="177"/>
  <c r="Q565" i="177"/>
  <c r="Q474" i="177"/>
  <c r="R474" i="177"/>
  <c r="R129" i="177"/>
  <c r="Q129" i="177"/>
  <c r="Q900" i="177"/>
  <c r="R900" i="177"/>
  <c r="AD35" i="176"/>
  <c r="AC35" i="176"/>
  <c r="R360" i="174"/>
  <c r="Q360" i="174"/>
  <c r="R700" i="174"/>
  <c r="Q700" i="174"/>
  <c r="R886" i="174"/>
  <c r="Q886" i="174"/>
  <c r="R918" i="177"/>
  <c r="Q918" i="177"/>
  <c r="AF43" i="175"/>
  <c r="AG43" i="175"/>
  <c r="R590" i="177"/>
  <c r="Q590" i="177"/>
  <c r="R153" i="177"/>
  <c r="Q153" i="177"/>
  <c r="R518" i="177"/>
  <c r="Q518" i="177"/>
  <c r="R460" i="177"/>
  <c r="Q460" i="177"/>
  <c r="Q208" i="177"/>
  <c r="R208" i="177"/>
  <c r="R174" i="177"/>
  <c r="Q174" i="177"/>
  <c r="Q171" i="177"/>
  <c r="R171" i="177"/>
  <c r="R358" i="174"/>
  <c r="Q358" i="174"/>
  <c r="R274" i="174"/>
  <c r="Q274" i="174"/>
  <c r="Q601" i="174"/>
  <c r="R601" i="174"/>
  <c r="Q742" i="174"/>
  <c r="R742" i="174"/>
  <c r="R532" i="174"/>
  <c r="Q532" i="174"/>
  <c r="R451" i="177"/>
  <c r="Q451" i="177"/>
  <c r="R31" i="177"/>
  <c r="Q31" i="177"/>
  <c r="Q1115" i="177"/>
  <c r="R1115" i="177"/>
  <c r="AC86" i="176"/>
  <c r="AD86" i="176"/>
  <c r="R575" i="174"/>
  <c r="Q575" i="174"/>
  <c r="R39" i="174"/>
  <c r="Q39" i="174"/>
  <c r="R603" i="174"/>
  <c r="Q603" i="174"/>
  <c r="Q733" i="174"/>
  <c r="R733" i="174"/>
  <c r="R332" i="174"/>
  <c r="Q332" i="174"/>
  <c r="R674" i="174"/>
  <c r="Q674" i="174"/>
  <c r="Q277" i="177"/>
  <c r="R277" i="177"/>
  <c r="R200" i="177"/>
  <c r="Q200" i="177"/>
  <c r="R581" i="177"/>
  <c r="Q581" i="177"/>
  <c r="R172" i="174"/>
  <c r="Q172" i="174"/>
  <c r="AC144" i="176"/>
  <c r="AD144" i="176"/>
  <c r="R1103" i="177"/>
  <c r="Q1103" i="177"/>
  <c r="R763" i="177"/>
  <c r="Q763" i="177"/>
  <c r="Q537" i="177"/>
  <c r="R537" i="177"/>
  <c r="Q149" i="177"/>
  <c r="R149" i="177"/>
  <c r="Q636" i="177"/>
  <c r="R636" i="177"/>
  <c r="AC31" i="176"/>
  <c r="AD31" i="176"/>
  <c r="R811" i="174"/>
  <c r="Q811" i="174"/>
  <c r="R280" i="174"/>
  <c r="Q280" i="174"/>
  <c r="Q760" i="174"/>
  <c r="R760" i="174"/>
  <c r="R749" i="174"/>
  <c r="Q749" i="174"/>
  <c r="Q1096" i="177"/>
  <c r="R1096" i="177"/>
  <c r="R499" i="174"/>
  <c r="Q499" i="174"/>
  <c r="R316" i="177"/>
  <c r="Q316" i="177"/>
  <c r="R695" i="177"/>
  <c r="Q695" i="177"/>
  <c r="R131" i="177"/>
  <c r="Q131" i="177"/>
  <c r="R596" i="174"/>
  <c r="Q596" i="174"/>
  <c r="R478" i="174"/>
  <c r="Q478" i="174"/>
  <c r="Q298" i="174"/>
  <c r="R298" i="174"/>
  <c r="R72" i="174"/>
  <c r="Q72" i="174"/>
  <c r="Q505" i="174"/>
  <c r="R505" i="174"/>
  <c r="R2707" i="172"/>
  <c r="Q2707" i="172"/>
  <c r="Q183" i="174"/>
  <c r="R183" i="174"/>
  <c r="R414" i="177"/>
  <c r="Q414" i="177"/>
  <c r="R304" i="177"/>
  <c r="Q304" i="177"/>
  <c r="R1054" i="177"/>
  <c r="Q1054" i="177"/>
  <c r="R839" i="177"/>
  <c r="Q839" i="177"/>
  <c r="R165" i="177"/>
  <c r="Q165" i="177"/>
  <c r="AD26" i="176"/>
  <c r="AC26" i="176"/>
  <c r="R460" i="174"/>
  <c r="Q460" i="174"/>
  <c r="R517" i="174"/>
  <c r="Q517" i="174"/>
  <c r="Q193" i="174"/>
  <c r="R193" i="174"/>
  <c r="R763" i="174"/>
  <c r="Q763" i="174"/>
  <c r="Q570" i="174"/>
  <c r="R570" i="174"/>
  <c r="R642" i="174"/>
  <c r="Q642" i="174"/>
  <c r="R1098" i="177"/>
  <c r="Q1098" i="177"/>
  <c r="R507" i="174"/>
  <c r="Q507" i="174"/>
  <c r="Q993" i="177"/>
  <c r="R993" i="177"/>
  <c r="R948" i="177"/>
  <c r="Q948" i="177"/>
  <c r="R1109" i="177"/>
  <c r="Q1109" i="177"/>
  <c r="AD71" i="176"/>
  <c r="AC71" i="176"/>
  <c r="AD116" i="176"/>
  <c r="AC116" i="176"/>
  <c r="AD18" i="176"/>
  <c r="AC18" i="176"/>
  <c r="R509" i="177"/>
  <c r="Q509" i="177"/>
  <c r="Q32" i="177"/>
  <c r="R32" i="177"/>
  <c r="Q228" i="174"/>
  <c r="R228" i="174"/>
  <c r="R563" i="174"/>
  <c r="Q563" i="174"/>
  <c r="Q145" i="174"/>
  <c r="R145" i="174"/>
  <c r="R165" i="174"/>
  <c r="Q165" i="174"/>
  <c r="R521" i="174"/>
  <c r="Q521" i="174"/>
  <c r="R48" i="174"/>
  <c r="Q48" i="174"/>
  <c r="R171" i="174"/>
  <c r="Q171" i="174"/>
  <c r="R17" i="174"/>
  <c r="Q17" i="174"/>
  <c r="Q980" i="177"/>
  <c r="R980" i="177"/>
  <c r="AC94" i="176"/>
  <c r="AD94" i="176"/>
  <c r="Q25" i="177"/>
  <c r="R25" i="177"/>
  <c r="Q172" i="177"/>
  <c r="R172" i="177"/>
  <c r="R242" i="174"/>
  <c r="Q242" i="174"/>
  <c r="R607" i="177"/>
  <c r="Q607" i="177"/>
  <c r="R1037" i="177"/>
  <c r="Q1037" i="177"/>
  <c r="R286" i="177"/>
  <c r="Q286" i="177"/>
  <c r="AC107" i="176"/>
  <c r="AD107" i="176"/>
  <c r="R81" i="174"/>
  <c r="Q81" i="174"/>
  <c r="Q849" i="174"/>
  <c r="R849" i="174"/>
  <c r="R456" i="174"/>
  <c r="Q456" i="174"/>
  <c r="Q351" i="174"/>
  <c r="R351" i="174"/>
  <c r="Q423" i="174"/>
  <c r="R423" i="174"/>
  <c r="R755" i="177"/>
  <c r="Q755" i="177"/>
  <c r="Q1089" i="177"/>
  <c r="R1089" i="177"/>
  <c r="AF45" i="175"/>
  <c r="AG45" i="175"/>
  <c r="R310" i="174"/>
  <c r="Q310" i="174"/>
  <c r="Q27" i="174"/>
  <c r="R27" i="174"/>
  <c r="Q408" i="177"/>
  <c r="R408" i="177"/>
  <c r="R612" i="174"/>
  <c r="Q612" i="174"/>
  <c r="R1024" i="177"/>
  <c r="Q1024" i="177"/>
  <c r="R1033" i="177"/>
  <c r="Q1033" i="177"/>
  <c r="Q728" i="177"/>
  <c r="R728" i="177"/>
  <c r="AD102" i="176"/>
  <c r="AC102" i="176"/>
  <c r="AC112" i="176"/>
  <c r="AD112" i="176"/>
  <c r="R595" i="174"/>
  <c r="Q595" i="174"/>
  <c r="R887" i="174"/>
  <c r="Q887" i="174"/>
  <c r="Q210" i="174"/>
  <c r="R210" i="174"/>
  <c r="Q395" i="174"/>
  <c r="R395" i="174"/>
  <c r="R487" i="174"/>
  <c r="Q487" i="174"/>
  <c r="R609" i="177"/>
  <c r="Q609" i="177"/>
  <c r="Q600" i="177"/>
  <c r="R600" i="177"/>
  <c r="R849" i="177"/>
  <c r="Q849" i="177"/>
  <c r="R1022" i="177"/>
  <c r="Q1022" i="177"/>
  <c r="Q787" i="177"/>
  <c r="R787" i="177"/>
  <c r="Q21" i="177"/>
  <c r="R21" i="177"/>
  <c r="R944" i="177"/>
  <c r="Q944" i="177"/>
  <c r="AF46" i="175"/>
  <c r="AG46" i="175"/>
  <c r="AD134" i="176"/>
  <c r="AC134" i="176"/>
  <c r="AD50" i="176"/>
  <c r="AC50" i="176"/>
  <c r="R304" i="174"/>
  <c r="Q304" i="174"/>
  <c r="R384" i="174"/>
  <c r="Q384" i="174"/>
  <c r="R257" i="174"/>
  <c r="Q257" i="174"/>
  <c r="R822" i="177"/>
  <c r="Q822" i="177"/>
  <c r="R1087" i="177"/>
  <c r="Q1087" i="177"/>
  <c r="Q840" i="177"/>
  <c r="R840" i="177"/>
  <c r="R49" i="174"/>
  <c r="Q49" i="174"/>
  <c r="Q193" i="177"/>
  <c r="R193" i="177"/>
  <c r="R475" i="174"/>
  <c r="Q475" i="174"/>
  <c r="R124" i="174"/>
  <c r="Q124" i="174"/>
  <c r="Q221" i="174"/>
  <c r="R221" i="174"/>
  <c r="R673" i="174"/>
  <c r="Q673" i="174"/>
  <c r="R407" i="174"/>
  <c r="Q407" i="174"/>
  <c r="R21" i="174"/>
  <c r="Q21" i="174"/>
  <c r="Q423" i="177"/>
  <c r="R423" i="177"/>
  <c r="R718" i="177"/>
  <c r="Q718" i="177"/>
  <c r="R521" i="177"/>
  <c r="Q521" i="177"/>
  <c r="R259" i="177"/>
  <c r="Q259" i="177"/>
  <c r="Q888" i="177"/>
  <c r="R888" i="177"/>
  <c r="AC111" i="176"/>
  <c r="AD111" i="176"/>
  <c r="R1073" i="177"/>
  <c r="Q1073" i="177"/>
  <c r="R1071" i="177"/>
  <c r="Q1071" i="177"/>
  <c r="R626" i="174"/>
  <c r="Q626" i="174"/>
  <c r="R387" i="174"/>
  <c r="Q387" i="174"/>
  <c r="R452" i="174"/>
  <c r="Q452" i="174"/>
  <c r="Q177" i="174"/>
  <c r="R177" i="174"/>
  <c r="R235" i="174"/>
  <c r="Q235" i="174"/>
  <c r="Q118" i="174"/>
  <c r="R118" i="174"/>
  <c r="Q983" i="177"/>
  <c r="R983" i="177"/>
  <c r="Q1102" i="177"/>
  <c r="R1102" i="177"/>
  <c r="Q111" i="174"/>
  <c r="R111" i="174"/>
  <c r="Q880" i="177"/>
  <c r="R880" i="177"/>
  <c r="R885" i="174"/>
  <c r="Q885" i="174"/>
  <c r="Q733" i="177"/>
  <c r="R733" i="177"/>
  <c r="R648" i="177"/>
  <c r="Q648" i="177"/>
  <c r="AC85" i="176"/>
  <c r="AD85" i="176"/>
  <c r="R646" i="174"/>
  <c r="Q646" i="174"/>
  <c r="Q577" i="174"/>
  <c r="R577" i="174"/>
  <c r="R966" i="177"/>
  <c r="Q966" i="177"/>
  <c r="Q664" i="177"/>
  <c r="R664" i="177"/>
  <c r="Q619" i="174"/>
  <c r="R619" i="174"/>
  <c r="R788" i="177"/>
  <c r="Q788" i="177"/>
  <c r="R466" i="177"/>
  <c r="Q466" i="177"/>
  <c r="AC131" i="176"/>
  <c r="AD131" i="176"/>
  <c r="R285" i="174"/>
  <c r="Q285" i="174"/>
  <c r="R192" i="174"/>
  <c r="Q192" i="174"/>
  <c r="AF37" i="175"/>
  <c r="AG37" i="175"/>
  <c r="R708" i="174"/>
  <c r="Q708" i="174"/>
  <c r="Q524" i="177"/>
  <c r="R524" i="177"/>
  <c r="AD82" i="176"/>
  <c r="AC82" i="176"/>
  <c r="AD45" i="176"/>
  <c r="AC45" i="176"/>
  <c r="R919" i="177"/>
  <c r="Q919" i="177"/>
  <c r="R638" i="177"/>
  <c r="Q638" i="177"/>
  <c r="Q121" i="174"/>
  <c r="R121" i="174"/>
  <c r="Q250" i="174"/>
  <c r="R250" i="174"/>
  <c r="Q85" i="174"/>
  <c r="R85" i="174"/>
  <c r="Q565" i="174"/>
  <c r="R565" i="174"/>
  <c r="Q419" i="177"/>
  <c r="R419" i="177"/>
  <c r="R62" i="177"/>
  <c r="Q62" i="177"/>
  <c r="Q299" i="177"/>
  <c r="R299" i="177"/>
  <c r="R35" i="174"/>
  <c r="Q35" i="174"/>
  <c r="R905" i="177"/>
  <c r="Q905" i="177"/>
  <c r="AD21" i="176"/>
  <c r="AC21" i="176"/>
  <c r="AC135" i="176"/>
  <c r="AD135" i="176"/>
  <c r="AC109" i="176"/>
  <c r="AD109" i="176"/>
  <c r="Q27" i="177"/>
  <c r="R27" i="177"/>
  <c r="R600" i="174"/>
  <c r="Q600" i="174"/>
  <c r="R776" i="174"/>
  <c r="Q776" i="174"/>
  <c r="R52" i="174"/>
  <c r="Q52" i="174"/>
  <c r="R732" i="174"/>
  <c r="Q732" i="174"/>
  <c r="R77" i="174"/>
  <c r="Q77" i="174"/>
  <c r="Q667" i="177"/>
  <c r="R667" i="177"/>
  <c r="Q396" i="174"/>
  <c r="R396" i="174"/>
  <c r="Q1104" i="177"/>
  <c r="R1104" i="177"/>
  <c r="R266" i="174"/>
  <c r="Q266" i="174"/>
  <c r="R471" i="174"/>
  <c r="Q471" i="174"/>
  <c r="R76" i="174"/>
  <c r="Q76" i="174"/>
  <c r="Q94" i="174"/>
  <c r="R94" i="174"/>
  <c r="R41" i="174"/>
  <c r="Q41" i="174"/>
  <c r="Q1093" i="177"/>
  <c r="R1093" i="177"/>
  <c r="Q158" i="177"/>
  <c r="R158" i="177"/>
  <c r="R841" i="177"/>
  <c r="Q841" i="177"/>
  <c r="R463" i="177"/>
  <c r="Q463" i="177"/>
  <c r="R580" i="177"/>
  <c r="Q580" i="177"/>
  <c r="R371" i="177"/>
  <c r="Q371" i="177"/>
  <c r="R42" i="177"/>
  <c r="Q42" i="177"/>
  <c r="AD48" i="176"/>
  <c r="AC48" i="176"/>
  <c r="R132" i="174"/>
  <c r="Q132" i="174"/>
  <c r="Q357" i="174"/>
  <c r="R357" i="174"/>
  <c r="Q1007" i="177"/>
  <c r="R1007" i="177"/>
  <c r="Q969" i="177"/>
  <c r="R969" i="177"/>
  <c r="AF17" i="175"/>
  <c r="AG17" i="175"/>
  <c r="Q75" i="177"/>
  <c r="R75" i="177"/>
  <c r="Q1020" i="177"/>
  <c r="R1020" i="177"/>
  <c r="R649" i="177"/>
  <c r="Q649" i="177"/>
  <c r="R547" i="177"/>
  <c r="Q547" i="177"/>
  <c r="R677" i="174"/>
  <c r="Q677" i="174"/>
  <c r="Q270" i="174"/>
  <c r="R270" i="174"/>
  <c r="Q80" i="174"/>
  <c r="R80" i="174"/>
  <c r="R337" i="174"/>
  <c r="Q337" i="174"/>
  <c r="R312" i="174"/>
  <c r="Q312" i="174"/>
  <c r="R666" i="177"/>
  <c r="Q666" i="177"/>
  <c r="Q349" i="177"/>
  <c r="R349" i="177"/>
  <c r="Q540" i="177"/>
  <c r="R540" i="177"/>
  <c r="Q196" i="174"/>
  <c r="R196" i="174"/>
  <c r="AD100" i="176"/>
  <c r="AC100" i="176"/>
  <c r="Q796" i="174"/>
  <c r="R796" i="174"/>
  <c r="R743" i="174"/>
  <c r="Q743" i="174"/>
  <c r="Q417" i="174"/>
  <c r="R417" i="174"/>
  <c r="Q411" i="174"/>
  <c r="R411" i="174"/>
  <c r="R788" i="174"/>
  <c r="Q788" i="174"/>
  <c r="Q660" i="177"/>
  <c r="R660" i="177"/>
  <c r="R466" i="174"/>
  <c r="Q466" i="174"/>
  <c r="Q464" i="177"/>
  <c r="R464" i="177"/>
  <c r="Q427" i="177"/>
  <c r="R427" i="177"/>
  <c r="R680" i="177"/>
  <c r="Q680" i="177"/>
  <c r="Q649" i="174"/>
  <c r="R649" i="174"/>
  <c r="R83" i="174"/>
  <c r="Q83" i="174"/>
  <c r="R385" i="177"/>
  <c r="Q385" i="177"/>
  <c r="R761" i="177"/>
  <c r="Q761" i="177"/>
  <c r="Q211" i="177"/>
  <c r="R211" i="177"/>
  <c r="R295" i="177"/>
  <c r="Q295" i="177"/>
  <c r="R835" i="174"/>
  <c r="Q835" i="174"/>
  <c r="AC22" i="176"/>
  <c r="AD22" i="176"/>
  <c r="R625" i="174"/>
  <c r="Q625" i="174"/>
  <c r="R807" i="174"/>
  <c r="Q807" i="174"/>
  <c r="R881" i="174"/>
  <c r="Q881" i="174"/>
  <c r="R764" i="174"/>
  <c r="Q764" i="174"/>
  <c r="Q762" i="174"/>
  <c r="R762" i="174"/>
  <c r="R27" i="173"/>
  <c r="Q27" i="173"/>
  <c r="R795" i="177"/>
  <c r="Q795" i="177"/>
  <c r="Q292" i="177"/>
  <c r="R292" i="177"/>
  <c r="R1100" i="177"/>
  <c r="Q1100" i="177"/>
  <c r="R858" i="174"/>
  <c r="Q858" i="174"/>
  <c r="Q156" i="174"/>
  <c r="R156" i="174"/>
  <c r="R685" i="174"/>
  <c r="Q685" i="174"/>
  <c r="Q608" i="174"/>
  <c r="R608" i="174"/>
  <c r="Q547" i="174"/>
  <c r="R547" i="174"/>
  <c r="R549" i="174"/>
  <c r="Q549" i="174"/>
  <c r="Q325" i="177"/>
  <c r="R325" i="177"/>
  <c r="R448" i="174"/>
  <c r="Q448" i="174"/>
  <c r="R62" i="174"/>
  <c r="Q62" i="174"/>
  <c r="R305" i="174"/>
  <c r="Q305" i="174"/>
  <c r="R522" i="174"/>
  <c r="Q522" i="174"/>
  <c r="R26" i="173"/>
  <c r="Q26" i="173"/>
  <c r="R396" i="177"/>
  <c r="Q396" i="177"/>
  <c r="R799" i="177"/>
  <c r="Q799" i="177"/>
  <c r="AC133" i="176"/>
  <c r="AD133" i="176"/>
  <c r="R480" i="174"/>
  <c r="Q480" i="174"/>
  <c r="R55" i="174"/>
  <c r="Q55" i="174"/>
  <c r="R503" i="174"/>
  <c r="Q503" i="174"/>
  <c r="Q49" i="177"/>
  <c r="R49" i="177"/>
  <c r="R401" i="174"/>
  <c r="Q401" i="174"/>
  <c r="R536" i="174"/>
  <c r="Q536" i="174"/>
  <c r="Q292" i="174"/>
  <c r="R292" i="174"/>
  <c r="R53" i="174"/>
  <c r="Q53" i="174"/>
  <c r="R2709" i="172"/>
  <c r="Q2709" i="172"/>
  <c r="R1090" i="177"/>
  <c r="Q1090" i="177"/>
  <c r="Q790" i="174"/>
  <c r="R790" i="174"/>
  <c r="Q882" i="174"/>
  <c r="R882" i="174"/>
  <c r="R485" i="174"/>
  <c r="Q485" i="174"/>
  <c r="R606" i="174"/>
  <c r="Q606" i="174"/>
  <c r="R1049" i="177"/>
  <c r="Q1049" i="177"/>
  <c r="AD106" i="176"/>
  <c r="AC106" i="176"/>
  <c r="R655" i="174"/>
  <c r="Q655" i="174"/>
  <c r="R911" i="177"/>
  <c r="Q911" i="177"/>
  <c r="R971" i="177"/>
  <c r="Q971" i="177"/>
  <c r="Q38" i="174"/>
  <c r="R38" i="174"/>
  <c r="Q189" i="177"/>
  <c r="R189" i="177"/>
  <c r="R161" i="177"/>
  <c r="Q161" i="177"/>
  <c r="R866" i="177"/>
  <c r="Q866" i="177"/>
  <c r="Q91" i="177"/>
  <c r="R91" i="177"/>
  <c r="Q769" i="177"/>
  <c r="R769" i="177"/>
  <c r="R531" i="177"/>
  <c r="Q531" i="177"/>
  <c r="R519" i="177"/>
  <c r="Q519" i="177"/>
  <c r="Q243" i="174"/>
  <c r="R243" i="174"/>
  <c r="Q488" i="174"/>
  <c r="R488" i="174"/>
  <c r="R180" i="174"/>
  <c r="Q180" i="174"/>
  <c r="R377" i="174"/>
  <c r="Q377" i="174"/>
  <c r="AG32" i="175"/>
  <c r="AF32" i="175"/>
  <c r="R925" i="177"/>
  <c r="Q925" i="177"/>
  <c r="R615" i="174"/>
  <c r="Q615" i="174"/>
  <c r="R690" i="177"/>
  <c r="Q690" i="177"/>
  <c r="R538" i="177"/>
  <c r="Q538" i="177"/>
  <c r="Q439" i="177"/>
  <c r="R439" i="177"/>
  <c r="Q873" i="177"/>
  <c r="R873" i="177"/>
  <c r="R607" i="174"/>
  <c r="Q607" i="174"/>
  <c r="Q476" i="174"/>
  <c r="R476" i="174"/>
  <c r="R809" i="174"/>
  <c r="Q809" i="174"/>
  <c r="R554" i="174"/>
  <c r="Q554" i="174"/>
  <c r="Q388" i="174"/>
  <c r="R388" i="174"/>
  <c r="Q594" i="174"/>
  <c r="R594" i="174"/>
  <c r="R154" i="177"/>
  <c r="Q154" i="177"/>
  <c r="Q467" i="177"/>
  <c r="R467" i="177"/>
  <c r="R358" i="177"/>
  <c r="Q358" i="177"/>
  <c r="R166" i="174"/>
  <c r="Q166" i="174"/>
  <c r="R635" i="177"/>
  <c r="Q635" i="177"/>
  <c r="AC143" i="176"/>
  <c r="AD143" i="176"/>
  <c r="Q956" i="177"/>
  <c r="R956" i="177"/>
  <c r="AG24" i="175"/>
  <c r="AF24" i="175"/>
  <c r="R1066" i="177"/>
  <c r="Q1066" i="177"/>
  <c r="R696" i="177"/>
  <c r="Q696" i="177"/>
  <c r="Q640" i="177"/>
  <c r="R640" i="177"/>
  <c r="Q862" i="177"/>
  <c r="R862" i="177"/>
  <c r="R24" i="177"/>
  <c r="Q24" i="177"/>
  <c r="AC23" i="176"/>
  <c r="AD23" i="176"/>
  <c r="AD129" i="176"/>
  <c r="AC129" i="176"/>
  <c r="Q343" i="174"/>
  <c r="R343" i="174"/>
  <c r="R400" i="174"/>
  <c r="Q400" i="174"/>
  <c r="R634" i="174"/>
  <c r="Q634" i="174"/>
  <c r="Q146" i="174"/>
  <c r="R146" i="174"/>
  <c r="Q852" i="177"/>
  <c r="R852" i="177"/>
  <c r="Q1027" i="177"/>
  <c r="R1027" i="177"/>
  <c r="Q861" i="177"/>
  <c r="R861" i="177"/>
  <c r="Q223" i="174"/>
  <c r="R223" i="174"/>
  <c r="AC91" i="176"/>
  <c r="AD91" i="176"/>
  <c r="R262" i="174"/>
  <c r="Q262" i="174"/>
  <c r="R564" i="174"/>
  <c r="Q564" i="174"/>
  <c r="Q243" i="177"/>
  <c r="R243" i="177"/>
  <c r="Q838" i="177"/>
  <c r="R838" i="177"/>
  <c r="R752" i="177"/>
  <c r="Q752" i="177"/>
  <c r="AD125" i="176"/>
  <c r="AC125" i="176"/>
  <c r="AD51" i="176"/>
  <c r="AC51" i="176"/>
  <c r="R484" i="174"/>
  <c r="Q484" i="174"/>
  <c r="R967" i="177"/>
  <c r="Q967" i="177"/>
  <c r="R117" i="177"/>
  <c r="Q117" i="177"/>
  <c r="R134" i="177"/>
  <c r="Q134" i="177"/>
  <c r="R921" i="177"/>
  <c r="Q921" i="177"/>
  <c r="Q874" i="177"/>
  <c r="R874" i="177"/>
  <c r="R681" i="174"/>
  <c r="Q681" i="174"/>
  <c r="R158" i="174"/>
  <c r="Q158" i="174"/>
  <c r="Q663" i="174"/>
  <c r="R663" i="174"/>
  <c r="R54" i="174"/>
  <c r="Q54" i="174"/>
  <c r="R701" i="177"/>
  <c r="Q701" i="177"/>
  <c r="Q458" i="177"/>
  <c r="R458" i="177"/>
  <c r="R32" i="174"/>
  <c r="Q32" i="174"/>
  <c r="AD81" i="176"/>
  <c r="AC81" i="176"/>
  <c r="AC83" i="176"/>
  <c r="AD83" i="176"/>
  <c r="Q335" i="174"/>
  <c r="R335" i="174"/>
  <c r="Q361" i="174"/>
  <c r="R361" i="174"/>
  <c r="Q40" i="174"/>
  <c r="R40" i="174"/>
  <c r="R342" i="174"/>
  <c r="Q342" i="174"/>
  <c r="Q679" i="177"/>
  <c r="R679" i="177"/>
  <c r="AD80" i="176"/>
  <c r="AC80" i="176"/>
  <c r="Q562" i="177"/>
  <c r="R562" i="177"/>
  <c r="AC43" i="176"/>
  <c r="AD43" i="176"/>
  <c r="R428" i="174"/>
  <c r="Q428" i="174"/>
  <c r="R223" i="177"/>
  <c r="Q223" i="177"/>
  <c r="Q390" i="174"/>
  <c r="R390" i="174"/>
  <c r="Q201" i="174"/>
  <c r="R201" i="174"/>
  <c r="R64" i="174"/>
  <c r="Q64" i="174"/>
  <c r="R348" i="174"/>
  <c r="Q348" i="174"/>
  <c r="R25" i="174"/>
  <c r="Q25" i="174"/>
  <c r="R897" i="177"/>
  <c r="Q897" i="177"/>
  <c r="R1099" i="177"/>
  <c r="Q1099" i="177"/>
  <c r="R977" i="177"/>
  <c r="Q977" i="177"/>
  <c r="AD77" i="176"/>
  <c r="AC77" i="176"/>
  <c r="Q609" i="174"/>
  <c r="R609" i="174"/>
  <c r="Q513" i="174"/>
  <c r="R513" i="174"/>
  <c r="Q878" i="174"/>
  <c r="R878" i="174"/>
  <c r="Q690" i="174"/>
  <c r="R690" i="174"/>
  <c r="Q2721" i="172"/>
  <c r="R2694" i="172"/>
  <c r="Q2700" i="172"/>
  <c r="Q2688" i="172"/>
  <c r="P23" i="173"/>
  <c r="R23" i="173" s="1"/>
  <c r="Q2726" i="172"/>
  <c r="Q56" i="173"/>
  <c r="P11" i="173"/>
  <c r="R11" i="173" s="1"/>
  <c r="R2727" i="172"/>
  <c r="R2717" i="172"/>
  <c r="R2716" i="172"/>
  <c r="Q2714" i="172"/>
  <c r="R2729" i="172"/>
  <c r="Q2692" i="172"/>
  <c r="R2705" i="172"/>
  <c r="R2711" i="172"/>
  <c r="Q2710" i="172"/>
  <c r="Q39" i="173"/>
  <c r="Q2685" i="172"/>
  <c r="R2720" i="172"/>
  <c r="Q2698" i="172"/>
  <c r="R42" i="173"/>
  <c r="R54" i="173"/>
  <c r="R2725" i="172"/>
  <c r="Q2718" i="172"/>
  <c r="P14" i="173"/>
  <c r="Q14" i="173" s="1"/>
  <c r="Q2724" i="172"/>
  <c r="Q2699" i="172"/>
  <c r="P19" i="173"/>
  <c r="R19" i="173" s="1"/>
  <c r="Q2702" i="172"/>
  <c r="R49" i="173"/>
  <c r="Q2686" i="172"/>
  <c r="R2723" i="172"/>
  <c r="Q2347" i="172"/>
  <c r="R59" i="173"/>
  <c r="P12" i="173"/>
  <c r="R12" i="173" s="1"/>
  <c r="P15" i="173"/>
  <c r="R15" i="173" s="1"/>
  <c r="R57" i="173"/>
  <c r="Q34" i="173"/>
  <c r="R40" i="172"/>
  <c r="Q426" i="172"/>
  <c r="R17" i="173"/>
  <c r="Q17" i="173"/>
  <c r="Q44" i="173"/>
  <c r="Q20" i="173"/>
  <c r="R22" i="173"/>
  <c r="Q41" i="173"/>
  <c r="Q43" i="173"/>
  <c r="Q36" i="173"/>
  <c r="R36" i="173"/>
  <c r="R29" i="173"/>
  <c r="Q29" i="173"/>
  <c r="R37" i="173"/>
  <c r="Q37" i="173"/>
  <c r="R45" i="173"/>
  <c r="Q45" i="173"/>
  <c r="Q31" i="173"/>
  <c r="R31" i="173"/>
  <c r="R33" i="173"/>
  <c r="Q33" i="173"/>
  <c r="R38" i="173"/>
  <c r="Q38" i="173"/>
  <c r="Q32" i="173"/>
  <c r="R32" i="173"/>
  <c r="R35" i="173"/>
  <c r="Q35" i="173"/>
  <c r="P16" i="173"/>
  <c r="R16" i="173" s="1"/>
  <c r="R21" i="173"/>
  <c r="Q30" i="173"/>
  <c r="Q2369" i="172"/>
  <c r="Q2375" i="172"/>
  <c r="Q2372" i="172"/>
  <c r="R2681" i="172"/>
  <c r="Q2681" i="172"/>
  <c r="R2676" i="172"/>
  <c r="Q2676" i="172"/>
  <c r="R2671" i="172"/>
  <c r="Q2671" i="172"/>
  <c r="Q2673" i="172"/>
  <c r="R2673" i="172"/>
  <c r="R2675" i="172"/>
  <c r="Q2675" i="172"/>
  <c r="Q2680" i="172"/>
  <c r="R2680" i="172"/>
  <c r="R2669" i="172"/>
  <c r="Q2669" i="172"/>
  <c r="R2672" i="172"/>
  <c r="Q2672" i="172"/>
  <c r="R1127" i="172"/>
  <c r="R552" i="172"/>
  <c r="R170" i="172"/>
  <c r="Q2373" i="172"/>
  <c r="R200" i="172"/>
  <c r="Q2641" i="172"/>
  <c r="R2641" i="172"/>
  <c r="R2586" i="172"/>
  <c r="Q2586" i="172"/>
  <c r="R2660" i="172"/>
  <c r="Q2660" i="172"/>
  <c r="R2588" i="172"/>
  <c r="Q2588" i="172"/>
  <c r="Q2662" i="172"/>
  <c r="R2662" i="172"/>
  <c r="Q2580" i="172"/>
  <c r="R2580" i="172"/>
  <c r="Q2653" i="172"/>
  <c r="R2653" i="172"/>
  <c r="R2571" i="172"/>
  <c r="Q2571" i="172"/>
  <c r="R2584" i="172"/>
  <c r="Q2584" i="172"/>
  <c r="Q2638" i="172"/>
  <c r="R2638" i="172"/>
  <c r="R2573" i="172"/>
  <c r="Q2573" i="172"/>
  <c r="R2665" i="172"/>
  <c r="Q2665" i="172"/>
  <c r="R2577" i="172"/>
  <c r="Q2577" i="172"/>
  <c r="R2646" i="172"/>
  <c r="Q2646" i="172"/>
  <c r="R2636" i="172"/>
  <c r="Q2636" i="172"/>
  <c r="R2654" i="172"/>
  <c r="Q2654" i="172"/>
  <c r="R2643" i="172"/>
  <c r="Q2643" i="172"/>
  <c r="R2658" i="172"/>
  <c r="Q2658" i="172"/>
  <c r="R2648" i="172"/>
  <c r="Q2648" i="172"/>
  <c r="R2589" i="172"/>
  <c r="Q2589" i="172"/>
  <c r="R2664" i="172"/>
  <c r="Q2664" i="172"/>
  <c r="R2582" i="172"/>
  <c r="Q2582" i="172"/>
  <c r="R2581" i="172"/>
  <c r="Q2581" i="172"/>
  <c r="Q2590" i="172"/>
  <c r="R2590" i="172"/>
  <c r="R2574" i="172"/>
  <c r="Q2574" i="172"/>
  <c r="Q2650" i="172"/>
  <c r="R2650" i="172"/>
  <c r="R2649" i="172"/>
  <c r="Q2649" i="172"/>
  <c r="R2651" i="172"/>
  <c r="Q2651" i="172"/>
  <c r="Q2578" i="172"/>
  <c r="R2578" i="172"/>
  <c r="Q2575" i="172"/>
  <c r="R2575" i="172"/>
  <c r="Q2572" i="172"/>
  <c r="R2572" i="172"/>
  <c r="R2585" i="172"/>
  <c r="Q2585" i="172"/>
  <c r="R2652" i="172"/>
  <c r="Q2652" i="172"/>
  <c r="R2657" i="172"/>
  <c r="Q2657" i="172"/>
  <c r="R2663" i="172"/>
  <c r="Q2663" i="172"/>
  <c r="R2637" i="172"/>
  <c r="Q2637" i="172"/>
  <c r="Q2579" i="172"/>
  <c r="R2579" i="172"/>
  <c r="Q2647" i="172"/>
  <c r="R2647" i="172"/>
  <c r="Q2644" i="172"/>
  <c r="R2644" i="172"/>
  <c r="R2639" i="172"/>
  <c r="Q2639" i="172"/>
  <c r="R2655" i="172"/>
  <c r="Q2655" i="172"/>
  <c r="R2661" i="172"/>
  <c r="Q2661" i="172"/>
  <c r="R2595" i="172"/>
  <c r="Q2595" i="172"/>
  <c r="R2659" i="172"/>
  <c r="Q2659" i="172"/>
  <c r="R2642" i="172"/>
  <c r="Q2642" i="172"/>
  <c r="R2583" i="172"/>
  <c r="Q2583" i="172"/>
  <c r="R2576" i="172"/>
  <c r="Q2576" i="172"/>
  <c r="R2621" i="172"/>
  <c r="Q2621" i="172"/>
  <c r="R2611" i="172"/>
  <c r="Q2611" i="172"/>
  <c r="Q2587" i="172"/>
  <c r="R2587" i="172"/>
  <c r="R2600" i="172"/>
  <c r="Q2600" i="172"/>
  <c r="P2622" i="172"/>
  <c r="Q2622" i="172" s="1"/>
  <c r="P2596" i="172"/>
  <c r="Q2596" i="172" s="1"/>
  <c r="Q578" i="172"/>
  <c r="P2623" i="172"/>
  <c r="R2623" i="172" s="1"/>
  <c r="P2592" i="172"/>
  <c r="R2592" i="172" s="1"/>
  <c r="P2603" i="172"/>
  <c r="R2603" i="172" s="1"/>
  <c r="P2615" i="172"/>
  <c r="R2615" i="172" s="1"/>
  <c r="P2602" i="172"/>
  <c r="Q2602" i="172" s="1"/>
  <c r="P2633" i="172"/>
  <c r="R2633" i="172" s="1"/>
  <c r="P2619" i="172"/>
  <c r="Q2619" i="172" s="1"/>
  <c r="P2598" i="172"/>
  <c r="R2598" i="172" s="1"/>
  <c r="P2599" i="172"/>
  <c r="Q2599" i="172" s="1"/>
  <c r="P2625" i="172"/>
  <c r="Q2625" i="172" s="1"/>
  <c r="P2620" i="172"/>
  <c r="Q2620" i="172" s="1"/>
  <c r="P2604" i="172"/>
  <c r="Q2604" i="172" s="1"/>
  <c r="P2606" i="172"/>
  <c r="R2606" i="172" s="1"/>
  <c r="P2614" i="172"/>
  <c r="Q2614" i="172" s="1"/>
  <c r="P2617" i="172"/>
  <c r="R2617" i="172" s="1"/>
  <c r="P2630" i="172"/>
  <c r="R2630" i="172" s="1"/>
  <c r="P2628" i="172"/>
  <c r="R2628" i="172" s="1"/>
  <c r="P2616" i="172"/>
  <c r="R2616" i="172" s="1"/>
  <c r="P2631" i="172"/>
  <c r="R2631" i="172" s="1"/>
  <c r="P2597" i="172"/>
  <c r="R2597" i="172" s="1"/>
  <c r="P2618" i="172"/>
  <c r="R2618" i="172" s="1"/>
  <c r="P2610" i="172"/>
  <c r="R2610" i="172" s="1"/>
  <c r="P2613" i="172"/>
  <c r="R2613" i="172" s="1"/>
  <c r="P2632" i="172"/>
  <c r="Q2632" i="172" s="1"/>
  <c r="R236" i="172"/>
  <c r="P2593" i="172"/>
  <c r="R2593" i="172" s="1"/>
  <c r="P2607" i="172"/>
  <c r="R2607" i="172" s="1"/>
  <c r="P2629" i="172"/>
  <c r="R2629" i="172" s="1"/>
  <c r="P2605" i="172"/>
  <c r="R2605" i="172" s="1"/>
  <c r="P2626" i="172"/>
  <c r="Q2626" i="172" s="1"/>
  <c r="P2591" i="172"/>
  <c r="R2591" i="172" s="1"/>
  <c r="P2624" i="172"/>
  <c r="R2624" i="172" s="1"/>
  <c r="R2374" i="172"/>
  <c r="P2594" i="172"/>
  <c r="Q2594" i="172" s="1"/>
  <c r="P2601" i="172"/>
  <c r="R2601" i="172" s="1"/>
  <c r="Q918" i="172"/>
  <c r="Q947" i="172"/>
  <c r="P2612" i="172"/>
  <c r="R2612" i="172" s="1"/>
  <c r="P2627" i="172"/>
  <c r="R2627" i="172" s="1"/>
  <c r="P2608" i="172"/>
  <c r="Q2608" i="172" s="1"/>
  <c r="P2609" i="172"/>
  <c r="R2609" i="172" s="1"/>
  <c r="R466" i="172"/>
  <c r="R2371" i="172"/>
  <c r="Q546" i="172"/>
  <c r="Q485" i="172"/>
  <c r="Q549" i="172"/>
  <c r="Q345" i="172"/>
  <c r="R2376" i="172"/>
  <c r="P2558" i="172"/>
  <c r="R481" i="172"/>
  <c r="P2564" i="172"/>
  <c r="R2564" i="172" s="1"/>
  <c r="P2559" i="172"/>
  <c r="Q79" i="172"/>
  <c r="Q559" i="172"/>
  <c r="P2567" i="172"/>
  <c r="R2567" i="172" s="1"/>
  <c r="P2562" i="172"/>
  <c r="R2562" i="172" s="1"/>
  <c r="P2538" i="172"/>
  <c r="P2569" i="172"/>
  <c r="Q143" i="172"/>
  <c r="P2541" i="172"/>
  <c r="P2540" i="172"/>
  <c r="Q2540" i="172" s="1"/>
  <c r="Q595" i="172"/>
  <c r="R471" i="172"/>
  <c r="P2568" i="172"/>
  <c r="R2568" i="172" s="1"/>
  <c r="P2561" i="172"/>
  <c r="P2563" i="172"/>
  <c r="R2563" i="172" s="1"/>
  <c r="P2566" i="172"/>
  <c r="R2566" i="172" s="1"/>
  <c r="P2536" i="172"/>
  <c r="R34" i="172"/>
  <c r="P2539" i="172"/>
  <c r="Q575" i="172"/>
  <c r="Q2364" i="172"/>
  <c r="Q2422" i="172"/>
  <c r="R2422" i="172"/>
  <c r="Q2423" i="172"/>
  <c r="R2423" i="172"/>
  <c r="Q2459" i="172"/>
  <c r="R2459" i="172"/>
  <c r="R2460" i="172"/>
  <c r="Q2460" i="172"/>
  <c r="R2404" i="172"/>
  <c r="Q2404" i="172"/>
  <c r="Q2481" i="172"/>
  <c r="R2481" i="172"/>
  <c r="R2428" i="172"/>
  <c r="Q2428" i="172"/>
  <c r="Q2531" i="172"/>
  <c r="R2531" i="172"/>
  <c r="Q2429" i="172"/>
  <c r="R2429" i="172"/>
  <c r="R2430" i="172"/>
  <c r="Q2430" i="172"/>
  <c r="Q2465" i="172"/>
  <c r="R2465" i="172"/>
  <c r="R2406" i="172"/>
  <c r="Q2406" i="172"/>
  <c r="R2467" i="172"/>
  <c r="Q2467" i="172"/>
  <c r="Q2496" i="172"/>
  <c r="R2496" i="172"/>
  <c r="R2421" i="172"/>
  <c r="Q2421" i="172"/>
  <c r="Q2477" i="172"/>
  <c r="R2477" i="172"/>
  <c r="Q2441" i="172"/>
  <c r="R2441" i="172"/>
  <c r="R2449" i="172"/>
  <c r="Q2449" i="172"/>
  <c r="R2464" i="172"/>
  <c r="Q2464" i="172"/>
  <c r="R2425" i="172"/>
  <c r="Q2425" i="172"/>
  <c r="R2443" i="172"/>
  <c r="Q2443" i="172"/>
  <c r="Q2483" i="172"/>
  <c r="R2483" i="172"/>
  <c r="Q2411" i="172"/>
  <c r="R2411" i="172"/>
  <c r="R2434" i="172"/>
  <c r="Q2434" i="172"/>
  <c r="R2448" i="172"/>
  <c r="Q2448" i="172"/>
  <c r="Q2456" i="172"/>
  <c r="R2456" i="172"/>
  <c r="Q2471" i="172"/>
  <c r="R2471" i="172"/>
  <c r="R2432" i="172"/>
  <c r="Q2432" i="172"/>
  <c r="Q2417" i="172"/>
  <c r="R2417" i="172"/>
  <c r="R2455" i="172"/>
  <c r="Q2455" i="172"/>
  <c r="R2462" i="172"/>
  <c r="Q2462" i="172"/>
  <c r="R2478" i="172"/>
  <c r="Q2478" i="172"/>
  <c r="Q2446" i="172"/>
  <c r="R2446" i="172"/>
  <c r="R2402" i="172"/>
  <c r="Q2402" i="172"/>
  <c r="R2403" i="172"/>
  <c r="Q2403" i="172"/>
  <c r="R2440" i="172"/>
  <c r="Q2440" i="172"/>
  <c r="Q2480" i="172"/>
  <c r="R2480" i="172"/>
  <c r="R2457" i="172"/>
  <c r="Q2457" i="172"/>
  <c r="Q2424" i="172"/>
  <c r="R2424" i="172"/>
  <c r="R2461" i="172"/>
  <c r="Q2461" i="172"/>
  <c r="Q2444" i="172"/>
  <c r="R2444" i="172"/>
  <c r="R2484" i="172"/>
  <c r="Q2484" i="172"/>
  <c r="R2405" i="172"/>
  <c r="Q2405" i="172"/>
  <c r="R2439" i="172"/>
  <c r="Q2439" i="172"/>
  <c r="Q2528" i="172"/>
  <c r="R2528" i="172"/>
  <c r="R2472" i="172"/>
  <c r="Q2472" i="172"/>
  <c r="R2413" i="172"/>
  <c r="Q2413" i="172"/>
  <c r="R2497" i="172"/>
  <c r="Q2497" i="172"/>
  <c r="R2408" i="172"/>
  <c r="Q2408" i="172"/>
  <c r="Q2410" i="172"/>
  <c r="R2410" i="172"/>
  <c r="R2407" i="172"/>
  <c r="Q2407" i="172"/>
  <c r="R2485" i="172"/>
  <c r="Q2485" i="172"/>
  <c r="Q2447" i="172"/>
  <c r="R2447" i="172"/>
  <c r="R2431" i="172"/>
  <c r="Q2431" i="172"/>
  <c r="R2468" i="172"/>
  <c r="Q2468" i="172"/>
  <c r="Q2451" i="172"/>
  <c r="R2451" i="172"/>
  <c r="R2412" i="172"/>
  <c r="Q2412" i="172"/>
  <c r="R2415" i="172"/>
  <c r="Q2415" i="172"/>
  <c r="R2470" i="172"/>
  <c r="Q2470" i="172"/>
  <c r="Q2438" i="172"/>
  <c r="R2438" i="172"/>
  <c r="R2442" i="172"/>
  <c r="Q2442" i="172"/>
  <c r="Q2482" i="172"/>
  <c r="R2482" i="172"/>
  <c r="Q2458" i="172"/>
  <c r="R2458" i="172"/>
  <c r="R2419" i="172"/>
  <c r="Q2419" i="172"/>
  <c r="R2474" i="172"/>
  <c r="Q2474" i="172"/>
  <c r="R2433" i="172"/>
  <c r="Q2433" i="172"/>
  <c r="P2526" i="172"/>
  <c r="R2526" i="172" s="1"/>
  <c r="P2527" i="172"/>
  <c r="R2527" i="172" s="1"/>
  <c r="P2498" i="172"/>
  <c r="R2426" i="172"/>
  <c r="Q2426" i="172"/>
  <c r="P2517" i="172"/>
  <c r="R2517" i="172" s="1"/>
  <c r="Q2463" i="172"/>
  <c r="R2463" i="172"/>
  <c r="Q2475" i="172"/>
  <c r="R2475" i="172"/>
  <c r="P2515" i="172"/>
  <c r="R2515" i="172" s="1"/>
  <c r="R2473" i="172"/>
  <c r="Q2473" i="172"/>
  <c r="R2416" i="172"/>
  <c r="Q2416" i="172"/>
  <c r="Q2453" i="172"/>
  <c r="R2453" i="172"/>
  <c r="Q2452" i="172"/>
  <c r="R2452" i="172"/>
  <c r="P2499" i="172"/>
  <c r="Q2499" i="172" s="1"/>
  <c r="P2524" i="172"/>
  <c r="R2524" i="172" s="1"/>
  <c r="R2414" i="172"/>
  <c r="Q2414" i="172"/>
  <c r="P2516" i="172"/>
  <c r="P2532" i="172"/>
  <c r="P2505" i="172"/>
  <c r="R2505" i="172" s="1"/>
  <c r="P2522" i="172"/>
  <c r="Q2522" i="172" s="1"/>
  <c r="Q318" i="172"/>
  <c r="P2401" i="172"/>
  <c r="Q2401" i="172" s="1"/>
  <c r="R2469" i="172"/>
  <c r="Q2469" i="172"/>
  <c r="Q2435" i="172"/>
  <c r="R2435" i="172"/>
  <c r="P2382" i="172"/>
  <c r="R2382" i="172" s="1"/>
  <c r="Q2437" i="172"/>
  <c r="P2500" i="172"/>
  <c r="P2512" i="172"/>
  <c r="Q2512" i="172" s="1"/>
  <c r="R618" i="172"/>
  <c r="P2504" i="172"/>
  <c r="P2501" i="172"/>
  <c r="Q2501" i="172" s="1"/>
  <c r="R405" i="172"/>
  <c r="P2521" i="172"/>
  <c r="Q2521" i="172" s="1"/>
  <c r="P2525" i="172"/>
  <c r="P2509" i="172"/>
  <c r="Q2509" i="172" s="1"/>
  <c r="Q182" i="172"/>
  <c r="P2529" i="172"/>
  <c r="P2519" i="172"/>
  <c r="Q2519" i="172" s="1"/>
  <c r="P2520" i="172"/>
  <c r="P2502" i="172"/>
  <c r="P2507" i="172"/>
  <c r="Q2507" i="172" s="1"/>
  <c r="R2450" i="172"/>
  <c r="Q2450" i="172"/>
  <c r="P2514" i="172"/>
  <c r="Q385" i="172"/>
  <c r="P2508" i="172"/>
  <c r="P2506" i="172"/>
  <c r="R2479" i="172"/>
  <c r="Q2479" i="172"/>
  <c r="Q2420" i="172"/>
  <c r="R2420" i="172"/>
  <c r="P2383" i="172"/>
  <c r="Q2383" i="172" s="1"/>
  <c r="R2370" i="172"/>
  <c r="R2367" i="172"/>
  <c r="R2368" i="172"/>
  <c r="Q2379" i="172"/>
  <c r="R2365" i="172"/>
  <c r="Q2378" i="172"/>
  <c r="Q111" i="172"/>
  <c r="Q483" i="172"/>
  <c r="R2334" i="172"/>
  <c r="Q169" i="172"/>
  <c r="R280" i="172"/>
  <c r="P2392" i="172"/>
  <c r="Q2392" i="172" s="1"/>
  <c r="P2391" i="172"/>
  <c r="Q2391" i="172" s="1"/>
  <c r="R306" i="172"/>
  <c r="R2363" i="172"/>
  <c r="R558" i="172"/>
  <c r="R465" i="172"/>
  <c r="R2358" i="172"/>
  <c r="R658" i="172"/>
  <c r="R258" i="172"/>
  <c r="R2381" i="172"/>
  <c r="Q219" i="172"/>
  <c r="Q1915" i="172"/>
  <c r="R568" i="172"/>
  <c r="R2224" i="172"/>
  <c r="Q2390" i="172"/>
  <c r="R2196" i="172"/>
  <c r="R1446" i="172"/>
  <c r="R445" i="172"/>
  <c r="R436" i="172"/>
  <c r="R561" i="172"/>
  <c r="P2385" i="172"/>
  <c r="Q2385" i="172" s="1"/>
  <c r="R201" i="172"/>
  <c r="Q2237" i="172"/>
  <c r="Q1958" i="172"/>
  <c r="P2388" i="172"/>
  <c r="Q2388" i="172" s="1"/>
  <c r="Q84" i="172"/>
  <c r="R2200" i="172"/>
  <c r="Q1680" i="172"/>
  <c r="Q1178" i="172"/>
  <c r="Q172" i="172"/>
  <c r="R321" i="172"/>
  <c r="Q39" i="172"/>
  <c r="Q2206" i="172"/>
  <c r="Q1883" i="172"/>
  <c r="Q517" i="172"/>
  <c r="Q257" i="172"/>
  <c r="Q137" i="172"/>
  <c r="Q59" i="172"/>
  <c r="Q1960" i="172"/>
  <c r="R1555" i="172"/>
  <c r="Q164" i="172"/>
  <c r="R259" i="172"/>
  <c r="Q2278" i="172"/>
  <c r="P2384" i="172"/>
  <c r="R2384" i="172" s="1"/>
  <c r="P2395" i="172"/>
  <c r="Q2395" i="172" s="1"/>
  <c r="P2394" i="172"/>
  <c r="R2394" i="172" s="1"/>
  <c r="Q2234" i="172"/>
  <c r="R1922" i="172"/>
  <c r="Q510" i="172"/>
  <c r="Q202" i="172"/>
  <c r="R246" i="172"/>
  <c r="Q1727" i="172"/>
  <c r="Q508" i="172"/>
  <c r="Q497" i="172"/>
  <c r="P2393" i="172"/>
  <c r="R2393" i="172" s="1"/>
  <c r="P2397" i="172"/>
  <c r="R2397" i="172" s="1"/>
  <c r="R2380" i="172"/>
  <c r="P2386" i="172"/>
  <c r="R2386" i="172" s="1"/>
  <c r="Q1590" i="172"/>
  <c r="Q2357" i="172"/>
  <c r="R2357" i="172"/>
  <c r="R2359" i="172"/>
  <c r="Q2359" i="172"/>
  <c r="Q2360" i="172"/>
  <c r="R2360" i="172"/>
  <c r="Q2361" i="172"/>
  <c r="R2361" i="172"/>
  <c r="R2356" i="172"/>
  <c r="Q2356" i="172"/>
  <c r="Q2355" i="172"/>
  <c r="R2355" i="172"/>
  <c r="R2354" i="172"/>
  <c r="Q2354" i="172"/>
  <c r="Q2340" i="172"/>
  <c r="R2340" i="172"/>
  <c r="R2341" i="172"/>
  <c r="Q2341" i="172"/>
  <c r="Q2348" i="172"/>
  <c r="R2348" i="172"/>
  <c r="Q2349" i="172"/>
  <c r="R2349" i="172"/>
  <c r="R2350" i="172"/>
  <c r="Q2350" i="172"/>
  <c r="Q2351" i="172"/>
  <c r="R2351" i="172"/>
  <c r="R2352" i="172"/>
  <c r="Q2352" i="172"/>
  <c r="R2342" i="172"/>
  <c r="Q2342" i="172"/>
  <c r="R2344" i="172"/>
  <c r="Q2344" i="172"/>
  <c r="Q2345" i="172"/>
  <c r="R2345" i="172"/>
  <c r="Q2346" i="172"/>
  <c r="R2346" i="172"/>
  <c r="Q2339" i="172"/>
  <c r="R2339" i="172"/>
  <c r="Q2322" i="172"/>
  <c r="R2322" i="172"/>
  <c r="R2336" i="172"/>
  <c r="Q2336" i="172"/>
  <c r="R2332" i="172"/>
  <c r="Q2332" i="172"/>
  <c r="Q2331" i="172"/>
  <c r="R2331" i="172"/>
  <c r="Q2335" i="172"/>
  <c r="R2335" i="172"/>
  <c r="R2333" i="172"/>
  <c r="Q2333" i="172"/>
  <c r="R2323" i="172"/>
  <c r="Q2323" i="172"/>
  <c r="R2326" i="172"/>
  <c r="Q2326" i="172"/>
  <c r="R2324" i="172"/>
  <c r="Q2324" i="172"/>
  <c r="Q2325" i="172"/>
  <c r="R2325" i="172"/>
  <c r="Q2327" i="172"/>
  <c r="R2327" i="172"/>
  <c r="Q2328" i="172"/>
  <c r="R2328" i="172"/>
  <c r="Q2329" i="172"/>
  <c r="R2329" i="172"/>
  <c r="R2330" i="172"/>
  <c r="Q2330" i="172"/>
  <c r="Q2337" i="172"/>
  <c r="R2337" i="172"/>
  <c r="R2321" i="172"/>
  <c r="Q1942" i="172"/>
  <c r="R1942" i="172"/>
  <c r="R1911" i="172"/>
  <c r="Q1944" i="172"/>
  <c r="R1700" i="172"/>
  <c r="R1580" i="172"/>
  <c r="Q1760" i="172"/>
  <c r="R1170" i="172"/>
  <c r="R2259" i="172"/>
  <c r="Q2301" i="172"/>
  <c r="Q1940" i="172"/>
  <c r="R1695" i="172"/>
  <c r="R2178" i="172"/>
  <c r="Q1538" i="172"/>
  <c r="Q1721" i="172"/>
  <c r="Q1746" i="172"/>
  <c r="R1081" i="172"/>
  <c r="R419" i="172"/>
  <c r="R2235" i="172"/>
  <c r="Q1936" i="172"/>
  <c r="R1691" i="172"/>
  <c r="R2008" i="172"/>
  <c r="R1528" i="172"/>
  <c r="R1693" i="172"/>
  <c r="R1197" i="172"/>
  <c r="R1175" i="172"/>
  <c r="Q944" i="172"/>
  <c r="R2277" i="172"/>
  <c r="R2189" i="172"/>
  <c r="R2166" i="172"/>
  <c r="R1586" i="172"/>
  <c r="R1947" i="172"/>
  <c r="R1536" i="172"/>
  <c r="R1167" i="172"/>
  <c r="R1365" i="172"/>
  <c r="R207" i="172"/>
  <c r="Q142" i="172"/>
  <c r="R2145" i="172"/>
  <c r="R2162" i="172"/>
  <c r="Q2156" i="172"/>
  <c r="Q1516" i="172"/>
  <c r="R1442" i="172"/>
  <c r="R1486" i="172"/>
  <c r="Q1073" i="172"/>
  <c r="R1361" i="172"/>
  <c r="Q511" i="172"/>
  <c r="R2265" i="172"/>
  <c r="Q2078" i="172"/>
  <c r="Q2144" i="172"/>
  <c r="R1988" i="172"/>
  <c r="Q1489" i="172"/>
  <c r="R1818" i="172"/>
  <c r="R1408" i="172"/>
  <c r="R1299" i="172"/>
  <c r="Q32" i="172"/>
  <c r="Q99" i="172"/>
  <c r="Q2250" i="172"/>
  <c r="Q2072" i="172"/>
  <c r="R2130" i="172"/>
  <c r="Q1943" i="172"/>
  <c r="Q1484" i="172"/>
  <c r="R1796" i="172"/>
  <c r="Q1403" i="172"/>
  <c r="R420" i="172"/>
  <c r="Q60" i="172"/>
  <c r="R67" i="172"/>
  <c r="R2241" i="172"/>
  <c r="Q2029" i="172"/>
  <c r="Q2050" i="172"/>
  <c r="Q1938" i="172"/>
  <c r="Q1475" i="172"/>
  <c r="Q1722" i="172"/>
  <c r="Q2214" i="172"/>
  <c r="Q2094" i="172"/>
  <c r="R1374" i="172"/>
  <c r="R406" i="172"/>
  <c r="Q33" i="172"/>
  <c r="Q2303" i="172"/>
  <c r="Q1982" i="172"/>
  <c r="Q2023" i="172"/>
  <c r="R1926" i="172"/>
  <c r="R1418" i="172"/>
  <c r="R1690" i="172"/>
  <c r="Q1951" i="172"/>
  <c r="Q2039" i="172"/>
  <c r="Q943" i="172"/>
  <c r="Q1934" i="172"/>
  <c r="R2242" i="172"/>
  <c r="Q1945" i="172"/>
  <c r="Q2018" i="172"/>
  <c r="Q1813" i="172"/>
  <c r="Q1413" i="172"/>
  <c r="R1684" i="172"/>
  <c r="R1895" i="172"/>
  <c r="R2034" i="172"/>
  <c r="R1370" i="172"/>
  <c r="R1232" i="172"/>
  <c r="Q1232" i="172"/>
  <c r="R1148" i="172"/>
  <c r="Q1148" i="172"/>
  <c r="R1058" i="172"/>
  <c r="Q1058" i="172"/>
  <c r="R1783" i="172"/>
  <c r="Q1783" i="172"/>
  <c r="R463" i="172"/>
  <c r="Q463" i="172"/>
  <c r="Q899" i="172"/>
  <c r="R899" i="172"/>
  <c r="R1256" i="172"/>
  <c r="Q1256" i="172"/>
  <c r="Q1542" i="172"/>
  <c r="R1542" i="172"/>
  <c r="R547" i="172"/>
  <c r="Q547" i="172"/>
  <c r="Q726" i="172"/>
  <c r="R726" i="172"/>
  <c r="Q893" i="172"/>
  <c r="R893" i="172"/>
  <c r="R1129" i="172"/>
  <c r="Q1129" i="172"/>
  <c r="Q1366" i="172"/>
  <c r="R1366" i="172"/>
  <c r="Q1649" i="172"/>
  <c r="R1649" i="172"/>
  <c r="R1827" i="172"/>
  <c r="Q1827" i="172"/>
  <c r="Q384" i="172"/>
  <c r="R384" i="172"/>
  <c r="Q375" i="172"/>
  <c r="R375" i="172"/>
  <c r="R415" i="172"/>
  <c r="Q415" i="172"/>
  <c r="R461" i="172"/>
  <c r="Q461" i="172"/>
  <c r="Q571" i="172"/>
  <c r="R571" i="172"/>
  <c r="Q621" i="172"/>
  <c r="R621" i="172"/>
  <c r="R697" i="172"/>
  <c r="Q697" i="172"/>
  <c r="Q743" i="172"/>
  <c r="R743" i="172"/>
  <c r="Q782" i="172"/>
  <c r="R782" i="172"/>
  <c r="Q824" i="172"/>
  <c r="R824" i="172"/>
  <c r="Q865" i="172"/>
  <c r="R865" i="172"/>
  <c r="R903" i="172"/>
  <c r="Q903" i="172"/>
  <c r="R998" i="172"/>
  <c r="Q998" i="172"/>
  <c r="Q1100" i="172"/>
  <c r="R1100" i="172"/>
  <c r="Q1200" i="172"/>
  <c r="R1200" i="172"/>
  <c r="R1286" i="172"/>
  <c r="Q1286" i="172"/>
  <c r="Q1410" i="172"/>
  <c r="R1410" i="172"/>
  <c r="R1448" i="172"/>
  <c r="Q1448" i="172"/>
  <c r="R1526" i="172"/>
  <c r="Q1526" i="172"/>
  <c r="R1568" i="172"/>
  <c r="Q1568" i="172"/>
  <c r="Q1661" i="172"/>
  <c r="R1661" i="172"/>
  <c r="Q1703" i="172"/>
  <c r="R1703" i="172"/>
  <c r="Q1744" i="172"/>
  <c r="R1744" i="172"/>
  <c r="R1792" i="172"/>
  <c r="Q1792" i="172"/>
  <c r="Q1838" i="172"/>
  <c r="R1838" i="172"/>
  <c r="R1912" i="172"/>
  <c r="Q1912" i="172"/>
  <c r="Q1956" i="172"/>
  <c r="R1956" i="172"/>
  <c r="Q2032" i="172"/>
  <c r="R2032" i="172"/>
  <c r="Q2168" i="172"/>
  <c r="R2168" i="172"/>
  <c r="R396" i="172"/>
  <c r="Q2295" i="172"/>
  <c r="Q2261" i="172"/>
  <c r="Q1999" i="172"/>
  <c r="Q1964" i="172"/>
  <c r="Q1884" i="172"/>
  <c r="Q1849" i="172"/>
  <c r="R1624" i="172"/>
  <c r="R1521" i="172"/>
  <c r="Q1844" i="172"/>
  <c r="Q1585" i="172"/>
  <c r="R1962" i="172"/>
  <c r="R1750" i="172"/>
  <c r="Q997" i="172"/>
  <c r="Q638" i="172"/>
  <c r="R791" i="172"/>
  <c r="Q950" i="172"/>
  <c r="R950" i="172"/>
  <c r="Q462" i="172"/>
  <c r="R462" i="172"/>
  <c r="R973" i="172"/>
  <c r="Q973" i="172"/>
  <c r="R1346" i="172"/>
  <c r="Q1346" i="172"/>
  <c r="Q1794" i="172"/>
  <c r="R1794" i="172"/>
  <c r="Q1881" i="172"/>
  <c r="R1881" i="172"/>
  <c r="Q1957" i="172"/>
  <c r="R1957" i="172"/>
  <c r="Q2252" i="172"/>
  <c r="R2252" i="172"/>
  <c r="R458" i="172"/>
  <c r="Q458" i="172"/>
  <c r="R528" i="172"/>
  <c r="Q528" i="172"/>
  <c r="Q588" i="172"/>
  <c r="R588" i="172"/>
  <c r="R636" i="172"/>
  <c r="Q636" i="172"/>
  <c r="Q675" i="172"/>
  <c r="R675" i="172"/>
  <c r="Q720" i="172"/>
  <c r="R720" i="172"/>
  <c r="Q1063" i="172"/>
  <c r="R1063" i="172"/>
  <c r="Q1190" i="172"/>
  <c r="R1190" i="172"/>
  <c r="R1277" i="172"/>
  <c r="Q1277" i="172"/>
  <c r="R1355" i="172"/>
  <c r="Q1355" i="172"/>
  <c r="Q1393" i="172"/>
  <c r="R1393" i="172"/>
  <c r="Q1433" i="172"/>
  <c r="R1433" i="172"/>
  <c r="Q1510" i="172"/>
  <c r="R1510" i="172"/>
  <c r="R1550" i="172"/>
  <c r="Q1550" i="172"/>
  <c r="Q1593" i="172"/>
  <c r="R1593" i="172"/>
  <c r="Q1643" i="172"/>
  <c r="R1643" i="172"/>
  <c r="Q1686" i="172"/>
  <c r="R1686" i="172"/>
  <c r="Q1734" i="172"/>
  <c r="R1734" i="172"/>
  <c r="R1828" i="172"/>
  <c r="Q1828" i="172"/>
  <c r="Q1865" i="172"/>
  <c r="R1865" i="172"/>
  <c r="Q1903" i="172"/>
  <c r="R1903" i="172"/>
  <c r="Q2022" i="172"/>
  <c r="R2022" i="172"/>
  <c r="Q2205" i="172"/>
  <c r="R2205" i="172"/>
  <c r="Q380" i="172"/>
  <c r="R380" i="172"/>
  <c r="R433" i="172"/>
  <c r="Q433" i="172"/>
  <c r="R491" i="172"/>
  <c r="Q491" i="172"/>
  <c r="Q598" i="172"/>
  <c r="R598" i="172"/>
  <c r="R637" i="172"/>
  <c r="Q637" i="172"/>
  <c r="Q676" i="172"/>
  <c r="R676" i="172"/>
  <c r="R715" i="172"/>
  <c r="Q715" i="172"/>
  <c r="Q761" i="172"/>
  <c r="R761" i="172"/>
  <c r="Q799" i="172"/>
  <c r="R799" i="172"/>
  <c r="R856" i="172"/>
  <c r="Q856" i="172"/>
  <c r="Q895" i="172"/>
  <c r="R895" i="172"/>
  <c r="Q935" i="172"/>
  <c r="R935" i="172"/>
  <c r="R1015" i="172"/>
  <c r="Q1015" i="172"/>
  <c r="Q1191" i="172"/>
  <c r="R1191" i="172"/>
  <c r="Q1245" i="172"/>
  <c r="R1245" i="172"/>
  <c r="Q1284" i="172"/>
  <c r="R1284" i="172"/>
  <c r="R1322" i="172"/>
  <c r="Q1322" i="172"/>
  <c r="Q1368" i="172"/>
  <c r="R1368" i="172"/>
  <c r="R1415" i="172"/>
  <c r="Q1415" i="172"/>
  <c r="R1458" i="172"/>
  <c r="Q1458" i="172"/>
  <c r="Q1504" i="172"/>
  <c r="R1504" i="172"/>
  <c r="Q1545" i="172"/>
  <c r="R1545" i="172"/>
  <c r="R1594" i="172"/>
  <c r="Q1594" i="172"/>
  <c r="Q1687" i="172"/>
  <c r="R1687" i="172"/>
  <c r="Q1735" i="172"/>
  <c r="R1735" i="172"/>
  <c r="R1782" i="172"/>
  <c r="Q1782" i="172"/>
  <c r="Q1872" i="172"/>
  <c r="R1872" i="172"/>
  <c r="Q1954" i="172"/>
  <c r="R1954" i="172"/>
  <c r="Q1992" i="172"/>
  <c r="R1992" i="172"/>
  <c r="R2030" i="172"/>
  <c r="Q2030" i="172"/>
  <c r="Q2132" i="172"/>
  <c r="R2132" i="172"/>
  <c r="Q2180" i="172"/>
  <c r="R2180" i="172"/>
  <c r="R2220" i="172"/>
  <c r="Q2220" i="172"/>
  <c r="R2271" i="172"/>
  <c r="Q2271" i="172"/>
  <c r="Q1952" i="172"/>
  <c r="R1952" i="172"/>
  <c r="Q1990" i="172"/>
  <c r="R1990" i="172"/>
  <c r="R2070" i="172"/>
  <c r="Q2070" i="172"/>
  <c r="Q2122" i="172"/>
  <c r="R2122" i="172"/>
  <c r="Q112" i="172"/>
  <c r="R112" i="172"/>
  <c r="R2255" i="172"/>
  <c r="Q2286" i="172"/>
  <c r="R2181" i="172"/>
  <c r="R1995" i="172"/>
  <c r="R1937" i="172"/>
  <c r="Q2044" i="172"/>
  <c r="Q1880" i="172"/>
  <c r="Q1975" i="172"/>
  <c r="Q1845" i="172"/>
  <c r="R1723" i="172"/>
  <c r="R1615" i="172"/>
  <c r="Q1997" i="172"/>
  <c r="Q1836" i="172"/>
  <c r="R1717" i="172"/>
  <c r="R1438" i="172"/>
  <c r="R1756" i="172"/>
  <c r="Q909" i="172"/>
  <c r="Q1372" i="172"/>
  <c r="R634" i="172"/>
  <c r="Q758" i="172"/>
  <c r="R758" i="172"/>
  <c r="Q961" i="172"/>
  <c r="R961" i="172"/>
  <c r="R797" i="172"/>
  <c r="Q797" i="172"/>
  <c r="R373" i="172"/>
  <c r="Q373" i="172"/>
  <c r="Q677" i="172"/>
  <c r="R677" i="172"/>
  <c r="Q762" i="172"/>
  <c r="R762" i="172"/>
  <c r="R1924" i="172"/>
  <c r="Q1924" i="172"/>
  <c r="R1635" i="172"/>
  <c r="Q1635" i="172"/>
  <c r="R1196" i="172"/>
  <c r="Q1196" i="172"/>
  <c r="R641" i="172"/>
  <c r="Q641" i="172"/>
  <c r="Q647" i="172"/>
  <c r="R647" i="172"/>
  <c r="R879" i="172"/>
  <c r="Q879" i="172"/>
  <c r="R1229" i="172"/>
  <c r="Q1229" i="172"/>
  <c r="R1390" i="172"/>
  <c r="Q1390" i="172"/>
  <c r="Q1704" i="172"/>
  <c r="R1704" i="172"/>
  <c r="Q464" i="172"/>
  <c r="R464" i="172"/>
  <c r="Q1354" i="172"/>
  <c r="R1354" i="172"/>
  <c r="R857" i="172"/>
  <c r="Q857" i="172"/>
  <c r="Q1546" i="172"/>
  <c r="R1546" i="172"/>
  <c r="Q1855" i="172"/>
  <c r="R1855" i="172"/>
  <c r="R2147" i="172"/>
  <c r="Q2147" i="172"/>
  <c r="R968" i="172"/>
  <c r="Q968" i="172"/>
  <c r="R925" i="172"/>
  <c r="Q925" i="172"/>
  <c r="R382" i="172"/>
  <c r="Q382" i="172"/>
  <c r="R1292" i="172"/>
  <c r="Q1292" i="172"/>
  <c r="Q272" i="172"/>
  <c r="R272" i="172"/>
  <c r="R2159" i="172"/>
  <c r="R2052" i="172"/>
  <c r="R1919" i="172"/>
  <c r="Q2028" i="172"/>
  <c r="Q1824" i="172"/>
  <c r="Q1596" i="172"/>
  <c r="Q916" i="172"/>
  <c r="Q1337" i="172"/>
  <c r="R369" i="172"/>
  <c r="Q369" i="172"/>
  <c r="R661" i="172"/>
  <c r="Q661" i="172"/>
  <c r="Q1034" i="172"/>
  <c r="R1034" i="172"/>
  <c r="Q1384" i="172"/>
  <c r="R1384" i="172"/>
  <c r="Q476" i="172"/>
  <c r="R476" i="172"/>
  <c r="Q853" i="172"/>
  <c r="R853" i="172"/>
  <c r="R1262" i="172"/>
  <c r="Q1262" i="172"/>
  <c r="Q376" i="172"/>
  <c r="R376" i="172"/>
  <c r="R410" i="172"/>
  <c r="Q410" i="172"/>
  <c r="Q468" i="172"/>
  <c r="R468" i="172"/>
  <c r="R520" i="172"/>
  <c r="Q520" i="172"/>
  <c r="Q608" i="172"/>
  <c r="R608" i="172"/>
  <c r="Q705" i="172"/>
  <c r="R705" i="172"/>
  <c r="R744" i="172"/>
  <c r="Q744" i="172"/>
  <c r="R796" i="172"/>
  <c r="Q796" i="172"/>
  <c r="Q839" i="172"/>
  <c r="R839" i="172"/>
  <c r="Q886" i="172"/>
  <c r="R886" i="172"/>
  <c r="R931" i="172"/>
  <c r="Q931" i="172"/>
  <c r="Q1068" i="172"/>
  <c r="R1068" i="172"/>
  <c r="R1155" i="172"/>
  <c r="Q1155" i="172"/>
  <c r="Q1195" i="172"/>
  <c r="R1195" i="172"/>
  <c r="Q1235" i="172"/>
  <c r="R1235" i="172"/>
  <c r="Q1274" i="172"/>
  <c r="R1274" i="172"/>
  <c r="Q1312" i="172"/>
  <c r="R1312" i="172"/>
  <c r="R1352" i="172"/>
  <c r="Q1352" i="172"/>
  <c r="R1397" i="172"/>
  <c r="Q1397" i="172"/>
  <c r="R1437" i="172"/>
  <c r="Q1437" i="172"/>
  <c r="Q1473" i="172"/>
  <c r="R1473" i="172"/>
  <c r="R1527" i="172"/>
  <c r="Q1527" i="172"/>
  <c r="Q1577" i="172"/>
  <c r="R1577" i="172"/>
  <c r="Q1711" i="172"/>
  <c r="R1711" i="172"/>
  <c r="R1803" i="172"/>
  <c r="Q1803" i="172"/>
  <c r="Q1851" i="172"/>
  <c r="R1851" i="172"/>
  <c r="Q1887" i="172"/>
  <c r="R1887" i="172"/>
  <c r="Q1963" i="172"/>
  <c r="R1963" i="172"/>
  <c r="Q2001" i="172"/>
  <c r="R2001" i="172"/>
  <c r="Q2157" i="172"/>
  <c r="R2157" i="172"/>
  <c r="Q2210" i="172"/>
  <c r="R2210" i="172"/>
  <c r="Q2260" i="172"/>
  <c r="R2260" i="172"/>
  <c r="Q412" i="172"/>
  <c r="R412" i="172"/>
  <c r="R478" i="172"/>
  <c r="Q478" i="172"/>
  <c r="R535" i="172"/>
  <c r="Q535" i="172"/>
  <c r="Q643" i="172"/>
  <c r="R643" i="172"/>
  <c r="Q688" i="172"/>
  <c r="R688" i="172"/>
  <c r="R727" i="172"/>
  <c r="Q727" i="172"/>
  <c r="R766" i="172"/>
  <c r="Q766" i="172"/>
  <c r="R805" i="172"/>
  <c r="Q805" i="172"/>
  <c r="Q855" i="172"/>
  <c r="R855" i="172"/>
  <c r="R1028" i="172"/>
  <c r="Q1028" i="172"/>
  <c r="R1110" i="172"/>
  <c r="Q1110" i="172"/>
  <c r="R1158" i="172"/>
  <c r="Q1158" i="172"/>
  <c r="Q1283" i="172"/>
  <c r="R1283" i="172"/>
  <c r="Q1399" i="172"/>
  <c r="R1399" i="172"/>
  <c r="R1439" i="172"/>
  <c r="Q1439" i="172"/>
  <c r="R1601" i="172"/>
  <c r="Q1601" i="172"/>
  <c r="R1741" i="172"/>
  <c r="Q1741" i="172"/>
  <c r="Q1781" i="172"/>
  <c r="R1781" i="172"/>
  <c r="Q1835" i="172"/>
  <c r="R1835" i="172"/>
  <c r="Q1871" i="172"/>
  <c r="R1871" i="172"/>
  <c r="Q1909" i="172"/>
  <c r="R1909" i="172"/>
  <c r="Q1991" i="172"/>
  <c r="R1991" i="172"/>
  <c r="R2117" i="172"/>
  <c r="Q2117" i="172"/>
  <c r="R2172" i="172"/>
  <c r="Q2172" i="172"/>
  <c r="Q516" i="172"/>
  <c r="R516" i="172"/>
  <c r="R439" i="172"/>
  <c r="Q439" i="172"/>
  <c r="Q498" i="172"/>
  <c r="R498" i="172"/>
  <c r="Q605" i="172"/>
  <c r="R605" i="172"/>
  <c r="R644" i="172"/>
  <c r="Q644" i="172"/>
  <c r="Q683" i="172"/>
  <c r="R683" i="172"/>
  <c r="Q728" i="172"/>
  <c r="R728" i="172"/>
  <c r="R767" i="172"/>
  <c r="Q767" i="172"/>
  <c r="R807" i="172"/>
  <c r="Q807" i="172"/>
  <c r="Q863" i="172"/>
  <c r="R863" i="172"/>
  <c r="R901" i="172"/>
  <c r="Q901" i="172"/>
  <c r="Q942" i="172"/>
  <c r="R942" i="172"/>
  <c r="Q984" i="172"/>
  <c r="R984" i="172"/>
  <c r="R1072" i="172"/>
  <c r="Q1072" i="172"/>
  <c r="R1118" i="172"/>
  <c r="Q1118" i="172"/>
  <c r="R1159" i="172"/>
  <c r="Q1159" i="172"/>
  <c r="Q1204" i="172"/>
  <c r="R1204" i="172"/>
  <c r="Q1251" i="172"/>
  <c r="R1251" i="172"/>
  <c r="R1328" i="172"/>
  <c r="Q1328" i="172"/>
  <c r="Q1421" i="172"/>
  <c r="R1421" i="172"/>
  <c r="Q1464" i="172"/>
  <c r="R1464" i="172"/>
  <c r="R1559" i="172"/>
  <c r="Q1559" i="172"/>
  <c r="Q1602" i="172"/>
  <c r="R1602" i="172"/>
  <c r="Q1644" i="172"/>
  <c r="R1644" i="172"/>
  <c r="Q1694" i="172"/>
  <c r="R1694" i="172"/>
  <c r="Q1742" i="172"/>
  <c r="R1742" i="172"/>
  <c r="Q1790" i="172"/>
  <c r="R1790" i="172"/>
  <c r="Q1878" i="172"/>
  <c r="R1878" i="172"/>
  <c r="R1923" i="172"/>
  <c r="Q1923" i="172"/>
  <c r="R2036" i="172"/>
  <c r="Q2036" i="172"/>
  <c r="R2146" i="172"/>
  <c r="Q2146" i="172"/>
  <c r="R2186" i="172"/>
  <c r="Q2186" i="172"/>
  <c r="Q699" i="172"/>
  <c r="R699" i="172"/>
  <c r="R2225" i="172"/>
  <c r="Q2225" i="172"/>
  <c r="Q101" i="172"/>
  <c r="Q2154" i="172"/>
  <c r="R2033" i="172"/>
  <c r="Q1973" i="172"/>
  <c r="R2230" i="172"/>
  <c r="Q2134" i="172"/>
  <c r="Q1801" i="172"/>
  <c r="R1532" i="172"/>
  <c r="Q1716" i="172"/>
  <c r="R1469" i="172"/>
  <c r="R1673" i="172"/>
  <c r="R1077" i="172"/>
  <c r="R1330" i="172"/>
  <c r="R764" i="172"/>
  <c r="Q714" i="172"/>
  <c r="R515" i="172"/>
  <c r="Q515" i="172"/>
  <c r="Q1733" i="172"/>
  <c r="R1733" i="172"/>
  <c r="Q632" i="172"/>
  <c r="R632" i="172"/>
  <c r="Q808" i="172"/>
  <c r="R808" i="172"/>
  <c r="Q1329" i="172"/>
  <c r="R1329" i="172"/>
  <c r="Q1582" i="172"/>
  <c r="R1582" i="172"/>
  <c r="R1340" i="172"/>
  <c r="Q1340" i="172"/>
  <c r="Q1705" i="172"/>
  <c r="R1705" i="172"/>
  <c r="Q692" i="172"/>
  <c r="R692" i="172"/>
  <c r="Q1011" i="172"/>
  <c r="R1011" i="172"/>
  <c r="Q784" i="172"/>
  <c r="R784" i="172"/>
  <c r="Q1870" i="172"/>
  <c r="R1870" i="172"/>
  <c r="Q1027" i="172"/>
  <c r="R1027" i="172"/>
  <c r="Q1236" i="172"/>
  <c r="R1236" i="172"/>
  <c r="R381" i="172"/>
  <c r="Q381" i="172"/>
  <c r="Q599" i="172"/>
  <c r="R599" i="172"/>
  <c r="R814" i="172"/>
  <c r="Q814" i="172"/>
  <c r="Q1099" i="172"/>
  <c r="R1099" i="172"/>
  <c r="R1381" i="172"/>
  <c r="Q1381" i="172"/>
  <c r="Q1681" i="172"/>
  <c r="R1681" i="172"/>
  <c r="Q168" i="172"/>
  <c r="Q15" i="172"/>
  <c r="R2272" i="172"/>
  <c r="R2289" i="172"/>
  <c r="Q2232" i="172"/>
  <c r="Q2273" i="172"/>
  <c r="R1969" i="172"/>
  <c r="Q1808" i="172"/>
  <c r="Q1863" i="172"/>
  <c r="R1688" i="172"/>
  <c r="Q1465" i="172"/>
  <c r="Q1668" i="172"/>
  <c r="R1035" i="172"/>
  <c r="R686" i="172"/>
  <c r="R960" i="172"/>
  <c r="Q960" i="172"/>
  <c r="Q1109" i="172"/>
  <c r="R1109" i="172"/>
  <c r="Q1858" i="172"/>
  <c r="R1858" i="172"/>
  <c r="Q1391" i="172"/>
  <c r="R1391" i="172"/>
  <c r="Q550" i="172"/>
  <c r="R550" i="172"/>
  <c r="R722" i="172"/>
  <c r="Q722" i="172"/>
  <c r="Q1133" i="172"/>
  <c r="R1133" i="172"/>
  <c r="Q1253" i="172"/>
  <c r="R1253" i="172"/>
  <c r="Q1539" i="172"/>
  <c r="R1539" i="172"/>
  <c r="Q2229" i="172"/>
  <c r="R2229" i="172"/>
  <c r="Q975" i="172"/>
  <c r="R975" i="172"/>
  <c r="R602" i="172"/>
  <c r="Q602" i="172"/>
  <c r="R738" i="172"/>
  <c r="Q738" i="172"/>
  <c r="R924" i="172"/>
  <c r="Q924" i="172"/>
  <c r="R1101" i="172"/>
  <c r="Q1101" i="172"/>
  <c r="Q1305" i="172"/>
  <c r="R1305" i="172"/>
  <c r="Q1745" i="172"/>
  <c r="R1745" i="172"/>
  <c r="Q1103" i="172"/>
  <c r="R1103" i="172"/>
  <c r="R954" i="172"/>
  <c r="Q954" i="172"/>
  <c r="Q1759" i="172"/>
  <c r="R1759" i="172"/>
  <c r="Q629" i="172"/>
  <c r="R629" i="172"/>
  <c r="Q1656" i="172"/>
  <c r="R1656" i="172"/>
  <c r="Q861" i="172"/>
  <c r="R861" i="172"/>
  <c r="Q1766" i="172"/>
  <c r="R1766" i="172"/>
  <c r="Q768" i="172"/>
  <c r="R768" i="172"/>
  <c r="Q1003" i="172"/>
  <c r="R1003" i="172"/>
  <c r="R1179" i="172"/>
  <c r="Q1179" i="172"/>
  <c r="Q1335" i="172"/>
  <c r="R1335" i="172"/>
  <c r="R1497" i="172"/>
  <c r="Q1497" i="172"/>
  <c r="Q2005" i="172"/>
  <c r="R2005" i="172"/>
  <c r="R1294" i="172"/>
  <c r="Q1294" i="172"/>
  <c r="Q1157" i="172"/>
  <c r="R1157" i="172"/>
  <c r="Q474" i="172"/>
  <c r="R474" i="172"/>
  <c r="R627" i="172"/>
  <c r="Q627" i="172"/>
  <c r="Q789" i="172"/>
  <c r="R789" i="172"/>
  <c r="R1376" i="172"/>
  <c r="Q1376" i="172"/>
  <c r="Q1625" i="172"/>
  <c r="R1625" i="172"/>
  <c r="R2000" i="172"/>
  <c r="Q2000" i="172"/>
  <c r="R819" i="172"/>
  <c r="Q819" i="172"/>
  <c r="Q1163" i="172"/>
  <c r="R1163" i="172"/>
  <c r="Q443" i="172"/>
  <c r="R443" i="172"/>
  <c r="Q1921" i="172"/>
  <c r="R1921" i="172"/>
  <c r="Q395" i="172"/>
  <c r="R395" i="172"/>
  <c r="Q524" i="172"/>
  <c r="R524" i="172"/>
  <c r="R774" i="172"/>
  <c r="Q774" i="172"/>
  <c r="R1065" i="172"/>
  <c r="Q1065" i="172"/>
  <c r="Q1185" i="172"/>
  <c r="R1185" i="172"/>
  <c r="Q1388" i="172"/>
  <c r="R1388" i="172"/>
  <c r="Q1861" i="172"/>
  <c r="R1861" i="172"/>
  <c r="R2112" i="172"/>
  <c r="Q2112" i="172"/>
  <c r="R1020" i="172"/>
  <c r="Q1020" i="172"/>
  <c r="Q1663" i="172"/>
  <c r="R1663" i="172"/>
  <c r="R981" i="172"/>
  <c r="Q981" i="172"/>
  <c r="Q1719" i="172"/>
  <c r="R1719" i="172"/>
  <c r="R388" i="172"/>
  <c r="Q388" i="172"/>
  <c r="R671" i="172"/>
  <c r="Q671" i="172"/>
  <c r="Q878" i="172"/>
  <c r="R878" i="172"/>
  <c r="Q1018" i="172"/>
  <c r="R1018" i="172"/>
  <c r="R1214" i="172"/>
  <c r="Q1214" i="172"/>
  <c r="Q1382" i="172"/>
  <c r="R1382" i="172"/>
  <c r="Q1460" i="172"/>
  <c r="R1460" i="172"/>
  <c r="Q1432" i="172"/>
  <c r="R1432" i="172"/>
  <c r="R457" i="172"/>
  <c r="Q457" i="172"/>
  <c r="Q383" i="172"/>
  <c r="R383" i="172"/>
  <c r="Q526" i="172"/>
  <c r="R526" i="172"/>
  <c r="Q712" i="172"/>
  <c r="R712" i="172"/>
  <c r="Q803" i="172"/>
  <c r="R803" i="172"/>
  <c r="R892" i="172"/>
  <c r="Q892" i="172"/>
  <c r="Q1281" i="172"/>
  <c r="R1281" i="172"/>
  <c r="Q1319" i="172"/>
  <c r="R1319" i="172"/>
  <c r="Q1404" i="172"/>
  <c r="R1404" i="172"/>
  <c r="Q1534" i="172"/>
  <c r="R1534" i="172"/>
  <c r="Q1584" i="172"/>
  <c r="R1584" i="172"/>
  <c r="R1626" i="172"/>
  <c r="Q1626" i="172"/>
  <c r="R1669" i="172"/>
  <c r="Q1669" i="172"/>
  <c r="Q1718" i="172"/>
  <c r="R1718" i="172"/>
  <c r="Q1811" i="172"/>
  <c r="R1811" i="172"/>
  <c r="Q1933" i="172"/>
  <c r="R1933" i="172"/>
  <c r="R2054" i="172"/>
  <c r="Q2054" i="172"/>
  <c r="Q418" i="172"/>
  <c r="R418" i="172"/>
  <c r="Q490" i="172"/>
  <c r="R490" i="172"/>
  <c r="R542" i="172"/>
  <c r="Q542" i="172"/>
  <c r="Q604" i="172"/>
  <c r="R604" i="172"/>
  <c r="R734" i="172"/>
  <c r="Q734" i="172"/>
  <c r="R772" i="172"/>
  <c r="Q772" i="172"/>
  <c r="Q812" i="172"/>
  <c r="R812" i="172"/>
  <c r="R862" i="172"/>
  <c r="Q862" i="172"/>
  <c r="Q907" i="172"/>
  <c r="R907" i="172"/>
  <c r="R955" i="172"/>
  <c r="Q955" i="172"/>
  <c r="R1250" i="172"/>
  <c r="Q1250" i="172"/>
  <c r="Q1367" i="172"/>
  <c r="R1367" i="172"/>
  <c r="Q1482" i="172"/>
  <c r="R1482" i="172"/>
  <c r="R1523" i="172"/>
  <c r="Q1523" i="172"/>
  <c r="R1747" i="172"/>
  <c r="Q1747" i="172"/>
  <c r="Q1789" i="172"/>
  <c r="R1789" i="172"/>
  <c r="Q2035" i="172"/>
  <c r="R2035" i="172"/>
  <c r="Q2080" i="172"/>
  <c r="R2080" i="172"/>
  <c r="R548" i="172"/>
  <c r="Q548" i="172"/>
  <c r="Q394" i="172"/>
  <c r="R394" i="172"/>
  <c r="R452" i="172"/>
  <c r="Q452" i="172"/>
  <c r="R505" i="172"/>
  <c r="Q505" i="172"/>
  <c r="R562" i="172"/>
  <c r="Q562" i="172"/>
  <c r="Q612" i="172"/>
  <c r="R612" i="172"/>
  <c r="Q651" i="172"/>
  <c r="R651" i="172"/>
  <c r="R689" i="172"/>
  <c r="Q689" i="172"/>
  <c r="Q735" i="172"/>
  <c r="R735" i="172"/>
  <c r="Q829" i="172"/>
  <c r="R829" i="172"/>
  <c r="Q869" i="172"/>
  <c r="R869" i="172"/>
  <c r="R990" i="172"/>
  <c r="Q990" i="172"/>
  <c r="Q1085" i="172"/>
  <c r="R1085" i="172"/>
  <c r="R1124" i="172"/>
  <c r="Q1124" i="172"/>
  <c r="R1166" i="172"/>
  <c r="Q1166" i="172"/>
  <c r="Q1212" i="172"/>
  <c r="R1212" i="172"/>
  <c r="R1296" i="172"/>
  <c r="Q1296" i="172"/>
  <c r="R1342" i="172"/>
  <c r="Q1342" i="172"/>
  <c r="Q1380" i="172"/>
  <c r="R1380" i="172"/>
  <c r="R1428" i="172"/>
  <c r="Q1428" i="172"/>
  <c r="R1470" i="172"/>
  <c r="Q1470" i="172"/>
  <c r="R1518" i="172"/>
  <c r="Q1518" i="172"/>
  <c r="Q1566" i="172"/>
  <c r="R1566" i="172"/>
  <c r="R1608" i="172"/>
  <c r="Q1608" i="172"/>
  <c r="Q1652" i="172"/>
  <c r="R1652" i="172"/>
  <c r="Q1701" i="172"/>
  <c r="R1701" i="172"/>
  <c r="Q1748" i="172"/>
  <c r="R1748" i="172"/>
  <c r="Q1806" i="172"/>
  <c r="R1806" i="172"/>
  <c r="Q1930" i="172"/>
  <c r="R1930" i="172"/>
  <c r="Q1966" i="172"/>
  <c r="R1966" i="172"/>
  <c r="Q2004" i="172"/>
  <c r="R2004" i="172"/>
  <c r="Q2042" i="172"/>
  <c r="R2042" i="172"/>
  <c r="R2153" i="172"/>
  <c r="Q2153" i="172"/>
  <c r="R2194" i="172"/>
  <c r="Q2194" i="172"/>
  <c r="Q484" i="172"/>
  <c r="R484" i="172"/>
  <c r="R2040" i="172"/>
  <c r="Q2040" i="172"/>
  <c r="R2088" i="172"/>
  <c r="Q2088" i="172"/>
  <c r="R2136" i="172"/>
  <c r="Q2136" i="172"/>
  <c r="Q456" i="172"/>
  <c r="R456" i="172"/>
  <c r="Q470" i="172"/>
  <c r="R470" i="172"/>
  <c r="R673" i="172"/>
  <c r="Q673" i="172"/>
  <c r="R847" i="172"/>
  <c r="Q847" i="172"/>
  <c r="Q1444" i="172"/>
  <c r="R1444" i="172"/>
  <c r="Q437" i="172"/>
  <c r="R437" i="172"/>
  <c r="Q1468" i="172"/>
  <c r="R1468" i="172"/>
  <c r="Q502" i="172"/>
  <c r="R502" i="172"/>
  <c r="Q1000" i="172"/>
  <c r="R1000" i="172"/>
  <c r="Q1320" i="172"/>
  <c r="R1320" i="172"/>
  <c r="R402" i="172"/>
  <c r="Q402" i="172"/>
  <c r="Q447" i="172"/>
  <c r="R447" i="172"/>
  <c r="Q492" i="172"/>
  <c r="R492" i="172"/>
  <c r="R570" i="172"/>
  <c r="Q570" i="172"/>
  <c r="Q613" i="172"/>
  <c r="R613" i="172"/>
  <c r="Q652" i="172"/>
  <c r="R652" i="172"/>
  <c r="Q703" i="172"/>
  <c r="R703" i="172"/>
  <c r="R742" i="172"/>
  <c r="Q742" i="172"/>
  <c r="R870" i="172"/>
  <c r="Q870" i="172"/>
  <c r="R978" i="172"/>
  <c r="Q978" i="172"/>
  <c r="Q1023" i="172"/>
  <c r="R1023" i="172"/>
  <c r="R1113" i="172"/>
  <c r="Q1113" i="172"/>
  <c r="R1153" i="172"/>
  <c r="Q1153" i="172"/>
  <c r="Q1193" i="172"/>
  <c r="R1193" i="172"/>
  <c r="R1233" i="172"/>
  <c r="Q1233" i="172"/>
  <c r="R1310" i="172"/>
  <c r="Q1310" i="172"/>
  <c r="Q1357" i="172"/>
  <c r="R1357" i="172"/>
  <c r="Q1435" i="172"/>
  <c r="R1435" i="172"/>
  <c r="Q1471" i="172"/>
  <c r="R1471" i="172"/>
  <c r="Q1512" i="172"/>
  <c r="R1512" i="172"/>
  <c r="Q1603" i="172"/>
  <c r="R1603" i="172"/>
  <c r="Q1867" i="172"/>
  <c r="R1867" i="172"/>
  <c r="Q1905" i="172"/>
  <c r="R1905" i="172"/>
  <c r="Q1980" i="172"/>
  <c r="R1980" i="172"/>
  <c r="R2201" i="172"/>
  <c r="Q2201" i="172"/>
  <c r="Q707" i="172"/>
  <c r="R707" i="172"/>
  <c r="R1083" i="172"/>
  <c r="Q1083" i="172"/>
  <c r="Q1405" i="172"/>
  <c r="R1405" i="172"/>
  <c r="R635" i="172"/>
  <c r="Q635" i="172"/>
  <c r="Q811" i="172"/>
  <c r="R811" i="172"/>
  <c r="R1216" i="172"/>
  <c r="Q1216" i="172"/>
  <c r="Q1535" i="172"/>
  <c r="R1535" i="172"/>
  <c r="Q1740" i="172"/>
  <c r="R1740" i="172"/>
  <c r="Q1882" i="172"/>
  <c r="R1882" i="172"/>
  <c r="R441" i="172"/>
  <c r="Q441" i="172"/>
  <c r="Q500" i="172"/>
  <c r="R500" i="172"/>
  <c r="R593" i="172"/>
  <c r="Q593" i="172"/>
  <c r="R639" i="172"/>
  <c r="Q639" i="172"/>
  <c r="R678" i="172"/>
  <c r="Q678" i="172"/>
  <c r="Q717" i="172"/>
  <c r="R717" i="172"/>
  <c r="R801" i="172"/>
  <c r="Q801" i="172"/>
  <c r="R845" i="172"/>
  <c r="Q845" i="172"/>
  <c r="Q885" i="172"/>
  <c r="R885" i="172"/>
  <c r="R937" i="172"/>
  <c r="Q937" i="172"/>
  <c r="Q979" i="172"/>
  <c r="R979" i="172"/>
  <c r="R1032" i="172"/>
  <c r="Q1032" i="172"/>
  <c r="R1074" i="172"/>
  <c r="Q1074" i="172"/>
  <c r="R1221" i="172"/>
  <c r="Q1221" i="172"/>
  <c r="R1260" i="172"/>
  <c r="Q1260" i="172"/>
  <c r="R1311" i="172"/>
  <c r="Q1311" i="172"/>
  <c r="Q1351" i="172"/>
  <c r="R1351" i="172"/>
  <c r="Q1389" i="172"/>
  <c r="R1389" i="172"/>
  <c r="R1430" i="172"/>
  <c r="Q1430" i="172"/>
  <c r="Q1466" i="172"/>
  <c r="R1466" i="172"/>
  <c r="Q1506" i="172"/>
  <c r="R1506" i="172"/>
  <c r="Q1547" i="172"/>
  <c r="R1547" i="172"/>
  <c r="R1597" i="172"/>
  <c r="Q1597" i="172"/>
  <c r="R1640" i="172"/>
  <c r="Q1640" i="172"/>
  <c r="Q1682" i="172"/>
  <c r="R1682" i="172"/>
  <c r="Q1724" i="172"/>
  <c r="R1724" i="172"/>
  <c r="Q1764" i="172"/>
  <c r="R1764" i="172"/>
  <c r="Q1856" i="172"/>
  <c r="R1856" i="172"/>
  <c r="Q1893" i="172"/>
  <c r="R1893" i="172"/>
  <c r="R1974" i="172"/>
  <c r="Q1974" i="172"/>
  <c r="Q2012" i="172"/>
  <c r="R2012" i="172"/>
  <c r="R2148" i="172"/>
  <c r="Q2148" i="172"/>
  <c r="Q2302" i="172"/>
  <c r="Q2267" i="172"/>
  <c r="R2218" i="172"/>
  <c r="R2236" i="172"/>
  <c r="Q2202" i="172"/>
  <c r="R2106" i="172"/>
  <c r="Q2002" i="172"/>
  <c r="R1914" i="172"/>
  <c r="R2100" i="172"/>
  <c r="Q1891" i="172"/>
  <c r="R1775" i="172"/>
  <c r="Q1662" i="172"/>
  <c r="Q1567" i="172"/>
  <c r="Q1451" i="172"/>
  <c r="R2129" i="172"/>
  <c r="Q1896" i="172"/>
  <c r="R1762" i="172"/>
  <c r="Q1637" i="172"/>
  <c r="R1492" i="172"/>
  <c r="Q2090" i="172"/>
  <c r="R1831" i="172"/>
  <c r="Q1655" i="172"/>
  <c r="Q1411" i="172"/>
  <c r="R1916" i="172"/>
  <c r="Q1508" i="172"/>
  <c r="R1021" i="172"/>
  <c r="R1151" i="172"/>
  <c r="R681" i="172"/>
  <c r="Q472" i="172"/>
  <c r="R603" i="172"/>
  <c r="Q603" i="172"/>
  <c r="R1876" i="172"/>
  <c r="Q1876" i="172"/>
  <c r="Q486" i="172"/>
  <c r="R486" i="172"/>
  <c r="Q1898" i="172"/>
  <c r="R1898" i="172"/>
  <c r="Q648" i="172"/>
  <c r="R648" i="172"/>
  <c r="Q777" i="172"/>
  <c r="R777" i="172"/>
  <c r="Q496" i="172"/>
  <c r="R496" i="172"/>
  <c r="R838" i="172"/>
  <c r="Q838" i="172"/>
  <c r="R704" i="172"/>
  <c r="Q1165" i="172"/>
  <c r="R1165" i="172"/>
  <c r="Q450" i="172"/>
  <c r="R450" i="172"/>
  <c r="R771" i="172"/>
  <c r="Q771" i="172"/>
  <c r="Q1480" i="172"/>
  <c r="R1480" i="172"/>
  <c r="Q586" i="172"/>
  <c r="R586" i="172"/>
  <c r="Q988" i="172"/>
  <c r="R988" i="172"/>
  <c r="Q1378" i="172"/>
  <c r="R1378" i="172"/>
  <c r="R390" i="172"/>
  <c r="Q390" i="172"/>
  <c r="Q1009" i="172"/>
  <c r="R1009" i="172"/>
  <c r="Q429" i="172"/>
  <c r="R429" i="172"/>
  <c r="R482" i="172"/>
  <c r="Q482" i="172"/>
  <c r="R532" i="172"/>
  <c r="Q532" i="172"/>
  <c r="Q622" i="172"/>
  <c r="R622" i="172"/>
  <c r="Q718" i="172"/>
  <c r="R718" i="172"/>
  <c r="Q810" i="172"/>
  <c r="R810" i="172"/>
  <c r="Q898" i="172"/>
  <c r="R898" i="172"/>
  <c r="Q945" i="172"/>
  <c r="R945" i="172"/>
  <c r="Q993" i="172"/>
  <c r="R993" i="172"/>
  <c r="Q1033" i="172"/>
  <c r="R1033" i="172"/>
  <c r="Q1082" i="172"/>
  <c r="R1082" i="172"/>
  <c r="Q1121" i="172"/>
  <c r="R1121" i="172"/>
  <c r="Q1169" i="172"/>
  <c r="R1169" i="172"/>
  <c r="Q1208" i="172"/>
  <c r="R1208" i="172"/>
  <c r="Q1287" i="172"/>
  <c r="R1287" i="172"/>
  <c r="R1325" i="172"/>
  <c r="Q1325" i="172"/>
  <c r="Q1449" i="172"/>
  <c r="R1449" i="172"/>
  <c r="Q1541" i="172"/>
  <c r="R1541" i="172"/>
  <c r="Q1634" i="172"/>
  <c r="R1634" i="172"/>
  <c r="R1901" i="172"/>
  <c r="Q1901" i="172"/>
  <c r="Q1939" i="172"/>
  <c r="R1939" i="172"/>
  <c r="Q2062" i="172"/>
  <c r="R2062" i="172"/>
  <c r="R2177" i="172"/>
  <c r="Q2177" i="172"/>
  <c r="Q432" i="172"/>
  <c r="R432" i="172"/>
  <c r="Q611" i="172"/>
  <c r="R611" i="172"/>
  <c r="Q656" i="172"/>
  <c r="R656" i="172"/>
  <c r="Q701" i="172"/>
  <c r="R701" i="172"/>
  <c r="Q740" i="172"/>
  <c r="R740" i="172"/>
  <c r="R779" i="172"/>
  <c r="Q779" i="172"/>
  <c r="R820" i="172"/>
  <c r="Q820" i="172"/>
  <c r="Q868" i="172"/>
  <c r="R868" i="172"/>
  <c r="Q962" i="172"/>
  <c r="R962" i="172"/>
  <c r="R1042" i="172"/>
  <c r="Q1042" i="172"/>
  <c r="R1171" i="172"/>
  <c r="Q1171" i="172"/>
  <c r="Q1257" i="172"/>
  <c r="R1257" i="172"/>
  <c r="Q1295" i="172"/>
  <c r="R1295" i="172"/>
  <c r="Q1373" i="172"/>
  <c r="R1373" i="172"/>
  <c r="Q1572" i="172"/>
  <c r="R1572" i="172"/>
  <c r="R1622" i="172"/>
  <c r="Q1622" i="172"/>
  <c r="Q1664" i="172"/>
  <c r="R1664" i="172"/>
  <c r="Q1797" i="172"/>
  <c r="R1797" i="172"/>
  <c r="R1847" i="172"/>
  <c r="Q1847" i="172"/>
  <c r="R1959" i="172"/>
  <c r="Q1959" i="172"/>
  <c r="Q401" i="172"/>
  <c r="R401" i="172"/>
  <c r="Q523" i="172"/>
  <c r="R523" i="172"/>
  <c r="Q569" i="172"/>
  <c r="R569" i="172"/>
  <c r="R619" i="172"/>
  <c r="Q619" i="172"/>
  <c r="Q657" i="172"/>
  <c r="R657" i="172"/>
  <c r="Q695" i="172"/>
  <c r="R695" i="172"/>
  <c r="R741" i="172"/>
  <c r="Q741" i="172"/>
  <c r="R780" i="172"/>
  <c r="Q780" i="172"/>
  <c r="Q835" i="172"/>
  <c r="R835" i="172"/>
  <c r="Q875" i="172"/>
  <c r="R875" i="172"/>
  <c r="Q915" i="172"/>
  <c r="R915" i="172"/>
  <c r="R956" i="172"/>
  <c r="Q956" i="172"/>
  <c r="R996" i="172"/>
  <c r="Q996" i="172"/>
  <c r="R1092" i="172"/>
  <c r="Q1092" i="172"/>
  <c r="Q1226" i="172"/>
  <c r="R1226" i="172"/>
  <c r="R1264" i="172"/>
  <c r="Q1264" i="172"/>
  <c r="R1302" i="172"/>
  <c r="Q1302" i="172"/>
  <c r="Q1349" i="172"/>
  <c r="R1349" i="172"/>
  <c r="R1387" i="172"/>
  <c r="Q1387" i="172"/>
  <c r="Q1434" i="172"/>
  <c r="R1434" i="172"/>
  <c r="R1476" i="172"/>
  <c r="Q1476" i="172"/>
  <c r="Q1524" i="172"/>
  <c r="R1524" i="172"/>
  <c r="R1573" i="172"/>
  <c r="Q1573" i="172"/>
  <c r="R1616" i="172"/>
  <c r="Q1616" i="172"/>
  <c r="R1659" i="172"/>
  <c r="Q1659" i="172"/>
  <c r="R1707" i="172"/>
  <c r="Q1707" i="172"/>
  <c r="Q1755" i="172"/>
  <c r="R1755" i="172"/>
  <c r="Q1815" i="172"/>
  <c r="R1815" i="172"/>
  <c r="Q1854" i="172"/>
  <c r="R1854" i="172"/>
  <c r="Q1897" i="172"/>
  <c r="R1897" i="172"/>
  <c r="Q2010" i="172"/>
  <c r="R2010" i="172"/>
  <c r="R2111" i="172"/>
  <c r="Q2111" i="172"/>
  <c r="R2160" i="172"/>
  <c r="Q2160" i="172"/>
  <c r="R2292" i="172"/>
  <c r="Q2292" i="172"/>
  <c r="Q425" i="172"/>
  <c r="R425" i="172"/>
  <c r="Q1970" i="172"/>
  <c r="R1970" i="172"/>
  <c r="R2046" i="172"/>
  <c r="Q2046" i="172"/>
  <c r="R2297" i="172"/>
  <c r="Q2297" i="172"/>
  <c r="Q58" i="172"/>
  <c r="Q36" i="172"/>
  <c r="Q2298" i="172"/>
  <c r="Q2248" i="172"/>
  <c r="Q2285" i="172"/>
  <c r="Q2213" i="172"/>
  <c r="Q2226" i="172"/>
  <c r="R2126" i="172"/>
  <c r="R2024" i="172"/>
  <c r="R1965" i="172"/>
  <c r="Q1894" i="172"/>
  <c r="Q2102" i="172"/>
  <c r="R1998" i="172"/>
  <c r="R1910" i="172"/>
  <c r="Q2086" i="172"/>
  <c r="R1886" i="172"/>
  <c r="R1771" i="172"/>
  <c r="R1658" i="172"/>
  <c r="Q1563" i="172"/>
  <c r="R1447" i="172"/>
  <c r="R2104" i="172"/>
  <c r="R1879" i="172"/>
  <c r="R1757" i="172"/>
  <c r="R1632" i="172"/>
  <c r="Q1487" i="172"/>
  <c r="Q2076" i="172"/>
  <c r="Q1631" i="172"/>
  <c r="Q1407" i="172"/>
  <c r="R1846" i="172"/>
  <c r="Q1363" i="172"/>
  <c r="R926" i="172"/>
  <c r="R1094" i="172"/>
  <c r="Q504" i="172"/>
  <c r="Q940" i="172"/>
  <c r="R940" i="172"/>
  <c r="R473" i="172"/>
  <c r="Q473" i="172"/>
  <c r="R832" i="172"/>
  <c r="Q832" i="172"/>
  <c r="Q1431" i="172"/>
  <c r="R1431" i="172"/>
  <c r="Q894" i="172"/>
  <c r="R894" i="172"/>
  <c r="Q398" i="172"/>
  <c r="R398" i="172"/>
  <c r="R684" i="172"/>
  <c r="Q684" i="172"/>
  <c r="Q1059" i="172"/>
  <c r="R1059" i="172"/>
  <c r="Q1817" i="172"/>
  <c r="R1817" i="172"/>
  <c r="R1456" i="172"/>
  <c r="Q1456" i="172"/>
  <c r="R577" i="172"/>
  <c r="Q577" i="172"/>
  <c r="R871" i="172"/>
  <c r="Q871" i="172"/>
  <c r="R994" i="172"/>
  <c r="Q994" i="172"/>
  <c r="Q440" i="172"/>
  <c r="R440" i="172"/>
  <c r="Q563" i="172"/>
  <c r="R563" i="172"/>
  <c r="R736" i="172"/>
  <c r="Q736" i="172"/>
  <c r="R864" i="172"/>
  <c r="Q864" i="172"/>
  <c r="Q1017" i="172"/>
  <c r="R1017" i="172"/>
  <c r="R1106" i="172"/>
  <c r="Q1106" i="172"/>
  <c r="Q1227" i="172"/>
  <c r="R1227" i="172"/>
  <c r="Q1429" i="172"/>
  <c r="R1429" i="172"/>
  <c r="Q1639" i="172"/>
  <c r="R1639" i="172"/>
  <c r="R2058" i="172"/>
  <c r="Q2058" i="172"/>
  <c r="R1347" i="172"/>
  <c r="Q1347" i="172"/>
  <c r="Q1182" i="172"/>
  <c r="R1182" i="172"/>
  <c r="Q633" i="172"/>
  <c r="R633" i="172"/>
  <c r="Q929" i="172"/>
  <c r="R929" i="172"/>
  <c r="R1254" i="172"/>
  <c r="Q1254" i="172"/>
  <c r="R1424" i="172"/>
  <c r="Q1424" i="172"/>
  <c r="Q1850" i="172"/>
  <c r="R1850" i="172"/>
  <c r="R1932" i="172"/>
  <c r="Q1932" i="172"/>
  <c r="R2141" i="172"/>
  <c r="Q2141" i="172"/>
  <c r="Q1873" i="172"/>
  <c r="R1873" i="172"/>
  <c r="Q1986" i="172"/>
  <c r="R1986" i="172"/>
  <c r="Q2031" i="172"/>
  <c r="R2031" i="172"/>
  <c r="Q687" i="172"/>
  <c r="R687" i="172"/>
  <c r="Q765" i="172"/>
  <c r="R765" i="172"/>
  <c r="R1450" i="172"/>
  <c r="Q1450" i="172"/>
  <c r="R1772" i="172"/>
  <c r="Q1772" i="172"/>
  <c r="Q667" i="172"/>
  <c r="R667" i="172"/>
  <c r="Q1269" i="172"/>
  <c r="R1269" i="172"/>
  <c r="Q1787" i="172"/>
  <c r="R1787" i="172"/>
  <c r="Q1902" i="172"/>
  <c r="R1902" i="172"/>
  <c r="Q403" i="172"/>
  <c r="R403" i="172"/>
  <c r="R448" i="172"/>
  <c r="Q448" i="172"/>
  <c r="Q551" i="172"/>
  <c r="R551" i="172"/>
  <c r="Q646" i="172"/>
  <c r="R646" i="172"/>
  <c r="R685" i="172"/>
  <c r="Q685" i="172"/>
  <c r="Q724" i="172"/>
  <c r="R724" i="172"/>
  <c r="Q769" i="172"/>
  <c r="R769" i="172"/>
  <c r="Q809" i="172"/>
  <c r="R809" i="172"/>
  <c r="Q851" i="172"/>
  <c r="R851" i="172"/>
  <c r="Q891" i="172"/>
  <c r="R891" i="172"/>
  <c r="Q986" i="172"/>
  <c r="R986" i="172"/>
  <c r="Q1039" i="172"/>
  <c r="R1039" i="172"/>
  <c r="Q1134" i="172"/>
  <c r="R1134" i="172"/>
  <c r="R1180" i="172"/>
  <c r="Q1180" i="172"/>
  <c r="Q1228" i="172"/>
  <c r="R1228" i="172"/>
  <c r="Q1318" i="172"/>
  <c r="R1318" i="172"/>
  <c r="R1358" i="172"/>
  <c r="Q1358" i="172"/>
  <c r="Q1396" i="172"/>
  <c r="R1396" i="172"/>
  <c r="Q1436" i="172"/>
  <c r="R1436" i="172"/>
  <c r="Q1472" i="172"/>
  <c r="R1472" i="172"/>
  <c r="R1513" i="172"/>
  <c r="Q1513" i="172"/>
  <c r="R1604" i="172"/>
  <c r="Q1604" i="172"/>
  <c r="R1770" i="172"/>
  <c r="Q1770" i="172"/>
  <c r="Q1862" i="172"/>
  <c r="R1862" i="172"/>
  <c r="Q1899" i="172"/>
  <c r="R1899" i="172"/>
  <c r="Q1981" i="172"/>
  <c r="R1981" i="172"/>
  <c r="Q2243" i="172"/>
  <c r="R2212" i="172"/>
  <c r="Q2099" i="172"/>
  <c r="Q2007" i="172"/>
  <c r="Q1953" i="172"/>
  <c r="R1889" i="172"/>
  <c r="Q2198" i="172"/>
  <c r="R1826" i="172"/>
  <c r="Q1359" i="172"/>
  <c r="R922" i="172"/>
  <c r="R1147" i="172"/>
  <c r="R434" i="172"/>
  <c r="Q427" i="172"/>
  <c r="R427" i="172"/>
  <c r="Q1453" i="172"/>
  <c r="R1453" i="172"/>
  <c r="R1149" i="172"/>
  <c r="Q1149" i="172"/>
  <c r="Q480" i="172"/>
  <c r="R480" i="172"/>
  <c r="R910" i="172"/>
  <c r="Q910" i="172"/>
  <c r="Q1259" i="172"/>
  <c r="R1259" i="172"/>
  <c r="Q1967" i="172"/>
  <c r="R1967" i="172"/>
  <c r="Q428" i="172"/>
  <c r="R428" i="172"/>
  <c r="Q749" i="172"/>
  <c r="R749" i="172"/>
  <c r="Q1417" i="172"/>
  <c r="R1417" i="172"/>
  <c r="Q2176" i="172"/>
  <c r="R2176" i="172"/>
  <c r="Q759" i="172"/>
  <c r="Q713" i="172"/>
  <c r="R713" i="172"/>
  <c r="R919" i="172"/>
  <c r="Q919" i="172"/>
  <c r="R1075" i="172"/>
  <c r="Q1075" i="172"/>
  <c r="Q873" i="172"/>
  <c r="R873" i="172"/>
  <c r="Q1699" i="172"/>
  <c r="R1699" i="172"/>
  <c r="Q1062" i="172"/>
  <c r="R1062" i="172"/>
  <c r="Q453" i="172"/>
  <c r="R453" i="172"/>
  <c r="Q537" i="172"/>
  <c r="R537" i="172"/>
  <c r="Q620" i="172"/>
  <c r="R620" i="172"/>
  <c r="R710" i="172"/>
  <c r="Q710" i="172"/>
  <c r="Q788" i="172"/>
  <c r="R788" i="172"/>
  <c r="R936" i="172"/>
  <c r="Q936" i="172"/>
  <c r="R1079" i="172"/>
  <c r="Q1079" i="172"/>
  <c r="R1119" i="172"/>
  <c r="Q1119" i="172"/>
  <c r="Q1199" i="172"/>
  <c r="R1199" i="172"/>
  <c r="Q1239" i="172"/>
  <c r="R1239" i="172"/>
  <c r="R1317" i="172"/>
  <c r="Q1317" i="172"/>
  <c r="Q1401" i="172"/>
  <c r="R1401" i="172"/>
  <c r="Q1441" i="172"/>
  <c r="R1441" i="172"/>
  <c r="R1477" i="172"/>
  <c r="Q1477" i="172"/>
  <c r="Q1519" i="172"/>
  <c r="R1519" i="172"/>
  <c r="R1610" i="172"/>
  <c r="Q1610" i="172"/>
  <c r="Q1660" i="172"/>
  <c r="R1660" i="172"/>
  <c r="Q1743" i="172"/>
  <c r="R1743" i="172"/>
  <c r="Q1837" i="172"/>
  <c r="R1837" i="172"/>
  <c r="R509" i="172"/>
  <c r="Q509" i="172"/>
  <c r="Q833" i="172"/>
  <c r="R833" i="172"/>
  <c r="R1202" i="172"/>
  <c r="Q1202" i="172"/>
  <c r="R1522" i="172"/>
  <c r="Q1522" i="172"/>
  <c r="R655" i="172"/>
  <c r="Q655" i="172"/>
  <c r="R1055" i="172"/>
  <c r="Q1055" i="172"/>
  <c r="R1462" i="172"/>
  <c r="Q1462" i="172"/>
  <c r="R442" i="172"/>
  <c r="Q442" i="172"/>
  <c r="Q488" i="172"/>
  <c r="R488" i="172"/>
  <c r="Q566" i="172"/>
  <c r="R566" i="172"/>
  <c r="R628" i="172"/>
  <c r="Q628" i="172"/>
  <c r="Q679" i="172"/>
  <c r="R679" i="172"/>
  <c r="Q725" i="172"/>
  <c r="R725" i="172"/>
  <c r="R770" i="172"/>
  <c r="Q770" i="172"/>
  <c r="Q818" i="172"/>
  <c r="R818" i="172"/>
  <c r="Q866" i="172"/>
  <c r="R866" i="172"/>
  <c r="Q905" i="172"/>
  <c r="R905" i="172"/>
  <c r="Q999" i="172"/>
  <c r="R999" i="172"/>
  <c r="R1215" i="172"/>
  <c r="Q1215" i="172"/>
  <c r="Q1293" i="172"/>
  <c r="R1293" i="172"/>
  <c r="R1371" i="172"/>
  <c r="Q1371" i="172"/>
  <c r="Q1500" i="172"/>
  <c r="R1500" i="172"/>
  <c r="R1598" i="172"/>
  <c r="Q1598" i="172"/>
  <c r="Q1778" i="172"/>
  <c r="R1778" i="172"/>
  <c r="Q1833" i="172"/>
  <c r="R1833" i="172"/>
  <c r="Q1907" i="172"/>
  <c r="R1907" i="172"/>
  <c r="Q2020" i="172"/>
  <c r="R2020" i="172"/>
  <c r="R2183" i="172"/>
  <c r="Q2183" i="172"/>
  <c r="R438" i="172"/>
  <c r="Q438" i="172"/>
  <c r="Q574" i="172"/>
  <c r="R574" i="172"/>
  <c r="Q624" i="172"/>
  <c r="R624" i="172"/>
  <c r="Q662" i="172"/>
  <c r="R662" i="172"/>
  <c r="R746" i="172"/>
  <c r="Q746" i="172"/>
  <c r="Q785" i="172"/>
  <c r="R785" i="172"/>
  <c r="Q828" i="172"/>
  <c r="R828" i="172"/>
  <c r="Q882" i="172"/>
  <c r="R882" i="172"/>
  <c r="Q920" i="172"/>
  <c r="R920" i="172"/>
  <c r="R969" i="172"/>
  <c r="Q969" i="172"/>
  <c r="R1091" i="172"/>
  <c r="Q1091" i="172"/>
  <c r="Q1130" i="172"/>
  <c r="R1130" i="172"/>
  <c r="R1177" i="172"/>
  <c r="Q1177" i="172"/>
  <c r="Q1263" i="172"/>
  <c r="R1263" i="172"/>
  <c r="Q1301" i="172"/>
  <c r="R1301" i="172"/>
  <c r="Q1341" i="172"/>
  <c r="R1341" i="172"/>
  <c r="R1379" i="172"/>
  <c r="Q1379" i="172"/>
  <c r="Q1420" i="172"/>
  <c r="R1420" i="172"/>
  <c r="R1457" i="172"/>
  <c r="Q1457" i="172"/>
  <c r="Q1495" i="172"/>
  <c r="R1495" i="172"/>
  <c r="Q1579" i="172"/>
  <c r="R1579" i="172"/>
  <c r="R1672" i="172"/>
  <c r="Q1672" i="172"/>
  <c r="Q2048" i="172"/>
  <c r="R2048" i="172"/>
  <c r="Q2096" i="172"/>
  <c r="R2096" i="172"/>
  <c r="Q2192" i="172"/>
  <c r="R2192" i="172"/>
  <c r="Q407" i="172"/>
  <c r="R407" i="172"/>
  <c r="R529" i="172"/>
  <c r="Q529" i="172"/>
  <c r="Q582" i="172"/>
  <c r="R582" i="172"/>
  <c r="Q625" i="172"/>
  <c r="R625" i="172"/>
  <c r="Q663" i="172"/>
  <c r="R663" i="172"/>
  <c r="Q702" i="172"/>
  <c r="R702" i="172"/>
  <c r="R747" i="172"/>
  <c r="Q747" i="172"/>
  <c r="R843" i="172"/>
  <c r="Q843" i="172"/>
  <c r="Q883" i="172"/>
  <c r="R883" i="172"/>
  <c r="Q921" i="172"/>
  <c r="R921" i="172"/>
  <c r="Q963" i="172"/>
  <c r="R963" i="172"/>
  <c r="R1002" i="172"/>
  <c r="Q1002" i="172"/>
  <c r="Q1098" i="172"/>
  <c r="R1098" i="172"/>
  <c r="Q1394" i="172"/>
  <c r="R1394" i="172"/>
  <c r="Q1440" i="172"/>
  <c r="R1440" i="172"/>
  <c r="R1483" i="172"/>
  <c r="Q1483" i="172"/>
  <c r="R1530" i="172"/>
  <c r="Q1530" i="172"/>
  <c r="Q1623" i="172"/>
  <c r="R1623" i="172"/>
  <c r="Q1715" i="172"/>
  <c r="R1715" i="172"/>
  <c r="Q1823" i="172"/>
  <c r="R1823" i="172"/>
  <c r="R1860" i="172"/>
  <c r="Q1860" i="172"/>
  <c r="Q1904" i="172"/>
  <c r="R1904" i="172"/>
  <c r="Q1978" i="172"/>
  <c r="R1978" i="172"/>
  <c r="Q2016" i="172"/>
  <c r="R2016" i="172"/>
  <c r="R2066" i="172"/>
  <c r="Q2066" i="172"/>
  <c r="R2118" i="172"/>
  <c r="Q2118" i="172"/>
  <c r="R2249" i="172"/>
  <c r="Q2249" i="172"/>
  <c r="Q1976" i="172"/>
  <c r="R1976" i="172"/>
  <c r="R2014" i="172"/>
  <c r="Q2014" i="172"/>
  <c r="R2158" i="172"/>
  <c r="Q2158" i="172"/>
  <c r="R2283" i="172"/>
  <c r="Q2280" i="172"/>
  <c r="Q2208" i="172"/>
  <c r="Q2195" i="172"/>
  <c r="Q2082" i="172"/>
  <c r="R2003" i="172"/>
  <c r="Q1949" i="172"/>
  <c r="Q2092" i="172"/>
  <c r="Q1994" i="172"/>
  <c r="Q1906" i="172"/>
  <c r="Q2038" i="172"/>
  <c r="Q1875" i="172"/>
  <c r="Q1767" i="172"/>
  <c r="Q1653" i="172"/>
  <c r="Q1548" i="172"/>
  <c r="Q1443" i="172"/>
  <c r="Q2084" i="172"/>
  <c r="R1874" i="172"/>
  <c r="Q1752" i="172"/>
  <c r="Q1618" i="172"/>
  <c r="R1478" i="172"/>
  <c r="Q2068" i="172"/>
  <c r="Q1822" i="172"/>
  <c r="Q1612" i="172"/>
  <c r="Q1842" i="172"/>
  <c r="R1331" i="172"/>
  <c r="R654" i="172"/>
  <c r="Q422" i="172"/>
  <c r="Q1307" i="172"/>
  <c r="R1307" i="172"/>
  <c r="Q1592" i="172"/>
  <c r="R1592" i="172"/>
  <c r="Q592" i="172"/>
  <c r="R592" i="172"/>
  <c r="R890" i="172"/>
  <c r="Q890" i="172"/>
  <c r="Q1674" i="172"/>
  <c r="R1674" i="172"/>
  <c r="R1961" i="172"/>
  <c r="Q1961" i="172"/>
  <c r="R790" i="172"/>
  <c r="Q790" i="172"/>
  <c r="Q1467" i="172"/>
  <c r="R1467" i="172"/>
  <c r="Q933" i="172"/>
  <c r="R933" i="172"/>
  <c r="Q1136" i="172"/>
  <c r="R1136" i="172"/>
  <c r="Q1419" i="172"/>
  <c r="R1419" i="172"/>
  <c r="Q729" i="172"/>
  <c r="R729" i="172"/>
  <c r="Q1140" i="172"/>
  <c r="R1140" i="172"/>
  <c r="Q1459" i="172"/>
  <c r="R1459" i="172"/>
  <c r="R1763" i="172"/>
  <c r="Q1763" i="172"/>
  <c r="Q527" i="172"/>
  <c r="R527" i="172"/>
  <c r="Q580" i="172"/>
  <c r="R580" i="172"/>
  <c r="Q1852" i="172"/>
  <c r="R1852" i="172"/>
  <c r="Q831" i="172"/>
  <c r="R831" i="172"/>
  <c r="R1454" i="172"/>
  <c r="Q1454" i="172"/>
  <c r="R1710" i="172"/>
  <c r="Q1710" i="172"/>
  <c r="Q1198" i="172"/>
  <c r="R1198" i="172"/>
  <c r="Q1779" i="172"/>
  <c r="R1779" i="172"/>
  <c r="R606" i="172"/>
  <c r="Q606" i="172"/>
  <c r="R822" i="172"/>
  <c r="Q822" i="172"/>
  <c r="R1729" i="172"/>
  <c r="Q1729" i="172"/>
  <c r="Q616" i="172"/>
  <c r="R616" i="172"/>
  <c r="R1864" i="172"/>
  <c r="Q1864" i="172"/>
  <c r="Q538" i="172"/>
  <c r="R538" i="172"/>
  <c r="R795" i="172"/>
  <c r="Q795" i="172"/>
  <c r="R1583" i="172"/>
  <c r="Q1583" i="172"/>
  <c r="Q1810" i="172"/>
  <c r="R1810" i="172"/>
  <c r="R2006" i="172"/>
  <c r="Q2006" i="172"/>
  <c r="R424" i="172"/>
  <c r="Q424" i="172"/>
  <c r="Q540" i="172"/>
  <c r="R540" i="172"/>
  <c r="Q660" i="172"/>
  <c r="R660" i="172"/>
  <c r="Q987" i="172"/>
  <c r="R987" i="172"/>
  <c r="R1117" i="172"/>
  <c r="Q1117" i="172"/>
  <c r="R623" i="172"/>
  <c r="Q623" i="172"/>
  <c r="R700" i="172"/>
  <c r="Q700" i="172"/>
  <c r="Q1820" i="172"/>
  <c r="R1820" i="172"/>
  <c r="R1230" i="172"/>
  <c r="Q1230" i="172"/>
  <c r="Q567" i="172"/>
  <c r="R567" i="172"/>
  <c r="Q1332" i="172"/>
  <c r="R1332" i="172"/>
  <c r="Q408" i="172"/>
  <c r="R408" i="172"/>
  <c r="R499" i="172"/>
  <c r="Q499" i="172"/>
  <c r="Q576" i="172"/>
  <c r="R576" i="172"/>
  <c r="Q664" i="172"/>
  <c r="R664" i="172"/>
  <c r="R748" i="172"/>
  <c r="Q748" i="172"/>
  <c r="R837" i="172"/>
  <c r="Q837" i="172"/>
  <c r="Q985" i="172"/>
  <c r="R985" i="172"/>
  <c r="R400" i="172"/>
  <c r="Q400" i="172"/>
  <c r="Q887" i="172"/>
  <c r="R887" i="172"/>
  <c r="Q391" i="172"/>
  <c r="R391" i="172"/>
  <c r="R733" i="172"/>
  <c r="Q733" i="172"/>
  <c r="Q913" i="172"/>
  <c r="R913" i="172"/>
  <c r="R1076" i="172"/>
  <c r="Q1076" i="172"/>
  <c r="Q1275" i="172"/>
  <c r="R1275" i="172"/>
  <c r="Q1840" i="172"/>
  <c r="R1840" i="172"/>
  <c r="Q1834" i="172"/>
  <c r="R1834" i="172"/>
  <c r="Q534" i="172"/>
  <c r="R534" i="172"/>
  <c r="R881" i="172"/>
  <c r="Q881" i="172"/>
  <c r="Q1549" i="172"/>
  <c r="R1549" i="172"/>
  <c r="R745" i="172"/>
  <c r="Q745" i="172"/>
  <c r="R1360" i="172"/>
  <c r="Q1360" i="172"/>
  <c r="Q1621" i="172"/>
  <c r="R1621" i="172"/>
  <c r="Q414" i="172"/>
  <c r="R414" i="172"/>
  <c r="R460" i="172"/>
  <c r="Q460" i="172"/>
  <c r="Q506" i="172"/>
  <c r="R506" i="172"/>
  <c r="R544" i="172"/>
  <c r="Q544" i="172"/>
  <c r="Q583" i="172"/>
  <c r="R583" i="172"/>
  <c r="Q626" i="172"/>
  <c r="R626" i="172"/>
  <c r="R670" i="172"/>
  <c r="Q670" i="172"/>
  <c r="Q716" i="172"/>
  <c r="R716" i="172"/>
  <c r="R755" i="172"/>
  <c r="Q755" i="172"/>
  <c r="Q794" i="172"/>
  <c r="R794" i="172"/>
  <c r="R844" i="172"/>
  <c r="Q844" i="172"/>
  <c r="Q991" i="172"/>
  <c r="R991" i="172"/>
  <c r="R1038" i="172"/>
  <c r="Q1038" i="172"/>
  <c r="Q1086" i="172"/>
  <c r="R1086" i="172"/>
  <c r="Q1206" i="172"/>
  <c r="R1206" i="172"/>
  <c r="R1409" i="172"/>
  <c r="Q1409" i="172"/>
  <c r="R1574" i="172"/>
  <c r="Q1574" i="172"/>
  <c r="Q1617" i="172"/>
  <c r="R1617" i="172"/>
  <c r="Q1709" i="172"/>
  <c r="R1709" i="172"/>
  <c r="Q1799" i="172"/>
  <c r="R1799" i="172"/>
  <c r="Q1843" i="172"/>
  <c r="R1843" i="172"/>
  <c r="Q1917" i="172"/>
  <c r="R1917" i="172"/>
  <c r="Q1955" i="172"/>
  <c r="R1955" i="172"/>
  <c r="Q2222" i="172"/>
  <c r="R2222" i="172"/>
  <c r="Q2307" i="172"/>
  <c r="R2307" i="172"/>
  <c r="Q430" i="172"/>
  <c r="R430" i="172"/>
  <c r="R826" i="172"/>
  <c r="Q826" i="172"/>
  <c r="Q1502" i="172"/>
  <c r="R1502" i="172"/>
  <c r="Q1908" i="172"/>
  <c r="R1908" i="172"/>
  <c r="Q521" i="172"/>
  <c r="R521" i="172"/>
  <c r="R693" i="172"/>
  <c r="Q693" i="172"/>
  <c r="Q867" i="172"/>
  <c r="R867" i="172"/>
  <c r="Q1069" i="172"/>
  <c r="R1069" i="172"/>
  <c r="Q1313" i="172"/>
  <c r="R1313" i="172"/>
  <c r="Q1614" i="172"/>
  <c r="R1614" i="172"/>
  <c r="Q1927" i="172"/>
  <c r="R1927" i="172"/>
  <c r="R455" i="172"/>
  <c r="Q455" i="172"/>
  <c r="R565" i="172"/>
  <c r="Q565" i="172"/>
  <c r="Q614" i="172"/>
  <c r="R614" i="172"/>
  <c r="R653" i="172"/>
  <c r="Q653" i="172"/>
  <c r="R691" i="172"/>
  <c r="Q691" i="172"/>
  <c r="R737" i="172"/>
  <c r="Q737" i="172"/>
  <c r="R816" i="172"/>
  <c r="Q816" i="172"/>
  <c r="Q859" i="172"/>
  <c r="R859" i="172"/>
  <c r="R897" i="172"/>
  <c r="Q897" i="172"/>
  <c r="Q951" i="172"/>
  <c r="R951" i="172"/>
  <c r="Q992" i="172"/>
  <c r="R992" i="172"/>
  <c r="Q1045" i="172"/>
  <c r="R1045" i="172"/>
  <c r="R1141" i="172"/>
  <c r="Q1141" i="172"/>
  <c r="R1194" i="172"/>
  <c r="Q1194" i="172"/>
  <c r="R1280" i="172"/>
  <c r="Q1280" i="172"/>
  <c r="R1324" i="172"/>
  <c r="Q1324" i="172"/>
  <c r="Q1364" i="172"/>
  <c r="R1364" i="172"/>
  <c r="Q1520" i="172"/>
  <c r="R1520" i="172"/>
  <c r="Q1561" i="172"/>
  <c r="R1561" i="172"/>
  <c r="Q1611" i="172"/>
  <c r="R1611" i="172"/>
  <c r="Q1654" i="172"/>
  <c r="R1654" i="172"/>
  <c r="R1696" i="172"/>
  <c r="Q1696" i="172"/>
  <c r="Q1832" i="172"/>
  <c r="R1832" i="172"/>
  <c r="Q1868" i="172"/>
  <c r="R1868" i="172"/>
  <c r="Q1950" i="172"/>
  <c r="R1950" i="172"/>
  <c r="R2308" i="172"/>
  <c r="Q2308" i="172"/>
  <c r="Q2238" i="172"/>
  <c r="R2276" i="172"/>
  <c r="R1885" i="172"/>
  <c r="Q2170" i="172"/>
  <c r="Q2060" i="172"/>
  <c r="R1968" i="172"/>
  <c r="R1888" i="172"/>
  <c r="Q1993" i="172"/>
  <c r="Q1857" i="172"/>
  <c r="R1736" i="172"/>
  <c r="R1628" i="172"/>
  <c r="Q1525" i="172"/>
  <c r="Q1423" i="172"/>
  <c r="Q2025" i="172"/>
  <c r="Q1848" i="172"/>
  <c r="Q1731" i="172"/>
  <c r="Q1599" i="172"/>
  <c r="R1984" i="172"/>
  <c r="Q1765" i="172"/>
  <c r="R1565" i="172"/>
  <c r="R1825" i="172"/>
  <c r="R1323" i="172"/>
  <c r="R949" i="172"/>
  <c r="Q514" i="172"/>
  <c r="Q1670" i="172"/>
  <c r="R1670" i="172"/>
  <c r="R512" i="172"/>
  <c r="Q512" i="172"/>
  <c r="Q1416" i="172"/>
  <c r="R1416" i="172"/>
  <c r="Q1187" i="172"/>
  <c r="R1187" i="172"/>
  <c r="Q553" i="172"/>
  <c r="R553" i="172"/>
  <c r="Q377" i="172"/>
  <c r="R377" i="172"/>
  <c r="Q1426" i="172"/>
  <c r="R1426" i="172"/>
  <c r="Q557" i="172"/>
  <c r="R557" i="172"/>
  <c r="Q958" i="172"/>
  <c r="R958" i="172"/>
  <c r="R1931" i="172"/>
  <c r="Q1931" i="172"/>
  <c r="Q1692" i="172"/>
  <c r="R1692" i="172"/>
  <c r="R1004" i="172"/>
  <c r="Q1004" i="172"/>
  <c r="Q1925" i="172"/>
  <c r="R1925" i="172"/>
  <c r="Q2223" i="172"/>
  <c r="R2223" i="172"/>
  <c r="Q1398" i="172"/>
  <c r="R1398" i="172"/>
  <c r="R680" i="172"/>
  <c r="Q680" i="172"/>
  <c r="Q645" i="172"/>
  <c r="R645" i="172"/>
  <c r="Q1769" i="172"/>
  <c r="R1769" i="172"/>
  <c r="Q2011" i="172"/>
  <c r="R2011" i="172"/>
  <c r="Q1494" i="172"/>
  <c r="R1494" i="172"/>
  <c r="Q711" i="172"/>
  <c r="R711" i="172"/>
  <c r="R972" i="172"/>
  <c r="Q972" i="172"/>
  <c r="R1298" i="172"/>
  <c r="Q1298" i="172"/>
  <c r="R1499" i="172"/>
  <c r="Q1499" i="172"/>
  <c r="R2182" i="172"/>
  <c r="Q2182" i="172"/>
  <c r="R1326" i="172"/>
  <c r="Q1326" i="172"/>
  <c r="R615" i="172"/>
  <c r="Q615" i="172"/>
  <c r="Q757" i="172"/>
  <c r="R757" i="172"/>
  <c r="R1115" i="172"/>
  <c r="Q1115" i="172"/>
  <c r="R719" i="172"/>
  <c r="Q719" i="172"/>
  <c r="Q1122" i="172"/>
  <c r="R1122" i="172"/>
  <c r="Q449" i="172"/>
  <c r="R449" i="172"/>
  <c r="Q501" i="172"/>
  <c r="R501" i="172"/>
  <c r="R783" i="172"/>
  <c r="Q783" i="172"/>
  <c r="R825" i="172"/>
  <c r="Q825" i="172"/>
  <c r="R872" i="172"/>
  <c r="Q872" i="172"/>
  <c r="R912" i="172"/>
  <c r="Q912" i="172"/>
  <c r="R967" i="172"/>
  <c r="Q967" i="172"/>
  <c r="Q1054" i="172"/>
  <c r="R1054" i="172"/>
  <c r="R1142" i="172"/>
  <c r="Q1142" i="172"/>
  <c r="Q1181" i="172"/>
  <c r="R1181" i="172"/>
  <c r="Q1222" i="172"/>
  <c r="R1222" i="172"/>
  <c r="R1377" i="172"/>
  <c r="Q1377" i="172"/>
  <c r="Q1425" i="172"/>
  <c r="R1425" i="172"/>
  <c r="Q1514" i="172"/>
  <c r="R1514" i="172"/>
  <c r="Q1605" i="172"/>
  <c r="R1605" i="172"/>
  <c r="Q1697" i="172"/>
  <c r="R1697" i="172"/>
  <c r="R1739" i="172"/>
  <c r="Q1739" i="172"/>
  <c r="Q1839" i="172"/>
  <c r="R1839" i="172"/>
  <c r="Q1913" i="172"/>
  <c r="R1913" i="172"/>
  <c r="Q2026" i="172"/>
  <c r="R2026" i="172"/>
  <c r="R2142" i="172"/>
  <c r="Q2142" i="172"/>
  <c r="Q378" i="172"/>
  <c r="R378" i="172"/>
  <c r="Q371" i="172"/>
  <c r="R371" i="172"/>
  <c r="R522" i="172"/>
  <c r="Q522" i="172"/>
  <c r="Q581" i="172"/>
  <c r="R581" i="172"/>
  <c r="R630" i="172"/>
  <c r="Q630" i="172"/>
  <c r="R668" i="172"/>
  <c r="Q668" i="172"/>
  <c r="Q753" i="172"/>
  <c r="R753" i="172"/>
  <c r="R792" i="172"/>
  <c r="Q792" i="172"/>
  <c r="Q888" i="172"/>
  <c r="R888" i="172"/>
  <c r="Q976" i="172"/>
  <c r="R976" i="172"/>
  <c r="R1014" i="172"/>
  <c r="Q1014" i="172"/>
  <c r="Q1057" i="172"/>
  <c r="R1057" i="172"/>
  <c r="R1097" i="172"/>
  <c r="Q1097" i="172"/>
  <c r="Q1270" i="172"/>
  <c r="R1270" i="172"/>
  <c r="Q1348" i="172"/>
  <c r="R1348" i="172"/>
  <c r="R1386" i="172"/>
  <c r="Q1386" i="172"/>
  <c r="Q1503" i="172"/>
  <c r="R1503" i="172"/>
  <c r="R1544" i="172"/>
  <c r="Q1544" i="172"/>
  <c r="Q1679" i="172"/>
  <c r="R1679" i="172"/>
  <c r="Q1935" i="172"/>
  <c r="R1935" i="172"/>
  <c r="Q1971" i="172"/>
  <c r="R1971" i="172"/>
  <c r="Q2056" i="172"/>
  <c r="R2056" i="172"/>
  <c r="R2151" i="172"/>
  <c r="Q2151" i="172"/>
  <c r="Q1047" i="172"/>
  <c r="R1047" i="172"/>
  <c r="R372" i="172"/>
  <c r="Q372" i="172"/>
  <c r="Q413" i="172"/>
  <c r="R413" i="172"/>
  <c r="R479" i="172"/>
  <c r="Q479" i="172"/>
  <c r="Q536" i="172"/>
  <c r="R536" i="172"/>
  <c r="R590" i="172"/>
  <c r="Q590" i="172"/>
  <c r="Q631" i="172"/>
  <c r="R631" i="172"/>
  <c r="Q669" i="172"/>
  <c r="R669" i="172"/>
  <c r="Q709" i="172"/>
  <c r="R709" i="172"/>
  <c r="R754" i="172"/>
  <c r="Q754" i="172"/>
  <c r="R849" i="172"/>
  <c r="Q849" i="172"/>
  <c r="Q889" i="172"/>
  <c r="R889" i="172"/>
  <c r="Q927" i="172"/>
  <c r="R927" i="172"/>
  <c r="Q1008" i="172"/>
  <c r="R1008" i="172"/>
  <c r="Q1051" i="172"/>
  <c r="R1051" i="172"/>
  <c r="R1145" i="172"/>
  <c r="Q1145" i="172"/>
  <c r="Q1184" i="172"/>
  <c r="R1184" i="172"/>
  <c r="R1238" i="172"/>
  <c r="Q1238" i="172"/>
  <c r="Q1278" i="172"/>
  <c r="R1278" i="172"/>
  <c r="R1316" i="172"/>
  <c r="Q1316" i="172"/>
  <c r="R1362" i="172"/>
  <c r="Q1362" i="172"/>
  <c r="Q1452" i="172"/>
  <c r="R1452" i="172"/>
  <c r="Q1490" i="172"/>
  <c r="R1490" i="172"/>
  <c r="Q1587" i="172"/>
  <c r="R1587" i="172"/>
  <c r="Q1630" i="172"/>
  <c r="R1630" i="172"/>
  <c r="Q1830" i="172"/>
  <c r="R1830" i="172"/>
  <c r="Q1866" i="172"/>
  <c r="R1866" i="172"/>
  <c r="R1948" i="172"/>
  <c r="Q1948" i="172"/>
  <c r="Q2074" i="172"/>
  <c r="R2074" i="172"/>
  <c r="R2124" i="172"/>
  <c r="Q2124" i="172"/>
  <c r="Q1946" i="172"/>
  <c r="R1946" i="172"/>
  <c r="R1983" i="172"/>
  <c r="Q1983" i="172"/>
  <c r="Q2021" i="172"/>
  <c r="R2021" i="172"/>
  <c r="R2064" i="172"/>
  <c r="Q2064" i="172"/>
  <c r="Q2116" i="172"/>
  <c r="R2116" i="172"/>
  <c r="R2164" i="172"/>
  <c r="Q2164" i="172"/>
  <c r="Q2211" i="172"/>
  <c r="R2211" i="172"/>
  <c r="Q2254" i="172"/>
  <c r="R2254" i="172"/>
  <c r="Q2279" i="172"/>
  <c r="Q2266" i="172"/>
  <c r="R2204" i="172"/>
  <c r="Q2114" i="172"/>
  <c r="R1768" i="172"/>
  <c r="Q1211" i="172"/>
  <c r="R884" i="172"/>
  <c r="Q1005" i="172"/>
  <c r="Q649" i="172"/>
  <c r="R545" i="172"/>
  <c r="R1131" i="172"/>
  <c r="Q175" i="172"/>
  <c r="R911" i="172"/>
  <c r="Q911" i="172"/>
  <c r="Q1249" i="172"/>
  <c r="R1249" i="172"/>
  <c r="Q1013" i="172"/>
  <c r="R1013" i="172"/>
  <c r="R1048" i="172"/>
  <c r="Q1048" i="172"/>
  <c r="Q1189" i="172"/>
  <c r="R1189" i="172"/>
  <c r="Q1223" i="172"/>
  <c r="R1223" i="172"/>
  <c r="Q1570" i="172"/>
  <c r="R1570" i="172"/>
  <c r="R1606" i="172"/>
  <c r="Q1606" i="172"/>
  <c r="Q1642" i="172"/>
  <c r="R1642" i="172"/>
  <c r="Q1678" i="172"/>
  <c r="R1678" i="172"/>
  <c r="Q1726" i="172"/>
  <c r="R1726" i="172"/>
  <c r="Q411" i="172"/>
  <c r="R411" i="172"/>
  <c r="Q489" i="172"/>
  <c r="R489" i="172"/>
  <c r="Q573" i="172"/>
  <c r="R573" i="172"/>
  <c r="R739" i="172"/>
  <c r="Q739" i="172"/>
  <c r="Q804" i="172"/>
  <c r="R804" i="172"/>
  <c r="R1096" i="172"/>
  <c r="Q1096" i="172"/>
  <c r="Q1300" i="172"/>
  <c r="R1300" i="172"/>
  <c r="Q932" i="172"/>
  <c r="R932" i="172"/>
  <c r="Q1116" i="172"/>
  <c r="R1116" i="172"/>
  <c r="R1176" i="172"/>
  <c r="Q1176" i="172"/>
  <c r="Q1282" i="172"/>
  <c r="R1282" i="172"/>
  <c r="Q1474" i="172"/>
  <c r="R1474" i="172"/>
  <c r="Q1515" i="172"/>
  <c r="R1515" i="172"/>
  <c r="Q1564" i="172"/>
  <c r="R1564" i="172"/>
  <c r="Q518" i="172"/>
  <c r="R518" i="172"/>
  <c r="R530" i="172"/>
  <c r="Q530" i="172"/>
  <c r="Q690" i="172"/>
  <c r="R690" i="172"/>
  <c r="R781" i="172"/>
  <c r="Q781" i="172"/>
  <c r="R830" i="172"/>
  <c r="Q830" i="172"/>
  <c r="Q850" i="172"/>
  <c r="R850" i="172"/>
  <c r="Q877" i="172"/>
  <c r="R877" i="172"/>
  <c r="Q971" i="172"/>
  <c r="R971" i="172"/>
  <c r="R1031" i="172"/>
  <c r="Q1031" i="172"/>
  <c r="Q1052" i="172"/>
  <c r="R1052" i="172"/>
  <c r="Q1093" i="172"/>
  <c r="R1093" i="172"/>
  <c r="R1125" i="172"/>
  <c r="Q1125" i="172"/>
  <c r="Q1160" i="172"/>
  <c r="R1160" i="172"/>
  <c r="R1173" i="172"/>
  <c r="Q1173" i="172"/>
  <c r="Q1213" i="172"/>
  <c r="R1213" i="172"/>
  <c r="Q1219" i="172"/>
  <c r="R1219" i="172"/>
  <c r="Q1246" i="172"/>
  <c r="R1246" i="172"/>
  <c r="Q1265" i="172"/>
  <c r="R1265" i="172"/>
  <c r="Q1272" i="172"/>
  <c r="R1272" i="172"/>
  <c r="Q1279" i="172"/>
  <c r="R1279" i="172"/>
  <c r="Q1285" i="172"/>
  <c r="R1285" i="172"/>
  <c r="Q1291" i="172"/>
  <c r="R1291" i="172"/>
  <c r="Q1297" i="172"/>
  <c r="R1297" i="172"/>
  <c r="R1303" i="172"/>
  <c r="Q1303" i="172"/>
  <c r="Q1350" i="172"/>
  <c r="R1350" i="172"/>
  <c r="R1369" i="172"/>
  <c r="Q1369" i="172"/>
  <c r="Q1375" i="172"/>
  <c r="R1375" i="172"/>
  <c r="Q1395" i="172"/>
  <c r="R1395" i="172"/>
  <c r="R1491" i="172"/>
  <c r="Q1491" i="172"/>
  <c r="Q1505" i="172"/>
  <c r="R1505" i="172"/>
  <c r="Q1552" i="172"/>
  <c r="R1552" i="172"/>
  <c r="Q1560" i="172"/>
  <c r="R1560" i="172"/>
  <c r="R1588" i="172"/>
  <c r="Q1588" i="172"/>
  <c r="R1666" i="172"/>
  <c r="Q1666" i="172"/>
  <c r="R1702" i="172"/>
  <c r="Q1702" i="172"/>
  <c r="R1749" i="172"/>
  <c r="Q1749" i="172"/>
  <c r="Q2037" i="172"/>
  <c r="R2037" i="172"/>
  <c r="Q2043" i="172"/>
  <c r="R2043" i="172"/>
  <c r="Q2067" i="172"/>
  <c r="R2067" i="172"/>
  <c r="Q2091" i="172"/>
  <c r="R2091" i="172"/>
  <c r="R2119" i="172"/>
  <c r="Q2119" i="172"/>
  <c r="Q2133" i="172"/>
  <c r="R2133" i="172"/>
  <c r="Q2139" i="172"/>
  <c r="R2139" i="172"/>
  <c r="Q2161" i="172"/>
  <c r="R2161" i="172"/>
  <c r="R2167" i="172"/>
  <c r="Q2167" i="172"/>
  <c r="Q2175" i="172"/>
  <c r="R2175" i="172"/>
  <c r="R2187" i="172"/>
  <c r="Q2187" i="172"/>
  <c r="R2257" i="172"/>
  <c r="Q2257" i="172"/>
  <c r="Q2293" i="172"/>
  <c r="R2293" i="172"/>
  <c r="R2300" i="172"/>
  <c r="Q2300" i="172"/>
  <c r="P2313" i="172"/>
  <c r="R1143" i="172"/>
  <c r="Q1143" i="172"/>
  <c r="Q1210" i="172"/>
  <c r="R1210" i="172"/>
  <c r="R1713" i="172"/>
  <c r="Q1713" i="172"/>
  <c r="Q417" i="172"/>
  <c r="R417" i="172"/>
  <c r="R751" i="172"/>
  <c r="Q751" i="172"/>
  <c r="R841" i="172"/>
  <c r="Q841" i="172"/>
  <c r="R1006" i="172"/>
  <c r="Q1006" i="172"/>
  <c r="Q1041" i="172"/>
  <c r="R1041" i="172"/>
  <c r="Q1578" i="172"/>
  <c r="R1578" i="172"/>
  <c r="Q1804" i="172"/>
  <c r="R1804" i="172"/>
  <c r="R409" i="172"/>
  <c r="Q409" i="172"/>
  <c r="R435" i="172"/>
  <c r="Q435" i="172"/>
  <c r="R487" i="172"/>
  <c r="Q487" i="172"/>
  <c r="R507" i="172"/>
  <c r="Q507" i="172"/>
  <c r="Q513" i="172"/>
  <c r="R513" i="172"/>
  <c r="Q519" i="172"/>
  <c r="R519" i="172"/>
  <c r="Q525" i="172"/>
  <c r="R525" i="172"/>
  <c r="Q584" i="172"/>
  <c r="R584" i="172"/>
  <c r="R601" i="172"/>
  <c r="Q601" i="172"/>
  <c r="Q659" i="172"/>
  <c r="R659" i="172"/>
  <c r="R665" i="172"/>
  <c r="Q665" i="172"/>
  <c r="R756" i="172"/>
  <c r="Q756" i="172"/>
  <c r="R763" i="172"/>
  <c r="Q763" i="172"/>
  <c r="Q775" i="172"/>
  <c r="R775" i="172"/>
  <c r="R917" i="172"/>
  <c r="Q917" i="172"/>
  <c r="R959" i="172"/>
  <c r="Q959" i="172"/>
  <c r="R965" i="172"/>
  <c r="Q965" i="172"/>
  <c r="Q1053" i="172"/>
  <c r="R1053" i="172"/>
  <c r="Q1060" i="172"/>
  <c r="R1060" i="172"/>
  <c r="R1067" i="172"/>
  <c r="Q1067" i="172"/>
  <c r="Q1087" i="172"/>
  <c r="R1087" i="172"/>
  <c r="R1107" i="172"/>
  <c r="Q1107" i="172"/>
  <c r="R1114" i="172"/>
  <c r="Q1114" i="172"/>
  <c r="Q1120" i="172"/>
  <c r="R1120" i="172"/>
  <c r="R1161" i="172"/>
  <c r="Q1161" i="172"/>
  <c r="R1168" i="172"/>
  <c r="Q1168" i="172"/>
  <c r="Q1174" i="172"/>
  <c r="R1174" i="172"/>
  <c r="Q1207" i="172"/>
  <c r="R1207" i="172"/>
  <c r="Q1234" i="172"/>
  <c r="R1234" i="172"/>
  <c r="Q1240" i="172"/>
  <c r="R1240" i="172"/>
  <c r="Q1247" i="172"/>
  <c r="R1247" i="172"/>
  <c r="Q1273" i="172"/>
  <c r="R1273" i="172"/>
  <c r="Q1344" i="172"/>
  <c r="R1344" i="172"/>
  <c r="Q1485" i="172"/>
  <c r="R1485" i="172"/>
  <c r="Q1540" i="172"/>
  <c r="R1540" i="172"/>
  <c r="Q1554" i="172"/>
  <c r="R1554" i="172"/>
  <c r="Q1576" i="172"/>
  <c r="R1576" i="172"/>
  <c r="R1646" i="172"/>
  <c r="Q1646" i="172"/>
  <c r="Q1675" i="172"/>
  <c r="R1675" i="172"/>
  <c r="R1737" i="172"/>
  <c r="Q1737" i="172"/>
  <c r="Q1777" i="172"/>
  <c r="R1777" i="172"/>
  <c r="R2053" i="172"/>
  <c r="Q2053" i="172"/>
  <c r="Q2077" i="172"/>
  <c r="R2077" i="172"/>
  <c r="R2127" i="172"/>
  <c r="Q2127" i="172"/>
  <c r="Q2215" i="172"/>
  <c r="R2215" i="172"/>
  <c r="R2251" i="172"/>
  <c r="Q2251" i="172"/>
  <c r="Q2287" i="172"/>
  <c r="R2287" i="172"/>
  <c r="P2314" i="172"/>
  <c r="R560" i="172"/>
  <c r="Q560" i="172"/>
  <c r="Q610" i="172"/>
  <c r="R610" i="172"/>
  <c r="R906" i="172"/>
  <c r="Q906" i="172"/>
  <c r="R1090" i="172"/>
  <c r="Q1090" i="172"/>
  <c r="Q1150" i="172"/>
  <c r="R1150" i="172"/>
  <c r="Q1288" i="172"/>
  <c r="R1288" i="172"/>
  <c r="R1556" i="172"/>
  <c r="Q1556" i="172"/>
  <c r="R397" i="172"/>
  <c r="Q397" i="172"/>
  <c r="Q404" i="172"/>
  <c r="R404" i="172"/>
  <c r="R416" i="172"/>
  <c r="Q416" i="172"/>
  <c r="R475" i="172"/>
  <c r="Q475" i="172"/>
  <c r="R572" i="172"/>
  <c r="Q572" i="172"/>
  <c r="Q666" i="172"/>
  <c r="R666" i="172"/>
  <c r="R732" i="172"/>
  <c r="Q732" i="172"/>
  <c r="R846" i="172"/>
  <c r="Q846" i="172"/>
  <c r="R860" i="172"/>
  <c r="Q860" i="172"/>
  <c r="Q938" i="172"/>
  <c r="R938" i="172"/>
  <c r="Q953" i="172"/>
  <c r="R953" i="172"/>
  <c r="Q980" i="172"/>
  <c r="R980" i="172"/>
  <c r="Q1019" i="172"/>
  <c r="R1019" i="172"/>
  <c r="R1025" i="172"/>
  <c r="Q1025" i="172"/>
  <c r="R1040" i="172"/>
  <c r="Q1040" i="172"/>
  <c r="Q1061" i="172"/>
  <c r="R1061" i="172"/>
  <c r="R1089" i="172"/>
  <c r="Q1089" i="172"/>
  <c r="R1095" i="172"/>
  <c r="Q1095" i="172"/>
  <c r="R1108" i="172"/>
  <c r="Q1108" i="172"/>
  <c r="Q1135" i="172"/>
  <c r="R1135" i="172"/>
  <c r="Q1162" i="172"/>
  <c r="R1162" i="172"/>
  <c r="R1201" i="172"/>
  <c r="Q1201" i="172"/>
  <c r="Q1241" i="172"/>
  <c r="R1241" i="172"/>
  <c r="Q1248" i="172"/>
  <c r="R1248" i="172"/>
  <c r="Q1255" i="172"/>
  <c r="R1255" i="172"/>
  <c r="R1261" i="172"/>
  <c r="Q1261" i="172"/>
  <c r="Q1267" i="172"/>
  <c r="R1267" i="172"/>
  <c r="Q1339" i="172"/>
  <c r="R1339" i="172"/>
  <c r="R1455" i="172"/>
  <c r="Q1455" i="172"/>
  <c r="Q1461" i="172"/>
  <c r="R1461" i="172"/>
  <c r="Q1493" i="172"/>
  <c r="R1493" i="172"/>
  <c r="R1620" i="172"/>
  <c r="Q1620" i="172"/>
  <c r="R1641" i="172"/>
  <c r="Q1641" i="172"/>
  <c r="R1648" i="172"/>
  <c r="Q1648" i="172"/>
  <c r="Q1677" i="172"/>
  <c r="R1677" i="172"/>
  <c r="R1725" i="172"/>
  <c r="Q1725" i="172"/>
  <c r="Q1732" i="172"/>
  <c r="R1732" i="172"/>
  <c r="Q1758" i="172"/>
  <c r="R1758" i="172"/>
  <c r="Q1785" i="172"/>
  <c r="R1785" i="172"/>
  <c r="Q1869" i="172"/>
  <c r="R1869" i="172"/>
  <c r="Q1989" i="172"/>
  <c r="R1989" i="172"/>
  <c r="R2013" i="172"/>
  <c r="Q2013" i="172"/>
  <c r="R2101" i="172"/>
  <c r="Q2101" i="172"/>
  <c r="R2107" i="172"/>
  <c r="Q2107" i="172"/>
  <c r="Q2115" i="172"/>
  <c r="R2115" i="172"/>
  <c r="R2121" i="172"/>
  <c r="Q2121" i="172"/>
  <c r="R2149" i="172"/>
  <c r="Q2149" i="172"/>
  <c r="Q2163" i="172"/>
  <c r="R2163" i="172"/>
  <c r="R2197" i="172"/>
  <c r="Q2197" i="172"/>
  <c r="R2217" i="172"/>
  <c r="Q2217" i="172"/>
  <c r="R2245" i="172"/>
  <c r="Q2245" i="172"/>
  <c r="R2275" i="172"/>
  <c r="Q2275" i="172"/>
  <c r="R2281" i="172"/>
  <c r="Q2281" i="172"/>
  <c r="Q2288" i="172"/>
  <c r="R2288" i="172"/>
  <c r="P2309" i="172"/>
  <c r="P2315" i="172"/>
  <c r="Q392" i="172"/>
  <c r="R392" i="172"/>
  <c r="R451" i="172"/>
  <c r="Q451" i="172"/>
  <c r="Q597" i="172"/>
  <c r="R597" i="172"/>
  <c r="Q694" i="172"/>
  <c r="R694" i="172"/>
  <c r="Q708" i="172"/>
  <c r="R708" i="172"/>
  <c r="Q798" i="172"/>
  <c r="R798" i="172"/>
  <c r="Q842" i="172"/>
  <c r="R842" i="172"/>
  <c r="Q848" i="172"/>
  <c r="R848" i="172"/>
  <c r="R900" i="172"/>
  <c r="Q900" i="172"/>
  <c r="Q914" i="172"/>
  <c r="R914" i="172"/>
  <c r="Q941" i="172"/>
  <c r="R941" i="172"/>
  <c r="Q983" i="172"/>
  <c r="R983" i="172"/>
  <c r="Q989" i="172"/>
  <c r="R989" i="172"/>
  <c r="Q995" i="172"/>
  <c r="R995" i="172"/>
  <c r="Q1001" i="172"/>
  <c r="R1001" i="172"/>
  <c r="Q1007" i="172"/>
  <c r="R1007" i="172"/>
  <c r="Q1049" i="172"/>
  <c r="R1049" i="172"/>
  <c r="R1071" i="172"/>
  <c r="Q1071" i="172"/>
  <c r="Q1084" i="172"/>
  <c r="R1084" i="172"/>
  <c r="Q1123" i="172"/>
  <c r="R1123" i="172"/>
  <c r="R1144" i="172"/>
  <c r="Q1144" i="172"/>
  <c r="Q1183" i="172"/>
  <c r="R1183" i="172"/>
  <c r="Q1217" i="172"/>
  <c r="R1217" i="172"/>
  <c r="Q1225" i="172"/>
  <c r="R1225" i="172"/>
  <c r="Q1231" i="172"/>
  <c r="R1231" i="172"/>
  <c r="Q1237" i="172"/>
  <c r="R1237" i="172"/>
  <c r="R1243" i="172"/>
  <c r="Q1243" i="172"/>
  <c r="Q1289" i="172"/>
  <c r="R1289" i="172"/>
  <c r="Q1308" i="172"/>
  <c r="R1308" i="172"/>
  <c r="R1315" i="172"/>
  <c r="Q1315" i="172"/>
  <c r="R1321" i="172"/>
  <c r="Q1321" i="172"/>
  <c r="R1327" i="172"/>
  <c r="Q1327" i="172"/>
  <c r="Q1333" i="172"/>
  <c r="R1333" i="172"/>
  <c r="R1427" i="172"/>
  <c r="Q1427" i="172"/>
  <c r="R1445" i="172"/>
  <c r="Q1445" i="172"/>
  <c r="Q1463" i="172"/>
  <c r="R1463" i="172"/>
  <c r="Q1529" i="172"/>
  <c r="R1529" i="172"/>
  <c r="Q1558" i="172"/>
  <c r="R1558" i="172"/>
  <c r="Q1636" i="172"/>
  <c r="R1636" i="172"/>
  <c r="Q1650" i="172"/>
  <c r="R1650" i="172"/>
  <c r="R1714" i="172"/>
  <c r="Q1714" i="172"/>
  <c r="Q1754" i="172"/>
  <c r="R1754" i="172"/>
  <c r="R1773" i="172"/>
  <c r="Q1773" i="172"/>
  <c r="Q1841" i="172"/>
  <c r="R1841" i="172"/>
  <c r="Q1853" i="172"/>
  <c r="R1853" i="172"/>
  <c r="Q1859" i="172"/>
  <c r="R1859" i="172"/>
  <c r="R1877" i="172"/>
  <c r="Q1877" i="172"/>
  <c r="R1929" i="172"/>
  <c r="Q1929" i="172"/>
  <c r="Q1941" i="172"/>
  <c r="R1941" i="172"/>
  <c r="Q2009" i="172"/>
  <c r="R2009" i="172"/>
  <c r="R2015" i="172"/>
  <c r="Q2015" i="172"/>
  <c r="Q2041" i="172"/>
  <c r="R2041" i="172"/>
  <c r="R2065" i="172"/>
  <c r="Q2065" i="172"/>
  <c r="R2089" i="172"/>
  <c r="Q2089" i="172"/>
  <c r="R2103" i="172"/>
  <c r="Q2103" i="172"/>
  <c r="Q2109" i="172"/>
  <c r="R2109" i="172"/>
  <c r="Q2131" i="172"/>
  <c r="R2131" i="172"/>
  <c r="R2137" i="172"/>
  <c r="Q2137" i="172"/>
  <c r="Q2179" i="172"/>
  <c r="R2179" i="172"/>
  <c r="Q2185" i="172"/>
  <c r="R2185" i="172"/>
  <c r="Q2199" i="172"/>
  <c r="R2199" i="172"/>
  <c r="R2269" i="172"/>
  <c r="Q2269" i="172"/>
  <c r="R386" i="172"/>
  <c r="Q386" i="172"/>
  <c r="R459" i="172"/>
  <c r="Q459" i="172"/>
  <c r="Q543" i="172"/>
  <c r="R543" i="172"/>
  <c r="Q555" i="172"/>
  <c r="R555" i="172"/>
  <c r="Q773" i="172"/>
  <c r="R773" i="172"/>
  <c r="Q787" i="172"/>
  <c r="R787" i="172"/>
  <c r="R793" i="172"/>
  <c r="Q793" i="172"/>
  <c r="R970" i="172"/>
  <c r="Q970" i="172"/>
  <c r="R977" i="172"/>
  <c r="Q977" i="172"/>
  <c r="Q1022" i="172"/>
  <c r="R1022" i="172"/>
  <c r="R1029" i="172"/>
  <c r="Q1029" i="172"/>
  <c r="Q1037" i="172"/>
  <c r="R1037" i="172"/>
  <c r="R1043" i="172"/>
  <c r="Q1043" i="172"/>
  <c r="Q1105" i="172"/>
  <c r="R1105" i="172"/>
  <c r="R1111" i="172"/>
  <c r="Q1111" i="172"/>
  <c r="R1138" i="172"/>
  <c r="Q1138" i="172"/>
  <c r="Q1152" i="172"/>
  <c r="R1152" i="172"/>
  <c r="R1172" i="172"/>
  <c r="Q1172" i="172"/>
  <c r="R1258" i="172"/>
  <c r="Q1258" i="172"/>
  <c r="Q1271" i="172"/>
  <c r="R1271" i="172"/>
  <c r="Q1290" i="172"/>
  <c r="R1290" i="172"/>
  <c r="Q1309" i="172"/>
  <c r="R1309" i="172"/>
  <c r="Q1356" i="172"/>
  <c r="R1356" i="172"/>
  <c r="Q1511" i="172"/>
  <c r="R1511" i="172"/>
  <c r="Q1972" i="172"/>
  <c r="R1972" i="172"/>
  <c r="R1985" i="172"/>
  <c r="Q1985" i="172"/>
  <c r="Q2097" i="172"/>
  <c r="R2097" i="172"/>
  <c r="R2173" i="172"/>
  <c r="Q2173" i="172"/>
  <c r="Q2227" i="172"/>
  <c r="R2227" i="172"/>
  <c r="Q2263" i="172"/>
  <c r="R2263" i="172"/>
  <c r="R2299" i="172"/>
  <c r="Q2299" i="172"/>
  <c r="Q2306" i="172"/>
  <c r="R2306" i="172"/>
  <c r="P2312" i="172"/>
  <c r="Q494" i="172"/>
  <c r="R494" i="172"/>
  <c r="R1996" i="172"/>
  <c r="Q1996" i="172"/>
  <c r="Q2055" i="172"/>
  <c r="R2055" i="172"/>
  <c r="R2079" i="172"/>
  <c r="Q2079" i="172"/>
  <c r="Q2191" i="172"/>
  <c r="R2191" i="172"/>
  <c r="R2239" i="172"/>
  <c r="Q2239" i="172"/>
  <c r="R2247" i="172"/>
  <c r="Q2247" i="172"/>
  <c r="P2310" i="172"/>
  <c r="P2316" i="172"/>
  <c r="R2316" i="172" s="1"/>
  <c r="R2290" i="172"/>
  <c r="Q2290" i="172"/>
  <c r="R2305" i="172"/>
  <c r="Q2305" i="172"/>
  <c r="P2311" i="172"/>
  <c r="P2317" i="172"/>
  <c r="R640" i="172"/>
  <c r="Q1102" i="172"/>
  <c r="R1102" i="172"/>
  <c r="P2318" i="172"/>
  <c r="Q2318" i="172" s="1"/>
  <c r="R1589" i="172"/>
  <c r="Q1589" i="172"/>
  <c r="Q1728" i="172"/>
  <c r="R1728" i="172"/>
  <c r="Q554" i="172"/>
  <c r="R554" i="172"/>
  <c r="R2256" i="172"/>
  <c r="Q2256" i="172"/>
  <c r="R2165" i="172"/>
  <c r="Q2165" i="172"/>
  <c r="R1507" i="172"/>
  <c r="Q1507" i="172"/>
  <c r="R1137" i="172"/>
  <c r="R531" i="172"/>
  <c r="Q337" i="172"/>
  <c r="Q1024" i="172"/>
  <c r="R1024" i="172"/>
  <c r="R2244" i="172"/>
  <c r="Q2244" i="172"/>
  <c r="R946" i="172"/>
  <c r="Q946" i="172"/>
  <c r="Q1496" i="172"/>
  <c r="R1496" i="172"/>
  <c r="Q2282" i="172"/>
  <c r="R2282" i="172"/>
  <c r="R2169" i="172"/>
  <c r="Q2169" i="172"/>
  <c r="Q1683" i="172"/>
  <c r="R1683" i="172"/>
  <c r="Q813" i="172"/>
  <c r="R813" i="172"/>
  <c r="R672" i="172"/>
  <c r="Q672" i="172"/>
  <c r="R421" i="172"/>
  <c r="Q421" i="172"/>
  <c r="R1186" i="172"/>
  <c r="Q1186" i="172"/>
  <c r="Q1479" i="172"/>
  <c r="R1479" i="172"/>
  <c r="Q1665" i="172"/>
  <c r="R1665" i="172"/>
  <c r="Q2294" i="172"/>
  <c r="R2294" i="172"/>
  <c r="R2120" i="172"/>
  <c r="Q2120" i="172"/>
  <c r="Q1784" i="172"/>
  <c r="R1784" i="172"/>
  <c r="Q834" i="172"/>
  <c r="R834" i="172"/>
  <c r="Q2017" i="172"/>
  <c r="R2017" i="172"/>
  <c r="Q2108" i="172"/>
  <c r="R2108" i="172"/>
  <c r="R444" i="172"/>
  <c r="Q444" i="172"/>
  <c r="Q1078" i="172"/>
  <c r="R1078" i="172"/>
  <c r="R2093" i="172"/>
  <c r="Q2093" i="172"/>
  <c r="R2069" i="172"/>
  <c r="Q2069" i="172"/>
  <c r="Q1798" i="172"/>
  <c r="R1798" i="172"/>
  <c r="R2150" i="172"/>
  <c r="Q2150" i="172"/>
  <c r="R1383" i="172"/>
  <c r="Q1383" i="172"/>
  <c r="R585" i="172"/>
  <c r="Q585" i="172"/>
  <c r="Q594" i="172"/>
  <c r="R594" i="172"/>
  <c r="Q1819" i="172"/>
  <c r="R1819" i="172"/>
  <c r="Q2262" i="172"/>
  <c r="R2262" i="172"/>
  <c r="R1126" i="172"/>
  <c r="Q1126" i="172"/>
  <c r="R902" i="172"/>
  <c r="Q902" i="172"/>
  <c r="R1218" i="172"/>
  <c r="Q1218" i="172"/>
  <c r="R2231" i="172"/>
  <c r="Q2231" i="172"/>
  <c r="Q874" i="172"/>
  <c r="R874" i="172"/>
  <c r="Q1569" i="172"/>
  <c r="R1569" i="172"/>
  <c r="R800" i="172"/>
  <c r="Q800" i="172"/>
  <c r="Q923" i="172"/>
  <c r="R923" i="172"/>
  <c r="Q964" i="172"/>
  <c r="R964" i="172"/>
  <c r="R2045" i="172"/>
  <c r="Q2045" i="172"/>
  <c r="Q1751" i="172"/>
  <c r="R1751" i="172"/>
  <c r="Q1531" i="172"/>
  <c r="R1531" i="172"/>
  <c r="R2203" i="172"/>
  <c r="Q2203" i="172"/>
  <c r="R2105" i="172"/>
  <c r="Q2105" i="172"/>
  <c r="R750" i="172"/>
  <c r="Q750" i="172"/>
  <c r="Q1044" i="172"/>
  <c r="R1044" i="172"/>
  <c r="R1064" i="172"/>
  <c r="Q1064" i="172"/>
  <c r="Q1154" i="172"/>
  <c r="R1154" i="172"/>
  <c r="R2207" i="172"/>
  <c r="Q2207" i="172"/>
  <c r="R2123" i="172"/>
  <c r="Q2123" i="172"/>
  <c r="Q1791" i="172"/>
  <c r="R1791" i="172"/>
  <c r="Q2268" i="172"/>
  <c r="R2268" i="172"/>
  <c r="Q1412" i="172"/>
  <c r="R1412" i="172"/>
  <c r="Q928" i="172"/>
  <c r="R928" i="172"/>
  <c r="Q467" i="172"/>
  <c r="R467" i="172"/>
  <c r="Q1977" i="172"/>
  <c r="R1977" i="172"/>
  <c r="Q1774" i="172"/>
  <c r="R1774" i="172"/>
  <c r="R852" i="172"/>
  <c r="Q852" i="172"/>
  <c r="Q1551" i="172"/>
  <c r="R1551" i="172"/>
  <c r="Q1304" i="172"/>
  <c r="R1304" i="172"/>
  <c r="R607" i="172"/>
  <c r="Q607" i="172"/>
  <c r="R721" i="172"/>
  <c r="Q721" i="172"/>
  <c r="R2188" i="172"/>
  <c r="Q2188" i="172"/>
  <c r="Q2184" i="172"/>
  <c r="R2184" i="172"/>
  <c r="R2219" i="172"/>
  <c r="Q2219" i="172"/>
  <c r="R2081" i="172"/>
  <c r="Q2081" i="172"/>
  <c r="R1334" i="172"/>
  <c r="Q1334" i="172"/>
  <c r="Q1203" i="172"/>
  <c r="R1203" i="172"/>
  <c r="R1010" i="172"/>
  <c r="Q1010" i="172"/>
  <c r="Q1343" i="172"/>
  <c r="R1343" i="172"/>
  <c r="Q1645" i="172"/>
  <c r="R1645" i="172"/>
  <c r="R1242" i="172"/>
  <c r="Q1706" i="172"/>
  <c r="Q2138" i="172"/>
  <c r="R493" i="172"/>
  <c r="R896" i="172"/>
  <c r="Q2057" i="172"/>
  <c r="Q1266" i="172"/>
  <c r="R1918" i="172"/>
  <c r="R1400" i="172"/>
  <c r="R1607" i="172"/>
  <c r="R821" i="172"/>
  <c r="Q696" i="172"/>
  <c r="R776" i="172"/>
  <c r="R106" i="172"/>
  <c r="Q330" i="172"/>
  <c r="R1627" i="172"/>
  <c r="R1812" i="172"/>
  <c r="R1805" i="172"/>
  <c r="Q2135" i="172"/>
  <c r="R387" i="172"/>
  <c r="Q1890" i="172"/>
  <c r="Q331" i="172"/>
  <c r="R361" i="172"/>
  <c r="P368" i="172"/>
  <c r="Q364" i="172"/>
  <c r="R224" i="172"/>
  <c r="Q224" i="172"/>
  <c r="R29" i="172"/>
  <c r="Q29" i="172"/>
  <c r="Q139" i="172"/>
  <c r="R139" i="172"/>
  <c r="R251" i="172"/>
  <c r="Q251" i="172"/>
  <c r="Q171" i="172"/>
  <c r="R171" i="172"/>
  <c r="Q153" i="172"/>
  <c r="R153" i="172"/>
  <c r="Q41" i="172"/>
  <c r="R41" i="172"/>
  <c r="R105" i="172"/>
  <c r="Q105" i="172"/>
  <c r="R157" i="172"/>
  <c r="Q157" i="172"/>
  <c r="Q222" i="172"/>
  <c r="R222" i="172"/>
  <c r="R267" i="172"/>
  <c r="Q267" i="172"/>
  <c r="Q320" i="172"/>
  <c r="R320" i="172"/>
  <c r="R121" i="172"/>
  <c r="Q121" i="172"/>
  <c r="Q138" i="172"/>
  <c r="R138" i="172"/>
  <c r="Q186" i="172"/>
  <c r="R186" i="172"/>
  <c r="Q48" i="172"/>
  <c r="R48" i="172"/>
  <c r="R119" i="172"/>
  <c r="Q119" i="172"/>
  <c r="R184" i="172"/>
  <c r="Q184" i="172"/>
  <c r="Q223" i="172"/>
  <c r="R223" i="172"/>
  <c r="Q308" i="172"/>
  <c r="R308" i="172"/>
  <c r="Q344" i="172"/>
  <c r="R332" i="172"/>
  <c r="R350" i="172"/>
  <c r="Q343" i="172"/>
  <c r="R328" i="172"/>
  <c r="Q310" i="172"/>
  <c r="R310" i="172"/>
  <c r="R20" i="172"/>
  <c r="Q20" i="172"/>
  <c r="R122" i="172"/>
  <c r="Q122" i="172"/>
  <c r="R206" i="172"/>
  <c r="Q206" i="172"/>
  <c r="R278" i="172"/>
  <c r="Q278" i="172"/>
  <c r="Q136" i="172"/>
  <c r="R136" i="172"/>
  <c r="R188" i="172"/>
  <c r="Q188" i="172"/>
  <c r="Q240" i="172"/>
  <c r="R240" i="172"/>
  <c r="Q292" i="172"/>
  <c r="R292" i="172"/>
  <c r="R181" i="172"/>
  <c r="Q181" i="172"/>
  <c r="Q347" i="172"/>
  <c r="R360" i="172"/>
  <c r="Q349" i="172"/>
  <c r="Q352" i="172"/>
  <c r="R329" i="172"/>
  <c r="Q284" i="172"/>
  <c r="R284" i="172"/>
  <c r="R74" i="172"/>
  <c r="Q74" i="172"/>
  <c r="R30" i="172"/>
  <c r="Q30" i="172"/>
  <c r="Q296" i="172"/>
  <c r="R296" i="172"/>
  <c r="Q12" i="172"/>
  <c r="R12" i="172"/>
  <c r="R47" i="172"/>
  <c r="Q47" i="172"/>
  <c r="Q118" i="172"/>
  <c r="R118" i="172"/>
  <c r="R176" i="172"/>
  <c r="Q176" i="172"/>
  <c r="Q228" i="172"/>
  <c r="R228" i="172"/>
  <c r="Q274" i="172"/>
  <c r="R274" i="172"/>
  <c r="Q167" i="172"/>
  <c r="R167" i="172"/>
  <c r="R165" i="172"/>
  <c r="Q165" i="172"/>
  <c r="Q180" i="172"/>
  <c r="R180" i="172"/>
  <c r="R61" i="172"/>
  <c r="Q61" i="172"/>
  <c r="R126" i="172"/>
  <c r="Q126" i="172"/>
  <c r="Q190" i="172"/>
  <c r="R190" i="172"/>
  <c r="R342" i="172"/>
  <c r="R348" i="172"/>
  <c r="Q336" i="172"/>
  <c r="Q339" i="172"/>
  <c r="Q356" i="172"/>
  <c r="Q326" i="172"/>
  <c r="R263" i="172"/>
  <c r="Q263" i="172"/>
  <c r="R38" i="172"/>
  <c r="Q38" i="172"/>
  <c r="Q185" i="172"/>
  <c r="R185" i="172"/>
  <c r="R230" i="172"/>
  <c r="Q230" i="172"/>
  <c r="R270" i="172"/>
  <c r="Q270" i="172"/>
  <c r="Q322" i="172"/>
  <c r="R322" i="172"/>
  <c r="Q282" i="172"/>
  <c r="R282" i="172"/>
  <c r="Q26" i="172"/>
  <c r="R26" i="172"/>
  <c r="Q129" i="172"/>
  <c r="R129" i="172"/>
  <c r="Q213" i="172"/>
  <c r="R213" i="172"/>
  <c r="R194" i="172"/>
  <c r="Q194" i="172"/>
  <c r="R253" i="172"/>
  <c r="Q253" i="172"/>
  <c r="Q299" i="172"/>
  <c r="R299" i="172"/>
  <c r="Q354" i="172"/>
  <c r="Q351" i="172"/>
  <c r="Q110" i="172"/>
  <c r="R110" i="172"/>
  <c r="R57" i="172"/>
  <c r="Q57" i="172"/>
  <c r="Q125" i="172"/>
  <c r="R125" i="172"/>
  <c r="R100" i="172"/>
  <c r="Q100" i="172"/>
  <c r="Q212" i="172"/>
  <c r="R212" i="172"/>
  <c r="R290" i="172"/>
  <c r="Q290" i="172"/>
  <c r="R80" i="172"/>
  <c r="Q80" i="172"/>
  <c r="Q132" i="172"/>
  <c r="R132" i="172"/>
  <c r="Q196" i="172"/>
  <c r="R196" i="172"/>
  <c r="R346" i="172"/>
  <c r="Q357" i="172"/>
  <c r="Q199" i="172"/>
  <c r="R287" i="172"/>
  <c r="Q287" i="172"/>
  <c r="Q89" i="172"/>
  <c r="R89" i="172"/>
  <c r="R191" i="172"/>
  <c r="Q191" i="172"/>
  <c r="Q237" i="172"/>
  <c r="R237" i="172"/>
  <c r="R276" i="172"/>
  <c r="Q276" i="172"/>
  <c r="Q314" i="172"/>
  <c r="R314" i="172"/>
  <c r="Q45" i="172"/>
  <c r="R45" i="172"/>
  <c r="Q148" i="172"/>
  <c r="R148" i="172"/>
  <c r="Q233" i="172"/>
  <c r="R233" i="172"/>
  <c r="Q291" i="172"/>
  <c r="R291" i="172"/>
  <c r="Q266" i="172"/>
  <c r="R266" i="172"/>
  <c r="Q312" i="172"/>
  <c r="R312" i="172"/>
  <c r="Q14" i="172"/>
  <c r="R14" i="172"/>
  <c r="R355" i="172"/>
  <c r="Q359" i="172"/>
  <c r="R316" i="172"/>
  <c r="Q316" i="172"/>
  <c r="R66" i="172"/>
  <c r="Q66" i="172"/>
  <c r="R102" i="172"/>
  <c r="Q102" i="172"/>
  <c r="Q115" i="172"/>
  <c r="R115" i="172"/>
  <c r="Q109" i="172"/>
  <c r="R109" i="172"/>
  <c r="R271" i="172"/>
  <c r="Q271" i="172"/>
  <c r="R16" i="172"/>
  <c r="Q16" i="172"/>
  <c r="R73" i="172"/>
  <c r="Q73" i="172"/>
  <c r="Q131" i="172"/>
  <c r="R131" i="172"/>
  <c r="R189" i="172"/>
  <c r="Q189" i="172"/>
  <c r="R241" i="172"/>
  <c r="Q241" i="172"/>
  <c r="Q293" i="172"/>
  <c r="R293" i="172"/>
  <c r="Q248" i="172"/>
  <c r="R248" i="172"/>
  <c r="R264" i="172"/>
  <c r="Q264" i="172"/>
  <c r="Q17" i="172"/>
  <c r="R17" i="172"/>
  <c r="Q87" i="172"/>
  <c r="R87" i="172"/>
  <c r="Q145" i="172"/>
  <c r="R145" i="172"/>
  <c r="Q203" i="172"/>
  <c r="R203" i="172"/>
  <c r="R333" i="172"/>
  <c r="Q341" i="172"/>
  <c r="Q77" i="172"/>
  <c r="R135" i="172"/>
  <c r="Q135" i="172"/>
  <c r="R70" i="172"/>
  <c r="Q70" i="172"/>
  <c r="R198" i="172"/>
  <c r="Q198" i="172"/>
  <c r="Q243" i="172"/>
  <c r="R243" i="172"/>
  <c r="Q289" i="172"/>
  <c r="R289" i="172"/>
  <c r="Q71" i="172"/>
  <c r="R71" i="172"/>
  <c r="R161" i="172"/>
  <c r="Q161" i="172"/>
  <c r="Q239" i="172"/>
  <c r="R239" i="172"/>
  <c r="Q305" i="172"/>
  <c r="R305" i="172"/>
  <c r="R221" i="172"/>
  <c r="Q221" i="172"/>
  <c r="R273" i="172"/>
  <c r="Q273" i="172"/>
  <c r="R340" i="172"/>
  <c r="Q245" i="172"/>
  <c r="Q362" i="172"/>
  <c r="Q25" i="172"/>
  <c r="R235" i="172"/>
  <c r="Q235" i="172"/>
  <c r="Q97" i="172"/>
  <c r="R97" i="172"/>
  <c r="R147" i="172"/>
  <c r="Q147" i="172"/>
  <c r="Q44" i="172"/>
  <c r="R44" i="172"/>
  <c r="R22" i="172"/>
  <c r="Q22" i="172"/>
  <c r="R86" i="172"/>
  <c r="Q86" i="172"/>
  <c r="R144" i="172"/>
  <c r="Q144" i="172"/>
  <c r="Q208" i="172"/>
  <c r="R208" i="172"/>
  <c r="R254" i="172"/>
  <c r="Q254" i="172"/>
  <c r="R300" i="172"/>
  <c r="Q300" i="172"/>
  <c r="R317" i="172"/>
  <c r="Q317" i="172"/>
  <c r="Q76" i="172"/>
  <c r="R76" i="172"/>
  <c r="R23" i="172"/>
  <c r="Q23" i="172"/>
  <c r="Q93" i="172"/>
  <c r="R93" i="172"/>
  <c r="Q151" i="172"/>
  <c r="R151" i="172"/>
  <c r="Q210" i="172"/>
  <c r="R210" i="172"/>
  <c r="R54" i="172"/>
  <c r="R327" i="172"/>
  <c r="Q358" i="172"/>
  <c r="Q53" i="172"/>
  <c r="R53" i="172"/>
  <c r="Q64" i="172"/>
  <c r="R64" i="172"/>
  <c r="R313" i="172"/>
  <c r="Q313" i="172"/>
  <c r="R160" i="172"/>
  <c r="Q160" i="172"/>
  <c r="Q173" i="172"/>
  <c r="R173" i="172"/>
  <c r="R141" i="172"/>
  <c r="Q141" i="172"/>
  <c r="R192" i="172"/>
  <c r="Q192" i="172"/>
  <c r="Q204" i="172"/>
  <c r="R204" i="172"/>
  <c r="R250" i="172"/>
  <c r="Q250" i="172"/>
  <c r="R303" i="172"/>
  <c r="Q303" i="172"/>
  <c r="R177" i="172"/>
  <c r="Q177" i="172"/>
  <c r="R90" i="172"/>
  <c r="Q90" i="172"/>
  <c r="Q187" i="172"/>
  <c r="R187" i="172"/>
  <c r="Q252" i="172"/>
  <c r="R252" i="172"/>
  <c r="Q319" i="172"/>
  <c r="R319" i="172"/>
  <c r="Q227" i="172"/>
  <c r="R227" i="172"/>
  <c r="R279" i="172"/>
  <c r="Q279" i="172"/>
  <c r="R51" i="172"/>
  <c r="Q51" i="172"/>
  <c r="Q103" i="172"/>
  <c r="R103" i="172"/>
  <c r="R335" i="172"/>
  <c r="Q19" i="172"/>
  <c r="Q63" i="172"/>
  <c r="R63" i="172"/>
  <c r="Q231" i="172"/>
  <c r="R231" i="172"/>
  <c r="Q183" i="172"/>
  <c r="R183" i="172"/>
  <c r="Q277" i="172"/>
  <c r="R277" i="172"/>
  <c r="R96" i="172"/>
  <c r="Q96" i="172"/>
  <c r="R35" i="172"/>
  <c r="Q35" i="172"/>
  <c r="R92" i="172"/>
  <c r="Q92" i="172"/>
  <c r="R150" i="172"/>
  <c r="Q150" i="172"/>
  <c r="R215" i="172"/>
  <c r="Q215" i="172"/>
  <c r="Q260" i="172"/>
  <c r="R260" i="172"/>
  <c r="R307" i="172"/>
  <c r="Q307" i="172"/>
  <c r="R82" i="172"/>
  <c r="Q82" i="172"/>
  <c r="Q128" i="172"/>
  <c r="R128" i="172"/>
  <c r="Q42" i="172"/>
  <c r="R42" i="172"/>
  <c r="Q113" i="172"/>
  <c r="R113" i="172"/>
  <c r="Q158" i="172"/>
  <c r="R158" i="172"/>
  <c r="Q216" i="172"/>
  <c r="R216" i="172"/>
  <c r="R302" i="172"/>
  <c r="Q302" i="172"/>
  <c r="Q363" i="172"/>
  <c r="R334" i="172"/>
  <c r="Q50" i="172"/>
  <c r="R50" i="172"/>
  <c r="R225" i="172"/>
  <c r="Q225" i="172"/>
  <c r="Q244" i="172"/>
  <c r="R244" i="172"/>
  <c r="Q211" i="172"/>
  <c r="R211" i="172"/>
  <c r="Q256" i="172"/>
  <c r="R256" i="172"/>
  <c r="Q309" i="172"/>
  <c r="R309" i="172"/>
  <c r="Q217" i="172"/>
  <c r="R217" i="172"/>
  <c r="Q116" i="172"/>
  <c r="R116" i="172"/>
  <c r="R234" i="172"/>
  <c r="Q234" i="172"/>
  <c r="Q286" i="172"/>
  <c r="R286" i="172"/>
  <c r="R174" i="172"/>
  <c r="Q174" i="172"/>
  <c r="R140" i="172"/>
  <c r="Q140" i="172"/>
  <c r="Q65" i="172"/>
  <c r="R65" i="172"/>
  <c r="R78" i="172"/>
  <c r="Q78" i="172"/>
  <c r="R98" i="172"/>
  <c r="Q98" i="172"/>
  <c r="Q133" i="172"/>
  <c r="R133" i="172"/>
  <c r="R55" i="172"/>
  <c r="Q55" i="172"/>
  <c r="R31" i="172"/>
  <c r="Q31" i="172"/>
  <c r="Q205" i="172"/>
  <c r="R205" i="172"/>
  <c r="R323" i="172"/>
  <c r="Q323" i="172"/>
  <c r="Q304" i="172"/>
  <c r="R304" i="172"/>
  <c r="R37" i="172"/>
  <c r="Q37" i="172"/>
  <c r="Q238" i="172"/>
  <c r="R238" i="172"/>
  <c r="R229" i="172"/>
  <c r="Q229" i="172"/>
  <c r="R242" i="172"/>
  <c r="Q242" i="172"/>
  <c r="Q249" i="172"/>
  <c r="R249" i="172"/>
  <c r="Q255" i="172"/>
  <c r="R255" i="172"/>
  <c r="Q261" i="172"/>
  <c r="R261" i="172"/>
  <c r="Q268" i="172"/>
  <c r="R268" i="172"/>
  <c r="R275" i="172"/>
  <c r="Q275" i="172"/>
  <c r="Q281" i="172"/>
  <c r="R281" i="172"/>
  <c r="Q288" i="172"/>
  <c r="R288" i="172"/>
  <c r="Q294" i="172"/>
  <c r="R294" i="172"/>
  <c r="R18" i="172"/>
  <c r="Q18" i="172"/>
  <c r="R24" i="172"/>
  <c r="Q24" i="172"/>
  <c r="R43" i="172"/>
  <c r="Q43" i="172"/>
  <c r="Q49" i="172"/>
  <c r="R49" i="172"/>
  <c r="R62" i="172"/>
  <c r="Q62" i="172"/>
  <c r="Q69" i="172"/>
  <c r="R69" i="172"/>
  <c r="Q75" i="172"/>
  <c r="R75" i="172"/>
  <c r="R88" i="172"/>
  <c r="Q88" i="172"/>
  <c r="R94" i="172"/>
  <c r="Q94" i="172"/>
  <c r="R107" i="172"/>
  <c r="Q107" i="172"/>
  <c r="R114" i="172"/>
  <c r="Q114" i="172"/>
  <c r="Q120" i="172"/>
  <c r="R120" i="172"/>
  <c r="R127" i="172"/>
  <c r="Q127" i="172"/>
  <c r="R146" i="172"/>
  <c r="Q146" i="172"/>
  <c r="R152" i="172"/>
  <c r="Q152" i="172"/>
  <c r="R159" i="172"/>
  <c r="Q159" i="172"/>
  <c r="R166" i="172"/>
  <c r="Q166" i="172"/>
  <c r="R193" i="172"/>
  <c r="Q193" i="172"/>
  <c r="Q265" i="172"/>
  <c r="R265" i="172"/>
  <c r="R285" i="172"/>
  <c r="Q285" i="172"/>
  <c r="R298" i="172"/>
  <c r="Q298" i="172"/>
  <c r="R311" i="172"/>
  <c r="Q311" i="172"/>
  <c r="R52" i="172"/>
  <c r="Q52" i="172"/>
  <c r="Q21" i="172"/>
  <c r="R21" i="172"/>
  <c r="R46" i="172"/>
  <c r="Q46" i="172"/>
  <c r="Q72" i="172"/>
  <c r="R72" i="172"/>
  <c r="R91" i="172"/>
  <c r="Q91" i="172"/>
  <c r="R117" i="172"/>
  <c r="Q117" i="172"/>
  <c r="R124" i="172"/>
  <c r="Q124" i="172"/>
  <c r="R130" i="172"/>
  <c r="Q130" i="172"/>
  <c r="R149" i="172"/>
  <c r="Q149" i="172"/>
  <c r="R155" i="172"/>
  <c r="Q155" i="172"/>
  <c r="R214" i="172"/>
  <c r="Q214" i="172"/>
  <c r="R104" i="172"/>
  <c r="Q104" i="172"/>
  <c r="R162" i="172"/>
  <c r="Q162" i="172"/>
  <c r="Q27" i="172"/>
  <c r="R27" i="172"/>
  <c r="R226" i="172"/>
  <c r="Q226" i="172"/>
  <c r="Q85" i="172"/>
  <c r="R85" i="172"/>
  <c r="R154" i="172"/>
  <c r="Q154" i="172"/>
  <c r="R295" i="172"/>
  <c r="Q295" i="172"/>
  <c r="Q366" i="172"/>
  <c r="R195" i="172"/>
  <c r="Q195" i="172"/>
  <c r="Q218" i="172"/>
  <c r="R218" i="172"/>
  <c r="R81" i="172"/>
  <c r="Q81" i="172"/>
  <c r="Q27" i="178" l="1"/>
  <c r="C18" i="165" s="1"/>
  <c r="R27" i="178"/>
  <c r="D18" i="165" s="1"/>
  <c r="AG51" i="175"/>
  <c r="D15" i="165" s="1"/>
  <c r="AF51" i="175"/>
  <c r="C15" i="165" s="1"/>
  <c r="Q1116" i="177"/>
  <c r="C17" i="165" s="1"/>
  <c r="R905" i="174"/>
  <c r="D13" i="165" s="1"/>
  <c r="R1116" i="177"/>
  <c r="D17" i="165" s="1"/>
  <c r="AC148" i="176"/>
  <c r="C16" i="165" s="1"/>
  <c r="Q905" i="174"/>
  <c r="C13" i="165" s="1"/>
  <c r="AD148" i="176"/>
  <c r="D16" i="165" s="1"/>
  <c r="Q23" i="173"/>
  <c r="Q11" i="173"/>
  <c r="Q19" i="173"/>
  <c r="R14" i="173"/>
  <c r="Q12" i="173"/>
  <c r="Q15" i="173"/>
  <c r="Q16" i="173"/>
  <c r="R2622" i="172"/>
  <c r="R2614" i="172"/>
  <c r="Q2629" i="172"/>
  <c r="R2608" i="172"/>
  <c r="Q2615" i="172"/>
  <c r="Q2630" i="172"/>
  <c r="Q2617" i="172"/>
  <c r="R2604" i="172"/>
  <c r="Q2605" i="172"/>
  <c r="R2602" i="172"/>
  <c r="Q2631" i="172"/>
  <c r="R2619" i="172"/>
  <c r="R2594" i="172"/>
  <c r="R2626" i="172"/>
  <c r="Q2591" i="172"/>
  <c r="R2625" i="172"/>
  <c r="Q2616" i="172"/>
  <c r="Q2598" i="172"/>
  <c r="R2599" i="172"/>
  <c r="Q2623" i="172"/>
  <c r="Q2633" i="172"/>
  <c r="Q2601" i="172"/>
  <c r="Q2618" i="172"/>
  <c r="Q2624" i="172"/>
  <c r="Q2609" i="172"/>
  <c r="Q2628" i="172"/>
  <c r="Q2627" i="172"/>
  <c r="Q2593" i="172"/>
  <c r="Q2613" i="172"/>
  <c r="Q2612" i="172"/>
  <c r="Q2603" i="172"/>
  <c r="Q2607" i="172"/>
  <c r="Q2592" i="172"/>
  <c r="R2632" i="172"/>
  <c r="R2596" i="172"/>
  <c r="Q2606" i="172"/>
  <c r="Q2610" i="172"/>
  <c r="R2620" i="172"/>
  <c r="Q2597" i="172"/>
  <c r="Q2563" i="172"/>
  <c r="Q2541" i="172"/>
  <c r="R2541" i="172"/>
  <c r="Q2382" i="172"/>
  <c r="Q2568" i="172"/>
  <c r="Q2567" i="172"/>
  <c r="R2521" i="172"/>
  <c r="R2383" i="172"/>
  <c r="R2569" i="172"/>
  <c r="Q2569" i="172"/>
  <c r="Q2561" i="172"/>
  <c r="R2561" i="172"/>
  <c r="R2559" i="172"/>
  <c r="Q2559" i="172"/>
  <c r="R2540" i="172"/>
  <c r="R2522" i="172"/>
  <c r="Q2558" i="172"/>
  <c r="R2558" i="172"/>
  <c r="Q2539" i="172"/>
  <c r="R2539" i="172"/>
  <c r="R2538" i="172"/>
  <c r="Q2538" i="172"/>
  <c r="R2392" i="172"/>
  <c r="Q2566" i="172"/>
  <c r="R2536" i="172"/>
  <c r="Q2536" i="172"/>
  <c r="Q2564" i="172"/>
  <c r="Q2562" i="172"/>
  <c r="Q2505" i="172"/>
  <c r="Q2527" i="172"/>
  <c r="Q2517" i="172"/>
  <c r="R2519" i="172"/>
  <c r="R2512" i="172"/>
  <c r="Q2524" i="172"/>
  <c r="Q2506" i="172"/>
  <c r="R2506" i="172"/>
  <c r="Q2504" i="172"/>
  <c r="R2504" i="172"/>
  <c r="R2508" i="172"/>
  <c r="Q2508" i="172"/>
  <c r="Q2525" i="172"/>
  <c r="R2525" i="172"/>
  <c r="R2500" i="172"/>
  <c r="Q2500" i="172"/>
  <c r="Q2498" i="172"/>
  <c r="R2498" i="172"/>
  <c r="R2502" i="172"/>
  <c r="Q2502" i="172"/>
  <c r="R2514" i="172"/>
  <c r="Q2514" i="172"/>
  <c r="R2520" i="172"/>
  <c r="Q2520" i="172"/>
  <c r="Q2516" i="172"/>
  <c r="R2516" i="172"/>
  <c r="R2529" i="172"/>
  <c r="Q2529" i="172"/>
  <c r="R2499" i="172"/>
  <c r="R2509" i="172"/>
  <c r="R2507" i="172"/>
  <c r="R2501" i="172"/>
  <c r="Q2515" i="172"/>
  <c r="R2532" i="172"/>
  <c r="Q2532" i="172"/>
  <c r="R2401" i="172"/>
  <c r="Q2526" i="172"/>
  <c r="Q2393" i="172"/>
  <c r="Q2384" i="172"/>
  <c r="Q2394" i="172"/>
  <c r="R2391" i="172"/>
  <c r="R2395" i="172"/>
  <c r="R2388" i="172"/>
  <c r="R2385" i="172"/>
  <c r="Q2386" i="172"/>
  <c r="Q2397" i="172"/>
  <c r="Q2310" i="172"/>
  <c r="R2310" i="172"/>
  <c r="R2315" i="172"/>
  <c r="Q2315" i="172"/>
  <c r="Q2309" i="172"/>
  <c r="R2309" i="172"/>
  <c r="R2313" i="172"/>
  <c r="Q2313" i="172"/>
  <c r="Q2314" i="172"/>
  <c r="R2314" i="172"/>
  <c r="Q2316" i="172"/>
  <c r="R2317" i="172"/>
  <c r="Q2317" i="172"/>
  <c r="R2311" i="172"/>
  <c r="Q2311" i="172"/>
  <c r="Q2312" i="172"/>
  <c r="R2312" i="172"/>
  <c r="R2318" i="172"/>
  <c r="R324" i="172"/>
  <c r="Q324" i="172"/>
  <c r="R368" i="172"/>
  <c r="Q368" i="172"/>
  <c r="C14" i="165" l="1"/>
  <c r="D14" i="165"/>
  <c r="P11" i="172"/>
  <c r="Q11" i="172" l="1"/>
  <c r="R11" i="172"/>
  <c r="P46" i="173" l="1"/>
  <c r="P2667" i="172"/>
  <c r="P2668" i="172"/>
  <c r="P2678" i="172"/>
  <c r="P2670" i="172"/>
  <c r="P2704" i="172"/>
  <c r="P2488" i="172"/>
  <c r="P2491" i="172"/>
  <c r="P2492" i="172"/>
  <c r="P2691" i="172"/>
  <c r="P2690" i="172"/>
  <c r="P2494" i="172"/>
  <c r="P2489" i="172"/>
  <c r="P2677" i="172"/>
  <c r="P2679" i="172"/>
  <c r="P48" i="173"/>
  <c r="P2490" i="172"/>
  <c r="P2493" i="172"/>
  <c r="R2690" i="172" l="1"/>
  <c r="Q2690" i="172"/>
  <c r="R2691" i="172"/>
  <c r="Q2691" i="172"/>
  <c r="R2704" i="172"/>
  <c r="Q2704" i="172"/>
  <c r="R46" i="173"/>
  <c r="Q46" i="173"/>
  <c r="R48" i="173"/>
  <c r="Q48" i="173"/>
  <c r="R2670" i="172"/>
  <c r="Q2670" i="172"/>
  <c r="R2668" i="172"/>
  <c r="Q2668" i="172"/>
  <c r="R2677" i="172"/>
  <c r="Q2677" i="172"/>
  <c r="R2667" i="172"/>
  <c r="Q2667" i="172"/>
  <c r="R2679" i="172"/>
  <c r="Q2679" i="172"/>
  <c r="R2678" i="172"/>
  <c r="Q2678" i="172"/>
  <c r="P2535" i="172"/>
  <c r="Q2535" i="172" s="1"/>
  <c r="P2547" i="172"/>
  <c r="P2555" i="172"/>
  <c r="Q2555" i="172" s="1"/>
  <c r="P2548" i="172"/>
  <c r="P2544" i="172"/>
  <c r="Q2544" i="172" s="1"/>
  <c r="P2556" i="172"/>
  <c r="R2556" i="172" s="1"/>
  <c r="P2549" i="172"/>
  <c r="R2549" i="172" s="1"/>
  <c r="P2543" i="172"/>
  <c r="P2546" i="172"/>
  <c r="P2550" i="172"/>
  <c r="P2551" i="172"/>
  <c r="R2551" i="172" s="1"/>
  <c r="P2542" i="172"/>
  <c r="P2552" i="172"/>
  <c r="P2545" i="172"/>
  <c r="Q2545" i="172" s="1"/>
  <c r="P2537" i="172"/>
  <c r="P2554" i="172"/>
  <c r="P2553" i="172"/>
  <c r="P2557" i="172"/>
  <c r="R2557" i="172" s="1"/>
  <c r="Q2492" i="172"/>
  <c r="R2492" i="172"/>
  <c r="Q2488" i="172"/>
  <c r="R2488" i="172"/>
  <c r="Q2489" i="172"/>
  <c r="R2489" i="172"/>
  <c r="R2494" i="172"/>
  <c r="Q2494" i="172"/>
  <c r="R2493" i="172"/>
  <c r="Q2493" i="172"/>
  <c r="R2490" i="172"/>
  <c r="Q2490" i="172"/>
  <c r="R2491" i="172"/>
  <c r="Q2491" i="172"/>
  <c r="R61" i="173" l="1"/>
  <c r="D12" i="165" s="1"/>
  <c r="Q61" i="173"/>
  <c r="C12" i="165" s="1"/>
  <c r="Q2547" i="172"/>
  <c r="R2547" i="172"/>
  <c r="Q2556" i="172"/>
  <c r="Q2550" i="172"/>
  <c r="R2550" i="172"/>
  <c r="R2544" i="172"/>
  <c r="R2555" i="172"/>
  <c r="Q2549" i="172"/>
  <c r="R2535" i="172"/>
  <c r="Q2551" i="172"/>
  <c r="R2548" i="172"/>
  <c r="Q2548" i="172"/>
  <c r="R2552" i="172"/>
  <c r="Q2552" i="172"/>
  <c r="R2553" i="172"/>
  <c r="Q2553" i="172"/>
  <c r="Q2543" i="172"/>
  <c r="R2543" i="172"/>
  <c r="Q2542" i="172"/>
  <c r="R2542" i="172"/>
  <c r="Q2554" i="172"/>
  <c r="R2554" i="172"/>
  <c r="Q2546" i="172"/>
  <c r="R2546" i="172"/>
  <c r="Q2537" i="172"/>
  <c r="R2537" i="172"/>
  <c r="R2545" i="172"/>
  <c r="Q2557" i="172"/>
  <c r="P2674" i="172" l="1"/>
  <c r="Q2674" i="172" l="1"/>
  <c r="R2674" i="172"/>
  <c r="R2731" i="172" s="1"/>
  <c r="D11" i="165" s="1"/>
  <c r="Q2731" i="172" l="1"/>
  <c r="C11" i="165" s="1"/>
  <c r="C21" i="165" s="1"/>
  <c r="C10" i="165" l="1"/>
  <c r="C22" i="165"/>
  <c r="C23" i="165" s="1"/>
  <c r="D19" i="165" l="1"/>
  <c r="D10" i="165" l="1"/>
  <c r="D21" i="165"/>
  <c r="D22" i="165" l="1"/>
  <c r="D23" i="165" s="1"/>
</calcChain>
</file>

<file path=xl/sharedStrings.xml><?xml version="1.0" encoding="utf-8"?>
<sst xmlns="http://schemas.openxmlformats.org/spreadsheetml/2006/main" count="19974" uniqueCount="4098">
  <si>
    <t>STT</t>
  </si>
  <si>
    <t>Diễn giải</t>
  </si>
  <si>
    <t>A</t>
  </si>
  <si>
    <t>I</t>
  </si>
  <si>
    <t>Cái</t>
  </si>
  <si>
    <t>II</t>
  </si>
  <si>
    <t>Tủ</t>
  </si>
  <si>
    <t>m</t>
  </si>
  <si>
    <t>Bộ</t>
  </si>
  <si>
    <t>III</t>
  </si>
  <si>
    <t>IV</t>
  </si>
  <si>
    <t>Biến dòng hạ thế 3200/5A</t>
  </si>
  <si>
    <t>Quả</t>
  </si>
  <si>
    <t>Đầu vào:</t>
  </si>
  <si>
    <t>Đèn báo pha</t>
  </si>
  <si>
    <t>MCCB 4P 32A 65kA</t>
  </si>
  <si>
    <t>Đầu ra:</t>
  </si>
  <si>
    <t>Lô</t>
  </si>
  <si>
    <t>ACB 4P 1600AT 1600AF 65kA Fixed</t>
  </si>
  <si>
    <t>B</t>
  </si>
  <si>
    <t>Gói</t>
  </si>
  <si>
    <t>C</t>
  </si>
  <si>
    <t>Tủ điện LV-G.1+LV-G.2+LV-G.3+LV-G.4+LV-G.5+LV-G.6</t>
  </si>
  <si>
    <t>ACB Fixed 4P 3200AT 3200AF 65kA , bảo vệ quá dòng, chạm đất, quá áp, thấp áp, đo lường class 1, kết nối NFC/ Bluetooth.</t>
  </si>
  <si>
    <t>Cuộn cắt 220VAC cho ACB Fixed dòng MTZ</t>
  </si>
  <si>
    <t>Cuộn UVT 220VAC cho ACB Fixed dòng MTZ</t>
  </si>
  <si>
    <t>Khóa đóng cắt ACB</t>
  </si>
  <si>
    <t>Bộ hòa đồng bộ 2 máy phát</t>
  </si>
  <si>
    <t>Đèn báo trạng thái On/OFF/TRIP ACB</t>
  </si>
  <si>
    <t>Đồng hồ Volt 0-450VAC</t>
  </si>
  <si>
    <t>Chuyển mạch Volt 7 vị trí</t>
  </si>
  <si>
    <t>Đồng hồ Ampe 0-3200A</t>
  </si>
  <si>
    <t>Cầu chi 2A</t>
  </si>
  <si>
    <t xml:space="preserve">ACB Fixed 4P 3000AT 3200AF 65kA </t>
  </si>
  <si>
    <t>MCCB 4P 1250AT 1250AF 50kA</t>
  </si>
  <si>
    <t>MCCB 4P 1000AT 1000AF 50kA</t>
  </si>
  <si>
    <t>MCCB 4P 400AT 400AF 50kA</t>
  </si>
  <si>
    <t>MCCB 4P 320AT 400AF 50kA</t>
  </si>
  <si>
    <t>MCCB 4P 250AT 250AF 50kA</t>
  </si>
  <si>
    <t>Đồng thanh cái chính 6400A+100%N+25%E mạ thiếc</t>
  </si>
  <si>
    <t>Đồng thanh cái nhánh mạ thiếc</t>
  </si>
  <si>
    <t>Đồng thanh cái kết nối Busway 3200A + cáp tiếp địa + Cos + Nhân công lắp đặt + (nắp chụp nếu có)</t>
  </si>
  <si>
    <t>Đồng thanh cái kết nối Busway 1600A + cáp tiếp địa + Cos + Nhân công lắp đặt + (nắp chụp nếu có)</t>
  </si>
  <si>
    <t>Nhân công + phụ kiện lắp đặt</t>
  </si>
  <si>
    <t>Tủ điện MSB1.7+MSB1.8+MSB1.9</t>
  </si>
  <si>
    <t>MCCB 4P 320AT 400AF 50kA, kèm Vigi Module bảo vệ dòng rò</t>
  </si>
  <si>
    <t>ATS 4P 400A</t>
  </si>
  <si>
    <t>Bộ điều khiển ATS</t>
  </si>
  <si>
    <t>Biến dòng hạ thế 400/5A</t>
  </si>
  <si>
    <t>Đồng hồ KTS đa chức năng (đo lường I, U, F, P, Q, S, PF, THD, Accuracy 0.5%, kết nối BMS), truyền thông Modbus</t>
  </si>
  <si>
    <t>MCCB 3P 125AT 160AF 50kA</t>
  </si>
  <si>
    <t>MCCB 3P 80AT 100AF 50kA</t>
  </si>
  <si>
    <t>MCCB 3P 63AT 100AF 50kA</t>
  </si>
  <si>
    <t>MCCB 3P 50AT 100AF 50kA</t>
  </si>
  <si>
    <t>MCCB 3P 100AT 100AF 50kA</t>
  </si>
  <si>
    <t>MCCB 3P 32AT 100AF 50kA</t>
  </si>
  <si>
    <t>Công tơ 3 pha đo gián tiếp</t>
  </si>
  <si>
    <t>Biến dòng hạ thế 100/5A</t>
  </si>
  <si>
    <t>Bộ nguồn 1P 220VAC/24VDC 100W</t>
  </si>
  <si>
    <t>Đồng thanh cái chính 320A+100%N+25%E mạ thiếc</t>
  </si>
  <si>
    <t>Nhân công+phụ kiện lắp đặt</t>
  </si>
  <si>
    <t>Tủ điện MSB1.5+MSB1.6</t>
  </si>
  <si>
    <t>MCCB 4P 250AT 250AF 50kA, kèm Vigi Module bảo vệ dòng rò</t>
  </si>
  <si>
    <t>ATS 4P 250A</t>
  </si>
  <si>
    <t>Biến dòng hạ thế 250/5A</t>
  </si>
  <si>
    <t>MCCB 3P 40AT 100AF 50kA</t>
  </si>
  <si>
    <t>Đồng thanh cái chính 250A+100%N+25%E mạ thiếc</t>
  </si>
  <si>
    <t>Tủ điện MSB1.1+MSB1.2+MSB1.3+MSB1.4</t>
  </si>
  <si>
    <t>Chống sét lan truyền 3P+N, 400V, Imax = 65kA (8/20μs)</t>
  </si>
  <si>
    <t xml:space="preserve">ACB Fixed 4P 3200AT 3200AF 65kA </t>
  </si>
  <si>
    <t>Liên động cơ điện có ATS cho 2 ACB</t>
  </si>
  <si>
    <t>MCB 2P 10A 6kA</t>
  </si>
  <si>
    <t>Bộ liên động cơ cho 2 ACB</t>
  </si>
  <si>
    <t>Bộ nguồn UPS 1KVA 220VAC Line-Interactive</t>
  </si>
  <si>
    <t>Rơ le bảo vệ điện áp</t>
  </si>
  <si>
    <t xml:space="preserve">Bộ điều khiển Logo + Module phụ </t>
  </si>
  <si>
    <t>Chuyển mạch Auto-manu</t>
  </si>
  <si>
    <t>Relay trung gian+đế</t>
  </si>
  <si>
    <t>ACB Fixed 4P 2000AT 2000AF 65kA , bảo vệ quá dòng,dòng rò, đo lường class 1, kết nối NFC/ Bluetooth.</t>
  </si>
  <si>
    <t>Đồng thanh cái chính 3200A+100%N+25%E mạ thiếc</t>
  </si>
  <si>
    <t>Đồng thanh cái kết nối Busway 2000A + cáp tiếp địa + Cos + Nhân công lắp đặt + (nắp chụp nếu có)</t>
  </si>
  <si>
    <t>Tủ điện EMSB2.1+EMSB2.2+EMSB2.3+EMSB2.4</t>
  </si>
  <si>
    <t>Bộ liên động cơ cho 2 ACB (1000A)</t>
  </si>
  <si>
    <t>Biến dòng hạ thế 2000/5A</t>
  </si>
  <si>
    <t>MCCB 3P 630AT 630AF 50kA</t>
  </si>
  <si>
    <t>MCCB 3P 400AT 400AF 50kA</t>
  </si>
  <si>
    <t>MCCB 3P 250AT 250AF 50kA</t>
  </si>
  <si>
    <t>MCCB 3P 160AT 160AF 50kA</t>
  </si>
  <si>
    <t>MCCB 3P 25AT 100AF 50kA</t>
  </si>
  <si>
    <t>Đồng thanh cái chính 1600A+100%N+25%E mạ thiếc</t>
  </si>
  <si>
    <t>Tủ điện MSB2.8+MSB2.9</t>
  </si>
  <si>
    <t>MCCB 4P 400AT 400AT 50kA</t>
  </si>
  <si>
    <t>Đồng thanh cái chính 100%N+25%E mạ thiếc</t>
  </si>
  <si>
    <t>Đồng thanh cái chính 400A+100%N+25%E mạ thiếc</t>
  </si>
  <si>
    <t>Tủ điện MSB2.6+MSB2.7</t>
  </si>
  <si>
    <t>MCCB 3P 200AT 250AF 50kA</t>
  </si>
  <si>
    <t>Tủ điện MSB2.1+MSB2.2+MSB2.3+MSB2.4</t>
  </si>
  <si>
    <t>Bộ liên động cơ cho 2 ACB (1600A)</t>
  </si>
  <si>
    <t>Biến dòng hạ thế 1600/5A</t>
  </si>
  <si>
    <t>MCCB 3P 500AT 500AF 50kA</t>
  </si>
  <si>
    <t>MCCB 3P 320AT 400AF 50kA</t>
  </si>
  <si>
    <t>Tủ điện MSB2.5</t>
  </si>
  <si>
    <t>MCCB 4P 1250AT 1250AT 50kA</t>
  </si>
  <si>
    <t>Liên động cơ điện có ATS cho 2 MCCB</t>
  </si>
  <si>
    <t>Biến dòng hạ thế 1250/5A</t>
  </si>
  <si>
    <t>Rơ le bảo vệ dòng rò</t>
  </si>
  <si>
    <t>Đồng thanh cái chính 1250A+100%N+25%E mạ thiếc</t>
  </si>
  <si>
    <t>D</t>
  </si>
  <si>
    <t>Cáp điện 0,6kV, lõi đồng, cách điện FR</t>
  </si>
  <si>
    <t>Cu/FR/XLPE (1x240)mm2</t>
  </si>
  <si>
    <t>Cu/FR/XLPE (3x240+1x120)mm2</t>
  </si>
  <si>
    <t>Cu/FR/XLPE (1x185)mm2</t>
  </si>
  <si>
    <t>Cu/FR/XLPE (1x120)mm2</t>
  </si>
  <si>
    <t>Cu/FR/XLPE (1x70)mm2</t>
  </si>
  <si>
    <t>Cu/FR/XLPE (4x50)mm2</t>
  </si>
  <si>
    <t>Cu/FR/XLPE (4x35)mm2</t>
  </si>
  <si>
    <t>Cu/FR/XLPE (4x25)mm2</t>
  </si>
  <si>
    <t>Cu/FR/XLPE (4x16)mm2</t>
  </si>
  <si>
    <t>Cu/FR/XLPE (4x10)mm2</t>
  </si>
  <si>
    <t>Cu/FR/XLPE (4x6)mm2</t>
  </si>
  <si>
    <t>Cu/FR/XLPE (4x4)mm2</t>
  </si>
  <si>
    <t>Cáp điện 0,6kV, lõi đồng, cách điện XLPE, vỏ PVC, tiết diện:</t>
  </si>
  <si>
    <t>Cu/XLPE/PVC (3x240+1x120)mm2</t>
  </si>
  <si>
    <t>Cu/XLPE/PVC (3x185+1x95)mm2</t>
  </si>
  <si>
    <t>Cu/XLPE/PVC (3x120+1x70)mm2</t>
  </si>
  <si>
    <t>Cu/XLPE/PVC (1x185)mm2</t>
  </si>
  <si>
    <t>Cu/XLPE/PVC (1x120)mm2</t>
  </si>
  <si>
    <t>Cu/XLPE/PVC (1x95)mm2</t>
  </si>
  <si>
    <t>Cu/XLPE/PVC (1x70)mm2</t>
  </si>
  <si>
    <t>Cu/XLPE/PVC (4x50)mm2</t>
  </si>
  <si>
    <t>Cu/XLPE/PVC (4x35)mm2</t>
  </si>
  <si>
    <t>Cu/XLPE/PVC (4x25)mm2</t>
  </si>
  <si>
    <t>Cu/XLPE/PVC (4x16)mm2</t>
  </si>
  <si>
    <t>Cu/XLPE/PVC (4x10)mm2</t>
  </si>
  <si>
    <t>Cu/XLPE/PVC (4x6)mm2</t>
  </si>
  <si>
    <t>Cu/XLPE/PVC (4x4)mm2</t>
  </si>
  <si>
    <t>Dây tiếp địa 0.6kV Cu/PVC, tiết diện:</t>
  </si>
  <si>
    <t>Cu/PVC (1x185)mm2</t>
  </si>
  <si>
    <t>Cu/PVC (1x120)mm2</t>
  </si>
  <si>
    <t>Cu/PVC (1x95)mm2</t>
  </si>
  <si>
    <t>Cu/PVC (1x70)mm2</t>
  </si>
  <si>
    <t>Cu/PVC (1x50)mm2</t>
  </si>
  <si>
    <t>Cu/PVC  (1x35)mm2</t>
  </si>
  <si>
    <t>Cu/PVC  (1x25)mm2</t>
  </si>
  <si>
    <t>Cu/PVC  (1x16)mm2</t>
  </si>
  <si>
    <t>Cu/PVC (1x10)mm2</t>
  </si>
  <si>
    <t>Cu/PVC (1x6)mm2</t>
  </si>
  <si>
    <t>Cu/PVC (1x4)mm2</t>
  </si>
  <si>
    <t>Tủ điện TĐ-H2</t>
  </si>
  <si>
    <t>Vỏ tủ trong nhà KT: C1000xR800xS300mm, tôn dày 1.5~2 ly, hai lớp cánh, sơn tĩnh điện màu RAL7032 sần.</t>
  </si>
  <si>
    <t>Kích thước tạm tính</t>
  </si>
  <si>
    <t>Incomming</t>
  </si>
  <si>
    <t>MCCB 4P 40A 18kA</t>
  </si>
  <si>
    <t>Cầu chì 2A</t>
  </si>
  <si>
    <t>Outgoing</t>
  </si>
  <si>
    <t>RCCB 2P 25A 30mA</t>
  </si>
  <si>
    <t>MCB 1P 16A 6kA</t>
  </si>
  <si>
    <t>MCB 1P 10A 6kA</t>
  </si>
  <si>
    <t>MCB 2P 6A 6kA</t>
  </si>
  <si>
    <t xml:space="preserve">Mạch điều khiển chiếu sáng </t>
  </si>
  <si>
    <t>Contactor 2P 16A, Coil 220VAC</t>
  </si>
  <si>
    <t>Chuyển mạch Auto-Manu</t>
  </si>
  <si>
    <t>Rơ le trung gian kèm đế</t>
  </si>
  <si>
    <t>Bộ nguồn 1P 220VAC/24VDC 200W</t>
  </si>
  <si>
    <t>Đồng thanh cái chính 40A + 100%N + 25%E (mạ thiếc)</t>
  </si>
  <si>
    <t>Thanh cài răng lược</t>
  </si>
  <si>
    <t>Nhân công và vật tư phụ hoàn thiện tủ (bọc cách điện, cầu chì, dây nhị thứ, sứ đỡ, cầu đấu…)</t>
  </si>
  <si>
    <t>Tủ điện TĐ-H1</t>
  </si>
  <si>
    <t>MCCB 4P 50A 18kA</t>
  </si>
  <si>
    <t>RCCB 4P 25A 30mA</t>
  </si>
  <si>
    <t>MCB 3P 16A 10kA</t>
  </si>
  <si>
    <t>Mạch khởi động 3P (DOL 3.7kW)</t>
  </si>
  <si>
    <t>Contactor 3P 12A, Coil 220VAC</t>
  </si>
  <si>
    <t>Tiếp điểm phụ cho Contactor</t>
  </si>
  <si>
    <t>Rơ le nhiệt 5.5~8A</t>
  </si>
  <si>
    <t>Đèn báo lỗi (Yellow)</t>
  </si>
  <si>
    <t xml:space="preserve">Nút ấn ON/OFF có đèn báo </t>
  </si>
  <si>
    <t xml:space="preserve">Rơ le trung gian kèm đế </t>
  </si>
  <si>
    <t>Mạch khởi động 3P (DOL 0.55kW)</t>
  </si>
  <si>
    <t>Contactor 3P 9A, Coil 220VAC</t>
  </si>
  <si>
    <t>Rơ le nhiệt 1.6~2.5A</t>
  </si>
  <si>
    <t>Tủ điện TĐ-QC2-H2, TĐ-QC2-H1</t>
  </si>
  <si>
    <t>Vỏ tủ trong nhà KT: C1000xR800xS300mm, tôn dày 1.5 ly, hai lớp cánh, sơn tĩnh điện màu RAL7032 sần.</t>
  </si>
  <si>
    <t>MCCB 4P 63A 36kA</t>
  </si>
  <si>
    <t>Đồng hồ Ampe 0-100A</t>
  </si>
  <si>
    <t>MCCB 3P 40A 18kA</t>
  </si>
  <si>
    <t>Mạch khởi động 3P (DOL 11kW)</t>
  </si>
  <si>
    <t>Contactor 3P 32A, Coil 220VAC</t>
  </si>
  <si>
    <t>Rơ le nhiệt 23~32A</t>
  </si>
  <si>
    <t>Thanh đồng trung tính + tiếp địa + sứ đỡ + thanh cài</t>
  </si>
  <si>
    <t>Tủ điện TĐ-QTA-H2, TĐ-QTA.1</t>
  </si>
  <si>
    <t>MCCB 4P 25A 36kA</t>
  </si>
  <si>
    <t>Biến dòng hạ thế 50/5A</t>
  </si>
  <si>
    <t>Đồng hồ Ampe 0-50A</t>
  </si>
  <si>
    <t>MCCB 3P 20A 18kA</t>
  </si>
  <si>
    <t>Mạch khởi động 3P (DOL 5.5kW)</t>
  </si>
  <si>
    <t>Contactor 3P 18A, Coil 220VAC</t>
  </si>
  <si>
    <t>Rơ le nhiệt 9~13A</t>
  </si>
  <si>
    <t>Tủ điện TĐ-QC1-H2, TĐ-QC1-H1</t>
  </si>
  <si>
    <t>MCCB 3P 50A 18kA</t>
  </si>
  <si>
    <t>Mạch khởi động Y-D 3P 15kW</t>
  </si>
  <si>
    <t>Khóa liên động 2 Contactor</t>
  </si>
  <si>
    <t>Timer chuyển đổi Y-D</t>
  </si>
  <si>
    <t>Tủ điện TĐ-QTA-H1</t>
  </si>
  <si>
    <t>MCCB 4P 100A 36kA</t>
  </si>
  <si>
    <t>Cầu chì 1A</t>
  </si>
  <si>
    <t>Đồng thanh cái chính 100A+100%N+25%E  (mạ thiếc)</t>
  </si>
  <si>
    <t>Đồng thanh cái nhánh (mạ thiếc)</t>
  </si>
  <si>
    <t>Tủ điện TĐ-QHK1-H1,TĐ-QHK2-H1</t>
  </si>
  <si>
    <t>MCCB 4P 50A 36kA</t>
  </si>
  <si>
    <t>Tủ điện TĐ-HT</t>
  </si>
  <si>
    <t>Vỏ tủ trong nhà KT: C1000xR800xS250mm, tôn dày 1.5 ly, hai lớp cánh, sơn tĩnh điện màu RAL7032 sần.</t>
  </si>
  <si>
    <t>MCCB 4P 32A 36kA</t>
  </si>
  <si>
    <t>RCBO 1P+N 16A 30mA 6kA</t>
  </si>
  <si>
    <t>MCB 3P 20A 10kA</t>
  </si>
  <si>
    <t>MCB 1P 25A 6kA</t>
  </si>
  <si>
    <t>Mạch khởi động 3P (DOL 1.1kW)</t>
  </si>
  <si>
    <t>Mạch điều khiển van</t>
  </si>
  <si>
    <t>Tủ điện TĐ-CSNC</t>
  </si>
  <si>
    <t>Vỏ tủ trong nhà KT: C600xR400xS250mm, tôn dày 1.5 ly, hai lớp cánh, sơn tĩnh điện màu RAL7032 sần.</t>
  </si>
  <si>
    <t>MCB 2P 16A 6kA</t>
  </si>
  <si>
    <t>Mạch điều khiển cửa sập</t>
  </si>
  <si>
    <t>Tủ điện TĐ-MDF</t>
  </si>
  <si>
    <t>MCB 3P 40A 10kA</t>
  </si>
  <si>
    <t>Tủ điện TĐ-QH1-H2, TĐ-QH1-H1</t>
  </si>
  <si>
    <t>Vỏ tủ trong nhà KT: C1000xR800xS400mm, tôn dày 1.5 ly, hai lớp cánh, sơn tĩnh điện màu RAL7032 sần.</t>
  </si>
  <si>
    <t xml:space="preserve">Incoming </t>
  </si>
  <si>
    <t>MCCB 4P 250A 36kA</t>
  </si>
  <si>
    <t>Đồng hồ Ampe 0-250A</t>
  </si>
  <si>
    <t>MCCB 3P 200A 18kA</t>
  </si>
  <si>
    <t>Không cần thiết nên bỏ</t>
  </si>
  <si>
    <t>Mạch điều khiển quạt 2 tốc độ 3P công suất 15/55kW</t>
  </si>
  <si>
    <t>Contactor 3P 95A, Coil 220VAC</t>
  </si>
  <si>
    <t>Contactor 3P 80A, Coil 220VAC</t>
  </si>
  <si>
    <t>Rơ le nhiệt 80~104A</t>
  </si>
  <si>
    <t xml:space="preserve">Đèn báo lỗi </t>
  </si>
  <si>
    <t>Timer 0-60s</t>
  </si>
  <si>
    <t>Đồng thanh cái chính 200A+100%N+25%E (mạ thiếc)</t>
  </si>
  <si>
    <t>Tủ điện TĐ-QH2-H2, TĐ-QH3-H2, TĐ-QH2-H1,TĐ-QH3-H1</t>
  </si>
  <si>
    <t>MCCB 4P 125A 36kA</t>
  </si>
  <si>
    <t>Biến dòng hạ thế 150/5A</t>
  </si>
  <si>
    <t>Đồng hồ Ampe 0-150A</t>
  </si>
  <si>
    <t>MCCB 3P 100A 18kA</t>
  </si>
  <si>
    <t>MCCB 3P 25A 18kA</t>
  </si>
  <si>
    <t>Mạch điều khiển quạt 2 tốc độ 3P công suất 7.5/30kW</t>
  </si>
  <si>
    <t>Contactor 3P 65A, Coil 220VAC</t>
  </si>
  <si>
    <t>Contactor 3P 40A, Coil 220VAC</t>
  </si>
  <si>
    <t>Rơ le nhiệt 48~65A</t>
  </si>
  <si>
    <t>Rơ le nhiệt 12~18A</t>
  </si>
  <si>
    <t>Đồng thanh cái chính 125A+100%N+25%E (mạ thiếc)</t>
  </si>
  <si>
    <t>Tủ điện TĐ-TNS1</t>
  </si>
  <si>
    <t>MCCB 3P 16A 18kA</t>
  </si>
  <si>
    <t>Mạch khởi động 3P (DOL 2.5kW)</t>
  </si>
  <si>
    <t>Rơ le nhiệt 4~6A</t>
  </si>
  <si>
    <t>Rơ le luân phiên</t>
  </si>
  <si>
    <t>Tủ điện TĐ-BNT</t>
  </si>
  <si>
    <t>MCCB 4P 40A 36kA</t>
  </si>
  <si>
    <t>Tủ điện TĐA-BSH, TĐB-BSH</t>
  </si>
  <si>
    <t>MCCB 4P 80A 36kA</t>
  </si>
  <si>
    <t>MCCB 3P 63A 18kA</t>
  </si>
  <si>
    <t>Mạch khởi động Y-D 3P 22kW</t>
  </si>
  <si>
    <t>Contactor 3P 38A, Coil 220VAC</t>
  </si>
  <si>
    <t>Rơ le nhiệt 37~50A</t>
  </si>
  <si>
    <t xml:space="preserve">Rơ le mức nước </t>
  </si>
  <si>
    <t>Tủ điện TĐ-TNS3</t>
  </si>
  <si>
    <t>Mạch khởi động 3P (DOL 1.5kW)</t>
  </si>
  <si>
    <t>Rơ le nhiệt 2.5~4A</t>
  </si>
  <si>
    <t>Tủ điện TĐ-TNS2, TĐ-TNS4</t>
  </si>
  <si>
    <t>Thanh đồng trung tính + tiếp địa + sứ đỡ</t>
  </si>
  <si>
    <t>Tủ điện TĐ-IBS</t>
  </si>
  <si>
    <t>Tủ điện TĐ--R.T3</t>
  </si>
  <si>
    <t>Tủ điện TĐ-PCCC</t>
  </si>
  <si>
    <t>MCB 1P 40A 6kA</t>
  </si>
  <si>
    <t>Tủ điện TĐ1</t>
  </si>
  <si>
    <t>Vỏ tủ trong nhà KT: C1800xR800xS400mm, tôn dày 1.5~2 ly, hai lớp cánh, sơn tĩnh điện màu RAL7032 sần.</t>
  </si>
  <si>
    <t>MCCB 4P 160A 36kA</t>
  </si>
  <si>
    <t>MCB 1P 63A 6kA</t>
  </si>
  <si>
    <t>MCB 1P 50A 6kA</t>
  </si>
  <si>
    <t>Contactor 1P 63A, Coil 220VAC</t>
  </si>
  <si>
    <t>Contactor 1P 50A, Coil 220VAC</t>
  </si>
  <si>
    <t>Công tơ điện tử 3P 10(40)</t>
  </si>
  <si>
    <t>Công tơ điện tử 1P 20(80)</t>
  </si>
  <si>
    <t>Đồng thanh cái chính 160A + 100%N + 25%E (mạ thiếc)</t>
  </si>
  <si>
    <t>Tủ điện TĐ2</t>
  </si>
  <si>
    <t>MCB 1P 32A 6kA</t>
  </si>
  <si>
    <t>Contactor 1P 40A, Coil 220VAC</t>
  </si>
  <si>
    <t>Contactor 1P 32A, Coil 220VAC</t>
  </si>
  <si>
    <t>Công tơ điện tử 1P 10(40)</t>
  </si>
  <si>
    <t>Đồng thanh cái chính 100A + 100%N + 25%E (mạ thiếc)</t>
  </si>
  <si>
    <t>Tủ điện TĐ3</t>
  </si>
  <si>
    <t>MCCB 4P 320A 36kA</t>
  </si>
  <si>
    <t>MCB 3P 63A 10kA</t>
  </si>
  <si>
    <t>MCB 3P 50A 10kA</t>
  </si>
  <si>
    <t>Contactor 3P 63A, Coil 220VAC</t>
  </si>
  <si>
    <t>Contactor 3P 50A, Coil 220VAC</t>
  </si>
  <si>
    <t>Đồng thanh cái chính 320A + 100%N + 25%E (mạ thiếc)</t>
  </si>
  <si>
    <t xml:space="preserve">Tủ điện TĐ3A </t>
  </si>
  <si>
    <t>Công tơ điện tử 3P 30(60)</t>
  </si>
  <si>
    <t>Tủ điện TĐ4</t>
  </si>
  <si>
    <t xml:space="preserve">Tủ điện TĐ4A </t>
  </si>
  <si>
    <t>Tủ điện TS1A</t>
  </si>
  <si>
    <t>Vỏ tủ trong nhà KT: C800xR600xS250mm, tôn dày 1.5 ly, hai lớp cánh, sơn tĩnh điện màu RAL7032 sần.</t>
  </si>
  <si>
    <t>MCCB 4P 32A 18kA</t>
  </si>
  <si>
    <t>Tủ điện TS1B</t>
  </si>
  <si>
    <t>Tủ điện TS1</t>
  </si>
  <si>
    <t>MCB 3P 16A 6kA</t>
  </si>
  <si>
    <t>MCB 1P 20A 6kA</t>
  </si>
  <si>
    <t>Mạch khởi động 1P (DOL 1.1kW)</t>
  </si>
  <si>
    <t>Contactor 1P 12A, Coil 220VAC</t>
  </si>
  <si>
    <t>Tủ điện TĐ-VRV1</t>
  </si>
  <si>
    <t>Vỏ tủ trong nhà KT: C1000xR800xS400mm, tôn dày 1.5~2 ly, hai lớp cánh, sơn tĩnh điện màu RAL7032 sần.</t>
  </si>
  <si>
    <t>MCCB 3P 125A 18kA</t>
  </si>
  <si>
    <t xml:space="preserve">Biến dòng hạ thế 125/5A </t>
  </si>
  <si>
    <t>Công tơ 3P trực tiếp 30(60)</t>
  </si>
  <si>
    <t>Công tơ 3P trực tiếp 3x5A</t>
  </si>
  <si>
    <t>Đồng thanh cái chính 250A + 100%N + 25%E (mạ thiếc)</t>
  </si>
  <si>
    <t>Tủ điện TS2</t>
  </si>
  <si>
    <t>Vỏ tủ trong nhà KT: C1000xR800xS250mm, tôn dày 1.5~2 ly, hai lớp cánh, sơn tĩnh điện màu RAL7032 sần.</t>
  </si>
  <si>
    <t>Đồng thanh cái chính 50A + 100%N + 25%E (mạ thiếc)</t>
  </si>
  <si>
    <t>Tủ điện TS4</t>
  </si>
  <si>
    <t>Tủ điện TĐ-VRV2</t>
  </si>
  <si>
    <t>MCCB 3P 80A 18kA</t>
  </si>
  <si>
    <t>Công tơ 3P trực tiếp 50(100)</t>
  </si>
  <si>
    <t>Công tơ 3P trực tiếp 10(40)</t>
  </si>
  <si>
    <t>Tủ điện TĐ-FCU2</t>
  </si>
  <si>
    <t>Tủ điện TĐ-FCU.ST</t>
  </si>
  <si>
    <t>Tủ điện TĐ-VRV.ST</t>
  </si>
  <si>
    <t>MCCB 4P 200A 18kA</t>
  </si>
  <si>
    <t>MCCB 3P 125A 10kA</t>
  </si>
  <si>
    <t>Tủ điện TĐ.ST</t>
  </si>
  <si>
    <t>Vỏ tủ trong nhà KT: C1200xR800xS400mm, tôn dày 1.5~2 ly, hai lớp cánh, sơn tĩnh điện màu RAL7032 sần.</t>
  </si>
  <si>
    <t xml:space="preserve">ATS 4P 320A </t>
  </si>
  <si>
    <t>MCCB 3P 320A 36kA</t>
  </si>
  <si>
    <t>Công tơ 3P đo gián tiếp 3x5A</t>
  </si>
  <si>
    <t>Đồng thanh cái chính 320A+100%N+25%E  (mạ thiếc)</t>
  </si>
  <si>
    <t>Tủ điện TĐ-FCU3</t>
  </si>
  <si>
    <t>Vỏ tủ trong nhà KT: C1200xR800xS300mm, tôn dày 1.5~2 ly, hai lớp cánh, sơn tĩnh điện màu RAL7032 sần.</t>
  </si>
  <si>
    <t>MCCB 4P 63A 18kA</t>
  </si>
  <si>
    <t>Đồng thanh cái chính 63A+100%N+25%E  (mạ thiếc)</t>
  </si>
  <si>
    <t>Tủ điện TĐ-VRV3</t>
  </si>
  <si>
    <t>MCCB 4P 630A 36kA</t>
  </si>
  <si>
    <t>Công tơ 3P gián tiếp 3x5A</t>
  </si>
  <si>
    <t>Đồng thanh cái chính 630A + 100%N + 25%E (mạ thiếc)</t>
  </si>
  <si>
    <t>Đồng thanh cái nhánh mạ thiếc (mạ thiếc)</t>
  </si>
  <si>
    <t>Tủ điện TĐ-VRV4</t>
  </si>
  <si>
    <t>MCCB 4P 500A 36kA</t>
  </si>
  <si>
    <t>Tủ điện TĐ-SHCĐ</t>
  </si>
  <si>
    <t>MCCB 4P 100A 18kA</t>
  </si>
  <si>
    <t>Tủ điện TĐ-FCU4</t>
  </si>
  <si>
    <t>Vỏ tủ trong nhà KT: C1200xR800xS300mm, tôn dày 1.5 ly, hai lớp cánh, sơn tĩnh điện màu RAL7032 sần.</t>
  </si>
  <si>
    <t>Tủ điện TĐ-QHK.T5</t>
  </si>
  <si>
    <t>Mạch khởi động Y-D 3P 30kW</t>
  </si>
  <si>
    <t>Rơ le nhiệt 62~80A</t>
  </si>
  <si>
    <t>Tủ điện TĐ-BB</t>
  </si>
  <si>
    <t>Biến dòng hạ thế 200/5A</t>
  </si>
  <si>
    <t>Đồng hồ Ampe 0-200A</t>
  </si>
  <si>
    <t>MCB 1P 6A 6kA</t>
  </si>
  <si>
    <t>Đồng thanh cái chính 160A+100%N+25%E  (mạ thiếc)</t>
  </si>
  <si>
    <t>Tủ điện TĐ-GYM</t>
  </si>
  <si>
    <t>Vỏ tủ âm tường 12 modul</t>
  </si>
  <si>
    <t>MCB 2P 50A 6kA</t>
  </si>
  <si>
    <t>RCCB 2P 40A 30mA</t>
  </si>
  <si>
    <t>Nhân công + phụ kiện  lắp đặt</t>
  </si>
  <si>
    <t>Tủ điện TĐ-QTA.T5</t>
  </si>
  <si>
    <t>Vỏ tủ trong nhà KT: C1200xR1000xS300mm, tôn dày 1.5~2 ly, hai lớp cánh, sơn tĩnh điện màu RAL7032 sần.</t>
  </si>
  <si>
    <t>Mạch khởi động 3P (DOL 7.5kW)</t>
  </si>
  <si>
    <t>Mạch khởi động 3P (DOL 3.3kW)</t>
  </si>
  <si>
    <t>Rơ le nhiệt 7~10A</t>
  </si>
  <si>
    <t>Tủ điện TĐ.BN</t>
  </si>
  <si>
    <t xml:space="preserve">ATS 4P 630A </t>
  </si>
  <si>
    <t>Biến dòng hạ thế 750/5A</t>
  </si>
  <si>
    <t>Công tơ 3P đo gián tiếp</t>
  </si>
  <si>
    <t>MCCB 3P 400A 36kA</t>
  </si>
  <si>
    <t>MCCB 3P 160A 18kA</t>
  </si>
  <si>
    <t>Đồng thanh cái chính 630A+100%N+25%E  (mạ thiếc)</t>
  </si>
  <si>
    <t>Tủ điện TĐ-VRV.B</t>
  </si>
  <si>
    <t>MCCB 4P 160A 18kA</t>
  </si>
  <si>
    <t>MCCB 3P 100A 10kA</t>
  </si>
  <si>
    <t>MCCB 3P 80A 10kA</t>
  </si>
  <si>
    <t>Tủ điện TĐ-FCU.B</t>
  </si>
  <si>
    <t>MCCB 4P 125A 18kA</t>
  </si>
  <si>
    <t>Biến dòng hạ thế 125/5A</t>
  </si>
  <si>
    <t>Đồng hồ Ampe 0-125A</t>
  </si>
  <si>
    <t>Mạch khởi động 3P (DOL 4kW)</t>
  </si>
  <si>
    <t>Mạch khởi động 1P (DOL 0.75kW)</t>
  </si>
  <si>
    <t>Mạch khởi động 1P (DOL 0.37kW)</t>
  </si>
  <si>
    <t>Đồng thanh cái chính 125A+100%N+25%E  (mạ thiếc)</t>
  </si>
  <si>
    <t>Tủ điện TĐ-CP</t>
  </si>
  <si>
    <t xml:space="preserve">ATS 4P 500A </t>
  </si>
  <si>
    <t>Biến dòng hạ thế 500/5A</t>
  </si>
  <si>
    <t>Đồng thanh cái chính 500A+100%N+25%E  (mạ thiếc)</t>
  </si>
  <si>
    <t>Tủ điện TĐ-VRV.CP</t>
  </si>
  <si>
    <t>MCCB 4P 200A 36kA</t>
  </si>
  <si>
    <t>Tủ điện TĐ-FCU.CP</t>
  </si>
  <si>
    <t>Tủ điện TS10A</t>
  </si>
  <si>
    <t>Tủ điện TS7A, TS13A, TS16A</t>
  </si>
  <si>
    <t>Tủ điện TS19A</t>
  </si>
  <si>
    <t>Tủ điện TS23A</t>
  </si>
  <si>
    <t>Tủ điện TS10B</t>
  </si>
  <si>
    <t>Tủ điện TS7B, TS13B</t>
  </si>
  <si>
    <t>Tủ điện TS16B</t>
  </si>
  <si>
    <t>Tủ điện TS20B</t>
  </si>
  <si>
    <t>MCCB 4P 25A 18kA</t>
  </si>
  <si>
    <t>Tủ điện TĐA-KT</t>
  </si>
  <si>
    <t>Vỏ tủ trong nhà KT: C600xR400xS250mm, tôn dày 1.5~2 ly, hai lớp cánh, sơn tĩnh điện màu RAL7032 sần.</t>
  </si>
  <si>
    <t>MCCB 3P 25A 10kA</t>
  </si>
  <si>
    <t>MCCB 3P 20A 10kA</t>
  </si>
  <si>
    <t>MCB 3P 25A 10kA</t>
  </si>
  <si>
    <t>Tủ điện TĐB-KT</t>
  </si>
  <si>
    <t>Tủ điện TĐB-QH</t>
  </si>
  <si>
    <t>MCCB 3P 16A 10kA</t>
  </si>
  <si>
    <t>Mạch khởi động 3P (DOL 3kW)</t>
  </si>
  <si>
    <t>Tủ điện TĐA-QH</t>
  </si>
  <si>
    <t>Tủ điện TE1</t>
  </si>
  <si>
    <t>Tủ điện TE9A, TE15A, TE22A, TE9B</t>
  </si>
  <si>
    <t>Vỏ tủ trong nhà KT: C400xR300xS150mm, tôn dày 1.5 ly, hai lớp cánh, sơn tĩnh điện màu RAL7032 sần.</t>
  </si>
  <si>
    <t>MCB 2P 20A 6kA</t>
  </si>
  <si>
    <t>Tủ điện TE3</t>
  </si>
  <si>
    <t>Tủ điện TE21B</t>
  </si>
  <si>
    <t>Tủ điện TEH1</t>
  </si>
  <si>
    <t>Tủ điện TE15B</t>
  </si>
  <si>
    <t>Tủ điện TĐB-QTA</t>
  </si>
  <si>
    <t>Vỏ tủ trong nhà KT: C1800xR1000xS400mm, tôn dày 1.5~2 ly, hai lớp cánh, sơn tĩnh điện màu RAL7032 sần.</t>
  </si>
  <si>
    <t>MCCB 4P 400A 36kA</t>
  </si>
  <si>
    <t>Đồng hồ Ampe 0-400A</t>
  </si>
  <si>
    <t>Mạch khởi động Y-D 3P 37kW</t>
  </si>
  <si>
    <t>Mạch khởi động Y-D 3P 33kW</t>
  </si>
  <si>
    <t>Mạch khởi động Y-D 3P 18.5kW</t>
  </si>
  <si>
    <t>Rơ le nhiệt 30~40A</t>
  </si>
  <si>
    <t>Đồng thanh cái chính 400A+100%N+25%E  (mạ thiếc)</t>
  </si>
  <si>
    <t>Tủ điện TĐB-QHK</t>
  </si>
  <si>
    <t>Tủ điện TĐA-QTA</t>
  </si>
  <si>
    <t>Tủ điện TĐA-QHK</t>
  </si>
  <si>
    <t>Mạch khởi động Y-D 3P 45kW</t>
  </si>
  <si>
    <t>Đồng thanh cái chính 250A+100%N+25%E  (mạ thiếc)</t>
  </si>
  <si>
    <t>Tủ điện TĐ-QHTM</t>
  </si>
  <si>
    <t>Vỏ tủ trong nhà KT: C1000xR8000xS300mm, tôn dày 1.5~2 ly, hai lớp cánh, sơn tĩnh điện màu RAL7032 sần.</t>
  </si>
  <si>
    <t>Tủ điện TĐA-V6</t>
  </si>
  <si>
    <t>Vỏ tủ trong nhà KT: C800xR600xS250mm, tôn dày 1.5~2 ly, hai lớp cánh, sơn tĩnh điện màu RAL7032 sần.</t>
  </si>
  <si>
    <t>MCB 2P 2A 6kA</t>
  </si>
  <si>
    <t>Tủ điện TĐB-V9</t>
  </si>
  <si>
    <t>Tủ điện TĐB-V18</t>
  </si>
  <si>
    <t>Tủ điện TĐA-V18</t>
  </si>
  <si>
    <t>Tủ điện TĐ6A, TĐ9A, TĐ12A, TĐ15A, TĐ18A, TĐ21A, TĐ24A</t>
  </si>
  <si>
    <t>Tủ điện TĐ6A1, TĐ9A1, TĐ12A1, TĐ15A1, TĐ18A1, TĐ21A1, TĐ24A1</t>
  </si>
  <si>
    <t>Tủ điện TĐ7A, TĐ10A, TĐ13A, TĐ16A, TĐ19A, TĐ22A</t>
  </si>
  <si>
    <t>Tủ điện TĐ7A1, TĐ10A, TĐ13A1, TĐ16A1, TĐ19A, TĐ22A1</t>
  </si>
  <si>
    <t>Tủ điện TĐ8A, TĐ11A, TĐ14A, TĐ17A, TĐ20A, TĐ23A</t>
  </si>
  <si>
    <t>Tủ điện TĐ8A1, TĐ11A1, TĐ14A1, TĐ17A1, TĐ20A1, TĐ23A1</t>
  </si>
  <si>
    <t>Tủ điện TĐ25A</t>
  </si>
  <si>
    <t>Vỏ tủ trong nhà KT: C1400xR800xS400mm, tôn dày 1.5~2 ly, hai lớp cánh, sơn tĩnh điện màu RAL7032 sần.</t>
  </si>
  <si>
    <t>Công tơ điện tử 3P</t>
  </si>
  <si>
    <t>Tủ điện TĐ8B, TĐ11B, TĐ14B, TĐ17B, TĐ20B</t>
  </si>
  <si>
    <t>Tủ điện TĐ8B1, TĐ11B1, TĐ14B1, TĐ17B1, TĐ20B1</t>
  </si>
  <si>
    <t>Tủ điện TĐ6B, TĐ9B, TĐ12B, TĐ15B, TĐ18B, TĐ21B</t>
  </si>
  <si>
    <t>Tủ điện TĐ6B1, TĐ9B1, TĐ12B1, TĐ15B1, TĐ18B1, TĐ21B1</t>
  </si>
  <si>
    <t>Tủ điện TĐ7B, TĐ10B, TĐ13B, TĐ16B, TĐ19B, TĐ22B</t>
  </si>
  <si>
    <t>Tủ điện TĐ7B1, TĐ10B1, TĐ13B1, TĐ16B1, TĐ19B,1 TĐ22B1</t>
  </si>
  <si>
    <t>Tủ điện TĐ-TC1, TĐ-TC2, TĐ-TC3</t>
  </si>
  <si>
    <t>Vỏ tủ trong nhà KT: C800xR600xS300mm, tôn dày 1.5 ly, hai lớp cánh, sơn tĩnh điện màu RAL7032 sần.</t>
  </si>
  <si>
    <t>Tủ điện TĐA-TMCC, TĐB-TMCC</t>
  </si>
  <si>
    <t>Tủ điện TĐ-TM1, TĐ-TM3, TĐA-TM2, TĐB-TM2</t>
  </si>
  <si>
    <t>Tủ điện TĐA-TM1, TĐB-TM1</t>
  </si>
  <si>
    <t>Tủ điện TĐ-CB1</t>
  </si>
  <si>
    <t>Vỏ tủ trong nhà KT: C1800xR1200xS250mm, tôn dày 1.5 ly, hai lớp cánh, sơn tĩnh điện màu RAL7032 sần.</t>
  </si>
  <si>
    <t>Công tắc xoáy ON/OFF</t>
  </si>
  <si>
    <t>Đèn báo chạy/dừng/lỗi</t>
  </si>
  <si>
    <t>Tủ điện TĐ-CB2</t>
  </si>
  <si>
    <t>Đèn báo chạy/dừng</t>
  </si>
  <si>
    <t>Tủ điện TĐ-CF</t>
  </si>
  <si>
    <t>Tủ điện TĐA-TR, TĐB-TR, TĐ-TM2</t>
  </si>
  <si>
    <t>Tủ điện TĐ-BD</t>
  </si>
  <si>
    <t>MCCB 3P 20A 36kA</t>
  </si>
  <si>
    <t>Mạch khởi động 3P (DOL 2.2kW)</t>
  </si>
  <si>
    <t>Cu/PVC/PVC (4x4)mm2</t>
  </si>
  <si>
    <t>Cu/PVC (1x2.5)mm2</t>
  </si>
  <si>
    <t>Cu/PVC (1x1.5)mm2</t>
  </si>
  <si>
    <t>V</t>
  </si>
  <si>
    <t>VI</t>
  </si>
  <si>
    <t>D20</t>
  </si>
  <si>
    <t>Ống luồn dây mềm:</t>
  </si>
  <si>
    <t>Đơn vị</t>
  </si>
  <si>
    <t>TỦ ĐIỆN CĂN HỘ</t>
  </si>
  <si>
    <t>TỦ ĐIỆN CĂN HỘ LOẠI 3 PHÒNG NGỦ CH-A, CH-01</t>
  </si>
  <si>
    <t>Tủ module âm tường  (14MCB)</t>
  </si>
  <si>
    <t xml:space="preserve">Cái </t>
  </si>
  <si>
    <t>RCCB 1P+N 40A 30mA</t>
  </si>
  <si>
    <t>RCBO 1P+N 32A 6kA 30mA</t>
  </si>
  <si>
    <t>Vật liệu phụ, nhân công lắp đặt hoàn thiện</t>
  </si>
  <si>
    <t>TỦ ĐIỆN CĂN HỘ LOẠI 2 PHÒNG NGỦ (M1) CH-B1, CH-B3.1, CH-B3.2, CH-B3.4</t>
  </si>
  <si>
    <t>Tủ module âm tường (14MCB)</t>
  </si>
  <si>
    <t>MCB 1P 20 6kA</t>
  </si>
  <si>
    <t>RCCB 1P+N 32A 30mA</t>
  </si>
  <si>
    <t>TỦ ĐIỆN CĂN HỘ LOẠI 2 PHÒNG NGỦ (M2) CH-B2.1, CH-B2.2, CH-B2.3, CH-B3.3, CH-B4</t>
  </si>
  <si>
    <t>TỦ ĐIỆN CĂN HỘ LOẠI 2 PHÒNG NGỦ (M3) CH-02, CH-03</t>
  </si>
  <si>
    <t>MCB 2P 40A 6kA</t>
  </si>
  <si>
    <t>TỦ ĐIỆN CĂN HỘ LOẠI 1 PHÒNG NGỦ (M1) CH-04, CH-05</t>
  </si>
  <si>
    <t>RCCB 1P+N 32A 6kA 30mA</t>
  </si>
  <si>
    <t>TỦ ĐIỆN CĂN HỘ LOẠI 1 PHÒNG NGỦ (M2) CH-06A.1, CH-06A.2, CH-06A.3, CH-06B, CH-06C, CH-07A.1, CH-07A.2, CH-07B</t>
  </si>
  <si>
    <t>RCCB 1P+N 32A  30mA</t>
  </si>
  <si>
    <t>RCBO1P+N 32A 6KA 30mA</t>
  </si>
  <si>
    <t>TỦ ĐIỆN CĂN HỘ LOẠI PENHOUSE 4 PHÒNG NGỦ P-01, P-03, P-04</t>
  </si>
  <si>
    <t>Tủ module âm tường (23 MCB)</t>
  </si>
  <si>
    <t>RCCB 1P+N 25A 30mA</t>
  </si>
  <si>
    <t>TỦ ĐIỂN CĂN HỘ LOẠI PENHOUSE 3PN (M1) P-02</t>
  </si>
  <si>
    <t>Tủ module âm tường (20 MCB)</t>
  </si>
  <si>
    <t>RCCB 3P+N 25A 30mA</t>
  </si>
  <si>
    <t>TỦ ĐIỂN CĂN HỘ LOẠI PENHOUSE 3PN (M2) P-05</t>
  </si>
  <si>
    <t>Tủ module âm tường (21 MCB)</t>
  </si>
  <si>
    <t>CHIẾU SÁNG VÀ Ổ CẮM</t>
  </si>
  <si>
    <t>ĐÈN</t>
  </si>
  <si>
    <t>Đèn dowlight, 220V/9W, lắp âm trần</t>
  </si>
  <si>
    <t>Đèn dowlight, 220V/7W, loại chụp chống ẩm ,lắp âm trần</t>
  </si>
  <si>
    <t>Đèn led ốp trần, 220V/12W, lắp nổi</t>
  </si>
  <si>
    <t>Đèn led rọi gương 220V/13W</t>
  </si>
  <si>
    <t>Đèn led dây 5W/m</t>
  </si>
  <si>
    <t>CÔNG TẮC, THIẾT BỊ</t>
  </si>
  <si>
    <t>Công tắc đơn, một chiều 220V/10A, kiểu lắp chìm (Mặt+Hạt+Hộp âm)</t>
  </si>
  <si>
    <t>Công tắc đôi, một chiều 220V/10A, kiểu lắp chìm (Mặt+Hạt+Hộp âm)</t>
  </si>
  <si>
    <t>Công tắc ba, một chiều 220V/10A, kiểu lắp chìm (Mặt+Hạt+Hộp âm)</t>
  </si>
  <si>
    <t>Công tắc đơn 2 chiều 220V/10A, loại đơn, kiểu lắp chìm (Mặt + hộp âm + hạt)</t>
  </si>
  <si>
    <t>Công tắc đôi 2 chiều 220V/10A, loại đơn, kiểu lắp chìm (Mặt + hộp âm + hạt)</t>
  </si>
  <si>
    <t>Công tắc 2 cực cho bình nước nóng , 250V/20A,  kiểu lắp chìm</t>
  </si>
  <si>
    <t>Chuông điện</t>
  </si>
  <si>
    <t>Ổ CẮM</t>
  </si>
  <si>
    <t>Ổ cắm điện 3 cực (2P+E), 250V/16A, loại đôi kiểu lắp chìm (Mặt+Hộp âm)</t>
  </si>
  <si>
    <t>Ổ cắm điện 3 cực (2P+E), 250V/16A, loại đơn kiểu lắp chìm (Mặt+Hộp âm)</t>
  </si>
  <si>
    <t>Ổ cắm điện 3 cực (2P+E), 250V/16A, loại đôi, kiểu lắp chìm, chống nước (Mặt+Hộp âm)</t>
  </si>
  <si>
    <t>Ổ cắm điện đa năng, 250V/16A, kiểu lắp chìm (Mặt+Hộp âm)</t>
  </si>
  <si>
    <t>Ổ cắm điện 3 cực (2P+E), 250V/16A, loại đôi kiểu lắp âm sàn (Mặt+Hộp âm)</t>
  </si>
  <si>
    <t>Hộp đấu chờ 80x80x50</t>
  </si>
  <si>
    <t>Dây điện 0.6kV lõi đồng cách điện PVC (Cu.PVC/PVC), tiết diện:</t>
  </si>
  <si>
    <t>Dây điện 0.6kV lõi đồng cách điện PVC (Cu.PVC), tiết diện:</t>
  </si>
  <si>
    <t>Cu/PVC (1x4.0)mm3</t>
  </si>
  <si>
    <t>Cu/PVC (1x10.0)mm2</t>
  </si>
  <si>
    <t>Ống luồn dây PVC cứng:</t>
  </si>
  <si>
    <t>Ống luồn dây mềm D20</t>
  </si>
  <si>
    <t>Phụ kiến lấp đặt (hộp nối , mang xông, kẹp ống,….theo 1 phòng)</t>
  </si>
  <si>
    <t>Tầng 1</t>
  </si>
  <si>
    <t>Tầng 2</t>
  </si>
  <si>
    <t>Tầng 3</t>
  </si>
  <si>
    <t>Tầng 4</t>
  </si>
  <si>
    <t>Tầng 5</t>
  </si>
  <si>
    <t>Ghi chú</t>
  </si>
  <si>
    <t xml:space="preserve">ĐÈN CHIẾU SÁNG </t>
  </si>
  <si>
    <t>Đèn Led Tube 220V/2x18W, loại máng trần, lắp treo thả, có chụp chống bụi, nhiệt độ màu 4000K, tuổi thọ đèn trên 20000h</t>
  </si>
  <si>
    <t>Đèn Led Tube 220V/1x18W, loại máng trần, lắp treo thả, có chụp chống ẩm, nhiệt độ màu 4000K, tuổi thọ đèn trên 20000h</t>
  </si>
  <si>
    <t>Đèn Led Tube 220V/2x18W, loại máng trần, lắp nổi, nhiệt độ màu 4000K, tuổi thọ đèn trên 20000h</t>
  </si>
  <si>
    <t>Đèn Led Tube 220V/1x18W, loại máng trần, lắp nổi, nhiệt độ màu 4000K, tuổi thọ đèn trên 20000h</t>
  </si>
  <si>
    <t>Đèn Led Tube 220V/1x10W, loại máng trần, lắp nổi, nhiệt độ màu 4000K, tuổi thọ đèn trên 20000h</t>
  </si>
  <si>
    <t>Đèn Led Tube 220V/2x18W, loại có chụp chống ẩm, lắp nổi, nhiệt độ màu 4000K, tuổi thọ đèn trên 20000h</t>
  </si>
  <si>
    <t>Đèn Led Tube 220V/1x18W, loại có chụp chống ẩm, lắp nổi, nhiệt độ màu 4000K, tuổi thọ đèn trên 20000h</t>
  </si>
  <si>
    <t>Đèn Led Tube 220V/1x10W, loại có chụp chống ẩm, lắp nổi, nhiệt độ màu 4000K, tuổi thọ đèn trên 20000h</t>
  </si>
  <si>
    <t>Đèn LED Panel  (600x600)mm 220V/40W,  lắp âm trần,loại chịu nhiệt, nhiệt độ màu 4000K, tuổi thọ đèn trên 20000h</t>
  </si>
  <si>
    <t>Đèn LED Downlight  220V/20W,  lắp âm trần, nhiệt độ màu 4000K, tuổi thọ đèn trên 20000h</t>
  </si>
  <si>
    <t>Đèn LED Downlight  220V/9W,  lắp âm trần, nhiệt độ màu 4000K, tuổi thọ đèn trên 20000h</t>
  </si>
  <si>
    <t>Đèn LED Downlight  220V/7W chống ẩm, lắp âm trần, nhiệt độ màu 4000K, tuổi thọ đèn trên 20000h</t>
  </si>
  <si>
    <t>Đèn LED ốp trần,  220V/12W, lắp nổi, nhiệt độ màu 4000K, tuổi thọ đèn trên 20000h</t>
  </si>
  <si>
    <t>Đèn rọi ray,  220V/7W</t>
  </si>
  <si>
    <t>Đèn thả,  220V/15W</t>
  </si>
  <si>
    <t>Đèn nấm cao 800mm, bóng compact, 220V/18W</t>
  </si>
  <si>
    <t>Đèn cột ngoài trời</t>
  </si>
  <si>
    <t>Đèn báo không , loại nhấp nháy, LED 220V/10W</t>
  </si>
  <si>
    <t>Đèn LED  220V/5W, Dẫn lối ram dốc</t>
  </si>
  <si>
    <t>Đèn chùm treo thả</t>
  </si>
  <si>
    <t>Đèn LED  dây 220V/5W/1m</t>
  </si>
  <si>
    <t>Bộ đổi nguồn 220VAC/24VDC/200W</t>
  </si>
  <si>
    <t>Đèn LED Downlight 3 bóng âm trần 3x9W</t>
  </si>
  <si>
    <t>Ti treo thép M6</t>
  </si>
  <si>
    <t>Bu lông nở</t>
  </si>
  <si>
    <t>CÔNG TẮC</t>
  </si>
  <si>
    <t>Công tắc đơn, một chiều 250V/10A, kiểu lắp chìm (Mặt+Hạt+Hộp âm)</t>
  </si>
  <si>
    <t>Công tắc đôi, một chiều 250V/10A, kiểu lắp chìm (Mặt+Hạt+Hộp âm)</t>
  </si>
  <si>
    <t>Công tắc ba, một chiều 250V/10A, kiểu lắp chìm (Mặt+Hạt+Hộp âm)</t>
  </si>
  <si>
    <t>Công tắc đơn, hai chiều 250V/10A, kiểu lắp chìm (Mặt+Hạt+Hộp âm)</t>
  </si>
  <si>
    <t>Ổ cắm điện 3 cực 2P+N  220V/16A, loại đôi, lắp âm tường  (Mặt+Hộp âm)</t>
  </si>
  <si>
    <t>Ổ cắm điện 3 cực 2P+N  220V/16A, loại đôi, lắp âm tường, loại chống nước
 (Mặt+Hộp âm)</t>
  </si>
  <si>
    <t>Ổ cắm điện 3 cực 2P+N  220V/16A, loại đôi, lắp âm sàn  (Mặt+Hộp âm)</t>
  </si>
  <si>
    <t>Hộp nối dây 80x80x50mm</t>
  </si>
  <si>
    <t>7</t>
  </si>
  <si>
    <t>Thang cáp WxH=(1000x150)mm (loại sơn tĩnh điện dày 2.0mm)</t>
  </si>
  <si>
    <t>Chuyển hướng ngang 90 độ thang cáp WxH=(1000x150)mm</t>
  </si>
  <si>
    <t>Chuyển hướng 4 ngả thang cáp WxH=(1000x150)mm</t>
  </si>
  <si>
    <t>Tê nối thang cáp WxH=(1000x150)mm</t>
  </si>
  <si>
    <t>Côn thu W1000-W300</t>
  </si>
  <si>
    <t>Côn thu W1000-W200</t>
  </si>
  <si>
    <t>Côn thu thang cáp W1000-W600</t>
  </si>
  <si>
    <t>Côn thu thang cáp W1000-W800</t>
  </si>
  <si>
    <t>Z thang cáp WxH=(1000x150)</t>
  </si>
  <si>
    <t>Thang cáp WxH=(800x150)mm (loại sơn tĩnh điện dày 2.0mm)</t>
  </si>
  <si>
    <t>Chuyển hướng ngang 90 độ thang cáp WxH=(800x150)mm</t>
  </si>
  <si>
    <t>Chuyển hướng dọc 90 độ thang cáp WxH=(800x150)mm</t>
  </si>
  <si>
    <t>Tê nối thang cáp WxH=(800x150)mm</t>
  </si>
  <si>
    <t>Côn thu W800-W300</t>
  </si>
  <si>
    <t>Tê nối thang cáp WxH=(800x150-300x150)mm</t>
  </si>
  <si>
    <t>Tê nối thang cáp WxH=(800x150-400x150)mm</t>
  </si>
  <si>
    <t>Chuyển hướng 4 ngả thang cáp WxH=(800x150)mm</t>
  </si>
  <si>
    <t>Côn thu thang cáp W800-W600</t>
  </si>
  <si>
    <t>Z thang cáp WxH=(800x150)</t>
  </si>
  <si>
    <t>Thang cáp WxH=(600x150)mm (loại sơn tĩnh điện dày 2.0mm)</t>
  </si>
  <si>
    <t>Chuyển hướng ngang 90 độ thang cáp WxH=(600x150)mm</t>
  </si>
  <si>
    <t>Chuyển hướng ngang 90 độ thang cáp WxH=(600x100)mm</t>
  </si>
  <si>
    <t>Tê nối thang cáp WxH=(600x150)mm</t>
  </si>
  <si>
    <t>Côn thu thang cáp W600-W300</t>
  </si>
  <si>
    <t>Thang cáp WxH=(400x150)mm (loại sơn tĩnh điện dày 2.0mm)</t>
  </si>
  <si>
    <t>Thang cáp WxH=(300x150)mm (loại sơn tĩnh điện dày 2.0mm)</t>
  </si>
  <si>
    <t>Máng cáp WxH=(400x100)mm (loại sơn tĩnh điện dày 2.0mm)</t>
  </si>
  <si>
    <t>Chuyển hướng ngang 90 độ máng cáp WxH=(400x100-200x100)mm</t>
  </si>
  <si>
    <t>Chuyển hướng ngang 90 độ máng cáp WxH=(400x100)mm</t>
  </si>
  <si>
    <t>Tê nối máng cáp WxH=(400x100-200x100)mm</t>
  </si>
  <si>
    <t>Tê nối máng cáp WxH=(400x100)mm</t>
  </si>
  <si>
    <t>Chuyển hướng 4 ngả máng cáp WxH=(400x100-200x100)mm</t>
  </si>
  <si>
    <t>Chuyển hướng 4 ngả máng cáp WxH=(400x100-300x100)mm</t>
  </si>
  <si>
    <t>Z máng cáp WxH=(400x100)</t>
  </si>
  <si>
    <t>Côn thu máng cáp W400-W200</t>
  </si>
  <si>
    <t>Côn thu máng cáp W400-W300</t>
  </si>
  <si>
    <t xml:space="preserve">Máng cáp WxH=(300x100)mm, tôn dày 1.5mm, sơn tĩnh điện </t>
  </si>
  <si>
    <t>Chuyển hướng ngang 90 độ máng cáp WxH=(300x100)mm</t>
  </si>
  <si>
    <t>Chuyển hướng dọc 90 độ máng cáp WxH=(300x100)mm</t>
  </si>
  <si>
    <t>Tê nối máng cáp WxH=(300x100)mm</t>
  </si>
  <si>
    <t>Chuyển hướng 4 ngả thang cáp WxH=(300x100)mm</t>
  </si>
  <si>
    <t>Côn thu W300-W200</t>
  </si>
  <si>
    <t>Z máng cáp WxH=(300x100)</t>
  </si>
  <si>
    <t>Tê nối máng cáp WxH=(300x100-200x100)mm</t>
  </si>
  <si>
    <t xml:space="preserve">Máng cáp WxH=(200x100)mm, tôn dày 1.5mm, sơn tĩnh điện </t>
  </si>
  <si>
    <t>Chuyển hướng ngang 90 độ máng cáp WxH=(200x100)mm</t>
  </si>
  <si>
    <t>Chuyển hướng dọc 90 độ máng cáp WxH=(200x100)mm</t>
  </si>
  <si>
    <t>Tê nối máng cáp WxH=(200x100)mm</t>
  </si>
  <si>
    <t>Z máng cáp WxH=(200x100)</t>
  </si>
  <si>
    <t xml:space="preserve">Máng cáp WxH=(300x50)mm, tôn dày 1.5mm, sơn tĩnh điện </t>
  </si>
  <si>
    <t>Chuyển hướng ngang 90 độ máng cáp WxH=(300x50)mm</t>
  </si>
  <si>
    <t>Chuyển hướng dọc 90 độ máng cáp WxH=(300x50)mm</t>
  </si>
  <si>
    <t>Tê nối máng cáp WxH=(300x50)mm</t>
  </si>
  <si>
    <t>Tê nối máng cáp WxH=(300x50-200x50)mm</t>
  </si>
  <si>
    <t xml:space="preserve">Máng cáp WxH=(200x50)mm, tôn dày 1.5mm, sơn tĩnh điện </t>
  </si>
  <si>
    <t>Chuyển hướng ngang 90 độ máng cáp WxH=(200x50)mm</t>
  </si>
  <si>
    <t>Chuyển hướng dọc 90 độ máng cáp WxH=(200x50)mm</t>
  </si>
  <si>
    <t>Tê nối máng cáp WxH=(200x50)mm</t>
  </si>
  <si>
    <t>Giá đỡ thang cáp trục đứng</t>
  </si>
  <si>
    <t>Thanh đỡ thép L50x50x5</t>
  </si>
  <si>
    <t>Ti treo thép M12</t>
  </si>
  <si>
    <t>HỆ THỐNG BUSDUCT</t>
  </si>
  <si>
    <t>Thanh dẫn nhôm tiếp xúc đồng (Copper contact busway) 3200A 100kA/s 3P4W 
(3P+100%N+50%E by housing), IP65, Mylar Class B, Fire Resistance - Từ tủ LV-G.3 đến tủ MSB1.2</t>
  </si>
  <si>
    <t>Chuyển hướng 90ᴼ (Phí gia công)
Elbow 90ᴼ (Labor cost)</t>
  </si>
  <si>
    <t>Vị trí</t>
  </si>
  <si>
    <t>Thanh dẫn nhôm tiếp xúc đồng (Copper contact busway) 1600A 65kA/s 3P4W 
(3P+100%N+50%E by housing), IP65, Mylar Class B, Fire Resistance - Từ tủ LV-G.6 đến tủ MSB2.2</t>
  </si>
  <si>
    <t>Thanh dẫn nhôm tiếp xúc đồng (Copper contact busway) 2000A 65kA/s 3P4W 
(3P+100%N+50%E by housing), IP65, Mylar Class B - Từ tủ MSB1.4 đến tủ tầng 25</t>
  </si>
  <si>
    <t>Lỗ mở lấy điện (Phí gia công)
Plug In Opening (Labor cost)</t>
  </si>
  <si>
    <t>Thanh dẫn nhôm tiếp xúc đồng (Copper contact busway) 2000A 65kA/s 3P4W 
(3P+100%N+50%E by housing), IP65, Mylar Class B - Từ tủ MSB1.3 đến tủ tầng 22</t>
  </si>
  <si>
    <t xml:space="preserve">Kim thu sét, loại phát tia tiên đạo, bán kính bảo vệ 97m                                                   </t>
  </si>
  <si>
    <t>Gía đỡ kim thu sét, bộ chân trụ đỡ, đai cố định thép, kẹp cáp, cột thép</t>
  </si>
  <si>
    <t xml:space="preserve">Dây dẫn sét đồng trần 70mm2                                                                                          </t>
  </si>
  <si>
    <t>Dây thu sét, thanh đồng (25x3)mm</t>
  </si>
  <si>
    <t xml:space="preserve">Dây nối đất đồng trần 70mm2                                                                                          </t>
  </si>
  <si>
    <t xml:space="preserve">Dây nối đất đồng trần (1x16)mm2                                                                                          </t>
  </si>
  <si>
    <t xml:space="preserve">Dây nối đất đồng trần (1x120)mm2                                                                                          </t>
  </si>
  <si>
    <t xml:space="preserve">Dây nối đất đồng trần (1x240)mm2                                                                                          </t>
  </si>
  <si>
    <t xml:space="preserve">Dây nối đất Cu/PVC (1x120)mm2                                                                                          </t>
  </si>
  <si>
    <t xml:space="preserve">Dây nối đất Cu/PVC (1x16)mm2                                                                                          </t>
  </si>
  <si>
    <t>Tấm nối đất (150x50x5)mm</t>
  </si>
  <si>
    <t xml:space="preserve">Cọc nối đất                                          </t>
  </si>
  <si>
    <t>Hộp kiểm tra tiếp địa</t>
  </si>
  <si>
    <t>Vật liệu phụ, nhân công hoàn thiện</t>
  </si>
  <si>
    <t>Ống luồn dây PVC cứng D40</t>
  </si>
  <si>
    <t>Ống luồn dây PVC cứng D20 (lắp đặt nổi)</t>
  </si>
  <si>
    <t>Ống luồn dây PVC cứng D20 (lắp đặt ngầm tường, ngầm bê tông)</t>
  </si>
  <si>
    <t>Ống luồn dây PVC cứng D25 (lắp đặt nổi)</t>
  </si>
  <si>
    <t>Ống luồn dây PVC cứng D25 (lắp đặt ngầm tường, ngầm bê tông)</t>
  </si>
  <si>
    <t>Ống luồn dây PVC cứng D32 (lắp đặt nổi)</t>
  </si>
  <si>
    <t>Ống luồn dây PVC cứng D32 (lắp đặt ngầm tường, ngầm bê tông)</t>
  </si>
  <si>
    <t>Gói thầu: CUNG CẤP VTTB VÀ THI CÔNG LẮP ĐẶT HỆ THỐNG CƠ ĐIỆN</t>
  </si>
  <si>
    <t>Hạng mục: HỆ THỐNG ĐIỆN</t>
  </si>
  <si>
    <t>Dự án: TOÀ NHÀ HỖN HỢP HACOM MALL</t>
  </si>
  <si>
    <t xml:space="preserve">Đèn chùm trang trí </t>
  </si>
  <si>
    <t xml:space="preserve">Đèn thả bàn ăn </t>
  </si>
  <si>
    <t xml:space="preserve">Motor sạc 220VAC cho ACB Fixed 4P 3200A 65kA </t>
  </si>
  <si>
    <t xml:space="preserve">Cuộn đóng 220VAC cho ACB Fixed 4P 3200A 65kA </t>
  </si>
  <si>
    <t>Tiếp điểm báo trạng thái cho MCCB 4P 320A 50kA</t>
  </si>
  <si>
    <t>Cuộn cắt 220VAC cho MCCB 4P 320A 50kA</t>
  </si>
  <si>
    <t>Tiếp điểm báo trạng thái cho MCCB 4P 250A 50kA</t>
  </si>
  <si>
    <t>Cuộn cắt 220VAC cho MCCB 4P 250A 50kA</t>
  </si>
  <si>
    <t>Motor sạc 220VAC cho ACB 4P 2000A 65kA Fixed</t>
  </si>
  <si>
    <t>Cuộn đóng 220VAC cho ACB 4P 2000A 65kA Fixed</t>
  </si>
  <si>
    <t>Cuộn cắt 220VAC cho ACB 4P 2000A 65kA Fixed</t>
  </si>
  <si>
    <t>Hạng mục: HỆ THỐNG ĐIỆN NHẸ</t>
  </si>
  <si>
    <t>Stt</t>
  </si>
  <si>
    <t>Tầng 23</t>
  </si>
  <si>
    <t>Tầng 24</t>
  </si>
  <si>
    <t>Tầng 25</t>
  </si>
  <si>
    <t>1</t>
  </si>
  <si>
    <t>Ổ cắm mạng đơn 1xRJ45, bao gồm mặt và hạt</t>
  </si>
  <si>
    <t>10</t>
  </si>
  <si>
    <t>NT chỉ cung cấp và lắp đặt đế âm</t>
  </si>
  <si>
    <t>2</t>
  </si>
  <si>
    <t>Ống PVC D20</t>
  </si>
  <si>
    <t>PHẦN VẬT TƯ THIẾT BỊ ĐẦU TƯ CHO CĂN HỘ</t>
  </si>
  <si>
    <t>Ổ cắm mạng đơn 1xRJ45, bao gồm cả mặt và hạt</t>
  </si>
  <si>
    <t>Ổ cắm truyền hình, bao gồm mặt cả hạt</t>
  </si>
  <si>
    <t>Vật tư phụ hoàn thiện toàn bộ hệ thống</t>
  </si>
  <si>
    <t>Thang cáp kim loại WxH-500x100mm</t>
  </si>
  <si>
    <t>Thang cáp kim loại WxH-400x100mm</t>
  </si>
  <si>
    <t>Máng cáp kim loại WxH-200x100mm</t>
  </si>
  <si>
    <t>Máng cáp kim loại WxH-200x50mm</t>
  </si>
  <si>
    <t>Máng cáp kim loại WxH-150x50mm</t>
  </si>
  <si>
    <t>Tê nối máng cáp WxH=(150x50)mm</t>
  </si>
  <si>
    <t>Chuyển hướng ngang 90 độ máng cáp WxH=(150x50)mm</t>
  </si>
  <si>
    <t>cái</t>
  </si>
  <si>
    <t>D32</t>
  </si>
  <si>
    <t>D25</t>
  </si>
  <si>
    <t>Vật tư phụ</t>
  </si>
  <si>
    <t>4</t>
  </si>
  <si>
    <t>5</t>
  </si>
  <si>
    <t>6</t>
  </si>
  <si>
    <t>8</t>
  </si>
  <si>
    <t>9</t>
  </si>
  <si>
    <t>11</t>
  </si>
  <si>
    <t>3</t>
  </si>
  <si>
    <t>VII</t>
  </si>
  <si>
    <t>VIII</t>
  </si>
  <si>
    <t>a</t>
  </si>
  <si>
    <t>m2</t>
  </si>
  <si>
    <t>Xuất xứ</t>
  </si>
  <si>
    <t>Thành tiền</t>
  </si>
  <si>
    <t>AC</t>
  </si>
  <si>
    <t>Cu/FR/XLPE (3x35)mm2</t>
  </si>
  <si>
    <t>Cu/FR/XLPE (3x25)mm2</t>
  </si>
  <si>
    <t>Cu/FR/XLPE (3x16)mm2</t>
  </si>
  <si>
    <t>Cu/FR/XLPE (3x10)mm2</t>
  </si>
  <si>
    <t>Cu/FR/XLPE  (3x6)mm2</t>
  </si>
  <si>
    <t>Cu/FR/XLPE  (3x4)mm2</t>
  </si>
  <si>
    <t>Cu/FR/XLPE  (3x2,5)mm2</t>
  </si>
  <si>
    <t>Cu/FR/XLPE (3x1,5)mm2</t>
  </si>
  <si>
    <t>Cu/FR/XLPE  (2x10)mm2</t>
  </si>
  <si>
    <t>Cu/FR/XLPE  (2x6)mm2</t>
  </si>
  <si>
    <t>Cu/FR/XLPE  (2x4)mm2</t>
  </si>
  <si>
    <t>Cu/FR (1x2,5)mm2</t>
  </si>
  <si>
    <t>Cu/XLPE/PVC (1x240)mm2</t>
  </si>
  <si>
    <t>Cu/XLPE/PVC (3x25)mm2</t>
  </si>
  <si>
    <t>Cu/XLPE/PVC (3x10)mm2</t>
  </si>
  <si>
    <t>Cu/XLPE/PVC (3x6)mm2</t>
  </si>
  <si>
    <t>Cu/XLPE/PVC (3x4)mm2</t>
  </si>
  <si>
    <t>Cu/XLPE/PVC (3x2.5)mm2</t>
  </si>
  <si>
    <t>Cáp điện 0,6kV, lõi đồng, cách điện PVC, vỏ PVC, tiết diện:</t>
  </si>
  <si>
    <t>Cu/PVC/PVC (4x16)mm2</t>
  </si>
  <si>
    <t>Cu/PVC/PVC (4x10)mm2</t>
  </si>
  <si>
    <t>Cu/PVC/PVC (2x16)mm2</t>
  </si>
  <si>
    <t>Cu/PVC/PVC (2x10)mm2</t>
  </si>
  <si>
    <t>Cu/PVC/PVC (2x6)mm2</t>
  </si>
  <si>
    <t>Cu/PVC/PVC (2x2.5)mm2</t>
  </si>
  <si>
    <t>Cu/PVC/PVC (3x1.5)mm2</t>
  </si>
  <si>
    <t>Cáp điện 0,6kV, lõi đồng, vỏ PVC, tiết diện:</t>
  </si>
  <si>
    <t>Cu/PVC (1x4.0)mm2</t>
  </si>
  <si>
    <t>Cu/PVC  (1x50)mm2</t>
  </si>
  <si>
    <t>Ống luồn dây PVC:</t>
  </si>
  <si>
    <t>D40 (lắp đặt nổi)</t>
  </si>
  <si>
    <t>D40 (lắp đặt chìm tường, bê tông)</t>
  </si>
  <si>
    <t>D32 (lắp đặt nổi)</t>
  </si>
  <si>
    <t>D32 (lắp đặt chìm tường, bê tông)</t>
  </si>
  <si>
    <t>D25 (lắp đặt nổi)</t>
  </si>
  <si>
    <t>D25 (lắp đặt chìm tường, bê tông)</t>
  </si>
  <si>
    <t>D20 (lắp đặt nổi)</t>
  </si>
  <si>
    <t>D20 (lắp đặt chìm tường, bê tông)</t>
  </si>
  <si>
    <t>HDPE 32/25</t>
  </si>
  <si>
    <t>Mô tả công việc mời thầu</t>
  </si>
  <si>
    <t>Nhà thầu chào</t>
  </si>
  <si>
    <t>VL chính</t>
  </si>
  <si>
    <t>Lợi nhuận</t>
  </si>
  <si>
    <t>BẢNG CHÀO GIÁ TỔNG HỢP</t>
  </si>
  <si>
    <t>Mẫu số 03.1</t>
  </si>
  <si>
    <t>Trung Quốc</t>
  </si>
  <si>
    <t>Vietnam</t>
  </si>
  <si>
    <t>Cadivi</t>
  </si>
  <si>
    <t>Việt Nam</t>
  </si>
  <si>
    <t>C 16</t>
  </si>
  <si>
    <t>C 70</t>
  </si>
  <si>
    <t>C 120</t>
  </si>
  <si>
    <t>CV/LF 1.5</t>
  </si>
  <si>
    <t>CV/LF 2.5</t>
  </si>
  <si>
    <t>CV/LF 4</t>
  </si>
  <si>
    <t>CV/LF 6</t>
  </si>
  <si>
    <t>CV/LF 10</t>
  </si>
  <si>
    <t>CV 35</t>
  </si>
  <si>
    <t>CV 50</t>
  </si>
  <si>
    <t>CV 70</t>
  </si>
  <si>
    <t>CV 95</t>
  </si>
  <si>
    <t>CV 185</t>
  </si>
  <si>
    <t>CVV 4X4 0.6/1KV</t>
  </si>
  <si>
    <t>CVV 4X10 0.6/1KV</t>
  </si>
  <si>
    <t>CVV 4X16</t>
  </si>
  <si>
    <t>CVV 2X2.5 0.6/1KV</t>
  </si>
  <si>
    <t>CVV 2X6 0.6/1KV</t>
  </si>
  <si>
    <t>CVV 2X10 0.6/1KV</t>
  </si>
  <si>
    <t>CXV 4X10</t>
  </si>
  <si>
    <t>CXV 4X16</t>
  </si>
  <si>
    <t>CXV 4X25</t>
  </si>
  <si>
    <t>CXV 4X35</t>
  </si>
  <si>
    <t>CXV 70</t>
  </si>
  <si>
    <t>CXV 95</t>
  </si>
  <si>
    <t>CXV 120</t>
  </si>
  <si>
    <t>Mã hiệu</t>
  </si>
  <si>
    <t>Cát Vạn Lợi</t>
  </si>
  <si>
    <t>263x153x70 (mm)</t>
  </si>
  <si>
    <t>CND161624</t>
  </si>
  <si>
    <t>Đường kính thân=16mm, Dài=2400mm, Độ dày lớp mạ 254µm (±5%)</t>
  </si>
  <si>
    <t>TD253</t>
  </si>
  <si>
    <t>25mm x 3mm</t>
  </si>
  <si>
    <t>Đã bao gồm</t>
  </si>
  <si>
    <t>BHT</t>
  </si>
  <si>
    <t xml:space="preserve">Sam Phú </t>
  </si>
  <si>
    <t>PHD3225</t>
  </si>
  <si>
    <t>Ống cam xoắn HDPE 32/25</t>
  </si>
  <si>
    <t>PHD160125</t>
  </si>
  <si>
    <t>Ống cam xoắn HDPE 160/125</t>
  </si>
  <si>
    <t>OMB100CVL</t>
  </si>
  <si>
    <t>Kích thước 1";Đường kính trong=26,00mm; Đường kính ngoài=32,20mm;Chiều dài=50m/Cuộn</t>
  </si>
  <si>
    <t>OMB34CVL</t>
  </si>
  <si>
    <t>Kích thước 3/4"; Đường kính trong=20,70mm; Đường kính ngoài=26,10mm;Chiều dài=50m/Cuộn</t>
  </si>
  <si>
    <t>AFE20</t>
  </si>
  <si>
    <t>Ống luồn ruột gà chống cháy AFE phi 20 - AFE20</t>
  </si>
  <si>
    <t>AFE25</t>
  </si>
  <si>
    <t>Ống luồn ruột gà chống cháy AFE phi 25 - AFE25</t>
  </si>
  <si>
    <t>ARC32/M</t>
  </si>
  <si>
    <t>Ống luồn tròn PVC - Medium duty phi 32mm - ARC32/M</t>
  </si>
  <si>
    <t>bộ</t>
  </si>
  <si>
    <t>Schneider</t>
  </si>
  <si>
    <t>HFVS1</t>
  </si>
  <si>
    <t>m3</t>
  </si>
  <si>
    <t>Tủ điện LV-G.1+G.2+G.3+G.4+G.5+G.6</t>
  </si>
  <si>
    <t>Nhà sản xuất tủ: ACIT - Á Châu
Thiết bị đóng cắt: Schneider</t>
  </si>
  <si>
    <t>Việt Nam
Châu Á</t>
  </si>
  <si>
    <t>Tủ TĐ-H2</t>
  </si>
  <si>
    <t>Tủ TĐ-H1</t>
  </si>
  <si>
    <t>Tủ điện TĐ-QHK1-H1, TĐ-QHK2-H1</t>
  </si>
  <si>
    <t>Tủ điện TĐ-TNS1,2,4</t>
  </si>
  <si>
    <t>Tủ điện TĐA-BSH,TĐB-BSH</t>
  </si>
  <si>
    <t>Tủ điện TĐ-R.T3</t>
  </si>
  <si>
    <t>Tủ TĐ1</t>
  </si>
  <si>
    <t>Tủ TĐ2</t>
  </si>
  <si>
    <t>Tủ TĐ3</t>
  </si>
  <si>
    <t>Tủ TĐ3A,4A</t>
  </si>
  <si>
    <t>Tủ TĐ4</t>
  </si>
  <si>
    <t>Tủ TS1</t>
  </si>
  <si>
    <t>Tủ TS2</t>
  </si>
  <si>
    <t>Tủ TS4</t>
  </si>
  <si>
    <t>Tủ TĐ-FCU2</t>
  </si>
  <si>
    <t>Tủ TĐ-ST</t>
  </si>
  <si>
    <t>Tủ TĐ-VRV.ST</t>
  </si>
  <si>
    <t>Tủ TĐ-FCU.ST</t>
  </si>
  <si>
    <t>Tủ TĐ-FCU3</t>
  </si>
  <si>
    <t>Tủ TĐ-FCU4</t>
  </si>
  <si>
    <t>Tủ TĐ-BB</t>
  </si>
  <si>
    <t>Tủ TĐ-GYM</t>
  </si>
  <si>
    <t>Tủ TĐ-QTA.T5</t>
  </si>
  <si>
    <t>Tủ TĐ-BN</t>
  </si>
  <si>
    <t>Tủ TĐ-VRV.B</t>
  </si>
  <si>
    <t>Tủ TĐ-FCU.B</t>
  </si>
  <si>
    <t>Tủ TĐ-CP</t>
  </si>
  <si>
    <t>Tủ TĐ-VRV.CP</t>
  </si>
  <si>
    <t>Tủ TĐ-FCU.CP</t>
  </si>
  <si>
    <t>Tủ điện TS7A,13A,16A</t>
  </si>
  <si>
    <t>Tủ điện TS7B,13B</t>
  </si>
  <si>
    <t>Tủ điện TE9A,15A,22A,9B</t>
  </si>
  <si>
    <t>Tủ TĐA-QTA</t>
  </si>
  <si>
    <t>Tủ TĐB-QTA</t>
  </si>
  <si>
    <t>Tủ TĐ6,9,12,15,18,21,24A</t>
  </si>
  <si>
    <t>Tủ TĐ6A1, TĐ9A1, TĐ12A1, TĐ15A1, TĐ18A1, TĐ21A1, TĐ24A1</t>
  </si>
  <si>
    <t>Tủ TĐ7A, TĐ10A, TĐ13A, TĐ16A, TĐ19A, TĐ22A</t>
  </si>
  <si>
    <t>Tủ TĐ7A1, TĐ10A, TĐ13A1, TĐ16A1, TĐ19A, TĐ22A1</t>
  </si>
  <si>
    <t>Tủ TĐ8A, TĐ11A, TĐ14A, TĐ17A, TĐ20A, TĐ23A</t>
  </si>
  <si>
    <t>Tủ TĐ8A1, TĐ11A1, TĐ14A1, TĐ17A1, TĐ20A1, TĐ23A1</t>
  </si>
  <si>
    <t>Tủ TĐ25A</t>
  </si>
  <si>
    <t>Tủ TĐ8B, TĐ11B, TĐ14B, TĐ17B, TĐ20B</t>
  </si>
  <si>
    <t>Tủ TĐ8B1, TĐ11B1, TĐ14B1, TĐ17B1, TĐ20B1</t>
  </si>
  <si>
    <t>Tủ TĐ6B, TĐ9B, TĐ12B, TĐ15B, TĐ18B, TĐ21B</t>
  </si>
  <si>
    <t>Tủ TĐ6B1, TĐ9B1, TĐ12B1, TĐ15B1, TĐ18B1, TĐ21B1</t>
  </si>
  <si>
    <t>Tủ TĐ7B, TĐ10B, TĐ13B, TĐ16B, TĐ19B, TĐ22B</t>
  </si>
  <si>
    <t>Tủ TĐ7B1, TĐ10B1, TĐ13B1, TĐ16B1, TĐ19B,1 TĐ22B1</t>
  </si>
  <si>
    <t>Tủ TĐ-CSNN</t>
  </si>
  <si>
    <t>Cáp điện từ LV-G.4 đến EMSB2.1:
Cu/FR (3x240+1x120)mm2</t>
  </si>
  <si>
    <t>Cáp điện từ EMSB2.3 đến TĐ-QH1-H2:
Cu/FR (1x120)mm2</t>
  </si>
  <si>
    <t>Cáp điện từ MSB2.3 đến TĐ-ST, TĐ3; MSB2.5 đến TĐ-VRV2:
Cu/XLPE/PVC [3(1x185)+(1x95)]mm2</t>
  </si>
  <si>
    <t>Mương cáp hạ thế (WxH)=(1500x1100)mm</t>
  </si>
  <si>
    <t>Hố ga điện Hạ thế (1600x1600)mm</t>
  </si>
  <si>
    <t>HDPE 195/150</t>
  </si>
  <si>
    <t>HDPE 160/125</t>
  </si>
  <si>
    <t>Tủ điện TĐ-CSNN</t>
  </si>
  <si>
    <t>Không bao gồm cáp cho hệ thống chiếu sáng khẩn (TCQ1)</t>
  </si>
  <si>
    <t>Cáp điều khiển cưỡng bức từ tủ CB1, CB2:
Cu/FR (1x1.5)mm2</t>
  </si>
  <si>
    <t>Cấp nguồn chiếu sáng ngoài nhà:
Cu/XLPE/PVC (3x4)mm2</t>
  </si>
  <si>
    <t>Cu/PVC (1x1.5)mm2
(Chiếu sáng phòng kỹ thuật tầng 2,3 và ổ cắm PKT tầng 2)</t>
  </si>
  <si>
    <t>HDPE 40/30 cho đèn chiếu sáng ngoài nhà</t>
  </si>
  <si>
    <t>Ống luồn dây PVC D32 kết nối giữa ống HDPE và máng cáp đi về tủ điện TĐ-CSNN</t>
  </si>
  <si>
    <t>Đào lấp đất cho hệ thống chiếu sáng ngoài nhà</t>
  </si>
  <si>
    <t>Ống luồn dây GI D25 (lắp đặt nổi)</t>
  </si>
  <si>
    <t>Ống luồn dây GI D32 (lắp đặt nổi)</t>
  </si>
  <si>
    <t>Ống luồn dây GI D40 (lắp đặt nổi)</t>
  </si>
  <si>
    <t>Ống luồn dây mềm GI D25 (lắp đặt nổi)</t>
  </si>
  <si>
    <t>Ống luồn dây mềm GI D32 (lắp đặt nổi)</t>
  </si>
  <si>
    <t>Ống luồn dây mềm GI D40 (lắp đặt nổi)</t>
  </si>
  <si>
    <t xml:space="preserve">Máng cáp WxH=(100x50)mm, tôn dày 1.5mm, sơn tĩnh điện </t>
  </si>
  <si>
    <t>Chuyển hướng ngang 90 độ máng cáp WxH=(100x50)mm</t>
  </si>
  <si>
    <t>Chuyển hướng dọc 90 độ máng cáp WxH=(100x50)mm</t>
  </si>
  <si>
    <t xml:space="preserve">Máng cáp WxH=(400x50)mm, tôn dày 1.5mm, sơn tĩnh điện </t>
  </si>
  <si>
    <t>Chuyển hướng dọc 90 độ máng cáp WxH=(400x50)mm</t>
  </si>
  <si>
    <t>Tê nối máng cáp WxH=(400x50)mm</t>
  </si>
  <si>
    <t>Côn thu (W400-W200 x H50)mm</t>
  </si>
  <si>
    <t>Máng cáp ngoài trời WxH=(300x50)mm, tôn dày 1.5mm</t>
  </si>
  <si>
    <t>Máng cáp ngoài trời WxH=(300x100)mm, tôn dày 1.5mm</t>
  </si>
  <si>
    <t>Chuyển hướng ngang 90 độ thang cáp WxH=(500x100)mm</t>
  </si>
  <si>
    <t>Tê đều thang cáp WxH=(500x100)mm</t>
  </si>
  <si>
    <t>Giảm thang cáp WxH=(500x100/150x50)mm</t>
  </si>
  <si>
    <t>Thang cáp kim loại WxH-400x50mm</t>
  </si>
  <si>
    <t>Chuyển hướng ngang 90 độ thang cáp WxH=(400x50)mm</t>
  </si>
  <si>
    <t>Co lơi thang cáp WxH=(400x50)mm</t>
  </si>
  <si>
    <t>Tê nối máng cáp WxH=(150x50/200x50)mm</t>
  </si>
  <si>
    <t>Hộp nối cáp</t>
  </si>
  <si>
    <t>Ống PVC D20 lắp đặt ngầm tường</t>
  </si>
  <si>
    <t>Ống cam xoắn HDPE 195/150</t>
  </si>
  <si>
    <t>Không thuộc phạm vi công việc nhà thầu</t>
  </si>
  <si>
    <t>Feeder</t>
  </si>
  <si>
    <t>BFC2532GM65FR</t>
  </si>
  <si>
    <t>Elbow</t>
  </si>
  <si>
    <t>BFC2532GELM65FR</t>
  </si>
  <si>
    <t>Flanged Ends</t>
  </si>
  <si>
    <t>BFC2532GFECM65FR</t>
  </si>
  <si>
    <t>Fire Rated Copper contact busway 3200A, 100kA/1s 3P4W (3P+100%N+50%E by housing), IP65, color ANSI 49 grey</t>
  </si>
  <si>
    <t>Edgewise Horizontal hanger</t>
  </si>
  <si>
    <t>HF16E</t>
  </si>
  <si>
    <t>Fire Rated Copper contact busway 1600A, 65kA/1s 3P4W (3P+100%N+50%E by housing), IP65, color ANSI 49 grey</t>
  </si>
  <si>
    <t>BFC2516GM65FR</t>
  </si>
  <si>
    <t>BFC2516GELM65FR</t>
  </si>
  <si>
    <t>BFC2516GFECM65FR</t>
  </si>
  <si>
    <t>HF78E</t>
  </si>
  <si>
    <t>Copper contact busway 2000A, 65kA/1s 3P4W (3P+100%N+50%E by housing), IP54, color ANSI 49 grey</t>
  </si>
  <si>
    <t>BFC2520GM65N</t>
  </si>
  <si>
    <t>BFC2520GM54N</t>
  </si>
  <si>
    <t>Plug-in Opening</t>
  </si>
  <si>
    <t>BPIO3M</t>
  </si>
  <si>
    <t>BFC2520GELM65N</t>
  </si>
  <si>
    <t>BFC2520GFECM65N</t>
  </si>
  <si>
    <t>End closure</t>
  </si>
  <si>
    <t>ACD88EC5M65</t>
  </si>
  <si>
    <t>HF88E</t>
  </si>
  <si>
    <t>Vertical Spring Hanger</t>
  </si>
  <si>
    <t xml:space="preserve">160A NSXF 3P Breaker I-LINE II PIU </t>
  </si>
  <si>
    <t>PL1NSXF160GN1M54</t>
  </si>
  <si>
    <t xml:space="preserve">100A NSXF 3P Breaker I-LINE II PIU </t>
  </si>
  <si>
    <t>PL1NSXF100GN1M54</t>
  </si>
  <si>
    <t>ABB</t>
  </si>
  <si>
    <t>China</t>
  </si>
  <si>
    <t>054010
054000
572133</t>
  </si>
  <si>
    <t>Simon</t>
  </si>
  <si>
    <t>Đèn led Tube chống ẩm
Công suất: 2*20W
Ánh sáng: 4000K
Hs phát sáng: 110lm/w
Góc chiếu: 120D
CRI: 80
IP: 54
Kích thước: 1286*158*92mm
Tuổi thọ: 30.000h</t>
  </si>
  <si>
    <t>2*SPL1001/20D
+ 
SPL9003/120.2</t>
  </si>
  <si>
    <t>Đèn led Tube chống ẩm
Công suất: 20W
Ánh sáng: 4000K
Hs phát sáng: 110lm/w
Góc chiếu: 120D
CRI: 80
IP: 54
Kích thước: 1286*158*92mm
Tuổi thọ: 30.000h</t>
  </si>
  <si>
    <t>SPL1001/20D
+ 
SPL9003/120.1</t>
  </si>
  <si>
    <t>Đèn led tube đôi
Công suất: 2*20W
Ánh sáng: 4000K
Hs phát sáng: 120lm/w
Góc chiếu: 120D
CRI: 80
IP: 20
Kích thước: 1227*45*28mm
Tuổi thọ: 30.000h</t>
  </si>
  <si>
    <t>2*SPL1001/20D
+
SPL9001/DT120.2</t>
  </si>
  <si>
    <t>Đèn led tube đơn
Công suất: 20W
Ánh sáng: 4000K
Hs phát sáng: 120lm/w
Góc chiếu: 120D
CRI: 80
IP: 20
Kích thước: 1227*45*28mm
Tuổi thọ: 30.000h</t>
  </si>
  <si>
    <t>SPL1001/20D
+
SPL9001/DT120.1</t>
  </si>
  <si>
    <t>Đèn led tube đơn
Công suất: 10W
Ánh sáng: 4000K
Hs phát sáng: 95lm/w
Góc chiếu: 120D
CRI: 80
IP: 20
Kích thước: 627*45*28mm
Tuổi thọ: 30.000h</t>
  </si>
  <si>
    <t>SPL1001-10D
+ 
SPL9001/DT60.1</t>
  </si>
  <si>
    <t>SPP1001/060640D</t>
  </si>
  <si>
    <t>Đèn ốp nổi
Điện áp: 110-245V
Công suất: 12W
Ánh sáng: 4000K
Góc chiếu 180 độ
Hiệu suất phát quang: 95lm/w
IP: 54
CRI: &gt;80
Kích thước: 170*42mm
Tuổi thọ: 30.000h</t>
  </si>
  <si>
    <t>SPT1001/12D(SI0040SPT)</t>
  </si>
  <si>
    <t>N03E0-1026</t>
  </si>
  <si>
    <t>Đèn Downlight chống ẩm
Điện áp: 110-245V
Công suất: 7W
Ánh sáng: 4000K
Hiệu suất phát quang: 95lm/w
IP: 44
Lỗ khoét: 90mm
Kích thước: 110*35mm
CRI: 80
Tuổi thọ: 30.000h</t>
  </si>
  <si>
    <t>SPD2030/7D(SI0140SPD)</t>
  </si>
  <si>
    <t>Đèn downlight liền khối viền trắng đơn sắc Điện áp: 110-245VAC/50Hz
Công suất: 9W
Hiệu suất phát quang: 95lm/w
Nhiệt độ màu: 4000K
Chỉ số IP: 20
CRI≥ 80
Lỗ khoét (mm): 90
Kích thước: 110*35mm
Tuổi thọ: 30.000h</t>
  </si>
  <si>
    <t>SPD2030/9D(SI0139SPD)</t>
  </si>
  <si>
    <t>Ống luồn tròn PVC - Medium duty phi 20mm - ARC20/M</t>
  </si>
  <si>
    <t>ARC20/M</t>
  </si>
  <si>
    <t>Ống luồn tròn PVC - Medium duty phi 25mm - ARC25/M</t>
  </si>
  <si>
    <t>ARC25/M</t>
  </si>
  <si>
    <t>Ống luồn tròn PVC - Medium duty phi 40mm - ARC40/M</t>
  </si>
  <si>
    <t>ARC40/M</t>
  </si>
  <si>
    <t>Ống luồn ruột gà chống cháy AFE phi 32 - AFE32</t>
  </si>
  <si>
    <t>AFE32</t>
  </si>
  <si>
    <t>Hộp nối vuông 83*83*44 - ABU332</t>
  </si>
  <si>
    <t>ABU332</t>
  </si>
  <si>
    <t>Kích thước 1" (28); Đường kính ngoài=29,54mm, Độ dày =1,45mm, Chiều dài=3,05m/Ống</t>
  </si>
  <si>
    <t>EMT100</t>
  </si>
  <si>
    <t>Kích thước 1-1/4" (36); Đường kính ngoài=38,35mm, Độ dày =1,57mm, Chiều dài=3,05m/Ống</t>
  </si>
  <si>
    <t>EMT114</t>
  </si>
  <si>
    <t>EMT34</t>
  </si>
  <si>
    <t>Kích thước 1-1/4"; Đường kính trong=34,50mm; Đường kính ngoài=41,50mm;Chiều dài=25m/Cuộn</t>
  </si>
  <si>
    <t>OMB114CVL</t>
  </si>
  <si>
    <t>Kích thước 3/4" (22); Đường kính ngoài=23,42mm, Độ dày =1,25mm, Chiều dài=3,05m/Ống</t>
  </si>
  <si>
    <t>Bộ đếm sét</t>
  </si>
  <si>
    <t>Tấm nối đất(150x50x5)mm, bao gồm bulong, sứ cách điện, chân đế bằng inox</t>
  </si>
  <si>
    <t>Trụ đỡ kim thu sét Inox 304, H = 5 mét, Phi 60, chân đế (300x300x8)mm và cần đèn báo không
+ Cáp Inox 8mm 304: 25 mét
+ Bộ tăng đơ cáp lụa 10: 3 Cái Inox 304
+ Ốc siết cáp: 12 Cái Inox 304
Đạt tiêu chuẩn: TCVN 9385 - 2012</t>
  </si>
  <si>
    <t>PHD190150</t>
  </si>
  <si>
    <t>PTEL</t>
  </si>
  <si>
    <t>PTEL-MB</t>
  </si>
  <si>
    <t>Đèn led tube chống ẩm
Công suất: 10W
Ánh sáng: 4000K
Hs phát sáng: 95lm/w
Góc chiếu: 120D
CRI: 80
IP: 54
Kích thước: 660*95*92mm
Tuổi thọ: 30.000h</t>
  </si>
  <si>
    <t>SPL1001/10D
+
SPL9003/60.1</t>
  </si>
  <si>
    <t>Đèn spotlight KC1 Module
Công suất: 3* 9W
Nhiệt độ màu: 4000K
Góc chiếu: 36° 
Quang thông: 2150lm
Hiệu suất phát quang: 80lm/W
CRI&gt;90
Tuổi thọ: 50000h</t>
  </si>
  <si>
    <t>3*N0424-2052
+
N0424-0281</t>
  </si>
  <si>
    <t>Đèn âm tường
Công suất: 5W 
Hs phát sáng: 40lm/w 
Ánh sáng: 3000K 
CRI: 80 
IP 65 
Kích thước: 170*70*55mm 
Lỗ khoét: 155*55mm 
Tuổi thọ: 50000h</t>
  </si>
  <si>
    <t>SPC9001/5W</t>
  </si>
  <si>
    <t>Châu Á</t>
  </si>
  <si>
    <t>2CDS273001R0204</t>
  </si>
  <si>
    <t>2CDS273001R0504</t>
  </si>
  <si>
    <t>SPS1007/7W</t>
  </si>
  <si>
    <t xml:space="preserve">Bộ đổi nguồn 24VDC 200W cho LED dây </t>
  </si>
  <si>
    <t>Ống cam xoắn HDPE 40/30</t>
  </si>
  <si>
    <t>PHD4030</t>
  </si>
  <si>
    <t>lô</t>
  </si>
  <si>
    <t>Thương hiệu</t>
  </si>
  <si>
    <t>Theo KLMT</t>
  </si>
  <si>
    <t>ĐẦU MỤC CÔNG VIỆC THEO KLMT</t>
  </si>
  <si>
    <t>HẠNG MỤC: ĐIỆN</t>
  </si>
  <si>
    <t>HẠNG MỤC: ĐIỆN NHẸ</t>
  </si>
  <si>
    <t>HẠNG MỤC: CẤP THOÁT NƯỚC</t>
  </si>
  <si>
    <t>HẠNG MỤC: HVAC</t>
  </si>
  <si>
    <t>HẠNG MỤC: NGĂN CHÁY LAN</t>
  </si>
  <si>
    <t>ĐẦU MỤC CÔNG VIỆC PHÁT SINH NGOÀI KLMT</t>
  </si>
  <si>
    <t>Chi phí lắp điện kế Điện lực</t>
  </si>
  <si>
    <t>Bao gồm cắt đục, trám trét và đóng lưới hoàn thiện thô bàn giao xây dựng</t>
  </si>
  <si>
    <t>Thang cáp WxH=(1000x150)mm</t>
  </si>
  <si>
    <t>Thang cáp WxH=(800x150)mm</t>
  </si>
  <si>
    <t>Thang cáp WxH=(300x150)mm</t>
  </si>
  <si>
    <t>Độ dày 2.0mm, Loại đục lỗ</t>
  </si>
  <si>
    <t>Máng cáp WxH=(200x100)mm</t>
  </si>
  <si>
    <t>Độ dày 1.2mm, Loại đục lỗ</t>
  </si>
  <si>
    <t>Máng cáp WxH=(200x50)mm</t>
  </si>
  <si>
    <t xml:space="preserve">Máng cáp WxH=(100x50)mm, tôn dày 1.0mm, sơn tĩnh điện </t>
  </si>
  <si>
    <t>Sơn tĩnh điện</t>
  </si>
  <si>
    <t xml:space="preserve">Máng cáp WxH=(400x50)mm, tôn dày 2.0mm, sơn tĩnh điện </t>
  </si>
  <si>
    <t>2mm, Sơn tĩnh điện</t>
  </si>
  <si>
    <t>Độ dày 1.5mm, Loại đục lỗ
mạ kẽm nhúng nóng</t>
  </si>
  <si>
    <t>Mạ kẽm nhúng nóng</t>
  </si>
  <si>
    <t>Độ dày 1.0mm, Loại đục lỗ, Sơn tĩnh điện</t>
  </si>
  <si>
    <t>Độ dày 1.2mm, Loại đục lỗ, Sơn tĩnh điện</t>
  </si>
  <si>
    <t>Độ dày 2.0mm, Sơn tĩnh điện</t>
  </si>
  <si>
    <t>Độ dày 1.5mm, Loại đục lỗ, Sơn tĩnh điện</t>
  </si>
  <si>
    <t>Độ dày 2.0mm, Loại đục lỗ, Sơn tĩnh điện</t>
  </si>
  <si>
    <t>Độ dày 1.5mm, Sơn tĩnh điện</t>
  </si>
  <si>
    <t>Độ dày 2.5mm, Sơn tĩnh điện</t>
  </si>
  <si>
    <t>Chào gía vật liệu và độ dày theo Spec điện nhẹ - RF02.02</t>
  </si>
  <si>
    <t>Không thuộc phạm vi gói thầu theo RF02.02</t>
  </si>
  <si>
    <t>Bởi nhà thầu xây dựng theo RFI 03</t>
  </si>
  <si>
    <t>Lưu ý: Đối với các vật tư/ thiết bị CĐT cung cấp nhà thầu lắp đặt. Tỷ lệ phí sẽ được thống nhất theo biểu phí đính kèm hồ sơ dự thầu</t>
  </si>
  <si>
    <t>GÓI THẦU: CUNG CẤP VTTB VÀ THI CÔNG LẮP ĐẶT HỆ THỐNG CƠ ĐIỆN</t>
  </si>
  <si>
    <t>DỰ ÁN: TOÀ NHÀ HỖN HỢP HACOM MALL</t>
  </si>
  <si>
    <t>NHÀ THẦU: SEAREFICO</t>
  </si>
  <si>
    <t>Tủ điện hạ thế</t>
  </si>
  <si>
    <t>Vỏ tủ form 3B</t>
  </si>
  <si>
    <t>Cáp hạ thế</t>
  </si>
  <si>
    <t>Ống luồn dây HDPE</t>
  </si>
  <si>
    <t>Tủ điện nhánh</t>
  </si>
  <si>
    <t>Chi tiết Tủ theo SĐNL</t>
  </si>
  <si>
    <t>Phần cáp nhánh</t>
  </si>
  <si>
    <t>Cu/FR/XLPE (4x10)mm3</t>
  </si>
  <si>
    <t xml:space="preserve">Cu/FR (3x1.5)mm2 </t>
  </si>
  <si>
    <t>Cu/PVC  (1x120)mm1</t>
  </si>
  <si>
    <t>Cu/PVC  (1x95)mm2</t>
  </si>
  <si>
    <t>Ống luồn dây GI</t>
  </si>
  <si>
    <t>Ống PVC lực nén 1250N</t>
  </si>
  <si>
    <t>D20 (lắp đặt ngầm tường, bê tông)</t>
  </si>
  <si>
    <t>Phần căn hộ</t>
  </si>
  <si>
    <t>Thiết bị chung</t>
  </si>
  <si>
    <t>Thang máng cáp</t>
  </si>
  <si>
    <t>Hệ thống chống sét - nối đất</t>
  </si>
  <si>
    <t>Khối lượng cọc tiếp địa cho khu vực Trạm biến áp
(Nhà thầu Xây dựng đã thi công xong các Bãi cọc tiếp địa trong tầng hầm)</t>
  </si>
  <si>
    <t>Bao gồm các mối hàn hóa nhiệt</t>
  </si>
  <si>
    <t>Vật tư thiết bị đầu tư cho BQL tòa nhà</t>
  </si>
  <si>
    <t>Tê nối thang cáp WxH=(500x100)mm</t>
  </si>
  <si>
    <t>Chuyển hướng dọc 90 độ thang cáp WxH=(500x100)mm</t>
  </si>
  <si>
    <t>Chữ thập  nối  thang cáp WxH=(400x100)mm</t>
  </si>
  <si>
    <t>Chuyển hướng ngang 90 độ  thang cáp WxH=(400x100)mm</t>
  </si>
  <si>
    <t>Chuyển hướng dọc 90 độ  thang cáp WxH=(400x100)mm</t>
  </si>
  <si>
    <t>Chuyển hướng dọc 90 độ máng cáp WxH=(150x50)mm</t>
  </si>
  <si>
    <t>Chuyển hướng dọc 90 độ thang cáp WxH=(400x50)mm</t>
  </si>
  <si>
    <t>Tê nối thang cáp WxH=(400x50)mm</t>
  </si>
  <si>
    <t>Form 3B, IP42</t>
  </si>
  <si>
    <t>Form 2B, IP42</t>
  </si>
  <si>
    <t>MIP22112</t>
  </si>
  <si>
    <t>1SZR004002A1205</t>
  </si>
  <si>
    <t>1SZR004002A1207</t>
  </si>
  <si>
    <t>2TAZ141100R0104</t>
  </si>
  <si>
    <t>2TAZ141100R0164</t>
  </si>
  <si>
    <t>2TAZ141100R0204</t>
  </si>
  <si>
    <t>2TAZ141100R0254</t>
  </si>
  <si>
    <t>2TAZ141200R0504</t>
  </si>
  <si>
    <t>2TAZ141200R0404</t>
  </si>
  <si>
    <t>2TAZ240111R4324</t>
  </si>
  <si>
    <t>2TAZ240111R4254</t>
  </si>
  <si>
    <t>Indonesia</t>
  </si>
  <si>
    <t>MEC21001WH</t>
  </si>
  <si>
    <t>Obria series-Legrand</t>
  </si>
  <si>
    <t>Legrand</t>
  </si>
  <si>
    <t>MEC21005WH</t>
  </si>
  <si>
    <t>MEC21008WH</t>
  </si>
  <si>
    <t>MEC22002WH</t>
  </si>
  <si>
    <t>MEC22006WH</t>
  </si>
  <si>
    <t>MEC21025WH</t>
  </si>
  <si>
    <t>MEC23023WH
74NT</t>
  </si>
  <si>
    <t>MEC31049WH</t>
  </si>
  <si>
    <t>MEC32045WH</t>
  </si>
  <si>
    <t>MEC31049WH
617636</t>
  </si>
  <si>
    <t>Kim thu sét, loại phát tia tiên đạo, bán kính bảo vệ
105m, cấp IV</t>
  </si>
  <si>
    <t>PDC-E45</t>
  </si>
  <si>
    <t>Ingesco</t>
  </si>
  <si>
    <t>Tây Ban Nha</t>
  </si>
  <si>
    <t>Bộ đếm sét CDR Universal</t>
  </si>
  <si>
    <t>CDR Universal</t>
  </si>
  <si>
    <t>Bao gồm vật tư phụ lắp dây thu sét, các mối hàn hóa nhiệt</t>
  </si>
  <si>
    <t>CXE/FR-LSHF 185</t>
  </si>
  <si>
    <t>CXE/FR-LSHF 240</t>
  </si>
  <si>
    <t>CXE/FR-LSHF 120</t>
  </si>
  <si>
    <t>CXE/FR-LSHF 70</t>
  </si>
  <si>
    <t>CXE/FR-LSHF 2.5</t>
  </si>
  <si>
    <t>CXE/FR-LSHF 1.5</t>
  </si>
  <si>
    <t>CXE/FR-LSHF 2X10</t>
  </si>
  <si>
    <t>CXE/FR-LSHF 2X6</t>
  </si>
  <si>
    <t>CXE/FR-LSHF 2X4</t>
  </si>
  <si>
    <t>CXE/FR-LSHF 3X35</t>
  </si>
  <si>
    <t>CXE/FR-LSHF 3X25</t>
  </si>
  <si>
    <t>CXE/FR-LSHF 3X16</t>
  </si>
  <si>
    <t>CXE/FR-LSHF 3X10</t>
  </si>
  <si>
    <t>CXE/FR-LSHF 3X6</t>
  </si>
  <si>
    <t>CXE/FR-LSHF 3X4</t>
  </si>
  <si>
    <t>CXE/FR-LSHF 3X2.5</t>
  </si>
  <si>
    <t>CXE/FR-LSHF 3X1.5</t>
  </si>
  <si>
    <t>CXE/FR-LSHF 3X240+1X120</t>
  </si>
  <si>
    <t>CXE/FR-LSHF 4X50</t>
  </si>
  <si>
    <t>CXE/FR-LSHF 4X35</t>
  </si>
  <si>
    <t>CXE/FR-LSHF 4X25</t>
  </si>
  <si>
    <t>CXE/FR-LSHF 4X16</t>
  </si>
  <si>
    <t>CXE/FR-LSHF 4X10</t>
  </si>
  <si>
    <t>CXE/FR-LSHF 4X6</t>
  </si>
  <si>
    <t>CXE/FR-LSHF 4X4</t>
  </si>
  <si>
    <t>CXV 240</t>
  </si>
  <si>
    <t>CXV 185</t>
  </si>
  <si>
    <t>CXV 3X25</t>
  </si>
  <si>
    <t>CXV 3X10</t>
  </si>
  <si>
    <t>CXV 3X6</t>
  </si>
  <si>
    <t>CXV 3X4</t>
  </si>
  <si>
    <t>CXV 3X2.5</t>
  </si>
  <si>
    <t>CXV 3X240+1X120</t>
  </si>
  <si>
    <t>CXV 3X185+1X95</t>
  </si>
  <si>
    <t>CXV 3X120+1X70</t>
  </si>
  <si>
    <t>CXV 4X50</t>
  </si>
  <si>
    <t>CXV 4X6</t>
  </si>
  <si>
    <t>CXV 4X4</t>
  </si>
  <si>
    <t>CVV 1.5</t>
  </si>
  <si>
    <t>CVV 2X16</t>
  </si>
  <si>
    <t>CVV 2X1.5 0.6/1KV</t>
  </si>
  <si>
    <t>CVV 2X1</t>
  </si>
  <si>
    <t>CVV 3X1.5 0.6/1KV</t>
  </si>
  <si>
    <t>CVV 4X1.5 0.6/1KV</t>
  </si>
  <si>
    <t>CV 120</t>
  </si>
  <si>
    <t>CV 25</t>
  </si>
  <si>
    <t>CV/LF 16</t>
  </si>
  <si>
    <t>Wave- Đèn downlight viền phẳng 20W, Ánh sáng 4000K 
HS phát quang đèn (Lm/W) 90
PF 0.9
Góc chiếu: 90°
Kích thước: 244×84
Kích thước lỗ khoét: 195-210
Tuổi thọ: 50.000h
CRI&gt;80
IP 20</t>
  </si>
  <si>
    <t>Đèn panel âm trần
Công suất: 40W
Ánh sáng: 4000K
Hs phát sáng: 100lm/w
PF: 0.9
CRI: 80
IP: 40
Kích thước: 600*600*30mm
Lỗ khoét: 585*585mm
Tuổi thọ: 30.000h</t>
  </si>
  <si>
    <t>C 240</t>
  </si>
  <si>
    <t>Đèn spotlight ray (Track Boxless) RS26
Công suất: 	9W
Điện áp: 	220-240V / 50-60Hz
LED chip	COB
 HS phát quang:  120Lm/W
Nhiệt độ màu: 	3000K/4000K
Góc chiếu: 24D
Chỉ số IP: 	20</t>
  </si>
  <si>
    <t>N6424-0770</t>
  </si>
  <si>
    <t>Chỉ bao gồm lắp đặt, đèn chủ đầu tư cấp
Theo phản hổi RFI 03</t>
  </si>
  <si>
    <t>Chủ đầu tư cấp</t>
  </si>
  <si>
    <t>Asia</t>
  </si>
  <si>
    <t>Đèn LED gương, 8W-640lm</t>
  </si>
  <si>
    <t>Không bao gồm
Chủ nhà từ cung cấp và lắp đặt</t>
  </si>
  <si>
    <t>KL
Mời thầu
Lần 2</t>
  </si>
  <si>
    <t>KHỐI LƯỢNG MỜI THẦU</t>
  </si>
  <si>
    <t>KL
Nhà thầu
chào</t>
  </si>
  <si>
    <t>THÔNG TIN VỀ VẬT LIỆU CHÍNH</t>
  </si>
  <si>
    <t>ĐƠN GIÁ (chưa bao gồm VAT)</t>
  </si>
  <si>
    <t>Thành tiền
BOQ</t>
  </si>
  <si>
    <t>Mô tả/ Quy cách</t>
  </si>
  <si>
    <t>VL phụ</t>
  </si>
  <si>
    <t>NC&amp;M</t>
  </si>
  <si>
    <t xml:space="preserve">CF quản lý  </t>
  </si>
  <si>
    <t>ĐG tổng hợp</t>
  </si>
  <si>
    <t>Thành tiền
KLMT</t>
  </si>
  <si>
    <t>Thành tiền
Nhà thầu chào</t>
  </si>
  <si>
    <t>16=11+12+13+14+15</t>
  </si>
  <si>
    <t>17=4*16</t>
  </si>
  <si>
    <t>18=6*16</t>
  </si>
  <si>
    <t>DÂY CÁP ĐIỆN</t>
  </si>
  <si>
    <t>Thanh dẫn không có lỗ mở 
Feeder</t>
  </si>
  <si>
    <t>Đấu nối với tủ điện (Phí gia công)
Flanged End (Labor cost)</t>
  </si>
  <si>
    <t>Giá treo trục ngang 
Horizontal Hanger</t>
  </si>
  <si>
    <t>Đấu nối với tủ điện
Flanged End</t>
  </si>
  <si>
    <t>Thanh dẫn có lỗ mở 
Feeder</t>
  </si>
  <si>
    <t>Đầu che cuối thanh dẫn 
End Closure</t>
  </si>
  <si>
    <t>Giá treo lò xo trục đứng 
Spring Hanger</t>
  </si>
  <si>
    <t>Bộ chia điện kèm MCCB 3P 160A 36kA
Plug-in Unit with MCCB 3P 160A 36kA</t>
  </si>
  <si>
    <t>Bộ chia điện kèm MCCB 3P 100A 36kA
Plug-in Unit with MCCB 3P 100A 36kA</t>
  </si>
  <si>
    <t>Phát sinh ngoài KLMT Nhà thầu bổ sung</t>
  </si>
  <si>
    <t>….......................</t>
  </si>
  <si>
    <t>TỔNG CỘNG TRƯỚC VAT: C = A + B</t>
  </si>
  <si>
    <t>Thang cáp WxH=(400x50)mm</t>
  </si>
  <si>
    <t>Hệ thống nối đất thông tin</t>
  </si>
  <si>
    <t xml:space="preserve">                                                                                                                                                                                                                       </t>
  </si>
  <si>
    <t>Ống đi nổi. Không bao gồm cắt đục, trám trét và đóng lưới hoàn thiện</t>
  </si>
  <si>
    <t>Thập thang cáp WxH=(400x100)mm</t>
  </si>
  <si>
    <t>Tê giảm thang cáp WxH=(400x100)mm</t>
  </si>
  <si>
    <t>Co lơi thang cáp WxH=(400x100)mm</t>
  </si>
  <si>
    <t>Hạng mục: HỆ THỐNG CẤP THOÁT NƯỚC</t>
  </si>
  <si>
    <t>Phần thiết bị + phụ kiện chính</t>
  </si>
  <si>
    <t>Bơm thoát nước sàn hầm ( thông số 1 bơm Q=12m3/h. H=15m, N=2,5KW), ( bao gồm phụ kiện : khớp nối nhanh, xích kéo, thanh dẫn hướng…)</t>
  </si>
  <si>
    <t>Cụm</t>
  </si>
  <si>
    <t>Bơm thả chìm, nguyên cụm (bao gồm 02 bơm)</t>
  </si>
  <si>
    <t>Bơm hố pít thang máy ( thông số 1 bơm Q=10m3/h. H=15m, N=1,5KW), ( bao gồm phụ kiện : khớp nối nhanh, xích kéo, thanh dẫn hướng…)</t>
  </si>
  <si>
    <t>Bơm bể bơm trung chuyển ( thông số  bơm Q=6m3/h. H=6m), ( bao gồm phụ kiện : khớp nối nhanh, xích kéo, thanh dẫn hướng…)</t>
  </si>
  <si>
    <t>Bơm cấp nước lên mái khối A ( thông số 1 bơm Q=40m3/h. H=130m, N=22KW), ( bao gồm phụ kiện )</t>
  </si>
  <si>
    <t>Bơm trục đứng, đa tầng cánh, nguyên cụm (bao gồm 02 bơm)</t>
  </si>
  <si>
    <t>Bơm cấp nước lên mái khối B ( thông số 1 bơm Q=40m3/h. H=120m, N=22KW), ( bao gồm phụ kiện )</t>
  </si>
  <si>
    <t xml:space="preserve">Bơm biến tần tăng áp khối đế (thông số 1 bơm Q=40m3/h. H=56m,N=11KW), ( bao gồm phụ kiện )
</t>
  </si>
  <si>
    <t xml:space="preserve">Bơm biến tần tăng áp mái khối A (thông số 1 bơm Q=27m3/h. H=25m,N=3.7KW), ( bao gồm phụ kiện )
</t>
  </si>
  <si>
    <t xml:space="preserve">Bơm biến tần tăng áp mái khối B (thông số 1 bơm Q=30m3/h. H=25m,N=3.7KW), ( bao gồm phụ kiện )
</t>
  </si>
  <si>
    <t xml:space="preserve">Bình tích áp 500L (bao gồm đồng hồ đo áp, công tắc áp lực liên động bơm tăng áp), ( bao gồm phụ kiện)
</t>
  </si>
  <si>
    <t xml:space="preserve">Cụm đồng hồ nước DN100 (gồm 01 đồng hồ, 02 van bướm, 01 mối nối mềm)
</t>
  </si>
  <si>
    <t>Cụm đồng hồ nước DN80 (gồm 01 đồng hồ, 02 van khóa, kèm phụ kiện)</t>
  </si>
  <si>
    <t xml:space="preserve">Cụm đồng hồ nước DN50 (gồm 01 đồng hồ, 02 van khóa, kèm phụ kiện)
</t>
  </si>
  <si>
    <t xml:space="preserve">Cụm đồng hồ nước DN40 (gồm 01 đồng hồ, 02 van khóa, kèm phụ kiện)
</t>
  </si>
  <si>
    <t xml:space="preserve">Cụm đồng hồ nước DN32 (gồm 01 đồng hồ, 02 van khóa, kèm phụ kiện)
</t>
  </si>
  <si>
    <t xml:space="preserve">Cụm đồng hồ nước DN25 (gồm 01 đồng hồ, 02 van khóa, kèm phụ kiện)
</t>
  </si>
  <si>
    <t xml:space="preserve">Cụm đồng hồ nước DN20 (gồm 01 đồng hồ, 02 van khóa, kèm phụ kiện)
</t>
  </si>
  <si>
    <t xml:space="preserve">Cụm đồng hồ nước DN15 (gồm 01 đồng hồ, 02 van khóa, kèm phụ kiện)
</t>
  </si>
  <si>
    <t>Cảm biến mực nước</t>
  </si>
  <si>
    <t>Van búa nước DN80</t>
  </si>
  <si>
    <t>PN25</t>
  </si>
  <si>
    <t>Van chống va xả áp lực dư DN80</t>
  </si>
  <si>
    <t>Van phao cơ DN100</t>
  </si>
  <si>
    <t>PN16</t>
  </si>
  <si>
    <t>Van xả khí tự động DN25</t>
  </si>
  <si>
    <t>Cụm van giảm áp DN100 (gồm 4 van khóa, 02 van giảm áp)</t>
  </si>
  <si>
    <t>Cụm van giảm áp DN80 (gồm 4 van khóa, 02 van giảm áp)</t>
  </si>
  <si>
    <t>Cảm biến áp suất</t>
  </si>
  <si>
    <t xml:space="preserve">Cửa thăm </t>
  </si>
  <si>
    <t>Cửa thăm vuông có bản lề hapulico hoặc tương đương</t>
  </si>
  <si>
    <t>Tấm ghi đậy rãnh B300,  KN12,5</t>
  </si>
  <si>
    <t>Bể Inox lắp ghép mái tháp B 32m3 (AxBxH=4x4x2.5)</t>
  </si>
  <si>
    <t>Bể Inox lắp ghép mái tháp A 36m3 (AxBxH=6x3x2.5)</t>
  </si>
  <si>
    <t>Nắp ghi gang ga thu sàn 400x600</t>
  </si>
  <si>
    <t>Hộp đồng hồ tổng</t>
  </si>
  <si>
    <t>Phần cấp nước mặt bằng + trục đứng</t>
  </si>
  <si>
    <t>Cấp Nước/Supply Water</t>
  </si>
  <si>
    <t>Ống thép mạ kẽm nhúng nóng (SCH10)</t>
  </si>
  <si>
    <t>DN200</t>
  </si>
  <si>
    <t>DN150</t>
  </si>
  <si>
    <t>inox 304</t>
  </si>
  <si>
    <t>DN125</t>
  </si>
  <si>
    <t>DN100</t>
  </si>
  <si>
    <t>DN80</t>
  </si>
  <si>
    <t>Ống PPR PN10  / Pipe PPR PN10</t>
  </si>
  <si>
    <t>D110</t>
  </si>
  <si>
    <t>PPR PN10</t>
  </si>
  <si>
    <t>D90</t>
  </si>
  <si>
    <t>D63</t>
  </si>
  <si>
    <t>D50</t>
  </si>
  <si>
    <t>D40</t>
  </si>
  <si>
    <t>Ống PPR PN16  / Pipe PPR PN16</t>
  </si>
  <si>
    <t>D140</t>
  </si>
  <si>
    <t>PPR PN16</t>
  </si>
  <si>
    <t>Ống HDPE PN10</t>
  </si>
  <si>
    <t>HDPE PN10</t>
  </si>
  <si>
    <t>Tê PPR / Tee PPR</t>
  </si>
  <si>
    <t>D140/90</t>
  </si>
  <si>
    <t>D110/90</t>
  </si>
  <si>
    <t>D110/63</t>
  </si>
  <si>
    <t>D110-50</t>
  </si>
  <si>
    <t>D110-40</t>
  </si>
  <si>
    <t>D90/63</t>
  </si>
  <si>
    <t>D63/50</t>
  </si>
  <si>
    <t>D63/40</t>
  </si>
  <si>
    <t>D63/32</t>
  </si>
  <si>
    <t>D63/25</t>
  </si>
  <si>
    <t>D63/20</t>
  </si>
  <si>
    <t>D50/40</t>
  </si>
  <si>
    <t>D50/32</t>
  </si>
  <si>
    <t>D50/25</t>
  </si>
  <si>
    <t>D50/20</t>
  </si>
  <si>
    <t>D40/32</t>
  </si>
  <si>
    <t>D40/25</t>
  </si>
  <si>
    <t>D40/20</t>
  </si>
  <si>
    <t>D32/25</t>
  </si>
  <si>
    <t>D32/20</t>
  </si>
  <si>
    <t>D25/20</t>
  </si>
  <si>
    <t>Cút PPR / Elbow PPR</t>
  </si>
  <si>
    <t>Côn thu PPR</t>
  </si>
  <si>
    <t>D110/75</t>
  </si>
  <si>
    <t>D90/50</t>
  </si>
  <si>
    <t>D90/40</t>
  </si>
  <si>
    <t>D75/40</t>
  </si>
  <si>
    <t>Măng xông ren trong PPR/ Female Socket</t>
  </si>
  <si>
    <t>D65</t>
  </si>
  <si>
    <t>Măng xông PPR / Socket</t>
  </si>
  <si>
    <t>Phụ kiện PPR</t>
  </si>
  <si>
    <t>Bích PPR D140</t>
  </si>
  <si>
    <t>Bích PPR D110</t>
  </si>
  <si>
    <t>Bích PPR D90</t>
  </si>
  <si>
    <t>Phụ kiện HDPE</t>
  </si>
  <si>
    <t>Cút D110</t>
  </si>
  <si>
    <t>Tê D110</t>
  </si>
  <si>
    <t>Bích D110</t>
  </si>
  <si>
    <t>Phụ kiện thép mạ kẽm</t>
  </si>
  <si>
    <t>Cút DN150</t>
  </si>
  <si>
    <t>Cút DN100</t>
  </si>
  <si>
    <t>Cút DN80</t>
  </si>
  <si>
    <t>Tê DN150</t>
  </si>
  <si>
    <t>Tê DN150/100</t>
  </si>
  <si>
    <t>Tê DN150/80</t>
  </si>
  <si>
    <t>Tê DN80</t>
  </si>
  <si>
    <t>Van cửa</t>
  </si>
  <si>
    <t>DN50</t>
  </si>
  <si>
    <t>DN32</t>
  </si>
  <si>
    <t>DN25</t>
  </si>
  <si>
    <t>DN20</t>
  </si>
  <si>
    <t>DN15</t>
  </si>
  <si>
    <t>Van giảm áp</t>
  </si>
  <si>
    <t>DN40</t>
  </si>
  <si>
    <t>Van 1 chiều</t>
  </si>
  <si>
    <t>Vòi rửa (kèm phụ kiện)</t>
  </si>
  <si>
    <t xml:space="preserve">DN15 </t>
  </si>
  <si>
    <t>Mối nối mềm inox</t>
  </si>
  <si>
    <t>PN25 , tầng mái PN16</t>
  </si>
  <si>
    <t>Bích rỗng DN125</t>
  </si>
  <si>
    <t>Vật tư phụ theo ống (ti treo, giá đỡ ống, băng keo…)</t>
  </si>
  <si>
    <t xml:space="preserve">Phòng bơm cấp nước SH tầng hầm, phòng bơm tăng áp mái </t>
  </si>
  <si>
    <t>Cút thép mạ kẽm</t>
  </si>
  <si>
    <t>Cút DN200</t>
  </si>
  <si>
    <t>Cút DN32</t>
  </si>
  <si>
    <t>Tê thép mạ kẽm</t>
  </si>
  <si>
    <t>Tê DN200</t>
  </si>
  <si>
    <t>Tê DN200/100</t>
  </si>
  <si>
    <t>Tê DN100</t>
  </si>
  <si>
    <t>Tê DN150/125</t>
  </si>
  <si>
    <t>Tê DN80/32</t>
  </si>
  <si>
    <t>Y lọc</t>
  </si>
  <si>
    <t>PN16, Đường đẩy bơm sinh hoạt PN25</t>
  </si>
  <si>
    <t>Mối nối mềm</t>
  </si>
  <si>
    <t>Bích đặc</t>
  </si>
  <si>
    <t>Bích đặc DN150</t>
  </si>
  <si>
    <t>Bích rỗng</t>
  </si>
  <si>
    <t>Bích rỗng DN150</t>
  </si>
  <si>
    <t>Đồng hồ đo áp</t>
  </si>
  <si>
    <t>Crefin (rọ hút)</t>
  </si>
  <si>
    <t>Van phao thủy lực</t>
  </si>
  <si>
    <t xml:space="preserve">Sleeve inox </t>
  </si>
  <si>
    <t>Sleeve inox DN200 - L350</t>
  </si>
  <si>
    <t>Sleeve inox DN100 - L350</t>
  </si>
  <si>
    <t>Sleeve inox DN80 - L350</t>
  </si>
  <si>
    <t>Côn giảm DN100/80</t>
  </si>
  <si>
    <t>Côn giảm DN80/65</t>
  </si>
  <si>
    <t>Hệ Thống trục thoát nước thải + bếp + thông hơi (cả tầng gom, từ điểm khởi đầu kết nối đến các bể chức năng). Ống chờ thoát nước cho công nghệ bếp</t>
  </si>
  <si>
    <t xml:space="preserve">Ống thoát nước uPVC </t>
  </si>
  <si>
    <t>Ống D280</t>
  </si>
  <si>
    <t>UPVC PN10</t>
  </si>
  <si>
    <t>Ống D250</t>
  </si>
  <si>
    <t>Ống D200</t>
  </si>
  <si>
    <t>Ống D180</t>
  </si>
  <si>
    <t>Ống D160</t>
  </si>
  <si>
    <t>Ống D140</t>
  </si>
  <si>
    <t>Ống D125</t>
  </si>
  <si>
    <t>UPVC PN8</t>
  </si>
  <si>
    <t>Ống D110</t>
  </si>
  <si>
    <t>Ống D90</t>
  </si>
  <si>
    <t>Ống thông hơi Upvc</t>
  </si>
  <si>
    <t>UPVC PN6</t>
  </si>
  <si>
    <t>Ống D75</t>
  </si>
  <si>
    <t>Ống D48</t>
  </si>
  <si>
    <t>Ống HDPE</t>
  </si>
  <si>
    <t>PN10</t>
  </si>
  <si>
    <t>Ống thép mạ kẽm (sch10)</t>
  </si>
  <si>
    <t>Ống DN100</t>
  </si>
  <si>
    <t>Y 45⁰</t>
  </si>
  <si>
    <t>D280</t>
  </si>
  <si>
    <t>D280/250</t>
  </si>
  <si>
    <t>D250</t>
  </si>
  <si>
    <t>D250/200</t>
  </si>
  <si>
    <t>D250/180</t>
  </si>
  <si>
    <t>D200</t>
  </si>
  <si>
    <t>D200/180</t>
  </si>
  <si>
    <t>D200/125</t>
  </si>
  <si>
    <t>D180</t>
  </si>
  <si>
    <t>D180/160</t>
  </si>
  <si>
    <t>D180/140</t>
  </si>
  <si>
    <t>D160</t>
  </si>
  <si>
    <t>D160/125</t>
  </si>
  <si>
    <t>D160/110</t>
  </si>
  <si>
    <t>D160/90</t>
  </si>
  <si>
    <t>D140/125</t>
  </si>
  <si>
    <t>D140/110</t>
  </si>
  <si>
    <t>D125</t>
  </si>
  <si>
    <t>D125/110</t>
  </si>
  <si>
    <t>D125/90</t>
  </si>
  <si>
    <t>D140 HDPE</t>
  </si>
  <si>
    <t>Cút 135 (Chếch)</t>
  </si>
  <si>
    <t>D140 - HDPE</t>
  </si>
  <si>
    <t>Cút 90⁰</t>
  </si>
  <si>
    <t>D250 thông hơi</t>
  </si>
  <si>
    <t>D200 thông hơi</t>
  </si>
  <si>
    <t>D140 thông hơi</t>
  </si>
  <si>
    <t>D110 thông hơi</t>
  </si>
  <si>
    <t>D90 thông hơi</t>
  </si>
  <si>
    <t>D48 thông hơi</t>
  </si>
  <si>
    <t>D75 - HDPE</t>
  </si>
  <si>
    <t>Tê 90⁰</t>
  </si>
  <si>
    <t>D280/140 thông hơi</t>
  </si>
  <si>
    <t>D200/140 thông hơi</t>
  </si>
  <si>
    <t>D140/110 thông hơi</t>
  </si>
  <si>
    <t>D140/90 thông hơi</t>
  </si>
  <si>
    <t>D180/90 thông hơi</t>
  </si>
  <si>
    <t>D160/90 thông hơi</t>
  </si>
  <si>
    <t>D125/90 thông hơi</t>
  </si>
  <si>
    <t>D110/90 thông hơi</t>
  </si>
  <si>
    <t>D90/75 thông hơi</t>
  </si>
  <si>
    <t>D90/48 thông hơi</t>
  </si>
  <si>
    <t>D75 HDPE</t>
  </si>
  <si>
    <t>Măng xông</t>
  </si>
  <si>
    <t xml:space="preserve">Bạc chuyển bậc </t>
  </si>
  <si>
    <t>D280/125</t>
  </si>
  <si>
    <t>D250/125</t>
  </si>
  <si>
    <t xml:space="preserve">D160/140 </t>
  </si>
  <si>
    <t>Nút bịt</t>
  </si>
  <si>
    <t>Tê thông tắc (kiểm tra) trục đứng</t>
  </si>
  <si>
    <t>Phễu thu sàn</t>
  </si>
  <si>
    <t xml:space="preserve">Van khóa </t>
  </si>
  <si>
    <t>DN65</t>
  </si>
  <si>
    <t>D75</t>
  </si>
  <si>
    <t>Mặt bích</t>
  </si>
  <si>
    <t>Mặt bích HDPE D280</t>
  </si>
  <si>
    <t>Mặt bích HDPE D200</t>
  </si>
  <si>
    <t>Mặt bích uPVC D280</t>
  </si>
  <si>
    <t>Mặt bích uPVC D200</t>
  </si>
  <si>
    <t>Đào lấp đất</t>
  </si>
  <si>
    <t>Hệ thống trục thoát nước mưa</t>
  </si>
  <si>
    <t>Ống D60</t>
  </si>
  <si>
    <t>Ống D63</t>
  </si>
  <si>
    <t>Ống DN50</t>
  </si>
  <si>
    <t>D200/160</t>
  </si>
  <si>
    <t>D200/140</t>
  </si>
  <si>
    <t>D75/60</t>
  </si>
  <si>
    <t>D60</t>
  </si>
  <si>
    <t>DN50 thép</t>
  </si>
  <si>
    <t>Cầu chắn rác</t>
  </si>
  <si>
    <t>Hạng mục khác</t>
  </si>
  <si>
    <t>Mặt bích HDPE D250</t>
  </si>
  <si>
    <t>Mặt bích uPVC D250</t>
  </si>
  <si>
    <t>Đặt ống chờ xuyên vách hố ga ống uPVC D280, ống thoát D250</t>
  </si>
  <si>
    <t>Đặt ống chờ xuyên vách hố ga ống uPVC D250, ống thoát D200</t>
  </si>
  <si>
    <t>Đặt ống chờ xuyên vách hố ga ống uPVC D90, ống thoát D75</t>
  </si>
  <si>
    <t>Đặt ống chờ xuyên dầm ống uPVC D140, ống thoát D110</t>
  </si>
  <si>
    <t>Đặt ống chờ xuyên dầm ống uPVC D60-L=300, ống thoát bồn cây</t>
  </si>
  <si>
    <t xml:space="preserve">Đặt ống chờ xuyên sàn ống uPVC D140, thoát phễu thu sàn D110 </t>
  </si>
  <si>
    <t xml:space="preserve">Đặt ống chờ xuyên sàn ống uPVC D110, thoát phễu thu sàn D90 </t>
  </si>
  <si>
    <t>Chống thấm cổ ống D110</t>
  </si>
  <si>
    <t>Chống thấm cổ ống D90</t>
  </si>
  <si>
    <t>Đào đất</t>
  </si>
  <si>
    <t>CHI TIẾT CĂN HỘ</t>
  </si>
  <si>
    <t>KHỐI LƯỢNG CẤP NƯỚC</t>
  </si>
  <si>
    <t>Ống nước lạnh PPR PN10</t>
  </si>
  <si>
    <t>Ống nước nóng PPR PN20</t>
  </si>
  <si>
    <t>PPR PN20</t>
  </si>
  <si>
    <t>Tê nhựa</t>
  </si>
  <si>
    <t>Cút nhựa</t>
  </si>
  <si>
    <t>Côn thu</t>
  </si>
  <si>
    <t>Van cửa PPR</t>
  </si>
  <si>
    <t>Cút ren trong D20</t>
  </si>
  <si>
    <t xml:space="preserve">Bịt ren ngoài </t>
  </si>
  <si>
    <t>Kép thép D20</t>
  </si>
  <si>
    <t>Vật tư phụ  kèm ống (ti treo, giá đỡ ống, băng keo…)</t>
  </si>
  <si>
    <t>b</t>
  </si>
  <si>
    <t>KHỐI LƯỢNG THOÁT NƯỚC</t>
  </si>
  <si>
    <t xml:space="preserve">Ống thoát nước  Upvc PN8 </t>
  </si>
  <si>
    <t>D48</t>
  </si>
  <si>
    <t>D42</t>
  </si>
  <si>
    <t>Ống thông hơi UPVC PN6</t>
  </si>
  <si>
    <t>D110/D75</t>
  </si>
  <si>
    <t>D75/D42</t>
  </si>
  <si>
    <t>Cút 135⁰</t>
  </si>
  <si>
    <t>D110/48</t>
  </si>
  <si>
    <t>D90/48</t>
  </si>
  <si>
    <t>D75/48</t>
  </si>
  <si>
    <t>P tráp</t>
  </si>
  <si>
    <t>Xi phông</t>
  </si>
  <si>
    <t>Bạc chuyển bậc</t>
  </si>
  <si>
    <t>D75/42</t>
  </si>
  <si>
    <t>Bịt xả thông tắc</t>
  </si>
  <si>
    <t>Vật tư phụ, phụ kiện kèm ống (ti treo, giá đỡ ống, băng keo…)</t>
  </si>
  <si>
    <t xml:space="preserve">Đặt ống chờ xuyên sàn ống uPVC D140, thoát nước bồn cầu ống D110 </t>
  </si>
  <si>
    <t>Đặt ống chờ xuyên sàn ống uPVC D90, thoát nước phễu thu, chậu rửa D60</t>
  </si>
  <si>
    <t>Chống thấm cổ ống D60</t>
  </si>
  <si>
    <t>c</t>
  </si>
  <si>
    <t>KHỐI LƯỢNG THIẾT BỊ VỆ SINH</t>
  </si>
  <si>
    <t>Bình nóng lạnh 30L (kèm phụ kiện, van khóa, van 1 chiều, dây cấp nước nóng lạnh...)</t>
  </si>
  <si>
    <t>Bình nóng lạnh 50L (kèm phụ kiện, van khóa, van 1 chiều, dây cấp nước nóng lạnh...)</t>
  </si>
  <si>
    <t>Vòi rửa DN15</t>
  </si>
  <si>
    <t>Vòi rửa DN15 (kèm phụ kiện) cho máy giặt</t>
  </si>
  <si>
    <t>Sen tắm</t>
  </si>
  <si>
    <t>Nhà thầu lắp đặt, CĐT cấp thiết bị</t>
  </si>
  <si>
    <t>Xi (kèm phụ kiện)</t>
  </si>
  <si>
    <t>Lavabo (kèm dây nối mềm, vòi, van góc)</t>
  </si>
  <si>
    <t>Chậu bếp</t>
  </si>
  <si>
    <t>Bồn tắm</t>
  </si>
  <si>
    <t xml:space="preserve">Thoát sàn D75 </t>
  </si>
  <si>
    <t>Gương soi</t>
  </si>
  <si>
    <t>Hộp giấy vệ sinh</t>
  </si>
  <si>
    <t>Hộp xà phòng</t>
  </si>
  <si>
    <t>Thanh vắt khăn</t>
  </si>
  <si>
    <t>Kệ kính</t>
  </si>
  <si>
    <t>Kệ cốc</t>
  </si>
  <si>
    <t>Móc treo áo</t>
  </si>
  <si>
    <t xml:space="preserve">Phần bể bơi  </t>
  </si>
  <si>
    <t>Bồn lọc cát ∅900 Qmax=30M3/H</t>
  </si>
  <si>
    <t>Kèm phụ kiện, vật liệu lọc</t>
  </si>
  <si>
    <t>Bơm lọc p=2,2 kw,Qmax=30M3/H X 3-15m H2O</t>
  </si>
  <si>
    <t>Kèm phụ kiện</t>
  </si>
  <si>
    <t>Hệ thống Clo, PH</t>
  </si>
  <si>
    <t>Bơm hóa chất 7-18 (l/h)</t>
  </si>
  <si>
    <t>Bồn hóa chất PE 300L</t>
  </si>
  <si>
    <t>Đầu trả nước QMAX=150L/MIN</t>
  </si>
  <si>
    <t>Đầu dọn vệ sinh QMAX=150L/MIN</t>
  </si>
  <si>
    <t>Đầu thoát tràn QMAX=558L/MIN</t>
  </si>
  <si>
    <t>Đầu hút đáy QMAX=900L/MIN</t>
  </si>
  <si>
    <t>Đèn led chiếu sáng 1-20w/12V/50HZ</t>
  </si>
  <si>
    <t xml:space="preserve">Thanh chắn máng tràn </t>
  </si>
  <si>
    <t xml:space="preserve">Biến áp đèn </t>
  </si>
  <si>
    <t xml:space="preserve">Tủ điện điều khiển hệ thống bơm hệ lọc, hệ bơm nhiệt, massage bao gồm các cảm biến, timer, mạch điều khiền ….. </t>
  </si>
  <si>
    <t xml:space="preserve">Ống uPVC </t>
  </si>
  <si>
    <t>PN8</t>
  </si>
  <si>
    <t>Tê</t>
  </si>
  <si>
    <t>D110/60</t>
  </si>
  <si>
    <t xml:space="preserve">Cút </t>
  </si>
  <si>
    <t>Chếch</t>
  </si>
  <si>
    <t xml:space="preserve">Măng xông </t>
  </si>
  <si>
    <t>Đặt sleeve xuyên thành D140</t>
  </si>
  <si>
    <t>Lỗ</t>
  </si>
  <si>
    <t>Đặt sleeve xuyên thành D110</t>
  </si>
  <si>
    <t>Đặt sleeve xuyên thành &lt;=D110</t>
  </si>
  <si>
    <t xml:space="preserve">WCCC công cộng   </t>
  </si>
  <si>
    <t xml:space="preserve">Van khoá </t>
  </si>
  <si>
    <t>Bịt ren ngoài D15</t>
  </si>
  <si>
    <t xml:space="preserve">Vật tư phụ </t>
  </si>
  <si>
    <t>Vật tư phụ (theo ống)</t>
  </si>
  <si>
    <t>Ống UPVC PN8</t>
  </si>
  <si>
    <t>D140/75</t>
  </si>
  <si>
    <t>D125/190</t>
  </si>
  <si>
    <t>D90/D75</t>
  </si>
  <si>
    <t>D90/D42</t>
  </si>
  <si>
    <t>thông hơi, PN6</t>
  </si>
  <si>
    <t>D60/42</t>
  </si>
  <si>
    <t>D140/48</t>
  </si>
  <si>
    <t>D125/48</t>
  </si>
  <si>
    <t>D125/75</t>
  </si>
  <si>
    <t>D90/75</t>
  </si>
  <si>
    <t xml:space="preserve">THÔNG TẮC </t>
  </si>
  <si>
    <t>Đặt ống chờ xuyên sàn ống D140, thoát nước bồn cầu ống D110</t>
  </si>
  <si>
    <t>Đặt ống chờ xuyên sàn ống D110, thoát nước bồn cầu ống D90</t>
  </si>
  <si>
    <t>Đặt ống chờ xuyên sàn ống D90, thoát nước bồn cầu ống D60</t>
  </si>
  <si>
    <t>Xi ( vòi xịt, ...)</t>
  </si>
  <si>
    <t>Lavabo (kèm van góc)</t>
  </si>
  <si>
    <t>Tiểu nam</t>
  </si>
  <si>
    <t>Thoát sàn D90</t>
  </si>
  <si>
    <t>Bình nóng lạnh 50L</t>
  </si>
  <si>
    <t>Máy sấy tay</t>
  </si>
  <si>
    <t>Tay vịn inox WC người khuyết tật</t>
  </si>
  <si>
    <t>Hạng mục: HỆ THỐNG HVAC</t>
  </si>
  <si>
    <t>TẦNGH2</t>
  </si>
  <si>
    <t>TẦNGH1</t>
  </si>
  <si>
    <t>TẦNG1</t>
  </si>
  <si>
    <t>TẦNG2</t>
  </si>
  <si>
    <t>TẦNG3</t>
  </si>
  <si>
    <t>TẦNG4</t>
  </si>
  <si>
    <t>TẦNG5</t>
  </si>
  <si>
    <t>TẦNG23</t>
  </si>
  <si>
    <t>Đơn 
vị</t>
  </si>
  <si>
    <t>Công suất lạnh
Kw</t>
  </si>
  <si>
    <t>Lưu lượng gió 
(m3/min)</t>
  </si>
  <si>
    <t>Cột áp
(Pa)</t>
  </si>
  <si>
    <t>Công suất điện
(W)</t>
  </si>
  <si>
    <t>Điên áp
(P/V/Hz)</t>
  </si>
  <si>
    <t>Môi chất lạnh</t>
  </si>
  <si>
    <t>Quy cách</t>
  </si>
  <si>
    <t>THIẾT BỊ ĐIỀU HOÀ KHÔNG KHÍ</t>
  </si>
  <si>
    <t>I. THIẾT BỊ ĐIỀU HÒA VRV (VRF)</t>
  </si>
  <si>
    <t>1. DÀN LẠNH ĐIỀU HÒA VRV, VRF</t>
  </si>
  <si>
    <t>Wilo</t>
  </si>
  <si>
    <t>Dàn lạnh 1 chiều lạnh loại âm trần nối ống gió</t>
  </si>
  <si>
    <t>16/13/11</t>
  </si>
  <si>
    <t>50-200</t>
  </si>
  <si>
    <t>1P/220/50</t>
  </si>
  <si>
    <t>R410A</t>
  </si>
  <si>
    <t>Đồng bộ với dàn nóng kèm điều khiển từ xa loại có dây</t>
  </si>
  <si>
    <t>18/16,5/15</t>
  </si>
  <si>
    <t>19.5/17.5/16</t>
  </si>
  <si>
    <t>25/22,2/20</t>
  </si>
  <si>
    <t>32/27/23</t>
  </si>
  <si>
    <t>39/33/28</t>
  </si>
  <si>
    <t>16/39/32</t>
  </si>
  <si>
    <t>Dàn lạnh 1 chiều lạnh loại treo tường</t>
  </si>
  <si>
    <t>Dàn lạnh 1 chiều lạnh loại cassette âm trần</t>
  </si>
  <si>
    <t>9,5/8/7</t>
  </si>
  <si>
    <t>2. DÀN NÓNG ĐIỀU HÒA VRV, VRF</t>
  </si>
  <si>
    <t>Dàn nóng 1 chiều lạnh  (22HP).</t>
  </si>
  <si>
    <t>--</t>
  </si>
  <si>
    <t>3P/380/50</t>
  </si>
  <si>
    <t>Trọn bộ</t>
  </si>
  <si>
    <t>Dàn nóng 1 chiều lạnh  (24HP).</t>
  </si>
  <si>
    <t>Dàn nóng 1 chiều lạnh  (26HP).</t>
  </si>
  <si>
    <t>Dàn nóng 1 chiều lạnh  (32HP).</t>
  </si>
  <si>
    <t>Dàn nóng 1 chiều lạnh  (34HP).</t>
  </si>
  <si>
    <t>Dàn nóng 1 chiều lạnh  (36HP).</t>
  </si>
  <si>
    <t>Dàn nóng 1 chiều lạnh  (38HP).</t>
  </si>
  <si>
    <t>Dàn nóng 1 chiều lạnh  (40HP).</t>
  </si>
  <si>
    <t>Dàn nóng 1 chiều lạnh  (42HP).</t>
  </si>
  <si>
    <t>Dàn nóng 1 chiều lạnh  (44HP).</t>
  </si>
  <si>
    <t>Dàn nóng 1 chiều lạnh  (46HP).</t>
  </si>
  <si>
    <t>Dàn nóng 1 chiều lạnh  (50HP).</t>
  </si>
  <si>
    <t>Dàn nóng 1 chiều lạnh  (58HP).</t>
  </si>
  <si>
    <t>Dàn nóng 1 chiều lạnh  (60HP).</t>
  </si>
  <si>
    <t>II. THIẾT BỊ ĐIỀU HÒA CỤC BỘ</t>
  </si>
  <si>
    <t>1. HỆ THỐNG ĐIỀU HÒA CỤC BỘ</t>
  </si>
  <si>
    <t>Điều hòa cục bộ loai treo tường</t>
  </si>
  <si>
    <t>18000 BTU/H</t>
  </si>
  <si>
    <t>R410A/R32</t>
  </si>
  <si>
    <t>Điều hòa cục bộ 1 chiều lạnh loai trần nối ống gió</t>
  </si>
  <si>
    <t>18/15/12,5</t>
  </si>
  <si>
    <t>1P/220/51</t>
  </si>
  <si>
    <t>R410A/R33</t>
  </si>
  <si>
    <t>48000 BTU/H</t>
  </si>
  <si>
    <t>23/19,5/16</t>
  </si>
  <si>
    <t>24000 BTU/H</t>
  </si>
  <si>
    <t>III. THIẾT BỊ ĐIỀU KHIỂN</t>
  </si>
  <si>
    <t>Bộ điều khiển Trung tâm VRV/VRF</t>
  </si>
  <si>
    <t>Sơn Hà</t>
  </si>
  <si>
    <t>DANH MỤC QUẠT THÔNG GIÓ</t>
  </si>
  <si>
    <t>KL
Mời thầu
Lần 1</t>
  </si>
  <si>
    <t>KL BIM</t>
  </si>
  <si>
    <t>KÍ HIỆU</t>
  </si>
  <si>
    <t>LƯU LƯỢNG</t>
  </si>
  <si>
    <t>CỘP ÁP</t>
  </si>
  <si>
    <t>QUY CÁCH</t>
  </si>
  <si>
    <t>NHIỆT ĐỘ LÀM VIỆC</t>
  </si>
  <si>
    <t>CÔNG SUẤT ĐIỆN</t>
  </si>
  <si>
    <t>NGUỒN ĐIỆN</t>
  </si>
  <si>
    <t>ĐỘ ỒN</t>
  </si>
  <si>
    <t>HIỆU SUẤT</t>
  </si>
  <si>
    <t>Tốc độ 
vòng quay</t>
  </si>
  <si>
    <t>GHI CHÚ</t>
  </si>
  <si>
    <t>Pa</t>
  </si>
  <si>
    <t>oC</t>
  </si>
  <si>
    <t>kW</t>
  </si>
  <si>
    <t>V/Ph/Hz</t>
  </si>
  <si>
    <t>dBA @ 3M</t>
  </si>
  <si>
    <t>QUẠT THÔNG GIÓ CẤP, HÚT</t>
  </si>
  <si>
    <t>QUẠT THÔNG GIÓ CẤP, HÚT TẦNG HẦM - TUM</t>
  </si>
  <si>
    <t>Tầng hầm 2</t>
  </si>
  <si>
    <t>QUẠT HÚT PHÒNG QUẠT HÚT 1</t>
  </si>
  <si>
    <t>TH2/EF-03</t>
  </si>
  <si>
    <t>Fan wall mounted</t>
  </si>
  <si>
    <t>220/1/50</t>
  </si>
  <si>
    <t>≤ 65 dBA</t>
  </si>
  <si>
    <t xml:space="preserve"> ≥  50 %</t>
  </si>
  <si>
    <t>≤ 2900 rpm</t>
  </si>
  <si>
    <t>QUẠT HÚT PHÒNG QUẠT HÚT 2</t>
  </si>
  <si>
    <t>TH2/EF-04</t>
  </si>
  <si>
    <t>QUẠT HÚT PHÒNG QUẠT HÚT 3</t>
  </si>
  <si>
    <t>TH2/EF-05</t>
  </si>
  <si>
    <t>QUẠT HÚT PHÒNG QUẠT CẤP</t>
  </si>
  <si>
    <t>TH2/EF-06</t>
  </si>
  <si>
    <t>QUẠT HÚT KHO 1</t>
  </si>
  <si>
    <t>TH2/EF-08</t>
  </si>
  <si>
    <t>QUẠT HÚT KHO 2</t>
  </si>
  <si>
    <t>TH2/EF-09</t>
  </si>
  <si>
    <t>≤ 1450 rpm</t>
  </si>
  <si>
    <t>QUẠT HÚT KHO 3</t>
  </si>
  <si>
    <t>TH2/EF-10</t>
  </si>
  <si>
    <t>QUẠT HÚT KHO 4</t>
  </si>
  <si>
    <t>TH2/EF-11</t>
  </si>
  <si>
    <t>QUẠT CẤP GIÓ TẦNG HẦM ZONE 1</t>
  </si>
  <si>
    <t>TH2/SF-01.1,2</t>
  </si>
  <si>
    <t>Axial Fan/In-Line Fan/ Cabinet Fan</t>
  </si>
  <si>
    <t>380/3/50</t>
  </si>
  <si>
    <t>QUẠT CẤP GIÓ TẦNG HẦM ZONE 2</t>
  </si>
  <si>
    <t>TH2/SF-02</t>
  </si>
  <si>
    <t>Tầng hầm 1</t>
  </si>
  <si>
    <t>TH1/EF-03</t>
  </si>
  <si>
    <t>TH1/EF-04</t>
  </si>
  <si>
    <t>TH1/EF-05</t>
  </si>
  <si>
    <t>TH1/EF-06</t>
  </si>
  <si>
    <t>QUẠT HÚT PHÒNG BƠM PCCC</t>
  </si>
  <si>
    <t>TH1/EF-07</t>
  </si>
  <si>
    <t>QUẠT HÚT PHÒNG HẠ THẾ</t>
  </si>
  <si>
    <t>TH1/EF-08</t>
  </si>
  <si>
    <t>QUẠT HÚT PHÒNG KĨ THUẬT</t>
  </si>
  <si>
    <t>TH1/EF-09</t>
  </si>
  <si>
    <t>QUẠT HÚT NHÀ ĐIỀU HÀNH XLNT</t>
  </si>
  <si>
    <t>TH1/EF-10</t>
  </si>
  <si>
    <t>QUẠT HÚT PHÒNG BƠM SINH HOẠT</t>
  </si>
  <si>
    <t>TH1/EF-11</t>
  </si>
  <si>
    <t>QUẠT HÚT PHÒNG RÁC THÁP A</t>
  </si>
  <si>
    <t>TH1/EF-12</t>
  </si>
  <si>
    <t>TH1/SF-01.1,2</t>
  </si>
  <si>
    <t>TH1/SF-02</t>
  </si>
  <si>
    <t>QUẠT HÚT KHO HÀNG</t>
  </si>
  <si>
    <t>T1/EF-01</t>
  </si>
  <si>
    <t>QUẠT HÚT MÙI WC</t>
  </si>
  <si>
    <t>T1/EF-02,03</t>
  </si>
  <si>
    <t>Fan ceiling</t>
  </si>
  <si>
    <t>QUẠT HÚT MÙI WC TM</t>
  </si>
  <si>
    <t>T1/EF-04</t>
  </si>
  <si>
    <t>QUẠT CẤP GIÓ TƯƠI TẦNG 1</t>
  </si>
  <si>
    <t>T1/SF-01</t>
  </si>
  <si>
    <t>T1/SF-02</t>
  </si>
  <si>
    <t>T1/SF-03</t>
  </si>
  <si>
    <t>T1/SF-04</t>
  </si>
  <si>
    <t>T2/EF-01</t>
  </si>
  <si>
    <t>QUẠT HÚT MÙI KHO+QUẦY CHẾ BIẾN</t>
  </si>
  <si>
    <t>T2/EF-02</t>
  </si>
  <si>
    <t>QUẠT HÚT KHO</t>
  </si>
  <si>
    <t>T2/EF-03</t>
  </si>
  <si>
    <t>QUẠT CẤP GIÓ TƯƠI TẦNG 2</t>
  </si>
  <si>
    <t>T2/SF-01</t>
  </si>
  <si>
    <t>T2/SF-02</t>
  </si>
  <si>
    <t>T2/SF-03</t>
  </si>
  <si>
    <t>T2/SF-04</t>
  </si>
  <si>
    <t>T2/SF-05</t>
  </si>
  <si>
    <t>QUẠT CẤP GIÓ TƯƠI PHÒNG NHÂN VIÊN</t>
  </si>
  <si>
    <t>T2/SF-**</t>
  </si>
  <si>
    <t>T3/EF-01</t>
  </si>
  <si>
    <t>T3/EF-02</t>
  </si>
  <si>
    <t>QUẠT CẤP GIÓ TƯƠI TẦNG 3</t>
  </si>
  <si>
    <t>T3/SF-01,02</t>
  </si>
  <si>
    <t>T3/SF-03</t>
  </si>
  <si>
    <t>T3/SF-04</t>
  </si>
  <si>
    <t>T3/SF-05,06</t>
  </si>
  <si>
    <t>T3/SF-07</t>
  </si>
  <si>
    <t>T3/SF-08</t>
  </si>
  <si>
    <t>QUẠT HÚT MÙI WC 1</t>
  </si>
  <si>
    <t>T4/EF-01</t>
  </si>
  <si>
    <t>QUẠT HÚT MÙI WC 2</t>
  </si>
  <si>
    <t>T4/EF-02</t>
  </si>
  <si>
    <t>T4/EF-03</t>
  </si>
  <si>
    <t>T4/EF-04,05,06</t>
  </si>
  <si>
    <t>QUẠT CẤP GIÓ TƯƠI TẦNG 4</t>
  </si>
  <si>
    <t>T4/SF-01</t>
  </si>
  <si>
    <t>T4/SF-02</t>
  </si>
  <si>
    <t>T4/SF-03</t>
  </si>
  <si>
    <t>T4/SF-04</t>
  </si>
  <si>
    <t>T4/SF-05</t>
  </si>
  <si>
    <t>T5/EF-01</t>
  </si>
  <si>
    <t>T5/EF-02</t>
  </si>
  <si>
    <t>QUẠT HÚT MÙI WC 3</t>
  </si>
  <si>
    <t>T5/EF-03</t>
  </si>
  <si>
    <t>QUẠT HÚT MÙI KHU SƠ CHẾ</t>
  </si>
  <si>
    <t>T5/EF-04</t>
  </si>
  <si>
    <t>QUẠT HÚT MÙI WC 4</t>
  </si>
  <si>
    <t>T5/EF-05</t>
  </si>
  <si>
    <t>QUẠT HÚT MÙI KHU NHÀ HÀNG</t>
  </si>
  <si>
    <t>T5/EF-06</t>
  </si>
  <si>
    <t>QUẠT CẤP GIÓ TƯƠI TẦNG 5</t>
  </si>
  <si>
    <t>T5/SF-01</t>
  </si>
  <si>
    <t>T5/SF-02</t>
  </si>
  <si>
    <t>T5/SF-03</t>
  </si>
  <si>
    <t>T5/SF-04,05</t>
  </si>
  <si>
    <t>QUẠT CẤP GIÓ TƯƠI BẾP TẦNG 5</t>
  </si>
  <si>
    <t>T5/SF-06</t>
  </si>
  <si>
    <t>QUẠT HÚT PHÒNG KT</t>
  </si>
  <si>
    <t>T23/EF-01</t>
  </si>
  <si>
    <t>QUẠT CẤP KHÍ TƯƠI CF</t>
  </si>
  <si>
    <t>T23/SF-01</t>
  </si>
  <si>
    <t>QUẠT HÚT WC</t>
  </si>
  <si>
    <t>T23/EF-02,03,04</t>
  </si>
  <si>
    <t>QUẠT HÚT PHÒNG KTTM</t>
  </si>
  <si>
    <t>T24/EF-01</t>
  </si>
  <si>
    <t>QUẠT HÚT MÙI PHÒNG RÁC</t>
  </si>
  <si>
    <t>B-T24/EF-1.01,1.02</t>
  </si>
  <si>
    <t>Centrifugal Fan</t>
  </si>
  <si>
    <t>Tầng Tum</t>
  </si>
  <si>
    <t>QUẠT HÚT PHÒNG KT1</t>
  </si>
  <si>
    <t>TT/EF-01</t>
  </si>
  <si>
    <t>QUẠT HÚT PHÒNG KT2</t>
  </si>
  <si>
    <t>TT/EF-02</t>
  </si>
  <si>
    <t>TT/EF-03,04</t>
  </si>
  <si>
    <t>QUẠT HÚT MÙI BẾP THƯƠNG MẠI T5</t>
  </si>
  <si>
    <t>A-TT/KEF-01,01,1</t>
  </si>
  <si>
    <t>Tầng Mái</t>
  </si>
  <si>
    <t>QUẠT HÚT MÙI BẾP ẨM THỰC T3</t>
  </si>
  <si>
    <t>A-TM/KEF-01,01,1</t>
  </si>
  <si>
    <t>A-TM/EF-01</t>
  </si>
  <si>
    <t>QUẠT TĂNG ÁP - HÚT KHÓI TẦNG HẦM - MÁI</t>
  </si>
  <si>
    <t>QUẠT THÔNG GIÓ TẦNG HẦM (02 CẤP TỐC ĐỘ, TỐC ĐỘ CAO KHI CÓ CHÁY)</t>
  </si>
  <si>
    <t>TH2/EF-01,1,01,2</t>
  </si>
  <si>
    <t>20500/31000</t>
  </si>
  <si>
    <t>400/900</t>
  </si>
  <si>
    <t>Centrifugal fan</t>
  </si>
  <si>
    <t>300oC / 2hrs</t>
  </si>
  <si>
    <t>7,5/30,0</t>
  </si>
  <si>
    <t>≤  90 dBA</t>
  </si>
  <si>
    <t xml:space="preserve"> ≥ 60 %</t>
  </si>
  <si>
    <t>TH2/EF-02</t>
  </si>
  <si>
    <t>39000/58500</t>
  </si>
  <si>
    <t>450/1012</t>
  </si>
  <si>
    <t>15,0/55,0</t>
  </si>
  <si>
    <t>QUẠT TĂNG ÁP BUỒNG ĐỆM</t>
  </si>
  <si>
    <t>TH2/PSF-01</t>
  </si>
  <si>
    <t>TH1/EF-01,1,01,2</t>
  </si>
  <si>
    <t>TH1/EF-02</t>
  </si>
  <si>
    <t>41000/62000</t>
  </si>
  <si>
    <t>QUẠT HÚT KHÓI HÀNH LANG KHỐI ĐẾ</t>
  </si>
  <si>
    <t>TH1/SEF-01,02</t>
  </si>
  <si>
    <t>QUẠT TĂNG ÁP SẢNH CĂN HỘ</t>
  </si>
  <si>
    <t>TH1/PSF-01</t>
  </si>
  <si>
    <t>QUẠT TĂNG ÁP SẢNH TM</t>
  </si>
  <si>
    <t>TH1/PSF-02</t>
  </si>
  <si>
    <t>TH1/PSF-03</t>
  </si>
  <si>
    <t>QUẠT TĂNG ÁP RAM DỐC TẦNG HẦM</t>
  </si>
  <si>
    <t>T1/PSF-01</t>
  </si>
  <si>
    <t>QUẠT TĂNG ÁP CẦU THANG BỘ</t>
  </si>
  <si>
    <t>T5/PSF-01</t>
  </si>
  <si>
    <t xml:space="preserve">QUẠT TĂNG ÁP GIẾNG THANG MÁY </t>
  </si>
  <si>
    <t>T5/PSF-02</t>
  </si>
  <si>
    <t>T5/PSF-03,04</t>
  </si>
  <si>
    <t>QUẠT TĂNG ÁP BUỒNG ĐỆM THANG PCCC</t>
  </si>
  <si>
    <t>T5/PSF-05,06</t>
  </si>
  <si>
    <t>QUẠT HÚT KHÓI KHU CINEMA VÀ SHCD</t>
  </si>
  <si>
    <t>T5/SEF-01</t>
  </si>
  <si>
    <t>QUẠT HÚT KHÓI KHU DVTM</t>
  </si>
  <si>
    <t>T5/SEF-02</t>
  </si>
  <si>
    <t>B-T24/PSF-01</t>
  </si>
  <si>
    <t>QUẠT TĂNG ÁP PHÒNG ĐỆM</t>
  </si>
  <si>
    <t>B-T24/PSF-03</t>
  </si>
  <si>
    <t>QUẠT TĂNG ÁP PHÒNG ĐỆM + THANG BỘ</t>
  </si>
  <si>
    <t>B-T24/PSF-02</t>
  </si>
  <si>
    <t>QUẠT HÚT KHÓI HÀNH LANG KHỐI THÁP</t>
  </si>
  <si>
    <t>B-T24/SEF-01</t>
  </si>
  <si>
    <t>B-T25/PSF-01</t>
  </si>
  <si>
    <t>QUẠT TĂNG ÁP GIẾNG THANG MÁY</t>
  </si>
  <si>
    <t>B-T25/PSF-02,04</t>
  </si>
  <si>
    <t>B-T25/PSF-03</t>
  </si>
  <si>
    <t>QUẠT TĂNG ÁP SẢNG THANG MÁY</t>
  </si>
  <si>
    <t>B-T25/PSF-05</t>
  </si>
  <si>
    <t>B-T25/SEF-01</t>
  </si>
  <si>
    <t>A-TT/PSF-02</t>
  </si>
  <si>
    <t>A-TT/PSF-01</t>
  </si>
  <si>
    <t>A-TT/SEF-01</t>
  </si>
  <si>
    <t>QUẠT TĂNG ÁP BUỒNG THANG BỘ</t>
  </si>
  <si>
    <t>A-TM/PSF-04</t>
  </si>
  <si>
    <t>A-TM/PSF-05</t>
  </si>
  <si>
    <t>A-TM/PSF-01</t>
  </si>
  <si>
    <t>A-TM/PSF-02</t>
  </si>
  <si>
    <t>QUẠT TĂNG ÁP BUỒNG THANG BỘ + PHÒNG ĐỆM</t>
  </si>
  <si>
    <t>A-TM/PSF-03</t>
  </si>
  <si>
    <t>A-TM/SEF-01</t>
  </si>
  <si>
    <t>QUẠT HÚT KHÓI THƯƠNG MẠI</t>
  </si>
  <si>
    <t>A-TM/SEF-02</t>
  </si>
  <si>
    <t>THIẾT BỊ &amp; VẬT TƯ LẮP ĐẶT ĐIỀU HÒA KHÔNG KHÍ &amp; THÔNG GIÓ PHẦN CHUNG</t>
  </si>
  <si>
    <t>A1</t>
  </si>
  <si>
    <t>PHÂN VẬT TƯ LẮP ĐẶT ỐNG GIÓ</t>
  </si>
  <si>
    <t>HỆ THỐNG THÔNG GIÓ SỰ CỐ</t>
  </si>
  <si>
    <t xml:space="preserve"> 1. </t>
  </si>
  <si>
    <t>HỆ THỐNG THÔNG GIÓ HÚT TẦNG HẦM</t>
  </si>
  <si>
    <t>1.1</t>
  </si>
  <si>
    <t>Ống gió gió tôn tráng kẽm có giới hạn chịu lửa EI 60</t>
  </si>
  <si>
    <t>KT 600x300</t>
  </si>
  <si>
    <t>M</t>
  </si>
  <si>
    <t>KT 900x300</t>
  </si>
  <si>
    <t>KT 1200x300</t>
  </si>
  <si>
    <t>KT 1200x350</t>
  </si>
  <si>
    <t>KT 1400x300</t>
  </si>
  <si>
    <t>KT 1400x350</t>
  </si>
  <si>
    <t>KT 1600x300</t>
  </si>
  <si>
    <t>KT 1600x350</t>
  </si>
  <si>
    <t>KT 1700x3200</t>
  </si>
  <si>
    <t>KT 1800x300</t>
  </si>
  <si>
    <t>KT 1800x350</t>
  </si>
  <si>
    <t>KT 2500x1000</t>
  </si>
  <si>
    <t>KT: 1000x300</t>
  </si>
  <si>
    <t>KT: 1100x600</t>
  </si>
  <si>
    <t>1.2</t>
  </si>
  <si>
    <t>Cút 90 độ ống gió tôn tráng kẽm có giới hạn chịu lửa EI 60</t>
  </si>
  <si>
    <t xml:space="preserve">Cái  </t>
  </si>
  <si>
    <t>KT: 1800x350</t>
  </si>
  <si>
    <t>KT: 900x300</t>
  </si>
  <si>
    <t>KT: 1600x350</t>
  </si>
  <si>
    <t>KT: 1800x300</t>
  </si>
  <si>
    <t>1.3</t>
  </si>
  <si>
    <t xml:space="preserve"> Côn thu ống gió tôn tráng kẽm có giới hạn chịu lửa EI 60</t>
  </si>
  <si>
    <t>KT 900x300/600x300</t>
  </si>
  <si>
    <t>KT 1200x300/900x300</t>
  </si>
  <si>
    <t>KT 1200x300/1200x200</t>
  </si>
  <si>
    <t>KT 1200x350/900x300</t>
  </si>
  <si>
    <t>KT 1400x300/900x300</t>
  </si>
  <si>
    <t>KT 1400x300/1200x300</t>
  </si>
  <si>
    <t>KT 1400x350/1200x300</t>
  </si>
  <si>
    <t>KT 1400x350/1200x350</t>
  </si>
  <si>
    <t>KT 1600x300/1400x300</t>
  </si>
  <si>
    <t>KT 1600x350/1400x350</t>
  </si>
  <si>
    <t>KT 1800x350/1400x300</t>
  </si>
  <si>
    <t>KT: 1000x300/900x300</t>
  </si>
  <si>
    <t>KT: 1200x300/1000x300</t>
  </si>
  <si>
    <t>KT: 1800x300/1600x300</t>
  </si>
  <si>
    <t>KT: 1800x350/1000x1000</t>
  </si>
  <si>
    <t>KT: 2500x450/1000x1000</t>
  </si>
  <si>
    <t>Chạc ba ống gió tôn tráng kẽm có giới hạn chịu lửa EI 60</t>
  </si>
  <si>
    <t>KT 1400x300/900x300/600x300</t>
  </si>
  <si>
    <t>KT 1400x300/1200x300/600x300</t>
  </si>
  <si>
    <t>KT 1800x350/1400x300/1200x300</t>
  </si>
  <si>
    <t>KT 2500x450/1800x300/1600x300</t>
  </si>
  <si>
    <t>Cửa gió hút khói nhôm sơn tĩnh điện</t>
  </si>
  <si>
    <t>KT 1000x300+Van điều chỉnh lưu lượng OBD</t>
  </si>
  <si>
    <t>Gót miệng gió tôn tráng kẽm có giới hạn chịu lửa EI 60</t>
  </si>
  <si>
    <t>KT: 1000x300/1000x300</t>
  </si>
  <si>
    <t>Lượn tôn tráng kẽm có giới hạn chịu lửa EI 60</t>
  </si>
  <si>
    <t>KT: 300x900-lệch tâm 150mm</t>
  </si>
  <si>
    <t>KT: 300x900-lệch tâm 300mm</t>
  </si>
  <si>
    <t>KT: 300x1600-lệch tâm 300mm</t>
  </si>
  <si>
    <t>Van 1 chiều (NRD)</t>
  </si>
  <si>
    <t>KT 1000x1000</t>
  </si>
  <si>
    <t>KT 1100x600</t>
  </si>
  <si>
    <t>KT: 1500x800</t>
  </si>
  <si>
    <t>Van chặn lửa kèm động cơ (MFD)</t>
  </si>
  <si>
    <t>KT 1200x1000</t>
  </si>
  <si>
    <t>Van điều chỉnh lưu lượng bằng tay (VD)</t>
  </si>
  <si>
    <t>Tiêu âm đường ống trước quạt bằng tôn soi lỗ dày 0.5mm + Vải thủy tinh + Rockwool dày 50-100mm, tỷ trọng 48kg/m3 (Chiều dày tiêu âm được điều chỉnh theo vật liệu được phê duyệt bởi CĐT)</t>
  </si>
  <si>
    <t>KT 1900x450,L1500</t>
  </si>
  <si>
    <t>Kích thước tiêu âm là kích thước trong lòng ống gió</t>
  </si>
  <si>
    <t>KT 2600x550,L2000</t>
  </si>
  <si>
    <t>Khớp nối mềm chống cháy, kèm mặt bích</t>
  </si>
  <si>
    <t xml:space="preserve">2. </t>
  </si>
  <si>
    <t>HỆ THỐNG HÚT KHÓI CÁC KHÔNG GIAN CÔNG CỘNG  CÓ DIỆN TÍCH LỚN HƠN 200M2</t>
  </si>
  <si>
    <t>Ống gió gió tôn tráng kẽm có giới hạn chịu lửa EI 45</t>
  </si>
  <si>
    <t>KT 600x250</t>
  </si>
  <si>
    <t>KT 800x300</t>
  </si>
  <si>
    <t>KT 800x400</t>
  </si>
  <si>
    <t>KT 1000x300</t>
  </si>
  <si>
    <t>KT 1200x400</t>
  </si>
  <si>
    <t>KT 1250x300</t>
  </si>
  <si>
    <t>KT 1400x400</t>
  </si>
  <si>
    <t>KT 1500x500</t>
  </si>
  <si>
    <t>KT 1600x600</t>
  </si>
  <si>
    <t>KT: 1400x500</t>
  </si>
  <si>
    <t>KT: 1400x600</t>
  </si>
  <si>
    <t>KT: 1200x350</t>
  </si>
  <si>
    <t>KT: 1000x400</t>
  </si>
  <si>
    <t>KT: 1000x350</t>
  </si>
  <si>
    <t>KT: 1000x550</t>
  </si>
  <si>
    <t>Ống gió gió tôn tráng kẽm có giới hạn chịu lửa E45</t>
  </si>
  <si>
    <t>Cút cong 45 độ kèm lưới chắn côn trùng E45</t>
  </si>
  <si>
    <t>KT:1000x1000</t>
  </si>
  <si>
    <t>Ống gió gió tôn tráng kẽm tole 1.15mm trục đứng</t>
  </si>
  <si>
    <t>Cút 90 độ ống gió tôn tráng kẽm có giới hạn chịu lửa EI 45</t>
  </si>
  <si>
    <t xml:space="preserve"> Côn thu ống gió tôn tráng kẽm có giới hạn chịu lửa EI 45</t>
  </si>
  <si>
    <t>KT 1200x400/800x400</t>
  </si>
  <si>
    <t>KT 1400x400/800x400</t>
  </si>
  <si>
    <t>KT 1400x400/1250x300</t>
  </si>
  <si>
    <t>KT 1600x550/1400x400</t>
  </si>
  <si>
    <t>KT: 1600x600/1250x300</t>
  </si>
  <si>
    <t>KT: 1600x600/1200x300</t>
  </si>
  <si>
    <t>KT: 1200x300/800x300</t>
  </si>
  <si>
    <t>KT: 1250x300/800x300</t>
  </si>
  <si>
    <t>KT: 1500x300/1000x300</t>
  </si>
  <si>
    <t>KT: 1000x300/800x250</t>
  </si>
  <si>
    <t>KT: 1000x300/800x300</t>
  </si>
  <si>
    <t>KT: 1600x600/1400x500</t>
  </si>
  <si>
    <t>KT: 1400x500/1200x300</t>
  </si>
  <si>
    <t>KT: 800x300/600x250</t>
  </si>
  <si>
    <t>KT: 1000x300/600x250</t>
  </si>
  <si>
    <t>KT: 1200x300/600x250</t>
  </si>
  <si>
    <t>KT: 1600x600/1400x400</t>
  </si>
  <si>
    <t>KT: 1400x400/1200x300</t>
  </si>
  <si>
    <t>KT: 1400x400/1000x400</t>
  </si>
  <si>
    <t>KT: 1400x400/1000x350</t>
  </si>
  <si>
    <t>KT: 1400x400/1000x550</t>
  </si>
  <si>
    <t>KT: 1600x600/1000x1000</t>
  </si>
  <si>
    <t>Chạc ba ống gió tôn tráng kẽm có giới hạn chịu lửa EI 45</t>
  </si>
  <si>
    <t>KT 1250x300/800x300/800x300</t>
  </si>
  <si>
    <t>KT 1600x600/1600x400/1200x400</t>
  </si>
  <si>
    <t>KT 1400x500/1400x400/800x300</t>
  </si>
  <si>
    <t>KT 1400x400/1200x350/1200x350</t>
  </si>
  <si>
    <t>KT 1200x300/800x300/600x250</t>
  </si>
  <si>
    <t>KT 1400x400/1400x400/1400x400</t>
  </si>
  <si>
    <t>KT 600x600 kèm van điều chỉnh lưu lượng OBD</t>
  </si>
  <si>
    <t>KT 1000x600 kèm van điều chỉnh lưu lượng OBD</t>
  </si>
  <si>
    <t>Gót miệng gió tôn tráng kẽm có giới hạn chịu lửa EI 45</t>
  </si>
  <si>
    <t>KT: 600x600/600x600</t>
  </si>
  <si>
    <t>KT: 1000x600/1000x600</t>
  </si>
  <si>
    <t>Van chặn lửa kèm động cơ (MFD) có giới hạn chịu lửa EI45</t>
  </si>
  <si>
    <t>KT 1600x550</t>
  </si>
  <si>
    <t>Lượn ống gió tôn tráng kẽm có giới hạn chịu lửa EI 45</t>
  </si>
  <si>
    <t>KT: 1400x400-lệch tâm 200mm</t>
  </si>
  <si>
    <t>KT: 1400x300-lệch tâm 200mm</t>
  </si>
  <si>
    <t>KT: 800x300-lệch tâm 200mm</t>
  </si>
  <si>
    <t>KT: 600x250-lệch tâm 200mm</t>
  </si>
  <si>
    <t>KT: 1200x350-lệch tâm 200mm</t>
  </si>
  <si>
    <t>Vuông tròn tôn tráng kẽm có giới hạn chịu lửa EI 45</t>
  </si>
  <si>
    <t>KT:1000x550/D1000</t>
  </si>
  <si>
    <t>KT:1400x400/D1000</t>
  </si>
  <si>
    <t>Vật tư phụ làm ty treo giá đỡ đường ống</t>
  </si>
  <si>
    <t>Ống gió gió tôn tráng kẽm có giới hạn chịu lửa EI120</t>
  </si>
  <si>
    <t>KT:550x400</t>
  </si>
  <si>
    <t>KT:900x250</t>
  </si>
  <si>
    <t>KT:1600x600</t>
  </si>
  <si>
    <t>KT:1400x400</t>
  </si>
  <si>
    <t>Cút ống gió tôn tráng kẽm có giới hạn chịu lửa EI120</t>
  </si>
  <si>
    <t>KT:1200x350</t>
  </si>
  <si>
    <t>Vuông tròn tôn tráng kẽm có giới hạn chịu lửa EI120</t>
  </si>
  <si>
    <t>KT:1200x350/800</t>
  </si>
  <si>
    <t>Van 1 chiều tôn tráng kẽm có giới hạn chịu lửa EI120</t>
  </si>
  <si>
    <t>Chạc ba ống gió tôn tráng kẽm có giới hạn chịu lửa EI120</t>
  </si>
  <si>
    <t>KT:900x250/900x250/800x200</t>
  </si>
  <si>
    <t>Van chặn lửa kèm động cơ (MFD) có giới hạn chịu lửa EI120</t>
  </si>
  <si>
    <t xml:space="preserve">3. </t>
  </si>
  <si>
    <t xml:space="preserve">HỆ THỐNG HÚT KHÓI HÀNH LANG </t>
  </si>
  <si>
    <t>KT 1250x350</t>
  </si>
  <si>
    <t>Ống gió gió tôn tráng kẽm có giới hạn chịu lửa EI30</t>
  </si>
  <si>
    <t>KT 550x400,</t>
  </si>
  <si>
    <t>KT 800x200</t>
  </si>
  <si>
    <t>KT 750x600</t>
  </si>
  <si>
    <t>KT 800x550</t>
  </si>
  <si>
    <t>KT 800x600</t>
  </si>
  <si>
    <t>KT 850x700</t>
  </si>
  <si>
    <t>KT 900x250</t>
  </si>
  <si>
    <t>KT 1000x200</t>
  </si>
  <si>
    <t>KT 1000x600</t>
  </si>
  <si>
    <t>KT 1250x500</t>
  </si>
  <si>
    <t>KT:850x250</t>
  </si>
  <si>
    <t>Cút 90 độ ống gió tôn tráng kẽm có giới hạn chịu lửa EI30</t>
  </si>
  <si>
    <t>KT:800x250</t>
  </si>
  <si>
    <t>KT:800x200</t>
  </si>
  <si>
    <t>KT: 1000x600</t>
  </si>
  <si>
    <t>KT:1250x500</t>
  </si>
  <si>
    <t xml:space="preserve"> Côn thu ống gió tôn tráng kẽm có giới hạn chịu lửa EI30</t>
  </si>
  <si>
    <t>KT:850x250/800x200</t>
  </si>
  <si>
    <t>KT:900x250/800x200</t>
  </si>
  <si>
    <t>KT:1250x500/850x700</t>
  </si>
  <si>
    <t>Chạc ba ống gió tôn tráng kẽm có giới hạn chịu lửa EI30</t>
  </si>
  <si>
    <t>KT 900x250/700x200/700x200</t>
  </si>
  <si>
    <t>KT 900x250/900x250/700x200</t>
  </si>
  <si>
    <t>KT 900x250/900x250/900x250</t>
  </si>
  <si>
    <t>KT:1000x200/800x200/800x200</t>
  </si>
  <si>
    <t>KT:900x250/800x200/800x200</t>
  </si>
  <si>
    <t>Cút cong 45 độ kèm lưới chắn côn trùng</t>
  </si>
  <si>
    <t>KT 800x550,</t>
  </si>
  <si>
    <t>Gót ống gió tôn tráng kẽm có giới hạn chịu lửa EI30</t>
  </si>
  <si>
    <t>KT 1000x600/1000x600</t>
  </si>
  <si>
    <t>Van chặn lửa kèm động cơ (MFD) có giới hạn chịu lửa EI30</t>
  </si>
  <si>
    <t>KT 700x200</t>
  </si>
  <si>
    <t>KT 1000x250</t>
  </si>
  <si>
    <t>KT 550x400</t>
  </si>
  <si>
    <t xml:space="preserve">4. </t>
  </si>
  <si>
    <t>HỆ THỐNG TĂNG ÁP THANG BỘ, THANG MÁY, PHÒNG ĐỆM THANG BỘ</t>
  </si>
  <si>
    <t>KT 400x300</t>
  </si>
  <si>
    <t>KT 700x300</t>
  </si>
  <si>
    <t>KT 1000x350</t>
  </si>
  <si>
    <t>KT 1100x350</t>
  </si>
  <si>
    <t>KT 1800x450</t>
  </si>
  <si>
    <t>KT: 1200x550</t>
  </si>
  <si>
    <t>KT: 1200x250</t>
  </si>
  <si>
    <t>KT: 1000x200</t>
  </si>
  <si>
    <t>KT: 800x350</t>
  </si>
  <si>
    <t>KT: 800x300</t>
  </si>
  <si>
    <t>KT: 750x500</t>
  </si>
  <si>
    <t>KT: 600x300</t>
  </si>
  <si>
    <t>KT: 400x200</t>
  </si>
  <si>
    <t>Van chặn lửa (FD) có giới hạn chịu lửa EI 60</t>
  </si>
  <si>
    <t>KT: 1400x350</t>
  </si>
  <si>
    <t>KT: 1100x350</t>
  </si>
  <si>
    <t>KT: 1000x250</t>
  </si>
  <si>
    <t>Van chặn lửa kèm động cơ (MFD) có giới hạn chịu lửa EI 60</t>
  </si>
  <si>
    <t>KT: 1500x500</t>
  </si>
  <si>
    <t>KT: 700x300</t>
  </si>
  <si>
    <t>Cút 90 độ ống gió tôn tráng kẽm có giới hạn chịu lửa EI 120</t>
  </si>
  <si>
    <t>Cút 90 độ ống gió tôn tráng kẽm</t>
  </si>
  <si>
    <t>KT: 1400x350/1000x350</t>
  </si>
  <si>
    <t>KT: 1200x250/1000x200</t>
  </si>
  <si>
    <t>KT: 800x300/600x300</t>
  </si>
  <si>
    <t>Gót ống gió tôn tráng kẽm có giới hạn chịu lửa EI 60</t>
  </si>
  <si>
    <t>KT: 1100x350/1000x250</t>
  </si>
  <si>
    <t>KT: 1100x350/1000x250/800x350</t>
  </si>
  <si>
    <t>Bọc hộp thạch cao quạt GHCL EI60</t>
  </si>
  <si>
    <t>KT: 1500x1500x1500</t>
  </si>
  <si>
    <t>Cửa gió cấp nhôm sơn tĩnh điện, kiểu khe nan thẳng</t>
  </si>
  <si>
    <t>KT: 1200x600 kèm van điều chỉnh OBD</t>
  </si>
  <si>
    <t>KT: 700x700 kèm van điều chỉnh OBD</t>
  </si>
  <si>
    <t>KT: 200x200 kèm van điều chỉnh OBD</t>
  </si>
  <si>
    <t>Ống gió gió tôn tráng kẽm có giới hạn chịu lửa EI 30</t>
  </si>
  <si>
    <t>KT 500x200</t>
  </si>
  <si>
    <t>KT 700x350</t>
  </si>
  <si>
    <t>KT 700x400</t>
  </si>
  <si>
    <t>KT 700x600</t>
  </si>
  <si>
    <t>KT 850x400</t>
  </si>
  <si>
    <t>KT 900x350</t>
  </si>
  <si>
    <t>KT 900x600</t>
  </si>
  <si>
    <t>KT 1000x500</t>
  </si>
  <si>
    <t>KT 1200x250</t>
  </si>
  <si>
    <t>KT: 1200x500</t>
  </si>
  <si>
    <t>KT 1150x950</t>
  </si>
  <si>
    <t>KT 1150x750</t>
  </si>
  <si>
    <t>KT: 1050x1050</t>
  </si>
  <si>
    <t>KT: 1050x900</t>
  </si>
  <si>
    <t>KT 1050x500</t>
  </si>
  <si>
    <t>KT: 900x700</t>
  </si>
  <si>
    <t>KT 600x600</t>
  </si>
  <si>
    <t>KT 500x600</t>
  </si>
  <si>
    <t>KT: 550x300</t>
  </si>
  <si>
    <t>KT: 400x400</t>
  </si>
  <si>
    <t>KT: 300x250</t>
  </si>
  <si>
    <t>KT: 200x200</t>
  </si>
  <si>
    <t>Cút 90 độ ống gió tôn tráng kẽm có giới hạn chịu lửa EI 30</t>
  </si>
  <si>
    <t>KT: 1000x500</t>
  </si>
  <si>
    <t>KT: 500x200</t>
  </si>
  <si>
    <t>KT: 400x300</t>
  </si>
  <si>
    <t xml:space="preserve"> Côn thu ống gió tôn tráng kẽm có giới hạn chịu lửa EI 30</t>
  </si>
  <si>
    <t>KT 1000x300/Đường kính quạt</t>
  </si>
  <si>
    <t>KT 1000x500/Đường kính quạt</t>
  </si>
  <si>
    <t>KT 1200x1000/Đường kính quạt</t>
  </si>
  <si>
    <t>KT 550x300/Đường kính quạt</t>
  </si>
  <si>
    <t>KT 700x400/Đường kính quạt</t>
  </si>
  <si>
    <t>KT 850x400/Đường kính quạt</t>
  </si>
  <si>
    <t>KT 900x350/Đường kính quạt</t>
  </si>
  <si>
    <t>KT 1200x600</t>
  </si>
  <si>
    <t>KT: 700x600</t>
  </si>
  <si>
    <t>KT: 900x600</t>
  </si>
  <si>
    <t>KT: 1150x950</t>
  </si>
  <si>
    <t>Chạc ba ống gió tôn tráng kẽm có giới hạn chịu lửa EI 30</t>
  </si>
  <si>
    <t>KT 900x350/700x350/700x350</t>
  </si>
  <si>
    <t>KT: 350x350 kèm van điều chỉnh OBD</t>
  </si>
  <si>
    <t>KT: 400x400 kèm van điều chỉnh OBD</t>
  </si>
  <si>
    <t>KT: 600x600 kèm van điều chỉnh OBD</t>
  </si>
  <si>
    <t>KT: 1000x600 kèm van điều chỉnh OBD</t>
  </si>
  <si>
    <t>Van chặn lửa (FD) có giới hạn chịu lửa EI 30</t>
  </si>
  <si>
    <t>KT: 300x200</t>
  </si>
  <si>
    <t>KT: 500x250</t>
  </si>
  <si>
    <t>KT: 500x500</t>
  </si>
  <si>
    <t>KT: 600x600</t>
  </si>
  <si>
    <t>KT: 750x400</t>
  </si>
  <si>
    <t>KT: 850x400</t>
  </si>
  <si>
    <t>Van chặn lửa kèm động cơ (MFD) có giới hạn chịu lửa EI 30</t>
  </si>
  <si>
    <t>Van xả áp cơ khí kiểu đổi trọng (P.R.D)  (Pmax = 50 Pa)</t>
  </si>
  <si>
    <t>KT 200x200</t>
  </si>
  <si>
    <t>KT 600x400</t>
  </si>
  <si>
    <t>KT 1500x800</t>
  </si>
  <si>
    <t>KT 1800x1000</t>
  </si>
  <si>
    <t>KT: 1800x1000 kèm chớp chống hắt</t>
  </si>
  <si>
    <t>KT: 600x400 kèm chớp chống hắt</t>
  </si>
  <si>
    <t>Van xả áp kèm động cơ  (Pmax = 50 Pa)</t>
  </si>
  <si>
    <t>KT 400x200</t>
  </si>
  <si>
    <t>KT 550x300</t>
  </si>
  <si>
    <t>Cửa lấy gió ngoài , nhôm sơn tĩnh điện, kèm chớp chống hắt &amp; lưới chắn côn trùng (OAL), tiết diện sống yêu cầu max 45%</t>
  </si>
  <si>
    <t>KT: 3000x500</t>
  </si>
  <si>
    <t>KT: 3500x700</t>
  </si>
  <si>
    <t>KT: 2000x500</t>
  </si>
  <si>
    <t>Gót ống gió tôn tráng kẽm có giới hạn chịu lửa EI 30</t>
  </si>
  <si>
    <t>KT: 200x200/200x200</t>
  </si>
  <si>
    <t>KT: 350x350/350x350</t>
  </si>
  <si>
    <t>KT: 400x400/400x400</t>
  </si>
  <si>
    <t>KT: 500x200/500x200</t>
  </si>
  <si>
    <t>Box miệng gió tôn tráng kẽm có giới hạn chịu lửa EI 30</t>
  </si>
  <si>
    <t>Khớp nối mềm, kèm mặt bích</t>
  </si>
  <si>
    <t>KT 500x500</t>
  </si>
  <si>
    <t>KT 550x450</t>
  </si>
  <si>
    <t>KT 550x550</t>
  </si>
  <si>
    <t>KT 750x500</t>
  </si>
  <si>
    <t>KT 800x450</t>
  </si>
  <si>
    <t>KT 800x500</t>
  </si>
  <si>
    <t>KT 1000x550</t>
  </si>
  <si>
    <t>KT 2270x2370</t>
  </si>
  <si>
    <t>HỆ THỐNG THÔNG GIÓ CHUNG</t>
  </si>
  <si>
    <t xml:space="preserve">1. </t>
  </si>
  <si>
    <t>HỆ THỐNG THÔNG GIÓ CẤP TẦNG HẦM</t>
  </si>
  <si>
    <t>Ống gió tôn tráng kẽm</t>
  </si>
  <si>
    <t>KT 900x300 độ dày tôn 0.95mm</t>
  </si>
  <si>
    <t>KT 1400x300 độ dày tôn 1.15mm</t>
  </si>
  <si>
    <t>KT 1400x350 độ dày tôn 1.15mm</t>
  </si>
  <si>
    <t>KT 1600x350 độ dày tôn 1.15mm</t>
  </si>
  <si>
    <t>KT 1700x3200 độ dày tôn 1.15mm</t>
  </si>
  <si>
    <t>KT 1800x350 độ dày tôn 1.15mm</t>
  </si>
  <si>
    <t>KT 1800x400 độ dày tôn 1.15mm</t>
  </si>
  <si>
    <t>KT 2000x400 độ dày tôn 1.15mm</t>
  </si>
  <si>
    <t>KT 2500x450 độ dày tôn 1.15mm</t>
  </si>
  <si>
    <t>KT: 1350x3000 độ dày tôn 1.15mm</t>
  </si>
  <si>
    <t>KT: 1700x3000 độ dày tôn 1.15mm</t>
  </si>
  <si>
    <t>KT 1000x600 độ dày tôn 0.95mm</t>
  </si>
  <si>
    <t>Cút 90 độ ống gió tôn tráng kẽm.</t>
  </si>
  <si>
    <t>KT 1400x350 độ dày tôn 0.95mm</t>
  </si>
  <si>
    <t xml:space="preserve"> Côn thu ống gió tôn tráng kẽm </t>
  </si>
  <si>
    <t>KT 1400x300/900x300 độ dày tôn 0.95mm</t>
  </si>
  <si>
    <t>KT 1400x350/900x300 độ dày tôn 1.15mm</t>
  </si>
  <si>
    <t>KT 1600x350/1400x350 độ dày tôn 1.15mm</t>
  </si>
  <si>
    <t>KT 1800x350/1400x300 độ dày tôn 1.15mm</t>
  </si>
  <si>
    <t>KT 1800x350/1400x350 độ dày tôn 1.15mm</t>
  </si>
  <si>
    <t>KT 1800x400/1600x350 độ dày tôn 1.15mm</t>
  </si>
  <si>
    <t>KT 2000x400/1800x350 độ dày tôn 1.15mm</t>
  </si>
  <si>
    <t>KT 1400x350/900x300 độ dày tôn 0.95mm</t>
  </si>
  <si>
    <t>KT: 1000x300 , Kèm van điều chỉnh VD</t>
  </si>
  <si>
    <t>KT 2000x400</t>
  </si>
  <si>
    <t>KT 1800x400</t>
  </si>
  <si>
    <t>KT 1500x550,L1500</t>
  </si>
  <si>
    <t>Van chặn lửa (FD)</t>
  </si>
  <si>
    <t>KT 1400x450</t>
  </si>
  <si>
    <t>KT 1700x600</t>
  </si>
  <si>
    <t>KT 1200x900</t>
  </si>
  <si>
    <t>Lớp bảo vệ cho ống gió chống cháy đi ngoài trời, vật liệu inox dày tối thiểu 0.3mm</t>
  </si>
  <si>
    <t>KT 1050x1050</t>
  </si>
  <si>
    <t>KT 1200x500</t>
  </si>
  <si>
    <t xml:space="preserve"> Lượn ống gió tôn tráng kẽm </t>
  </si>
  <si>
    <t>KT 2500x450-lệch tâm 200, độ dày tôn 1.15mm</t>
  </si>
  <si>
    <t>KT 900x300-lệch tâm 200, độ dày tôn 0.95mm</t>
  </si>
  <si>
    <t xml:space="preserve"> 2. </t>
  </si>
  <si>
    <t>HỆ THỐNG  THÔNG GIÓ HÚT MÙI, HÚT MÙI VỆ SINH + PHÒNG KỸ THUẬT</t>
  </si>
  <si>
    <t>KT D100 độ dày tôn 0.48mm</t>
  </si>
  <si>
    <t>KT D150 độ dày tôn 0.48mm</t>
  </si>
  <si>
    <t>KT 150x150 độ dày tôn 0.48mm</t>
  </si>
  <si>
    <t>KT 200x150 độ dày tôn 0.58mm</t>
  </si>
  <si>
    <t>KT 200x200 độ dày tôn 0.58mm</t>
  </si>
  <si>
    <t>KT 250x200 độ dày tôn 0.58mm</t>
  </si>
  <si>
    <t>KT 300x200 độ dày tôn 0.58mm</t>
  </si>
  <si>
    <t>KT 300x300 độ dày tôn 0.58mm</t>
  </si>
  <si>
    <t>KT 350x200 độ dày tôn 0.58mm</t>
  </si>
  <si>
    <t>KT 400x200 độ dày tôn 0.58mm</t>
  </si>
  <si>
    <t>KT 400x300 độ dày tôn 0.58mm</t>
  </si>
  <si>
    <t>KT 500x200 độ dày tôn 0.58mm</t>
  </si>
  <si>
    <t>KT 500x250 độ dày tôn 0.58mm</t>
  </si>
  <si>
    <t>KT 500x300 độ dày tôn 0.58mm</t>
  </si>
  <si>
    <t>KT 500x400 độ dày tôn 0.58mm</t>
  </si>
  <si>
    <t>KT 600x200 độ dày tôn 0.75mm</t>
  </si>
  <si>
    <t>KT 600x300 độ dày tôn 0.75mm</t>
  </si>
  <si>
    <t>KT 600x400 độ dày tôn 0.75mm</t>
  </si>
  <si>
    <t>KT 500x400 độ dày tôn 0.75mm</t>
  </si>
  <si>
    <t>KT 700x300 độ dày tôn 0.75mm</t>
  </si>
  <si>
    <t>KT 700x400 độ dày tôn 0.75mm</t>
  </si>
  <si>
    <t>KT 850x300 độ dày tôn 0.95mm</t>
  </si>
  <si>
    <t>KT 900x400 độ dày tôn 0.95mm</t>
  </si>
  <si>
    <t>KT 1000x350 độ dày tôn 0.95mm</t>
  </si>
  <si>
    <t>KT 1000x450 độ dày tôn 0.95mm</t>
  </si>
  <si>
    <t>KT 1700x600 độ dày tôn 1.15mm</t>
  </si>
  <si>
    <t>KT 2000x600 độ dày tôn 1.15mm</t>
  </si>
  <si>
    <t>KT 1200x400 độ dày tôn 0.95mm</t>
  </si>
  <si>
    <t>KT 1400x500 độ dày tôn 1.15mm</t>
  </si>
  <si>
    <t>2.2</t>
  </si>
  <si>
    <t>KT 850x300 độ dày tôn 0.75mm</t>
  </si>
  <si>
    <t>2.3</t>
  </si>
  <si>
    <t>KT 250x200/200x200 độ dày tôn 0.58mm</t>
  </si>
  <si>
    <t>KT 300x200/200x200 độ dày tôn 0.58mm</t>
  </si>
  <si>
    <t>KT 400x200/200x200 độ dày tôn 0.58mm</t>
  </si>
  <si>
    <t>KT 400x200/300x200 độ dày tôn 0.58mm</t>
  </si>
  <si>
    <t>KT 600x300/400x300 độ dày tôn 0.75mm</t>
  </si>
  <si>
    <t>KT 700x300/500x250 độ dày tôn 0.75mm</t>
  </si>
  <si>
    <t>KT 850x300/600x300 độ dày tôn 0.95mm</t>
  </si>
  <si>
    <t>KT 900x300/700x300 độ dày tôn 0.95mm</t>
  </si>
  <si>
    <t>KT 1200x400/900x400 độ dày tôn 0.95mm</t>
  </si>
  <si>
    <t>KT 1400x450/1000x450 độ dày tôn 1.15mm</t>
  </si>
  <si>
    <t>2.4</t>
  </si>
  <si>
    <t>Chạc ba ống gió tôn tráng kẽm</t>
  </si>
  <si>
    <t>KT 200x200/200x150/200x150 độ dày tôn 0.58mm</t>
  </si>
  <si>
    <t>KT  250x200/250x150/250x150 độ dày tôn 0.58mm</t>
  </si>
  <si>
    <t>KT  350x200/250x200/250x200 độ dày tôn 0.58mm</t>
  </si>
  <si>
    <t>KT  700x350/500x250/500x250 độ dày tôn 0.75mm</t>
  </si>
  <si>
    <t>KT  900x400/600x400/500x300 độ dày tôn 0.95mm</t>
  </si>
  <si>
    <t>KT  1000x350/900x350/700x350 độ dày tôn 0.95mm</t>
  </si>
  <si>
    <t>KT  1000x450/700x400/600x400 độ dày tôn 0.95mm</t>
  </si>
  <si>
    <t>Ống gió mềm</t>
  </si>
  <si>
    <t>KT D150</t>
  </si>
  <si>
    <t>KT D100</t>
  </si>
  <si>
    <t>Cửa hút gió nhôm sơn tĩnh điện, kiểu nan sọt.</t>
  </si>
  <si>
    <t>KT: 200x200, Kèm van điều chỉnh OBD và Hộp gió</t>
  </si>
  <si>
    <t>KT: 250x250, Kèm van điều chỉnh OBD và  Hộp gió</t>
  </si>
  <si>
    <t>KT: 300x300, Kèm van điều chỉnh OBD và Hộp gió</t>
  </si>
  <si>
    <t>KT: 350x350, Kèm van điều chỉnh OBD và Hộp gió</t>
  </si>
  <si>
    <t>KT: 450x450, Kèm van điều chỉnh OBD  và Hộp gió</t>
  </si>
  <si>
    <t>KT: 600x600, Kèm van điều chỉnh OBD và Hộp gió</t>
  </si>
  <si>
    <t>KT 300x200</t>
  </si>
  <si>
    <t>KT 500x250</t>
  </si>
  <si>
    <t>KT 500x300</t>
  </si>
  <si>
    <t>Cửa thải gió ngoài nhôm sơn tĩnh điện, kèm chớp chống hắt &amp; lưới chắn côn trùng (EAL), tiết diện sống yêu cầu max 45%</t>
  </si>
  <si>
    <t>KT: 500x300</t>
  </si>
  <si>
    <t>KT: 1500x300</t>
  </si>
  <si>
    <t>KT 600x300,L1200</t>
  </si>
  <si>
    <t>KT 1100x450,L1500</t>
  </si>
  <si>
    <t>KT 250x200</t>
  </si>
  <si>
    <t>KT 350x200</t>
  </si>
  <si>
    <t>KT 500x400</t>
  </si>
  <si>
    <t>KT 850x300</t>
  </si>
  <si>
    <t>Khớp nối mềm , kèm mặt bích</t>
  </si>
  <si>
    <t>Cút hướng dòng ống gió tôn tráng kẽm.</t>
  </si>
  <si>
    <t>KT 3800x700 độ dày tôn 1.15mm</t>
  </si>
  <si>
    <t>KT 3200x700 độ dày tôn 1.15mm</t>
  </si>
  <si>
    <t>KT 2600x700 độ dày tôn 1.15mm</t>
  </si>
  <si>
    <t>KT 2200x700 độ dày tôn 1.15mm</t>
  </si>
  <si>
    <t>KT 2000x700 độ dày tôn 1.15mm</t>
  </si>
  <si>
    <t>Box ống gió tôn tráng kẽm</t>
  </si>
  <si>
    <t>KT 1000x350 độ dày tôn 0.75mm</t>
  </si>
  <si>
    <t>HỆ THỐNG ỐNG GIÓ LẠNH ĐIỀU HÒA</t>
  </si>
  <si>
    <t>Ống gió tôn tráng kẽm, Kèm bích, bọc cách nhiệt bằng cao su lưu hóa có cấu trúc ô kín, tỷ trọng 40-70 kg/m3, hệ số dẫn nhiệt k = 0.036W/mK tại 23oC , tiêu chuẩn chống cháy BS476 phần 6&amp;7 cấp độ 0.</t>
  </si>
  <si>
    <t>KT D250 độ dày tôn 0.58mm</t>
  </si>
  <si>
    <t>KT D300 độ dày tôn 0.58mm</t>
  </si>
  <si>
    <t>KT D350 độ dày tôn 0.58mm</t>
  </si>
  <si>
    <t>KT 400x250 độ dày tôn 0.58mm</t>
  </si>
  <si>
    <t>KT 600x250 độ dày tôn 0.75mm</t>
  </si>
  <si>
    <t>KT 600x350 độ dày tôn 0.75mm</t>
  </si>
  <si>
    <t>Côn thu ống gió tôn tráng kẽm, bọc cách nhiệt bằng cao su lưu hóa có cấu trúc ô kín, tỷ trọng 40-70 kg/m3, hệ số dẫn nhiệt k = 0.036W/mK tại 23oC , tiêu chuẩn chống cháy BS476 phần 6&amp;7 cấp độ 0.</t>
  </si>
  <si>
    <t>KT 600x250/400x250, độ dày tôn 0,75mm</t>
  </si>
  <si>
    <t>KT 600x300/400x300, độ dày tôn 0,75mm</t>
  </si>
  <si>
    <t>1.4</t>
  </si>
  <si>
    <t>Ống mềm bọc bọc bảo ôn bông thủy tinh (Glasswood ) 1 mặt bạc, tỷ trọng 32kg/m3, dày 25mm</t>
  </si>
  <si>
    <t xml:space="preserve"> KT D250</t>
  </si>
  <si>
    <t xml:space="preserve"> KT D300</t>
  </si>
  <si>
    <t xml:space="preserve"> KT D350</t>
  </si>
  <si>
    <t xml:space="preserve"> KT D400</t>
  </si>
  <si>
    <t>Cửa cấp gió nhôm sơn tĩnh điện bọc cách nhiệt tỷ trọng 40-70 kg/m3, hệ số dẫn nhiệt k = 0.036W/mK tại 23oC , tiêu chuẩn chống cháy BS476 phần 6&amp;7 cấp độ 0.</t>
  </si>
  <si>
    <t>KT (600x600), kiểu khuếch tán, kèm hộp gió KT: 600x600xH250</t>
  </si>
  <si>
    <t>KT (1200x250), kiểu khuếch tán, kèm hộp gió KT: 1200x250xH250</t>
  </si>
  <si>
    <t>KT (D600), kiểu khuếch tán, kèm hộp gió KT: 1200x250xH250</t>
  </si>
  <si>
    <t>Cửa gió hồi nhôm sơn tĩnh điện bọc cách nhiệt tỷ trọng 40-70 kg/m3, hệ số dẫn nhiệt k = 0.036W/mK tại 23oC , tiêu chuẩn chống cháy BS476 phần 6&amp;7 cấp độ 0.</t>
  </si>
  <si>
    <t>KT (600x600),Kiểu nan sọt, kèm hộp gió KT: 600x600xH250</t>
  </si>
  <si>
    <t>KT (1200x250), kiểu nan sọt, kèm hộp gió KT: 1200x250xH250</t>
  </si>
  <si>
    <t>KT (D600), kiểu nan sọt, kèm hộp gió</t>
  </si>
  <si>
    <t>Van gió điều chỉnh bằng tay (VD) bọc cách nhiệt tỷ trọng 40-70 kg/m3, hệ số dẫn nhiệt k = 0.036W/mK tại 23oC , tiêu chuẩn chống cháy BS476 phần 6&amp;7 cấp độ 0.</t>
  </si>
  <si>
    <t>KT D250</t>
  </si>
  <si>
    <t>KT D300</t>
  </si>
  <si>
    <t>KT D350</t>
  </si>
  <si>
    <t>Tiêu âm trước và sau dàn lạnh âm trần nối ống gió bằng tấm dán có cấu trúc bán ô hở (semi open) với Tỷ trọng lớp foam tiêu âm: 60 kg/m3, Hệ số hấp thụ âm thanh ISO 354: 0.4-0.5</t>
  </si>
  <si>
    <t>Dàn lạnh FCU có công suất nhỏ hơn bằng 7.1 kw, lớp tiêu âm có chiều dày 15mm</t>
  </si>
  <si>
    <t>Dàn lạnh FCU có công suất lớn hơn 7.1 kw,lớp tiêu âm có chiều dày 25mm</t>
  </si>
  <si>
    <t xml:space="preserve">Khớp nối mềm Canvas Simily </t>
  </si>
  <si>
    <t>Dàn lạnh FCU có công suất nhỏ hơn bằng 7.1 kw</t>
  </si>
  <si>
    <t>Dàn lạnh FCU có công suất lớn hơn 7.1 kw</t>
  </si>
  <si>
    <t>Gót ống gió tôn tráng kẽm, bọc cách nhiệt bằng cao su lưu hóa có cấu trúc ô kín, tỷ trọng 40-70 kg/m3, hệ số dẫn nhiệt k = 0.036W/mK tại 23oC , tiêu chuẩn chống cháy BS476 phần 6&amp;7 cấp độ 0.</t>
  </si>
  <si>
    <t>KT 450x250/D250 độ dày tôn 0.58mm</t>
  </si>
  <si>
    <t>KT 500x300/D300 độ dày tôn 0.58mm</t>
  </si>
  <si>
    <t>HỆ THỐNG ỐNG GIÓ TƯƠI (OA)</t>
  </si>
  <si>
    <t>KT 100x100 độ dày tôn 0.48mm</t>
  </si>
  <si>
    <t>KT 150x100 độ dày tôn 0.48mm</t>
  </si>
  <si>
    <t>KT 200x100 độ dày tôn 0.58mm</t>
  </si>
  <si>
    <t>KT 250x150 độ dày tôn 0.58mm</t>
  </si>
  <si>
    <t>KT 250x250 độ dày tôn 0.58mm</t>
  </si>
  <si>
    <t>KT 350x250 độ dày tôn 0.58mm</t>
  </si>
  <si>
    <t>KT 450x200 độ dày tôn 0.58mm</t>
  </si>
  <si>
    <t>KT 450x250 độ dày tôn 0.58mm</t>
  </si>
  <si>
    <t>KT 450x300 độ dày tôn 0.58mm</t>
  </si>
  <si>
    <t>KT 500x350 độ dày tôn 0.58mm</t>
  </si>
  <si>
    <t>KT 650x300 độ dày tôn 0.75mm</t>
  </si>
  <si>
    <t>KT 700x350 độ dày tôn 0.75mm</t>
  </si>
  <si>
    <t>KT 800x300 độ dày tôn 0.95mm</t>
  </si>
  <si>
    <t>KT 1000x300 độ dày tôn 0.95mm</t>
  </si>
  <si>
    <t>KT 1300x600 độ dày tôn 0.95mm</t>
  </si>
  <si>
    <t>KT 300x250 độ dày tôn 0.58mm</t>
  </si>
  <si>
    <t>KT 350x300 độ dày tôn 0.58mm</t>
  </si>
  <si>
    <t>KT 800x250 độ dày tôn 0.95mm</t>
  </si>
  <si>
    <t>KT 150x150 độ dày tôn 0.58mm</t>
  </si>
  <si>
    <t>KT 800x300 độ dày tôn 0.75mm</t>
  </si>
  <si>
    <t>KT 200x200/100x100 độ dày tôn 0.58mm</t>
  </si>
  <si>
    <t>KT 300x200/250x200 độ dày tôn 0.58mm</t>
  </si>
  <si>
    <t>KT 350x250/200x150 độ dày tôn 0.58mm</t>
  </si>
  <si>
    <t>KT 400x200/250x200 độ dày tôn 0.58mm</t>
  </si>
  <si>
    <t>KT 400x250/200x150 độ dày tôn 0.58mm</t>
  </si>
  <si>
    <t>KT 400x250/250x200 độ dày tôn 0.58mm</t>
  </si>
  <si>
    <t>KT 400x250/300x200 độ dày tôn 0.58mm</t>
  </si>
  <si>
    <t>KT 400x250/350x200 độ dày tôn 0.58mm</t>
  </si>
  <si>
    <t>KT 450x200/300x200 độ dày tôn 0.58mm</t>
  </si>
  <si>
    <t>KT 500x250/300x250 độ dày tôn 0.58mm</t>
  </si>
  <si>
    <t>KT 500x250/350x250 độ dày tôn 0.58mm</t>
  </si>
  <si>
    <t>KT 500x250/400x250 độ dày tôn 0.58mm</t>
  </si>
  <si>
    <t>KT 500x300/300x200 độ dày tôn 0.58mm</t>
  </si>
  <si>
    <t>KT 500x300/400x300 độ dày tôn 0.58mm</t>
  </si>
  <si>
    <t>KT 500x350/250x200 độ dày tôn 0.58mm</t>
  </si>
  <si>
    <t>KT 600x250/500x250 độ dày tôn 0.75mm</t>
  </si>
  <si>
    <t>KT 600x300/400x250 độ dày tôn 0.75mm</t>
  </si>
  <si>
    <t>KT 700x350/500x350 độ dày tôn 0.75mm</t>
  </si>
  <si>
    <t>KT 800x300/700x300 độ dày tôn 0.95mm</t>
  </si>
  <si>
    <t>KT 250x250/200x200 độ dày tôn 0.58mm</t>
  </si>
  <si>
    <t>KT 650x300/500x250 độ dày tôn 0.75mm</t>
  </si>
  <si>
    <t>KT 350x200/150x150 độ dày tôn 0.58mm</t>
  </si>
  <si>
    <t>KT 350x200/250x200 độ dày tôn 0.58mm</t>
  </si>
  <si>
    <t>KT 300x250/250x200 độ dày tôn 0.58mm</t>
  </si>
  <si>
    <t>KT 400x300/350x200 độ dày tôn 0.58mm</t>
  </si>
  <si>
    <t>KT 400x250/250x250 độ dày tôn 0.58mm</t>
  </si>
  <si>
    <t>KT 450x250/300x250 độ dày tôn 0.58mm</t>
  </si>
  <si>
    <t>KT 450x250/350x250 độ dày tôn 0.58mm</t>
  </si>
  <si>
    <t>KT 500x250/200x150 độ dày tôn 0.58mm</t>
  </si>
  <si>
    <t>KT 600x300/300x250 độ dày tôn 0.75mm</t>
  </si>
  <si>
    <t>KT 700x300/400x250 độ dày tôn 0.75mm</t>
  </si>
  <si>
    <t>KT 700x300/600x300 độ dày tôn 0.75mm</t>
  </si>
  <si>
    <t>KT 800x300/500x250 độ dày tôn 0.95mm</t>
  </si>
  <si>
    <t>KT 200x200/200x150/150x150 độ dày tôn 0.58mm</t>
  </si>
  <si>
    <t>KT 250x200/200x150/200x150 độ dày tôn 0.58mm</t>
  </si>
  <si>
    <t>KT 300x200/250x200/250x200 độ dày tôn 0.58mm</t>
  </si>
  <si>
    <t>KT 400x250/250x200/250x200 độ dày tôn 0.58mm</t>
  </si>
  <si>
    <t>KT 500x250/250x200/250x200 độ dày tôn 0.58mm</t>
  </si>
  <si>
    <t>KT 500x250/400x200/200x200 độ dày tôn 0.58mm</t>
  </si>
  <si>
    <t>KT 500x250/400x250/200x150 độ dày tôn 0.58mm</t>
  </si>
  <si>
    <t>KT 500x300/350x200/350x200 độ dày tôn 0.58mm</t>
  </si>
  <si>
    <t>KT 600x300/400x250/400x250 độ dày tôn 0.75mm</t>
  </si>
  <si>
    <t>KT 600x300/450x200/350x250 độ dày tôn 0.75mm</t>
  </si>
  <si>
    <t>KT 650x300/500x300/250x150 độ dày tôn 0.75mm</t>
  </si>
  <si>
    <t>KT 700x300/400x250/400x250 độ dày tôn 0.75mm</t>
  </si>
  <si>
    <t>KT 900x400/500x300/500x300 độ dày tôn 0.95mm</t>
  </si>
  <si>
    <t>KT 1000x300/500x250/500x250 độ dày tôn 0.95mm</t>
  </si>
  <si>
    <t>KT 1200x400/700x100/700x400 độ dày tôn 0.95mm</t>
  </si>
  <si>
    <t>KT 200x150/150x150/150x150 độ dày tôn 0.58mm</t>
  </si>
  <si>
    <t>KT 350x250/250x200/250x200 độ dày tôn 0.58mm</t>
  </si>
  <si>
    <t>KT D200</t>
  </si>
  <si>
    <t>KT: 600x400</t>
  </si>
  <si>
    <t>KT: 800x500</t>
  </si>
  <si>
    <t>KT: 1200x400</t>
  </si>
  <si>
    <t>KT: 3600x350</t>
  </si>
  <si>
    <t>KT: 2000x350</t>
  </si>
  <si>
    <t>KT: 3000x350</t>
  </si>
  <si>
    <t>KT: 3300x350</t>
  </si>
  <si>
    <t>KT: 7200x350</t>
  </si>
  <si>
    <t>KT: 4000x500</t>
  </si>
  <si>
    <t>KT: 4500x700</t>
  </si>
  <si>
    <t>Box miệng gió tôn tráng kẽm</t>
  </si>
  <si>
    <t>KT 800x500 độ dày tôn 0.75mm</t>
  </si>
  <si>
    <t>KT 1000x500 độ dày tôn 0.95mm</t>
  </si>
  <si>
    <t>KT 1200x350 độ dày tôn 0.95mm</t>
  </si>
  <si>
    <t>KT 1500x500 độ dày tôn 1.15mm</t>
  </si>
  <si>
    <t>KT 2000x350 độ dày tôn 1.15mm</t>
  </si>
  <si>
    <t>KT 2000x500 độ dày tôn 1.15mm</t>
  </si>
  <si>
    <t>KT 3000x350 độ dày tôn 1.15mm</t>
  </si>
  <si>
    <t>KT 3300x350 độ dày tôn 1.15mm</t>
  </si>
  <si>
    <t>KT 3600x350 độ dày tôn 1.15mm</t>
  </si>
  <si>
    <t>KT 4000x500 độ dày tôn 1.15mm</t>
  </si>
  <si>
    <t>KT 4500x700 độ dày tôn 1.15mm</t>
  </si>
  <si>
    <t>KT 7200x350 độ dày tôn 1.15mm</t>
  </si>
  <si>
    <t>Gót ống gió tôn tráng kẽm</t>
  </si>
  <si>
    <t>KT 350x150/150x150 độ dày tôn 0.58mm</t>
  </si>
  <si>
    <t>KT 400x100/200x100 độ dày tôn 0.58mm</t>
  </si>
  <si>
    <t>KT 400x150/200x150 độ dày tôn 0.58mm</t>
  </si>
  <si>
    <t>KT 450x200/D250 độ dày tôn 0.58mm</t>
  </si>
  <si>
    <t>KT 450x200/250x200 độ dày tôn 0.58mm</t>
  </si>
  <si>
    <t>KT 450x250/250x250 độ dày tôn 0.58mm</t>
  </si>
  <si>
    <t>KT 500x200/300x200 độ dày tôn 0.58mm</t>
  </si>
  <si>
    <t>KT 550x200/350x200 độ dày tôn 0.58mm</t>
  </si>
  <si>
    <t>KT 600x250/400x250 độ dày tôn 0.58mm</t>
  </si>
  <si>
    <t>KT 700x300/500x300 độ dày tôn 0.58mm</t>
  </si>
  <si>
    <t>KT 500x350,L1000</t>
  </si>
  <si>
    <t>KT 600x300,L1000</t>
  </si>
  <si>
    <t>KT 600x350,L1000</t>
  </si>
  <si>
    <t>KT 700x350,L1000</t>
  </si>
  <si>
    <t>KT 700x400,L1200</t>
  </si>
  <si>
    <t>KT 700x300,L1200</t>
  </si>
  <si>
    <t>KT 750x500,L1500</t>
  </si>
  <si>
    <t>KT 800x400,L1000</t>
  </si>
  <si>
    <t>KT 900x400,L1000</t>
  </si>
  <si>
    <t>KT 1100x400,L1500</t>
  </si>
  <si>
    <t>KT 650x300</t>
  </si>
  <si>
    <t>KT 400x250</t>
  </si>
  <si>
    <t>KT 800x250</t>
  </si>
  <si>
    <t>HỆ THỐNG HÚT BẾP</t>
  </si>
  <si>
    <t>Ống INOX 304 dày 1,0mm</t>
  </si>
  <si>
    <t>KT 1500x550</t>
  </si>
  <si>
    <t>KT 1200x700</t>
  </si>
  <si>
    <t>Cút 90 độ ống INOX 304 dày 1,0mm</t>
  </si>
  <si>
    <t>Chạc ba ống INOX 304 dày 1,0mm</t>
  </si>
  <si>
    <t>KT 1200x700/1200x700/1200x700</t>
  </si>
  <si>
    <t>A.2</t>
  </si>
  <si>
    <t>PHÂN VẬT TƯ LẮP ĐẶT ỐNG ĐỒNG, NƯỚC NGƯNG</t>
  </si>
  <si>
    <t>HỆ THỐNG GAS/DỊCH, NƯỚC NGƯNG KHỐI THƯƠNG MẠI</t>
  </si>
  <si>
    <t>VẬT TƯ PHẦN ỐNG GAS/DỊCH</t>
  </si>
  <si>
    <t>Bộ chia gas/dịch dàn lạnh, kèm bảo ôn</t>
  </si>
  <si>
    <t>Cho hệ thống ĐH VRV/VRF</t>
  </si>
  <si>
    <t>Bộ chia gas/dịch dàn nóng, kèm bảo ôn</t>
  </si>
  <si>
    <t>ống đồng dẫn tác nhân lạnh ø 6.4, t=0.71mm, bọc bảo ôn dày 13mm</t>
  </si>
  <si>
    <t>Cho hệ thống ĐH Cục bộ</t>
  </si>
  <si>
    <t>ống đồng dẫn tác nhân lạnh ø 9.5, t=0.71mm, bọc bảo ôn dày 13mm</t>
  </si>
  <si>
    <t>ống đồng dẫn tác nhân lạnh ø 12.7, t=0.81mm, bọc bảo ôn dày 19mm</t>
  </si>
  <si>
    <t>1.5</t>
  </si>
  <si>
    <t>ống đồng dẫn tác nhân lạnh ø 15.9, t=0.81mm, bọc bảo ôn dày 19mm</t>
  </si>
  <si>
    <t>1.6</t>
  </si>
  <si>
    <t>ống đồng dẫn tác nhân lạnh ø 6.4, t=0.81mm, bọc bảo ôn dày 13mm</t>
  </si>
  <si>
    <t>1.7</t>
  </si>
  <si>
    <t>ống đồng dẫn tác nhân lạnh ø 9.5, t=0.81mm, bọc bảo ôn dày 13mm</t>
  </si>
  <si>
    <t>1.8</t>
  </si>
  <si>
    <t>1.9</t>
  </si>
  <si>
    <t>ống đồng dẫn tác nhân lạnh ø 15.9, t=1mm, bọc bảo ôn dày 19mm</t>
  </si>
  <si>
    <t>1.10</t>
  </si>
  <si>
    <t>ống đồng dẫn tác nhân lạnh ø 19.1, t=1mm, bọc bảo ôn dày 19mm</t>
  </si>
  <si>
    <t>1.11</t>
  </si>
  <si>
    <t>ống đồng dẫn tác nhân lạnh ø 22.2, t=1mm, bọc bảo ôn dày 25mm</t>
  </si>
  <si>
    <t>1.12</t>
  </si>
  <si>
    <t>ống đồng dẫn tác nhân lạnh ø 28.6, t=1.2mm, bọc bảo ôn dày 25mm</t>
  </si>
  <si>
    <t>1.13</t>
  </si>
  <si>
    <t>ống đồng dẫn tác nhân lạnh ø 34.9, t=1.2mm, bọc bảo ôn dày 25mm</t>
  </si>
  <si>
    <t>1.14</t>
  </si>
  <si>
    <t>ống đồng dẫn tác nhân lạnh ø 41.3, t=1.43mm, bọc bảo ôn dày 25mm</t>
  </si>
  <si>
    <t>1.15</t>
  </si>
  <si>
    <t>Lượng tác nhân lạnh R-410a bổ sung vào hệ thống</t>
  </si>
  <si>
    <t>kg</t>
  </si>
  <si>
    <t>1.16</t>
  </si>
  <si>
    <t>Vật tư phụ (cút, bulông, đai ốc, sơn, băng dính…)</t>
  </si>
  <si>
    <t>VẬT TƯ PHẦN ỐNG THOÁT NƯỚC NGƯNG ĐIỀU HÒA</t>
  </si>
  <si>
    <t>Ống uPVC (PN10) dẫn nước ngưng tụ D21, bọc dày 13mm</t>
  </si>
  <si>
    <t>Ống uPVC (PN10) dẫn nước ngưng tụ D27, bọc dày 13mm</t>
  </si>
  <si>
    <t>Ống uPVC (PN10) dẫn nước ngưng tụ D34, bọc dày 13mm</t>
  </si>
  <si>
    <t>Ống uPVC (PN10) dẫn nước ngưng tụ D42, bọc dày 13mm</t>
  </si>
  <si>
    <t>Ống uPVC (PN6) dẫn nước ngưng tụ D48, bọc dày 13mm</t>
  </si>
  <si>
    <t>Ống uPVC (PN6) dẫn nước ngưng tụ D60, bọc dày 13mm</t>
  </si>
  <si>
    <t>Ống uPVC (PN6) dẫn nước ngưng tụ D76, bọc dày 13mm</t>
  </si>
  <si>
    <t>Ống uPVC (PN6) dẫn nước ngưng tụ D90, bọc dày 13mm</t>
  </si>
  <si>
    <t>Ống uPVC (PN6) dẫn nước ngưng tụ D110, bọc dày 13mm</t>
  </si>
  <si>
    <t>Ống uPVC (PN6) dẫn nước ngưng tụ D125, bọc dày 15mm</t>
  </si>
  <si>
    <t>Ống uPVC (PN6) dẫn nước ngưng tụ D140, bọc dày 15mm</t>
  </si>
  <si>
    <t>Ống uPVC (PN6) dẫn nước ngưng tụ D160, bọc dày 15mm</t>
  </si>
  <si>
    <t>2.10</t>
  </si>
  <si>
    <t>Vật tư phụ (côn, cút, bulông, đai ốc, sơn, băng dính…)</t>
  </si>
  <si>
    <t>VẬT TƯ PHẦN CÁP ĐIỆN ĐIỀU KHIỂN ĐIỀU HÒA</t>
  </si>
  <si>
    <t>Cáp điều khiển dùng kết nối dàn nóng với dàn lạnh (2x1.5)mm2 cho hệ thống điều hòa trung tâm VRF</t>
  </si>
  <si>
    <t>Cáp điều khiển dùng kết nối dàn lạnh với bộ điều khiển từ xa (2x0.75)mm2 cho hệ thống điều hòa trung tâm VRF</t>
  </si>
  <si>
    <t>Cáp điều khiển dùng kết nối dàn nóng với dàn lạnh (4x1.5)mm2 cho hệ thống điều hòa cục bộ</t>
  </si>
  <si>
    <t>Ống nhựa luồn cáp điều khiển PVC - D20</t>
  </si>
  <si>
    <t>Vật tư phụ (đai ốc, sơn, băng dính…)</t>
  </si>
  <si>
    <t>THIẾT BỊ &amp; VẬT TƯ LẮP ĐẶT ĐIỀU HÒA KHÔNG KHÍ &amp; THÔNG GIÓ PHẦN CĂN HỘ</t>
  </si>
  <si>
    <t>PHẦN THIẾT BỊ ĐIỀU HÒA CỤC BỘ</t>
  </si>
  <si>
    <t>Dàn lạnh loại treo tường 1 chiều lạnh
+ Công suất lạnh: 2.5Kw
+ Công suất điện: 0.8 kw (1Ph/220V/50Hz)</t>
  </si>
  <si>
    <t xml:space="preserve">Cái      </t>
  </si>
  <si>
    <t>Dàn lạnh loại treo tường 1 chiều lạnh
+ Công suất lạnh: 5.3Kw
+ Công suất điện: 1.55 kw (1Ph/220V/50Hz)</t>
  </si>
  <si>
    <t>Dàn lạnh loại treo tường 1 chiều lạnh
+ Công suất lạnh: 7.1Kw
+ Công suất điện: 2.52 kw (1Ph/220V/50Hz)</t>
  </si>
  <si>
    <t>PHẦN THIẾT BỊ ĐIỀU HÒA MULTI</t>
  </si>
  <si>
    <t>PHẦN DÀN LẠNH</t>
  </si>
  <si>
    <t>2.1</t>
  </si>
  <si>
    <t>Dàn lạnh loại treo tường 1 chiều lạnh
+ Công suất lạnh: 2,5KW</t>
  </si>
  <si>
    <t>Dàn lạnh loại treo tường 1 chiều lạnh
+ Công suất lạnh: 3,5KW</t>
  </si>
  <si>
    <t>Dàn lạnh loại treo tường 1 chiều lạnh
+ Công suất lạnh: 5,0KW</t>
  </si>
  <si>
    <t>PHẦN DÀN NÓNG</t>
  </si>
  <si>
    <t>Dàn nóng 1 chiều làm lạnh
+ Công suất lạnh: 5,3KW</t>
  </si>
  <si>
    <t>2.5</t>
  </si>
  <si>
    <t>Dàn nóng 1 chiều làm lạnh
+ Công suất lạnh: 6,8KW</t>
  </si>
  <si>
    <t>2.6</t>
  </si>
  <si>
    <t>Dàn nóng 1 chiều làm lạnh
+ Công suất lạnh: 8,0KW</t>
  </si>
  <si>
    <t>2.7</t>
  </si>
  <si>
    <t>Dàn nóng 1 chiều làm lạnh
+ Công suất lạnh: 10,0KW</t>
  </si>
  <si>
    <t>PHẦN THIẾT BỊ THÔNG GIÓ</t>
  </si>
  <si>
    <t>3.1</t>
  </si>
  <si>
    <t>Quạt hút khí gắn trần nối ống gió
+ Lưu lượng: 100 m3/h
+ Áp suất : 50 Pa
+ Công suất điện:  30w (1Ph/220V/50Hz)</t>
  </si>
  <si>
    <t>Kèm van 1 chiều</t>
  </si>
  <si>
    <t>3.2</t>
  </si>
  <si>
    <t>Chụp hút bếp kèm quạt
+ Lưu lượng: 500 m3/h
+ Áp suất : -- Pa</t>
  </si>
  <si>
    <t>PHẦN VẬT TƯ LẮP ĐẶT</t>
  </si>
  <si>
    <t>PHẦN ỐNG GIÓ</t>
  </si>
  <si>
    <t>4.1</t>
  </si>
  <si>
    <t>+ Kích thước 400x200</t>
  </si>
  <si>
    <t>4.2</t>
  </si>
  <si>
    <t>Ống nhựa uPVC PN6</t>
  </si>
  <si>
    <t xml:space="preserve"> + Kích thước Ø90</t>
  </si>
  <si>
    <t xml:space="preserve"> + Kích thước Ø125</t>
  </si>
  <si>
    <t xml:space="preserve"> + Kích thước Ø140</t>
  </si>
  <si>
    <t xml:space="preserve"> + Cút 90 độ Ø90</t>
  </si>
  <si>
    <t xml:space="preserve"> + Cút 90 độ Ø125</t>
  </si>
  <si>
    <t xml:space="preserve"> + Cút 90 độ Ø140</t>
  </si>
  <si>
    <t xml:space="preserve"> + Tê cong D125/D125/D90</t>
  </si>
  <si>
    <t xml:space="preserve"> + Côn thu D125/D90</t>
  </si>
  <si>
    <t>4.3</t>
  </si>
  <si>
    <t>Ống gió mềm không bọc bảo ôn</t>
  </si>
  <si>
    <t>+ kích thước Ø100</t>
  </si>
  <si>
    <t xml:space="preserve">m </t>
  </si>
  <si>
    <t>+ kích thước Ø150</t>
  </si>
  <si>
    <t>4.4</t>
  </si>
  <si>
    <t>Vật tư phụ (Quang treo, ti treo…)</t>
  </si>
  <si>
    <t>Box gió 400x200</t>
  </si>
  <si>
    <t>PHẦN ỐNG GAS/DỊCH ĐIỀU HÒA</t>
  </si>
  <si>
    <t>4.5</t>
  </si>
  <si>
    <t>Ống đồng dẫn tác nhân lạnh  bọc cách nhiệt bằng cao su lưu hóa có cấu trúc ô kín, tỷ trọng 40-70 kg/m3, hệ số dẫn nhiệt k = 0.036W/mK tại 23oC , tiêu chuẩn chống cháy BS476 phần 6&amp;7 cấp độ 0.</t>
  </si>
  <si>
    <t>Kích thước  ø 6,4, t=0.71mm, bọc bảo ôn dày 13mm</t>
  </si>
  <si>
    <t>Kích thước và độ dày ống, chiều dày bảo ôn có thể thay đổi theo thực tế thiết bị được lựa chọn để phù hợp với tiêu chuẩn hãng sản xuất</t>
  </si>
  <si>
    <t>Kích thước  ø 9,5, t=0.71mm, bọc bảo ôn dày 13mm</t>
  </si>
  <si>
    <t>Kích thước  ø 12,7, t=0.81mm, bọc bảo ôn dày 19mm</t>
  </si>
  <si>
    <t>Kích thước  ø 15,9, t=0.81mm, bọc bảo ôn dày 19mm</t>
  </si>
  <si>
    <t>4.6</t>
  </si>
  <si>
    <t>Vật tư phụ (mút xốp, bu lông, đai ốc, băng dính, côn, cút…)</t>
  </si>
  <si>
    <t>PHẦN ỐNG NƯỚC NGƯNG uPVC</t>
  </si>
  <si>
    <t>4.7</t>
  </si>
  <si>
    <t>Ống nước ngưng uPVC bọc cách nhiệt bằng cao su lưu hóa có cấu trúc ô kín, tỷ trọng 40-70 kg/m3, hệ số dẫn nhiệt k = 0.036W/mK tại 23oC , tiêu chuẩn chống cháy BS476 phần 6&amp;7 cấp độ 0.</t>
  </si>
  <si>
    <t xml:space="preserve"> Ống uPVC - D21 (PN10)  bọc bảo ôn dày 13mm</t>
  </si>
  <si>
    <t>Chiều dày của bảo ôn sẽ được điều chỉnh  theo vật tư được phê duyệt thực tế bởi CDT sau này.</t>
  </si>
  <si>
    <t xml:space="preserve"> Ống uPVC - D27 (PN10)  bọc bảo ôn dày 13mm</t>
  </si>
  <si>
    <t>4.8</t>
  </si>
  <si>
    <t>d</t>
  </si>
  <si>
    <t>PHẦN ĐIỀU KHIỂN ĐIỀU HÒA</t>
  </si>
  <si>
    <t>4.9</t>
  </si>
  <si>
    <t>Dây điều khiển dùng kết nối cục ngoài, cục trong</t>
  </si>
  <si>
    <t>CU/PVC/PVC (1X1.5mm2)</t>
  </si>
  <si>
    <t>4.10</t>
  </si>
  <si>
    <t>Vật tư phụ (Bulong,vít,…)</t>
  </si>
  <si>
    <t>THIẾT BỊ &amp; VẬT TƯ LẮP ĐẶT ĐIỀU HÒA KHÔNG KHÍ &amp; THÔNG GIÓ PHẦN CĂN HỘ PENTHOUSE</t>
  </si>
  <si>
    <t>PHẦN THIẾT BỊ ĐIỀU HÒA VRV-s, Multi V-s,....</t>
  </si>
  <si>
    <t>Dàn lạnh loại âm trần nối ống gió 1 chiều làm lạnh
+ Công suất lạnh: 2,2KW</t>
  </si>
  <si>
    <t>Dàn lạnh loại âm trần nối ống gió 1 chiều làm lạnh
+ Công suất lạnh: 2,8KW</t>
  </si>
  <si>
    <t>Dàn lạnh loại âm trần nối ống gió 1 chiều làm lạnh
+ Công suất lạnh: 3.5KW</t>
  </si>
  <si>
    <t>Dàn lạnh loại âm trần nối ống gió 1 chiều làm lạnh
+ Công suất lạnh: 4.5KW</t>
  </si>
  <si>
    <t>Dàn lạnh loại âm trần nối ống gió 1 chiều làm lạnh
+ Công suất lạnh: 7.1KW</t>
  </si>
  <si>
    <t>Dàn lạnh loại âm trần nối ống gió 1 chiều làm lạnh
+ Công suất lạnh: 9.0KW</t>
  </si>
  <si>
    <t>Dàn lạnh loại âm trần nối ống gió 1 chiều làm lạnh
+ Công suất lạnh: 11.2KW</t>
  </si>
  <si>
    <t>Dàn lạnh loại âm trần nối ống gió 1 chiều làm lạnh
+ Công suất lạnh: 14.0KW</t>
  </si>
  <si>
    <t>Dàn nóng 1 chiều làm lạnh
+ Công suất lạnh: 11.2KW</t>
  </si>
  <si>
    <t>Dàn nóng 1 chiều làm lạnh
+ Công suất lạnh: 16.0KW</t>
  </si>
  <si>
    <t>Dàn nóng 1 chiều làm lạnh
+ Công suất lạnh: 22.4KW</t>
  </si>
  <si>
    <t>Dàn nóng 1 chiều làm lạnh
+ Công suất lạnh: 24.0KW</t>
  </si>
  <si>
    <t>Quạt hút khí gắn trần nối ống gió
+ Lưu lượng: 100 m3/h
+ Áp suất : 30 Pa</t>
  </si>
  <si>
    <t>Quạt cấp khí tươi
+ Lưu lượng: 700 m3/h
+ Áp suất : 200 Pa</t>
  </si>
  <si>
    <t>Hệ thống gió tươi (OA)</t>
  </si>
  <si>
    <t>KT 200x200 độ dày tôn 0.48mm</t>
  </si>
  <si>
    <t>3.3</t>
  </si>
  <si>
    <t>KT 150x100/100x100 độ dày tôn 0.48mm</t>
  </si>
  <si>
    <t>KT 150x150/100x100 độ dày tôn 0.48mm</t>
  </si>
  <si>
    <t>KT 200x150/150x100 độ dày tôn 0.48mm</t>
  </si>
  <si>
    <t>KT 200x100/150x100 độ dày tôn 0.48mm</t>
  </si>
  <si>
    <t>KT 300x200/200x200 độ dày tôn 0.48mm</t>
  </si>
  <si>
    <t>KT 300x200/200x100 độ dày tôn 0.48mm</t>
  </si>
  <si>
    <t>3.4</t>
  </si>
  <si>
    <t xml:space="preserve"> Gót ống gió tôn tráng kẽm </t>
  </si>
  <si>
    <t>KT 200x100/100x100 độ dày tôn 0.48mm</t>
  </si>
  <si>
    <t>KT 250x100/150x100 độ dày tôn 0.48mm</t>
  </si>
  <si>
    <t>KT 250x150/150x150 độ dày tôn 0.48mm</t>
  </si>
  <si>
    <t>KT 300x100/200x100 độ dày tôn 0.48mm</t>
  </si>
  <si>
    <t>KT 300x150/200x150 độ dày tôn 0.48mm</t>
  </si>
  <si>
    <t>3.5</t>
  </si>
  <si>
    <t xml:space="preserve"> Vuông tròn ống gió tôn tráng kẽm </t>
  </si>
  <si>
    <t>KT 100x100/D100 độ dày tôn 0.48mm</t>
  </si>
  <si>
    <t>KT 200x100/D200 độ dày tôn 0.48mm</t>
  </si>
  <si>
    <t>KT 200x150/D200 độ dày tôn 0.48mm</t>
  </si>
  <si>
    <t>KT 300x200/D400 độ dày tôn 0.48mm</t>
  </si>
  <si>
    <t>3.6</t>
  </si>
  <si>
    <t>Ống gió mềm không bọc cách nhiệt</t>
  </si>
  <si>
    <t>3.7</t>
  </si>
  <si>
    <t xml:space="preserve">Box ống gió tôn tráng kẽm </t>
  </si>
  <si>
    <t>KT 500x250 độ dày tôn 0.48mm</t>
  </si>
  <si>
    <t>KT 400x200 độ dày tôn 0.48mm</t>
  </si>
  <si>
    <t>3.8</t>
  </si>
  <si>
    <t>3.9</t>
  </si>
  <si>
    <t>3.10</t>
  </si>
  <si>
    <t>3.11</t>
  </si>
  <si>
    <t>3.12</t>
  </si>
  <si>
    <t>3.13</t>
  </si>
  <si>
    <t xml:space="preserve"> + Tê cong D125/D90/D90</t>
  </si>
  <si>
    <t xml:space="preserve"> + Tê cong D140/D125/D90</t>
  </si>
  <si>
    <t>3.14</t>
  </si>
  <si>
    <t>+ kích thước Ø200</t>
  </si>
  <si>
    <t>+ kích thước Ø250</t>
  </si>
  <si>
    <t>3.15</t>
  </si>
  <si>
    <t>KT (1200x150), kiểu khuếch tán, kèm hộp gió KT: 1200x150xH250</t>
  </si>
  <si>
    <t>KT (1500x150), kiểu khuếch tán, kèm hộp gió KT: 1500x150xH250</t>
  </si>
  <si>
    <t>3.16</t>
  </si>
  <si>
    <t>KT (1200x150), kiểu nan sọt, kèm hộp gió KT: 1200x150xH250</t>
  </si>
  <si>
    <t>KT (1500x150), kiểu nan sọt, kèm hộp gió KT: 1500x150xH250</t>
  </si>
  <si>
    <t>3.17</t>
  </si>
  <si>
    <t>3.18</t>
  </si>
  <si>
    <t>3.19</t>
  </si>
  <si>
    <t>3.20</t>
  </si>
  <si>
    <t>Bộ chia Gas/dịch dàn lạnh</t>
  </si>
  <si>
    <t>3.21</t>
  </si>
  <si>
    <t>Kích thước  ø 6,4, t=0.81mm, bọc bảo ôn dày 13mm</t>
  </si>
  <si>
    <t>3.22</t>
  </si>
  <si>
    <t>Kích thước  ø 9,5, t=0.81mm, bọc bảo ôn dày 13mm</t>
  </si>
  <si>
    <t>3.23</t>
  </si>
  <si>
    <t>3.24</t>
  </si>
  <si>
    <t>Kích thước  ø 15,9, t=1.0mm, bọc bảo ôn dày 19mm</t>
  </si>
  <si>
    <t>3.25</t>
  </si>
  <si>
    <t>Kích thước  ø 19.1, t=1.0mm, bọc bảo ôn dày 19mm</t>
  </si>
  <si>
    <t>3.26</t>
  </si>
  <si>
    <t>Kích thước  ø 22.2, t=1.0mm, bọc bảo ôn dày 25mm</t>
  </si>
  <si>
    <t>3.27</t>
  </si>
  <si>
    <t>Khối lượng tác nhân lạnh bổ xung</t>
  </si>
  <si>
    <t>3.28</t>
  </si>
  <si>
    <t>3.29</t>
  </si>
  <si>
    <t xml:space="preserve"> Ống uPVC - D34 (PN10)  bọc bảo ôn dày 13mm</t>
  </si>
  <si>
    <t>3.30</t>
  </si>
  <si>
    <t>3.31</t>
  </si>
  <si>
    <t>3.32</t>
  </si>
  <si>
    <t>3.33</t>
  </si>
  <si>
    <t>3.34</t>
  </si>
  <si>
    <t>Hạng mục: Ngăn cháy lan</t>
  </si>
  <si>
    <t>Nội dung công việc</t>
  </si>
  <si>
    <t xml:space="preserve">I </t>
  </si>
  <si>
    <t>Trục điện - Điện nhẹ
(theo phạm vi tính toán)</t>
  </si>
  <si>
    <t>Vữa ngăn cháy lan (Mô tả lắp đặt: vữa + rockwool)</t>
  </si>
  <si>
    <t>Bao</t>
  </si>
  <si>
    <t>15 kg/ 1 bao</t>
  </si>
  <si>
    <t>Keo ngăn cháy lan trương nở (mô tả lắp đặt: Keo + rockwool)</t>
  </si>
  <si>
    <t>Lít</t>
  </si>
  <si>
    <t>Nhân công thi công xuyên sàn và vật tư phụ (lập là thép mạ kẽm điện phân 30x3, bông khoáng &gt;=100kg/m3, tôn mạ kẽm &gt;=0.42, dây thít, bulong, vít…). Tính theo diện tích lỗ mở không trừ thiết bị chiếm chỗ</t>
  </si>
  <si>
    <t>Hệ CTN
(theo phạm vi tính toán)</t>
  </si>
  <si>
    <t>Băng quấn ngăn cháy lan FR pipe wrap</t>
  </si>
  <si>
    <t>Keo ngăn cháy FR ASF (mô tả lắp đặt: keo + rockwool)
(dùng kết hợp băng cuốn ngăn cháy với ống nhựa xuyên tường)</t>
  </si>
  <si>
    <t>Keo ngăn cháy lan trương nở (mô tả lắp đặt: Keo + rockwool)
(có thể dùng cho ống nhựa D&lt;=75mm xuyên tường), khe quanh ống &gt;=20mm, chi tiết theo tính toán</t>
  </si>
  <si>
    <t>Nhân công thi công và vật tư phụ (đường ống tròn xuyên tường). Tính theo vị trí</t>
  </si>
  <si>
    <t>Hệ Duct - HVAC (xuyên tường)
(theo phạm vi tính toán)</t>
  </si>
  <si>
    <t>Keo ngăn cháy lan trương nở Specseal LCI (mô tả lắp đặt: keo + rockwool)
(dùng cho ống Duct bảo ôn hoặc không bảo ôn)</t>
  </si>
  <si>
    <t>Keo ngăn cháy Protecta FR ASF (mô tả lắp đặt: keo + rockwool)
(dùng cho ống Duct trần, Duct EI)</t>
  </si>
  <si>
    <t>Nhân công thi công và vật tư phụ (ống Duct xuyên tường). Tính theo chu vi ống Duct</t>
  </si>
  <si>
    <t>Không bao gồm chi phí làm việc Điện lực cấp Đồng hồ công tơ điện, chỉ cấp dây/ cáp điện chờ sẵn đấu nối đến công tơ
Theo bảng PL02.1_Tủ điện</t>
  </si>
  <si>
    <t>Không thuộc phạm vi công việc của nhà thầu MEP theo RFI 02.01</t>
  </si>
  <si>
    <t>Thuy Sanh</t>
  </si>
  <si>
    <t>Phễu thu sàn DN100
Mặt 120x120mm
Inox 304</t>
  </si>
  <si>
    <t>F02SF DN80/100L</t>
  </si>
  <si>
    <t>Phễu thu sàn DN80
Mặt 120x120mm
Inox 304</t>
  </si>
  <si>
    <t>F02SF DN65/80L</t>
  </si>
  <si>
    <t>Phễu thu nước DN100
Chất liệu: thân gang, mặt inox 304</t>
  </si>
  <si>
    <t>R32 DN100</t>
  </si>
  <si>
    <t>Phễu thu nước DN80
Chất liệu: thân gang, mặt inox 304</t>
  </si>
  <si>
    <t>R32 DN80</t>
  </si>
  <si>
    <t>Nhà thầu lắp đặt chủ đầu tư cung cấp phễu thu</t>
  </si>
  <si>
    <t>Phễu thu nước DN150
Chất liệu: thân gang, mặt inox 304</t>
  </si>
  <si>
    <t>R21 DN150</t>
  </si>
  <si>
    <t>Thông tắc sàn mặt tròn DN125
Chất liệu: Inox 304</t>
  </si>
  <si>
    <t>O32 DN125</t>
  </si>
  <si>
    <t>Thông tắc sàn mặt tròn DN100
Chất liệu: Inox 304</t>
  </si>
  <si>
    <t>O32 DN100</t>
  </si>
  <si>
    <t>Thông tắc sàn mặt tròn DN80
Chất liệu: Inox 304</t>
  </si>
  <si>
    <t>O32 DN80</t>
  </si>
  <si>
    <t xml:space="preserve">Chụp thông hơi DN250
Chất liệu: Inox 304 </t>
  </si>
  <si>
    <t>SFX-S DN250</t>
  </si>
  <si>
    <t xml:space="preserve">Chụp thông hơi DN125
Chất liệu: Inox 304 </t>
  </si>
  <si>
    <t>SFX-S DN125</t>
  </si>
  <si>
    <t xml:space="preserve">Chụp thông hơi DN100
Chất liệu: Inox 304 </t>
  </si>
  <si>
    <t>SFX-S DN100</t>
  </si>
  <si>
    <t xml:space="preserve">Chụp thông hơi DN80
Chất liệu: Inox 304 </t>
  </si>
  <si>
    <t>SFX-S DN80</t>
  </si>
  <si>
    <t>Ống Inox theo TCQ 01</t>
  </si>
  <si>
    <t>Co hàn 90o - DN32, Inox 304-SCH10</t>
  </si>
  <si>
    <t>QMS</t>
  </si>
  <si>
    <t>Co hàn 90o - DN80, Inox 304-SCH10</t>
  </si>
  <si>
    <t>Co hàn 90o - DN100, Inox 304-SCH10</t>
  </si>
  <si>
    <t>Co hàn 90o - DN150, Inox 304-SCH10</t>
  </si>
  <si>
    <t>Co hàn 90o - DN200, Inox 304-SCH10</t>
  </si>
  <si>
    <t>Tê hàn - DN50, Inox 304-SCH10</t>
  </si>
  <si>
    <t>Tê hàn - DN80, Inox 304-SCH10</t>
  </si>
  <si>
    <t>Tê hàn - DN100, Inox 304-SCH10</t>
  </si>
  <si>
    <t>Tê hàn - DN150, Inox 304-SCH10</t>
  </si>
  <si>
    <t>Tê hàn - DN200, Inox 304-SCH10</t>
  </si>
  <si>
    <t>Tê giảm hàn - DN100XDN80, Inox 304-SCH10</t>
  </si>
  <si>
    <t>Tê giảm hàn - DN150XDN80, Inox 304-SCH10</t>
  </si>
  <si>
    <t>Tê giảm hàn - DN150XDN100, Inox 304-SCH10</t>
  </si>
  <si>
    <t>Tê giảm hàn - DN200XDN100, Inox 304-SCH10</t>
  </si>
  <si>
    <t>Mặt bích mù BS4504 PN16 - DN80, Inox 304-SCH10</t>
  </si>
  <si>
    <t>Mặt bích mù BS4504 PN16 - DN200, Inox 304-SCH10</t>
  </si>
  <si>
    <t>Mặt Bích BS4504 PN16 - DN80, Inox 304-SCH10</t>
  </si>
  <si>
    <t>Mặt Bích BS4504 PN16 - DN100, Inox 304-SCH10</t>
  </si>
  <si>
    <t>Mặt Bích BS4504 PN16 - DN125, Inox 304-SCH10</t>
  </si>
  <si>
    <t>Mặt Bích BS4504 PN16 - DN150, Inox 304-SCH10</t>
  </si>
  <si>
    <t>Mặt Bích BS4504 PN16 - DN200, Inox 304-SCH10</t>
  </si>
  <si>
    <t>Giảm hàn - DN100XDN80</t>
  </si>
  <si>
    <t>Giảm hàn - DN80XDN65</t>
  </si>
  <si>
    <t>Ống DN32 x 2.77 x 6000, Inox 304-SCH10</t>
  </si>
  <si>
    <t>Ống DN50 x 2.77 x 6000, Inox 304-SCH10</t>
  </si>
  <si>
    <t>Ống DN80 x 3.05 x 6000, Inox 304-SCH10</t>
  </si>
  <si>
    <t>Ống DN100 x 3.05 x 6000, Inox 304-SCH10</t>
  </si>
  <si>
    <t>Ống DN125 x 3.4 x 6000, Inox 304-SCH10</t>
  </si>
  <si>
    <t>Ống DN150 x 3.4 x 6000, Inox 304-SCH10</t>
  </si>
  <si>
    <t>Ống DN200 x 3.76 x 6000, Inox 304-SCH10</t>
  </si>
  <si>
    <t>Ống HDPE PN10, D50*3</t>
  </si>
  <si>
    <t>Tiền Phong</t>
  </si>
  <si>
    <t>Ống HDPE PN10, D75*4.50</t>
  </si>
  <si>
    <t>Ống HDPE PN10, D110*6.60</t>
  </si>
  <si>
    <t>Ống HDPE PN10, D140*8.30</t>
  </si>
  <si>
    <t>Ống HDPE PN10, D200*14.7</t>
  </si>
  <si>
    <t>Ống HDPE PN10, D250*18.40</t>
  </si>
  <si>
    <t>Ống HDPE PN10, D280*20.6</t>
  </si>
  <si>
    <t>Cút 90⁰ D75</t>
  </si>
  <si>
    <t>Cút 90⁰ D50</t>
  </si>
  <si>
    <t>Cút 90⁰ D110</t>
  </si>
  <si>
    <t>Cút 90⁰ D140</t>
  </si>
  <si>
    <t>Ba chạc 90 độ ren trong D140
Đầu nối chuyển bậc 140-90</t>
  </si>
  <si>
    <t>Ba chạc 90 độ chuyên bậc D110/90</t>
  </si>
  <si>
    <t>Ba chạc 90 độ chuyên bậc D110/63</t>
  </si>
  <si>
    <t>Ba chạc 90 độ chuyên bậc D110/50</t>
  </si>
  <si>
    <t>Ba chạc 90 độ chuyên bậc D110/40</t>
  </si>
  <si>
    <t>Ba chạc 90 độ chuyên bậc D90/63</t>
  </si>
  <si>
    <t>Ba chạc 90 độ chuyên bậc D63/50</t>
  </si>
  <si>
    <t>Ba chạc 90 độ chuyên bậc D63/40</t>
  </si>
  <si>
    <t>Ba chạc 90 độ chuyên bậc D63/32</t>
  </si>
  <si>
    <t>Ba chạc 90 độ chuyên bậc D63/25</t>
  </si>
  <si>
    <t>Ba chạc 90 độ chuyên bậc D63/25
Đầu nối chuyển bậc 25/20</t>
  </si>
  <si>
    <t>Ba chạc 90 độ chuyên bậc D50/40</t>
  </si>
  <si>
    <t>Ba chạc 90 độ chuyên bậc D50/32</t>
  </si>
  <si>
    <t>Ba chạc 90 độ chuyên bậc D50/25</t>
  </si>
  <si>
    <t>Ba chạc 90 độ chuyên bậc D50/20</t>
  </si>
  <si>
    <t>Ba chạc 90 độ chuyên bậc D40/32</t>
  </si>
  <si>
    <t>Ba chạc 90 độ chuyên bậc D40/25</t>
  </si>
  <si>
    <t>Ba chạc 90 độ chuyên bậc D40/20</t>
  </si>
  <si>
    <t>Ba chạc 90 độ chuyên bậc D32/25</t>
  </si>
  <si>
    <t>Ba chạc 90 độ chuyên bậc D32/20</t>
  </si>
  <si>
    <t>Ba chạc 90 độ chuyên bậc D25/20</t>
  </si>
  <si>
    <t>Nổi góc 90 độ D140</t>
  </si>
  <si>
    <t>Nổi góc 90 độ D110</t>
  </si>
  <si>
    <t>Nổi góc 90 độ D90</t>
  </si>
  <si>
    <t>Nổi góc 90 độ D63</t>
  </si>
  <si>
    <t>Nổi góc 90 độ D50</t>
  </si>
  <si>
    <t>Nổi góc 90 độ D40</t>
  </si>
  <si>
    <t>Nổi góc 90 độ D32</t>
  </si>
  <si>
    <t>Nổi góc 90 độ D25</t>
  </si>
  <si>
    <t>Nổi góc 90 độ D20</t>
  </si>
  <si>
    <t>Đầu nối chuyển bậc D140/90</t>
  </si>
  <si>
    <t>Đầu nối chuyển bậc D110/90</t>
  </si>
  <si>
    <t>Đầu nối chuyển bậc D110/75</t>
  </si>
  <si>
    <t>Đầu nối chuyển bậc D90/50</t>
  </si>
  <si>
    <t>Đầu nối chuyển bậc D90/50
Đầu nối chuyển bậc D50/40</t>
  </si>
  <si>
    <t>Đầu nối chuyển bậc D75/40</t>
  </si>
  <si>
    <t>Đầu nối chuyển bậc D63/50</t>
  </si>
  <si>
    <t>Đầu nối chuyển bậc D63/40</t>
  </si>
  <si>
    <t>Đầu nối chuyển bậc D63/32</t>
  </si>
  <si>
    <t>Đầu nối chuyển bậc D63/25</t>
  </si>
  <si>
    <t>Đầu nối chuyển bậc D50/40</t>
  </si>
  <si>
    <t>Đầu nối chuyển bậc D50/32</t>
  </si>
  <si>
    <t>Đầu nối chuyển bậc D50/25</t>
  </si>
  <si>
    <t>Đầu nối chuyển bậc D40/32</t>
  </si>
  <si>
    <t>Đầu nối chuyển bậc D40/25</t>
  </si>
  <si>
    <t>Đầu nối chuyển bậc D40/20</t>
  </si>
  <si>
    <t>Đầu nối chuyển bậc D32/25</t>
  </si>
  <si>
    <t>Đầu nối chuyển bậc D32/20</t>
  </si>
  <si>
    <t>Đầu nối chuyển bậc D25/20</t>
  </si>
  <si>
    <t>Đầu nổi ren ngoài D63</t>
  </si>
  <si>
    <t>Đầu nổi ren ngoài D50</t>
  </si>
  <si>
    <t>Đầu nổi ren ngoài D40</t>
  </si>
  <si>
    <t>Đầu nổi ren ngoài D32</t>
  </si>
  <si>
    <t>Đầu nổi ren ngoài D25</t>
  </si>
  <si>
    <t>Đầu nổi ren ngoài D20</t>
  </si>
  <si>
    <t>Đầu nối thằng D140</t>
  </si>
  <si>
    <t>Đầu nối thằng D110</t>
  </si>
  <si>
    <t>Đầu nối thằng D90</t>
  </si>
  <si>
    <t>Đầu nối thằng D63</t>
  </si>
  <si>
    <t>Đầu nối thằng D50</t>
  </si>
  <si>
    <t>Đầu nối thằng D40</t>
  </si>
  <si>
    <t>Đầu nối thằng D32</t>
  </si>
  <si>
    <t>Đầu nối thằng D25</t>
  </si>
  <si>
    <t>Đầu nối thằng D20</t>
  </si>
  <si>
    <t>Nổi góc 90 độ ren trong 20-1/2"</t>
  </si>
  <si>
    <t>D15</t>
  </si>
  <si>
    <t>Van cửa PPR (mở 100%) D40</t>
  </si>
  <si>
    <t>Van cửa PPR (mở 100%) D32</t>
  </si>
  <si>
    <t>Van cửa PPR (mở 100%) D25</t>
  </si>
  <si>
    <t>Van cửa PPR (mở 100%) D20</t>
  </si>
  <si>
    <t>Đường kính ngoài,
Chưa bao gồm chi phí cắt đục tường, Chi phí cắt đục tường theo đơn giá phát sinh bên dưới</t>
  </si>
  <si>
    <t>Ống PPR PN10, D110*10</t>
  </si>
  <si>
    <t>Ống PPR PN10, D90*8.2</t>
  </si>
  <si>
    <t>Ống PPR PN10, D63*5.8</t>
  </si>
  <si>
    <t>Ống PPR PN10, D50*4.6</t>
  </si>
  <si>
    <t>Ống PPR PN10, D40*3.7</t>
  </si>
  <si>
    <t>Ống PPR PN10, D32*2.90</t>
  </si>
  <si>
    <t>Ống PPR PN10, D25*2.80</t>
  </si>
  <si>
    <t>Ống PPR PN10, D20*2.30</t>
  </si>
  <si>
    <t>Ống PPR PN16, D140*19.20</t>
  </si>
  <si>
    <t>Ống PPR PN16, D110*15.10</t>
  </si>
  <si>
    <t>Ống PPR PN16, D90*12.30</t>
  </si>
  <si>
    <t>Ống PPR PN16, D25*3.50</t>
  </si>
  <si>
    <t>Ống PPR PN20, D25*4.20</t>
  </si>
  <si>
    <t>Ống PPR PN20, D20*3.40</t>
  </si>
  <si>
    <t>Đơn giá 2 bơm kèm khớp nối nhanh, chưa bao gồm van và tủ điện</t>
  </si>
  <si>
    <t>FAG 50C 20.30/15</t>
  </si>
  <si>
    <t>FAG 50Z 11.14/4.5</t>
  </si>
  <si>
    <t>Đơn giá 2 bơm, chưa bao gồm cụm van và tủ điện</t>
  </si>
  <si>
    <t>Helix FIRST V 3608-5/25/E/KS/400-50</t>
  </si>
  <si>
    <t>Helix FIRST V 3607-5/25/E/KS/400-50</t>
  </si>
  <si>
    <t>Bơm trục đứng đa tầng cánh
bao gồm bệ, ống gom phía hút-xả bằng Inox, van đồng Miha, đồng hồ đo áp…..và các thiết bị liên quan. Thân gang
Lắp ráp tại Việt Nam</t>
  </si>
  <si>
    <t>FIRST V 3604/2-5/16/E/S/400-50</t>
  </si>
  <si>
    <t>Wilo, lắp ráp cụm cơ khí Việt Nam</t>
  </si>
  <si>
    <t>Trung Quốc, Việt Nam</t>
  </si>
  <si>
    <t xml:space="preserve">
Bơm trục ngang đơn tầng cánh
bao gồm bệ, ống gom phía hút-xả bằng Inox, van đồng Miha, đồng hồ đo áp…..và các thiết bị liên quan. 
Lắp ráp tại Việt Nam</t>
  </si>
  <si>
    <t>Atmos BST 40/125-3/2-V1</t>
  </si>
  <si>
    <t>Atmos BST 50/160-4/2-V2</t>
  </si>
  <si>
    <t>US500461CS000000</t>
  </si>
  <si>
    <t>Varem</t>
  </si>
  <si>
    <t>Ý</t>
  </si>
  <si>
    <t xml:space="preserve"> -Lưu lượng Qmax = 31.8m3/h 
-Kích thước: D920 x H1180mm</t>
  </si>
  <si>
    <t>S900</t>
  </si>
  <si>
    <t>Emaux</t>
  </si>
  <si>
    <t xml:space="preserve"> -Lưu lượng Qmax= 30m3/h
- Cột áp H = 9-18m
- Công suất: 3HP
- Điện áp: 380V x 3pha x 50Hz</t>
  </si>
  <si>
    <t>SB30</t>
  </si>
  <si>
    <t>- Dải đo: pH 0 -14, ORP 0-1500mV
- Hiển thị: 2 màn hình LCD
- Size: 234mm x 162mm x 108mm
- Bao gồm đầu dò ORP và pH</t>
  </si>
  <si>
    <t>WT500PR</t>
  </si>
  <si>
    <t>Bơm định lượng axit HCl
- Lưu lượng Qmax = 20-32L/h
- Áp suất: 4-5 bar
- Điện áp: 220V x 1pha x 50Hz</t>
  </si>
  <si>
    <t>CTRL20</t>
  </si>
  <si>
    <t>- Dung tích: 300L
- Vật liệu: nhựa</t>
  </si>
  <si>
    <t>- Nhựa ABS, nối 2", lưu lượng: 240 L/min</t>
  </si>
  <si>
    <t>EM 2824</t>
  </si>
  <si>
    <t>- Nhựa ABS, nối 2", lưu lượng: 150-240 L/min</t>
  </si>
  <si>
    <t>EM 2848</t>
  </si>
  <si>
    <t>- Nhựa ABS, Size D195mm, lưu lượng 558 L/min</t>
  </si>
  <si>
    <t>EM 2830</t>
  </si>
  <si>
    <t>- Nhựa ABS, Size: 260x260mm; Lưu lượng: 900 L/min</t>
  </si>
  <si>
    <t>EM 2813</t>
  </si>
  <si>
    <t>Công suất điện: 20W
- Nguồn cấp: 12V, 50-60Hz
- Tiêu chuẩn chống nước IP68
- Vật liệu: Nhựa - 415 Lux - Warm White (4000K)
- Cáp 2,5m
- Vật liệu: ABS + UV Stabilizer
Lắp ốp tường</t>
  </si>
  <si>
    <t>E-Lumen-252</t>
  </si>
  <si>
    <t>Bộ vệ sinh hồ bơi</t>
  </si>
  <si>
    <t xml:space="preserve"> Bộ kiểm tra nước 2in1
-Sào nhôm dài 8m
-Vợt vớt rác
-Ống mềm nhựa dài 15m
-Bàn chải bằng nhựa
-Bàn hút 8 bánh xe bằng nhựa</t>
  </si>
  <si>
    <t xml:space="preserve">Thang 3 bậc </t>
  </si>
  <si>
    <t>Vật liệu inox 304</t>
  </si>
  <si>
    <t>NSF-315-S</t>
  </si>
  <si>
    <t>Cát, sỏi lọc</t>
  </si>
  <si>
    <t>Cát 0.4-0.8mm
Sỏi 2-4mm</t>
  </si>
  <si>
    <t>Bộ điều khiển pH, ORP</t>
  </si>
  <si>
    <t>- Dải đo: pH 0 -14, ORP 0-1500mV
- Hiển thị: 2 màn hình LCD
- Size: 234mm x 162mm x 108mm</t>
  </si>
  <si>
    <t xml:space="preserve">Bộ đổi nguồn 
</t>
  </si>
  <si>
    <t>Điện 12V, 50Hz</t>
  </si>
  <si>
    <t>TRA-150VA</t>
  </si>
  <si>
    <t>Cút nối IP68</t>
  </si>
  <si>
    <t xml:space="preserve">Đầu nối chống nước, phụ kiện lắp đặt đèn  </t>
  </si>
  <si>
    <t>Keo AB, băng keo chống nước…</t>
  </si>
  <si>
    <t>Van khóa, Van một chiều, Giảm rung…</t>
  </si>
  <si>
    <t>LD/Shieyu / Samwoo / td</t>
  </si>
  <si>
    <t>Công tắc mực nước 3 cực</t>
  </si>
  <si>
    <t xml:space="preserve"> - Điện 220-Vac 50Hz</t>
  </si>
  <si>
    <t>Omron</t>
  </si>
  <si>
    <t>Nhật/Trung Quốc</t>
  </si>
  <si>
    <t>Đặt lỗ chờ</t>
  </si>
  <si>
    <t xml:space="preserve"> Lỗ chờ đáy bể, xuyên thành hồ bơi, đi ống trong bêtong
Ống điện PVC trắng D20-D25
Băng trương nở
Sika điền lỗ chờ vị trí yêu cầu</t>
  </si>
  <si>
    <t>Tủ điện điều khiển hồ bơm</t>
  </si>
  <si>
    <t>- Màu: RAL7035
- Vật liệu: Thép tấm sơn tĩnh  điện
- Chiều dày vỏ tủ: 1.5-2mm
- Lắp đặt: Treo tường
- Kiểu 1 B, IP54 2 lớp cửa trong nhà
- Linh kiện LS - Korea</t>
  </si>
  <si>
    <t>Huy Hoàng</t>
  </si>
  <si>
    <t>Hệ thố́ng cáp điện và máng cáp (hoặc ống luồn điện)</t>
  </si>
  <si>
    <t>Cáp điện dây 
CVV 3x1.5-2.5mm2
DVV 2x1.5 mm2 
Máng cáp thép sơn tĩnh điện màu cam 1,2mm - Việt Nam
Ống luồn điện trắng - Việt Nam</t>
  </si>
  <si>
    <t>Cadivi, Lion/ Sino / Vietstar</t>
  </si>
  <si>
    <t>Bản vẽ hoàn chỉnh, bản vẽ phối hợp, bản vẽ hoàn công. Hướng dẫn vận hành và chuyển giao</t>
  </si>
  <si>
    <t>Chi phí vận chuyển và đi lại</t>
  </si>
  <si>
    <t>Vận hành ban đầu</t>
  </si>
  <si>
    <t>- Acid HCl, Chlorine chạy trong 1 tháng</t>
  </si>
  <si>
    <t>Công tác T&amp;C</t>
  </si>
  <si>
    <t>- Bao gồm điện, nước chạy thử</t>
  </si>
  <si>
    <t>Lấy và phân tích mẫu nước</t>
  </si>
  <si>
    <t>Không bao gồm bơm nhiêt, tủ điều khiển bơm nhiệt
- Màu: RAL7035
- Vật liệu: Thép tấm sơn tĩnh  điện
- Chiều dày vỏ tủ: 1.5-2mm
- Lắp đặt: Treo tường
- Kiểu 1 B, IP54 2 lớp cửa trong nhà
- Linh kiện LS - Korea</t>
  </si>
  <si>
    <t xml:space="preserve">
- Dung tích bể: 32m3;
- Chia ngăn: Chia 02 ngăn;
- Trọng lượng: Khoảng 2.0 Tấn
- Vật liệu: Inox 304; Tấm panel đáy bể dày 3.0mm dập chỏm cầu tăng cứng tại nhà máy, quy cách giống tấm thành và nóc, tấm panel thành 1(1000x500) dày 2.5mm; tấm thành 2 dày 2.0mm; tấm thàn 3 dày 1.5mm; tấm nóc bể dày 1.2mm; Sản xuất theo tiêu chuẩn Jis G4305:2012/ASTM-A240; Hệ giằng, chống trong bể V30x2.0-2.5mm. Hệ U100x45x4.0 chấn mạ kẽm nhúng nóng, lắp đặt bằng bulong mạ kẽm.
 - Phương pháp lắp đặt: Hàn Tig tại hiện trường.AA1033</t>
  </si>
  <si>
    <t>- Kích thước: D6,0(3,0+3,0) x R3,0 x C3 (m);
- Dung tích bể: 36m3;
- Chia ngăn: Chia 02 ngăn;
- Trọng lượng: Khoảng 2.2 Tấn
'- Vật liệu: Inox 304; Tấm panel đáy bể dày 3.0mm dập chỏm cầu tăng cứng tại nhà máy, quy cách giống tấm thành và nóc, tấm panel thành 
1(1000x500) dày 2.5mm; tấm thành 2 dày 2.0mm; tấm thành 3 dày 1.5mm; tấm nóc bể dày 1.2mm; Sản xuất theo tiêu chuẩn Jis G4305:2012/ASTM-A240; Hệ giằng, chống trong bể V30x2.0-2.5mm. Hệ U100x45x4.0 chấn mạ kẽm nhúng nóng, lắp đặt bằng bulong mạ kẽm.
 - Phương pháp lắp đặt: Hàn Tig tại hiện trường.</t>
  </si>
  <si>
    <t>KVS</t>
  </si>
  <si>
    <t>FSNG.25</t>
  </si>
  <si>
    <t>Flowsure</t>
  </si>
  <si>
    <t>25 Bar</t>
  </si>
  <si>
    <t>F.430.25</t>
  </si>
  <si>
    <t>FSSEF.25</t>
  </si>
  <si>
    <t>PN20</t>
  </si>
  <si>
    <t>FSWH.20</t>
  </si>
  <si>
    <t>FSQR.25</t>
  </si>
  <si>
    <t>KVS - 870</t>
  </si>
  <si>
    <t>FSNG.16</t>
  </si>
  <si>
    <t>FSGT.16, đồng thau</t>
  </si>
  <si>
    <t>FSY.16</t>
  </si>
  <si>
    <t>F.410.16</t>
  </si>
  <si>
    <t>FSSCT.16</t>
  </si>
  <si>
    <t>PN16, SS304</t>
  </si>
  <si>
    <t>FSSEF.16</t>
  </si>
  <si>
    <t>61F-GAP</t>
  </si>
  <si>
    <t>FSFL.16</t>
  </si>
  <si>
    <t>F.440.16</t>
  </si>
  <si>
    <t>Flowsure/Turkey</t>
  </si>
  <si>
    <t>F.840.16</t>
  </si>
  <si>
    <t>SS304+Bras</t>
  </si>
  <si>
    <t>8080 +3029</t>
  </si>
  <si>
    <t>Genebre</t>
  </si>
  <si>
    <t xml:space="preserve">F.1520 </t>
  </si>
  <si>
    <t>Đáp ứng đường kính ngoài
Ống uPVC hệ mét(ISO) DN 280 x 13.4mm PN 10 - 4m</t>
  </si>
  <si>
    <t>Ống Upvc D280*13.4, PN10</t>
  </si>
  <si>
    <t xml:space="preserve">Đáp ứng đường kính ngoài
Ống uPVC hệ mét(ISO) DN 250 x 11.9mm PN 10 - 4m </t>
  </si>
  <si>
    <t>Ống Upvc D250*11.9, PN10</t>
  </si>
  <si>
    <t>Đáp ứng đường kính ngoài
Ống uPVC hệ mét(ISO) DN 200 x 9.6mm PN 10 - 4m</t>
  </si>
  <si>
    <t>Ống Upvc D200*9.6, PN10</t>
  </si>
  <si>
    <t>Đáp ứng đường kính ngoài
Ống uPVC hệ mét(ISO) DN 180 x 8.6mm PN10 - 4m</t>
  </si>
  <si>
    <t>Ống Upvc D180*8.6, PN10</t>
  </si>
  <si>
    <t>Đáp ứng đường kính ngoài
Ống uPVC hệ mét(ISO) DN 160 x 7.7mm PN 10 - 4m</t>
  </si>
  <si>
    <t>Ống Upvc D160*7.7, PN10</t>
  </si>
  <si>
    <t>Đáp ứng đường kính ngoài
Ống uPVC hệ mét(ISO) DN 140 x 6.7mm PN 10 - 4m</t>
  </si>
  <si>
    <t>Ống Upvc D140*6.7, PN10</t>
  </si>
  <si>
    <t>Đáp ứng đường kính ngoài
Ống uPVC hệ mét(ISO) DN 125 x 6mm PN 10 - 4m</t>
  </si>
  <si>
    <t>Ống Upvc D125*6, PN10</t>
  </si>
  <si>
    <t>Đáp ứng đường kính ngoài
Ống uPVC hệ mét(ISO) DN 110 x 5.3mm PN 10 - 4m</t>
  </si>
  <si>
    <t>Ống Upvc D110*5.3, PN10</t>
  </si>
  <si>
    <t>Đáp ứng đường kính ngoài
Ống uPVC hệ mét(ISO) DN 90 x 4.3mm PN 10 - 4m</t>
  </si>
  <si>
    <t>Ống Upvc D90*4.3, PN10</t>
  </si>
  <si>
    <t>Đáp ứng đường kính ngoài
Ống uPVC hệ mét(ISO) DN 75 x 3.6mm PN 10 - 4m</t>
  </si>
  <si>
    <t>Ống Upvc D75*3.6, PN10</t>
  </si>
  <si>
    <t>Đáp ứng đường kính ngoài
Ống uPVC hệ mét(ISO) DN 140 x 5.4mm PN 8 - 4m</t>
  </si>
  <si>
    <t>Ống Upvc D200*7.7, PN8</t>
  </si>
  <si>
    <t>Ống Upvc D180*6.2, PN8</t>
  </si>
  <si>
    <t>Ống Upvc D140*5.4, PN8</t>
  </si>
  <si>
    <t>Đáp ứng đường kính ngoài
Ống uPVC hệ mét(ISO) DN 125 x 4.8mm PN 8 - 4m</t>
  </si>
  <si>
    <t>Ống Upvc D125*4.8, PN8</t>
  </si>
  <si>
    <t>Đáp ứng đường kính ngoài
Ống uPVC hệ mét(ISO) DN 110 x 4.2mm PN 8 - 4m</t>
  </si>
  <si>
    <t>Ống Upvc D110*4.2, PN8</t>
  </si>
  <si>
    <t>Đáp ứng đường kính ngoài
Ống uPVC hệ mét(ISO) DN 90 x 3.5mm PN 8 - 4m</t>
  </si>
  <si>
    <t>Ống Upvc D90*3.5, PN8</t>
  </si>
  <si>
    <t>Đáp ứng đường kính ngoài
Ống uPVC hệ mét(ISO) DN 75 x 2.9mm PN 8 - 4m</t>
  </si>
  <si>
    <t>Ống Upvc D75*2.9, PN8</t>
  </si>
  <si>
    <t>Đáp ứng đường kính ngoài
Ống uPVC hệ mét(ISO) DN 60 x 2.3mm PN 8 - 4m</t>
  </si>
  <si>
    <t>Ống Upvc D60*2.3, PN8</t>
  </si>
  <si>
    <t>Đáp ứng đường kính ngoài
Ống uPVC hệ mét(ISO) DN 48 x 1.9mm PN 8 - 4m</t>
  </si>
  <si>
    <t>Ống Upvc D48*1.9, PN8</t>
  </si>
  <si>
    <t>Đáp ứng đường kính ngoài
Ống uPVC hệ mét(ISO) DN 42 x 1.7mm PN 8 - 4m</t>
  </si>
  <si>
    <t>Ống Upvc D42*1.7, PN8</t>
  </si>
  <si>
    <t>Đáp ứng đường kính ngoài</t>
  </si>
  <si>
    <t>Ống Upvc D250*7.3, PN6</t>
  </si>
  <si>
    <t>Ống Upvc D140*4.1, PN6</t>
  </si>
  <si>
    <t>Ống Upvc D110*3.2, PN6</t>
  </si>
  <si>
    <t>Ống Upvc D90*2.7, PN6</t>
  </si>
  <si>
    <t>Ống Upvc D75*2.9, PN6</t>
  </si>
  <si>
    <t>Ống Upvc D48*1.6, PN6</t>
  </si>
  <si>
    <t>Đáp ứng đường kính ngoài
PN10</t>
  </si>
  <si>
    <t>Ba chạc 45 độ - thoát D280</t>
  </si>
  <si>
    <t>Ba chạc 45 độ - thoát D280
Bạc chuyển bậc D280/250</t>
  </si>
  <si>
    <t>Ba chạc 45 độ - thoát D250</t>
  </si>
  <si>
    <t>Ba chạc 45 độ chuyên bậc - thoát D250/200</t>
  </si>
  <si>
    <t>Ba chạc 45 độ chuyên bậc - thoát D250/180</t>
  </si>
  <si>
    <t>Đáp ứng đường kính ngoài
PN16</t>
  </si>
  <si>
    <t>Ba chạc 45 độ - thoát D200</t>
  </si>
  <si>
    <t>Ba chạc 45 độ - thoát D200
Bạc chuyển bậc D200/180</t>
  </si>
  <si>
    <t>Ba chạc 45 độ chuyên bậc - thoát D200-125</t>
  </si>
  <si>
    <t xml:space="preserve">Đáp ứng đường kính ngoài
</t>
  </si>
  <si>
    <t>Ba chạc 45 độ chuyên bậc - thoát D200/160</t>
  </si>
  <si>
    <t>Ba chạc 45 độ chuyên bậc - thoát D200/140</t>
  </si>
  <si>
    <t>Ba chạc 45 độ - thoát D180</t>
  </si>
  <si>
    <t>Ba chạc 45 độ - thoát D180
Bạc chuyển bậc D180/160</t>
  </si>
  <si>
    <t>Ba chạc 45 độ - thoát D180
Bạc chuyển bậc D180/140</t>
  </si>
  <si>
    <t>Ba chạc 45 độ - thoát D160</t>
  </si>
  <si>
    <t>Ba chạc 45 độ - thoát D160
Bạc chuyển bậc D160/140</t>
  </si>
  <si>
    <t>Ba chạc 45 độ - thoát D160
Bạc chuyển bậc D160/125</t>
  </si>
  <si>
    <t>Ba chạc 45 độ chuyên bậc - thoát D160/110</t>
  </si>
  <si>
    <t>Ba chạc 45 độ chuyên bậc - thoát D160/90</t>
  </si>
  <si>
    <t>Ba chạc 45 độ - thoát D140</t>
  </si>
  <si>
    <t>Ba chạc 45 độ - thoát D140
Bạc chuyển bậc D140/125</t>
  </si>
  <si>
    <t>Ba chạc 45 độ chuyên bậc - thoát D140/110</t>
  </si>
  <si>
    <t>Ba chạc 45 độ chuyên bậc - thoát D140/90</t>
  </si>
  <si>
    <t>Ba chạc 45 độ chuyên bậc - thoát D125/110</t>
  </si>
  <si>
    <t>Ba chạc 45 độ chuyên bậc - thoát D125/90</t>
  </si>
  <si>
    <t>Ba chạc 45 độ - thoát D110</t>
  </si>
  <si>
    <t>Ba chạc 45 độ chuyên bậc - thoát D110/90</t>
  </si>
  <si>
    <t>Ba chạc 45 độ chuyên bậc - thoát D110/75</t>
  </si>
  <si>
    <t>Ba chạc 45 độ chuyên bậc - thoát D110/60</t>
  </si>
  <si>
    <t>Ba chạc 45 độ - thoát D90</t>
  </si>
  <si>
    <t>Ba chạc 45 độ chuyên bậc - thoát D90-42</t>
  </si>
  <si>
    <t>Ba chạc 45 độ - thoát D75</t>
  </si>
  <si>
    <t>Ba chạc 45 độ chuyên bậc - thoát D75-60
Bạc chuyển bậc D60/42</t>
  </si>
  <si>
    <t>Ba chạc 45 độ chuyên bậc - thoát D140/75</t>
  </si>
  <si>
    <t>Ba chạc 45 độ - thoát D125</t>
  </si>
  <si>
    <t>Ba chạc 45 độ chuyên bậc - thoát D90/D75</t>
  </si>
  <si>
    <t>Ba chạc 45 độ chuyên bậc - thoát D75-60
Bạc chuyển bậc D60/48</t>
  </si>
  <si>
    <t>Nổi góc 45 độ D280</t>
  </si>
  <si>
    <t>Nổi góc 45 độ D250</t>
  </si>
  <si>
    <t>Đáp ứng đường kính ngoài
PN12.5</t>
  </si>
  <si>
    <t>Nổi góc 45 độ D200</t>
  </si>
  <si>
    <t>Nổi góc 45 độ D180</t>
  </si>
  <si>
    <t>Nổi góc 45 độ D160</t>
  </si>
  <si>
    <t>Nổi góc 45 độ D140</t>
  </si>
  <si>
    <t>Nổi góc 45 độ D125</t>
  </si>
  <si>
    <t>Nổi góc 45 độ D110</t>
  </si>
  <si>
    <t>Nổi góc 45 độ D90</t>
  </si>
  <si>
    <t>Nổi góc 45 độ D60</t>
  </si>
  <si>
    <t>Nổi góc 45 độ D48</t>
  </si>
  <si>
    <t>Nổi góc 45 độ D75</t>
  </si>
  <si>
    <t>Nổi góc 45 độ D42</t>
  </si>
  <si>
    <t>Đáp ứng đường kính ngoài
PN6</t>
  </si>
  <si>
    <t>Nối góc 90 độ D250</t>
  </si>
  <si>
    <t>Nối góc 90 độ D200</t>
  </si>
  <si>
    <t>Nối góc 90 độ D160</t>
  </si>
  <si>
    <t>Đáp ứng đường kính ngoài
PN12,5</t>
  </si>
  <si>
    <t>Nối góc 90 độ D140</t>
  </si>
  <si>
    <t>Đáp ứng đường kính ngoài
PN8</t>
  </si>
  <si>
    <t>Nối góc 90 độ D110</t>
  </si>
  <si>
    <t>Nối góc 90 độ D90</t>
  </si>
  <si>
    <t>Nối góc 90 độ D60</t>
  </si>
  <si>
    <t>Nối góc 90 độ D48</t>
  </si>
  <si>
    <t>Nối góc 90 độ D42</t>
  </si>
  <si>
    <t>Ba chạc 90 độ D280
BẠC nối chuyển bậc 280-200
Đầu nối chuyển bậc D200-140</t>
  </si>
  <si>
    <t>Ba chạc 90 độ chuyên bậc D200-160
Đầu nối chuyển bậc D160-140</t>
  </si>
  <si>
    <t>Ba chạc 90 độ D140</t>
  </si>
  <si>
    <t>Ba chạc 90 độ chuyên bậc D140-110</t>
  </si>
  <si>
    <t>Ba chạc 90 độ chuyên bậc D140-90</t>
  </si>
  <si>
    <t>Ba chạc 90 độ chuyên bậc D180-90</t>
  </si>
  <si>
    <t>Ba chạc 90 độ chuyên bậc D160-90</t>
  </si>
  <si>
    <t>Ba chạc 90 độ D110</t>
  </si>
  <si>
    <t>Ba chạc 90 độ chuyên bậc D110-90</t>
  </si>
  <si>
    <t>Ba chạc 90 độ D90</t>
  </si>
  <si>
    <t>Ba chạc 90 độ chuyên bậc D90-75</t>
  </si>
  <si>
    <t>Ba chạc 90 độ chuyên bậc D90-48</t>
  </si>
  <si>
    <t>Ba chạc 90 độ D140/90
Đầu nối chuyển bậc d90-48</t>
  </si>
  <si>
    <t>Ba chạc 90 độ D125/90
Đầu nối chuyển bậc d90-75</t>
  </si>
  <si>
    <t>Ba chạc 90 độ D125-110
Đầu nối chuyển bậc D110-48</t>
  </si>
  <si>
    <t>Ba chạc 90 độ D110/48</t>
  </si>
  <si>
    <t>Ba chạc 90 độ D90/48</t>
  </si>
  <si>
    <t>Ba chạc 90 độ D75
Đầu nối chuyển bậc d75-48</t>
  </si>
  <si>
    <t>Ba chạc 90 độ D</t>
  </si>
  <si>
    <t>Ba chạc 90 độ D200</t>
  </si>
  <si>
    <t>Ba chạc 90 độ chuyên bậc D110/48</t>
  </si>
  <si>
    <t>Ba chạc 90 độ chuyên bậc D110/60</t>
  </si>
  <si>
    <t>Ba chạc 90 độ chuyên bậc D90/48</t>
  </si>
  <si>
    <t>Đầu nổi thắng phun D280</t>
  </si>
  <si>
    <t>Đầu nổi thắng phun D250</t>
  </si>
  <si>
    <t>Đầu nổi thắng phun D200</t>
  </si>
  <si>
    <t>Đầu nổi thắng phun D160</t>
  </si>
  <si>
    <t>Đầu nổi thắng phun D140</t>
  </si>
  <si>
    <t>Đầu nổi thắng phun D125</t>
  </si>
  <si>
    <t>Đầu nổi thắng phun D110</t>
  </si>
  <si>
    <t>Đầu nổi thắng phun D90</t>
  </si>
  <si>
    <t>Đầu nổi thắng phun D60</t>
  </si>
  <si>
    <t>Đầu nổi thắng phun D48</t>
  </si>
  <si>
    <t>Đầu nổi thắng phun D75</t>
  </si>
  <si>
    <t>Đầu nổi thắng phun D42</t>
  </si>
  <si>
    <t>Bạc chuyển bậc D280/200
Đầu nối chuyển bậc D200/125</t>
  </si>
  <si>
    <t>Đầu nối chuyển bậc D250-200
Đầu nối chuyển bậc D200-125</t>
  </si>
  <si>
    <t>Đầu nối chuyển bậc D200-125</t>
  </si>
  <si>
    <t xml:space="preserve">Đầu nối chuyển bậc D160/140 </t>
  </si>
  <si>
    <t>Đầu nối chuyển bậc D140/110</t>
  </si>
  <si>
    <t>Đầu nối chuyển bậc D110/48</t>
  </si>
  <si>
    <t>Đầu nối chuyển bậc D75/60</t>
  </si>
  <si>
    <t>Đầu nối chuyển bậc  D75/48</t>
  </si>
  <si>
    <t>Đáp ứng đường kính ngoài
PN9</t>
  </si>
  <si>
    <t>Đầu nối chuyển bậc D75/42</t>
  </si>
  <si>
    <t>Đầu nối chuyển bậc D60/42</t>
  </si>
  <si>
    <t>Đáp ứng đường kính ngoài
PN5</t>
  </si>
  <si>
    <t>Bịt xả thông tắc D280</t>
  </si>
  <si>
    <t>Bịt xả thông tắc D250</t>
  </si>
  <si>
    <t>Bịt xả thông tắc D200</t>
  </si>
  <si>
    <t>Bịt xả thông tắc D160</t>
  </si>
  <si>
    <t>Bịt xả thông tắc D140</t>
  </si>
  <si>
    <t>Bịt xả thông tắc D125</t>
  </si>
  <si>
    <t>Bịt xả thông tắc D110</t>
  </si>
  <si>
    <t>Bịt xả thông tắc D90</t>
  </si>
  <si>
    <t>Bịt xả thông tắc D75</t>
  </si>
  <si>
    <t>Bịt xả thông tắc D60</t>
  </si>
  <si>
    <t>Nút bịt D48</t>
  </si>
  <si>
    <t>Nút bịt D42</t>
  </si>
  <si>
    <t>Đáp ứng đường kính ngoài
5 bar</t>
  </si>
  <si>
    <t>Ba chạc 90 độ - thoát D280
Bịt xả thông tắc D280</t>
  </si>
  <si>
    <t>Ba chạc 45 độ - thoát D250
Bịt xả thông tắc D250</t>
  </si>
  <si>
    <t>Ba chạc 45 độ - thoát D200
Bịt xả thông tắc D200</t>
  </si>
  <si>
    <t>Ba chạc 45 độ - thoát D180
Bịt xả thông tắc D180</t>
  </si>
  <si>
    <t>Ba chạc 45 độ - thoát D160
Bịt xả thông tắc D160</t>
  </si>
  <si>
    <t>Ba chạc 45 độ - thoát D140
Bịt xả thông tắc D140</t>
  </si>
  <si>
    <t>Ba chạc 45 độ - thoát D125
Bịt xả thông tắc D125</t>
  </si>
  <si>
    <t>Ba chạc 45 độ - thoát D110
Bịt xả thông tắc D110</t>
  </si>
  <si>
    <t>Ba chạc 45 độ - thoát D90
Bịt xả thông tắc D90</t>
  </si>
  <si>
    <t>Ba chạc 45 độ - thoát Ống D75
Bịt xả thông tắc Ống D75</t>
  </si>
  <si>
    <t>Siphong TC ISO3633 D90</t>
  </si>
  <si>
    <t>Siphong TC ISO3633 D75</t>
  </si>
  <si>
    <t>Siphong TC ISO3633 D48</t>
  </si>
  <si>
    <t>Siphong TC ISO3633 D42</t>
  </si>
  <si>
    <t>Bao gồm dây mềm,2 van cổng PPR, van 1 chiều tích hợp theo máy và móc đỡ máy</t>
  </si>
  <si>
    <t>RAPIDO 30 HE
Kiểu: CO
Pre-order</t>
  </si>
  <si>
    <t>Ferroli, Tiền Phong</t>
  </si>
  <si>
    <t>HBO 50
Kiểu : CO
Pre-order</t>
  </si>
  <si>
    <t>Nhà thầu chỉ lắp đặt chủ đầu tư cung cấp thiết bị</t>
  </si>
  <si>
    <t>Vòi rửa</t>
  </si>
  <si>
    <t>Tận dùng toàn bộ đất đào lên để lắp ống</t>
  </si>
  <si>
    <t>Không bao gồm ron trương nở,
Gía ron trương nở theo đầu mục chống thấm cổ ống</t>
  </si>
  <si>
    <t>Sleeve D140</t>
  </si>
  <si>
    <t>Sleeve D90</t>
  </si>
  <si>
    <t>Chi phí đấu nối nước cấp vào hệ thống thủy cục</t>
  </si>
  <si>
    <t>Polyseam Ltd</t>
  </si>
  <si>
    <t>Anh</t>
  </si>
  <si>
    <t>Specified Technologies Inc
(STI)</t>
  </si>
  <si>
    <t>Hoa Kỳ</t>
  </si>
  <si>
    <t xml:space="preserve">PHẦN THIẾT BỊ, PHỤ KIỆN CHÍNH </t>
  </si>
  <si>
    <t>Van cửa (PN25)</t>
  </si>
  <si>
    <t>Ống lồng bằng thép mạ kẽm</t>
  </si>
  <si>
    <t>Phễu thu sàn (tầng hầm)</t>
  </si>
  <si>
    <t>Đào lấp đát</t>
  </si>
  <si>
    <t>Gối đỡ bê tông</t>
  </si>
  <si>
    <t>Chụp thông hơi D250</t>
  </si>
  <si>
    <t>Chụp thông hơi D140</t>
  </si>
  <si>
    <t>Chụp thông hơi D110</t>
  </si>
  <si>
    <t>Chụp thông hơi D90</t>
  </si>
  <si>
    <t>Vòi rửa (kèm phụ kiện) cho máy giặt</t>
  </si>
  <si>
    <t>Khối lượng cắt, đục tường</t>
  </si>
  <si>
    <t>Hệ</t>
  </si>
  <si>
    <t>Hệ</t>
  </si>
  <si>
    <t>Lần</t>
  </si>
  <si>
    <t>Khối lượng cắt đục tường</t>
  </si>
  <si>
    <t>Đại Phúc/ Thanh Xuân</t>
  </si>
  <si>
    <t>Hộp kín 6 mặt tiêu âm dày 50mm (bông rockwool tỷ trọng 80kg/m3; tôn dày 0.48mm), không vách, kích thước tôn mạ kẽm 1500x1500H1000</t>
  </si>
  <si>
    <t>THS-Z08 0.95</t>
  </si>
  <si>
    <t>Hộp tiêu âm bọc ngoài quạt 1500x1500H1000</t>
  </si>
  <si>
    <t>SUS304-2B 0.5</t>
  </si>
  <si>
    <t>Posco</t>
  </si>
  <si>
    <t/>
  </si>
  <si>
    <t>Inox 304-0.5</t>
  </si>
  <si>
    <t>Lớp bọc ngoài cho ống vuông thẳng KT phần vỏ: 1240x1040</t>
  </si>
  <si>
    <t>Lớp bọc ngoài cho ống vuông thẳng KT phần vỏ: 1240x540</t>
  </si>
  <si>
    <t>Lớp bọc ngoài cho ống vuông thẳng KT phần vỏ: 1140x640</t>
  </si>
  <si>
    <t>Lớp bọc ngoài cho ống vuông thẳng KT phần vỏ: 1090x1090</t>
  </si>
  <si>
    <t>Lớp bọc ngoài cho ống vuông thẳng KT phần vỏ: 1040x640</t>
  </si>
  <si>
    <t>Lớp bọc ngoài cho ống vuông thẳng KT phần vỏ: 1040x540</t>
  </si>
  <si>
    <t>Lớp bọc ngoài cho ống vuông thẳng KT phần vỏ: 1040x340</t>
  </si>
  <si>
    <t>Lớp bọc ngoài cho ống vuông thẳng KT phần vỏ: 940x640</t>
  </si>
  <si>
    <t>Lớp bọc ngoài cho ống vuông thẳng KT phần vỏ: 890x740</t>
  </si>
  <si>
    <t>Lớp bọc ngoài cho ống vuông thẳng KT phần vỏ: 740x640</t>
  </si>
  <si>
    <t>Ba chạc cong 88độ CB phun uPVC (TN-3633) DN 140-125</t>
  </si>
  <si>
    <t>Ba chạc cong 88độ CB phun uPVC (TN-3633) DN 125-90</t>
  </si>
  <si>
    <t>Nối thẳng CB phun uPVC ISO DN 125-90 PN6</t>
  </si>
  <si>
    <t>Nối góc 90độ phun uPVC ISO DN 140 PN6</t>
  </si>
  <si>
    <t>Nối góc 90độ phun uPVC ISO DN 125 PN6</t>
  </si>
  <si>
    <t>Nối góc 90độ phun uPVC ISO DN 90 PN6</t>
  </si>
  <si>
    <t xml:space="preserve"> Ống uPVC DN140 x 6.7mm PN6</t>
  </si>
  <si>
    <t xml:space="preserve"> Ống uPVC DN125 x 6mm PN6</t>
  </si>
  <si>
    <t xml:space="preserve"> Ống uPVC DN90 x 4.3mm PN6</t>
  </si>
  <si>
    <t>Thái Lan</t>
  </si>
  <si>
    <t>Ống tiêu âm dày 50mm (bông rockwool tỷ trọng 50kg.m3; tôn soi lỗ dày 0.48mm), không vách, kích thước tôn mạ kẽm 1100x400L1500</t>
  </si>
  <si>
    <t>Z08 0.95</t>
  </si>
  <si>
    <t>Eusteel/ Thanh Xuân</t>
  </si>
  <si>
    <t>Z08-0.75</t>
  </si>
  <si>
    <t>Ống tiêu âm dày 50mm (bông rockwool tỷ trọng 50kg.m3; tôn soi lỗ dày 0.48mm), không vách, kích thước tôn mạ kẽm 900x400L1000</t>
  </si>
  <si>
    <t>Z08 0.75</t>
  </si>
  <si>
    <t>Ống tiêu âm dày 50mm (bông rockwool tỷ trọng 50kg.m3; tôn soi lỗ dày 0.48mm), không vách, kích thước tôn mạ kẽm 800x400L1000</t>
  </si>
  <si>
    <t>Ống tiêu âm dày 50mm (bông rockwool tỷ trọng 50kg.m3; tôn soi lỗ dày 0.48mm), không vách, kích thước tôn mạ kẽm 750x500L1500</t>
  </si>
  <si>
    <t>Ống tiêu âm dày 50mm (bông rockwool tỷ trọng 50kg.m3; tôn soi lỗ dày 0.48mm), không vách, kích thước tôn mạ kẽm 700x300L1200</t>
  </si>
  <si>
    <t>Ống tiêu âm dày 50mm (bông rockwool tỷ trọng 50kg.m3; tôn soi lỗ dày 0.48mm), không vách, kích thước tôn mạ kẽm 700x400L1200</t>
  </si>
  <si>
    <t>Ống tiêu âm dày 50mm (bông rockwool tỷ trọng 50kg.m3; tôn soi lỗ dày 0.48mm), không vách, kích thước tôn mạ kẽm 700x350L1000</t>
  </si>
  <si>
    <t>Ống tiêu âm dày 50mm (bông rockwool tỷ trọng 50kg.m3; tôn soi lỗ dày 0.48mm), không vách, kích thước tôn mạ kẽm 600x350L1000</t>
  </si>
  <si>
    <t>Ống tiêu âm dày 50mm (bông rockwool tỷ trọng 50kg.m3; tôn soi lỗ dày 0.48mm), không vách, kích thước tôn mạ kẽm 500x350L1000</t>
  </si>
  <si>
    <t>Ống tiêu âm dày 50mm (bông rockwool tỷ trọng 50kg/m3; tôn soi lỗ dày 0.48mm), không vách, kích thước tôn mạ kẽm 1100x450L1500</t>
  </si>
  <si>
    <t>Z08-0.95</t>
  </si>
  <si>
    <t>Ống tiêu âm dày 50mm (bông rockwool tỷ trọng 50kg/m3; tôn soi lỗ dày 0.48mm), không vách, kích thước tôn mạ kẽm 600x300L1200</t>
  </si>
  <si>
    <t>Ống tiêu âm dày 50mm (bông rockwool tỷ trọng 50kg/m3; tôn soi lỗ dày 0.48mm), không vách, kích thước tôn mạ kẽm 2600x550L2000</t>
  </si>
  <si>
    <t>Z08 1.15</t>
  </si>
  <si>
    <t>Ống tiêu âm dày 50mm (bông rockwool tỷ trọng 50kg/m3; tôn soi lỗ dày 0.48mm), không vách, kích thước tôn mạ kẽm 1900x450L1500</t>
  </si>
  <si>
    <t>Ống tiêu âm dày 50mm (bông rockwool tỷ trọng 50kg/m3; tôn soi lỗ dày 0.48mm), không vách, kích thước tôn mạ kẽm 1500x550L1500</t>
  </si>
  <si>
    <t>Quạt hướng trục Inline</t>
  </si>
  <si>
    <t>Wolter</t>
  </si>
  <si>
    <t>DEF 25200-4</t>
  </si>
  <si>
    <t>Quạt gắn trần</t>
  </si>
  <si>
    <t>CPM 1212</t>
  </si>
  <si>
    <t>CPM 1515</t>
  </si>
  <si>
    <t>TH Vinasun</t>
  </si>
  <si>
    <t>VNS-CF2-10T 
động cơ ATT IE3</t>
  </si>
  <si>
    <t>Quạt ly tâm, DC chịu nhiệt 300 độ/2h</t>
  </si>
  <si>
    <t>Lưu lượng: 54000m3/h, Cột áp: 1200Pa</t>
  </si>
  <si>
    <t>VNS-CF1-8T
động cơ ATT IE3</t>
  </si>
  <si>
    <t>Lưu lượng: 43000m3/h, Cột áp: 900Pa</t>
  </si>
  <si>
    <t>VNS-AF5-10.5T
động cơ ATT IE3</t>
  </si>
  <si>
    <t>Quạt hướng trục</t>
  </si>
  <si>
    <t>Lưu lượng: 62000m3/h, Cột áp: 800Pa</t>
  </si>
  <si>
    <t>VNS-AF5-9T
Động cơ ATT IE3</t>
  </si>
  <si>
    <t>Lưu lượng: 58000m3/h, Cột áp: 700Pa</t>
  </si>
  <si>
    <t>VNS-AF5-6.5T
động cơ ATT IE3</t>
  </si>
  <si>
    <t>Lưu lượng: 15500m3/h, Cột áp: 450Pa</t>
  </si>
  <si>
    <t>VNS-AF5B-7T
động cơ ATT IE3</t>
  </si>
  <si>
    <t>Lưu lượng: 26000m3/h, Cột áp: 700Pa</t>
  </si>
  <si>
    <t>VNS-AF5-8T
động cơ ATT IE3</t>
  </si>
  <si>
    <t>Lưu lượng: 36000m3/h, Cột áp: 700Pa</t>
  </si>
  <si>
    <t>VNS-CF1-8T động cơ ATT IE3</t>
  </si>
  <si>
    <t>Quạt ly tâm, ĐC chịu nhiệt 300 độ/2h</t>
  </si>
  <si>
    <t>Lưu lượng: 32500m3/h, Cột áp: 700Pa</t>
  </si>
  <si>
    <t>VNS-CF1-8T 
động cơ ATT IE3</t>
  </si>
  <si>
    <t>Lưu lượng: 29000m3/h, Cột áp: 700Pa</t>
  </si>
  <si>
    <t>VNS-FPC-900T 
động cơ ATT IE3</t>
  </si>
  <si>
    <t>Quạt ly tâm,ĐC chịu nhiệt 300 độ/2h</t>
  </si>
  <si>
    <t>Lưu lượng: 54000m3/h, Cột áp: 650Pa</t>
  </si>
  <si>
    <t>Quạt hướng trục,ĐC chịu nhiệt 300 độ/2h</t>
  </si>
  <si>
    <t>Lưu lượng: 33500m3/h, Cột áp: 650Pa</t>
  </si>
  <si>
    <t>VNS-AF5-7T
Động cơ ATT IE3</t>
  </si>
  <si>
    <t>Lưu lượng: 18500m3/h, Cột áp: 400Pa</t>
  </si>
  <si>
    <t>VNS-AF5-5T
động cơ ATT IE3</t>
  </si>
  <si>
    <t>Lưu lượng: 8000m3/h, Cột áp: 350Pa</t>
  </si>
  <si>
    <t>Lưu lượng: 17000m3/h, Cột áp: 450Pa</t>
  </si>
  <si>
    <t>VNS-AF5-6T
động cơ ATT IE3</t>
  </si>
  <si>
    <t>Lưu lượng: 10000m3/h, Cột áp: 200Pa</t>
  </si>
  <si>
    <t>Lưu lượng: 21000m3/h, Cột áp: 450Pa</t>
  </si>
  <si>
    <t>Lưu lượng: 20500m3/h, Cột áp: 450Pa</t>
  </si>
  <si>
    <t>Lưu lượng: 27000m3/h, Cột áp: 500Pa</t>
  </si>
  <si>
    <t>Quạt hướng trục
Cánh ly tâm
ĐC chịu nhiệt 300 độ/2h</t>
  </si>
  <si>
    <t>Lưu lượng: 23000m3/h, Cột áp: 450Pa</t>
  </si>
  <si>
    <t xml:space="preserve">VNS-CF4-10T 
Động cơ ATT IE3 </t>
  </si>
  <si>
    <t>Quạt ly tâm 2 tốc độ, ĐC chịu nhiệt 300 độ/2h</t>
  </si>
  <si>
    <t>Lưu lượng: 41000/62000m3/h, Cột áp: 450/1012Pa</t>
  </si>
  <si>
    <t xml:space="preserve">VNS-CF4-8T 
Động cơ ATT IE3   </t>
  </si>
  <si>
    <t>Lưu lượng: 20500/31000m3/h, Cột áp: 400/900Pa</t>
  </si>
  <si>
    <t>Lưu lượng: 13500m3/h, Cột áp: 450Pa</t>
  </si>
  <si>
    <t>VNS-CF4-10T 
động cơ ATT IE3</t>
  </si>
  <si>
    <t>Lưu lượng: 39000/58500m3/h, Cột áp: 450/1012Pa</t>
  </si>
  <si>
    <t xml:space="preserve">VNS-CF4-8T 
Động cơ ATT IE3 </t>
  </si>
  <si>
    <t>VNS-FPC-450T
động cơ ATT IE3</t>
  </si>
  <si>
    <t>Quạt ly tâm</t>
  </si>
  <si>
    <t>Lưu lượng: 4500m3/h, Cột áp: 400Pa</t>
  </si>
  <si>
    <t>VNS-CF1-9T
động cơ ATT IE3</t>
  </si>
  <si>
    <t>Lưu lượng: 50000m3/h, Cột áp: 600Pa</t>
  </si>
  <si>
    <t>VNS-FPC-820T 
động cơ ATT IE3</t>
  </si>
  <si>
    <t>Lưu lượng: 30000m3/h, Cột áp: 550Pa</t>
  </si>
  <si>
    <t>VNS-AF9-4T</t>
  </si>
  <si>
    <t>Quạt hướng trục vuông, kt 400x400x320mm</t>
  </si>
  <si>
    <t>Lưu lượng: 3500m3/h, Cột áp: 50Pa</t>
  </si>
  <si>
    <t>Lưu lượng: 2000m3/h, Cột áp: 50Pa</t>
  </si>
  <si>
    <t>VNS-AV6-30</t>
  </si>
  <si>
    <t>Quạt gắn tường</t>
  </si>
  <si>
    <t>Lưu lượng: 1200m3/h, Cột áp: 50Pa</t>
  </si>
  <si>
    <t>Lưu lượng: 7000m3/h, Cột áp: 450Pa</t>
  </si>
  <si>
    <t>VNS-10-11</t>
  </si>
  <si>
    <t>Lưu lượng: 100m3/h, Cột áp: 50Pa</t>
  </si>
  <si>
    <t xml:space="preserve">VNS-DP200 </t>
  </si>
  <si>
    <t>Quạt hướng trục, miệng ống phi 195, độ ồn 43Db</t>
  </si>
  <si>
    <t>Lưu lượng: 700m3/h, Cột áp: 150Pa</t>
  </si>
  <si>
    <t>VNS-AV6-25</t>
  </si>
  <si>
    <t>Lưu lượng: 650m3/h, Cột áp: 25Pa</t>
  </si>
  <si>
    <t>Lưu lượng: 26000m3/h, Cột áp: 300Pa</t>
  </si>
  <si>
    <t>VNS-VF-380S
Động cơ ATT IE3</t>
  </si>
  <si>
    <t>Quạt ly tâm dạng hộp độ ồn thấp, ĐC IE3</t>
  </si>
  <si>
    <t>Lưu lượng: 4000m3/h, Cột áp: 300Pa</t>
  </si>
  <si>
    <t>Lưu lượng: 6500m3/h, Cột áp: 300Pa</t>
  </si>
  <si>
    <t>Lưu lượng: 4500m3/h, Cột áp: 300Pa</t>
  </si>
  <si>
    <t xml:space="preserve">VNS-VF-355SI </t>
  </si>
  <si>
    <t>Quạt ly tâm dạng hộp độ ồn thấp</t>
  </si>
  <si>
    <t>Lưu lượng: 2200m3/h, Cột áp: 300Pa</t>
  </si>
  <si>
    <t>VNS-AF5-5.5T
động cơ ATT IE3</t>
  </si>
  <si>
    <t>Lưu lượng: 9500m3/h, Cột áp: 300Pa</t>
  </si>
  <si>
    <t>Lưu lượng: 700m3/h, Cột áp: 250Pa</t>
  </si>
  <si>
    <t xml:space="preserve">VNS-DP250 </t>
  </si>
  <si>
    <t>Quạt hướng trục, miệng ống phi 245, độ ồn 66Db</t>
  </si>
  <si>
    <t>Lưu lượng: 1200m3/h, Cột áp: 250Pa</t>
  </si>
  <si>
    <t>Lưu lượng: 750m3/h, Cột áp: 250Pa</t>
  </si>
  <si>
    <t>Lưu lượng: 2000m3/h, Cột áp: 250Pa</t>
  </si>
  <si>
    <t>Lưu lượng: 1300m3/h, Cột áp: 250Pa</t>
  </si>
  <si>
    <t>Lưu lượng: 5000m3/h, Cột áp: 350Pa</t>
  </si>
  <si>
    <t>Lưu lượng: 2200m3/h, Cột áp: 250Pa</t>
  </si>
  <si>
    <t>Lưu lượng: 600m3/h, Cột áp: 150Pa</t>
  </si>
  <si>
    <t>Lưu lượng: 1000m3/h, Cột áp: 50Pa</t>
  </si>
  <si>
    <t>VNS-AV6-15</t>
  </si>
  <si>
    <t>Lưu lượng: 150m3/h, Cột áp: 20Pa</t>
  </si>
  <si>
    <t>Lưu lượng: 1300m3/h, Cột áp: 150Pa</t>
  </si>
  <si>
    <t>VNS-VF-315SI</t>
  </si>
  <si>
    <t>Lưu lượng: 3500m3/h, Cột áp: 300Pa</t>
  </si>
  <si>
    <t>Lưu lượng: 2000m3/h, Cột áp: 200Pa</t>
  </si>
  <si>
    <t>Lưu lượng: 3800m3/h, Cột áp: 300Pa</t>
  </si>
  <si>
    <t>Lưu lượng: 2500m3/h, Cột áp: 250Pa</t>
  </si>
  <si>
    <t>Lưu lượng: 500m3/h, Cột áp: 150Pa</t>
  </si>
  <si>
    <t>Lưu lượng: 5500m3/h, Cột áp: 300Pa</t>
  </si>
  <si>
    <t>VNS-VF-320S
Động cơ ATT IE3</t>
  </si>
  <si>
    <t>Quạt ly tâm dạng hộp độ ồn thấp, Động cơ IE3</t>
  </si>
  <si>
    <t>Lưu lượng: 3000m3/h, Cột áp: 250Pa</t>
  </si>
  <si>
    <t>Lưu lượng: 5000m3/h, Cột áp: 300Pa</t>
  </si>
  <si>
    <t xml:space="preserve">VNS-VF-315SI </t>
  </si>
  <si>
    <t>Lưu lượng: 1800m3/h, Cột áp: 250Pa</t>
  </si>
  <si>
    <t>Lưu lượng: 1000m3/h, Cột áp: 200Pa</t>
  </si>
  <si>
    <t>Lưu lượng: 41000m3/h, Cột áp: 450Pa</t>
  </si>
  <si>
    <t>Lưu lượng: 20500m3/h, Cột áp: 400Pa</t>
  </si>
  <si>
    <t>VNS-VF-400S
động cơ ATT IE3</t>
  </si>
  <si>
    <t>Lưu lượng: 6500m3/h, Cột áp: 400Pa</t>
  </si>
  <si>
    <t>VNS-AV6-20</t>
  </si>
  <si>
    <t>Lưu lượng: 450m3/h, Cột áp: 25Pa</t>
  </si>
  <si>
    <t>VNS-AF5-8T
Động cơ ATT IE3</t>
  </si>
  <si>
    <t>Lưu lượng: 39000m3/h, Cột áp: 400Pa</t>
  </si>
  <si>
    <t>Lưu lượng: 350m3/h, Cột áp: 25Pa</t>
  </si>
  <si>
    <t>Lưu lượng: 250m3/h, Cột áp: 20Pa</t>
  </si>
  <si>
    <t>Taisei</t>
  </si>
  <si>
    <t>Ống gió mềm cách nhiệt BTT D250x32KG/M3</t>
  </si>
  <si>
    <t>Ống gió mềm cách nhiệt BTT D200x 32KG/M3</t>
  </si>
  <si>
    <t>Ống gió mềm không cách nhiệt  D200</t>
  </si>
  <si>
    <t>Ống gió mềm không cách nhiệt  D150</t>
  </si>
  <si>
    <t>Ống gió mềm không cách nhiệt  D100</t>
  </si>
  <si>
    <t>Ống gió mềm cách nhiệt BTT D300x32KG/M3</t>
  </si>
  <si>
    <t>Ống gió mềm cách nhiệt BTT D400x32KG/M3</t>
  </si>
  <si>
    <t>Ống gió mềm cách nhiệt BTT D350x32KG/M3</t>
  </si>
  <si>
    <t>Z08 0.48</t>
  </si>
  <si>
    <t>Z08-0.58</t>
  </si>
  <si>
    <t>Côn 300x200/D400L150</t>
  </si>
  <si>
    <t>Côn 200x150/D200L150</t>
  </si>
  <si>
    <t>Côn 200x100/D200L150</t>
  </si>
  <si>
    <t>Côn 100x100/D100L150</t>
  </si>
  <si>
    <t>Chân rẽ 300x150/200x150L100</t>
  </si>
  <si>
    <t>Chân rẽ 300x100/200x100L100</t>
  </si>
  <si>
    <t>Chân rẽ 250x150/150x150L100</t>
  </si>
  <si>
    <t>Chân rẽ 250x100/150x100L100</t>
  </si>
  <si>
    <t>Chân rẽ 200x100/100x100L100</t>
  </si>
  <si>
    <t>Côn 300x200/200x100L150</t>
  </si>
  <si>
    <t>Côn 300x200/200x200L150</t>
  </si>
  <si>
    <t>Côn 200x100/150x100L100</t>
  </si>
  <si>
    <t>Côn 200x150/150x100L100</t>
  </si>
  <si>
    <t>Côn 150x150/100x100L100</t>
  </si>
  <si>
    <t>Côn 150x100/100x100L100</t>
  </si>
  <si>
    <t>Cút 90 độ 300x200R150</t>
  </si>
  <si>
    <t>Z08 0.58</t>
  </si>
  <si>
    <t>Cút 90 độ 200x100R100</t>
  </si>
  <si>
    <t>Cút 90 độ 150x100R75</t>
  </si>
  <si>
    <t>Cút 90 độ 100x100R50</t>
  </si>
  <si>
    <t xml:space="preserve">Ống KT 150x150 </t>
  </si>
  <si>
    <t xml:space="preserve">Ống KT 200x200 </t>
  </si>
  <si>
    <t xml:space="preserve">Ống KT 300x200 </t>
  </si>
  <si>
    <t xml:space="preserve">Ống KT 200x150 </t>
  </si>
  <si>
    <t>Cút 45 độ 1200x700R200 + lưới chắn côn trùng INOX201</t>
  </si>
  <si>
    <t>Chạc ba 1200x700/1200x700/1200x700</t>
  </si>
  <si>
    <t>Cút 90 độ 1500x550R750</t>
  </si>
  <si>
    <t>SUS304-2B 1.0</t>
  </si>
  <si>
    <t>Cút 90 độ 1200x700R600</t>
  </si>
  <si>
    <t>Ống 1200x700</t>
  </si>
  <si>
    <t>Ống 1500x550</t>
  </si>
  <si>
    <t>Chân rẽ 700x300/500x300L150</t>
  </si>
  <si>
    <t>Chân rẽ 600x250/400x250L150</t>
  </si>
  <si>
    <t>Chân rẽ 550x200/350x200L100</t>
  </si>
  <si>
    <t>Chân rẽ 500x200/300x200L100</t>
  </si>
  <si>
    <t>Chân rẽ 450x250/250x250L100</t>
  </si>
  <si>
    <t>Chân rẽ 450x200/250x200L100</t>
  </si>
  <si>
    <t>Chân rẽ 450x200/D250L150</t>
  </si>
  <si>
    <t>Chân rẽ 400x200/200x200L100</t>
  </si>
  <si>
    <t>Chân rẽ 400x150/200x150L100</t>
  </si>
  <si>
    <t>Chân rẽ 400x100/200x100L100</t>
  </si>
  <si>
    <t>Chân rẽ 350x150/150x150L100</t>
  </si>
  <si>
    <t>Z08-1.15</t>
  </si>
  <si>
    <t>Chạc ba 600x300/400x250/400x250</t>
  </si>
  <si>
    <t>Chạc ba 350x250/250x200/250x200</t>
  </si>
  <si>
    <t>Chạc ba 200x150/150x150/150x150</t>
  </si>
  <si>
    <t>Chạc ba 1200x400/700x100/700x400</t>
  </si>
  <si>
    <t>Chạc ba 1000x300/500x250/500x250</t>
  </si>
  <si>
    <t>Chạc ba 900x400/500x300/500x300</t>
  </si>
  <si>
    <t>Chạc ba 700x300/400x250/400x250</t>
  </si>
  <si>
    <t>Chạc ba 650x300/500x300/250x150</t>
  </si>
  <si>
    <t>Chạc ba 600x300/450x200/350x250</t>
  </si>
  <si>
    <t>Chạc ba 500x300/350x200/350x200</t>
  </si>
  <si>
    <t>Chạc ba 500x250/400x250/200x150</t>
  </si>
  <si>
    <t>Chạc ba 500x250/400x200/200x200</t>
  </si>
  <si>
    <t>Chạc ba 500x250/250x200/250x200</t>
  </si>
  <si>
    <t>Chạc ba 400x250/250x200/250x200</t>
  </si>
  <si>
    <t>Chạc ba 300x200/250x200/250x200</t>
  </si>
  <si>
    <t>Chạc ba 250x200/200x150/200x150</t>
  </si>
  <si>
    <t>Chạc ba 200x200/200x150/150x150</t>
  </si>
  <si>
    <t>Côn 800x300/500x250L200</t>
  </si>
  <si>
    <t>Côn 700x300/600x300L150</t>
  </si>
  <si>
    <t>Côn 700x300/400x250L200</t>
  </si>
  <si>
    <t>Côn 600x300/300x250L150</t>
  </si>
  <si>
    <t>Côn 500x250/200x150L200</t>
  </si>
  <si>
    <t>Côn 450x250/350x250L150</t>
  </si>
  <si>
    <t>Côn 450x250/300x250L150</t>
  </si>
  <si>
    <t>Côn 400x250/250x250L150</t>
  </si>
  <si>
    <t>Côn 400x300/350x200L150</t>
  </si>
  <si>
    <t>Côn 300x250/250x200L150</t>
  </si>
  <si>
    <t>Côn 350x200/250x200L150</t>
  </si>
  <si>
    <t>Côn 350x200/150x150L150</t>
  </si>
  <si>
    <t>Côn 250x200/200x200L150</t>
  </si>
  <si>
    <t>Côn 650x300/500x250L150</t>
  </si>
  <si>
    <t>Côn 250x250/200x200L150</t>
  </si>
  <si>
    <t>Côn 800x300/700x300L150</t>
  </si>
  <si>
    <t>Côn 700x350/500x350L150</t>
  </si>
  <si>
    <t>Côn 600x300/400x300L150</t>
  </si>
  <si>
    <t>Côn 600x300/400x250L150</t>
  </si>
  <si>
    <t>Côn 600x250/500x250L150</t>
  </si>
  <si>
    <t>Côn 500x350/250x200L150</t>
  </si>
  <si>
    <t>Côn 500x300/400x300L150</t>
  </si>
  <si>
    <t>Côn 500x300/300x200L150</t>
  </si>
  <si>
    <t>Côn 500x250/400x250L150</t>
  </si>
  <si>
    <t>Côn 500x250/350x250L150</t>
  </si>
  <si>
    <t>Côn 500x250/300x250L150</t>
  </si>
  <si>
    <t>Côn 450x200/300x200L150</t>
  </si>
  <si>
    <t>Côn 400x250/350x200L150</t>
  </si>
  <si>
    <t>Côn 400x250/300x200L150</t>
  </si>
  <si>
    <t>Côn 400x250/250x200L150</t>
  </si>
  <si>
    <t>Côn 400x250/200x150L150</t>
  </si>
  <si>
    <t>Côn 400x200/250x200L150</t>
  </si>
  <si>
    <t>Côn 350x250/200x150L150</t>
  </si>
  <si>
    <t>Côn 300x200/250x200L150</t>
  </si>
  <si>
    <t>Côn 200x200/100x100L150</t>
  </si>
  <si>
    <t>Cút 90 độ 900x400R450</t>
  </si>
  <si>
    <t>Cút 90 độ 800x300R400</t>
  </si>
  <si>
    <t>Cút 90 độ 700x300R350</t>
  </si>
  <si>
    <t>Cút 90 độ 400x250R200</t>
  </si>
  <si>
    <t>Cút 90 độ 350x300R175</t>
  </si>
  <si>
    <t>Cút 90 độ 150x150R75</t>
  </si>
  <si>
    <t>Cút 90 độ 700x350R350</t>
  </si>
  <si>
    <t>Cút 90 độ 600x300R300</t>
  </si>
  <si>
    <t>Cút 90 độ 500x350R250</t>
  </si>
  <si>
    <t>Cút 90 độ 500x300R250</t>
  </si>
  <si>
    <t>Cút 90 độ 500x250R250</t>
  </si>
  <si>
    <t>Cút 90 độ 450x200R225</t>
  </si>
  <si>
    <t>Cút 90 độ 400x300R200</t>
  </si>
  <si>
    <t>Cút 90 độ 350x200R175</t>
  </si>
  <si>
    <t>Cút 90 độ 250x250R125</t>
  </si>
  <si>
    <t>Cút 90 độ 250x200R125</t>
  </si>
  <si>
    <t>Cút 90 độ 200x200R100</t>
  </si>
  <si>
    <t>Cút 90 độ 200x150R100</t>
  </si>
  <si>
    <t xml:space="preserve">Ống 800x250 </t>
  </si>
  <si>
    <t xml:space="preserve">Ống 350x300 </t>
  </si>
  <si>
    <t xml:space="preserve">Ống 300x300 </t>
  </si>
  <si>
    <t xml:space="preserve">Ống 300x250 </t>
  </si>
  <si>
    <t xml:space="preserve">Ống 1300x600 </t>
  </si>
  <si>
    <t xml:space="preserve">Ống 1200x400 </t>
  </si>
  <si>
    <t xml:space="preserve">Ống 1000x300 </t>
  </si>
  <si>
    <t xml:space="preserve">Ống 800x300 </t>
  </si>
  <si>
    <t xml:space="preserve">Ống 700x350 </t>
  </si>
  <si>
    <t xml:space="preserve">Ống 650x300 </t>
  </si>
  <si>
    <t xml:space="preserve">Ống 600x250 </t>
  </si>
  <si>
    <t xml:space="preserve">Ống 500x350 </t>
  </si>
  <si>
    <t xml:space="preserve">Ống 450x300 </t>
  </si>
  <si>
    <t xml:space="preserve">Ống 450x250 </t>
  </si>
  <si>
    <t xml:space="preserve">Ống 450x200 </t>
  </si>
  <si>
    <t xml:space="preserve">Ống 400x250 </t>
  </si>
  <si>
    <t xml:space="preserve">Ống 350x250 </t>
  </si>
  <si>
    <t xml:space="preserve">Ống 250x250 </t>
  </si>
  <si>
    <t xml:space="preserve">Ống 250x150 </t>
  </si>
  <si>
    <t xml:space="preserve">Ống 200x100 </t>
  </si>
  <si>
    <t xml:space="preserve">Ống 150x100 </t>
  </si>
  <si>
    <t xml:space="preserve">Ống 100x100 </t>
  </si>
  <si>
    <t>Hoa Sen</t>
  </si>
  <si>
    <t>Cút 2000x700R1000 + 5 cánh hướng dòng kép 400X700</t>
  </si>
  <si>
    <t>Cút 2200x700R1100 + 5 cánh hướng dòng kép 400X700</t>
  </si>
  <si>
    <t>Cút 2600x700R1400 + 6 cánh hướng dòng kép 400X700</t>
  </si>
  <si>
    <t>Cút 3200x700R1600 + 8 cánh hướng dòng kép 400X700</t>
  </si>
  <si>
    <t>Cút 3800x700R1900 + 10 cánh hướng dòng kép 400X700</t>
  </si>
  <si>
    <t>Chạc ba  1000x450/700x400/600x400</t>
  </si>
  <si>
    <t>Chạc ba  1000x350/900x350/700x350</t>
  </si>
  <si>
    <t>Chạc ba  900x400/600x400/500x300</t>
  </si>
  <si>
    <t>Chạc ba  700x350/500x250/500x250</t>
  </si>
  <si>
    <t>Chạc ba  350x200/250x200/250x200</t>
  </si>
  <si>
    <t>Chạc ba  250x200/250x150/250x150</t>
  </si>
  <si>
    <t>Chạc ba 200x200/200x150/200x150</t>
  </si>
  <si>
    <t>Côn 1400x450/1000x450L300</t>
  </si>
  <si>
    <t>Côn 1200x400/900x400L250</t>
  </si>
  <si>
    <t>Côn 900x300/700x300L200</t>
  </si>
  <si>
    <t>Côn 850x300/600x300L200</t>
  </si>
  <si>
    <t>Côn 700x300/500x250L150</t>
  </si>
  <si>
    <t>Côn 400x200/300x200L150</t>
  </si>
  <si>
    <t>Côn 400x200/200x200L150</t>
  </si>
  <si>
    <t>Cút 90 độ 2000x600R1000</t>
  </si>
  <si>
    <t>Cút 90 độ 850x300R425</t>
  </si>
  <si>
    <t>Cút 90 độ 600x400R300</t>
  </si>
  <si>
    <t>Cút 90 độ 500x200R250</t>
  </si>
  <si>
    <t>Cút 90 độ 400x200R200</t>
  </si>
  <si>
    <t>Cút 90 độ 1000x350R500</t>
  </si>
  <si>
    <t xml:space="preserve">Ống KT 1400x500 </t>
  </si>
  <si>
    <t xml:space="preserve">Ống KT 1200x400 </t>
  </si>
  <si>
    <t xml:space="preserve">Ống KT 2000x600 </t>
  </si>
  <si>
    <t xml:space="preserve">Ống KT 1700x600 </t>
  </si>
  <si>
    <t xml:space="preserve">Ống KT 1000x450 </t>
  </si>
  <si>
    <t xml:space="preserve">Ống KT 1000x350 </t>
  </si>
  <si>
    <t xml:space="preserve">Ống KT 900x400 </t>
  </si>
  <si>
    <t xml:space="preserve">Ống KT 900x300 </t>
  </si>
  <si>
    <t xml:space="preserve">Ống KT 850x300 </t>
  </si>
  <si>
    <t xml:space="preserve">Ống KT 700x400 </t>
  </si>
  <si>
    <t xml:space="preserve">Ống KT 700x300 </t>
  </si>
  <si>
    <t xml:space="preserve">Ống KT 500x400 </t>
  </si>
  <si>
    <t xml:space="preserve">Ống KT 600x400 </t>
  </si>
  <si>
    <t xml:space="preserve">Ống KT 600x300 </t>
  </si>
  <si>
    <t xml:space="preserve">Ống KT 600x200 </t>
  </si>
  <si>
    <t xml:space="preserve">Ống KT 500x300 </t>
  </si>
  <si>
    <t xml:space="preserve">Ống KT 500x250 </t>
  </si>
  <si>
    <t xml:space="preserve">Ống KT 500x200 </t>
  </si>
  <si>
    <t xml:space="preserve">Ống KT 400x300 </t>
  </si>
  <si>
    <t xml:space="preserve">Ống KT 400x200 </t>
  </si>
  <si>
    <t xml:space="preserve">Ống KT 350x200 </t>
  </si>
  <si>
    <t xml:space="preserve">Ống KT 300x300 </t>
  </si>
  <si>
    <t xml:space="preserve">Ống KT 250x200 </t>
  </si>
  <si>
    <t>Ống tròn xoắn D150</t>
  </si>
  <si>
    <t>Ống tròn xoắn D100</t>
  </si>
  <si>
    <t>Zet 900x300E200L800 (tạm tính) dày 0.95</t>
  </si>
  <si>
    <t>Zet 2500x450E200L800 (tạm tính) dày 1.15</t>
  </si>
  <si>
    <t>Côn 1400x350/900x300L300</t>
  </si>
  <si>
    <t>Côn 2000x400/1800x350L300</t>
  </si>
  <si>
    <t>Côn 1800x400/1600x350L300</t>
  </si>
  <si>
    <t>Côn 1800x350/1400x350L300</t>
  </si>
  <si>
    <t>Côn 1800x350/1400x300L300</t>
  </si>
  <si>
    <t>Côn 1600x350/1400x350L300</t>
  </si>
  <si>
    <t>Côn 1400x300/900x300L300</t>
  </si>
  <si>
    <t>Cút 1400x350R700</t>
  </si>
  <si>
    <t>Cút 1800x350R900</t>
  </si>
  <si>
    <t>Cút 1400x300R700</t>
  </si>
  <si>
    <t>Cút 900x300R450</t>
  </si>
  <si>
    <t xml:space="preserve">Ống KT 1000x600 </t>
  </si>
  <si>
    <t xml:space="preserve">Ống KT: 1700x3000 </t>
  </si>
  <si>
    <t xml:space="preserve">Ống KT: 1350x3000 </t>
  </si>
  <si>
    <t xml:space="preserve">Ống KT 2500x450 </t>
  </si>
  <si>
    <t xml:space="preserve">Ống KT 2000x400 </t>
  </si>
  <si>
    <t xml:space="preserve">Ống KT 1800x400 </t>
  </si>
  <si>
    <t xml:space="preserve">Ống KT 1800x350 </t>
  </si>
  <si>
    <t xml:space="preserve">Ống KT 1700x3200 </t>
  </si>
  <si>
    <t xml:space="preserve">Ống KT 1600x350 </t>
  </si>
  <si>
    <t xml:space="preserve">Ống KT 1400x350 </t>
  </si>
  <si>
    <t xml:space="preserve">Ống KT 1400x300 </t>
  </si>
  <si>
    <t>Ống KT 2270x2370</t>
  </si>
  <si>
    <t>Ống KT 1700x3200</t>
  </si>
  <si>
    <t>Ống KT: 1500x500</t>
  </si>
  <si>
    <t>Ống KT 1200x250</t>
  </si>
  <si>
    <t>Ống KT 1000x550</t>
  </si>
  <si>
    <t>Ống KT 1000x500</t>
  </si>
  <si>
    <t>Ống KT 900x600</t>
  </si>
  <si>
    <t>Ống KT 900x250</t>
  </si>
  <si>
    <t>Ống KT 800x500</t>
  </si>
  <si>
    <t>Ống KT 800x450</t>
  </si>
  <si>
    <t>Ống KT 700x600</t>
  </si>
  <si>
    <t>Ống KT 750x500</t>
  </si>
  <si>
    <t>Ống KT 700x300</t>
  </si>
  <si>
    <t>Ống KT 600x400</t>
  </si>
  <si>
    <t>Ống KT 550x550</t>
  </si>
  <si>
    <t>Ống KT 550x450</t>
  </si>
  <si>
    <t>Ống KT 500x500</t>
  </si>
  <si>
    <t>Cút 45 độ 1150x950575 + lưới chắn côn trùng INOX201</t>
  </si>
  <si>
    <t>Cút 45 độ 1050x1050R525 + lưới chắn côn trùng INOX201</t>
  </si>
  <si>
    <t>Cút 45 độ  900x600R450 + lưới chắn côn trùng INOX201</t>
  </si>
  <si>
    <t>Cút 45 độ 700x600R350 + lưới chắn côn trùng INOX201</t>
  </si>
  <si>
    <t>Cút 45 độ 1200x1000R600 + lưới chắn côn trùng INOX201</t>
  </si>
  <si>
    <t>Cút 45 độ 1200x600R600 + lưới chắn côn trùng INOX201</t>
  </si>
  <si>
    <t>Cút 45 độ 1000x500R500 + lưới chắn côn trùng INOX201</t>
  </si>
  <si>
    <t>Cút 45 độ 1000x300R500 + lưới chắn côn trùng INOX201</t>
  </si>
  <si>
    <t xml:space="preserve">Ống 1250x500 </t>
  </si>
  <si>
    <t xml:space="preserve">Ống 1100x600 </t>
  </si>
  <si>
    <t xml:space="preserve">Ống 1000x600 </t>
  </si>
  <si>
    <t>Ống 850x700</t>
  </si>
  <si>
    <t>Cút 45 độ 1100x600R550 + 1 đầu bịt lưới chắn côn trùng INOX201</t>
  </si>
  <si>
    <t>Cút 45 độ 800x550R400 + 1 đầu bịt lưới chắn côn trùng INOX201</t>
  </si>
  <si>
    <t>Cút 45 độ 750x600R375 + 1 đầu bịt lưới chắn côn trùng INOX201</t>
  </si>
  <si>
    <t xml:space="preserve">Ống 1600x600 </t>
  </si>
  <si>
    <t>Naron</t>
  </si>
  <si>
    <t>Gas R-410A</t>
  </si>
  <si>
    <t>Cửa nan Z kèm lưới chắn côn trùng KT bì 400x200 về KT cổ 350x150</t>
  </si>
  <si>
    <t>Cửa nan Z kèm lưới chắn côn trùng KT bì 500x250 về KT cổ 450x200</t>
  </si>
  <si>
    <t>Van VCD KT: D200 L250</t>
  </si>
  <si>
    <t>Van VCD KT: D100 L200</t>
  </si>
  <si>
    <t>Van một chiều KT: 1200x700 L200</t>
  </si>
  <si>
    <t>Van một chiều KT: 800x300 L200</t>
  </si>
  <si>
    <t>Van một chiều KT: 800x250 L200</t>
  </si>
  <si>
    <t>Van một chiều KT: 700x300 L200</t>
  </si>
  <si>
    <t>Van một chiều KT: 400x250 L200</t>
  </si>
  <si>
    <t>Van một chiều KT: 700x400 L200</t>
  </si>
  <si>
    <t>Van một chiều KT: 650x300 L200</t>
  </si>
  <si>
    <t>Van một chiều KT: 600x300 L200</t>
  </si>
  <si>
    <t>Van một chiều KT: 500x300 L200</t>
  </si>
  <si>
    <t>Van một chiều KT: 500x250 L200</t>
  </si>
  <si>
    <t>Cửa nan Z kèm lưới chắn côn trùng KT bì 4500x700 về KT cổ 4450x650</t>
  </si>
  <si>
    <t>Cửa nan Z kèm lưới chắn côn trùng KT bì 4000x500 về KT cổ 3950x450</t>
  </si>
  <si>
    <t>Cửa nan Z kèm lưới chắn côn trùng KT bì 7200x350 về KT cổ 7150x300</t>
  </si>
  <si>
    <t>Cửa nan Z kèm lưới chắn côn trùng KT bì 3600x350 về KT cổ 3550x300</t>
  </si>
  <si>
    <t>Cửa nan Z kèm lưới chắn côn trùng KT bì 3300x350 về KT cổ 3250x300</t>
  </si>
  <si>
    <t>Cửa nan Z kèm lưới chắn côn trùng KT bì 3000x350 về KT cổ 2950x300</t>
  </si>
  <si>
    <t>Cửa nan Z kèm lưới chắn côn trùng KT bì 2000x500 về KT cổ 1950x450</t>
  </si>
  <si>
    <t>Cửa nan Z kèm lưới chắn côn trùng KT bì 2000x350 về KT cổ 1950x300</t>
  </si>
  <si>
    <t>Cửa nan Z kèm lưới chắn côn trùng KT bì 1800x350 về KT cổ 1750x300</t>
  </si>
  <si>
    <t>Cửa nan Z kèm lưới chắn côn trùng KT bì 1500x500 về KT cổ 1450x450</t>
  </si>
  <si>
    <t>Cửa nan Z kèm lưới chắn côn trùng KT bì 1200x400 về KT cổ 1150x350</t>
  </si>
  <si>
    <t>Cửa nan Z kèm lưới chắn côn trùng KT bì 1200x350 về KT cổ 1150x300</t>
  </si>
  <si>
    <t>Cửa nan Z kèm lưới chắn côn trùng KT bì 1000x500 về KT cổ 950x450</t>
  </si>
  <si>
    <t>Cửa nan Z kèm lưới chắn côn trùng KT bì 1000x300 về KT cổ 950x250</t>
  </si>
  <si>
    <t>Cửa nan Z kèm lưới chắn côn trùng KT bì 800x500 về KT cổ 750x450</t>
  </si>
  <si>
    <t>Cửa nan Z kèm lưới chắn côn trùng KT bì 600x400 về KT cổ 550x350</t>
  </si>
  <si>
    <t>Cửa nan Z kèm lưới chắn côn trùng KT bì 500x300 về KT cổ 450x250</t>
  </si>
  <si>
    <t>Van VCD KT: 250x200 L200</t>
  </si>
  <si>
    <t>Van VCD KT: D250 L300</t>
  </si>
  <si>
    <t>Van VCD KT: D150 L200</t>
  </si>
  <si>
    <t>Van VCD KT: D300 L350</t>
  </si>
  <si>
    <t>Van FD EI60 KT: 400x200 L220</t>
  </si>
  <si>
    <t>Van FD EI60 KT: 200x200 L220</t>
  </si>
  <si>
    <t>Van FD EI60 KT: 850x300 L220</t>
  </si>
  <si>
    <t>Van FD EI60 KT: 250x200 L220</t>
  </si>
  <si>
    <t>Van một chiều KT: 600x400 L200</t>
  </si>
  <si>
    <t>Van một chiều KT: 500x400 L200</t>
  </si>
  <si>
    <t>Van một chiều KT: 400x200 L200</t>
  </si>
  <si>
    <t>Van một chiều KT: 200x200 L200</t>
  </si>
  <si>
    <t>Van một chiều KT: 1700x600 L200</t>
  </si>
  <si>
    <t>Van một chiều KT: 1000x350 L200</t>
  </si>
  <si>
    <t>Van một chiều KT: 500x200 L200</t>
  </si>
  <si>
    <t>Van một chiều KT: 350x200 L200</t>
  </si>
  <si>
    <t>Van một chiều KT: 300x200 L200</t>
  </si>
  <si>
    <t>Van một chiều KT: 250x200 L200</t>
  </si>
  <si>
    <t>Van VCD KT: 700x400 L200</t>
  </si>
  <si>
    <t>Van VCD KT: 600x400 L200</t>
  </si>
  <si>
    <t>Van VCD KT: 500x300 L200</t>
  </si>
  <si>
    <t>Cửa nan Z kèm lưới chắn côn trùng KT bì 3000x500 về KT cổ 2950x450</t>
  </si>
  <si>
    <t>Cửa nan Z kèm lưới chắn côn trùng KT bì 1500x300 về KT cổ 1450x250</t>
  </si>
  <si>
    <t>Cửa nan Z kèm lưới chắn côn trùng KT bì 1000x350 về KT cổ 950x300</t>
  </si>
  <si>
    <t>Cửa nan Z kèm lưới chắn côn trùng KT bì 700x300 về KT cổ 650x250</t>
  </si>
  <si>
    <t>Cửa nan Z kèm lưới chắn côn trùng KT bì 1800x400 về KT cổ 1750x350</t>
  </si>
  <si>
    <t>Cửa nan Z kèm lưới chắn côn trùng KT bì 600x600 về KT cổ 550x550</t>
  </si>
  <si>
    <t>Cửa nan Z kèm lưới chắn côn trùng KT bì 600x300 về KT cổ 550x250</t>
  </si>
  <si>
    <t>Cửa nan Z kèm lưới chắn côn trùng KT bì 300x200 về KT cổ 250x150</t>
  </si>
  <si>
    <t>Cửa nan Z kèm lưới chắn côn trùng KT bì 200x200 về KT cổ 150x150</t>
  </si>
  <si>
    <t>Cửa sọt trứng KT bì 600x600 L250 về KT cổ 550x550 + van OBD kèm hộp H250</t>
  </si>
  <si>
    <t>Cửa sọt trứng KT bì 450x450 L250 về KT cổ 400x400 + van OBD kèm hộp H250</t>
  </si>
  <si>
    <t>Cửa sọt trứng KT bì 350x350 L250 về KT cổ 300x300 + van OBD kèm hộp H250</t>
  </si>
  <si>
    <t>Cửa sọt trứng KT bì 300x300 L250 về KT cổ 250x250 + van OBD kèm hộp H250</t>
  </si>
  <si>
    <t>Cửa sọt trứng KT bì 250x250 L250 về KT cổ 200x200 + van OBD kèm hộp H250</t>
  </si>
  <si>
    <t>Cửa sọt trứng KT bì 200x200 L250 về KT cổ 150x150 + van OBD kèm hộp H250</t>
  </si>
  <si>
    <t>Van một chiều KT: 1200x900 L200</t>
  </si>
  <si>
    <t>Van một chiều KT: 1800x350 L200</t>
  </si>
  <si>
    <t>Van FD EI60 KT: 1200x900 L220</t>
  </si>
  <si>
    <t>Van FD EI60 KT: 1800x350 L220</t>
  </si>
  <si>
    <t>Van FD EI60 KT: 1700x600 L220</t>
  </si>
  <si>
    <t>Van FD EI60 KT: 1400x450 L220</t>
  </si>
  <si>
    <t>Van VCD KT: 900x300 L200</t>
  </si>
  <si>
    <t>Van VCD KT: 1800x400 L200</t>
  </si>
  <si>
    <t>Van VCD KT: 2000x400 L200</t>
  </si>
  <si>
    <t>Cửa bầu dục 1 lớp nan 1 khung cố định KT bì 1000x300 về KT cổ 950x250</t>
  </si>
  <si>
    <t>Cửa nan Z kèm lưới chắn côn trùng KT bì 3500x700 về KT cổ 3450x650</t>
  </si>
  <si>
    <t>Van một chiều KT: 750x500 L200</t>
  </si>
  <si>
    <t>Van một chiều KT: 400x300 L200</t>
  </si>
  <si>
    <t>Van một chiều KT: 1400x350 L200</t>
  </si>
  <si>
    <t>Van một chiều KT: 1200x250 L200</t>
  </si>
  <si>
    <t>Van một chiều KT: 1100x350 L200</t>
  </si>
  <si>
    <t>Van một chiều KT: 900x350 L200</t>
  </si>
  <si>
    <t>Van một chiều KT: 850x400 L200</t>
  </si>
  <si>
    <t>Van một chiều KT: 550x300 L200</t>
  </si>
  <si>
    <t>Van động cơ KT: 900x350 L200</t>
  </si>
  <si>
    <t>Van động cơ KT: 500x200 L200, động cơ không lò xo hồi, đóng mở 60-90 giây. Model: NACA 2-05, 5Nm-Nenutec, 230VAC, On/Off</t>
  </si>
  <si>
    <t>Van xả áp KT: 600x400 L200</t>
  </si>
  <si>
    <t>Van xả áp KT: 1800x1000 L200</t>
  </si>
  <si>
    <t>Van xả áp KT: 400x300 L200</t>
  </si>
  <si>
    <t>Van xả áp KT: 1500x800 L200</t>
  </si>
  <si>
    <t>Van xả áp KT: 1000x300 L200</t>
  </si>
  <si>
    <t>Van xả áp KT: 600x300 L200</t>
  </si>
  <si>
    <t>Van xả áp KT: 200x200 L200</t>
  </si>
  <si>
    <t>Van MFD EI60 KT: 500x500 L220, bọc EI60, động cơ  NENUTEC NASA1-20, 20N.m/24V/230V, ON/OFF, thời gian đóng mở 20s</t>
  </si>
  <si>
    <t>Van MFD EI60 KT: 1500x500 L220, bọc EI60, động cơ  NENUTEC NASA1-20, 20N.m/24V/230V, ON/OFF, thời gian đóng mở 20s</t>
  </si>
  <si>
    <t>Van MFD EI60 KT: 1800x350 L220, bọc EI60, động cơ  NENUTEC NASA1-20, 20N.m/24V/230V, ON/OFF, thời gian đóng mở 20s</t>
  </si>
  <si>
    <t>Van MFD EI60 KT: 1200x250 L220, bọc EI60, động cơ  NENUTEC NASA1-20, 20N.m/24V/230V, ON/OFF, thời gian đóng mở 20s</t>
  </si>
  <si>
    <t>Van MFD EI60 KT: 1100x350 L220, bọc EI60, động cơ  NENUTEC NASA1-20, 20N.m/24V/230V, ON/OFF, thời gian đóng mở 20s</t>
  </si>
  <si>
    <t>Van MFD EI60 KT: 1000x300 L220, bọc EI60, động cơ  NENUTEC NASA1-20, 20N.m/24V/230V, ON/OFF, thời gian đóng mở 20s</t>
  </si>
  <si>
    <t>Van MFD EI60 KT: 1000x250 L220, bọc EI60, động cơ  NENUTEC NASA1-20, 20N.m/24V/230V, ON/OFF, thời gian đóng mở 20s</t>
  </si>
  <si>
    <t>Van FD EI60 KT: 850x400 L220</t>
  </si>
  <si>
    <t>Van FD EI60 KT: 750x400 L220</t>
  </si>
  <si>
    <t>Van FD EI60 KT: 600x600 L220</t>
  </si>
  <si>
    <t>Van FD EI60 KT: 600x300 L220</t>
  </si>
  <si>
    <t>Van FD EI60 KT: 500x500 L220</t>
  </si>
  <si>
    <t>Van FD EI60 KT: 500x250 L220</t>
  </si>
  <si>
    <t>Van FD EI60 KT: 300x250 L220</t>
  </si>
  <si>
    <t>Van FD EI60 KT: 300x200 L220</t>
  </si>
  <si>
    <t>Van FD EI60 KT: 1200x250 L220</t>
  </si>
  <si>
    <t>Cửa bầu dục 1 lớp nan 1 khung cố định KT bì 1000x600 về KT cổ 950x550 + van OBD</t>
  </si>
  <si>
    <t>Cửa bầu dục 1 lớp nan 1 khung cố định KT bì 600x600 về KT cổ 550x550 + van OBD</t>
  </si>
  <si>
    <t>Cửa bầu dục 1 lớp nan 1 khung cố định KT bì 200x200 về KT cổ 150x150 + van OBD</t>
  </si>
  <si>
    <t>Cửa bầu dục 1 lớp nan 1 khung cố định KT bì 700x700 về KT cổ 650x650 + van OBD</t>
  </si>
  <si>
    <t>Cửa bầu dục 1 lớp nan 1 khung cố định KT bì 1200x600 về KT cổ 1150x550 + van OBD</t>
  </si>
  <si>
    <t>Van MFD EI60 KT: 1400x350 L220, bọc EI60, động cơ  NENUTEC NASA1-20, 20N.m/24V/230V, ON/OFF, thời gian đóng mở 20s</t>
  </si>
  <si>
    <t>Van FD EI60 KT: 750x500 L220</t>
  </si>
  <si>
    <t>Van FD EI60 KT: 800x350 L220</t>
  </si>
  <si>
    <t>Van FD EI60 KT: 1000x200 L220</t>
  </si>
  <si>
    <t>Van FD EI60 KT: 1000x250 L220</t>
  </si>
  <si>
    <t>Van FD EI60 KT: 1000x300 L220</t>
  </si>
  <si>
    <t>Van FD EI60 KT: 1000x350 L220</t>
  </si>
  <si>
    <t>Van FD EI60 KT: 1100x350 L220</t>
  </si>
  <si>
    <t>Van FD EI60 KT: 1400x350 L220</t>
  </si>
  <si>
    <t>Van MFD EI60 KT: 850x250 L220, bọc EI60, động cơ  NENUTEC NASA1-20, 20N.m/24V/230V, ON/OFF, thời gian đóng mở 20s</t>
  </si>
  <si>
    <t>Van MFD EI60 KT: 550x400 L220, bọc EI60, động cơ  NENUTEC NASA1-20, 20N.m/24V/230V, ON/OFF, thời gian đóng mở 20s</t>
  </si>
  <si>
    <t>Van MFD EI60 KT: 900x250 L220, bọc EI60, động cơ  NENUTEC NASA1-20, 20N.m/24V/230V, ON/OFF, thời gian đóng mở 20s</t>
  </si>
  <si>
    <t>Van MFD EI60 KT: 700x200 L220, bọc EI60, động cơ  NENUTEC NASA1-20, 20N.m/24V/230V, ON/OFF, thời gian đóng mở 20s</t>
  </si>
  <si>
    <t>Van MFD EI90/120 KT: 1600x600 L400, bọc EI120, động cơ Belimo FSNF 230US, 7,9N.m, đóng mở có lò xo phản hồi</t>
  </si>
  <si>
    <t>Z08-1.5</t>
  </si>
  <si>
    <t>Van một chiều EI KT: 1200x350 L200</t>
  </si>
  <si>
    <t>Z08-1.15, EI120-SMD120</t>
  </si>
  <si>
    <t>Van MFD EI60 KT: 1600x600 L220, bọc EI60, động cơ  NENUTEC NASA1-20, 20N.m/24V/230V, ON/OFF, thời gian đóng mở 20s</t>
  </si>
  <si>
    <t>Van MFD EI60 KT: 1600x550 L220, bọc EI60, động cơ  NENUTEC NASA1-20, 20N.m/24V/230V, ON/OFF, thời gian đóng mở 20s</t>
  </si>
  <si>
    <t>Van MFD EI60 KT: 1400x400 L220, bọc EI60, động cơ  NENUTEC NASA1-20, 20N.m/24V/230V, ON/OFF, thời gian đóng mở 20s</t>
  </si>
  <si>
    <t>Van VCD KT: 600x300 L200</t>
  </si>
  <si>
    <t>Van VCD KT: 1200x300 L200</t>
  </si>
  <si>
    <t>Van VCD KT: 1400x300 L200</t>
  </si>
  <si>
    <t>Van VCD KT: 1600x300 L200</t>
  </si>
  <si>
    <t>Van VCD KT: 1600x350 L200</t>
  </si>
  <si>
    <t>Van VCD KT: 1800x300 L200</t>
  </si>
  <si>
    <t>Van MFD EI60 KT: 1200x1000 L220, bọc EI60, động cơ  NENUTEC NASA1-20, 20N.m/24V/230V, ON/OFF, thời gian đóng mở 20s</t>
  </si>
  <si>
    <t>Van MFD EI60 KT: 1100x600 L220, bọc EI60, động cơ  NENUTEC NASA1-20, 20N.m/24V/230V, ON/OFF, thời gian đóng mở 20s</t>
  </si>
  <si>
    <t>Van MFD EI60 KT: 1000x1000 L220, bọc EI60, động cơ  NENUTEC NASA1-20, 20N.m/24V/230V, ON/OFF, thời gian đóng mở 20s</t>
  </si>
  <si>
    <t>Van một chiều KT: 1500x800 L200</t>
  </si>
  <si>
    <t>Van một chiều KT: 1100x600 L200</t>
  </si>
  <si>
    <t>Van một chiều KT: 1000x1000 L200</t>
  </si>
  <si>
    <t>Cửa bầu dục 1 lớp nan 1 khung cố định KT bì 1000x300 về KT cổ 950x250 + van OBD</t>
  </si>
  <si>
    <t>Điểm</t>
  </si>
  <si>
    <t>Sleeve ống đồng D114</t>
  </si>
  <si>
    <t>Nghiệm thu theo khối lượng thực tế</t>
  </si>
  <si>
    <t>Cắt đục tường ống nước ngưng</t>
  </si>
  <si>
    <t>Thuộc phạm vi gói BMS</t>
  </si>
  <si>
    <t>Cảm biến khói</t>
  </si>
  <si>
    <t>Đầu cảm biến CO</t>
  </si>
  <si>
    <t>Nhà thầu đã bao gồm vào chi phí vật tư phụ lắp đặt dàn lạnh</t>
  </si>
  <si>
    <t>Tuân theo RFI 2.02 về chụp hút bếp không thuộc phạm vi công việc gói thầu</t>
  </si>
  <si>
    <t>Nhà thầu lắp đặt, CĐT cấp thiết bị
Bao gồm giá vật tư phụ lắp đặt</t>
  </si>
  <si>
    <t>Tuân theo RFI 2.02: Chụp hút bếp không thuộc phạm vi công việc gói thầu</t>
  </si>
  <si>
    <t>Nhà thầu lựa chọn độ dày khung van theo tiêu chuẩn của nhà sản xuất, đảm bảo kiểm định PCCC</t>
  </si>
  <si>
    <t>Tuân theo RFI 1.02, hệ ACMV về bọc bảo vệ ống gió chống cháy đi ngoài trời</t>
  </si>
  <si>
    <t>Nhà thầu chào độ dày khung van theo tiêu chuẩn nhà sản xuất, đạt kiểm định PCCC</t>
  </si>
  <si>
    <t>Vật tư phụ lắp đặt, bộ chia gas chủ đầu tư cấp</t>
  </si>
  <si>
    <t>Ống luồn tròn PVC - Heavy duty phi 20mm - GB20</t>
  </si>
  <si>
    <t>GB20</t>
  </si>
  <si>
    <t>Ống luồn tròn PVC - Heavy duty phi 25mm - GB25</t>
  </si>
  <si>
    <t>Ống luồn tròn PVC - Heavy duty phi 32mm - GB32</t>
  </si>
  <si>
    <t>Ống luồn tròn PVC - Heavy duty phi 40mm - GB40</t>
  </si>
  <si>
    <t>GB40</t>
  </si>
  <si>
    <t>GB25</t>
  </si>
  <si>
    <t>GB32</t>
  </si>
  <si>
    <t>D25 (lắp đặt ngầm tường, bê tông)- 1250N</t>
  </si>
  <si>
    <t>D40 (lắp đặt ngầm tường, bê tông)- 1250N</t>
  </si>
  <si>
    <t>D32 (lắp đặt ngầm tường, bê tông)- 1250N</t>
  </si>
  <si>
    <t>Ống gió mềm không cách nhiệt  D250</t>
  </si>
  <si>
    <t>Ống gió mềm không cách nhiệt  D300</t>
  </si>
  <si>
    <t>Không bao gồm theo phản hồi TCQ03-
Chủ đầu tư thực hiện công tác thỏa thuận đấu nối cấp nước cho dự án</t>
  </si>
  <si>
    <t>Trung Quốc, Châu Á</t>
  </si>
  <si>
    <t>Eusteel/ Đại Phúc/ Thanh Xuân</t>
  </si>
  <si>
    <t>Ống KT 600x300 + bọc Smd/ MgO chống cháy đạt EI60</t>
  </si>
  <si>
    <t>Ống KT 900x300 + bọc Smd/ MgO chống cháy đạt EI60</t>
  </si>
  <si>
    <t>Ống KT 1200x300 + bọc Smd/ MgO chống cháy đạt EI60</t>
  </si>
  <si>
    <t>Ống KT 1200x350 + bọc Smd/ MgO chống cháy đạt EI60</t>
  </si>
  <si>
    <t>Ống KT 1400x300 + bọc Smd/ MgO chống cháy đạt EI60</t>
  </si>
  <si>
    <t>Ống KT 1400x350 + bọc Smd/ MgO chống cháy đạt EI60</t>
  </si>
  <si>
    <t>Ống KT 1600x300 + bọc Smd/ MgO chống cháy đạt EI60</t>
  </si>
  <si>
    <t>Ống KT 1600x350 + bọc Smd/ MgO chống cháy đạt EI60</t>
  </si>
  <si>
    <t>Ống KT 1700x3200 + bọc Smd/ MgO chống cháy đạt EI60</t>
  </si>
  <si>
    <t>Ống KT 1800x300 + bọc Smd/ MgO chống cháy đạt EI60</t>
  </si>
  <si>
    <t>Ống KT 1800x350 + bọc Smd/ MgO chống cháy đạt EI60</t>
  </si>
  <si>
    <t>Ống 2500x1000 + bọc Smd/ MgO chống cháy đạt EI60</t>
  </si>
  <si>
    <t>Ống KT: 1000x300 + bọc Smd/ MgO chống cháy đạt EI60</t>
  </si>
  <si>
    <t>Ống KT: 1100x600 + bọc Smd/ MgO chống cháy đạt EI60</t>
  </si>
  <si>
    <t>Cút 90 độ 1200x300R600 + bọc Smd/ MgO chống cháy đạt EI60</t>
  </si>
  <si>
    <t>Cút 90 độ 1200x350600 + bọc Smd/ MgO chống cháy đạt EI60</t>
  </si>
  <si>
    <t>Cút 90 độ 1400x300700 + bọc Smd/ MgO chống cháy đạt EI60</t>
  </si>
  <si>
    <t>Cút 90 độ  1800x350R900 + bọc Smd/ MgO chống cháy đạt EI60</t>
  </si>
  <si>
    <t>Cút 90 độ  900x300R450 + bọc Smd/ MgO chống cháy đạt EI60</t>
  </si>
  <si>
    <t>Cút 90 độ  1600x350R800 + bọc Smd/ MgO chống cháy đạt EI60</t>
  </si>
  <si>
    <t>Cút 90 độ  1800x300R900 + bọc Smd/ MgO chống cháy đạt EI60</t>
  </si>
  <si>
    <t>Côn 900x300/600x300L250 + bọc Smd/ MgO chống cháy đạt EI60</t>
  </si>
  <si>
    <t>Côn 1200x300/900x300L250 + bọc Smd/ MgO chống cháy đạt EI60</t>
  </si>
  <si>
    <t>Côn 1200x300/1200x200L250 + bọc Smd/ MgO chống cháy đạt EI60</t>
  </si>
  <si>
    <t>Côn 1200x350/900x300L250 + bọc Smd/ MgO chống cháy đạt EI60</t>
  </si>
  <si>
    <t>Côn 1400x300/900x300L250 + bọc Smd/ MgO chống cháy đạt EI60</t>
  </si>
  <si>
    <t>Côn 1400x300/1200x300L250 + bọc Smd/ MgO chống cháy đạt EI60</t>
  </si>
  <si>
    <t>Côn 1400x350/1200x300L250 + bọc Smd/ MgO chống cháy đạt EI60</t>
  </si>
  <si>
    <t>Côn 1400x350/1200x350L300 + bọc Smd/ MgO chống cháy đạt EI60</t>
  </si>
  <si>
    <t>Côn 1600x300/1400x300L250 + bọc Smd/ MgO chống cháy đạt EI60</t>
  </si>
  <si>
    <t>Côn 1600x350/1400x350L300 + bọc Smd/ MgO chống cháy đạt EI60</t>
  </si>
  <si>
    <t>Côn 1800x350/1400x300L250 + bọc Smd/ MgO chống cháy đạt EI60</t>
  </si>
  <si>
    <t>Côn 1000x300/900x300L250 + bọc Smd/ MgO chống cháy đạt EI60</t>
  </si>
  <si>
    <t>Côn 1200x300/1000x300L250 + bọc Smd/ MgO chống cháy đạt EI60</t>
  </si>
  <si>
    <t>Côn 1800x300/1600x300L250 + bọc Smd/ MgO chống cháy đạt EI60</t>
  </si>
  <si>
    <t>Côn 1800x350/1000x1000L350 + bọc Smd/ MgO chống cháy đạt EI60</t>
  </si>
  <si>
    <t>Côn 2500x450/1000x1000L350 + bọc Smd/ MgO chống cháy đạt EI60</t>
  </si>
  <si>
    <t>Chạc ba 1400x300/900x300/600x300 + bọc Smd/ MgO chống cháy đạt EI60</t>
  </si>
  <si>
    <t>Chạc ba 1400x300/1200x300/600x300 + bọc Smd/ MgO chống cháy đạt EI60</t>
  </si>
  <si>
    <t>Chạc ba 1800x350/1400x300/1200x300 + bọc Smd/ MgO chống cháy đạt EI60</t>
  </si>
  <si>
    <t>Chạc ba 2500x450/1800x300/1600x300 + bọc Smd/ MgO chống cháy đạt EI60</t>
  </si>
  <si>
    <t>Chân rẽ 1200x300/1000x300L200 + bọc Smd/ MgO chống cháy đạt EI60</t>
  </si>
  <si>
    <t>Zet 300x900E150L500 (tạm tính) + bọc Smd/ MgO chống cháy đạt EI60</t>
  </si>
  <si>
    <t>Zet 300x900E300L500 (tạm tính) + bọc Smd/ MgO chống cháy đạt EI60</t>
  </si>
  <si>
    <t>Zet 300x1600E300L500 (tạm tính) + bọc Smd/ MgO chống cháy đạt EI60</t>
  </si>
  <si>
    <t>Ống KT 600x250 + bọc Smd/ MgO chống cháy đạt EI45</t>
  </si>
  <si>
    <t>Ống KT 800x300 + bọc Smd/ MgO chống cháy đạt EI45</t>
  </si>
  <si>
    <t>Ống KT 800x400 + bọc Smd/ MgO chống cháy đạt EI45</t>
  </si>
  <si>
    <t>Ống KT 1000x300 + bọc Smd/ MgO chống cháy đạt EI45</t>
  </si>
  <si>
    <t>Ống KT 1000x1000 + bọc Smd/ MgO chống cháy đạt EI45</t>
  </si>
  <si>
    <t>Ống KT 1200x400 + bọc Smd/ MgO chống cháy đạt EI45</t>
  </si>
  <si>
    <t>Ống KT 1200x300 + bọc Smd/ MgO chống cháy đạt EI45</t>
  </si>
  <si>
    <t>Ống KT 1250x300 + bọc Smd/ MgO chống cháy đạt EI45</t>
  </si>
  <si>
    <t>Ống KT 1400x400 + bọc Smd/ MgO chống cháy đạt EI45</t>
  </si>
  <si>
    <t>Ống KT 1500x500 + bọc Smd/ MgO chống cháy đạt EI45</t>
  </si>
  <si>
    <t>Ống KT 1600x600 + bọc Smd/ MgO chống cháy đạt EI45</t>
  </si>
  <si>
    <t>Ống KT: 1400x500 + bọc Smd/ MgO chống cháy đạt EI45</t>
  </si>
  <si>
    <t>Ống KT: 1400x600 + bọc Smd/ MgO chống cháy đạt EI45</t>
  </si>
  <si>
    <t>Ống KT: 1200x350 + bọc Smd/ MgO chống cháy đạt EI45</t>
  </si>
  <si>
    <t>Ống KT: 1000x400 + bọc Smd/ MgO chống cháy đạt EI45</t>
  </si>
  <si>
    <t>Ống KT: 1000x350 + bọc Smd/ MgO chống cháy đạt EI45</t>
  </si>
  <si>
    <t>Ống KT: 1000x550 + bọc Smd/ MgO chống cháy đạt EI45</t>
  </si>
  <si>
    <t>Cút 45 độ 1000x1000R500 + bọc Smd/ MgO chống cháy đạt EI45</t>
  </si>
  <si>
    <t>Cút 90 độ 600x250R300 + bọc Smd/ MgO chống cháy đạt EI45</t>
  </si>
  <si>
    <t>Cút 90 độ 800x300R400 + bọc Smd/ MgO chống cháy đạt EI45</t>
  </si>
  <si>
    <t>Cút 90 độ 1600x600R800 + bọc Smd/ MgO chống cháy đạt EI45</t>
  </si>
  <si>
    <t>Cút 90 độ 1400x400R700 + bọc Smd/ MgO chống cháy đạt EI45</t>
  </si>
  <si>
    <t>Cút 90 độ 1200x300R600 + bọc Smd/ MgO chống cháy đạt EI45</t>
  </si>
  <si>
    <t>Cút 90 độ 1000x300R500 + bọc Smd/ MgO chống cháy đạt EI45</t>
  </si>
  <si>
    <t>Cút 90 độ 1000x1000R500 + bọc Smd/ MgO chống cháy đạt EI45</t>
  </si>
  <si>
    <t>Côn 1200x400/800x400L250 + bọc Smd/ MgO chống cháy đạt EI45</t>
  </si>
  <si>
    <t>Côn 1400x400/800x400L300 + bọc Smd/ MgO chống cháy đạt EI45</t>
  </si>
  <si>
    <t>Côn 1400x400/1250x300L250 + bọc Smd/ MgO chống cháy đạt EI45</t>
  </si>
  <si>
    <t>Côn 1600x550/1400x400L300 + bọc Smd/ MgO chống cháy đạt EI45</t>
  </si>
  <si>
    <t>Côn 1600x600/1250x300L250 + bọc Smd/ MgO chống cháy đạt EI45</t>
  </si>
  <si>
    <t>Côn 1600x600/1200x300L250 + bọc Smd/ MgO chống cháy đạt EI45</t>
  </si>
  <si>
    <t>Côn 1200x300/800x300L250 + bọc Smd/ MgO chống cháy đạt EI45</t>
  </si>
  <si>
    <t>Côn 1250x300/800x300L250 + bọc Smd/ MgO chống cháy đạt EI45</t>
  </si>
  <si>
    <t>Côn 1500x300/1000x300L250 + bọc Smd/ MgO chống cháy đạt EI45</t>
  </si>
  <si>
    <t>Côn 1000x300/800x250L250 + bọc Smd/ MgO chống cháy đạt EI45</t>
  </si>
  <si>
    <t>Côn 1000x300/800x300L250 + bọc Smd/ MgO chống cháy đạt EI45</t>
  </si>
  <si>
    <t>Côn 1600x600/1400x500L250 + bọc Smd/ MgO chống cháy đạt EI45</t>
  </si>
  <si>
    <t>Côn 1400x500/1200x300L250 + bọc Smd/ MgO chống cháy đạt EI45</t>
  </si>
  <si>
    <t>Côn 1200x300/1000x300L250 + bọc Smd/ MgO chống cháy đạt EI45</t>
  </si>
  <si>
    <t>Côn 800x300/600x250L250 + bọc Smd/ MgO chống cháy đạt EI45</t>
  </si>
  <si>
    <t>Côn 1000x300/600x250L250 + bọc Smd/ MgO chống cháy đạt EI45</t>
  </si>
  <si>
    <t>Côn 1200x300/600x250L300 + bọc Smd/ MgO chống cháy đạt EI45</t>
  </si>
  <si>
    <t>Côn 1600x600/1400x400L300 + bọc Smd/ MgO chống cháy đạt EI45</t>
  </si>
  <si>
    <t>Côn 1400x400/1200x300L250 + bọc Smd/ MgO chống cháy đạt EI45</t>
  </si>
  <si>
    <t>Côn 1400x400/1000x400L300 + bọc Smd/ MgO chống cháy đạt EI45</t>
  </si>
  <si>
    <t>Côn 1400x400/1000x350L300 + bọc Smd/ MgO chống cháy đạt EI45</t>
  </si>
  <si>
    <t>Côn 1400x400/1000x550L300 + bọc Smd/ MgO chống cháy đạt EI45</t>
  </si>
  <si>
    <t>Côn 1600x600/1000x1000L350 + bọc Smd/ MgO chống cháy đạt EI45</t>
  </si>
  <si>
    <t>Chạc ba 1250x300/800x300/800x300 + bọc Smd/ MgO chống cháy đạt EI45</t>
  </si>
  <si>
    <t>Chạc ba 1600x600/1600x400/1200x400 + bọc Smd/ MgO chống cháy đạt EI45</t>
  </si>
  <si>
    <t>Chạc ba 1400x500/1400x400/800x300 + bọc Smd/ MgO chống cháy đạt EI45</t>
  </si>
  <si>
    <t>Chạc ba 1400x400/1200x350/1200x350 + bọc Smd/ MgO chống cháy đạt EI45</t>
  </si>
  <si>
    <t>Chạc ba 1200x300/800x300/600x250 + bọc Smd/ MgO chống cháy đạt EI45</t>
  </si>
  <si>
    <t>Chạc ba 1400x400/1400x400/1400x400 + bọc Smd/ MgO chống cháy đạt EI45</t>
  </si>
  <si>
    <t>Chân rẽ 700x600/600x600L150 + bọc Smd/ MgO chống cháy đạt EI45</t>
  </si>
  <si>
    <t>Chân rẽ 1200x600/1000x600L200 + bọc Smd/ MgO chống cháy đạt EI45</t>
  </si>
  <si>
    <t>Zet 1400x400E200L700 (tạm tính) + bọc Smd/ MgO chống cháy đạt EI45</t>
  </si>
  <si>
    <t>Zet 1400x300E200L700 (tạm tính) + bọc Smd/ MgO chống cháy đạt EI45</t>
  </si>
  <si>
    <t>Zet 800x300E200L400 (tạm tính) + bọc Smd/ MgO chống cháy đạt EI45</t>
  </si>
  <si>
    <t>Zet KT: 600x250-lệch tâm 200mm + bọc Smd/ MgO chống cháy đạt EI45</t>
  </si>
  <si>
    <t>Zet KT: 1200x350-lệch tâm 200mm + bọc Smd/ MgO chống cháy đạt EI45</t>
  </si>
  <si>
    <t>Côn 1000x550/D1000L350 + bọc Smd/ MgO chống cháy đạt EI45</t>
  </si>
  <si>
    <t>Côn 1400x400/D1000L350 + bọc Smd/ MgO chống cháy đạt EI45</t>
  </si>
  <si>
    <t>Ống KT:550x400 + bọc Smd/ MgO chống cháy đạt EI120</t>
  </si>
  <si>
    <t>Ống KT:900x250 + bọc Smd/ MgO chống cháy đạt EI120</t>
  </si>
  <si>
    <t>Ống KT:1600x600 + bọc Smd/ MgO chống cháy đạt EI120</t>
  </si>
  <si>
    <t>Ống KT:1400x400 + bọc Smd/ MgO chống cháy đạt EI120</t>
  </si>
  <si>
    <t>Cút 90 độ 1600x600R800 + bọc Smd/ MgO chống cháy đạt EI120</t>
  </si>
  <si>
    <t>Cút 90 độ 1400x400R700 + bọc Smd/ MgO chống cháy đạt EI120</t>
  </si>
  <si>
    <t>Cút 90 độ 1200x350R600 + bọc Smd/ MgO chống cháy đạt EI120</t>
  </si>
  <si>
    <t>Cút 90 độ 900x250R450 + bọc Smd/ MgO chống cháy đạt EI120</t>
  </si>
  <si>
    <t>Côn 1200x350/D800L300 + bọc Smd/ MgO chống cháy đạt EI120</t>
  </si>
  <si>
    <t>Chạc ba 900x250/900x250/800x200 + bọc Smd/ MgO chống cháy đạt EI120</t>
  </si>
  <si>
    <t>Ống 1250x350 + bọc Smd/ MgO chống cháy đạt EI120</t>
  </si>
  <si>
    <t>Ống KT 550x400, + bọc Smd/ MgO chống cháy đạt EI30</t>
  </si>
  <si>
    <t>Ống KT 800x200 + bọc Smd/ MgO chống cháy đạt EI30</t>
  </si>
  <si>
    <t>Ống KT 750x600 + bọc Smd/ MgO chống cháy đạt EI30</t>
  </si>
  <si>
    <t>Ống KT 800x550 + bọc Smd/ MgO chống cháy đạt EI30</t>
  </si>
  <si>
    <t>Ống KT 800x600 + bọc Smd/ MgO chống cháy đạt EI30</t>
  </si>
  <si>
    <t>Ống KT 850x700 + bọc Smd/ MgO chống cháy đạt EI30</t>
  </si>
  <si>
    <t>Ống KT 900x250 + bọc Smd/ MgO chống cháy đạt EI30</t>
  </si>
  <si>
    <t>Ống KT 1000x200 + bọc Smd/ MgO chống cháy đạt EI30</t>
  </si>
  <si>
    <t>Ống KT 1000x600 + bọc Smd/ MgO chống cháy đạt EI30</t>
  </si>
  <si>
    <t>Ống KT 1100x600 + bọc Smd/ MgO chống cháy đạt EI30</t>
  </si>
  <si>
    <t>Ống KT 1250x500 + bọc Smd/ MgO chống cháy đạt EI30</t>
  </si>
  <si>
    <t>Ống KT:850x250 + bọc Smd/ MgO chống cháy đạt EI30</t>
  </si>
  <si>
    <t>Cút 90 độ 800x550R400 + bọc Smd/ MgO chống cháy đạt EI30</t>
  </si>
  <si>
    <t>Cút 90 độ 900x250R450 + bọc Smd/ MgO chống cháy đạt EI30</t>
  </si>
  <si>
    <t>Cút 90 độ 800x250R400 + bọc Smd/ MgO chống cháy đạt EI30</t>
  </si>
  <si>
    <t>Cút 90 độ 800x200R400 + bọc Smd/ MgO chống cháy đạt EI30</t>
  </si>
  <si>
    <t>Cút 90 độ  1000x600R00 + bọc Smd/ MgO chống cháy đạt EI30</t>
  </si>
  <si>
    <t>Cút 90 độ 1250x500R625 + bọc Smd/ MgO chống cháy đạt EI30</t>
  </si>
  <si>
    <t>Côn 850x250/800x200L250 + bọc Smd/ MgO chống cháy đạt EI30</t>
  </si>
  <si>
    <t>Côn 900x250/800x200L250 + bọc Smd/ MgO chống cháy đạt EI30</t>
  </si>
  <si>
    <t>Côn 1250x500/850x700L300 + bọc Smd/ MgO chống cháy đạt EI30</t>
  </si>
  <si>
    <t>Chạc ba 900x250/700x200/700x200 + bọc Smd/ MgO chống cháy đạt EI30</t>
  </si>
  <si>
    <t>Chạc ba 900x250/900x250/700x200 + bọc Smd/ MgO chống cháy đạt EI30</t>
  </si>
  <si>
    <t>Chạc ba 900x250/900x250/900x250 + bọc Smd/ MgO chống cháy đạt EI30</t>
  </si>
  <si>
    <t>Chạc ba:1000x200/800x200/800x200 + bọc Smd/ MgO chống cháy đạt EI30</t>
  </si>
  <si>
    <t>Chạc ba:900x250/800x200/800x200 + bọc Smd/ MgO chống cháy đạt EI30</t>
  </si>
  <si>
    <t>Chân rẽ 700x600/600x600L200 + bọc Smd/ MgO chống cháy đạt EI30</t>
  </si>
  <si>
    <t>Chân rẽ 1200x600/1000x600L200 + bọc Smd/ MgO chống cháy đạt EI30</t>
  </si>
  <si>
    <t>Ống KT 400x300 + bọc Smd/ MgO chống cháy đạt EI60</t>
  </si>
  <si>
    <t>Ống KT 700x300 + bọc Smd/ MgO chống cháy đạt EI60</t>
  </si>
  <si>
    <t>Ống KT 1000x250 + bọc Smd/ MgO chống cháy đạt EI60</t>
  </si>
  <si>
    <t>Ống KT 1000x300 + bọc Smd/ MgO chống cháy đạt EI60</t>
  </si>
  <si>
    <t>Ống KT 1000x350 + bọc Smd/ MgO chống cháy đạt EI60</t>
  </si>
  <si>
    <t>Ống KT 1100x350 + bọc Smd/ MgO chống cháy đạt EI60</t>
  </si>
  <si>
    <t>Ống KT 1800x450 + bọc Smd/ MgO chống cháy đạt EI60</t>
  </si>
  <si>
    <t>Ống KT: 1200x550 + bọc Smd/ MgO chống cháy đạt EI60</t>
  </si>
  <si>
    <t>Ống KT: 1200x250 + bọc Smd/ MgO chống cháy đạt EI60</t>
  </si>
  <si>
    <t>Ống KT: 1000x200 + bọc Smd/ MgO chống cháy đạt EI60</t>
  </si>
  <si>
    <t>Ống KT: 800x350 + bọc Smd/ MgO chống cháy đạt EI60</t>
  </si>
  <si>
    <t>Ống KT: 800x300 + bọc Smd/ MgO chống cháy đạt EI60</t>
  </si>
  <si>
    <t>Ống KT: 750x500 + bọc Smd/ MgO chống cháy đạt EI60</t>
  </si>
  <si>
    <t>Ống KT: 600x300 + bọc Smd/ MgO chống cháy đạt EI60</t>
  </si>
  <si>
    <t>Ống KT: 400x200 + bọc Smd/ MgO chống cháy đạt EI60</t>
  </si>
  <si>
    <t>Cút 90 độ 1500x500R750 + bọc Smd/ MgO chống cháy đạt EI60</t>
  </si>
  <si>
    <t>Cút 90 độ 1200x250R600 + bọc Smd/ MgO chống cháy đạt EI60</t>
  </si>
  <si>
    <t>Cút 90 độ 1100x350R550 + bọc Smd/ MgO chống cháy đạt EI60</t>
  </si>
  <si>
    <t>Cút 90 độ 1000x250R500 + bọc Smd/ MgO chống cháy đạt EI60</t>
  </si>
  <si>
    <t>Cút 90 độ 1000x200R500 + bọc Smd/ MgO chống cháy đạt EI60</t>
  </si>
  <si>
    <t>Cút 90 độ 700x300R350 + bọc Smd/ MgO chống cháy đạt EI60</t>
  </si>
  <si>
    <t>Cút 90 độ 800x350R400 + bọc Smd/ MgO chống cháy đạt EI60</t>
  </si>
  <si>
    <t>Cút 90 độ 600x300R300 + bọc Smd/ MgO chống cháy đạt EI60</t>
  </si>
  <si>
    <t>Cút 90 độ 400x200R200 + bọc Smd/ MgO chống cháy đạt EI60</t>
  </si>
  <si>
    <t>Cút 90 độ 1000x350R500 + bọc Smd/ MgO chống cháy đạt EI120</t>
  </si>
  <si>
    <t>Côn 1400x350/1000x350L300 + bọc Smd/ MgO chống cháy đạt EI60</t>
  </si>
  <si>
    <t>Côn 1200x250/1000x200L250 + bọc Smd/ MgO chống cháy đạt EI60</t>
  </si>
  <si>
    <t>Côn 800x300/600x300L250 + bọc Smd/ MgO chống cháy đạt EI60</t>
  </si>
  <si>
    <t>Chân rẽ 1100x350/1000x250L200 + bọc Smd/ MgO chống cháy đạt EI60</t>
  </si>
  <si>
    <t>Chân rẽ 800x300/600x300L200 + bọc Smd/ MgO chống cháy đạt EI60</t>
  </si>
  <si>
    <t>Chân rẽ 1200x250/1000x200L200 + bọc Smd/ MgO chống cháy đạt EI60</t>
  </si>
  <si>
    <t>Chạc ba 1100x350/1000x250/800x350 + bọc Smd/ MgO chống cháy đạt EI60</t>
  </si>
  <si>
    <t>Hộp kín 6 mặt 1500x1500H1500 + bọc Smd/ MgO chống cháy đạt EI60</t>
  </si>
  <si>
    <t>Ống KT 500x200 + bọc Smd/ MgO chống cháy đạt EI30</t>
  </si>
  <si>
    <t>Ống KT 400x300 + bọc Smd/ MgO chống cháy đạt EI30</t>
  </si>
  <si>
    <t>Ống KT 600x300 + bọc Smd/ MgO chống cháy đạt EI30</t>
  </si>
  <si>
    <t>Ống KT 700x350 + bọc Smd/ MgO chống cháy đạt EI30</t>
  </si>
  <si>
    <t>Ống KT 700x400 + bọc Smd/ MgO chống cháy đạt EI30</t>
  </si>
  <si>
    <t>Ống KT 700x600 + bọc Smd/ MgO chống cháy đạt EI30</t>
  </si>
  <si>
    <t>Ống KT 800x300 + bọc Smd/ MgO chống cháy đạt EI30</t>
  </si>
  <si>
    <t>Ống KT 850x400 + bọc Smd/ MgO chống cháy đạt EI30</t>
  </si>
  <si>
    <t>Ống KT 900x350 + bọc Smd/ MgO chống cháy đạt EI30</t>
  </si>
  <si>
    <t>Ống KT 900x600 + bọc Smd/ MgO chống cháy đạt EI30</t>
  </si>
  <si>
    <t>Ống KT 1000x300 + bọc Smd/ MgO chống cháy đạt EI30</t>
  </si>
  <si>
    <t>Ống KT 1000x500 + bọc Smd/ MgO chống cháy đạt EI30</t>
  </si>
  <si>
    <t>Ống KT 1200x250 + bọc Smd/ MgO chống cháy đạt EI30</t>
  </si>
  <si>
    <t>Ống KT 1200x1000 + bọc Smd/ MgO chống cháy đạt EI30</t>
  </si>
  <si>
    <t>Ống KT: 1200x500 + bọc Smd/ MgO chống cháy đạt EI30</t>
  </si>
  <si>
    <t>Ống KT 1150x950 + bọc Smd/ MgO chống cháy đạt EI30</t>
  </si>
  <si>
    <t>Ống KT 1150x750 + bọc Smd/ MgO chống cháy đạt EI30</t>
  </si>
  <si>
    <t>Ống KT: 1050x1050 + bọc Smd/ MgO chống cháy đạt EI30</t>
  </si>
  <si>
    <t>Ống KT: 1050x900 + bọc Smd/ MgO chống cháy đạt EI30</t>
  </si>
  <si>
    <t>Ống KT 1050x500 + bọc Smd/ MgO chống cháy đạt EI30</t>
  </si>
  <si>
    <t>Ống KT: 900x700 + bọc Smd/ MgO chống cháy đạt EI30</t>
  </si>
  <si>
    <t>Ống KT 600x600 + bọc Smd/ MgO chống cháy đạt EI30</t>
  </si>
  <si>
    <t>Ống KT 500x600 + bọc Smd/ MgO chống cháy đạt EI30</t>
  </si>
  <si>
    <t>Ống KT: 550x300 + bọc Smd/ MgO chống cháy đạt EI30</t>
  </si>
  <si>
    <t>Ống KT: 400x400 + bọc Smd/ MgO chống cháy đạt EI30</t>
  </si>
  <si>
    <t>Ống KT: 300x250 + bọc Smd/ MgO chống cháy đạt EI30</t>
  </si>
  <si>
    <t>Ống KT: 200x200 + bọc Smd/ MgO chống cháy đạt EI30</t>
  </si>
  <si>
    <t>Cút 90 độ 600x300R300 + bọc Smd/ MgO chống cháy đạt EI30</t>
  </si>
  <si>
    <t>Cút 90 độ 700x400R350 + bọc Smd/ MgO chống cháy đạt EI30</t>
  </si>
  <si>
    <t>Cút 90 độ 850x400R425 + bọc Smd/ MgO chống cháy đạt EI30</t>
  </si>
  <si>
    <t>Cút 90 độ 900x350R450 + bọc Smd/ MgO chống cháy đạt EI30</t>
  </si>
  <si>
    <t>Cút 90 độ  1000x500R500 + bọc Smd/ MgO chống cháy đạt EI30</t>
  </si>
  <si>
    <t>Cút 90 độ  800x300R400 + bọc Smd/ MgO chống cháy đạt EI30</t>
  </si>
  <si>
    <t>Cút 90 độ  500x200R250 + bọc Smd/ MgO chống cháy đạt EI30</t>
  </si>
  <si>
    <t>Cút 90 độ  400x300R200 + bọc Smd/ MgO chống cháy đạt EI30</t>
  </si>
  <si>
    <t>Cút 90 độ  300x250R150 + bọc Smd/ MgO chống cháy đạt EI30</t>
  </si>
  <si>
    <t>Cút 90 độ  200x200R100 + bọc Smd/ MgO chống cháy đạt EI30</t>
  </si>
  <si>
    <t>Côn 1000x300/D1000L350 + bọc Smd/ MgO chống cháy đạt EI30 - tạm tính</t>
  </si>
  <si>
    <t>Côn 1000x500/D1000L350 + bọc Smd/ MgO chống cháy đạt EI30 - tạm tính</t>
  </si>
  <si>
    <t>Côn 1200x1000/D1000L350 + bọc Smd/ MgO chống cháy đạt EI30 - tạm tính</t>
  </si>
  <si>
    <t>Côn 550x300/D1000L350 + bọc Smd/ MgO chống cháy đạt EI30 - tạm tính</t>
  </si>
  <si>
    <t>Côn 700x400/D1000L350 + bọc Smd/ MgO chống cháy đạt EI30 - tạm tính</t>
  </si>
  <si>
    <t>Côn 850x400/D1000L350 + bọc Smd/ MgO chống cháy đạt EI30 - tạm tính</t>
  </si>
  <si>
    <t>Côn 900x350/D1000L350 + bọc Smd/ MgO chống cháy đạt EI30 - tạm tính</t>
  </si>
  <si>
    <t>Chạc ba 900x350/700x350/700x350 + bọc Smd/ MgO chống cháy đạt EI30</t>
  </si>
  <si>
    <t>Chân rẽ 300x200/200x200L100 + bọc Smd/ MgO chống cháy đạt EI30</t>
  </si>
  <si>
    <t>Chân rẽ 450x350/350x350L100 + bọc Smd/ MgO chống cháy đạt EI30</t>
  </si>
  <si>
    <t>Chân rẽ 500x400/400x400L100 + bọc Smd/ MgO chống cháy đạt EI30</t>
  </si>
  <si>
    <t>Chân rẽ 600x200/500x200L100 + bọc Smd/ MgO chống cháy đạt EI30</t>
  </si>
  <si>
    <t>Thanh chắn 2 chấu 30cm
Nhựa PP hoặc PVC</t>
  </si>
  <si>
    <t xml:space="preserve">1 cụm bao gồm 1 đồng hồ 2 bướm, 1 Y lọc
Vật liệu gang
Loại cơ, không kết nối BMS, Lắp ngang - PN10,Van bướm DN100 PN16 ,Nối mềm DN110 PN16, SS304 </t>
  </si>
  <si>
    <t>WTM - 100,FSNG.16,FSSEF.16</t>
  </si>
  <si>
    <t>KVS,Flowsure,Flowsure</t>
  </si>
  <si>
    <t>1 cụm bao gồm 1 đồng hồ 2 van cổng
Vật liệu gang
Loại cơ, không kết nối BMS, Lắp ngang,Van DN80 PN16</t>
  </si>
  <si>
    <t>WTM - 80,FSNG.16</t>
  </si>
  <si>
    <t>KVS,Flowsure</t>
  </si>
  <si>
    <t>1 cụm bao gồm 1 đồng hồ 2 van cổng
Vật liệu gang
Loại cơ, không kết nối BMS, Lắp ngang,Van DN50 PN16</t>
  </si>
  <si>
    <t>MTF - 55,FSGT.16, đồng thau</t>
  </si>
  <si>
    <t>1 cụm bao gồm 1 đồng hồ 2 van cổng
Vật liệu gang
Loại cơ, không kết nối BMS, Lắp ngang,Van DN40 PN16</t>
  </si>
  <si>
    <t>MTM - 55,FSGT.16, đồng thau</t>
  </si>
  <si>
    <t>1 cụm bao gồm 1 đồng hồ 2 van cổng
Vật liệu gang
Loại cơ, không kết nối BMS, Lắp ngang,Van DN32 PN16</t>
  </si>
  <si>
    <t>1 cụm bao gồm 1 đồng hồ 2 van cổng
Vật liệu gang
Loại cơ, không kết nối BMS, Lắp ngang,Van DN25 PN16</t>
  </si>
  <si>
    <t>1 cụm bao gồm 1 đồng hồ 2 van cổng
Vật liệu gang
Loại cơ, không kết nối BMS, Lắp ngang,Van cổng DN25 PN16</t>
  </si>
  <si>
    <t>1 cụm bao gồm 1 đồng hồ 2 van cổng
Vật liệu gang
Loại cơ, không kết nối BMS, Lắp ngang,Van cổng DN20 PN16</t>
  </si>
  <si>
    <t>KVS - 402,FSGT.16, đồng thau</t>
  </si>
  <si>
    <t>FSNG.16,FSPR.16</t>
  </si>
  <si>
    <t xml:space="preserve">Motor sạc 220VAC cho ACB Fixed 4P 3000AT 3200AF 65kA </t>
  </si>
  <si>
    <t xml:space="preserve">Cuộn đóng 220VAC cho ACB Fixed 4P 3000AT 3200AF 65kA </t>
  </si>
  <si>
    <t>Motor sạc 220VAC cho ACB 4P 1600AT 1600AF 65kA Fixed</t>
  </si>
  <si>
    <t>Cuộn đóng 220VAC cho ACB 4P 1600AT 1600AF 65kA Fixed</t>
  </si>
  <si>
    <t>Cuộn cắt 220VAC cho ACB 4P 1600AT 1600AF 65kA Fixed</t>
  </si>
  <si>
    <t>Tiếp điểm báo trạng thái cho MCCB 4P 1250AT 1250AF 50kA</t>
  </si>
  <si>
    <t>Tiếp điểm báo trạng thái cho MCCB 4P 1000AT 1000AF 50kA</t>
  </si>
  <si>
    <t>Tiếp điểm báo trạng thái cho MCCB 4P 400AT 400AF 50kA</t>
  </si>
  <si>
    <t>Tiếp điểm báo trạng thái cho MCCB 4P 320AT 400AF 50kA</t>
  </si>
  <si>
    <t>Tiếp điểm báo trạng thái cho MCCB 4P 250AT 250AF 50kA</t>
  </si>
  <si>
    <t xml:space="preserve">Motor sạc 220VAC cho ACB Fixed 4P 3200AT 3200AF 65kA </t>
  </si>
  <si>
    <t xml:space="preserve">Cuộn đóng 220VAC cho ACB Fixed 4P 3200AT 3200AF 65kA </t>
  </si>
  <si>
    <t>Tiếp điểm báo trạng thái cho MCCB 4P 400AT 400AT 50kA</t>
  </si>
  <si>
    <t>Cuộn cắt 220VAC cho MCCB 4P 400AT 400AT 50kA</t>
  </si>
  <si>
    <t>Cuộn cắt 220VAC cho MCCB 4P 400AT 400AF 50kA</t>
  </si>
  <si>
    <t>Tiếp điểm báo trạng thái cho MCCB 4P 1250AT 1250AT 50kA</t>
  </si>
  <si>
    <t>Cuộn cắt 220VAC cho MCCB 4P 1250AT 1250AT 50kA</t>
  </si>
  <si>
    <t>LED dây 24VDC, công suất 7W/m, 3000K , IP 20
Chưa bao gồm bộ nguồn driver 240VAC/24VDC</t>
  </si>
  <si>
    <t>Thiết bị phát tín hiệu ánh sáng cảnh báo chướng ngại vật hàng không (Đèn báo không)
Loại: Cường độ sáng trung bình type B
Hiệu: PTEL / Vietnam
Mã: PTEL-MB
Photocell, 110-240V, nhấp nháy</t>
  </si>
  <si>
    <t>3x CXV 185
1x CXV 95</t>
  </si>
  <si>
    <t>Ống tròn xoắn D250 Tấm CSLH dạng xốp dày 19mm 1 mặt keo, 1 mặt nhôm</t>
  </si>
  <si>
    <t>Hoa Sen+Tpflex</t>
  </si>
  <si>
    <t>Việt Nam+Việt Nam</t>
  </si>
  <si>
    <t>Ống tròn xoắn D300 Tấm CSLH dạng xốp dày 19mm 1 mặt keo, 1 mặt nhôm</t>
  </si>
  <si>
    <t>Ống tròn xoắn D350 Tấm CSLH dạng xốp dày 19mm 1 mặt keo, 1 mặt nhôm</t>
  </si>
  <si>
    <t>Ống 400x250 Tấm CSLH dạng xốp dày 19mm 1 mặt keo, 1 mặt nhôm</t>
  </si>
  <si>
    <t>Ống 600x250 Tấm CSLH dạng xốp dày 19mm 1 mặt keo, 1 mặt nhôm</t>
  </si>
  <si>
    <t>Ống 600x300 Tấm CSLH dạng xốp dày 19mm 1 mặt keo, 1 mặt nhôm</t>
  </si>
  <si>
    <t>Ống 600x350 Tấm CSLH dạng xốp dày 19mm 1 mặt keo, 1 mặt nhôm</t>
  </si>
  <si>
    <t>Ống 400x300 Tấm CSLH dạng xốp dày 19mm 1 mặt keo, 1 mặt nhôm</t>
  </si>
  <si>
    <t>Côn 600x250/400x250L200 Tấm CSLH dạng xốp dày 19mm 1 mặt keo, 1 mặt nhôm</t>
  </si>
  <si>
    <t>Côn 600x300/400x300L200 Tấm CSLH dạng xốp dày 19mm 1 mặt keo, 1 mặt nhôm</t>
  </si>
  <si>
    <t>Cửa khuếch tán KT bì 600x600 L250 về KT cổ 500x500 kèm hộp H250 + Tấm CSLH dạng xốp dày 19mm 1 mặt keo, 1 mặt nhôm</t>
  </si>
  <si>
    <t>Eusteel/ Thanh Xuân + Tpflex</t>
  </si>
  <si>
    <t>Việt Nam + Việt Nam</t>
  </si>
  <si>
    <t>Cửa khuếch tán KT bì 1200x250 L250 về KT cổ 1100x150 kèm hộp H250 + Tấm CSLH dạng xốp dày 19mm 1 mặt keo, 1 mặt nhôm</t>
  </si>
  <si>
    <t>Cửa bầu dục 1 khung 2 lớp nan cố định KT bì 600x600 L250 về KT cổ 550x550 kèm hộp H250 + Tấm CSLH dạng xốp dày 19mm 1 mặt keo, 1 mặt nhôm</t>
  </si>
  <si>
    <t>Cửa bầu dục 1 khung 2 lớp nan cố định KT bì 1200x250 L250 về KT cổ 1150x200 kèm hộp H250 + Tấm CSLH dạng xốp dày 19mm 1 mặt keo, 1 mặt nhôm</t>
  </si>
  <si>
    <t>Van VCD KT: D250 L300 + Tấm CSLH dạng xốp dày 19mm 1 mặt keo, 1 mặt nhôm</t>
  </si>
  <si>
    <t>Van VCD KT: D300 L350 + Tấm CSLH dạng xốp dày 19mm 1 mặt keo, 1 mặt nhôm</t>
  </si>
  <si>
    <t>Van VCD KT: D350 L400 + Tấm CSLH dạng xốp dày 19mm 1 mặt keo, 1 mặt nhôm</t>
  </si>
  <si>
    <t>Hộp tiêu âm đầu máy 1200x250H250 kèm cách nhiệt CSLH dạng xốp dày 19mm 1 mặt keo, 1 mặt nhôm</t>
  </si>
  <si>
    <t>Hộp tiêu âm đầu máy 1200x250H250 kèm cách nhiệt CSLH dạng xốp dày 25mm 1 mặt keo, 1 mặt nhôm</t>
  </si>
  <si>
    <t>Chân rẽ 450x250/D250L150 kèm cách nhiệt CSLH dạng xốp dày 25mm 1 mặt keo, 1 mặt nhôm</t>
  </si>
  <si>
    <t>Chân rẽ 500x300/D300L150 kèm cách nhiệt CSLH dạng xốp dày 25mm 1 mặt keo, 1 mặt nhôm</t>
  </si>
  <si>
    <t>D6.35x 0.71mm kèm cách nhiệt CSLH dạng xốp 6x 13</t>
  </si>
  <si>
    <t>TPCooper + Tpflex</t>
  </si>
  <si>
    <t>D9.52x 0.71mm kèm cách nhiệt CSLH dạng xốp 10x 13</t>
  </si>
  <si>
    <t>D12.7x 0.81mm kèm cách nhiệt CSLH dạng xốp 13x 19</t>
  </si>
  <si>
    <t>D15.88x 0.81mm kèm cách nhiệt CSLH dạng xốp 16x 19</t>
  </si>
  <si>
    <t>D6.35x 0.81mm kèm cách nhiệt CSLH dạng xốp 6x 13</t>
  </si>
  <si>
    <t>D9.52x 0.81mm kèm cách nhiệt CSLH dạng xốp 10x 13</t>
  </si>
  <si>
    <t>D15.88x 1.0mm kèm cách nhiệt CSLH dạng xốp 16x 19</t>
  </si>
  <si>
    <t>D19.05x 1.0mm kèm cách nhiệt CSLH dạng xốp 19x 19</t>
  </si>
  <si>
    <t>D22.22x 1.0mm kèm cách nhiệt CSLH dạng xốp 22x 25</t>
  </si>
  <si>
    <t>D28.58x 1.20mm kèm cách nhiệt CSLH dạng xốp 28x 25</t>
  </si>
  <si>
    <t>D34.9x 1.2mm kèm cách nhiệt CSLH dạng xốp 35x 25</t>
  </si>
  <si>
    <t>D41.28x 1.43mm kèm cách nhiệt CSLH dạng xốp 42x 25</t>
  </si>
  <si>
    <t xml:space="preserve"> Ống uPVC DN21 x 1.2mm PN10, kèm cách nhiệt CSLH dạng xốp 22x 13</t>
  </si>
  <si>
    <t>Tiền Phong + Tpflex</t>
  </si>
  <si>
    <t xml:space="preserve"> Ống uPVC DN27 x 1.3mm PN10, kèm cách nhiệt CSLH dạng xốp 28x 13</t>
  </si>
  <si>
    <t xml:space="preserve"> Ống uPVC DN34 x 1.7mm PN10, kèm cách nhiệt CSLH dạng xốp 35x 13</t>
  </si>
  <si>
    <t xml:space="preserve"> Ống uPVC DN42 x 2.0mm PN10, kèm cách nhiệt CSLH dạng xốp 42x 13</t>
  </si>
  <si>
    <t xml:space="preserve"> Ống uPVC DN48 x 2.3mm PN10, kèm cách nhiệt CSLH dạng xốp 48x 13</t>
  </si>
  <si>
    <t xml:space="preserve"> Ống uPVC DN60 x 2.9mm PN10, kèm cách nhiệt CSLH dạng xốp 60x 13</t>
  </si>
  <si>
    <t xml:space="preserve"> Ống uPVC DN75 x 3.6mm PN6, kèm cách nhiệt CSLH dạng xốp 76x 13</t>
  </si>
  <si>
    <t xml:space="preserve"> Ống uPVC DN90 x 4.3mm PN6, kèm cách nhiệt CSLH dạng xốp 89x 13</t>
  </si>
  <si>
    <t xml:space="preserve"> Ống uPVC DN110 x 5.3mm PN6, kèm cách nhiệt CSLH dạng xốp 114x 13</t>
  </si>
  <si>
    <t xml:space="preserve"> Ống uPVC DN125 x 6mm PN6, kèm tấm cách nhiệt CSLH dạng xốp dày 16mm 1 mặt keo, 1 mặt nhôm</t>
  </si>
  <si>
    <t xml:space="preserve"> Ống uPVC DN140 x 6.7mm PN6, kèm tấm cách nhiệt CSLH dạng xốp dày 16mm 1 mặt keo, 1 mặt nhôm</t>
  </si>
  <si>
    <t xml:space="preserve"> Ống uPVC DN160 x 4.7mm PN6, kèm tấm cách nhiệt CSLH dạng xốp dày 16mm 1 mặt keo, 1 mặt nhôm</t>
  </si>
  <si>
    <t>Cửa nan T KT bì 1200x150 L250 về KT cổ 1150x100 kèm hộp H250 + Tấm CSLH dạng xốp dày 19mm 1 mặt keo, 1 mặt nhôm</t>
  </si>
  <si>
    <t>Cửa nan T KT bì 1500x150 L250 về KT cổ 1450x100 kèm hộp H250 + Tấm CSLH dạng xốp dày 19mm 1 mặt keo, 1 mặt nhôm</t>
  </si>
  <si>
    <t>Cửa bầu dục 1 khung 2 lớp nan cố định KT bì 1200x150 L250 về KT cổ 1150x100 kèm hộp H250 + Tấm CSLH dạng xốp dày 19mm 1 mặt keo, 1 mặt nhôm</t>
  </si>
  <si>
    <t>Cửa bầu dục 1 khung 2 lớp nan cố định KT bì 1500x150 L250 về KT cổ 1450x100 kèm hộp H250 + Tấm CSLH dạng xốp dày 19mm 1 mặt keo, 1 mặt nhôm</t>
  </si>
  <si>
    <t>ĐIỀU HÒA VRV</t>
  </si>
  <si>
    <t>QUẠT</t>
  </si>
  <si>
    <t>ĐIỀU HÒA KHÔNG KHÍ VÀ THÔNG GIÓ</t>
  </si>
  <si>
    <t>NHÀ THẦU SEAREFICO</t>
  </si>
  <si>
    <t>Nhà thầu đính kèm bảng chi tiết tủ điện</t>
  </si>
  <si>
    <t>TỔNG CỘNG GIÁ CHÀO SAU THUẾ (VNĐ)</t>
  </si>
  <si>
    <t>TỔNG CỘNG GIÁ CHÀO TRƯỚC THUẾ: (C = A + B) (VNĐ)</t>
  </si>
  <si>
    <t>Thuế Vat (tạm tính 10%) (VNĐ)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</si>
</sst>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1">
    <numFmt numFmtId="5" formatCode="#,##0\ &quot;₫&quot;;\-#,##0\ &quot;₫&quot;"/>
    <numFmt numFmtId="6" formatCode="#,##0\ &quot;₫&quot;;[Red]\-#,##0\ &quot;₫&quot;"/>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 _₫_-;\-* #,##0\ _₫_-;_-* &quot;-&quot;\ _₫_-;_-@_-"/>
    <numFmt numFmtId="171" formatCode="_-* #,##0.00\ _₫_-;\-* #,##0.00\ _₫_-;_-* &quot;-&quot;??\ _₫_-;_-@_-"/>
    <numFmt numFmtId="172" formatCode="&quot;£&quot;#,##0;[Red]\-&quot;£&quot;#,##0"/>
    <numFmt numFmtId="173" formatCode="_-&quot;£&quot;* #,##0_-;\-&quot;£&quot;* #,##0_-;_-&quot;£&quot;* &quot;-&quot;_-;_-@_-"/>
    <numFmt numFmtId="174" formatCode="_(* #,##0.0_);_(* \(#,##0.0\);_(* &quot;-&quot;??_);_(@_)"/>
    <numFmt numFmtId="175" formatCode="_(* #,##0_);_(* \(#,##0\);_(* &quot;-&quot;??_);_(@_)"/>
    <numFmt numFmtId="176" formatCode=".\ ###\ ;############################################################################################"/>
    <numFmt numFmtId="177" formatCode="_(&quot;£&quot;* #,##0_);_(&quot;£&quot;* \(#,##0\);_(&quot;£&quot;* &quot;-&quot;_);_(@_)"/>
    <numFmt numFmtId="178" formatCode="_-&quot;€&quot;* #,##0_-;\-&quot;€&quot;* #,##0_-;_-&quot;€&quot;* &quot;-&quot;_-;_-@_-"/>
    <numFmt numFmtId="179" formatCode="_-&quot;$&quot;* #,##0_-;\-&quot;$&quot;* #,##0_-;_-&quot;$&quot;* &quot;-&quot;_-;_-@_-"/>
    <numFmt numFmtId="180" formatCode="#,##0.00\ &quot;F&quot;;\-#,##0.00\ &quot;F&quot;"/>
    <numFmt numFmtId="181" formatCode="0.0%"/>
    <numFmt numFmtId="182" formatCode="##.##%"/>
    <numFmt numFmtId="183" formatCode="&quot;\&quot;#,##0.00;[Red]&quot;\&quot;&quot;\&quot;&quot;\&quot;&quot;\&quot;&quot;\&quot;&quot;\&quot;\-#,##0.00"/>
    <numFmt numFmtId="184" formatCode="&quot;\&quot;#,##0;[Red]&quot;\&quot;&quot;\&quot;\-#,##0"/>
    <numFmt numFmtId="185" formatCode="_-* #,##0\ &quot;F&quot;_-;\-* #,##0\ &quot;F&quot;_-;_-* &quot;-&quot;\ &quot;F&quot;_-;_-@_-"/>
    <numFmt numFmtId="186" formatCode="&quot;?&quot;#,##0.00;[Red]\-&quot;?&quot;#,##0.00"/>
    <numFmt numFmtId="187" formatCode="\\#,##0.00;[Red]&quot;\\\\\\-&quot;#,##0.00"/>
    <numFmt numFmtId="188" formatCode="_(* #,##0_);_(* \(#,##0\);_(* \-_);_(@_)"/>
    <numFmt numFmtId="189" formatCode="_-&quot;￡&quot;* #,##0.00_-;\-&quot;￡&quot;* #,##0.00_-;_-&quot;￡&quot;* &quot;-&quot;??_-;_-@_-"/>
    <numFmt numFmtId="190" formatCode="_-\$* #,##0_-;&quot;-$&quot;* #,##0_-;_-\$* \-_-;_-@_-"/>
    <numFmt numFmtId="191" formatCode="_(* #,##0_);_(* \(#,##0\);_(* \-??_);_(@_)"/>
    <numFmt numFmtId="192" formatCode="_(\$* #,##0_);_(\$* \(#,##0\);_(\$* \-_);_(@_)"/>
    <numFmt numFmtId="193" formatCode="_-* #,##0\ _F_-;\-* #,##0\ _F_-;_-* &quot;-&quot;\ _F_-;_-@_-"/>
    <numFmt numFmtId="194" formatCode="_-* #,##0\ _F_-;\-* #,##0\ _F_-;_-* &quot;- &quot;_F_-;_-@_-"/>
    <numFmt numFmtId="195" formatCode="_-* #,##0\ &quot;þ&quot;_-;\-* #,##0\ &quot;þ&quot;_-;_-* &quot;-&quot;\ &quot;þ&quot;_-;_-@_-"/>
    <numFmt numFmtId="196" formatCode="_-* #,##0\$_-;_-* #,##0&quot;$-&quot;;_-* &quot;-$&quot;_-;_-@_-"/>
    <numFmt numFmtId="197" formatCode="_-* #,##0&quot; F&quot;_-;\-* #,##0&quot; F&quot;_-;_-* &quot;- F&quot;_-;_-@_-"/>
    <numFmt numFmtId="198" formatCode="_-* #,##0\ &quot;$&quot;_-;\-* #,##0\ &quot;$&quot;_-;_-* &quot;-&quot;\ &quot;$&quot;_-;_-@_-"/>
    <numFmt numFmtId="199" formatCode="_-* #,##0&quot; $&quot;_-;\-* #,##0&quot; $&quot;_-;_-* &quot;- $&quot;_-;_-@_-"/>
    <numFmt numFmtId="200" formatCode="_-* #,##0\ &quot;$&quot;_-;_-* #,##0\ &quot;$&quot;\-;_-* &quot;-&quot;\ &quot;$&quot;_-;_-@_-"/>
    <numFmt numFmtId="201" formatCode="_-* #,##0&quot;$&quot;_-;_-* #,##0&quot;$&quot;\-;_-* &quot;-&quot;&quot;$&quot;_-;_-@_-"/>
    <numFmt numFmtId="202" formatCode="_ * #,##0_)&quot;$&quot;_ ;_ * \(#,##0\)&quot;$&quot;_ ;_ * &quot;-&quot;_)&quot;$&quot;_ ;_ @_ "/>
    <numFmt numFmtId="203" formatCode="_-&quot;ñ&quot;* #,##0_-;\-&quot;ñ&quot;* #,##0_-;_-&quot;ñ&quot;* &quot;-&quot;_-;_-@_-"/>
    <numFmt numFmtId="204" formatCode="_-&quot;þ&quot;* #,##0_-;\-&quot;þ&quot;* #,##0_-;_-&quot;þ&quot;* &quot;-&quot;_-;_-@_-"/>
    <numFmt numFmtId="205" formatCode="_-\ñ* #,##0_-;&quot;-ñ&quot;* #,##0_-;_-\ñ* \-_-;_-@_-"/>
    <numFmt numFmtId="206" formatCode="_-\€* #,##0_-;&quot;-€&quot;* #,##0_-;_-\€* \-_-;_-@_-"/>
    <numFmt numFmtId="207" formatCode="_-* #,##0.00_-;\-* #,##0.00_-;_-* \-??_-;_-@_-"/>
    <numFmt numFmtId="208" formatCode="_(* #,##0.00_);_(* \(#,##0.00\);_(* \-??_);_(@_)"/>
    <numFmt numFmtId="209" formatCode="_ * #,##0.00_ ;_ * \-#,##0.00_ ;_ * &quot;-&quot;??_ ;_ @_ "/>
    <numFmt numFmtId="210" formatCode="_ * #,##0.00_ ;_ * \-#,##0.00_ ;_ * \-??_ ;_ @_ "/>
    <numFmt numFmtId="211" formatCode="_-* #,##0.00\ _V_N_D_-;\-* #,##0.00\ _V_N_D_-;_-* &quot;-&quot;??\ _V_N_D_-;_-@_-"/>
    <numFmt numFmtId="212" formatCode="_-* #,##0.00\ _V_N_D_-;\-* #,##0.00\ _V_N_D_-;_-* \-??\ _V_N_D_-;_-@_-"/>
    <numFmt numFmtId="213" formatCode="_-* #,##0.00\ _F_-;\-* #,##0.00\ _F_-;_-* &quot;-&quot;??\ _F_-;_-@_-"/>
    <numFmt numFmtId="214" formatCode="_-* #,##0.00\ _F_-;\-* #,##0.00\ _F_-;_-* \-??\ _F_-;_-@_-"/>
    <numFmt numFmtId="215" formatCode="_-* #,##0.00\ _þ_-;\-* #,##0.00\ _þ_-;_-* &quot;-&quot;??\ _þ_-;_-@_-"/>
    <numFmt numFmtId="216" formatCode="_-* #,##0.00\ _€_-;\-* #,##0.00\ _€_-;_-* &quot;-&quot;??\ _€_-;_-@_-"/>
    <numFmt numFmtId="217" formatCode="_-* #,##0.00\ _V_N_Ñ_-;_-* #,##0.00\ _V_N_Ñ\-;_-* &quot;-&quot;??\ _V_N_Ñ_-;_-@_-"/>
    <numFmt numFmtId="218" formatCode="_ * #,##0.00_)_$_ ;_ * \(#,##0.00\)_$_ ;_ * &quot;-&quot;??_)_$_ ;_ @_ "/>
    <numFmt numFmtId="219" formatCode="_-* #,##0.00\ _€_-;\-* #,##0.00\ _€_-;_-* \-??\ _€_-;_-@_-"/>
    <numFmt numFmtId="220" formatCode="_-* #,##0.00_-;_-* #,##0.00\-;_-* &quot;-&quot;??_-;_-@_-"/>
    <numFmt numFmtId="221" formatCode="_-* #,##0.00_$_-;_-* #,##0.00_$\-;_-* &quot;-&quot;??_$_-;_-@_-"/>
    <numFmt numFmtId="222" formatCode="_-* #,##0.00_$_-;_-* #,##0.00_$\-;_-* \-??_$_-;_-@_-"/>
    <numFmt numFmtId="223" formatCode="_-* #,##0.00\ _$_-;_-* #,##0.00\ _$\-;_-* &quot;-&quot;??\ _$_-;_-@_-"/>
    <numFmt numFmtId="224" formatCode="_-* #,##0.00\ _ñ_-;\-* #,##0.00\ _ñ_-;_-* &quot;-&quot;??\ _ñ_-;_-@_-"/>
    <numFmt numFmtId="225" formatCode="_-* #,##0.00\ _ñ_-;\-* #,##0.00\ _ñ_-;_-* \-??\ _ñ_-;_-@_-"/>
    <numFmt numFmtId="226" formatCode="_-* #,##0_-;\-* #,##0_-;_-* \-_-;_-@_-"/>
    <numFmt numFmtId="227" formatCode="_(&quot;$&quot;\ * #,##0_);_(&quot;$&quot;\ * \(#,##0\);_(&quot;$&quot;\ * &quot;-&quot;_);_(@_)"/>
    <numFmt numFmtId="228" formatCode="_(&quot;$ &quot;* #,##0_);_(&quot;$ &quot;* \(#,##0\);_(&quot;$ &quot;* \-_);_(@_)"/>
    <numFmt numFmtId="229" formatCode="_(&quot;þ&quot;\ * #,##0_);_(&quot;þ&quot;\ * \(#,##0\);_(&quot;þ&quot;\ * &quot;-&quot;_);_(@_)"/>
    <numFmt numFmtId="230" formatCode="_(&quot;₫&quot;\ * #,##0_);_(&quot;₫&quot;\ * \(#,##0\);_(&quot;₫&quot;\ * &quot;-&quot;_);_(@_)"/>
    <numFmt numFmtId="231" formatCode="_(&quot;€&quot;\ * #,##0_);_(&quot;€&quot;\ * \(#,##0\);_(&quot;€&quot;\ * &quot;-&quot;_);_(@_)"/>
    <numFmt numFmtId="232" formatCode="_(&quot;€ &quot;* #,##0_);_(&quot;€ &quot;* \(#,##0\);_(&quot;€ &quot;* \-_);_(@_)"/>
    <numFmt numFmtId="233" formatCode="_-* #,##0\ &quot;ñ&quot;_-;\-* #,##0\ &quot;ñ&quot;_-;_-* &quot;-&quot;\ &quot;ñ&quot;_-;_-@_-"/>
    <numFmt numFmtId="234" formatCode="_-* #,##0&quot; ñ&quot;_-;\-* #,##0&quot; ñ&quot;_-;_-* &quot;- ñ&quot;_-;_-@_-"/>
    <numFmt numFmtId="235" formatCode="_-* #,##0\ &quot;€&quot;_-;\-* #,##0\ &quot;€&quot;_-;_-* &quot;-&quot;\ &quot;€&quot;_-;_-@_-"/>
    <numFmt numFmtId="236" formatCode="_-* #,##0&quot; €&quot;_-;\-* #,##0&quot; €&quot;_-;_-* &quot;- €&quot;_-;_-@_-"/>
    <numFmt numFmtId="237" formatCode="_ * #,##0_ ;_ * \-#,##0_ ;_ * &quot;-&quot;_ ;_ @_ "/>
    <numFmt numFmtId="238" formatCode="_ * #,##0_ ;_ * \-#,##0_ ;_ * \-_ ;_ @_ "/>
    <numFmt numFmtId="239" formatCode="_-* #,##0\ _V_N_D_-;\-* #,##0\ _V_N_D_-;_-* &quot;-&quot;\ _V_N_D_-;_-@_-"/>
    <numFmt numFmtId="240" formatCode="_-* #,##0\ _V_N_D_-;\-* #,##0\ _V_N_D_-;_-* &quot;- &quot;_V_N_D_-;_-@_-"/>
    <numFmt numFmtId="241" formatCode="_-* #,##0\ _þ_-;\-* #,##0\ _þ_-;_-* &quot;-&quot;\ _þ_-;_-@_-"/>
    <numFmt numFmtId="242" formatCode="_-* #,##0\ _€_-;\-* #,##0\ _€_-;_-* &quot;-&quot;\ _€_-;_-@_-"/>
    <numFmt numFmtId="243" formatCode="_-* #,##0\ _V_N_Ñ_-;_-* #,##0\ _V_N_Ñ\-;_-* &quot;-&quot;\ _V_N_Ñ_-;_-@_-"/>
    <numFmt numFmtId="244" formatCode="_ * #,##0_)_$_ ;_ * \(#,##0\)_$_ ;_ * &quot;-&quot;_)_$_ ;_ @_ "/>
    <numFmt numFmtId="245" formatCode="_-* #,##0\ _€_-;\-* #,##0\ _€_-;_-* &quot;- &quot;_€_-;_-@_-"/>
    <numFmt numFmtId="246" formatCode="_-* #,##0\ _$_-;\-* #,##0\ _$_-;_-* &quot;-&quot;\ _$_-;_-@_-"/>
    <numFmt numFmtId="247" formatCode="_-* #,##0\ _$_-;\-* #,##0\ _$_-;_-* &quot;- &quot;_$_-;_-@_-"/>
    <numFmt numFmtId="248" formatCode="_-* #,##0_-;_-* #,##0\-;_-* &quot;-&quot;_-;_-@_-"/>
    <numFmt numFmtId="249" formatCode="_-* #,##0_$_-;_-* #,##0_$\-;_-* &quot;-&quot;_$_-;_-@_-"/>
    <numFmt numFmtId="250" formatCode="_-* #,##0_$_-;_-* #,##0_$\-;_-* \-_$_-;_-@_-"/>
    <numFmt numFmtId="251" formatCode="_-* #,##0\ _ñ_-;\-* #,##0\ _ñ_-;_-* &quot;-&quot;\ _ñ_-;_-@_-"/>
    <numFmt numFmtId="252" formatCode="_-* #,##0\ _ñ_-;\-* #,##0\ _ñ_-;_-* &quot;- &quot;_ñ_-;_-@_-"/>
    <numFmt numFmtId="253" formatCode="_ &quot;\&quot;* #,##0_ ;_ &quot;\&quot;* \-#,##0_ ;_ &quot;\&quot;* &quot;-&quot;_ ;_ @_ "/>
    <numFmt numFmtId="254" formatCode="_ \\* #,##0_ ;_ \\* \-#,##0_ ;_ \\* \-_ ;_ @_ "/>
    <numFmt numFmtId="255" formatCode="###0"/>
    <numFmt numFmtId="256" formatCode="_-&quot;₫&quot;* #,##0.00_-;\-&quot;₫&quot;* #,##0.00_-;_-&quot;₫&quot;* &quot;-&quot;??_-;_-@_-"/>
    <numFmt numFmtId="257" formatCode="_-&quot;₫&quot;* #,##0_-;\-&quot;₫&quot;* #,##0_-;_-&quot;₫&quot;* &quot;-&quot;_-;_-@_-"/>
    <numFmt numFmtId="258" formatCode="&quot;₫&quot;#&quot;₫&quot;##0_);\(&quot;₫&quot;#&quot;₫&quot;##0\)"/>
    <numFmt numFmtId="259" formatCode="&quot;\&quot;#,##0;[Red]&quot;\&quot;\-#,##0"/>
    <numFmt numFmtId="260" formatCode="_(* #,##0.00_);_(* &quot;\&quot;&quot;\&quot;&quot;\&quot;\(#,##0.00&quot;\&quot;&quot;\&quot;&quot;\&quot;\);_(* &quot;-&quot;??_);_(@_)"/>
    <numFmt numFmtId="261" formatCode="_(* #,##0_);_(* &quot;\&quot;&quot;\&quot;&quot;\&quot;\(#,##0&quot;\&quot;&quot;\&quot;&quot;\&quot;\);_(* &quot;-&quot;_);_(@_)"/>
    <numFmt numFmtId="262" formatCode="&quot;\&quot;#,##0.00;[Red]&quot;\&quot;&quot;\&quot;\-#,##0.00"/>
    <numFmt numFmtId="263" formatCode="#,##0.0;[Red]#,##0.0"/>
    <numFmt numFmtId="264" formatCode="0.0_)"/>
    <numFmt numFmtId="265" formatCode="#,##0.000"/>
    <numFmt numFmtId="266" formatCode="m\-d\-yy"/>
    <numFmt numFmtId="267" formatCode="&quot;SFr.&quot;\ #,##0.00;[Red]&quot;SFr.&quot;\ \-#,##0.00"/>
    <numFmt numFmtId="268" formatCode="_-* #,##0_-;&quot;\\\\-&quot;* #,##0_-;_-* \-_-;_-@_-"/>
    <numFmt numFmtId="269" formatCode="&quot;SFr.&quot;\ #,##0.00;&quot;SFr.&quot;\ \-#,##0.00"/>
    <numFmt numFmtId="270" formatCode="0.0000_)"/>
    <numFmt numFmtId="271" formatCode="General_)"/>
    <numFmt numFmtId="272" formatCode="_ &quot;SFr.&quot;\ * #,##0_ ;_ &quot;SFr.&quot;\ * \-#,##0_ ;_ &quot;SFr.&quot;\ * &quot;-&quot;_ ;_ @_ "/>
    <numFmt numFmtId="273" formatCode="0&quot; mA &quot;"/>
    <numFmt numFmtId="274" formatCode="0.0#&quot; Amps &quot;"/>
    <numFmt numFmtId="275" formatCode="\\#,##0;&quot;\\\\\-\&quot;#,##0"/>
    <numFmt numFmtId="276" formatCode=";;"/>
    <numFmt numFmtId="277" formatCode="#,##0;\-#,##0;&quot;-&quot;"/>
    <numFmt numFmtId="278" formatCode="#,##0.0_);\(#,##0.0\)"/>
    <numFmt numFmtId="279" formatCode="&quot;$&quot;#,##0.00"/>
    <numFmt numFmtId="280" formatCode="_ * #,##0.00_F_ ;_ * #,##0.00_F_ ;_ * &quot;-&quot;??_F_ ;_ @_ "/>
    <numFmt numFmtId="281" formatCode="_ * #,##0.00&quot;F&quot;_ ;_ * #,##0.00&quot;F&quot;_ ;_ * &quot;-&quot;??&quot;F&quot;_ ;_ @_ "/>
    <numFmt numFmtId="282" formatCode="#,##0\ &quot;F&quot;;[Red]\-#,##0\ &quot;F&quot;"/>
    <numFmt numFmtId="283" formatCode="_-* #,##0.00\ &quot;F&quot;_-;\-* #,##0.00\ &quot;F&quot;_-;_-* &quot;-&quot;??\ &quot;F&quot;_-;_-@_-"/>
    <numFmt numFmtId="284" formatCode="0.000_)"/>
    <numFmt numFmtId="285" formatCode="#,##0;[Red]#,##0"/>
    <numFmt numFmtId="286" formatCode="&quot;On&quot;;&quot;On&quot;;&quot;Off&quot;"/>
    <numFmt numFmtId="287" formatCode="&quot;¥&quot;#,##0;&quot;¥&quot;\-#,##0"/>
    <numFmt numFmtId="288" formatCode="0.000"/>
    <numFmt numFmtId="289" formatCode="#,##0;\(#,##0\)"/>
    <numFmt numFmtId="290" formatCode="&quot;CR &quot;0"/>
    <numFmt numFmtId="291" formatCode="_ &quot;R&quot;\ * #,##0_ ;_ &quot;R&quot;\ * \-#,##0_ ;_ &quot;R&quot;\ * &quot;-&quot;_ ;_ @_ "/>
    <numFmt numFmtId="292" formatCode="&quot;₫&quot;#,##0.000_);[Red]\(&quot;₫&quot;#,##0.00\)"/>
    <numFmt numFmtId="293" formatCode="00000"/>
    <numFmt numFmtId="294" formatCode="&quot;₫&quot;#,##0.00"/>
    <numFmt numFmtId="295" formatCode="&quot;  &quot;\ #,##0_);\(&quot;  &quot;\ #,##0\)"/>
    <numFmt numFmtId="296" formatCode="&quot;  &quot;\ #,##0_);[Red]\(&quot;  &quot;\ #,##0\)"/>
    <numFmt numFmtId="297" formatCode="_(\$* #,##0.00_);_(\$* \(#,##0.00\);_(\$* \-??_);_(@_)"/>
    <numFmt numFmtId="298" formatCode="#,##0.0_);[Red]\(#,##0.0\)"/>
    <numFmt numFmtId="299" formatCode="\$#,##0\ ;\(\$#,##0\)"/>
    <numFmt numFmtId="300" formatCode="&quot;$&quot;* #,##0.00;[Red]\ \(&quot;$&quot;* #,##0.00\)"/>
    <numFmt numFmtId="301" formatCode="_-* #,##0.000000_-;\-* #,##0.000000_-;_-* &quot;-&quot;??_-;_-@_-"/>
    <numFmt numFmtId="302" formatCode="\t0.00%"/>
    <numFmt numFmtId="303" formatCode="&quot;\&quot;&quot;\&quot;&quot;\&quot;&quot;\&quot;&quot;\&quot;\$#,##0_);&quot;\&quot;&quot;\&quot;&quot;\&quot;&quot;\&quot;&quot;\&quot;\(&quot;\&quot;&quot;\&quot;&quot;\&quot;&quot;\&quot;&quot;\&quot;\$#,##0&quot;\&quot;&quot;\&quot;&quot;\&quot;&quot;\&quot;&quot;\&quot;\)"/>
    <numFmt numFmtId="304" formatCode="#,##0.00\ &quot;F&quot;;[Red]\-#,##0.00\ &quot;F&quot;"/>
    <numFmt numFmtId="305" formatCode="##,###.##"/>
    <numFmt numFmtId="306" formatCode="m\o\n\th\ \D\,\ \y\y\y\y"/>
    <numFmt numFmtId="307" formatCode="#,##0_);[Red]\(#,##0\);;@"/>
    <numFmt numFmtId="308" formatCode="_-* #,##0\ _D_M_-;\-* #,##0\ _D_M_-;_-* &quot;-&quot;\ _D_M_-;_-@_-"/>
    <numFmt numFmtId="309" formatCode="_-* #,##0.00\ _D_M_-;\-* #,##0.00\ _D_M_-;_-* &quot;-&quot;??\ _D_M_-;_-@_-"/>
    <numFmt numFmtId="310" formatCode="_-&quot;F&quot;\ * #,##0.0_-;_-&quot;F&quot;\ * #,##0.0\-;_-&quot;F&quot;\ * &quot;-&quot;??_-;_-@_-"/>
    <numFmt numFmtId="311" formatCode="\t#\ ??/??"/>
    <numFmt numFmtId="312" formatCode="_-* #,##0\ _₫_-;\-* #,##0\ _₫_-;_-* &quot;- &quot;_₫_-;_-@_-"/>
    <numFmt numFmtId="313" formatCode="_-* #,##0.00\ _₫_-;\-* #,##0.00\ _₫_-;_-* \-??\ _₫_-;_-@_-"/>
    <numFmt numFmtId="314" formatCode="_ * #,##0_)_L_._ ;_ * \(#,##0\)_L_._ ;_ * &quot;-&quot;_)_L_._ ;_ @_ "/>
    <numFmt numFmtId="315" formatCode="0.000%"/>
    <numFmt numFmtId="316" formatCode="&quot;Dong&quot;#,##0.00_);[Red]\(&quot;Dong&quot;#,##0.00\)"/>
    <numFmt numFmtId="317" formatCode="&quot;Dong&quot;#,##0.00_);[Red]&quot;(Dong&quot;#,##0.00\)"/>
    <numFmt numFmtId="318" formatCode="#."/>
    <numFmt numFmtId="319" formatCode="_(* #,##0.000000_);_(* \(#,##0.000000\);_(* &quot;-&quot;??_);_(@_)"/>
    <numFmt numFmtId="320" formatCode=";;;"/>
    <numFmt numFmtId="321" formatCode="ddd\ mmm\ d"/>
    <numFmt numFmtId="322" formatCode="0.0#&quot; kPa &quot;"/>
    <numFmt numFmtId="323" formatCode="0.0#&quot; kW &quot;"/>
    <numFmt numFmtId="324" formatCode="0.0#&quot; l/s &quot;"/>
    <numFmt numFmtId="325" formatCode="0.0#&quot; m &quot;"/>
    <numFmt numFmtId="326" formatCode="0&quot; m² &quot;"/>
    <numFmt numFmtId="327" formatCode="0.0#&quot; m² &quot;"/>
    <numFmt numFmtId="328" formatCode="&quot;MS &quot;0"/>
    <numFmt numFmtId="329" formatCode="&quot;MCP &quot;00"/>
    <numFmt numFmtId="330" formatCode="0.0"/>
    <numFmt numFmtId="331" formatCode="0&quot; mm &quot;"/>
    <numFmt numFmtId="332" formatCode="0.0&quot; mm &quot;"/>
    <numFmt numFmtId="333" formatCode="0&quot; mm² &quot;"/>
    <numFmt numFmtId="334" formatCode="0.0000"/>
    <numFmt numFmtId="335" formatCode="#,###"/>
    <numFmt numFmtId="336" formatCode="#,##0\ &quot;$&quot;_);[Red]\(#,##0\ &quot;$&quot;\)"/>
    <numFmt numFmtId="337" formatCode="&quot;$&quot;###,0&quot;.&quot;00_);[Red]\(&quot;$&quot;###,0&quot;.&quot;00\)"/>
    <numFmt numFmtId="338" formatCode="&quot;\&quot;#,##0;[Red]\-&quot;\&quot;#,##0"/>
    <numFmt numFmtId="339" formatCode="&quot;\&quot;#,##0.00;\-&quot;\&quot;#,##0.00"/>
    <numFmt numFmtId="340" formatCode="&quot;VND&quot;#,##0_);[Red]\(&quot;VND&quot;#,##0\)"/>
    <numFmt numFmtId="341" formatCode="0.00_)"/>
    <numFmt numFmtId="342" formatCode="_(* #,##0.000_);_(* \(#,##0.000\);_(* &quot;-&quot;??_);_(@_)"/>
    <numFmt numFmtId="343" formatCode="&quot;OL &quot;0"/>
    <numFmt numFmtId="344" formatCode="#,##0.000_);\(#,##0.000\)"/>
    <numFmt numFmtId="345" formatCode="&quot;R &quot;0"/>
    <numFmt numFmtId="346" formatCode="#"/>
    <numFmt numFmtId="347" formatCode="#,##0.00\ \ "/>
    <numFmt numFmtId="348" formatCode="#,##0.00&quot; F&quot;;[Red]\-#,##0.00&quot; F&quot;"/>
    <numFmt numFmtId="349" formatCode="_-* #,##0.0\ _F_-;\-* #,##0.0\ _F_-;_-* &quot;-&quot;??\ _F_-;_-@_-"/>
    <numFmt numFmtId="350" formatCode="_ * #,##0_ ;_ * \-#,##0_ ;_ * &quot;-&quot;??_ ;_ @_ "/>
    <numFmt numFmtId="351" formatCode="_-&quot;\&quot;* #,##0_-;\-&quot;\&quot;* #,##0_-;_-&quot;\&quot;* &quot;-&quot;_-;_-@_-"/>
    <numFmt numFmtId="352" formatCode="_-* #,##0.0\ _F_-;\-* #,##0.0\ _F_-;_-* \-??\ _F_-;_-@_-"/>
    <numFmt numFmtId="353" formatCode="0.00000000000E+00;\?"/>
    <numFmt numFmtId="354" formatCode="\£#,##0;[Red]&quot;-£&quot;#,##0"/>
    <numFmt numFmtId="355" formatCode="&quot;R$&quot;#,##0.00_);[Red]\(&quot;R$&quot;#,##0.00\)"/>
    <numFmt numFmtId="356" formatCode="_-* #,##0\ _F_-;\-* #,##0\ _F_-;_-* &quot;-&quot;??\ _F_-;_-@_-"/>
    <numFmt numFmtId="357" formatCode="&quot;L.&quot;\ #,##0;[Red]\-&quot;L.&quot;\ #,##0"/>
    <numFmt numFmtId="358" formatCode="&quot;L.&quot;\ #,##0.00;[Red]\-&quot;L.&quot;\ #,##0.00"/>
    <numFmt numFmtId="359" formatCode="_-* #,##0\ &quot;DM&quot;_-;\-* #,##0\ &quot;DM&quot;_-;_-* &quot;-&quot;\ &quot;DM&quot;_-;_-@_-"/>
    <numFmt numFmtId="360" formatCode="_-&quot;\&quot;* #,##0.00_-;\-&quot;\&quot;* #,##0.00_-;_-&quot;\&quot;* &quot;-&quot;??_-;_-@_-"/>
    <numFmt numFmtId="361" formatCode="#,###&quot; &quot;;\(#,###\)"/>
    <numFmt numFmtId="362" formatCode="#,###&quot;  &quot;;\(#,###\)&quot; &quot;"/>
    <numFmt numFmtId="363" formatCode="_-&quot;$&quot;* #,##0.00_-;\-&quot;$&quot;* #,##0.00_-;_-&quot;$&quot;* &quot;-&quot;??_-;_-@_-"/>
    <numFmt numFmtId="364" formatCode="_([$€-2]* #,##0.00_);_([$€-2]* \(#,##0.00\);_([$€-2]* &quot;-&quot;??_)"/>
    <numFmt numFmtId="365" formatCode="#,##0.0"/>
    <numFmt numFmtId="366" formatCode="_ &quot;$&quot;\ * #,##0_ ;_ &quot;$&quot;\ * \-#,##0_ ;_ &quot;$&quot;\ * &quot;-&quot;_ ;_ @_ "/>
    <numFmt numFmtId="367" formatCode="0.000000"/>
    <numFmt numFmtId="368" formatCode="_(* #,##0.0000_);_(* \(#,##0.0000\);_(* &quot;-&quot;??_);_(@_)"/>
  </numFmts>
  <fonts count="295">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1"/>
      <color indexed="8"/>
      <name val="Calibri"/>
      <family val="2"/>
    </font>
    <font>
      <sz val="10"/>
      <name val="Arial"/>
      <family val="2"/>
    </font>
    <font>
      <sz val="11"/>
      <name val="Arial"/>
      <family val="2"/>
    </font>
    <font>
      <sz val="10"/>
      <name val="VNI-Times"/>
    </font>
    <font>
      <sz val="10"/>
      <name val="Tahoma"/>
      <family val="2"/>
    </font>
    <font>
      <b/>
      <sz val="11"/>
      <name val="Arial"/>
      <family val="2"/>
    </font>
    <font>
      <sz val="11"/>
      <name val="明朝"/>
      <family val="1"/>
    </font>
    <font>
      <sz val="12"/>
      <name val=".VnTime"/>
      <family val="2"/>
    </font>
    <font>
      <sz val="11"/>
      <color theme="1"/>
      <name val="Arial"/>
      <family val="2"/>
    </font>
    <font>
      <sz val="10"/>
      <name val="Helv"/>
      <family val="2"/>
    </font>
    <font>
      <sz val="11"/>
      <name val="Times New Roman"/>
      <family val="1"/>
    </font>
    <font>
      <sz val="10"/>
      <name val="Verdana"/>
      <family val="2"/>
      <charset val="163"/>
    </font>
    <font>
      <b/>
      <u/>
      <sz val="11"/>
      <name val="Times New Roman"/>
      <family val="1"/>
    </font>
    <font>
      <sz val="10"/>
      <name val="Times New Roman"/>
      <family val="1"/>
    </font>
    <font>
      <sz val="12"/>
      <name val="Times New Roman"/>
      <family val="1"/>
    </font>
    <font>
      <sz val="12"/>
      <name val="VNI-Times"/>
    </font>
    <font>
      <sz val="10"/>
      <name val="Arial"/>
      <family val="2"/>
      <charset val="163"/>
    </font>
    <font>
      <sz val="12"/>
      <name val="돋움체"/>
      <family val="3"/>
      <charset val="129"/>
    </font>
    <font>
      <sz val="11"/>
      <name val="VNI-Times"/>
    </font>
    <font>
      <b/>
      <sz val="10"/>
      <name val="SVNtimes new roman"/>
      <family val="2"/>
    </font>
    <font>
      <sz val="9"/>
      <name val="ﾀﾞｯﾁ"/>
      <family val="3"/>
    </font>
    <font>
      <sz val="12"/>
      <name val="VNtimes new roman"/>
      <family val="2"/>
    </font>
    <font>
      <sz val="12"/>
      <name val="바탕체"/>
      <family val="1"/>
      <charset val="129"/>
    </font>
    <font>
      <sz val="10"/>
      <name val="AngsanaUPC"/>
      <family val="1"/>
    </font>
    <font>
      <sz val="12"/>
      <name val="바탕체"/>
      <family val="3"/>
      <charset val="129"/>
    </font>
    <font>
      <sz val="12"/>
      <name val=".VnArial"/>
      <family val="2"/>
    </font>
    <font>
      <sz val="10"/>
      <name val="??"/>
      <family val="3"/>
      <charset val="129"/>
    </font>
    <font>
      <sz val="12"/>
      <name val="????"/>
      <family val="1"/>
    </font>
    <font>
      <sz val="10"/>
      <name val="MS Sans Serif"/>
      <family val="2"/>
    </font>
    <font>
      <sz val="11"/>
      <name val="ＭＳ Ｐゴシック"/>
      <family val="3"/>
      <charset val="128"/>
    </font>
    <font>
      <sz val="12"/>
      <name val="??UAAA"/>
      <family val="1"/>
    </font>
    <font>
      <sz val="12"/>
      <name val="|??¢¥¢¬¨Ï"/>
      <family val="1"/>
    </font>
    <font>
      <sz val="12"/>
      <name val="|??´¸ⓒ"/>
      <family val="1"/>
      <charset val="129"/>
    </font>
    <font>
      <sz val="14"/>
      <name val="뼻뮝"/>
      <family val="3"/>
      <charset val="129"/>
    </font>
    <font>
      <sz val="10"/>
      <name val="Helv"/>
      <charset val="204"/>
    </font>
    <font>
      <sz val="10"/>
      <name val="Helv"/>
    </font>
    <font>
      <sz val="10"/>
      <name val="굴림체"/>
      <family val="3"/>
      <charset val="129"/>
    </font>
    <font>
      <sz val="10"/>
      <name val=".VnTime"/>
      <family val="2"/>
    </font>
    <font>
      <sz val="10"/>
      <color indexed="8"/>
      <name val="MS Sans Serif"/>
      <family val="2"/>
    </font>
    <font>
      <sz val="10"/>
      <color indexed="8"/>
      <name val="Arial"/>
      <family val="2"/>
    </font>
    <font>
      <sz val="10"/>
      <name val="Times"/>
      <family val="1"/>
    </font>
    <font>
      <sz val="10"/>
      <name val="Times"/>
      <family val="2"/>
      <charset val="163"/>
    </font>
    <font>
      <sz val="10"/>
      <name val="Times"/>
      <family val="1"/>
    </font>
    <font>
      <sz val="12"/>
      <name val="???"/>
      <family val="3"/>
      <charset val="129"/>
    </font>
    <font>
      <sz val="12"/>
      <name val="Courier"/>
      <family val="3"/>
    </font>
    <font>
      <sz val="9"/>
      <name val="Arial"/>
      <family val="2"/>
    </font>
    <font>
      <sz val="11"/>
      <name val="–¾’©"/>
      <family val="1"/>
    </font>
    <font>
      <u/>
      <sz val="11"/>
      <color indexed="36"/>
      <name val="lr oSVbN"/>
      <family val="3"/>
    </font>
    <font>
      <sz val="10"/>
      <name val="Geneva"/>
      <family val="2"/>
    </font>
    <font>
      <sz val="11"/>
      <name val="lr oSVbN"/>
      <family val="3"/>
    </font>
    <font>
      <u/>
      <sz val="11"/>
      <color indexed="12"/>
      <name val="lr oSVbN"/>
      <family val="3"/>
    </font>
    <font>
      <sz val="11"/>
      <name val="?? ?????"/>
      <family val="3"/>
    </font>
    <font>
      <b/>
      <sz val="13"/>
      <name val=".VnArial NarrowH"/>
      <family val="2"/>
    </font>
    <font>
      <sz val="11"/>
      <color indexed="8"/>
      <name val="Calibri"/>
      <family val="2"/>
      <charset val="163"/>
    </font>
    <font>
      <sz val="14"/>
      <name val="VnTime"/>
      <family val="2"/>
    </font>
    <font>
      <b/>
      <u/>
      <sz val="14"/>
      <color indexed="8"/>
      <name val=".VnBook-AntiquaH"/>
      <family val="2"/>
    </font>
    <font>
      <sz val="11"/>
      <name val=".VnTime"/>
      <family val="2"/>
    </font>
    <font>
      <sz val="12"/>
      <name val="???"/>
      <family val="3"/>
    </font>
    <font>
      <sz val="12"/>
      <name val="바탕체"/>
      <family val="3"/>
    </font>
    <font>
      <sz val="10"/>
      <name val="VnTimes"/>
    </font>
    <font>
      <sz val="12"/>
      <color indexed="8"/>
      <name val="¹ÙÅÁÃ¼"/>
      <family val="1"/>
      <charset val="129"/>
    </font>
    <font>
      <i/>
      <sz val="12"/>
      <color indexed="8"/>
      <name val=".VnBook-AntiquaH"/>
      <family val="2"/>
    </font>
    <font>
      <sz val="10"/>
      <color indexed="8"/>
      <name val="Times New Roman"/>
      <family val="1"/>
    </font>
    <font>
      <sz val="11"/>
      <color indexed="8"/>
      <name val="宋体"/>
      <charset val="134"/>
    </font>
    <font>
      <b/>
      <sz val="12"/>
      <color indexed="8"/>
      <name val=".VnBook-Antiqua"/>
      <family val="2"/>
    </font>
    <font>
      <i/>
      <sz val="12"/>
      <color indexed="8"/>
      <name val=".VnBook-Antiqua"/>
      <family val="2"/>
    </font>
    <font>
      <sz val="11"/>
      <color indexed="9"/>
      <name val="Calibri"/>
      <family val="2"/>
    </font>
    <font>
      <sz val="10"/>
      <color indexed="9"/>
      <name val="Times New Roman"/>
      <family val="1"/>
    </font>
    <font>
      <sz val="11"/>
      <color indexed="9"/>
      <name val="宋体"/>
      <charset val="134"/>
    </font>
    <font>
      <b/>
      <u/>
      <sz val="18"/>
      <color indexed="9"/>
      <name val="Tahoma"/>
      <family val="2"/>
    </font>
    <font>
      <sz val="10"/>
      <name val="ＭＳ ゴシック"/>
      <family val="3"/>
      <charset val="128"/>
    </font>
    <font>
      <sz val="10"/>
      <name val="VNarial"/>
      <family val="2"/>
    </font>
    <font>
      <b/>
      <sz val="10"/>
      <name val="Arial"/>
      <family val="2"/>
    </font>
    <font>
      <sz val="12"/>
      <name val="¹UAAA¼"/>
      <family val="3"/>
    </font>
    <font>
      <sz val="9"/>
      <name val="ＭＳ ゴシック"/>
      <family val="3"/>
      <charset val="128"/>
    </font>
    <font>
      <sz val="8"/>
      <name val="Times New Roman"/>
      <family val="1"/>
    </font>
    <font>
      <sz val="12"/>
      <name val="¹ÙÅÁÃ¼"/>
      <family val="1"/>
    </font>
    <font>
      <sz val="12"/>
      <name val="¹ÙÅÁÃ¼"/>
      <family val="3"/>
      <charset val="136"/>
    </font>
    <font>
      <sz val="11"/>
      <color indexed="20"/>
      <name val="Calibri"/>
      <family val="2"/>
    </font>
    <font>
      <b/>
      <i/>
      <sz val="14"/>
      <name val="VNTime"/>
      <family val="2"/>
    </font>
    <font>
      <sz val="12"/>
      <name val="Times"/>
      <family val="1"/>
    </font>
    <font>
      <sz val="11"/>
      <name val="????"/>
      <family val="3"/>
    </font>
    <font>
      <sz val="10"/>
      <name val="±¼¸²A¼"/>
      <family val="3"/>
      <charset val="129"/>
    </font>
    <font>
      <sz val="11"/>
      <name val="µ¸¿ò"/>
      <family val="3"/>
      <charset val="136"/>
    </font>
    <font>
      <sz val="10"/>
      <name val=".VnArial"/>
      <family val="2"/>
    </font>
    <font>
      <b/>
      <sz val="11"/>
      <color indexed="60"/>
      <name val="Calibri"/>
      <family val="2"/>
    </font>
    <font>
      <b/>
      <sz val="11"/>
      <color indexed="52"/>
      <name val="Calibri"/>
      <family val="2"/>
    </font>
    <font>
      <b/>
      <sz val="10"/>
      <name val="Helv"/>
    </font>
    <font>
      <b/>
      <sz val="11"/>
      <color indexed="9"/>
      <name val="Calibri"/>
      <family val="2"/>
    </font>
    <font>
      <sz val="10"/>
      <name val="VNI-Aptima"/>
    </font>
    <font>
      <sz val="11"/>
      <name val="Times"/>
      <family val="1"/>
    </font>
    <font>
      <sz val="10"/>
      <name val="VNI-Goudy"/>
    </font>
    <font>
      <sz val="9"/>
      <color indexed="8"/>
      <name val="Times New Roman"/>
      <family val="1"/>
    </font>
    <font>
      <sz val="12"/>
      <name val="細明體"/>
      <family val="3"/>
      <charset val="136"/>
    </font>
    <font>
      <sz val="11"/>
      <color indexed="8"/>
      <name val="Arial"/>
      <family val="2"/>
    </font>
    <font>
      <sz val="12"/>
      <name val="宋体"/>
      <charset val="134"/>
    </font>
    <font>
      <sz val="11"/>
      <name val="VNI-Avo"/>
    </font>
    <font>
      <sz val="12"/>
      <name val="Arial"/>
      <family val="2"/>
    </font>
    <font>
      <sz val="10"/>
      <name val="MS Serif"/>
      <family val="1"/>
    </font>
    <font>
      <sz val="10"/>
      <name val="Courier"/>
      <family val="3"/>
    </font>
    <font>
      <b/>
      <sz val="10"/>
      <name val="VNI-Helve-Condense"/>
    </font>
    <font>
      <sz val="13"/>
      <name val=".VnTime"/>
      <family val="2"/>
    </font>
    <font>
      <sz val="12"/>
      <name val="VNI-Centur"/>
    </font>
    <font>
      <sz val="8"/>
      <name val="Arial"/>
      <family val="2"/>
    </font>
    <font>
      <sz val="12"/>
      <name val="Helv"/>
      <family val="2"/>
    </font>
    <font>
      <sz val="1"/>
      <color indexed="8"/>
      <name val="Courier"/>
      <family val="3"/>
    </font>
    <font>
      <b/>
      <sz val="11"/>
      <color indexed="63"/>
      <name val="Calibri"/>
      <family val="2"/>
    </font>
    <font>
      <sz val="11"/>
      <color indexed="62"/>
      <name val="Calibri"/>
      <family val="2"/>
    </font>
    <font>
      <b/>
      <sz val="11"/>
      <name val="VNTimeH"/>
      <family val="2"/>
    </font>
    <font>
      <b/>
      <sz val="15"/>
      <color indexed="56"/>
      <name val="Calibri"/>
      <family val="2"/>
    </font>
    <font>
      <b/>
      <sz val="13"/>
      <color indexed="56"/>
      <name val="Calibri"/>
      <family val="2"/>
    </font>
    <font>
      <b/>
      <sz val="11"/>
      <color indexed="56"/>
      <name val="Calibri"/>
      <family val="2"/>
    </font>
    <font>
      <sz val="10"/>
      <name val="Century Gothic"/>
      <family val="2"/>
    </font>
    <font>
      <sz val="10"/>
      <name val="Arial CE"/>
    </font>
    <font>
      <sz val="10"/>
      <name val="Arial CE"/>
      <charset val="238"/>
    </font>
    <font>
      <b/>
      <sz val="11"/>
      <color indexed="8"/>
      <name val="Calibri"/>
      <family val="2"/>
    </font>
    <font>
      <sz val="10"/>
      <color indexed="16"/>
      <name val="MS Serif"/>
      <family val="1"/>
    </font>
    <font>
      <sz val="9"/>
      <name val="Times New Roman"/>
      <family val="1"/>
    </font>
    <font>
      <i/>
      <sz val="11"/>
      <color indexed="23"/>
      <name val="Calibri"/>
      <family val="2"/>
    </font>
    <font>
      <sz val="11"/>
      <color indexed="17"/>
      <name val="Calibri"/>
      <family val="2"/>
    </font>
    <font>
      <sz val="10"/>
      <color indexed="8"/>
      <name val=".VnTime"/>
      <family val="2"/>
    </font>
    <font>
      <b/>
      <sz val="12"/>
      <color indexed="9"/>
      <name val="Times"/>
      <family val="1"/>
    </font>
    <font>
      <b/>
      <sz val="12"/>
      <name val="Helv"/>
    </font>
    <font>
      <b/>
      <sz val="12"/>
      <name val="Arial"/>
      <family val="2"/>
    </font>
    <font>
      <b/>
      <sz val="15"/>
      <color indexed="62"/>
      <name val="Calibri"/>
      <family val="2"/>
    </font>
    <font>
      <b/>
      <sz val="18"/>
      <name val="Arial"/>
      <family val="2"/>
    </font>
    <font>
      <b/>
      <sz val="13"/>
      <color indexed="62"/>
      <name val="Calibri"/>
      <family val="2"/>
    </font>
    <font>
      <b/>
      <sz val="11"/>
      <color indexed="62"/>
      <name val="Calibri"/>
      <family val="2"/>
    </font>
    <font>
      <b/>
      <sz val="1"/>
      <color indexed="8"/>
      <name val="Courier New"/>
      <family val="3"/>
    </font>
    <font>
      <b/>
      <sz val="8"/>
      <name val="MS Sans Serif"/>
      <family val="2"/>
    </font>
    <font>
      <b/>
      <sz val="10"/>
      <name val=".VnTime"/>
      <family val="2"/>
    </font>
    <font>
      <b/>
      <sz val="1"/>
      <color indexed="16"/>
      <name val="Courier"/>
      <family val="3"/>
    </font>
    <font>
      <sz val="10"/>
      <color indexed="12"/>
      <name val="Arial"/>
      <family val="2"/>
    </font>
    <font>
      <b/>
      <sz val="14"/>
      <name val=".VnTimeH"/>
      <family val="2"/>
    </font>
    <font>
      <u/>
      <sz val="10"/>
      <color indexed="12"/>
      <name val="Arial"/>
      <family val="2"/>
    </font>
    <font>
      <sz val="12"/>
      <name val="??"/>
      <family val="1"/>
      <charset val="129"/>
    </font>
    <font>
      <sz val="10"/>
      <name val=" "/>
      <family val="1"/>
      <charset val="136"/>
    </font>
    <font>
      <sz val="10"/>
      <name val="VNI-Helve"/>
    </font>
    <font>
      <b/>
      <sz val="11"/>
      <color indexed="56"/>
      <name val="VNI-Helve-Condense"/>
    </font>
    <font>
      <sz val="11"/>
      <name val="VNI-Helve-Condense"/>
    </font>
    <font>
      <b/>
      <sz val="14"/>
      <name val=".VnArialH"/>
      <family val="2"/>
    </font>
    <font>
      <b/>
      <sz val="14"/>
      <name val="Helv"/>
      <family val="2"/>
    </font>
    <font>
      <u/>
      <sz val="12"/>
      <color indexed="12"/>
      <name val=".VnTime"/>
      <family val="2"/>
    </font>
    <font>
      <sz val="11"/>
      <color indexed="52"/>
      <name val="Calibri"/>
      <family val="2"/>
    </font>
    <font>
      <b/>
      <sz val="11"/>
      <name val="Helv"/>
    </font>
    <font>
      <sz val="14"/>
      <name val=".VnTime"/>
      <family val="2"/>
    </font>
    <font>
      <sz val="10"/>
      <name val=".VnAvant"/>
      <family val="2"/>
    </font>
    <font>
      <sz val="9"/>
      <name val="VNI-Helve-Condense"/>
    </font>
    <font>
      <sz val="12"/>
      <name val="SVNtimes new roman"/>
      <family val="2"/>
    </font>
    <font>
      <b/>
      <sz val="10"/>
      <color indexed="9"/>
      <name val="Arial"/>
      <family val="2"/>
    </font>
    <font>
      <sz val="11"/>
      <color indexed="60"/>
      <name val="Calibri"/>
      <family val="2"/>
    </font>
    <font>
      <sz val="7"/>
      <name val="Small Fonts"/>
      <family val="2"/>
    </font>
    <font>
      <b/>
      <sz val="12"/>
      <name val="VN-NTime"/>
    </font>
    <font>
      <sz val="10"/>
      <name val="VNtimes new roman"/>
      <family val="2"/>
    </font>
    <font>
      <b/>
      <i/>
      <sz val="16"/>
      <name val="Helv"/>
      <family val="2"/>
    </font>
    <font>
      <sz val="12"/>
      <name val="Helv"/>
    </font>
    <font>
      <sz val="12"/>
      <name val="標準明朝"/>
      <family val="1"/>
    </font>
    <font>
      <sz val="10"/>
      <color rgb="FF000000"/>
      <name val="Times New Roman"/>
      <family val="1"/>
    </font>
    <font>
      <sz val="10"/>
      <color theme="1"/>
      <name val="Arial"/>
      <family val="2"/>
    </font>
    <font>
      <sz val="11"/>
      <color theme="1"/>
      <name val="Calibri"/>
      <family val="2"/>
    </font>
    <font>
      <sz val="11"/>
      <name val="Arial Narrow"/>
      <family val="2"/>
    </font>
    <font>
      <b/>
      <sz val="10"/>
      <name val="MS Sans Serif"/>
      <family val="2"/>
    </font>
    <font>
      <sz val="8"/>
      <name val="Wingdings"/>
      <charset val="2"/>
    </font>
    <font>
      <sz val="8"/>
      <color indexed="16"/>
      <name val="Century Schoolbook"/>
      <family val="1"/>
    </font>
    <font>
      <sz val="8"/>
      <name val="Helv"/>
    </font>
    <font>
      <sz val="10"/>
      <name val="Symbol"/>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i/>
      <sz val="10"/>
      <name val="Times New Roman"/>
      <family val="1"/>
    </font>
    <font>
      <b/>
      <u/>
      <sz val="10"/>
      <color indexed="18"/>
      <name val="Century Gothic"/>
      <family val="2"/>
    </font>
    <font>
      <sz val="11"/>
      <name val="3C_Times_T"/>
    </font>
    <font>
      <b/>
      <sz val="8.25"/>
      <name val="Helv"/>
    </font>
    <font>
      <b/>
      <sz val="18"/>
      <color indexed="62"/>
      <name val="Cambria"/>
      <family val="2"/>
    </font>
    <font>
      <sz val="8"/>
      <name val="MS Sans Serif"/>
      <family val="2"/>
    </font>
    <font>
      <sz val="10"/>
      <name val="VNbook-Antiqua"/>
      <family val="2"/>
    </font>
    <font>
      <sz val="11"/>
      <color indexed="32"/>
      <name val="VNI-Times"/>
    </font>
    <font>
      <b/>
      <sz val="8"/>
      <color indexed="8"/>
      <name val="Helv"/>
    </font>
    <font>
      <sz val="12"/>
      <name val="VNHelvet"/>
    </font>
    <font>
      <sz val="10"/>
      <name val="VNI-Centur"/>
    </font>
    <font>
      <b/>
      <sz val="12"/>
      <name val="VNI-Times"/>
    </font>
    <font>
      <sz val="12"/>
      <name val="VNTime"/>
      <family val="2"/>
    </font>
    <font>
      <b/>
      <sz val="13"/>
      <color indexed="8"/>
      <name val=".VnTimeH"/>
      <family val="2"/>
    </font>
    <font>
      <b/>
      <sz val="18"/>
      <color indexed="56"/>
      <name val="Cambria"/>
      <family val="2"/>
    </font>
    <font>
      <sz val="24"/>
      <color indexed="13"/>
      <name val="Helv"/>
      <family val="2"/>
    </font>
    <font>
      <b/>
      <i/>
      <sz val="12"/>
      <name val="Times New Roman"/>
      <family val="1"/>
    </font>
    <font>
      <sz val="8"/>
      <name val="VNI-Helve"/>
    </font>
    <font>
      <sz val="10"/>
      <color indexed="10"/>
      <name val="VNI-Helve-Condense"/>
    </font>
    <font>
      <sz val="8"/>
      <color indexed="12"/>
      <name val="Arial"/>
      <family val="2"/>
    </font>
    <font>
      <u/>
      <sz val="10"/>
      <color indexed="14"/>
      <name val="COUR"/>
      <family val="3"/>
    </font>
    <font>
      <sz val="11"/>
      <color indexed="10"/>
      <name val="Calibri"/>
      <family val="2"/>
    </font>
    <font>
      <b/>
      <sz val="8"/>
      <name val="VN Helvetica"/>
    </font>
    <font>
      <b/>
      <sz val="12"/>
      <name val=".VnTime"/>
      <family val="2"/>
    </font>
    <font>
      <b/>
      <sz val="10"/>
      <name val="VN AvantGBook"/>
    </font>
    <font>
      <b/>
      <sz val="16"/>
      <name val=".VnTime"/>
      <family val="2"/>
    </font>
    <font>
      <sz val="9"/>
      <name val=".VnTime"/>
      <family val="2"/>
    </font>
    <font>
      <sz val="14"/>
      <name val=".VnArial"/>
      <family val="2"/>
    </font>
    <font>
      <u/>
      <sz val="9"/>
      <color indexed="12"/>
      <name val="ﾋﾎﾌ "/>
      <family val="3"/>
    </font>
    <font>
      <u/>
      <sz val="9"/>
      <color indexed="36"/>
      <name val="ﾋﾎﾌ "/>
      <family val="3"/>
    </font>
    <font>
      <b/>
      <sz val="18"/>
      <color indexed="56"/>
      <name val="ＭＳ Ｐゴシック"/>
      <family val="3"/>
      <charset val="128"/>
    </font>
    <font>
      <b/>
      <sz val="10"/>
      <color indexed="9"/>
      <name val="Times New Roman"/>
      <family val="1"/>
    </font>
    <font>
      <sz val="10"/>
      <color indexed="60"/>
      <name val="Times New Roman"/>
      <family val="1"/>
    </font>
    <font>
      <sz val="10"/>
      <color indexed="52"/>
      <name val="Times New Roman"/>
      <family val="1"/>
    </font>
    <font>
      <sz val="16"/>
      <name val="AngsanaUPC"/>
      <family val="3"/>
    </font>
    <font>
      <sz val="10"/>
      <name val=" "/>
      <family val="1"/>
    </font>
    <font>
      <sz val="14"/>
      <name val="뼻뮝"/>
      <family val="3"/>
    </font>
    <font>
      <sz val="12"/>
      <name val="뼻뮝"/>
      <family val="1"/>
    </font>
    <font>
      <sz val="11"/>
      <name val="돋움"/>
      <family val="3"/>
      <charset val="129"/>
    </font>
    <font>
      <sz val="11"/>
      <name val="돋움"/>
      <family val="3"/>
    </font>
    <font>
      <sz val="10"/>
      <name val="QBJ-명조10pt"/>
      <family val="3"/>
    </font>
    <font>
      <sz val="12"/>
      <color indexed="8"/>
      <name val="바탕체"/>
      <family val="1"/>
    </font>
    <font>
      <sz val="10"/>
      <color indexed="62"/>
      <name val="Times New Roman"/>
      <family val="1"/>
    </font>
    <font>
      <b/>
      <sz val="10"/>
      <color indexed="63"/>
      <name val="Times New Roman"/>
      <family val="1"/>
    </font>
    <font>
      <sz val="11"/>
      <color indexed="17"/>
      <name val="宋体"/>
      <charset val="134"/>
    </font>
    <font>
      <sz val="11"/>
      <color indexed="20"/>
      <name val="宋体"/>
      <charset val="134"/>
    </font>
    <font>
      <sz val="10"/>
      <color indexed="20"/>
      <name val="Times New Roman"/>
      <family val="1"/>
    </font>
    <font>
      <sz val="14"/>
      <name val="ＭＳ 明朝"/>
      <family val="1"/>
      <charset val="128"/>
    </font>
    <font>
      <b/>
      <sz val="18"/>
      <color indexed="56"/>
      <name val="宋体"/>
      <charset val="134"/>
    </font>
    <font>
      <b/>
      <sz val="15"/>
      <color indexed="56"/>
      <name val="宋体"/>
      <charset val="134"/>
    </font>
    <font>
      <b/>
      <sz val="13"/>
      <color indexed="56"/>
      <name val="宋体"/>
      <charset val="134"/>
    </font>
    <font>
      <b/>
      <sz val="11"/>
      <color indexed="56"/>
      <name val="宋体"/>
      <charset val="134"/>
    </font>
    <font>
      <sz val="10"/>
      <name val=".VnVogueH"/>
      <family val="2"/>
    </font>
    <font>
      <sz val="10"/>
      <name val="明朝"/>
      <family val="1"/>
    </font>
    <font>
      <b/>
      <sz val="11"/>
      <color indexed="9"/>
      <name val="宋体"/>
      <charset val="134"/>
    </font>
    <font>
      <b/>
      <sz val="11"/>
      <color indexed="8"/>
      <name val="宋体"/>
      <charset val="134"/>
    </font>
    <font>
      <sz val="14"/>
      <name val="ＭＳ ・団"/>
      <family val="3"/>
    </font>
    <font>
      <sz val="10"/>
      <color indexed="17"/>
      <name val="Times New Roman"/>
      <family val="1"/>
    </font>
    <font>
      <b/>
      <sz val="15"/>
      <color indexed="56"/>
      <name val="Times New Roman"/>
      <family val="1"/>
    </font>
    <font>
      <b/>
      <sz val="13"/>
      <color indexed="56"/>
      <name val="Times New Roman"/>
      <family val="1"/>
    </font>
    <font>
      <b/>
      <sz val="11"/>
      <color indexed="56"/>
      <name val="Times New Roman"/>
      <family val="1"/>
    </font>
    <font>
      <i/>
      <sz val="11"/>
      <color indexed="23"/>
      <name val="宋体"/>
      <charset val="134"/>
    </font>
    <font>
      <b/>
      <sz val="10"/>
      <color indexed="52"/>
      <name val="Times New Roman"/>
      <family val="1"/>
    </font>
    <font>
      <i/>
      <sz val="10"/>
      <color indexed="23"/>
      <name val="Times New Roman"/>
      <family val="1"/>
    </font>
    <font>
      <sz val="10"/>
      <color indexed="10"/>
      <name val="Times New Roman"/>
      <family val="1"/>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10"/>
      <color indexed="8"/>
      <name val="Times New Roman"/>
      <family val="1"/>
    </font>
    <font>
      <sz val="11"/>
      <color theme="1"/>
      <name val="Calibri"/>
      <family val="2"/>
      <charset val="163"/>
      <scheme val="minor"/>
    </font>
    <font>
      <b/>
      <sz val="12"/>
      <color indexed="16"/>
      <name val="???"/>
      <family val="3"/>
      <charset val="129"/>
    </font>
    <font>
      <sz val="12"/>
      <name val="???"/>
      <family val="1"/>
      <charset val="129"/>
    </font>
    <font>
      <u/>
      <sz val="11"/>
      <color indexed="12"/>
      <name val="?? ?????"/>
      <family val="3"/>
    </font>
    <font>
      <u/>
      <sz val="11"/>
      <color indexed="36"/>
      <name val="??"/>
      <family val="1"/>
    </font>
    <font>
      <sz val="10"/>
      <name val="Arial"/>
      <family val="2"/>
    </font>
    <font>
      <sz val="10"/>
      <name val="Arial"/>
      <family val="2"/>
    </font>
    <font>
      <sz val="10"/>
      <name val="Arial"/>
      <family val="2"/>
    </font>
    <font>
      <sz val="10"/>
      <name val="바탕체"/>
      <family val="1"/>
      <charset val="129"/>
    </font>
    <font>
      <b/>
      <i/>
      <sz val="10"/>
      <name val="돋움"/>
      <family val="3"/>
      <charset val="129"/>
    </font>
    <font>
      <sz val="11"/>
      <name val="??"/>
      <family val="3"/>
      <charset val="129"/>
    </font>
    <font>
      <sz val="10"/>
      <name val="VNTime"/>
    </font>
    <font>
      <sz val="14"/>
      <name val="Terminal"/>
      <family val="3"/>
      <charset val="128"/>
    </font>
    <font>
      <sz val="11"/>
      <name val="±¼¸²A¼"/>
      <family val="3"/>
      <charset val="129"/>
    </font>
    <font>
      <sz val="11"/>
      <color indexed="8"/>
      <name val="Times New Roman"/>
      <family val="1"/>
    </font>
    <font>
      <b/>
      <sz val="11"/>
      <color theme="1"/>
      <name val="Times New Roman"/>
      <family val="1"/>
    </font>
    <font>
      <b/>
      <sz val="11"/>
      <name val="Times New Roman"/>
      <family val="1"/>
    </font>
    <font>
      <sz val="11"/>
      <color rgb="FF000000"/>
      <name val="Times New Roman"/>
      <family val="1"/>
    </font>
    <font>
      <sz val="11"/>
      <color rgb="FFFF0000"/>
      <name val="Times New Roman"/>
      <family val="1"/>
    </font>
    <font>
      <sz val="11"/>
      <color theme="1"/>
      <name val="Times New Roman"/>
      <family val="1"/>
    </font>
    <font>
      <b/>
      <sz val="11"/>
      <name val="Calibri"/>
      <family val="2"/>
      <scheme val="minor"/>
    </font>
    <font>
      <b/>
      <sz val="11"/>
      <color rgb="FFFF0000"/>
      <name val="Times New Roman"/>
      <family val="1"/>
    </font>
    <font>
      <b/>
      <sz val="18"/>
      <color indexed="16"/>
      <name val="Times New Roman"/>
      <family val="1"/>
    </font>
    <font>
      <sz val="11"/>
      <color theme="1"/>
      <name val="Arial Narrow"/>
      <family val="2"/>
    </font>
    <font>
      <sz val="11"/>
      <color indexed="8"/>
      <name val="Calibri"/>
      <family val="2"/>
      <charset val="1"/>
    </font>
    <font>
      <sz val="10"/>
      <name val="Lucida Sans"/>
      <family val="2"/>
      <charset val="1"/>
    </font>
    <font>
      <b/>
      <sz val="11"/>
      <color theme="1"/>
      <name val="Calibri"/>
      <family val="2"/>
      <scheme val="minor"/>
    </font>
    <font>
      <b/>
      <sz val="14"/>
      <color theme="1"/>
      <name val="Times New Roman"/>
      <family val="1"/>
    </font>
    <font>
      <sz val="10"/>
      <color rgb="FF000000"/>
      <name val="Calibri"/>
      <family val="2"/>
      <scheme val="minor"/>
    </font>
    <font>
      <sz val="11"/>
      <color theme="1"/>
      <name val="Times New Roman"/>
      <family val="1"/>
    </font>
    <font>
      <sz val="8"/>
      <name val="Calibri"/>
      <family val="2"/>
      <scheme val="minor"/>
    </font>
    <font>
      <sz val="10"/>
      <color indexed="8"/>
      <name val="MS Sans Serif"/>
    </font>
    <font>
      <u/>
      <sz val="11"/>
      <color theme="10"/>
      <name val="Calibri"/>
      <family val="2"/>
    </font>
    <font>
      <i/>
      <sz val="11"/>
      <color rgb="FFC00000"/>
      <name val="Times New Roman"/>
      <family val="1"/>
    </font>
    <font>
      <b/>
      <sz val="11"/>
      <color rgb="FF0000FF"/>
      <name val="Times New Roman"/>
      <family val="1"/>
    </font>
    <font>
      <sz val="11"/>
      <color theme="3"/>
      <name val="Times New Roman"/>
      <family val="1"/>
    </font>
    <font>
      <b/>
      <sz val="11"/>
      <color rgb="FFC00000"/>
      <name val="Times New Roman"/>
      <family val="1"/>
    </font>
    <font>
      <b/>
      <sz val="11"/>
      <color rgb="FF002060"/>
      <name val="Times New Roman"/>
      <family val="1"/>
    </font>
    <font>
      <b/>
      <sz val="11"/>
      <color indexed="8"/>
      <name val="Times New Roman"/>
      <family val="1"/>
    </font>
    <font>
      <sz val="11"/>
      <color theme="4"/>
      <name val="Times New Roman"/>
      <family val="1"/>
    </font>
    <font>
      <b/>
      <sz val="11"/>
      <color theme="4"/>
      <name val="Times New Roman"/>
      <family val="1"/>
    </font>
    <font>
      <b/>
      <sz val="11"/>
      <color rgb="FF0000FF"/>
      <name val="Calibri"/>
      <family val="2"/>
      <scheme val="minor"/>
    </font>
    <font>
      <b/>
      <sz val="11"/>
      <color theme="1"/>
      <name val="Calibri"/>
      <family val="2"/>
      <charset val="163"/>
      <scheme val="minor"/>
    </font>
    <font>
      <b/>
      <sz val="11"/>
      <color theme="1"/>
      <name val="Times New Roman"/>
      <family val="1"/>
      <charset val="163"/>
    </font>
  </fonts>
  <fills count="100">
    <fill>
      <patternFill patternType="none"/>
    </fill>
    <fill>
      <patternFill patternType="gray125"/>
    </fill>
    <fill>
      <patternFill patternType="solid">
        <fgColor theme="0"/>
        <bgColor indexed="64"/>
      </patternFill>
    </fill>
    <fill>
      <patternFill patternType="solid">
        <fgColor indexed="50"/>
        <bgColor indexed="64"/>
      </patternFill>
    </fill>
    <fill>
      <patternFill patternType="solid">
        <fgColor indexed="42"/>
        <bgColor indexed="64"/>
      </patternFill>
    </fill>
    <fill>
      <patternFill patternType="solid">
        <fgColor indexed="41"/>
        <bgColor indexed="64"/>
      </patternFill>
    </fill>
    <fill>
      <patternFill patternType="solid">
        <fgColor indexed="27"/>
        <bgColor indexed="64"/>
      </patternFill>
    </fill>
    <fill>
      <patternFill patternType="solid">
        <fgColor indexed="22"/>
        <bgColor indexed="31"/>
      </patternFill>
    </fill>
    <fill>
      <patternFill patternType="solid">
        <fgColor indexed="22"/>
        <bgColor indexed="44"/>
      </patternFill>
    </fill>
    <fill>
      <patternFill patternType="solid">
        <fgColor indexed="22"/>
        <bgColor indexed="64"/>
      </patternFill>
    </fill>
    <fill>
      <patternFill patternType="solid">
        <fgColor indexed="41"/>
        <bgColor indexed="49"/>
      </patternFill>
    </fill>
    <fill>
      <patternFill patternType="solid">
        <fgColor indexed="31"/>
        <bgColor indexed="44"/>
      </patternFill>
    </fill>
    <fill>
      <patternFill patternType="solid">
        <fgColor indexed="31"/>
        <bgColor indexed="64"/>
      </patternFill>
    </fill>
    <fill>
      <patternFill patternType="solid">
        <fgColor indexed="31"/>
      </patternFill>
    </fill>
    <fill>
      <patternFill patternType="solid">
        <fgColor indexed="27"/>
        <bgColor indexed="42"/>
      </patternFill>
    </fill>
    <fill>
      <patternFill patternType="solid">
        <fgColor indexed="45"/>
        <bgColor indexed="64"/>
      </patternFill>
    </fill>
    <fill>
      <patternFill patternType="solid">
        <fgColor indexed="45"/>
      </patternFill>
    </fill>
    <fill>
      <patternFill patternType="solid">
        <fgColor indexed="26"/>
        <bgColor indexed="43"/>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29"/>
        <bgColor indexed="64"/>
      </patternFill>
    </fill>
    <fill>
      <patternFill patternType="solid">
        <fgColor indexed="43"/>
        <bgColor indexed="26"/>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bgColor indexed="40"/>
      </patternFill>
    </fill>
    <fill>
      <patternFill patternType="solid">
        <fgColor indexed="30"/>
        <bgColor indexed="64"/>
      </patternFill>
    </fill>
    <fill>
      <patternFill patternType="solid">
        <fgColor indexed="30"/>
      </patternFill>
    </fill>
    <fill>
      <patternFill patternType="solid">
        <fgColor indexed="20"/>
        <bgColor indexed="64"/>
      </patternFill>
    </fill>
    <fill>
      <patternFill patternType="solid">
        <fgColor indexed="36"/>
      </patternFill>
    </fill>
    <fill>
      <patternFill patternType="solid">
        <fgColor indexed="49"/>
        <bgColor indexed="64"/>
      </patternFill>
    </fill>
    <fill>
      <patternFill patternType="solid">
        <fgColor indexed="52"/>
        <bgColor indexed="64"/>
      </patternFill>
    </fill>
    <fill>
      <patternFill patternType="solid">
        <fgColor indexed="52"/>
      </patternFill>
    </fill>
    <fill>
      <patternFill patternType="solid">
        <fgColor indexed="49"/>
      </patternFill>
    </fill>
    <fill>
      <patternFill patternType="solid">
        <fgColor indexed="36"/>
        <bgColor indexed="64"/>
      </patternFill>
    </fill>
    <fill>
      <patternFill patternType="solid">
        <fgColor indexed="12"/>
        <bgColor indexed="64"/>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42"/>
        <bgColor indexed="42"/>
      </patternFill>
    </fill>
    <fill>
      <patternFill patternType="solid">
        <fgColor indexed="57"/>
      </patternFill>
    </fill>
    <fill>
      <patternFill patternType="solid">
        <fgColor indexed="57"/>
        <bgColor indexed="64"/>
      </patternFill>
    </fill>
    <fill>
      <patternFill patternType="solid">
        <fgColor indexed="54"/>
        <bgColor indexed="23"/>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53"/>
        <bgColor indexed="64"/>
      </patternFill>
    </fill>
    <fill>
      <patternFill patternType="solid">
        <fgColor indexed="9"/>
        <bgColor indexed="26"/>
      </patternFill>
    </fill>
    <fill>
      <patternFill patternType="solid">
        <fgColor indexed="22"/>
      </patternFill>
    </fill>
    <fill>
      <patternFill patternType="solid">
        <fgColor indexed="55"/>
        <bgColor indexed="23"/>
      </patternFill>
    </fill>
    <fill>
      <patternFill patternType="solid">
        <fgColor indexed="55"/>
        <bgColor indexed="64"/>
      </patternFill>
    </fill>
    <fill>
      <patternFill patternType="lightGray">
        <fgColor indexed="13"/>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patternFill>
    </fill>
    <fill>
      <patternFill patternType="solid">
        <fgColor indexed="9"/>
        <bgColor indexed="64"/>
      </patternFill>
    </fill>
    <fill>
      <patternFill patternType="solid">
        <fgColor indexed="49"/>
        <bgColor indexed="44"/>
      </patternFill>
    </fill>
    <fill>
      <patternFill patternType="solid">
        <fgColor indexed="65"/>
        <bgColor indexed="64"/>
      </patternFill>
    </fill>
    <fill>
      <patternFill patternType="solid">
        <fgColor indexed="40"/>
        <bgColor indexed="64"/>
      </patternFill>
    </fill>
    <fill>
      <patternFill patternType="solid">
        <fgColor indexed="15"/>
      </patternFill>
    </fill>
    <fill>
      <patternFill patternType="solid">
        <fgColor indexed="55"/>
      </patternFill>
    </fill>
    <fill>
      <patternFill patternType="solid">
        <fgColor indexed="13"/>
      </patternFill>
    </fill>
    <fill>
      <patternFill patternType="solid">
        <fgColor indexed="12"/>
      </patternFill>
    </fill>
    <fill>
      <patternFill patternType="solid">
        <fgColor indexed="43"/>
        <bgColor indexed="64"/>
      </patternFill>
    </fill>
    <fill>
      <patternFill patternType="solid">
        <fgColor indexed="26"/>
        <bgColor indexed="64"/>
      </patternFill>
    </fill>
    <fill>
      <patternFill patternType="mediumGray">
        <fgColor indexed="22"/>
      </patternFill>
    </fill>
    <fill>
      <patternFill patternType="darkVertical"/>
    </fill>
    <fill>
      <patternFill patternType="solid">
        <fgColor indexed="54"/>
        <bgColor indexed="64"/>
      </patternFill>
    </fill>
    <fill>
      <patternFill patternType="solid">
        <fgColor indexed="21"/>
        <bgColor indexed="64"/>
      </patternFill>
    </fill>
    <fill>
      <patternFill patternType="lightUp">
        <fgColor indexed="48"/>
        <bgColor indexed="44"/>
      </patternFill>
    </fill>
    <fill>
      <patternFill patternType="darkGray">
        <fgColor indexed="15"/>
      </patternFill>
    </fill>
    <fill>
      <patternFill patternType="solid">
        <fgColor indexed="43"/>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bgColor indexed="51"/>
      </patternFill>
    </fill>
    <fill>
      <patternFill patternType="solid">
        <fgColor theme="7" tint="0.59999389629810485"/>
        <bgColor indexed="51"/>
      </patternFill>
    </fill>
  </fills>
  <borders count="100">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top style="thin">
        <color auto="1"/>
      </top>
      <bottom style="thin">
        <color auto="1"/>
      </bottom>
      <diagonal/>
    </border>
    <border>
      <left style="double">
        <color auto="1"/>
      </left>
      <right style="double">
        <color auto="1"/>
      </right>
      <top style="double">
        <color auto="1"/>
      </top>
      <bottom style="double">
        <color auto="1"/>
      </bottom>
      <diagonal/>
    </border>
    <border>
      <left/>
      <right/>
      <top/>
      <bottom style="hair">
        <color auto="1"/>
      </bottom>
      <diagonal/>
    </border>
    <border>
      <left style="double">
        <color auto="1"/>
      </left>
      <right/>
      <top/>
      <bottom style="hair">
        <color auto="1"/>
      </bottom>
      <diagonal/>
    </border>
    <border>
      <left style="thin">
        <color auto="1"/>
      </left>
      <right style="thin">
        <color auto="1"/>
      </right>
      <top/>
      <bottom style="hair">
        <color auto="1"/>
      </bottom>
      <diagonal/>
    </border>
    <border>
      <left/>
      <right/>
      <top style="hair">
        <color auto="1"/>
      </top>
      <bottom style="hair">
        <color auto="1"/>
      </bottom>
      <diagonal/>
    </border>
    <border>
      <left style="thin">
        <color auto="1"/>
      </left>
      <right style="thin">
        <color auto="1"/>
      </right>
      <top style="dotted">
        <color auto="1"/>
      </top>
      <bottom style="dotted">
        <color auto="1"/>
      </bottom>
      <diagonal/>
    </border>
    <border>
      <left style="thin">
        <color auto="1"/>
      </left>
      <right style="thin">
        <color auto="1"/>
      </right>
      <top style="double">
        <color auto="1"/>
      </top>
      <bottom style="hair">
        <color auto="1"/>
      </bottom>
      <diagonal/>
    </border>
    <border>
      <left style="thin">
        <color auto="1"/>
      </left>
      <right/>
      <top/>
      <bottom/>
      <diagonal/>
    </border>
    <border>
      <left style="thin">
        <color auto="1"/>
      </left>
      <right style="thin">
        <color auto="1"/>
      </right>
      <top style="dashed">
        <color auto="1"/>
      </top>
      <bottom style="dashed">
        <color auto="1"/>
      </bottom>
      <diagonal/>
    </border>
    <border>
      <left style="hair">
        <color auto="1"/>
      </left>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double">
        <color auto="1"/>
      </right>
      <top/>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auto="1"/>
      </right>
      <top/>
      <bottom/>
      <diagonal/>
    </border>
    <border>
      <left/>
      <right/>
      <top style="medium">
        <color auto="1"/>
      </top>
      <bottom style="medium">
        <color auto="1"/>
      </bottom>
      <diagonal/>
    </border>
    <border>
      <left/>
      <right/>
      <top/>
      <bottom style="thick">
        <color indexed="49"/>
      </bottom>
      <diagonal/>
    </border>
    <border>
      <left/>
      <right/>
      <top/>
      <bottom style="medium">
        <color indexed="49"/>
      </bottom>
      <diagonal/>
    </border>
    <border>
      <left/>
      <right/>
      <top/>
      <bottom style="medium">
        <color auto="1"/>
      </bottom>
      <diagonal/>
    </border>
    <border>
      <left/>
      <right/>
      <top/>
      <bottom style="double">
        <color indexed="52"/>
      </bottom>
      <diagonal/>
    </border>
    <border>
      <left style="medium">
        <color auto="1"/>
      </left>
      <right style="medium">
        <color auto="1"/>
      </right>
      <top style="medium">
        <color auto="1"/>
      </top>
      <bottom style="medium">
        <color auto="1"/>
      </bottom>
      <diagonal/>
    </border>
    <border>
      <left style="thin">
        <color indexed="8"/>
      </left>
      <right style="thin">
        <color indexed="8"/>
      </right>
      <top style="thin">
        <color indexed="8"/>
      </top>
      <bottom style="hair">
        <color indexed="8"/>
      </bottom>
      <diagonal/>
    </border>
    <border>
      <left/>
      <right/>
      <top style="medium">
        <color auto="1"/>
      </top>
      <bottom/>
      <diagonal/>
    </border>
    <border>
      <left style="medium">
        <color indexed="12"/>
      </left>
      <right style="medium">
        <color indexed="12"/>
      </right>
      <top style="medium">
        <color indexed="12"/>
      </top>
      <bottom style="medium">
        <color indexed="1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12"/>
      </left>
      <right/>
      <top style="thin">
        <color indexed="12"/>
      </top>
      <bottom style="thin">
        <color indexed="12"/>
      </bottom>
      <diagonal/>
    </border>
    <border>
      <left style="thin">
        <color indexed="8"/>
      </left>
      <right/>
      <top style="thin">
        <color indexed="8"/>
      </top>
      <bottom style="thin">
        <color indexed="8"/>
      </bottom>
      <diagonal/>
    </border>
    <border>
      <left/>
      <right style="medium">
        <color indexed="0"/>
      </right>
      <top/>
      <bottom/>
      <diagonal/>
    </border>
    <border>
      <left/>
      <right style="medium">
        <color indexed="8"/>
      </right>
      <top/>
      <bottom/>
      <diagonal/>
    </border>
    <border>
      <left/>
      <right/>
      <top style="medium">
        <color auto="1"/>
      </top>
      <bottom/>
      <diagonal/>
    </border>
    <border>
      <left/>
      <right/>
      <top style="thin">
        <color indexed="62"/>
      </top>
      <bottom style="double">
        <color indexed="62"/>
      </bottom>
      <diagonal/>
    </border>
    <border>
      <left/>
      <right/>
      <top style="double">
        <color auto="1"/>
      </top>
      <bottom/>
      <diagonal/>
    </border>
    <border>
      <left style="thin">
        <color indexed="8"/>
      </left>
      <right style="thin">
        <color indexed="8"/>
      </right>
      <top style="double">
        <color indexed="8"/>
      </top>
      <bottom style="thin">
        <color indexed="8"/>
      </bottom>
      <diagonal/>
    </border>
    <border>
      <left style="medium">
        <color indexed="9"/>
      </left>
      <right style="medium">
        <color indexed="9"/>
      </right>
      <top style="medium">
        <color indexed="9"/>
      </top>
      <bottom style="medium">
        <color indexed="9"/>
      </bottom>
      <diagonal/>
    </border>
    <border>
      <left/>
      <right/>
      <top style="hair">
        <color auto="1"/>
      </top>
      <bottom style="hair">
        <color auto="1"/>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indexed="12"/>
      </left>
      <right style="medium">
        <color indexed="12"/>
      </right>
      <top style="medium">
        <color indexed="12"/>
      </top>
      <bottom style="medium">
        <color indexed="12"/>
      </bottom>
      <diagonal/>
    </border>
    <border>
      <left style="thin">
        <color indexed="41"/>
      </left>
      <right style="thin">
        <color indexed="48"/>
      </right>
      <top style="medium">
        <color indexed="41"/>
      </top>
      <bottom style="thin">
        <color indexed="48"/>
      </bottom>
      <diagonal/>
    </border>
    <border>
      <left style="medium">
        <color indexed="9"/>
      </left>
      <right style="medium">
        <color indexed="9"/>
      </right>
      <top style="medium">
        <color indexed="9"/>
      </top>
      <bottom style="medium">
        <color indexed="9"/>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indexed="64"/>
      </top>
      <bottom style="hair">
        <color auto="1"/>
      </bottom>
      <diagonal/>
    </border>
    <border>
      <left style="thin">
        <color auto="1"/>
      </left>
      <right style="thin">
        <color auto="1"/>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hair">
        <color indexed="8"/>
      </bottom>
      <diagonal/>
    </border>
    <border>
      <left style="thin">
        <color auto="1"/>
      </left>
      <right/>
      <top style="thin">
        <color auto="1"/>
      </top>
      <bottom style="thin">
        <color auto="1"/>
      </bottom>
      <diagonal/>
    </border>
    <border>
      <left style="thin">
        <color indexed="12"/>
      </left>
      <right/>
      <top style="thin">
        <color indexed="12"/>
      </top>
      <bottom style="thin">
        <color indexed="12"/>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style="thin">
        <color indexed="8"/>
      </left>
      <right style="thin">
        <color indexed="8"/>
      </right>
      <top/>
      <bottom/>
      <diagonal/>
    </border>
    <border>
      <left style="thin">
        <color auto="1"/>
      </left>
      <right style="thin">
        <color auto="1"/>
      </right>
      <top style="thin">
        <color indexed="64"/>
      </top>
      <bottom style="thin">
        <color indexed="64"/>
      </bottom>
      <diagonal/>
    </border>
    <border>
      <left/>
      <right style="thin">
        <color auto="1"/>
      </right>
      <top/>
      <bottom style="thin">
        <color indexed="64"/>
      </bottom>
      <diagonal/>
    </border>
    <border>
      <left/>
      <right/>
      <top style="double">
        <color indexed="8"/>
      </top>
      <bottom/>
      <diagonal/>
    </border>
    <border>
      <left style="double">
        <color indexed="8"/>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hair">
        <color auto="1"/>
      </top>
      <bottom style="hair">
        <color auto="1"/>
      </bottom>
      <diagonal/>
    </border>
    <border>
      <left style="thin">
        <color auto="1"/>
      </left>
      <right style="thin">
        <color auto="1"/>
      </right>
      <top/>
      <bottom style="thin">
        <color auto="1"/>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s>
  <cellStyleXfs count="14656">
    <xf numFmtId="364" fontId="0" fillId="0" borderId="0"/>
    <xf numFmtId="169" fontId="7" fillId="0" borderId="0" applyFont="0" applyFill="0" applyBorder="0" applyAlignment="0" applyProtection="0"/>
    <xf numFmtId="169" fontId="7" fillId="0" borderId="0" applyFont="0" applyFill="0" applyBorder="0" applyAlignment="0" applyProtection="0"/>
    <xf numFmtId="364" fontId="8" fillId="0" borderId="0"/>
    <xf numFmtId="169" fontId="8" fillId="0" borderId="0" applyFont="0" applyFill="0" applyBorder="0" applyAlignment="0" applyProtection="0"/>
    <xf numFmtId="176" fontId="10" fillId="0" borderId="0" applyFont="0" applyFill="0" applyBorder="0" applyAlignment="0" applyProtection="0"/>
    <xf numFmtId="364" fontId="11" fillId="0" borderId="0"/>
    <xf numFmtId="169" fontId="8" fillId="0" borderId="0" applyFont="0" applyFill="0" applyBorder="0" applyAlignment="0" applyProtection="0"/>
    <xf numFmtId="38" fontId="13" fillId="0" borderId="0" applyFont="0" applyFill="0" applyBorder="0" applyAlignment="0" applyProtection="0"/>
    <xf numFmtId="169" fontId="6" fillId="0" borderId="0" applyFont="0" applyFill="0" applyBorder="0" applyAlignment="0" applyProtection="0"/>
    <xf numFmtId="177" fontId="9" fillId="0" borderId="0" applyFill="0" applyBorder="0" applyAlignment="0" applyProtection="0"/>
    <xf numFmtId="169" fontId="8" fillId="0" borderId="0" applyFont="0" applyFill="0" applyBorder="0" applyAlignment="0" applyProtection="0"/>
    <xf numFmtId="364" fontId="6" fillId="0" borderId="0"/>
    <xf numFmtId="364" fontId="8" fillId="0" borderId="0"/>
    <xf numFmtId="364" fontId="8" fillId="0" borderId="0"/>
    <xf numFmtId="364" fontId="8" fillId="0" borderId="0"/>
    <xf numFmtId="9" fontId="7" fillId="0" borderId="0" applyFont="0" applyFill="0" applyBorder="0" applyAlignment="0" applyProtection="0"/>
    <xf numFmtId="169" fontId="7" fillId="0" borderId="0" applyFont="0" applyFill="0" applyBorder="0" applyAlignment="0" applyProtection="0"/>
    <xf numFmtId="364" fontId="18" fillId="0" borderId="0"/>
    <xf numFmtId="9" fontId="8" fillId="0" borderId="0" applyFont="0" applyFill="0" applyBorder="0" applyAlignment="0" applyProtection="0"/>
    <xf numFmtId="169" fontId="8" fillId="0" borderId="0" applyFont="0" applyFill="0" applyBorder="0" applyAlignment="0" applyProtection="0"/>
    <xf numFmtId="364" fontId="8" fillId="0" borderId="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8" fillId="0" borderId="0"/>
    <xf numFmtId="364" fontId="23" fillId="0" borderId="0"/>
    <xf numFmtId="179" fontId="22" fillId="0" borderId="0" applyFont="0" applyFill="0" applyBorder="0" applyAlignment="0" applyProtection="0"/>
    <xf numFmtId="179" fontId="22" fillId="0" borderId="0" applyFont="0" applyFill="0" applyBorder="0" applyAlignment="0" applyProtection="0"/>
    <xf numFmtId="364" fontId="8" fillId="0" borderId="0"/>
    <xf numFmtId="3" fontId="24" fillId="0" borderId="1"/>
    <xf numFmtId="3" fontId="24" fillId="0" borderId="1"/>
    <xf numFmtId="364" fontId="25" fillId="0" borderId="0"/>
    <xf numFmtId="180" fontId="22" fillId="0" borderId="14">
      <alignment horizontal="center"/>
      <protection hidden="1"/>
    </xf>
    <xf numFmtId="9" fontId="8" fillId="0" borderId="0" applyFill="0" applyBorder="0" applyAlignment="0" applyProtection="0"/>
    <xf numFmtId="181" fontId="8" fillId="0" borderId="0" applyFill="0" applyBorder="0" applyAlignment="0" applyProtection="0"/>
    <xf numFmtId="10" fontId="8" fillId="0" borderId="0" applyFill="0" applyBorder="0" applyAlignment="0" applyProtection="0"/>
    <xf numFmtId="182" fontId="26" fillId="0" borderId="14">
      <alignment horizontal="center"/>
      <protection hidden="1"/>
    </xf>
    <xf numFmtId="182" fontId="26" fillId="0" borderId="14">
      <alignment horizontal="center"/>
      <protection hidden="1"/>
    </xf>
    <xf numFmtId="182" fontId="26" fillId="0" borderId="14">
      <alignment horizontal="center"/>
      <protection hidden="1"/>
    </xf>
    <xf numFmtId="182" fontId="26" fillId="0" borderId="14">
      <alignment horizontal="center"/>
      <protection hidden="1"/>
    </xf>
    <xf numFmtId="38" fontId="27" fillId="0" borderId="0" applyFont="0" applyFill="0" applyBorder="0" applyAlignment="0" applyProtection="0"/>
    <xf numFmtId="175" fontId="28" fillId="0" borderId="15" applyFont="0" applyBorder="0"/>
    <xf numFmtId="175" fontId="28" fillId="0" borderId="15" applyFont="0" applyBorder="0"/>
    <xf numFmtId="364" fontId="29" fillId="0" borderId="0"/>
    <xf numFmtId="183" fontId="8" fillId="0" borderId="0" applyFont="0" applyFill="0" applyBorder="0" applyAlignment="0" applyProtection="0"/>
    <xf numFmtId="364" fontId="30"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6" fontId="8"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7" fontId="9"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7" fontId="9"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7" fontId="9"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7" fontId="9"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364" fontId="29" fillId="0" borderId="0"/>
    <xf numFmtId="364" fontId="29" fillId="0" borderId="0"/>
    <xf numFmtId="364" fontId="31" fillId="0" borderId="0"/>
    <xf numFmtId="364" fontId="31" fillId="0" borderId="0"/>
    <xf numFmtId="364" fontId="31" fillId="0" borderId="0"/>
    <xf numFmtId="364" fontId="31" fillId="0" borderId="0"/>
    <xf numFmtId="364" fontId="29" fillId="0" borderId="0"/>
    <xf numFmtId="364" fontId="29" fillId="0" borderId="0"/>
    <xf numFmtId="364" fontId="31" fillId="0" borderId="0"/>
    <xf numFmtId="364" fontId="31" fillId="0" borderId="0"/>
    <xf numFmtId="364" fontId="31" fillId="0" borderId="0"/>
    <xf numFmtId="364" fontId="31" fillId="0" borderId="0"/>
    <xf numFmtId="364" fontId="29" fillId="0" borderId="0"/>
    <xf numFmtId="364" fontId="31" fillId="0" borderId="0"/>
    <xf numFmtId="364" fontId="31" fillId="0" borderId="0"/>
    <xf numFmtId="364" fontId="31" fillId="0" borderId="0"/>
    <xf numFmtId="364" fontId="29" fillId="0" borderId="0"/>
    <xf numFmtId="364" fontId="31" fillId="0" borderId="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32" fillId="0" borderId="0" applyFont="0" applyFill="0" applyBorder="0" applyAlignment="0" applyProtection="0"/>
    <xf numFmtId="364" fontId="33" fillId="0" borderId="10"/>
    <xf numFmtId="176" fontId="14" fillId="0" borderId="0" applyFont="0" applyFill="0" applyBorder="0" applyAlignment="0" applyProtection="0"/>
    <xf numFmtId="41" fontId="34" fillId="0" borderId="0" applyFont="0" applyFill="0" applyBorder="0" applyAlignment="0" applyProtection="0"/>
    <xf numFmtId="188" fontId="35" fillId="0" borderId="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89" fontId="36" fillId="0" borderId="0" applyFont="0" applyFill="0" applyBorder="0" applyAlignment="0" applyProtection="0"/>
    <xf numFmtId="364" fontId="30" fillId="0" borderId="0" applyFont="0" applyFill="0" applyBorder="0" applyAlignment="0" applyProtection="0"/>
    <xf numFmtId="188" fontId="35" fillId="0" borderId="0" applyFill="0" applyBorder="0" applyAlignment="0" applyProtection="0"/>
    <xf numFmtId="364" fontId="8" fillId="0" borderId="0" applyFont="0" applyFill="0" applyBorder="0" applyAlignment="0" applyProtection="0"/>
    <xf numFmtId="364" fontId="8" fillId="0" borderId="0" applyFont="0" applyFill="0" applyBorder="0" applyAlignment="0" applyProtection="0"/>
    <xf numFmtId="9" fontId="37" fillId="0" borderId="0" applyFont="0" applyFill="0" applyBorder="0" applyAlignment="0" applyProtection="0"/>
    <xf numFmtId="190" fontId="35" fillId="0" borderId="0" applyFill="0" applyBorder="0" applyAlignment="0" applyProtection="0"/>
    <xf numFmtId="364" fontId="29" fillId="0" borderId="0"/>
    <xf numFmtId="364" fontId="29" fillId="0" borderId="0"/>
    <xf numFmtId="364" fontId="29" fillId="0" borderId="0"/>
    <xf numFmtId="364" fontId="31" fillId="0" borderId="0"/>
    <xf numFmtId="364" fontId="31" fillId="0" borderId="0"/>
    <xf numFmtId="364" fontId="29" fillId="0" borderId="0"/>
    <xf numFmtId="364" fontId="31" fillId="0" borderId="0"/>
    <xf numFmtId="364" fontId="31" fillId="0" borderId="0"/>
    <xf numFmtId="364" fontId="31" fillId="0" borderId="0"/>
    <xf numFmtId="364" fontId="38" fillId="0" borderId="0"/>
    <xf numFmtId="364" fontId="39" fillId="0" borderId="0"/>
    <xf numFmtId="40" fontId="40" fillId="0" borderId="0" applyFont="0" applyFill="0" applyBorder="0" applyAlignment="0" applyProtection="0"/>
    <xf numFmtId="38" fontId="40" fillId="0" borderId="0" applyFon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191" fontId="35" fillId="0" borderId="0" applyFill="0" applyBorder="0" applyAlignment="0" applyProtection="0"/>
    <xf numFmtId="192" fontId="35" fillId="0" borderId="0" applyFill="0" applyBorder="0" applyAlignment="0" applyProtection="0"/>
    <xf numFmtId="364" fontId="8" fillId="0" borderId="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xf numFmtId="41" fontId="8" fillId="0" borderId="0" applyFont="0" applyFill="0" applyBorder="0" applyAlignment="0" applyProtection="0"/>
    <xf numFmtId="364" fontId="8" fillId="0" borderId="0"/>
    <xf numFmtId="364" fontId="35" fillId="0" borderId="0"/>
    <xf numFmtId="364" fontId="21" fillId="0" borderId="0"/>
    <xf numFmtId="364" fontId="2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5" fillId="0" borderId="0"/>
    <xf numFmtId="166" fontId="8" fillId="0" borderId="0" applyFont="0" applyFill="0" applyBorder="0" applyAlignment="0" applyProtection="0"/>
    <xf numFmtId="364" fontId="2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5" fillId="0" borderId="0"/>
    <xf numFmtId="364" fontId="16" fillId="0" borderId="0"/>
    <xf numFmtId="364" fontId="4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42" fontId="10" fillId="0" borderId="0" applyFont="0" applyFill="0" applyBorder="0" applyAlignment="0" applyProtection="0"/>
    <xf numFmtId="364" fontId="42" fillId="0" borderId="0"/>
    <xf numFmtId="364" fontId="42" fillId="0" borderId="0"/>
    <xf numFmtId="364" fontId="42" fillId="0" borderId="0"/>
    <xf numFmtId="364" fontId="42" fillId="0" borderId="0"/>
    <xf numFmtId="364" fontId="42" fillId="0" borderId="0"/>
    <xf numFmtId="364" fontId="20" fillId="0" borderId="0"/>
    <xf numFmtId="364" fontId="20" fillId="0" borderId="0"/>
    <xf numFmtId="364" fontId="20" fillId="0" borderId="0"/>
    <xf numFmtId="364" fontId="20" fillId="0" borderId="0"/>
    <xf numFmtId="364" fontId="35" fillId="0" borderId="0"/>
    <xf numFmtId="193" fontId="14" fillId="0" borderId="0" applyFont="0" applyFill="0" applyBorder="0" applyAlignment="0" applyProtection="0"/>
    <xf numFmtId="194" fontId="35" fillId="0" borderId="0" applyFill="0" applyBorder="0" applyAlignment="0" applyProtection="0"/>
    <xf numFmtId="364" fontId="35" fillId="0" borderId="0"/>
    <xf numFmtId="364" fontId="16" fillId="0" borderId="0"/>
    <xf numFmtId="364" fontId="35" fillId="0" borderId="0"/>
    <xf numFmtId="364" fontId="35" fillId="0" borderId="0"/>
    <xf numFmtId="364" fontId="35" fillId="0" borderId="0"/>
    <xf numFmtId="364" fontId="35" fillId="0" borderId="0"/>
    <xf numFmtId="166" fontId="10" fillId="0" borderId="0" applyFont="0" applyFill="0" applyBorder="0" applyAlignment="0" applyProtection="0"/>
    <xf numFmtId="195" fontId="10" fillId="0" borderId="0" applyFont="0" applyFill="0" applyBorder="0" applyAlignment="0" applyProtection="0"/>
    <xf numFmtId="364" fontId="35" fillId="0" borderId="0"/>
    <xf numFmtId="179" fontId="22" fillId="0" borderId="0" applyFont="0" applyFill="0" applyBorder="0" applyAlignment="0" applyProtection="0"/>
    <xf numFmtId="185" fontId="22" fillId="0" borderId="0" applyFont="0" applyFill="0" applyBorder="0" applyAlignment="0" applyProtection="0"/>
    <xf numFmtId="166" fontId="10" fillId="0" borderId="0" applyFont="0" applyFill="0" applyBorder="0" applyAlignment="0" applyProtection="0"/>
    <xf numFmtId="364" fontId="43" fillId="0" borderId="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166" fontId="8" fillId="0" borderId="0" applyFont="0" applyFill="0" applyBorder="0" applyAlignment="0" applyProtection="0"/>
    <xf numFmtId="185" fontId="8" fillId="0" borderId="0" applyFont="0" applyFill="0" applyBorder="0" applyAlignment="0" applyProtection="0"/>
    <xf numFmtId="185" fontId="22" fillId="0" borderId="0" applyFont="0" applyFill="0" applyBorder="0" applyAlignment="0" applyProtection="0"/>
    <xf numFmtId="364" fontId="44" fillId="0" borderId="0" applyNumberFormat="0" applyFill="0" applyBorder="0" applyAlignment="0" applyProtection="0"/>
    <xf numFmtId="364" fontId="16" fillId="0" borderId="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7" fontId="35" fillId="0" borderId="0" applyFill="0" applyBorder="0" applyAlignment="0" applyProtection="0"/>
    <xf numFmtId="364" fontId="16" fillId="0" borderId="0"/>
    <xf numFmtId="364" fontId="16" fillId="0" borderId="0"/>
    <xf numFmtId="364" fontId="44" fillId="0" borderId="0" applyNumberFormat="0" applyFill="0" applyBorder="0" applyAlignment="0" applyProtection="0"/>
    <xf numFmtId="364" fontId="43" fillId="0" borderId="0"/>
    <xf numFmtId="198" fontId="10" fillId="0" borderId="0" applyFont="0" applyFill="0" applyBorder="0" applyAlignment="0" applyProtection="0"/>
    <xf numFmtId="199" fontId="35" fillId="0" borderId="0" applyFill="0" applyBorder="0" applyAlignment="0" applyProtection="0"/>
    <xf numFmtId="166" fontId="10" fillId="0" borderId="0" applyFont="0" applyFill="0" applyBorder="0" applyAlignment="0" applyProtection="0"/>
    <xf numFmtId="166" fontId="8" fillId="0" borderId="0" applyFont="0" applyFill="0" applyBorder="0" applyAlignment="0" applyProtection="0"/>
    <xf numFmtId="200" fontId="8" fillId="0" borderId="0" applyFon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201" fontId="8" fillId="0" borderId="0" applyFon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201" fontId="10" fillId="0" borderId="0" applyFont="0" applyFill="0" applyBorder="0" applyAlignment="0" applyProtection="0"/>
    <xf numFmtId="42" fontId="10" fillId="0" borderId="0" applyFont="0" applyFill="0" applyBorder="0" applyAlignment="0" applyProtection="0"/>
    <xf numFmtId="364" fontId="44" fillId="0" borderId="0" applyNumberFormat="0" applyFill="0" applyBorder="0" applyAlignment="0" applyProtection="0"/>
    <xf numFmtId="364" fontId="42" fillId="0" borderId="0"/>
    <xf numFmtId="364" fontId="42" fillId="0" borderId="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166" fontId="10" fillId="0" borderId="0" applyFont="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66" fontId="10" fillId="0" borderId="0" applyFon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16" fillId="0" borderId="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364" fontId="44" fillId="0" borderId="0" applyNumberFormat="0" applyFill="0" applyBorder="0" applyAlignment="0" applyProtection="0"/>
    <xf numFmtId="42" fontId="10" fillId="0" borderId="0" applyFont="0" applyFill="0" applyBorder="0" applyAlignment="0" applyProtection="0"/>
    <xf numFmtId="364" fontId="44" fillId="0" borderId="0" applyNumberFormat="0" applyFill="0" applyBorder="0" applyAlignment="0" applyProtection="0"/>
    <xf numFmtId="192" fontId="8" fillId="0" borderId="0" applyFill="0" applyBorder="0" applyAlignment="0" applyProtection="0"/>
    <xf numFmtId="202" fontId="10" fillId="0" borderId="0" applyFont="0" applyFill="0" applyBorder="0" applyAlignment="0" applyProtection="0"/>
    <xf numFmtId="166" fontId="8" fillId="0" borderId="0" applyFont="0" applyFill="0" applyBorder="0" applyAlignment="0" applyProtection="0"/>
    <xf numFmtId="364" fontId="44" fillId="0" borderId="0" applyNumberFormat="0" applyFill="0" applyBorder="0" applyAlignment="0" applyProtection="0"/>
    <xf numFmtId="42" fontId="10" fillId="0" borderId="0" applyFont="0" applyFill="0" applyBorder="0" applyAlignment="0" applyProtection="0"/>
    <xf numFmtId="364" fontId="44" fillId="0" borderId="0" applyNumberFormat="0" applyFill="0" applyBorder="0" applyAlignment="0" applyProtection="0"/>
    <xf numFmtId="364" fontId="41"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41" fillId="0" borderId="0"/>
    <xf numFmtId="364" fontId="16" fillId="0" borderId="0"/>
    <xf numFmtId="364" fontId="45"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42"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5" fillId="0" borderId="0"/>
    <xf numFmtId="364" fontId="35" fillId="0" borderId="0"/>
    <xf numFmtId="364" fontId="21" fillId="0" borderId="0"/>
    <xf numFmtId="166" fontId="10" fillId="0" borderId="0" applyFont="0" applyFill="0" applyBorder="0" applyAlignment="0" applyProtection="0"/>
    <xf numFmtId="203" fontId="22" fillId="0" borderId="0" applyFont="0" applyFill="0" applyBorder="0" applyAlignment="0" applyProtection="0"/>
    <xf numFmtId="364" fontId="41"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166" fontId="10" fillId="0" borderId="0" applyFont="0" applyFill="0" applyBorder="0" applyAlignment="0" applyProtection="0"/>
    <xf numFmtId="364" fontId="35" fillId="0" borderId="0"/>
    <xf numFmtId="364" fontId="35" fillId="0" borderId="0"/>
    <xf numFmtId="364" fontId="42" fillId="0" borderId="0"/>
    <xf numFmtId="364" fontId="35" fillId="0" borderId="0"/>
    <xf numFmtId="364" fontId="35" fillId="0" borderId="0"/>
    <xf numFmtId="364" fontId="42" fillId="0" borderId="0"/>
    <xf numFmtId="364" fontId="16" fillId="0" borderId="0"/>
    <xf numFmtId="364" fontId="35" fillId="0" borderId="0"/>
    <xf numFmtId="364" fontId="35" fillId="0" borderId="0"/>
    <xf numFmtId="364" fontId="35" fillId="0" borderId="0"/>
    <xf numFmtId="364" fontId="35"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42" fillId="0" borderId="0"/>
    <xf numFmtId="364" fontId="42" fillId="0" borderId="0"/>
    <xf numFmtId="364" fontId="16" fillId="0" borderId="0"/>
    <xf numFmtId="179" fontId="8" fillId="0" borderId="0" applyFont="0" applyFill="0" applyBorder="0" applyAlignment="0" applyProtection="0"/>
    <xf numFmtId="179" fontId="8" fillId="0" borderId="0" applyFont="0" applyFill="0" applyBorder="0" applyAlignment="0" applyProtection="0"/>
    <xf numFmtId="364" fontId="42" fillId="0" borderId="0"/>
    <xf numFmtId="364" fontId="16" fillId="0" borderId="0"/>
    <xf numFmtId="364" fontId="35" fillId="0" borderId="0"/>
    <xf numFmtId="364" fontId="35" fillId="0" borderId="0"/>
    <xf numFmtId="364" fontId="41" fillId="0" borderId="0"/>
    <xf numFmtId="364" fontId="41" fillId="0" borderId="0"/>
    <xf numFmtId="364" fontId="42" fillId="0" borderId="0"/>
    <xf numFmtId="364" fontId="42" fillId="0" borderId="0"/>
    <xf numFmtId="364" fontId="41" fillId="0" borderId="0"/>
    <xf numFmtId="364" fontId="16" fillId="0" borderId="0"/>
    <xf numFmtId="203" fontId="8" fillId="0" borderId="0" applyFont="0" applyFill="0" applyBorder="0" applyAlignment="0" applyProtection="0"/>
    <xf numFmtId="42" fontId="10" fillId="0" borderId="0" applyFont="0" applyFill="0" applyBorder="0" applyAlignment="0" applyProtection="0"/>
    <xf numFmtId="166" fontId="10" fillId="0" borderId="0" applyFont="0" applyFill="0" applyBorder="0" applyAlignment="0" applyProtection="0"/>
    <xf numFmtId="364" fontId="21" fillId="0" borderId="0"/>
    <xf numFmtId="364" fontId="16" fillId="0" borderId="0"/>
    <xf numFmtId="166" fontId="10" fillId="0" borderId="0" applyFont="0" applyFill="0" applyBorder="0" applyAlignment="0" applyProtection="0"/>
    <xf numFmtId="364" fontId="35"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364" fontId="35" fillId="0" borderId="0"/>
    <xf numFmtId="364" fontId="35" fillId="0" borderId="0"/>
    <xf numFmtId="364" fontId="35" fillId="0" borderId="0"/>
    <xf numFmtId="364" fontId="35" fillId="0" borderId="0"/>
    <xf numFmtId="364" fontId="35" fillId="0" borderId="0"/>
    <xf numFmtId="364" fontId="16" fillId="0" borderId="0"/>
    <xf numFmtId="364" fontId="35" fillId="0" borderId="0"/>
    <xf numFmtId="364" fontId="44" fillId="0" borderId="0" applyNumberFormat="0" applyFill="0" applyBorder="0" applyAlignment="0" applyProtection="0"/>
    <xf numFmtId="166" fontId="8" fillId="0" borderId="0" applyFont="0" applyFill="0" applyBorder="0" applyAlignment="0" applyProtection="0"/>
    <xf numFmtId="364" fontId="35" fillId="0" borderId="0"/>
    <xf numFmtId="364" fontId="35" fillId="0" borderId="0"/>
    <xf numFmtId="364" fontId="35" fillId="0" borderId="0"/>
    <xf numFmtId="364" fontId="35" fillId="0" borderId="0"/>
    <xf numFmtId="364" fontId="35"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applyFont="0" applyFill="0" applyBorder="0" applyAlignment="0" applyProtection="0"/>
    <xf numFmtId="364" fontId="8" fillId="0" borderId="0" applyFont="0" applyFill="0" applyBorder="0" applyAlignment="0" applyProtection="0"/>
    <xf numFmtId="364" fontId="21" fillId="0" borderId="0"/>
    <xf numFmtId="364" fontId="35" fillId="0" borderId="0"/>
    <xf numFmtId="364" fontId="35" fillId="0" borderId="0"/>
    <xf numFmtId="364" fontId="35" fillId="0" borderId="0"/>
    <xf numFmtId="364" fontId="35" fillId="0" borderId="0"/>
    <xf numFmtId="364" fontId="21" fillId="0" borderId="0"/>
    <xf numFmtId="364" fontId="1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1" fillId="0" borderId="0"/>
    <xf numFmtId="364" fontId="16" fillId="0" borderId="0"/>
    <xf numFmtId="364" fontId="16" fillId="0" borderId="0"/>
    <xf numFmtId="364" fontId="44" fillId="0" borderId="0" applyNumberFormat="0" applyFill="0" applyBorder="0" applyAlignment="0" applyProtection="0"/>
    <xf numFmtId="364" fontId="16" fillId="0" borderId="0"/>
    <xf numFmtId="364" fontId="16" fillId="0" borderId="0"/>
    <xf numFmtId="364" fontId="16" fillId="0" borderId="0"/>
    <xf numFmtId="364" fontId="41" fillId="0" borderId="0"/>
    <xf numFmtId="364" fontId="20" fillId="0" borderId="0"/>
    <xf numFmtId="364" fontId="20" fillId="0" borderId="0"/>
    <xf numFmtId="364" fontId="20" fillId="0" borderId="0"/>
    <xf numFmtId="364" fontId="20" fillId="0" borderId="0"/>
    <xf numFmtId="364" fontId="35" fillId="0" borderId="0"/>
    <xf numFmtId="364" fontId="42" fillId="0" borderId="0"/>
    <xf numFmtId="364" fontId="42" fillId="0" borderId="0"/>
    <xf numFmtId="364" fontId="42" fillId="0" borderId="0"/>
    <xf numFmtId="166" fontId="10" fillId="0" borderId="0" applyFont="0" applyFill="0" applyBorder="0" applyAlignment="0" applyProtection="0"/>
    <xf numFmtId="166" fontId="10" fillId="0" borderId="0" applyFont="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79" fontId="22" fillId="0" borderId="0" applyFont="0" applyFill="0" applyBorder="0" applyAlignment="0" applyProtection="0"/>
    <xf numFmtId="204"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203" fontId="22" fillId="0" borderId="0" applyFont="0" applyFill="0" applyBorder="0" applyAlignment="0" applyProtection="0"/>
    <xf numFmtId="205" fontId="35" fillId="0" borderId="0" applyFill="0" applyBorder="0" applyAlignment="0" applyProtection="0"/>
    <xf numFmtId="190" fontId="8" fillId="0" borderId="0" applyFill="0" applyBorder="0" applyAlignment="0" applyProtection="0"/>
    <xf numFmtId="178" fontId="22" fillId="0" borderId="0" applyFont="0" applyFill="0" applyBorder="0" applyAlignment="0" applyProtection="0"/>
    <xf numFmtId="206" fontId="35" fillId="0" borderId="0" applyFill="0" applyBorder="0" applyAlignment="0" applyProtection="0"/>
    <xf numFmtId="43" fontId="22" fillId="0" borderId="0" applyFont="0" applyFill="0" applyBorder="0" applyAlignment="0" applyProtection="0"/>
    <xf numFmtId="207" fontId="35"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15" fontId="10" fillId="0" borderId="0" applyFont="0" applyFill="0" applyBorder="0" applyAlignment="0" applyProtection="0"/>
    <xf numFmtId="213" fontId="10" fillId="0" borderId="0" applyFont="0" applyFill="0" applyBorder="0" applyAlignment="0" applyProtection="0"/>
    <xf numFmtId="213" fontId="10" fillId="0" borderId="0" applyFont="0" applyFill="0" applyBorder="0" applyAlignment="0" applyProtection="0"/>
    <xf numFmtId="209" fontId="10" fillId="0" borderId="0" applyFont="0" applyFill="0" applyBorder="0" applyAlignment="0" applyProtection="0"/>
    <xf numFmtId="16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6"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3" fontId="8" fillId="0" borderId="0" applyFont="0" applyFill="0" applyBorder="0" applyAlignment="0" applyProtection="0"/>
    <xf numFmtId="217" fontId="8" fillId="0" borderId="0" applyFont="0" applyFill="0" applyBorder="0" applyAlignment="0" applyProtection="0"/>
    <xf numFmtId="217"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11" fontId="10" fillId="0" borderId="0" applyFont="0" applyFill="0" applyBorder="0" applyAlignment="0" applyProtection="0"/>
    <xf numFmtId="364" fontId="10" fillId="0" borderId="0" applyFont="0" applyFill="0" applyBorder="0" applyAlignment="0" applyProtection="0"/>
    <xf numFmtId="171" fontId="10" fillId="0" borderId="0" applyFont="0" applyFill="0" applyBorder="0" applyAlignment="0" applyProtection="0"/>
    <xf numFmtId="364" fontId="35" fillId="0" borderId="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43" fontId="8" fillId="0" borderId="0" applyFont="0" applyFill="0" applyBorder="0" applyAlignment="0" applyProtection="0"/>
    <xf numFmtId="211"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0" fontId="35" fillId="0" borderId="0" applyFill="0" applyBorder="0" applyAlignment="0" applyProtection="0"/>
    <xf numFmtId="218" fontId="10" fillId="0" borderId="0" applyFont="0" applyFill="0" applyBorder="0" applyAlignment="0" applyProtection="0"/>
    <xf numFmtId="21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9"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20"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21"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3" fontId="10"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13" fontId="10" fillId="0" borderId="0" applyFont="0" applyFill="0" applyBorder="0" applyAlignment="0" applyProtection="0"/>
    <xf numFmtId="169" fontId="8" fillId="0" borderId="0" applyFont="0" applyFill="0" applyBorder="0" applyAlignment="0" applyProtection="0"/>
    <xf numFmtId="222" fontId="8"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3" fontId="10" fillId="0" borderId="0" applyFont="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221" fontId="8" fillId="0" borderId="0" applyFont="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169" fontId="8"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169"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4" fontId="10" fillId="0" borderId="0" applyFont="0" applyFill="0" applyBorder="0" applyAlignment="0" applyProtection="0"/>
    <xf numFmtId="225" fontId="35" fillId="0" borderId="0" applyFill="0" applyBorder="0" applyAlignment="0" applyProtection="0"/>
    <xf numFmtId="208" fontId="8"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09" fontId="10" fillId="0" borderId="0" applyFont="0" applyFill="0" applyBorder="0" applyAlignment="0" applyProtection="0"/>
    <xf numFmtId="192" fontId="35" fillId="0" borderId="0" applyFill="0" applyBorder="0" applyAlignment="0" applyProtection="0"/>
    <xf numFmtId="41" fontId="22" fillId="0" borderId="0" applyFont="0" applyFill="0" applyBorder="0" applyAlignment="0" applyProtection="0"/>
    <xf numFmtId="226" fontId="35"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166" fontId="10" fillId="0" borderId="0" applyFont="0" applyFill="0" applyBorder="0" applyAlignment="0" applyProtection="0"/>
    <xf numFmtId="195" fontId="10" fillId="0" borderId="0" applyFont="0" applyFill="0" applyBorder="0" applyAlignment="0" applyProtection="0"/>
    <xf numFmtId="185" fontId="22" fillId="0" borderId="0" applyFont="0" applyFill="0" applyBorder="0" applyAlignment="0" applyProtection="0"/>
    <xf numFmtId="166" fontId="10" fillId="0" borderId="0" applyFont="0" applyFill="0" applyBorder="0" applyAlignment="0" applyProtection="0"/>
    <xf numFmtId="185" fontId="22" fillId="0" borderId="0" applyFont="0" applyFill="0" applyBorder="0" applyAlignment="0" applyProtection="0"/>
    <xf numFmtId="197" fontId="35" fillId="0" borderId="0" applyFill="0" applyBorder="0" applyAlignment="0" applyProtection="0"/>
    <xf numFmtId="198" fontId="10" fillId="0" borderId="0" applyFont="0" applyFill="0" applyBorder="0" applyAlignment="0" applyProtection="0"/>
    <xf numFmtId="199" fontId="35" fillId="0" borderId="0" applyFill="0" applyBorder="0" applyAlignment="0" applyProtection="0"/>
    <xf numFmtId="166" fontId="10" fillId="0" borderId="0" applyFont="0" applyFill="0" applyBorder="0" applyAlignment="0" applyProtection="0"/>
    <xf numFmtId="166" fontId="8" fillId="0" borderId="0" applyFont="0" applyFill="0" applyBorder="0" applyAlignment="0" applyProtection="0"/>
    <xf numFmtId="201" fontId="8" fillId="0" borderId="0" applyFont="0" applyFill="0" applyBorder="0" applyAlignment="0" applyProtection="0"/>
    <xf numFmtId="201" fontId="10" fillId="0" borderId="0" applyFont="0" applyFill="0" applyBorder="0" applyAlignment="0" applyProtection="0"/>
    <xf numFmtId="166" fontId="10" fillId="0" borderId="0" applyFont="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66" fontId="10" fillId="0" borderId="0" applyFont="0" applyFill="0" applyBorder="0" applyAlignment="0" applyProtection="0"/>
    <xf numFmtId="196" fontId="8" fillId="0" borderId="0" applyFill="0" applyBorder="0" applyAlignment="0" applyProtection="0"/>
    <xf numFmtId="202" fontId="10" fillId="0" borderId="0" applyFont="0" applyFill="0" applyBorder="0" applyAlignment="0" applyProtection="0"/>
    <xf numFmtId="200" fontId="10"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1"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166" fontId="8" fillId="0" borderId="0" applyFont="0" applyFill="0" applyBorder="0" applyAlignment="0" applyProtection="0"/>
    <xf numFmtId="166" fontId="10" fillId="0" borderId="0" applyFont="0" applyFill="0" applyBorder="0" applyAlignment="0" applyProtection="0"/>
    <xf numFmtId="166" fontId="8" fillId="0" borderId="0" applyFont="0" applyFill="0" applyBorder="0" applyAlignment="0" applyProtection="0"/>
    <xf numFmtId="200" fontId="8" fillId="0" borderId="0" applyFont="0" applyFill="0" applyBorder="0" applyAlignment="0" applyProtection="0"/>
    <xf numFmtId="201"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66" fontId="10" fillId="0" borderId="0" applyFont="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9"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7" fontId="8"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185" fontId="8" fillId="0" borderId="0" applyFont="0" applyFill="0" applyBorder="0" applyAlignment="0" applyProtection="0"/>
    <xf numFmtId="227" fontId="8"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231" fontId="10" fillId="0" borderId="0" applyFont="0" applyFill="0" applyBorder="0" applyAlignment="0" applyProtection="0"/>
    <xf numFmtId="232"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30" fontId="10" fillId="0" borderId="0" applyFont="0" applyFill="0" applyBorder="0" applyAlignment="0" applyProtection="0"/>
    <xf numFmtId="200" fontId="8" fillId="0" borderId="0" applyFont="0" applyFill="0" applyBorder="0" applyAlignment="0" applyProtection="0"/>
    <xf numFmtId="233" fontId="10" fillId="0" borderId="0" applyFont="0" applyFill="0" applyBorder="0" applyAlignment="0" applyProtection="0"/>
    <xf numFmtId="234" fontId="35" fillId="0" borderId="0" applyFill="0" applyBorder="0" applyAlignment="0" applyProtection="0"/>
    <xf numFmtId="192" fontId="8" fillId="0" borderId="0" applyFill="0" applyBorder="0" applyAlignment="0" applyProtection="0"/>
    <xf numFmtId="235" fontId="10" fillId="0" borderId="0" applyFont="0" applyFill="0" applyBorder="0" applyAlignment="0" applyProtection="0"/>
    <xf numFmtId="236" fontId="35"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15" fontId="10" fillId="0" borderId="0" applyFont="0" applyFill="0" applyBorder="0" applyAlignment="0" applyProtection="0"/>
    <xf numFmtId="213" fontId="10" fillId="0" borderId="0" applyFont="0" applyFill="0" applyBorder="0" applyAlignment="0" applyProtection="0"/>
    <xf numFmtId="213" fontId="10" fillId="0" borderId="0" applyFont="0" applyFill="0" applyBorder="0" applyAlignment="0" applyProtection="0"/>
    <xf numFmtId="209" fontId="10" fillId="0" borderId="0" applyFont="0" applyFill="0" applyBorder="0" applyAlignment="0" applyProtection="0"/>
    <xf numFmtId="16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6"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3" fontId="8" fillId="0" borderId="0" applyFont="0" applyFill="0" applyBorder="0" applyAlignment="0" applyProtection="0"/>
    <xf numFmtId="217" fontId="8" fillId="0" borderId="0" applyFont="0" applyFill="0" applyBorder="0" applyAlignment="0" applyProtection="0"/>
    <xf numFmtId="217"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11" fontId="10" fillId="0" borderId="0" applyFont="0" applyFill="0" applyBorder="0" applyAlignment="0" applyProtection="0"/>
    <xf numFmtId="364" fontId="10" fillId="0" borderId="0" applyFont="0" applyFill="0" applyBorder="0" applyAlignment="0" applyProtection="0"/>
    <xf numFmtId="171" fontId="10" fillId="0" borderId="0" applyFont="0" applyFill="0" applyBorder="0" applyAlignment="0" applyProtection="0"/>
    <xf numFmtId="364" fontId="35" fillId="0" borderId="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43" fontId="8" fillId="0" borderId="0" applyFont="0" applyFill="0" applyBorder="0" applyAlignment="0" applyProtection="0"/>
    <xf numFmtId="211"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0" fontId="35" fillId="0" borderId="0" applyFill="0" applyBorder="0" applyAlignment="0" applyProtection="0"/>
    <xf numFmtId="218" fontId="10" fillId="0" borderId="0" applyFont="0" applyFill="0" applyBorder="0" applyAlignment="0" applyProtection="0"/>
    <xf numFmtId="21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9"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20"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21"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3" fontId="10"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13" fontId="10" fillId="0" borderId="0" applyFont="0" applyFill="0" applyBorder="0" applyAlignment="0" applyProtection="0"/>
    <xf numFmtId="169" fontId="8" fillId="0" borderId="0" applyFont="0" applyFill="0" applyBorder="0" applyAlignment="0" applyProtection="0"/>
    <xf numFmtId="222" fontId="8"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3" fontId="10" fillId="0" borderId="0" applyFont="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221" fontId="8" fillId="0" borderId="0" applyFont="0" applyFill="0" applyBorder="0" applyAlignment="0" applyProtection="0"/>
    <xf numFmtId="223" fontId="8" fillId="0" borderId="0" applyFont="0" applyFill="0" applyBorder="0" applyAlignment="0" applyProtection="0"/>
    <xf numFmtId="223" fontId="8" fillId="0" borderId="0" applyFont="0" applyFill="0" applyBorder="0" applyAlignment="0" applyProtection="0"/>
    <xf numFmtId="169" fontId="8"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169"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3" fontId="8"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4" fontId="10" fillId="0" borderId="0" applyFont="0" applyFill="0" applyBorder="0" applyAlignment="0" applyProtection="0"/>
    <xf numFmtId="225" fontId="35" fillId="0" borderId="0" applyFill="0" applyBorder="0" applyAlignment="0" applyProtection="0"/>
    <xf numFmtId="208" fontId="8"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43" fontId="22" fillId="0" borderId="0" applyFont="0" applyFill="0" applyBorder="0" applyAlignment="0" applyProtection="0"/>
    <xf numFmtId="207" fontId="35"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09"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1"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241"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42"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193" fontId="8" fillId="0" borderId="0" applyFont="0" applyFill="0" applyBorder="0" applyAlignment="0" applyProtection="0"/>
    <xf numFmtId="243" fontId="8" fillId="0" borderId="0" applyFont="0" applyFill="0" applyBorder="0" applyAlignment="0" applyProtection="0"/>
    <xf numFmtId="243"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39" fontId="10" fillId="0" borderId="0" applyFont="0" applyFill="0" applyBorder="0" applyAlignment="0" applyProtection="0"/>
    <xf numFmtId="193" fontId="22" fillId="0" borderId="0" applyFont="0" applyFill="0" applyBorder="0" applyAlignment="0" applyProtection="0"/>
    <xf numFmtId="170" fontId="10" fillId="0" borderId="0" applyFont="0" applyFill="0" applyBorder="0" applyAlignment="0" applyProtection="0"/>
    <xf numFmtId="194" fontId="35" fillId="0" borderId="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193" fontId="22" fillId="0" borderId="0" applyFont="0" applyFill="0" applyBorder="0" applyAlignment="0" applyProtection="0"/>
    <xf numFmtId="194" fontId="35" fillId="0" borderId="0" applyFill="0" applyBorder="0" applyAlignment="0" applyProtection="0"/>
    <xf numFmtId="41" fontId="8" fillId="0" borderId="0" applyFont="0" applyFill="0" applyBorder="0" applyAlignment="0" applyProtection="0"/>
    <xf numFmtId="239"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8" fontId="35" fillId="0" borderId="0" applyFill="0" applyBorder="0" applyAlignment="0" applyProtection="0"/>
    <xf numFmtId="244" fontId="10" fillId="0" borderId="0" applyFont="0" applyFill="0" applyBorder="0" applyAlignment="0" applyProtection="0"/>
    <xf numFmtId="194" fontId="35"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46" fontId="10" fillId="0" borderId="0" applyFont="0" applyFill="0" applyBorder="0" applyAlignment="0" applyProtection="0"/>
    <xf numFmtId="247"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48" fontId="10" fillId="0" borderId="0" applyFont="0" applyFill="0" applyBorder="0" applyAlignment="0" applyProtection="0"/>
    <xf numFmtId="167" fontId="10" fillId="0" borderId="0" applyFont="0" applyFill="0" applyBorder="0" applyAlignment="0" applyProtection="0"/>
    <xf numFmtId="167" fontId="8"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249"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93" fontId="8" fillId="0" borderId="0" applyFont="0" applyFill="0" applyBorder="0" applyAlignment="0" applyProtection="0"/>
    <xf numFmtId="193" fontId="10" fillId="0" borderId="0" applyFont="0" applyFill="0" applyBorder="0" applyAlignment="0" applyProtection="0"/>
    <xf numFmtId="193" fontId="8" fillId="0" borderId="0" applyFont="0" applyFill="0" applyBorder="0" applyAlignment="0" applyProtection="0"/>
    <xf numFmtId="167" fontId="8"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193" fontId="10" fillId="0" borderId="0" applyFont="0" applyFill="0" applyBorder="0" applyAlignment="0" applyProtection="0"/>
    <xf numFmtId="167" fontId="8" fillId="0" borderId="0" applyFont="0" applyFill="0" applyBorder="0" applyAlignment="0" applyProtection="0"/>
    <xf numFmtId="250" fontId="8"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51" fontId="10" fillId="0" borderId="0" applyFont="0" applyFill="0" applyBorder="0" applyAlignment="0" applyProtection="0"/>
    <xf numFmtId="252" fontId="35" fillId="0" borderId="0" applyFill="0" applyBorder="0" applyAlignment="0" applyProtection="0"/>
    <xf numFmtId="188" fontId="8"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7" fontId="10" fillId="0" borderId="0" applyFont="0" applyFill="0" applyBorder="0" applyAlignment="0" applyProtection="0"/>
    <xf numFmtId="166" fontId="10" fillId="0" borderId="0" applyFont="0" applyFill="0" applyBorder="0" applyAlignment="0" applyProtection="0"/>
    <xf numFmtId="195" fontId="10" fillId="0" borderId="0" applyFont="0" applyFill="0" applyBorder="0" applyAlignment="0" applyProtection="0"/>
    <xf numFmtId="185" fontId="22" fillId="0" borderId="0" applyFont="0" applyFill="0" applyBorder="0" applyAlignment="0" applyProtection="0"/>
    <xf numFmtId="166" fontId="10" fillId="0" borderId="0" applyFont="0" applyFill="0" applyBorder="0" applyAlignment="0" applyProtection="0"/>
    <xf numFmtId="185" fontId="22" fillId="0" borderId="0" applyFont="0" applyFill="0" applyBorder="0" applyAlignment="0" applyProtection="0"/>
    <xf numFmtId="197" fontId="35" fillId="0" borderId="0" applyFill="0" applyBorder="0" applyAlignment="0" applyProtection="0"/>
    <xf numFmtId="198" fontId="10" fillId="0" borderId="0" applyFont="0" applyFill="0" applyBorder="0" applyAlignment="0" applyProtection="0"/>
    <xf numFmtId="199" fontId="35" fillId="0" borderId="0" applyFill="0" applyBorder="0" applyAlignment="0" applyProtection="0"/>
    <xf numFmtId="166" fontId="10" fillId="0" borderId="0" applyFont="0" applyFill="0" applyBorder="0" applyAlignment="0" applyProtection="0"/>
    <xf numFmtId="201" fontId="10" fillId="0" borderId="0" applyFont="0" applyFill="0" applyBorder="0" applyAlignment="0" applyProtection="0"/>
    <xf numFmtId="166" fontId="10" fillId="0" borderId="0" applyFont="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96" fontId="8" fillId="0" borderId="0" applyFill="0" applyBorder="0" applyAlignment="0" applyProtection="0"/>
    <xf numFmtId="166" fontId="10" fillId="0" borderId="0" applyFont="0" applyFill="0" applyBorder="0" applyAlignment="0" applyProtection="0"/>
    <xf numFmtId="196" fontId="8" fillId="0" borderId="0" applyFill="0" applyBorder="0" applyAlignment="0" applyProtection="0"/>
    <xf numFmtId="202" fontId="10" fillId="0" borderId="0" applyFont="0" applyFill="0" applyBorder="0" applyAlignment="0" applyProtection="0"/>
    <xf numFmtId="201"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92" fontId="8" fillId="0" borderId="0" applyFill="0" applyBorder="0" applyAlignment="0" applyProtection="0"/>
    <xf numFmtId="166" fontId="10" fillId="0" borderId="0" applyFont="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9"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231" fontId="10" fillId="0" borderId="0" applyFont="0" applyFill="0" applyBorder="0" applyAlignment="0" applyProtection="0"/>
    <xf numFmtId="232"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30" fontId="10" fillId="0" borderId="0" applyFont="0" applyFill="0" applyBorder="0" applyAlignment="0" applyProtection="0"/>
    <xf numFmtId="233" fontId="10" fillId="0" borderId="0" applyFont="0" applyFill="0" applyBorder="0" applyAlignment="0" applyProtection="0"/>
    <xf numFmtId="234" fontId="35" fillId="0" borderId="0" applyFill="0" applyBorder="0" applyAlignment="0" applyProtection="0"/>
    <xf numFmtId="192" fontId="8" fillId="0" borderId="0" applyFill="0" applyBorder="0" applyAlignment="0" applyProtection="0"/>
    <xf numFmtId="235" fontId="10" fillId="0" borderId="0" applyFont="0" applyFill="0" applyBorder="0" applyAlignment="0" applyProtection="0"/>
    <xf numFmtId="236" fontId="35" fillId="0" borderId="0" applyFill="0" applyBorder="0" applyAlignment="0" applyProtection="0"/>
    <xf numFmtId="41" fontId="22" fillId="0" borderId="0" applyFont="0" applyFill="0" applyBorder="0" applyAlignment="0" applyProtection="0"/>
    <xf numFmtId="226" fontId="35"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43" fontId="2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1"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241"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42"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43"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39" fontId="10" fillId="0" borderId="0" applyFont="0" applyFill="0" applyBorder="0" applyAlignment="0" applyProtection="0"/>
    <xf numFmtId="193" fontId="22" fillId="0" borderId="0" applyFont="0" applyFill="0" applyBorder="0" applyAlignment="0" applyProtection="0"/>
    <xf numFmtId="170" fontId="10" fillId="0" borderId="0" applyFont="0" applyFill="0" applyBorder="0" applyAlignment="0" applyProtection="0"/>
    <xf numFmtId="194" fontId="35" fillId="0" borderId="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193" fontId="22"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8" fontId="35" fillId="0" borderId="0" applyFill="0" applyBorder="0" applyAlignment="0" applyProtection="0"/>
    <xf numFmtId="244" fontId="10" fillId="0" borderId="0" applyFont="0" applyFill="0" applyBorder="0" applyAlignment="0" applyProtection="0"/>
    <xf numFmtId="194" fontId="35"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46" fontId="10" fillId="0" borderId="0" applyFont="0" applyFill="0" applyBorder="0" applyAlignment="0" applyProtection="0"/>
    <xf numFmtId="247"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48"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193" fontId="10" fillId="0" borderId="0" applyFont="0" applyFill="0" applyBorder="0" applyAlignment="0" applyProtection="0"/>
    <xf numFmtId="250" fontId="8"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51" fontId="10" fillId="0" borderId="0" applyFont="0" applyFill="0" applyBorder="0" applyAlignment="0" applyProtection="0"/>
    <xf numFmtId="252" fontId="35" fillId="0" borderId="0" applyFill="0" applyBorder="0" applyAlignment="0" applyProtection="0"/>
    <xf numFmtId="188" fontId="8"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7"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15" fontId="10" fillId="0" borderId="0" applyFont="0" applyFill="0" applyBorder="0" applyAlignment="0" applyProtection="0"/>
    <xf numFmtId="213" fontId="10" fillId="0" borderId="0" applyFont="0" applyFill="0" applyBorder="0" applyAlignment="0" applyProtection="0"/>
    <xf numFmtId="213" fontId="10" fillId="0" borderId="0" applyFont="0" applyFill="0" applyBorder="0" applyAlignment="0" applyProtection="0"/>
    <xf numFmtId="209" fontId="10" fillId="0" borderId="0" applyFont="0" applyFill="0" applyBorder="0" applyAlignment="0" applyProtection="0"/>
    <xf numFmtId="16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6"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7"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11" fontId="10" fillId="0" borderId="0" applyFont="0" applyFill="0" applyBorder="0" applyAlignment="0" applyProtection="0"/>
    <xf numFmtId="364" fontId="10" fillId="0" borderId="0" applyFont="0" applyFill="0" applyBorder="0" applyAlignment="0" applyProtection="0"/>
    <xf numFmtId="171" fontId="10" fillId="0" borderId="0" applyFont="0" applyFill="0" applyBorder="0" applyAlignment="0" applyProtection="0"/>
    <xf numFmtId="364" fontId="35" fillId="0" borderId="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1"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0" fontId="35" fillId="0" borderId="0" applyFill="0" applyBorder="0" applyAlignment="0" applyProtection="0"/>
    <xf numFmtId="218" fontId="10" fillId="0" borderId="0" applyFont="0" applyFill="0" applyBorder="0" applyAlignment="0" applyProtection="0"/>
    <xf numFmtId="21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9"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20"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169"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4" fontId="10" fillId="0" borderId="0" applyFont="0" applyFill="0" applyBorder="0" applyAlignment="0" applyProtection="0"/>
    <xf numFmtId="225" fontId="35" fillId="0" borderId="0" applyFill="0" applyBorder="0" applyAlignment="0" applyProtection="0"/>
    <xf numFmtId="208" fontId="8"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09" fontId="10" fillId="0" borderId="0" applyFont="0" applyFill="0" applyBorder="0" applyAlignment="0" applyProtection="0"/>
    <xf numFmtId="207" fontId="35" fillId="0" borderId="0" applyFill="0" applyBorder="0" applyAlignment="0" applyProtection="0"/>
    <xf numFmtId="41" fontId="22" fillId="0" borderId="0" applyFont="0" applyFill="0" applyBorder="0" applyAlignment="0" applyProtection="0"/>
    <xf numFmtId="226" fontId="35"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79" fontId="22" fillId="0" borderId="0" applyFont="0" applyFill="0" applyBorder="0" applyAlignment="0" applyProtection="0"/>
    <xf numFmtId="204"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203" fontId="22" fillId="0" borderId="0" applyFont="0" applyFill="0" applyBorder="0" applyAlignment="0" applyProtection="0"/>
    <xf numFmtId="205" fontId="35" fillId="0" borderId="0" applyFill="0" applyBorder="0" applyAlignment="0" applyProtection="0"/>
    <xf numFmtId="190" fontId="8" fillId="0" borderId="0" applyFill="0" applyBorder="0" applyAlignment="0" applyProtection="0"/>
    <xf numFmtId="178" fontId="22" fillId="0" borderId="0" applyFont="0" applyFill="0" applyBorder="0" applyAlignment="0" applyProtection="0"/>
    <xf numFmtId="206" fontId="35"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364" fontId="16" fillId="0" borderId="0"/>
    <xf numFmtId="179" fontId="22"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364" fontId="8" fillId="0" borderId="0"/>
    <xf numFmtId="364" fontId="8" fillId="0" borderId="0"/>
    <xf numFmtId="364" fontId="8" fillId="0" borderId="0"/>
    <xf numFmtId="364" fontId="8" fillId="0" borderId="0"/>
    <xf numFmtId="364" fontId="8" fillId="0" borderId="0"/>
    <xf numFmtId="364" fontId="8" fillId="0" borderId="0"/>
    <xf numFmtId="190" fontId="8" fillId="0" borderId="0" applyFill="0" applyBorder="0" applyAlignment="0" applyProtection="0"/>
    <xf numFmtId="364" fontId="8" fillId="0" borderId="0"/>
    <xf numFmtId="364" fontId="8" fillId="0" borderId="0"/>
    <xf numFmtId="364" fontId="8" fillId="0" borderId="0"/>
    <xf numFmtId="364" fontId="8" fillId="0" borderId="0"/>
    <xf numFmtId="190" fontId="8" fillId="0" borderId="0" applyFill="0" applyBorder="0" applyAlignment="0" applyProtection="0"/>
    <xf numFmtId="364" fontId="29" fillId="0" borderId="0"/>
    <xf numFmtId="364" fontId="3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179" fontId="22" fillId="0" borderId="0" applyFont="0" applyFill="0" applyBorder="0" applyAlignment="0" applyProtection="0"/>
    <xf numFmtId="364" fontId="20" fillId="0" borderId="0"/>
    <xf numFmtId="364" fontId="20" fillId="0" borderId="0"/>
    <xf numFmtId="364" fontId="20" fillId="0" borderId="0"/>
    <xf numFmtId="364" fontId="20" fillId="0" borderId="0"/>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7" fillId="0" borderId="0"/>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20"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227"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9"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231" fontId="10" fillId="0" borderId="0" applyFont="0" applyFill="0" applyBorder="0" applyAlignment="0" applyProtection="0"/>
    <xf numFmtId="232" fontId="35" fillId="0" borderId="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27" fontId="10" fillId="0" borderId="0" applyFont="0" applyFill="0" applyBorder="0" applyAlignment="0" applyProtection="0"/>
    <xf numFmtId="228" fontId="35" fillId="0" borderId="0" applyFill="0" applyBorder="0" applyAlignment="0" applyProtection="0"/>
    <xf numFmtId="185" fontId="22" fillId="0" borderId="0" applyFont="0" applyFill="0" applyBorder="0" applyAlignment="0" applyProtection="0"/>
    <xf numFmtId="185" fontId="10" fillId="0" borderId="0" applyFont="0" applyFill="0" applyBorder="0" applyAlignment="0" applyProtection="0"/>
    <xf numFmtId="197" fontId="35" fillId="0" borderId="0" applyFill="0" applyBorder="0" applyAlignment="0" applyProtection="0"/>
    <xf numFmtId="230" fontId="10"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364" fontId="44" fillId="0" borderId="0" applyNumberFormat="0" applyFill="0" applyBorder="0" applyAlignment="0" applyProtection="0"/>
    <xf numFmtId="233" fontId="10" fillId="0" borderId="0" applyFont="0" applyFill="0" applyBorder="0" applyAlignment="0" applyProtection="0"/>
    <xf numFmtId="234" fontId="35" fillId="0" borderId="0" applyFill="0" applyBorder="0" applyAlignment="0" applyProtection="0"/>
    <xf numFmtId="364" fontId="16" fillId="0" borderId="0"/>
    <xf numFmtId="364" fontId="35" fillId="0" borderId="0"/>
    <xf numFmtId="364" fontId="35" fillId="0" borderId="0"/>
    <xf numFmtId="364" fontId="35" fillId="0" borderId="0"/>
    <xf numFmtId="364" fontId="35"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35" fillId="0" borderId="0" applyFont="0" applyFill="0" applyBorder="0" applyAlignment="0" applyProtection="0"/>
    <xf numFmtId="364" fontId="16" fillId="0" borderId="0"/>
    <xf numFmtId="364" fontId="16" fillId="0" borderId="0"/>
    <xf numFmtId="364" fontId="35" fillId="0" borderId="0"/>
    <xf numFmtId="364" fontId="42" fillId="0" borderId="0"/>
    <xf numFmtId="364" fontId="42" fillId="0" borderId="0"/>
    <xf numFmtId="364" fontId="8" fillId="0" borderId="0"/>
    <xf numFmtId="364" fontId="8" fillId="0" borderId="0"/>
    <xf numFmtId="364" fontId="8" fillId="0" borderId="0"/>
    <xf numFmtId="364" fontId="8" fillId="0" borderId="0"/>
    <xf numFmtId="364" fontId="8" fillId="0" borderId="0"/>
    <xf numFmtId="364" fontId="8" fillId="0" borderId="0"/>
    <xf numFmtId="235" fontId="10" fillId="0" borderId="0" applyFont="0" applyFill="0" applyBorder="0" applyAlignment="0" applyProtection="0"/>
    <xf numFmtId="236" fontId="35" fillId="0" borderId="0" applyFill="0" applyBorder="0" applyAlignment="0" applyProtection="0"/>
    <xf numFmtId="364" fontId="16"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35" fillId="0" borderId="0"/>
    <xf numFmtId="364" fontId="8" fillId="0" borderId="0"/>
    <xf numFmtId="364" fontId="8" fillId="0" borderId="0"/>
    <xf numFmtId="364" fontId="8" fillId="0" borderId="0"/>
    <xf numFmtId="364" fontId="8" fillId="0" borderId="0"/>
    <xf numFmtId="364" fontId="8" fillId="0" borderId="0"/>
    <xf numFmtId="364" fontId="8" fillId="0" borderId="0"/>
    <xf numFmtId="41" fontId="22"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1"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241"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42"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43"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39" fontId="10" fillId="0" borderId="0" applyFont="0" applyFill="0" applyBorder="0" applyAlignment="0" applyProtection="0"/>
    <xf numFmtId="193" fontId="22" fillId="0" borderId="0" applyFont="0" applyFill="0" applyBorder="0" applyAlignment="0" applyProtection="0"/>
    <xf numFmtId="170" fontId="10" fillId="0" borderId="0" applyFont="0" applyFill="0" applyBorder="0" applyAlignment="0" applyProtection="0"/>
    <xf numFmtId="194" fontId="35" fillId="0" borderId="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193" fontId="22"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94" fontId="35" fillId="0" borderId="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38" fontId="35" fillId="0" borderId="0" applyFill="0" applyBorder="0" applyAlignment="0" applyProtection="0"/>
    <xf numFmtId="238" fontId="35" fillId="0" borderId="0" applyFill="0" applyBorder="0" applyAlignment="0" applyProtection="0"/>
    <xf numFmtId="244" fontId="10" fillId="0" borderId="0" applyFont="0" applyFill="0" applyBorder="0" applyAlignment="0" applyProtection="0"/>
    <xf numFmtId="194" fontId="35"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46" fontId="10" fillId="0" borderId="0" applyFont="0" applyFill="0" applyBorder="0" applyAlignment="0" applyProtection="0"/>
    <xf numFmtId="247"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0" fontId="35" fillId="0" borderId="0" applyFill="0" applyBorder="0" applyAlignment="0" applyProtection="0"/>
    <xf numFmtId="248"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93" fontId="10" fillId="0" borderId="0" applyFont="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250" fontId="8" fillId="0" borderId="0" applyFill="0" applyBorder="0" applyAlignment="0" applyProtection="0"/>
    <xf numFmtId="193" fontId="10" fillId="0" borderId="0" applyFont="0" applyFill="0" applyBorder="0" applyAlignment="0" applyProtection="0"/>
    <xf numFmtId="250" fontId="8"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49"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4" fontId="35"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88" fontId="8" fillId="0" borderId="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240"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93" fontId="10" fillId="0" borderId="0" applyFont="0" applyFill="0" applyBorder="0" applyAlignment="0" applyProtection="0"/>
    <xf numFmtId="194" fontId="35" fillId="0" borderId="0" applyFill="0" applyBorder="0" applyAlignment="0" applyProtection="0"/>
    <xf numFmtId="251" fontId="10" fillId="0" borderId="0" applyFont="0" applyFill="0" applyBorder="0" applyAlignment="0" applyProtection="0"/>
    <xf numFmtId="252" fontId="35" fillId="0" borderId="0" applyFill="0" applyBorder="0" applyAlignment="0" applyProtection="0"/>
    <xf numFmtId="188" fontId="8" fillId="0" borderId="0" applyFill="0" applyBorder="0" applyAlignment="0" applyProtection="0"/>
    <xf numFmtId="242" fontId="10" fillId="0" borderId="0" applyFont="0" applyFill="0" applyBorder="0" applyAlignment="0" applyProtection="0"/>
    <xf numFmtId="245" fontId="35" fillId="0" borderId="0" applyFill="0" applyBorder="0" applyAlignment="0" applyProtection="0"/>
    <xf numFmtId="239" fontId="10" fillId="0" borderId="0" applyFont="0" applyFill="0" applyBorder="0" applyAlignment="0" applyProtection="0"/>
    <xf numFmtId="240" fontId="35" fillId="0" borderId="0" applyFill="0" applyBorder="0" applyAlignment="0" applyProtection="0"/>
    <xf numFmtId="167" fontId="10" fillId="0" borderId="0" applyFont="0" applyFill="0" applyBorder="0" applyAlignment="0" applyProtection="0"/>
    <xf numFmtId="188" fontId="35" fillId="0" borderId="0" applyFill="0" applyBorder="0" applyAlignment="0" applyProtection="0"/>
    <xf numFmtId="237"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15" fontId="10" fillId="0" borderId="0" applyFont="0" applyFill="0" applyBorder="0" applyAlignment="0" applyProtection="0"/>
    <xf numFmtId="213" fontId="10" fillId="0" borderId="0" applyFont="0" applyFill="0" applyBorder="0" applyAlignment="0" applyProtection="0"/>
    <xf numFmtId="213" fontId="10" fillId="0" borderId="0" applyFont="0" applyFill="0" applyBorder="0" applyAlignment="0" applyProtection="0"/>
    <xf numFmtId="209" fontId="10" fillId="0" borderId="0" applyFont="0" applyFill="0" applyBorder="0" applyAlignment="0" applyProtection="0"/>
    <xf numFmtId="16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6"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7"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11" fontId="10" fillId="0" borderId="0" applyFont="0" applyFill="0" applyBorder="0" applyAlignment="0" applyProtection="0"/>
    <xf numFmtId="364" fontId="10" fillId="0" borderId="0" applyFont="0" applyFill="0" applyBorder="0" applyAlignment="0" applyProtection="0"/>
    <xf numFmtId="171" fontId="10" fillId="0" borderId="0" applyFont="0" applyFill="0" applyBorder="0" applyAlignment="0" applyProtection="0"/>
    <xf numFmtId="364" fontId="35" fillId="0" borderId="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1"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210" fontId="35" fillId="0" borderId="0" applyFill="0" applyBorder="0" applyAlignment="0" applyProtection="0"/>
    <xf numFmtId="210" fontId="35" fillId="0" borderId="0" applyFill="0" applyBorder="0" applyAlignment="0" applyProtection="0"/>
    <xf numFmtId="218" fontId="10" fillId="0" borderId="0" applyFont="0" applyFill="0" applyBorder="0" applyAlignment="0" applyProtection="0"/>
    <xf numFmtId="21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364" fontId="10" fillId="0" borderId="0" applyFont="0" applyFill="0" applyBorder="0" applyAlignment="0" applyProtection="0"/>
    <xf numFmtId="364" fontId="10" fillId="0" borderId="0" applyFont="0" applyFill="0" applyBorder="0" applyAlignment="0" applyProtection="0"/>
    <xf numFmtId="364" fontId="35" fillId="0" borderId="0" applyFill="0" applyBorder="0" applyAlignment="0" applyProtection="0"/>
    <xf numFmtId="36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9"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2" fontId="35" fillId="0" borderId="0" applyFill="0" applyBorder="0" applyAlignment="0" applyProtection="0"/>
    <xf numFmtId="220"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22" fontId="8" fillId="0" borderId="0" applyFill="0" applyBorder="0" applyAlignment="0" applyProtection="0"/>
    <xf numFmtId="213" fontId="10" fillId="0" borderId="0" applyFont="0" applyFill="0" applyBorder="0" applyAlignment="0" applyProtection="0"/>
    <xf numFmtId="222" fontId="8"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21" fontId="10" fillId="0" borderId="0" applyFont="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169" fontId="10" fillId="0" borderId="0" applyFont="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208" fontId="8" fillId="0" borderId="0" applyFill="0" applyBorder="0" applyAlignment="0" applyProtection="0"/>
    <xf numFmtId="169" fontId="10" fillId="0" borderId="0" applyFont="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213" fontId="10" fillId="0" borderId="0" applyFont="0" applyFill="0" applyBorder="0" applyAlignment="0" applyProtection="0"/>
    <xf numFmtId="214" fontId="35" fillId="0" borderId="0" applyFill="0" applyBorder="0" applyAlignment="0" applyProtection="0"/>
    <xf numFmtId="224" fontId="10" fillId="0" borderId="0" applyFont="0" applyFill="0" applyBorder="0" applyAlignment="0" applyProtection="0"/>
    <xf numFmtId="225" fontId="35" fillId="0" borderId="0" applyFill="0" applyBorder="0" applyAlignment="0" applyProtection="0"/>
    <xf numFmtId="208" fontId="8" fillId="0" borderId="0" applyFill="0" applyBorder="0" applyAlignment="0" applyProtection="0"/>
    <xf numFmtId="216" fontId="10" fillId="0" borderId="0" applyFont="0" applyFill="0" applyBorder="0" applyAlignment="0" applyProtection="0"/>
    <xf numFmtId="219" fontId="35" fillId="0" borderId="0" applyFill="0" applyBorder="0" applyAlignment="0" applyProtection="0"/>
    <xf numFmtId="211" fontId="10" fillId="0" borderId="0" applyFont="0" applyFill="0" applyBorder="0" applyAlignment="0" applyProtection="0"/>
    <xf numFmtId="212" fontId="35" fillId="0" borderId="0" applyFill="0" applyBorder="0" applyAlignment="0" applyProtection="0"/>
    <xf numFmtId="169" fontId="10" fillId="0" borderId="0" applyFont="0" applyFill="0" applyBorder="0" applyAlignment="0" applyProtection="0"/>
    <xf numFmtId="208" fontId="35" fillId="0" borderId="0" applyFill="0" applyBorder="0" applyAlignment="0" applyProtection="0"/>
    <xf numFmtId="209" fontId="10" fillId="0" borderId="0" applyFont="0" applyFill="0" applyBorder="0" applyAlignment="0" applyProtection="0"/>
    <xf numFmtId="226" fontId="35" fillId="0" borderId="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79" fontId="22" fillId="0" borderId="0" applyFont="0" applyFill="0" applyBorder="0" applyAlignment="0" applyProtection="0"/>
    <xf numFmtId="204"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79" fontId="22" fillId="0" borderId="0" applyFont="0" applyFill="0" applyBorder="0" applyAlignment="0" applyProtection="0"/>
    <xf numFmtId="190" fontId="35"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190" fontId="8" fillId="0" borderId="0" applyFill="0" applyBorder="0" applyAlignment="0" applyProtection="0"/>
    <xf numFmtId="203" fontId="22" fillId="0" borderId="0" applyFont="0" applyFill="0" applyBorder="0" applyAlignment="0" applyProtection="0"/>
    <xf numFmtId="205" fontId="35" fillId="0" borderId="0" applyFill="0" applyBorder="0" applyAlignment="0" applyProtection="0"/>
    <xf numFmtId="190" fontId="8" fillId="0" borderId="0" applyFill="0" applyBorder="0" applyAlignment="0" applyProtection="0"/>
    <xf numFmtId="178" fontId="22" fillId="0" borderId="0" applyFont="0" applyFill="0" applyBorder="0" applyAlignment="0" applyProtection="0"/>
    <xf numFmtId="206" fontId="35" fillId="0" borderId="0" applyFill="0" applyBorder="0" applyAlignment="0" applyProtection="0"/>
    <xf numFmtId="43" fontId="22" fillId="0" borderId="0" applyFont="0" applyFill="0" applyBorder="0" applyAlignment="0" applyProtection="0"/>
    <xf numFmtId="207" fontId="35"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07"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226" fontId="8" fillId="0" borderId="0" applyFill="0" applyBorder="0" applyAlignment="0" applyProtection="0"/>
    <xf numFmtId="364" fontId="44" fillId="0" borderId="0" applyNumberForma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179" fontId="22" fillId="0" borderId="0" applyFont="0" applyFill="0" applyBorder="0" applyAlignment="0" applyProtection="0"/>
    <xf numFmtId="166" fontId="10" fillId="0" borderId="0" applyFont="0" applyFill="0" applyBorder="0" applyAlignment="0" applyProtection="0"/>
    <xf numFmtId="192" fontId="35" fillId="0" borderId="0" applyFill="0" applyBorder="0" applyAlignment="0" applyProtection="0"/>
    <xf numFmtId="364" fontId="16" fillId="0" borderId="0"/>
    <xf numFmtId="364" fontId="16" fillId="0" borderId="0"/>
    <xf numFmtId="364" fontId="20" fillId="0" borderId="0"/>
    <xf numFmtId="364" fontId="20" fillId="0" borderId="0"/>
    <xf numFmtId="364" fontId="20" fillId="0" borderId="0"/>
    <xf numFmtId="364" fontId="20" fillId="0" borderId="0"/>
    <xf numFmtId="364" fontId="16" fillId="0" borderId="0"/>
    <xf numFmtId="364" fontId="35" fillId="0" borderId="0" applyFont="0" applyFill="0" applyBorder="0" applyAlignment="0" applyProtection="0"/>
    <xf numFmtId="364" fontId="16" fillId="0" borderId="0"/>
    <xf numFmtId="364" fontId="16"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8" fillId="0" borderId="0"/>
    <xf numFmtId="364" fontId="49" fillId="0" borderId="0"/>
    <xf numFmtId="364" fontId="47" fillId="0" borderId="0"/>
    <xf numFmtId="364" fontId="47" fillId="0" borderId="0"/>
    <xf numFmtId="364" fontId="47" fillId="0" borderId="0"/>
    <xf numFmtId="364" fontId="47" fillId="0" borderId="0"/>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8" fillId="0" borderId="0">
      <alignment wrapText="1"/>
    </xf>
    <xf numFmtId="364" fontId="46" fillId="0" borderId="0">
      <alignment wrapText="1"/>
    </xf>
    <xf numFmtId="364" fontId="8" fillId="0" borderId="0">
      <alignment wrapText="1"/>
    </xf>
    <xf numFmtId="364" fontId="44" fillId="0" borderId="0" applyNumberFormat="0" applyFill="0" applyBorder="0" applyAlignment="0" applyProtection="0"/>
    <xf numFmtId="364" fontId="43" fillId="0" borderId="0"/>
    <xf numFmtId="253" fontId="50" fillId="0" borderId="0" applyFont="0" applyFill="0" applyBorder="0" applyAlignment="0" applyProtection="0"/>
    <xf numFmtId="254" fontId="35" fillId="0" borderId="0" applyFill="0" applyBorder="0" applyAlignment="0" applyProtection="0"/>
    <xf numFmtId="254" fontId="35" fillId="0" borderId="0" applyFill="0" applyBorder="0" applyAlignment="0" applyProtection="0"/>
    <xf numFmtId="255" fontId="32" fillId="0" borderId="0" applyFont="0" applyFill="0" applyBorder="0" applyAlignment="0" applyProtection="0"/>
    <xf numFmtId="6" fontId="51" fillId="0" borderId="0" applyFont="0" applyFill="0" applyBorder="0" applyAlignment="0" applyProtection="0"/>
    <xf numFmtId="256" fontId="52" fillId="0" borderId="0" applyFont="0" applyFill="0" applyBorder="0" applyAlignment="0" applyProtection="0"/>
    <xf numFmtId="257" fontId="52" fillId="0" borderId="0" applyFont="0" applyFill="0" applyBorder="0" applyAlignment="0" applyProtection="0"/>
    <xf numFmtId="6" fontId="51" fillId="0" borderId="0" applyFont="0" applyFill="0" applyBorder="0" applyAlignment="0" applyProtection="0"/>
    <xf numFmtId="256" fontId="52" fillId="0" borderId="0" applyFont="0" applyFill="0" applyBorder="0" applyAlignment="0" applyProtection="0"/>
    <xf numFmtId="258" fontId="44" fillId="0" borderId="0" applyFont="0" applyFill="0" applyBorder="0" applyAlignment="0" applyProtection="0"/>
    <xf numFmtId="259" fontId="29" fillId="0" borderId="0" applyFont="0" applyFill="0" applyBorder="0" applyAlignment="0" applyProtection="0"/>
    <xf numFmtId="364" fontId="53" fillId="0" borderId="0"/>
    <xf numFmtId="364" fontId="53" fillId="0" borderId="0"/>
    <xf numFmtId="364" fontId="54" fillId="0" borderId="0" applyNumberFormat="0" applyFill="0" applyBorder="0" applyAlignment="0" applyProtection="0">
      <alignment vertical="top"/>
      <protection locked="0"/>
    </xf>
    <xf numFmtId="260" fontId="55" fillId="0" borderId="0" applyFont="0" applyFill="0" applyBorder="0" applyAlignment="0" applyProtection="0"/>
    <xf numFmtId="261" fontId="55" fillId="0" borderId="0" applyFont="0" applyFill="0" applyBorder="0" applyAlignment="0" applyProtection="0"/>
    <xf numFmtId="262" fontId="56" fillId="0" borderId="0" applyFont="0" applyFill="0" applyBorder="0" applyAlignment="0" applyProtection="0"/>
    <xf numFmtId="184" fontId="56" fillId="0" borderId="0" applyFont="0" applyFill="0" applyBorder="0" applyAlignment="0" applyProtection="0"/>
    <xf numFmtId="364" fontId="57" fillId="0" borderId="0" applyNumberFormat="0" applyFill="0" applyBorder="0" applyAlignment="0" applyProtection="0">
      <alignment vertical="top"/>
      <protection locked="0"/>
    </xf>
    <xf numFmtId="364" fontId="58" fillId="0" borderId="0"/>
    <xf numFmtId="1" fontId="59" fillId="0" borderId="16" applyNumberFormat="0" applyFont="0" applyBorder="0" applyAlignment="0">
      <alignment horizontal="center" vertical="center"/>
    </xf>
    <xf numFmtId="169" fontId="59" fillId="0" borderId="16" applyNumberFormat="0" applyFont="0" applyBorder="0" applyAlignment="0">
      <alignment horizontal="center" vertical="center"/>
    </xf>
    <xf numFmtId="364" fontId="21" fillId="0" borderId="0"/>
    <xf numFmtId="364" fontId="60" fillId="0" borderId="0"/>
    <xf numFmtId="364" fontId="8" fillId="0" borderId="0"/>
    <xf numFmtId="169" fontId="59" fillId="0" borderId="16" applyNumberFormat="0" applyFont="0" applyBorder="0" applyAlignment="0">
      <alignment horizontal="center" vertical="center"/>
    </xf>
    <xf numFmtId="3" fontId="24" fillId="0" borderId="1"/>
    <xf numFmtId="3" fontId="24" fillId="0" borderId="1"/>
    <xf numFmtId="3" fontId="24" fillId="0" borderId="1"/>
    <xf numFmtId="364" fontId="35" fillId="0" borderId="0" applyNumberFormat="0" applyBorder="0" applyAlignment="0"/>
    <xf numFmtId="1" fontId="61" fillId="0" borderId="0" applyBorder="0" applyAlignment="0"/>
    <xf numFmtId="1" fontId="61" fillId="0" borderId="0" applyBorder="0" applyAlignment="0"/>
    <xf numFmtId="1" fontId="61" fillId="0" borderId="0" applyBorder="0" applyAlignment="0"/>
    <xf numFmtId="1" fontId="61" fillId="0" borderId="0" applyBorder="0" applyAlignment="0"/>
    <xf numFmtId="253" fontId="50" fillId="0" borderId="0" applyFont="0" applyFill="0" applyBorder="0" applyAlignment="0" applyProtection="0"/>
    <xf numFmtId="254" fontId="35" fillId="0" borderId="0" applyFill="0" applyBorder="0" applyAlignment="0" applyProtection="0"/>
    <xf numFmtId="254" fontId="35" fillId="0" borderId="0" applyFill="0" applyBorder="0" applyAlignment="0" applyProtection="0"/>
    <xf numFmtId="364" fontId="62" fillId="7" borderId="0"/>
    <xf numFmtId="364" fontId="62" fillId="7" borderId="0"/>
    <xf numFmtId="364" fontId="62" fillId="7" borderId="0"/>
    <xf numFmtId="364" fontId="62" fillId="8" borderId="0"/>
    <xf numFmtId="364" fontId="63" fillId="9" borderId="0"/>
    <xf numFmtId="364" fontId="62" fillId="9" borderId="0"/>
    <xf numFmtId="364" fontId="62" fillId="9" borderId="0"/>
    <xf numFmtId="364" fontId="62" fillId="7" borderId="0"/>
    <xf numFmtId="364" fontId="62" fillId="7" borderId="0"/>
    <xf numFmtId="364" fontId="62" fillId="7" borderId="0"/>
    <xf numFmtId="364" fontId="62" fillId="7" borderId="0"/>
    <xf numFmtId="364" fontId="62" fillId="7" borderId="0"/>
    <xf numFmtId="364" fontId="62" fillId="7" borderId="0"/>
    <xf numFmtId="364" fontId="8" fillId="0" borderId="0" applyFill="0" applyBorder="0" applyAlignment="0"/>
    <xf numFmtId="364" fontId="8" fillId="0" borderId="0" applyFill="0" applyBorder="0" applyAlignment="0"/>
    <xf numFmtId="364" fontId="8" fillId="0" borderId="0" applyFill="0" applyBorder="0" applyAlignment="0"/>
    <xf numFmtId="364" fontId="8" fillId="0" borderId="0" applyFill="0" applyBorder="0" applyAlignment="0"/>
    <xf numFmtId="364" fontId="8" fillId="0" borderId="0" applyFill="0" applyBorder="0" applyAlignment="0"/>
    <xf numFmtId="364" fontId="8" fillId="0" borderId="0" applyFill="0" applyBorder="0" applyAlignment="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263" fontId="10" fillId="0" borderId="17" applyNumberFormat="0" applyFont="0" applyAlignment="0"/>
    <xf numFmtId="364" fontId="62" fillId="7" borderId="0"/>
    <xf numFmtId="364" fontId="62" fillId="7" borderId="0"/>
    <xf numFmtId="364" fontId="62" fillId="7" borderId="0"/>
    <xf numFmtId="263" fontId="10" fillId="0" borderId="17" applyNumberFormat="0" applyFont="0" applyAlignment="0"/>
    <xf numFmtId="364" fontId="62" fillId="7" borderId="0"/>
    <xf numFmtId="364" fontId="62" fillId="7" borderId="0"/>
    <xf numFmtId="364" fontId="62" fillId="7" borderId="0"/>
    <xf numFmtId="364" fontId="8" fillId="0" borderId="0" applyFill="0" applyBorder="0" applyAlignment="0"/>
    <xf numFmtId="364" fontId="8" fillId="0" borderId="0" applyFill="0" applyBorder="0" applyAlignment="0"/>
    <xf numFmtId="364" fontId="8" fillId="0" borderId="0" applyFill="0" applyBorder="0" applyAlignment="0"/>
    <xf numFmtId="364" fontId="8" fillId="0" borderId="0" applyFill="0" applyBorder="0" applyAlignment="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364" fontId="62" fillId="7" borderId="0"/>
    <xf numFmtId="263" fontId="10" fillId="0" borderId="17" applyNumberFormat="0" applyFont="0" applyAlignment="0"/>
    <xf numFmtId="364" fontId="8" fillId="0" borderId="0" applyFill="0" applyBorder="0" applyAlignment="0"/>
    <xf numFmtId="364" fontId="62" fillId="9" borderId="0"/>
    <xf numFmtId="9" fontId="64" fillId="0" borderId="0" applyFont="0" applyFill="0" applyBorder="0" applyAlignment="0" applyProtection="0"/>
    <xf numFmtId="9" fontId="65" fillId="0" borderId="0" applyFont="0" applyFill="0" applyBorder="0" applyAlignment="0" applyProtection="0"/>
    <xf numFmtId="364" fontId="66" fillId="0" borderId="0"/>
    <xf numFmtId="364" fontId="14" fillId="0" borderId="7" applyFont="0" applyFill="0" applyAlignment="0"/>
    <xf numFmtId="364" fontId="14" fillId="0" borderId="7" applyFont="0" applyFill="0" applyAlignment="0"/>
    <xf numFmtId="9" fontId="67" fillId="0" borderId="0" applyBorder="0" applyAlignment="0" applyProtection="0"/>
    <xf numFmtId="364" fontId="68" fillId="9" borderId="0"/>
    <xf numFmtId="364" fontId="68" fillId="8" borderId="0"/>
    <xf numFmtId="364" fontId="63" fillId="9" borderId="0"/>
    <xf numFmtId="364" fontId="68" fillId="7" borderId="0"/>
    <xf numFmtId="364" fontId="68" fillId="7" borderId="0"/>
    <xf numFmtId="364" fontId="14" fillId="0" borderId="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2"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3"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5"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6"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4"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8"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7"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9"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20"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1" borderId="0" applyNumberFormat="0" applyBorder="0" applyAlignment="0" applyProtection="0"/>
    <xf numFmtId="364" fontId="7" fillId="11"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21" borderId="0" applyNumberFormat="0" applyBorder="0" applyAlignment="0" applyProtection="0"/>
    <xf numFmtId="364" fontId="7" fillId="6"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22"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23"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3" borderId="0" applyNumberFormat="0" applyBorder="0" applyAlignment="0" applyProtection="0"/>
    <xf numFmtId="364" fontId="7" fillId="16" borderId="0" applyNumberFormat="0" applyBorder="0" applyAlignment="0" applyProtection="0"/>
    <xf numFmtId="364" fontId="7" fillId="18" borderId="0" applyNumberFormat="0" applyBorder="0" applyAlignment="0" applyProtection="0"/>
    <xf numFmtId="364" fontId="7" fillId="20" borderId="0" applyNumberFormat="0" applyBorder="0" applyAlignment="0" applyProtection="0"/>
    <xf numFmtId="364" fontId="7" fillId="21" borderId="0" applyNumberFormat="0" applyBorder="0" applyAlignment="0" applyProtection="0"/>
    <xf numFmtId="364" fontId="7" fillId="23" borderId="0" applyNumberFormat="0" applyBorder="0" applyAlignment="0" applyProtection="0"/>
    <xf numFmtId="364" fontId="69" fillId="13" borderId="0" applyNumberFormat="0" applyBorder="0" applyAlignment="0" applyProtection="0">
      <alignment vertical="center"/>
    </xf>
    <xf numFmtId="364" fontId="69" fillId="16" borderId="0" applyNumberFormat="0" applyBorder="0" applyAlignment="0" applyProtection="0">
      <alignment vertical="center"/>
    </xf>
    <xf numFmtId="364" fontId="69" fillId="18" borderId="0" applyNumberFormat="0" applyBorder="0" applyAlignment="0" applyProtection="0">
      <alignment vertical="center"/>
    </xf>
    <xf numFmtId="364" fontId="69" fillId="20" borderId="0" applyNumberFormat="0" applyBorder="0" applyAlignment="0" applyProtection="0">
      <alignment vertical="center"/>
    </xf>
    <xf numFmtId="364" fontId="69" fillId="21" borderId="0" applyNumberFormat="0" applyBorder="0" applyAlignment="0" applyProtection="0">
      <alignment vertical="center"/>
    </xf>
    <xf numFmtId="364" fontId="69" fillId="23" borderId="0" applyNumberFormat="0" applyBorder="0" applyAlignment="0" applyProtection="0">
      <alignment vertical="center"/>
    </xf>
    <xf numFmtId="364" fontId="70" fillId="12" borderId="0" applyNumberFormat="0" applyBorder="0" applyAlignment="0" applyProtection="0">
      <alignment vertical="center"/>
    </xf>
    <xf numFmtId="364" fontId="70" fillId="15" borderId="0" applyNumberFormat="0" applyBorder="0" applyAlignment="0" applyProtection="0">
      <alignment vertical="center"/>
    </xf>
    <xf numFmtId="364" fontId="70" fillId="4" borderId="0" applyNumberFormat="0" applyBorder="0" applyAlignment="0" applyProtection="0">
      <alignment vertical="center"/>
    </xf>
    <xf numFmtId="364" fontId="70" fillId="19" borderId="0" applyNumberFormat="0" applyBorder="0" applyAlignment="0" applyProtection="0">
      <alignment vertical="center"/>
    </xf>
    <xf numFmtId="364" fontId="70" fillId="6" borderId="0" applyNumberFormat="0" applyBorder="0" applyAlignment="0" applyProtection="0">
      <alignment vertical="center"/>
    </xf>
    <xf numFmtId="364" fontId="70" fillId="22" borderId="0" applyNumberFormat="0" applyBorder="0" applyAlignment="0" applyProtection="0">
      <alignment vertical="center"/>
    </xf>
    <xf numFmtId="364" fontId="71" fillId="9" borderId="0"/>
    <xf numFmtId="364" fontId="71" fillId="8" borderId="0"/>
    <xf numFmtId="364" fontId="63" fillId="9" borderId="0"/>
    <xf numFmtId="364" fontId="71" fillId="7" borderId="0"/>
    <xf numFmtId="364" fontId="71" fillId="7" borderId="0"/>
    <xf numFmtId="364" fontId="72" fillId="0" borderId="0">
      <alignment wrapText="1"/>
    </xf>
    <xf numFmtId="364" fontId="63" fillId="0" borderId="0">
      <alignment wrapText="1"/>
    </xf>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24"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25"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8" fillId="0" borderId="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7" borderId="0" applyNumberFormat="0" applyBorder="0" applyAlignment="0" applyProtection="0"/>
    <xf numFmtId="364" fontId="7" fillId="28"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6"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30"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31"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29"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19"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20"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7"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24"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25"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0"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32"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33"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14" borderId="0" applyNumberFormat="0" applyBorder="0" applyAlignment="0" applyProtection="0"/>
    <xf numFmtId="364" fontId="7" fillId="25" borderId="0" applyNumberFormat="0" applyBorder="0" applyAlignment="0" applyProtection="0"/>
    <xf numFmtId="364" fontId="7" fillId="27" borderId="0" applyNumberFormat="0" applyBorder="0" applyAlignment="0" applyProtection="0"/>
    <xf numFmtId="364" fontId="7" fillId="31" borderId="0" applyNumberFormat="0" applyBorder="0" applyAlignment="0" applyProtection="0"/>
    <xf numFmtId="364" fontId="7" fillId="20" borderId="0" applyNumberFormat="0" applyBorder="0" applyAlignment="0" applyProtection="0"/>
    <xf numFmtId="364" fontId="7" fillId="25" borderId="0" applyNumberFormat="0" applyBorder="0" applyAlignment="0" applyProtection="0"/>
    <xf numFmtId="364" fontId="7" fillId="33" borderId="0" applyNumberFormat="0" applyBorder="0" applyAlignment="0" applyProtection="0"/>
    <xf numFmtId="364" fontId="69" fillId="25" borderId="0" applyNumberFormat="0" applyBorder="0" applyAlignment="0" applyProtection="0">
      <alignment vertical="center"/>
    </xf>
    <xf numFmtId="364" fontId="69" fillId="27" borderId="0" applyNumberFormat="0" applyBorder="0" applyAlignment="0" applyProtection="0">
      <alignment vertical="center"/>
    </xf>
    <xf numFmtId="364" fontId="69" fillId="31" borderId="0" applyNumberFormat="0" applyBorder="0" applyAlignment="0" applyProtection="0">
      <alignment vertical="center"/>
    </xf>
    <xf numFmtId="364" fontId="69" fillId="20" borderId="0" applyNumberFormat="0" applyBorder="0" applyAlignment="0" applyProtection="0">
      <alignment vertical="center"/>
    </xf>
    <xf numFmtId="364" fontId="69" fillId="25" borderId="0" applyNumberFormat="0" applyBorder="0" applyAlignment="0" applyProtection="0">
      <alignment vertical="center"/>
    </xf>
    <xf numFmtId="364" fontId="69" fillId="33" borderId="0" applyNumberFormat="0" applyBorder="0" applyAlignment="0" applyProtection="0">
      <alignment vertical="center"/>
    </xf>
    <xf numFmtId="364" fontId="70" fillId="24" borderId="0" applyNumberFormat="0" applyBorder="0" applyAlignment="0" applyProtection="0">
      <alignment vertical="center"/>
    </xf>
    <xf numFmtId="364" fontId="70" fillId="28" borderId="0" applyNumberFormat="0" applyBorder="0" applyAlignment="0" applyProtection="0">
      <alignment vertical="center"/>
    </xf>
    <xf numFmtId="364" fontId="70" fillId="30" borderId="0" applyNumberFormat="0" applyBorder="0" applyAlignment="0" applyProtection="0">
      <alignment vertical="center"/>
    </xf>
    <xf numFmtId="364" fontId="70" fillId="19" borderId="0" applyNumberFormat="0" applyBorder="0" applyAlignment="0" applyProtection="0">
      <alignment vertical="center"/>
    </xf>
    <xf numFmtId="364" fontId="70" fillId="24" borderId="0" applyNumberFormat="0" applyBorder="0" applyAlignment="0" applyProtection="0">
      <alignment vertical="center"/>
    </xf>
    <xf numFmtId="364" fontId="70" fillId="32" borderId="0" applyNumberFormat="0" applyBorder="0" applyAlignment="0" applyProtection="0">
      <alignment vertical="center"/>
    </xf>
    <xf numFmtId="364" fontId="44" fillId="0" borderId="0"/>
    <xf numFmtId="364" fontId="44" fillId="0" borderId="0"/>
    <xf numFmtId="364" fontId="44" fillId="0" borderId="0"/>
    <xf numFmtId="364" fontId="44" fillId="0" borderId="0"/>
    <xf numFmtId="364" fontId="44" fillId="0" borderId="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5"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6"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28"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30"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31"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29"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3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38"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7" borderId="0" applyNumberFormat="0" applyBorder="0" applyAlignment="0" applyProtection="0"/>
    <xf numFmtId="364" fontId="73" fillId="39"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40"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41"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14" borderId="0" applyNumberFormat="0" applyBorder="0" applyAlignment="0" applyProtection="0"/>
    <xf numFmtId="364" fontId="73" fillId="36" borderId="0" applyNumberFormat="0" applyBorder="0" applyAlignment="0" applyProtection="0"/>
    <xf numFmtId="364" fontId="73" fillId="27" borderId="0" applyNumberFormat="0" applyBorder="0" applyAlignment="0" applyProtection="0"/>
    <xf numFmtId="364" fontId="73" fillId="31" borderId="0" applyNumberFormat="0" applyBorder="0" applyAlignment="0" applyProtection="0"/>
    <xf numFmtId="364" fontId="73" fillId="38" borderId="0" applyNumberFormat="0" applyBorder="0" applyAlignment="0" applyProtection="0"/>
    <xf numFmtId="364" fontId="73" fillId="42" borderId="0" applyNumberFormat="0" applyBorder="0" applyAlignment="0" applyProtection="0"/>
    <xf numFmtId="364" fontId="73" fillId="41" borderId="0" applyNumberFormat="0" applyBorder="0" applyAlignment="0" applyProtection="0"/>
    <xf numFmtId="364" fontId="74" fillId="36" borderId="0" applyNumberFormat="0" applyBorder="0" applyAlignment="0" applyProtection="0">
      <alignment vertical="center"/>
    </xf>
    <xf numFmtId="364" fontId="74" fillId="27" borderId="0" applyNumberFormat="0" applyBorder="0" applyAlignment="0" applyProtection="0">
      <alignment vertical="center"/>
    </xf>
    <xf numFmtId="364" fontId="74" fillId="31" borderId="0" applyNumberFormat="0" applyBorder="0" applyAlignment="0" applyProtection="0">
      <alignment vertical="center"/>
    </xf>
    <xf numFmtId="364" fontId="74" fillId="38" borderId="0" applyNumberFormat="0" applyBorder="0" applyAlignment="0" applyProtection="0">
      <alignment vertical="center"/>
    </xf>
    <xf numFmtId="364" fontId="74" fillId="42" borderId="0" applyNumberFormat="0" applyBorder="0" applyAlignment="0" applyProtection="0">
      <alignment vertical="center"/>
    </xf>
    <xf numFmtId="364" fontId="74" fillId="41" borderId="0" applyNumberFormat="0" applyBorder="0" applyAlignment="0" applyProtection="0">
      <alignment vertical="center"/>
    </xf>
    <xf numFmtId="364" fontId="75" fillId="35" borderId="0" applyNumberFormat="0" applyBorder="0" applyAlignment="0" applyProtection="0">
      <alignment vertical="center"/>
    </xf>
    <xf numFmtId="364" fontId="75" fillId="28" borderId="0" applyNumberFormat="0" applyBorder="0" applyAlignment="0" applyProtection="0">
      <alignment vertical="center"/>
    </xf>
    <xf numFmtId="364" fontId="75" fillId="30" borderId="0" applyNumberFormat="0" applyBorder="0" applyAlignment="0" applyProtection="0">
      <alignment vertical="center"/>
    </xf>
    <xf numFmtId="364" fontId="75" fillId="43" borderId="0" applyNumberFormat="0" applyBorder="0" applyAlignment="0" applyProtection="0">
      <alignment vertical="center"/>
    </xf>
    <xf numFmtId="364" fontId="75" fillId="39" borderId="0" applyNumberFormat="0" applyBorder="0" applyAlignment="0" applyProtection="0">
      <alignment vertical="center"/>
    </xf>
    <xf numFmtId="364" fontId="75" fillId="40" borderId="0" applyNumberFormat="0" applyBorder="0" applyAlignment="0" applyProtection="0">
      <alignment vertical="center"/>
    </xf>
    <xf numFmtId="364" fontId="76" fillId="44" borderId="0" applyNumberFormat="0" applyBorder="0" applyAlignment="0">
      <alignment horizontal="center"/>
    </xf>
    <xf numFmtId="264" fontId="77" fillId="0" borderId="0" applyFont="0" applyFill="0" applyBorder="0" applyAlignment="0" applyProtection="0"/>
    <xf numFmtId="265" fontId="77" fillId="0" borderId="0" applyFont="0" applyFill="0" applyBorder="0" applyAlignment="0" applyProtection="0"/>
    <xf numFmtId="364" fontId="40" fillId="0" borderId="0" applyFont="0" applyFill="0" applyBorder="0" applyAlignment="0" applyProtection="0"/>
    <xf numFmtId="364" fontId="40" fillId="0" borderId="0" applyFont="0" applyFill="0" applyBorder="0" applyAlignment="0" applyProtection="0"/>
    <xf numFmtId="364" fontId="78" fillId="0" borderId="0"/>
    <xf numFmtId="364" fontId="7" fillId="45" borderId="0" applyNumberFormat="0" applyBorder="0" applyAlignment="0" applyProtection="0"/>
    <xf numFmtId="364" fontId="7" fillId="45" borderId="0" applyNumberFormat="0" applyBorder="0" applyAlignment="0" applyProtection="0"/>
    <xf numFmtId="364" fontId="73" fillId="46"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47"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48"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3" fillId="34" borderId="0" applyNumberFormat="0" applyBorder="0" applyAlignment="0" applyProtection="0"/>
    <xf numFmtId="364" fontId="7" fillId="49" borderId="0" applyNumberFormat="0" applyBorder="0" applyAlignment="0" applyProtection="0"/>
    <xf numFmtId="364" fontId="7" fillId="50" borderId="0" applyNumberFormat="0" applyBorder="0" applyAlignment="0" applyProtection="0"/>
    <xf numFmtId="364" fontId="73" fillId="51"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3"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3" fillId="52" borderId="0" applyNumberFormat="0" applyBorder="0" applyAlignment="0" applyProtection="0"/>
    <xf numFmtId="364" fontId="7" fillId="49" borderId="0" applyNumberFormat="0" applyBorder="0" applyAlignment="0" applyProtection="0"/>
    <xf numFmtId="364" fontId="7" fillId="54" borderId="0" applyNumberFormat="0" applyBorder="0" applyAlignment="0" applyProtection="0"/>
    <xf numFmtId="364" fontId="73" fillId="50"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6"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3" fillId="55" borderId="0" applyNumberFormat="0" applyBorder="0" applyAlignment="0" applyProtection="0"/>
    <xf numFmtId="364" fontId="7" fillId="45" borderId="0" applyNumberFormat="0" applyBorder="0" applyAlignment="0" applyProtection="0"/>
    <xf numFmtId="364" fontId="7" fillId="50" borderId="0" applyNumberFormat="0" applyBorder="0" applyAlignment="0" applyProtection="0"/>
    <xf numFmtId="364" fontId="73" fillId="50"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3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38"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3" fillId="57" borderId="0" applyNumberFormat="0" applyBorder="0" applyAlignment="0" applyProtection="0"/>
    <xf numFmtId="364" fontId="7" fillId="58" borderId="0" applyNumberFormat="0" applyBorder="0" applyAlignment="0" applyProtection="0"/>
    <xf numFmtId="364" fontId="7" fillId="45" borderId="0" applyNumberFormat="0" applyBorder="0" applyAlignment="0" applyProtection="0"/>
    <xf numFmtId="364" fontId="73" fillId="46"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39"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3" fillId="42" borderId="0" applyNumberFormat="0" applyBorder="0" applyAlignment="0" applyProtection="0"/>
    <xf numFmtId="364" fontId="7" fillId="49" borderId="0" applyNumberFormat="0" applyBorder="0" applyAlignment="0" applyProtection="0"/>
    <xf numFmtId="364" fontId="7" fillId="59" borderId="0" applyNumberFormat="0" applyBorder="0" applyAlignment="0" applyProtection="0"/>
    <xf numFmtId="364" fontId="73" fillId="59"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1"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364" fontId="73" fillId="60" borderId="0" applyNumberFormat="0" applyBorder="0" applyAlignment="0" applyProtection="0"/>
    <xf numFmtId="266" fontId="79" fillId="24" borderId="11">
      <alignment horizontal="center" vertical="center"/>
    </xf>
    <xf numFmtId="267" fontId="8" fillId="0" borderId="0" applyFont="0" applyFill="0" applyBorder="0" applyAlignment="0" applyProtection="0"/>
    <xf numFmtId="268" fontId="8" fillId="0" borderId="0" applyFill="0" applyBorder="0" applyAlignment="0" applyProtection="0"/>
    <xf numFmtId="269" fontId="22" fillId="0" borderId="0" applyFont="0" applyFill="0" applyBorder="0" applyAlignment="0" applyProtection="0"/>
    <xf numFmtId="270" fontId="77" fillId="0" borderId="0" applyFont="0" applyFill="0" applyBorder="0" applyAlignment="0" applyProtection="0"/>
    <xf numFmtId="271" fontId="77" fillId="0" borderId="0" applyFont="0" applyFill="0" applyBorder="0" applyAlignment="0" applyProtection="0"/>
    <xf numFmtId="272" fontId="8" fillId="0" borderId="0" applyFont="0" applyFill="0" applyBorder="0" applyAlignment="0" applyProtection="0"/>
    <xf numFmtId="364" fontId="8" fillId="0" borderId="0" applyFill="0" applyBorder="0" applyAlignment="0" applyProtection="0"/>
    <xf numFmtId="267" fontId="22" fillId="0" borderId="0" applyFont="0" applyFill="0" applyBorder="0" applyAlignment="0" applyProtection="0"/>
    <xf numFmtId="273" fontId="8" fillId="0" borderId="0" applyFill="0" applyBorder="0" applyAlignment="0" applyProtection="0"/>
    <xf numFmtId="274" fontId="8" fillId="0" borderId="0" applyFill="0" applyBorder="0" applyAlignment="0" applyProtection="0"/>
    <xf numFmtId="364" fontId="81" fillId="0" borderId="18" applyFont="0" applyFill="0" applyBorder="0" applyAlignment="0" applyProtection="0">
      <alignment horizontal="center" vertical="center"/>
    </xf>
    <xf numFmtId="364" fontId="82" fillId="0" borderId="0">
      <alignment horizontal="center" wrapText="1"/>
      <protection locked="0"/>
    </xf>
    <xf numFmtId="364" fontId="8" fillId="0" borderId="0" applyFill="0" applyBorder="0">
      <alignment vertical="center"/>
    </xf>
    <xf numFmtId="237" fontId="83" fillId="0" borderId="0" applyFont="0" applyFill="0" applyBorder="0" applyAlignment="0" applyProtection="0"/>
    <xf numFmtId="364" fontId="8" fillId="0" borderId="0" applyFill="0" applyBorder="0" applyAlignment="0" applyProtection="0"/>
    <xf numFmtId="237" fontId="84" fillId="0" borderId="0" applyFont="0" applyFill="0" applyBorder="0" applyAlignment="0" applyProtection="0"/>
    <xf numFmtId="209" fontId="83" fillId="0" borderId="0" applyFont="0" applyFill="0" applyBorder="0" applyAlignment="0" applyProtection="0"/>
    <xf numFmtId="275" fontId="8" fillId="0" borderId="0" applyFill="0" applyBorder="0" applyAlignment="0" applyProtection="0"/>
    <xf numFmtId="209" fontId="84" fillId="0" borderId="0" applyFont="0" applyFill="0" applyBorder="0" applyAlignment="0" applyProtection="0"/>
    <xf numFmtId="179" fontId="22" fillId="0" borderId="0" applyFont="0" applyFill="0" applyBorder="0" applyAlignment="0" applyProtection="0"/>
    <xf numFmtId="364" fontId="85" fillId="15" borderId="0" applyNumberFormat="0" applyBorder="0" applyAlignment="0" applyProtection="0"/>
    <xf numFmtId="364" fontId="86" fillId="0" borderId="0"/>
    <xf numFmtId="364" fontId="87" fillId="0" borderId="0" applyNumberFormat="0" applyFill="0" applyBorder="0" applyAlignment="0" applyProtection="0"/>
    <xf numFmtId="364" fontId="88" fillId="0" borderId="0"/>
    <xf numFmtId="364" fontId="80" fillId="0" borderId="0"/>
    <xf numFmtId="364" fontId="20" fillId="0" borderId="0"/>
    <xf numFmtId="364" fontId="89" fillId="0" borderId="0"/>
    <xf numFmtId="364" fontId="90" fillId="0" borderId="0"/>
    <xf numFmtId="276" fontId="35" fillId="0" borderId="0" applyFill="0" applyBorder="0" applyAlignment="0"/>
    <xf numFmtId="277" fontId="46" fillId="0" borderId="0" applyFill="0" applyBorder="0" applyAlignment="0"/>
    <xf numFmtId="278" fontId="42" fillId="0" borderId="0" applyFill="0" applyBorder="0" applyAlignment="0"/>
    <xf numFmtId="181" fontId="8" fillId="0" borderId="0" applyFill="0" applyBorder="0" applyAlignment="0"/>
    <xf numFmtId="279" fontId="8" fillId="0" borderId="0" applyFill="0" applyBorder="0" applyAlignment="0"/>
    <xf numFmtId="280" fontId="91" fillId="0" borderId="0" applyFill="0" applyBorder="0" applyAlignment="0"/>
    <xf numFmtId="256" fontId="42" fillId="0" borderId="0" applyFill="0" applyBorder="0" applyAlignment="0"/>
    <xf numFmtId="281" fontId="91" fillId="0" borderId="0" applyFill="0" applyBorder="0" applyAlignment="0"/>
    <xf numFmtId="278" fontId="42" fillId="0" borderId="0" applyFill="0" applyBorder="0" applyAlignment="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3" fillId="9"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3" fillId="63" borderId="19" applyNumberFormat="0" applyAlignment="0" applyProtection="0"/>
    <xf numFmtId="364" fontId="93" fillId="63"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4" fillId="0" borderId="0"/>
    <xf numFmtId="364" fontId="94" fillId="0" borderId="0"/>
    <xf numFmtId="282" fontId="22" fillId="0" borderId="10" applyBorder="0"/>
    <xf numFmtId="282" fontId="22" fillId="0" borderId="7">
      <protection locked="0"/>
    </xf>
    <xf numFmtId="282" fontId="22" fillId="0" borderId="7">
      <protection locked="0"/>
    </xf>
    <xf numFmtId="283" fontId="10" fillId="0" borderId="0" applyFont="0" applyFill="0" applyBorder="0" applyAlignment="0" applyProtection="0"/>
    <xf numFmtId="185" fontId="22" fillId="0" borderId="7"/>
    <xf numFmtId="185" fontId="22" fillId="0" borderId="7"/>
    <xf numFmtId="364" fontId="95" fillId="64" borderId="20" applyNumberFormat="0" applyAlignment="0" applyProtection="0"/>
    <xf numFmtId="364" fontId="95" fillId="64" borderId="20" applyNumberFormat="0" applyAlignment="0" applyProtection="0"/>
    <xf numFmtId="364" fontId="95" fillId="64" borderId="20" applyNumberFormat="0" applyAlignment="0" applyProtection="0"/>
    <xf numFmtId="364" fontId="95" fillId="65" borderId="20" applyNumberFormat="0" applyAlignment="0" applyProtection="0"/>
    <xf numFmtId="364" fontId="95" fillId="65" borderId="20" applyNumberFormat="0" applyAlignment="0" applyProtection="0"/>
    <xf numFmtId="364" fontId="95" fillId="65" borderId="20" applyNumberFormat="0" applyAlignment="0" applyProtection="0"/>
    <xf numFmtId="175" fontId="91" fillId="0" borderId="0" applyFont="0" applyFill="0" applyBorder="0" applyAlignment="0" applyProtection="0"/>
    <xf numFmtId="1" fontId="96" fillId="0" borderId="21" applyBorder="0"/>
    <xf numFmtId="364" fontId="8" fillId="0" borderId="0">
      <alignment vertical="center"/>
    </xf>
    <xf numFmtId="364" fontId="8" fillId="0" borderId="22" applyNumberFormat="0" applyProtection="0">
      <alignment horizontal="center" vertical="center"/>
    </xf>
    <xf numFmtId="364" fontId="8" fillId="0" borderId="22" applyNumberFormat="0" applyProtection="0">
      <alignment horizontal="center" vertical="center"/>
    </xf>
    <xf numFmtId="284" fontId="97" fillId="0" borderId="0"/>
    <xf numFmtId="284" fontId="97" fillId="0" borderId="0"/>
    <xf numFmtId="284" fontId="97" fillId="0" borderId="0"/>
    <xf numFmtId="284" fontId="97" fillId="0" borderId="0"/>
    <xf numFmtId="284" fontId="97" fillId="0" borderId="0"/>
    <xf numFmtId="284" fontId="97" fillId="0" borderId="0"/>
    <xf numFmtId="284" fontId="97" fillId="0" borderId="0"/>
    <xf numFmtId="284" fontId="97" fillId="0" borderId="0"/>
    <xf numFmtId="167" fontId="8" fillId="0" borderId="0" applyFont="0" applyFill="0" applyBorder="0" applyAlignment="0" applyProtection="0"/>
    <xf numFmtId="167" fontId="8" fillId="0" borderId="0" applyFont="0" applyFill="0" applyBorder="0" applyAlignment="0" applyProtection="0"/>
    <xf numFmtId="41" fontId="8" fillId="0" borderId="0" applyFont="0" applyFill="0" applyBorder="0" applyAlignment="0" applyProtection="0"/>
    <xf numFmtId="177" fontId="9" fillId="0" borderId="0" applyFill="0" applyBorder="0" applyAlignment="0" applyProtection="0"/>
    <xf numFmtId="38" fontId="9" fillId="0" borderId="0" applyFill="0" applyBorder="0" applyAlignment="0" applyProtection="0"/>
    <xf numFmtId="177" fontId="9" fillId="0" borderId="0" applyFill="0" applyBorder="0" applyAlignment="0" applyProtection="0"/>
    <xf numFmtId="167" fontId="10" fillId="0" borderId="0" applyFont="0" applyFill="0" applyBorder="0" applyAlignment="0" applyProtection="0"/>
    <xf numFmtId="256" fontId="42" fillId="0" borderId="0" applyFont="0" applyFill="0" applyBorder="0" applyAlignment="0" applyProtection="0"/>
    <xf numFmtId="169" fontId="98" fillId="0" borderId="0" applyFont="0" applyFill="0" applyBorder="0" applyAlignment="0" applyProtection="0"/>
    <xf numFmtId="169" fontId="10" fillId="0" borderId="0" applyFont="0" applyFill="0" applyBorder="0" applyAlignment="0" applyProtection="0"/>
    <xf numFmtId="169" fontId="99"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74" fontId="8" fillId="0" borderId="0" applyFont="0" applyFill="0" applyBorder="0" applyAlignment="0" applyProtection="0"/>
    <xf numFmtId="169" fontId="10"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85"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7"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364" fontId="100" fillId="0" borderId="0" applyFont="0" applyFill="0" applyBorder="0" applyAlignment="0" applyProtection="0"/>
    <xf numFmtId="169" fontId="6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286" fontId="8" fillId="0" borderId="0" applyFont="0" applyFill="0" applyBorder="0" applyAlignment="0" applyProtection="0"/>
    <xf numFmtId="169" fontId="7" fillId="0" borderId="0" applyFont="0" applyFill="0" applyBorder="0" applyAlignment="0" applyProtection="0"/>
    <xf numFmtId="183"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69" fontId="8"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40" fontId="36"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287"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1"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43" fontId="8" fillId="0" borderId="0" applyFont="0" applyFill="0" applyBorder="0" applyAlignment="0" applyProtection="0"/>
    <xf numFmtId="169" fontId="11" fillId="0" borderId="0" applyFont="0" applyFill="0" applyBorder="0" applyAlignment="0" applyProtection="0"/>
    <xf numFmtId="169" fontId="8"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69" fontId="101"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288" fontId="102" fillId="0" borderId="0" applyFont="0" applyFill="0" applyBorder="0" applyAlignment="0" applyProtection="0">
      <alignment vertical="center"/>
    </xf>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288" fontId="102" fillId="0" borderId="0" applyFont="0" applyFill="0" applyBorder="0" applyAlignment="0" applyProtection="0">
      <alignment vertical="center"/>
    </xf>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288" fontId="102" fillId="0" borderId="0" applyFont="0" applyFill="0" applyBorder="0" applyAlignment="0" applyProtection="0">
      <alignment vertical="center"/>
    </xf>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83" fontId="100"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43" fontId="8" fillId="0" borderId="0" applyFont="0" applyFill="0" applyBorder="0" applyAlignment="0" applyProtection="0"/>
    <xf numFmtId="171" fontId="23" fillId="0" borderId="0" applyFont="0" applyFill="0" applyBorder="0" applyAlignment="0" applyProtection="0"/>
    <xf numFmtId="169" fontId="10" fillId="0" borderId="0" applyFont="0" applyFill="0" applyBorder="0" applyAlignment="0" applyProtection="0"/>
    <xf numFmtId="169" fontId="103" fillId="0" borderId="0" applyFont="0" applyFill="0" applyBorder="0" applyAlignment="0" applyProtection="0"/>
    <xf numFmtId="171" fontId="60" fillId="0" borderId="0" applyFont="0" applyFill="0" applyBorder="0" applyAlignment="0" applyProtection="0"/>
    <xf numFmtId="223" fontId="102" fillId="0" borderId="0" applyFont="0" applyFill="0" applyBorder="0" applyAlignment="0" applyProtection="0"/>
    <xf numFmtId="169" fontId="8" fillId="0" borderId="0" applyFont="0" applyFill="0" applyBorder="0" applyAlignment="0" applyProtection="0"/>
    <xf numFmtId="364" fontId="102"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81"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71"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99"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99"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88" fontId="102"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88" fontId="102"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6"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288" fontId="102" fillId="0" borderId="0" applyFont="0" applyFill="0" applyBorder="0" applyAlignment="0" applyProtection="0"/>
    <xf numFmtId="169" fontId="8" fillId="0" borderId="0" applyFont="0" applyFill="0" applyBorder="0" applyAlignment="0" applyProtection="0"/>
    <xf numFmtId="288" fontId="102" fillId="0" borderId="0" applyFont="0" applyFill="0" applyBorder="0" applyAlignment="0" applyProtection="0"/>
    <xf numFmtId="288" fontId="102" fillId="0" borderId="0" applyFont="0" applyFill="0" applyBorder="0" applyAlignment="0" applyProtection="0"/>
    <xf numFmtId="169" fontId="8"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7"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7"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7" fillId="0" borderId="0" applyFont="0" applyFill="0" applyBorder="0" applyAlignment="0" applyProtection="0"/>
    <xf numFmtId="288" fontId="102" fillId="0" borderId="0" applyFont="0" applyFill="0" applyBorder="0" applyAlignment="0" applyProtection="0"/>
    <xf numFmtId="288" fontId="102" fillId="0" borderId="0" applyFont="0" applyFill="0" applyBorder="0" applyAlignment="0" applyProtection="0"/>
    <xf numFmtId="288" fontId="102"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104" fillId="0" borderId="0" applyFont="0" applyFill="0" applyBorder="0" applyAlignment="0" applyProtection="0"/>
    <xf numFmtId="288" fontId="102" fillId="0" borderId="0" applyFont="0" applyFill="0" applyBorder="0" applyAlignment="0" applyProtection="0"/>
    <xf numFmtId="288" fontId="102" fillId="0" borderId="0" applyFont="0" applyFill="0" applyBorder="0" applyAlignment="0" applyProtection="0"/>
    <xf numFmtId="288" fontId="102"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169" fontId="99" fillId="0" borderId="0" applyFont="0" applyFill="0" applyBorder="0" applyAlignment="0" applyProtection="0"/>
    <xf numFmtId="289" fontId="20" fillId="0" borderId="0"/>
    <xf numFmtId="3" fontId="8" fillId="0" borderId="0" applyFont="0" applyFill="0" applyBorder="0" applyAlignment="0" applyProtection="0"/>
    <xf numFmtId="3" fontId="8" fillId="0" borderId="0" applyFont="0" applyFill="0" applyBorder="0" applyAlignment="0" applyProtection="0"/>
    <xf numFmtId="290" fontId="8" fillId="0" borderId="0" applyFill="0" applyBorder="0" applyAlignment="0" applyProtection="0"/>
    <xf numFmtId="364" fontId="105" fillId="0" borderId="0" applyNumberFormat="0" applyAlignment="0">
      <alignment horizontal="left"/>
    </xf>
    <xf numFmtId="364" fontId="106" fillId="0" borderId="0" applyNumberFormat="0" applyAlignment="0"/>
    <xf numFmtId="169" fontId="107" fillId="0" borderId="0" applyFont="0" applyFill="0" applyBorder="0" applyAlignment="0" applyProtection="0"/>
    <xf numFmtId="291" fontId="108" fillId="0" borderId="0" applyFont="0" applyFill="0" applyBorder="0" applyAlignment="0" applyProtection="0"/>
    <xf numFmtId="41" fontId="19" fillId="66" borderId="0" applyFill="0">
      <alignment horizontal="left" vertical="top"/>
      <protection locked="0"/>
    </xf>
    <xf numFmtId="292" fontId="32" fillId="0" borderId="0" applyFont="0" applyFill="0" applyBorder="0" applyAlignment="0" applyProtection="0"/>
    <xf numFmtId="43" fontId="52" fillId="0" borderId="0" applyFont="0" applyFill="0" applyBorder="0" applyAlignment="0" applyProtection="0"/>
    <xf numFmtId="293" fontId="22" fillId="0" borderId="0">
      <protection locked="0"/>
    </xf>
    <xf numFmtId="181" fontId="22" fillId="0" borderId="0">
      <protection locked="0"/>
    </xf>
    <xf numFmtId="294" fontId="22" fillId="0" borderId="16">
      <protection locked="0"/>
    </xf>
    <xf numFmtId="213" fontId="22" fillId="0" borderId="0">
      <protection locked="0"/>
    </xf>
    <xf numFmtId="283" fontId="22" fillId="0" borderId="0">
      <protection locked="0"/>
    </xf>
    <xf numFmtId="213" fontId="22" fillId="0" borderId="0" applyNumberFormat="0">
      <protection locked="0"/>
    </xf>
    <xf numFmtId="213" fontId="22" fillId="0" borderId="0">
      <protection locked="0"/>
    </xf>
    <xf numFmtId="282" fontId="22" fillId="0" borderId="14"/>
    <xf numFmtId="193" fontId="22" fillId="0" borderId="14"/>
    <xf numFmtId="295" fontId="8" fillId="0" borderId="0" applyFont="0" applyFill="0" applyBorder="0" applyAlignment="0" applyProtection="0"/>
    <xf numFmtId="296" fontId="8" fillId="0" borderId="0" applyFont="0" applyFill="0" applyBorder="0" applyAlignment="0" applyProtection="0"/>
    <xf numFmtId="278" fontId="42" fillId="0" borderId="0" applyFont="0" applyFill="0" applyBorder="0" applyAlignment="0" applyProtection="0"/>
    <xf numFmtId="168" fontId="7" fillId="0" borderId="0" applyFont="0" applyFill="0" applyBorder="0" applyAlignment="0" applyProtection="0"/>
    <xf numFmtId="174" fontId="8" fillId="0" borderId="0" applyFont="0" applyFill="0" applyBorder="0" applyAlignment="0" applyProtection="0"/>
    <xf numFmtId="297" fontId="8" fillId="0" borderId="0" applyFill="0" applyBorder="0" applyAlignment="0" applyProtection="0"/>
    <xf numFmtId="297" fontId="8" fillId="0" borderId="0" applyFill="0" applyBorder="0" applyAlignment="0" applyProtection="0"/>
    <xf numFmtId="297" fontId="8" fillId="0" borderId="0" applyFill="0" applyBorder="0" applyAlignment="0" applyProtection="0"/>
    <xf numFmtId="297" fontId="8" fillId="0" borderId="0" applyFill="0" applyBorder="0" applyAlignment="0" applyProtection="0"/>
    <xf numFmtId="297" fontId="8" fillId="0" borderId="0" applyFill="0" applyBorder="0" applyAlignment="0" applyProtection="0"/>
    <xf numFmtId="168" fontId="7" fillId="0" borderId="0" applyFont="0" applyFill="0" applyBorder="0" applyAlignment="0" applyProtection="0"/>
    <xf numFmtId="44" fontId="23"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298" fontId="8"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272" fontId="8" fillId="0" borderId="0" applyFont="0" applyFill="0" applyBorder="0" applyAlignment="0" applyProtection="0"/>
    <xf numFmtId="299" fontId="8"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1" fontId="8"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0" fontId="109" fillId="0" borderId="0" applyFont="0" applyFill="0" applyBorder="0" applyAlignment="0" applyProtection="0"/>
    <xf numFmtId="302" fontId="8" fillId="0" borderId="0"/>
    <xf numFmtId="303" fontId="110" fillId="9" borderId="0" applyFont="0" applyBorder="0"/>
    <xf numFmtId="364" fontId="111" fillId="0" borderId="0"/>
    <xf numFmtId="282" fontId="22" fillId="0" borderId="14">
      <alignment horizontal="center"/>
      <protection hidden="1"/>
    </xf>
    <xf numFmtId="237" fontId="50" fillId="0" borderId="0" applyFont="0" applyFill="0" applyBorder="0" applyAlignment="0" applyProtection="0"/>
    <xf numFmtId="237" fontId="29" fillId="0" borderId="0" applyFont="0" applyFill="0" applyBorder="0" applyAlignment="0" applyProtection="0"/>
    <xf numFmtId="304" fontId="22" fillId="0" borderId="14">
      <alignment horizontal="center"/>
      <protection hidden="1"/>
    </xf>
    <xf numFmtId="305" fontId="26" fillId="0" borderId="14">
      <alignment horizontal="center"/>
      <protection hidden="1"/>
    </xf>
    <xf numFmtId="305" fontId="26" fillId="0" borderId="14">
      <alignment horizontal="center"/>
      <protection hidden="1"/>
    </xf>
    <xf numFmtId="305" fontId="26" fillId="0" borderId="14">
      <alignment horizontal="center"/>
      <protection hidden="1"/>
    </xf>
    <xf numFmtId="305" fontId="26" fillId="0" borderId="14">
      <alignment horizontal="center"/>
      <protection hidden="1"/>
    </xf>
    <xf numFmtId="288" fontId="14" fillId="0" borderId="23"/>
    <xf numFmtId="364" fontId="111" fillId="0" borderId="24"/>
    <xf numFmtId="364" fontId="111" fillId="0" borderId="24"/>
    <xf numFmtId="364" fontId="8" fillId="0" borderId="0" applyFont="0" applyFill="0" applyBorder="0" applyAlignment="0" applyProtection="0"/>
    <xf numFmtId="364" fontId="8" fillId="0" borderId="0" applyFont="0" applyFill="0" applyBorder="0" applyAlignment="0" applyProtection="0"/>
    <xf numFmtId="14" fontId="46" fillId="0" borderId="0" applyFill="0" applyBorder="0" applyAlignment="0"/>
    <xf numFmtId="306" fontId="112" fillId="0" borderId="0">
      <protection locked="0"/>
    </xf>
    <xf numFmtId="364" fontId="8" fillId="0" borderId="0" applyNumberFormat="0">
      <alignment horizontal="centerContinuous"/>
    </xf>
    <xf numFmtId="364" fontId="113" fillId="63" borderId="25" applyNumberFormat="0" applyAlignment="0" applyProtection="0"/>
    <xf numFmtId="364" fontId="114" fillId="23" borderId="19" applyNumberFormat="0" applyAlignment="0" applyProtection="0"/>
    <xf numFmtId="364" fontId="115" fillId="0" borderId="0"/>
    <xf numFmtId="364" fontId="116" fillId="0" borderId="26" applyNumberFormat="0" applyFill="0" applyAlignment="0" applyProtection="0"/>
    <xf numFmtId="364" fontId="117" fillId="0" borderId="27" applyNumberFormat="0" applyFill="0" applyAlignment="0" applyProtection="0"/>
    <xf numFmtId="364" fontId="118" fillId="0" borderId="28" applyNumberFormat="0" applyFill="0" applyAlignment="0" applyProtection="0"/>
    <xf numFmtId="364" fontId="118" fillId="0" borderId="0" applyNumberFormat="0" applyFill="0" applyBorder="0" applyAlignment="0" applyProtection="0"/>
    <xf numFmtId="307" fontId="119" fillId="0" borderId="0" applyFont="0" applyFill="0" applyBorder="0">
      <alignment horizontal="left" vertical="top" wrapText="1"/>
      <protection locked="0"/>
    </xf>
    <xf numFmtId="174" fontId="119" fillId="0" borderId="0" applyFont="0" applyFill="0" applyBorder="0">
      <alignment horizontal="left" vertical="top" wrapText="1"/>
      <protection locked="0"/>
    </xf>
    <xf numFmtId="175" fontId="119" fillId="0" borderId="0" applyFont="0" applyFill="0" applyBorder="0">
      <alignment horizontal="left" vertical="top" wrapText="1"/>
      <protection locked="0"/>
    </xf>
    <xf numFmtId="307" fontId="119" fillId="0" borderId="0" applyFont="0" applyFill="0" applyBorder="0">
      <alignment horizontal="left" vertical="top" wrapText="1"/>
      <protection locked="0"/>
    </xf>
    <xf numFmtId="307" fontId="119" fillId="0" borderId="0" applyFont="0" applyFill="0" applyBorder="0">
      <alignment horizontal="left" vertical="top" wrapText="1"/>
      <protection locked="0"/>
    </xf>
    <xf numFmtId="308" fontId="8" fillId="0" borderId="0" applyFont="0" applyFill="0" applyBorder="0" applyAlignment="0" applyProtection="0"/>
    <xf numFmtId="309" fontId="8" fillId="0" borderId="0" applyFont="0" applyFill="0" applyBorder="0" applyAlignment="0" applyProtection="0"/>
    <xf numFmtId="310" fontId="32" fillId="0" borderId="0" applyFont="0" applyFill="0" applyBorder="0" applyAlignment="0" applyProtection="0"/>
    <xf numFmtId="183" fontId="8" fillId="0" borderId="0" applyFont="0" applyFill="0" applyBorder="0" applyAlignment="0" applyProtection="0"/>
    <xf numFmtId="311" fontId="8" fillId="0" borderId="0"/>
    <xf numFmtId="364" fontId="14" fillId="0" borderId="0" applyNumberFormat="0" applyBorder="0" applyAlignment="0">
      <alignment horizontal="centerContinuous"/>
    </xf>
    <xf numFmtId="41" fontId="120" fillId="0" borderId="0" applyFont="0" applyFill="0" applyBorder="0" applyAlignment="0" applyProtection="0"/>
    <xf numFmtId="43" fontId="120" fillId="0" borderId="0" applyFont="0" applyFill="0" applyBorder="0" applyAlignment="0" applyProtection="0"/>
    <xf numFmtId="41" fontId="120" fillId="0" borderId="0" applyFont="0" applyFill="0" applyBorder="0" applyAlignment="0" applyProtection="0"/>
    <xf numFmtId="167" fontId="120" fillId="0" borderId="0" applyFont="0" applyFill="0" applyBorder="0" applyAlignment="0" applyProtection="0"/>
    <xf numFmtId="226" fontId="35" fillId="0" borderId="0" applyFill="0" applyBorder="0" applyAlignment="0" applyProtection="0"/>
    <xf numFmtId="188" fontId="35" fillId="0" borderId="0" applyFill="0" applyBorder="0" applyAlignment="0" applyProtection="0"/>
    <xf numFmtId="41" fontId="120" fillId="0" borderId="0" applyFont="0" applyFill="0" applyBorder="0" applyAlignment="0" applyProtection="0"/>
    <xf numFmtId="41" fontId="120" fillId="0" borderId="0" applyFont="0" applyFill="0" applyBorder="0" applyAlignment="0" applyProtection="0"/>
    <xf numFmtId="170" fontId="121" fillId="0" borderId="0" applyFont="0" applyFill="0" applyBorder="0" applyAlignment="0" applyProtection="0"/>
    <xf numFmtId="226" fontId="35" fillId="0" borderId="0" applyFill="0" applyBorder="0" applyAlignment="0" applyProtection="0"/>
    <xf numFmtId="167" fontId="120" fillId="0" borderId="0" applyFont="0" applyFill="0" applyBorder="0" applyAlignment="0" applyProtection="0"/>
    <xf numFmtId="167" fontId="120" fillId="0" borderId="0" applyFont="0" applyFill="0" applyBorder="0" applyAlignment="0" applyProtection="0"/>
    <xf numFmtId="188" fontId="35" fillId="0" borderId="0" applyFill="0" applyBorder="0" applyAlignment="0" applyProtection="0"/>
    <xf numFmtId="188" fontId="35" fillId="0" borderId="0" applyFill="0" applyBorder="0" applyAlignment="0" applyProtection="0"/>
    <xf numFmtId="167" fontId="120" fillId="0" borderId="0" applyFont="0" applyFill="0" applyBorder="0" applyAlignment="0" applyProtection="0"/>
    <xf numFmtId="41" fontId="120" fillId="0" borderId="0" applyFont="0" applyFill="0" applyBorder="0" applyAlignment="0" applyProtection="0"/>
    <xf numFmtId="41" fontId="120" fillId="0" borderId="0" applyFont="0" applyFill="0" applyBorder="0" applyAlignment="0" applyProtection="0"/>
    <xf numFmtId="41" fontId="120" fillId="0" borderId="0" applyFont="0" applyFill="0" applyBorder="0" applyAlignment="0" applyProtection="0"/>
    <xf numFmtId="226" fontId="35" fillId="0" borderId="0" applyFill="0" applyBorder="0" applyAlignment="0" applyProtection="0"/>
    <xf numFmtId="226" fontId="35" fillId="0" borderId="0" applyFill="0" applyBorder="0" applyAlignment="0" applyProtection="0"/>
    <xf numFmtId="167" fontId="120" fillId="0" borderId="0" applyFont="0" applyFill="0" applyBorder="0" applyAlignment="0" applyProtection="0"/>
    <xf numFmtId="167" fontId="120" fillId="0" borderId="0" applyFont="0" applyFill="0" applyBorder="0" applyAlignment="0" applyProtection="0"/>
    <xf numFmtId="188" fontId="35" fillId="0" borderId="0" applyFill="0" applyBorder="0" applyAlignment="0" applyProtection="0"/>
    <xf numFmtId="188" fontId="35" fillId="0" borderId="0" applyFill="0" applyBorder="0" applyAlignment="0" applyProtection="0"/>
    <xf numFmtId="170" fontId="120" fillId="0" borderId="0" applyFont="0" applyFill="0" applyBorder="0" applyAlignment="0" applyProtection="0"/>
    <xf numFmtId="170" fontId="120" fillId="0" borderId="0" applyFont="0" applyFill="0" applyBorder="0" applyAlignment="0" applyProtection="0"/>
    <xf numFmtId="312" fontId="35" fillId="0" borderId="0" applyFill="0" applyBorder="0" applyAlignment="0" applyProtection="0"/>
    <xf numFmtId="312" fontId="35" fillId="0" borderId="0" applyFill="0" applyBorder="0" applyAlignment="0" applyProtection="0"/>
    <xf numFmtId="167" fontId="120" fillId="0" borderId="0" applyFont="0" applyFill="0" applyBorder="0" applyAlignment="0" applyProtection="0"/>
    <xf numFmtId="43" fontId="120" fillId="0" borderId="0" applyFont="0" applyFill="0" applyBorder="0" applyAlignment="0" applyProtection="0"/>
    <xf numFmtId="169" fontId="120" fillId="0" borderId="0" applyFont="0" applyFill="0" applyBorder="0" applyAlignment="0" applyProtection="0"/>
    <xf numFmtId="207" fontId="35" fillId="0" borderId="0" applyFill="0" applyBorder="0" applyAlignment="0" applyProtection="0"/>
    <xf numFmtId="208" fontId="35" fillId="0" borderId="0" applyFill="0" applyBorder="0" applyAlignment="0" applyProtection="0"/>
    <xf numFmtId="43" fontId="120" fillId="0" borderId="0" applyFont="0" applyFill="0" applyBorder="0" applyAlignment="0" applyProtection="0"/>
    <xf numFmtId="43" fontId="120" fillId="0" borderId="0" applyFont="0" applyFill="0" applyBorder="0" applyAlignment="0" applyProtection="0"/>
    <xf numFmtId="171" fontId="121" fillId="0" borderId="0" applyFont="0" applyFill="0" applyBorder="0" applyAlignment="0" applyProtection="0"/>
    <xf numFmtId="207" fontId="35" fillId="0" borderId="0" applyFill="0" applyBorder="0" applyAlignment="0" applyProtection="0"/>
    <xf numFmtId="169" fontId="120" fillId="0" borderId="0" applyFont="0" applyFill="0" applyBorder="0" applyAlignment="0" applyProtection="0"/>
    <xf numFmtId="169" fontId="120" fillId="0" borderId="0" applyFont="0" applyFill="0" applyBorder="0" applyAlignment="0" applyProtection="0"/>
    <xf numFmtId="208" fontId="35" fillId="0" borderId="0" applyFill="0" applyBorder="0" applyAlignment="0" applyProtection="0"/>
    <xf numFmtId="208" fontId="35" fillId="0" borderId="0" applyFill="0" applyBorder="0" applyAlignment="0" applyProtection="0"/>
    <xf numFmtId="169" fontId="120" fillId="0" borderId="0" applyFont="0" applyFill="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120" fillId="0" borderId="0" applyFont="0" applyFill="0" applyBorder="0" applyAlignment="0" applyProtection="0"/>
    <xf numFmtId="207" fontId="35" fillId="0" borderId="0" applyFill="0" applyBorder="0" applyAlignment="0" applyProtection="0"/>
    <xf numFmtId="207" fontId="35" fillId="0" borderId="0" applyFill="0" applyBorder="0" applyAlignment="0" applyProtection="0"/>
    <xf numFmtId="169" fontId="120" fillId="0" borderId="0" applyFont="0" applyFill="0" applyBorder="0" applyAlignment="0" applyProtection="0"/>
    <xf numFmtId="169" fontId="120" fillId="0" borderId="0" applyFont="0" applyFill="0" applyBorder="0" applyAlignment="0" applyProtection="0"/>
    <xf numFmtId="208" fontId="35" fillId="0" borderId="0" applyFill="0" applyBorder="0" applyAlignment="0" applyProtection="0"/>
    <xf numFmtId="208" fontId="35" fillId="0" borderId="0" applyFill="0" applyBorder="0" applyAlignment="0" applyProtection="0"/>
    <xf numFmtId="171" fontId="120" fillId="0" borderId="0" applyFont="0" applyFill="0" applyBorder="0" applyAlignment="0" applyProtection="0"/>
    <xf numFmtId="171" fontId="120" fillId="0" borderId="0" applyFont="0" applyFill="0" applyBorder="0" applyAlignment="0" applyProtection="0"/>
    <xf numFmtId="313" fontId="35" fillId="0" borderId="0" applyFill="0" applyBorder="0" applyAlignment="0" applyProtection="0"/>
    <xf numFmtId="313" fontId="35" fillId="0" borderId="0" applyFill="0" applyBorder="0" applyAlignment="0" applyProtection="0"/>
    <xf numFmtId="169" fontId="120" fillId="0" borderId="0" applyFont="0" applyFill="0" applyBorder="0" applyAlignment="0" applyProtection="0"/>
    <xf numFmtId="3" fontId="14" fillId="0" borderId="0" applyFont="0" applyBorder="0" applyAlignment="0"/>
    <xf numFmtId="3" fontId="35" fillId="0" borderId="0" applyBorder="0" applyAlignment="0"/>
    <xf numFmtId="364" fontId="122" fillId="67" borderId="0" applyNumberFormat="0" applyBorder="0" applyAlignment="0" applyProtection="0"/>
    <xf numFmtId="364" fontId="122" fillId="68" borderId="0" applyNumberFormat="0" applyBorder="0" applyAlignment="0" applyProtection="0"/>
    <xf numFmtId="364" fontId="122" fillId="69" borderId="0" applyNumberFormat="0" applyBorder="0" applyAlignment="0" applyProtection="0"/>
    <xf numFmtId="364" fontId="8" fillId="0" borderId="0" applyFill="0" applyBorder="0" applyAlignment="0"/>
    <xf numFmtId="278" fontId="42" fillId="0" borderId="0" applyFill="0" applyBorder="0" applyAlignment="0"/>
    <xf numFmtId="256" fontId="42" fillId="0" borderId="0" applyFill="0" applyBorder="0" applyAlignment="0"/>
    <xf numFmtId="281" fontId="91" fillId="0" borderId="0" applyFill="0" applyBorder="0" applyAlignment="0"/>
    <xf numFmtId="278" fontId="42" fillId="0" borderId="0" applyFill="0" applyBorder="0" applyAlignment="0"/>
    <xf numFmtId="364" fontId="123" fillId="0" borderId="0" applyNumberFormat="0" applyAlignment="0">
      <alignment horizontal="left"/>
    </xf>
    <xf numFmtId="364" fontId="124" fillId="0" borderId="0">
      <alignment horizontal="left"/>
    </xf>
    <xf numFmtId="314" fontId="35" fillId="0" borderId="0" applyFont="0" applyFill="0" applyBorder="0" applyAlignment="0" applyProtection="0"/>
    <xf numFmtId="208" fontId="8" fillId="0" borderId="0"/>
    <xf numFmtId="364" fontId="8" fillId="0" borderId="0"/>
    <xf numFmtId="43" fontId="42" fillId="0" borderId="0" applyFill="0" applyBorder="0" applyAlignment="0" applyProtection="0"/>
    <xf numFmtId="364" fontId="125" fillId="0" borderId="0" applyNumberFormat="0" applyFill="0" applyBorder="0" applyAlignment="0" applyProtection="0"/>
    <xf numFmtId="3" fontId="14" fillId="0" borderId="0" applyFont="0" applyBorder="0" applyAlignment="0"/>
    <xf numFmtId="3" fontId="35" fillId="0" borderId="0" applyBorder="0" applyAlignment="0"/>
    <xf numFmtId="364" fontId="8" fillId="0" borderId="0" applyNumberFormat="0" applyFont="0" applyFill="0" applyBorder="0" applyAlignment="0"/>
    <xf numFmtId="2" fontId="8" fillId="0" borderId="0" applyFont="0" applyFill="0" applyBorder="0" applyAlignment="0" applyProtection="0"/>
    <xf numFmtId="2" fontId="8" fillId="0" borderId="0" applyFont="0" applyFill="0" applyBorder="0" applyAlignment="0" applyProtection="0"/>
    <xf numFmtId="364" fontId="8" fillId="0" borderId="0" applyFill="0" applyBorder="0" applyProtection="0">
      <alignment vertical="center" wrapText="1"/>
    </xf>
    <xf numFmtId="364" fontId="11" fillId="70" borderId="29" applyNumberFormat="0" applyFont="0" applyAlignment="0" applyProtection="0"/>
    <xf numFmtId="364" fontId="126" fillId="4" borderId="0" applyNumberFormat="0" applyBorder="0" applyAlignment="0" applyProtection="0"/>
    <xf numFmtId="38" fontId="110" fillId="71" borderId="0" applyNumberFormat="0" applyBorder="0" applyAlignment="0" applyProtection="0"/>
    <xf numFmtId="38" fontId="110" fillId="9" borderId="0" applyNumberFormat="0" applyBorder="0" applyAlignment="0" applyProtection="0"/>
    <xf numFmtId="315" fontId="8" fillId="0" borderId="30" applyFont="0" applyFill="0" applyBorder="0" applyAlignment="0"/>
    <xf numFmtId="316" fontId="44" fillId="5" borderId="12" applyBorder="0">
      <alignment horizontal="center"/>
    </xf>
    <xf numFmtId="317" fontId="44" fillId="72" borderId="0" applyBorder="0">
      <alignment horizontal="center"/>
    </xf>
    <xf numFmtId="316" fontId="44" fillId="5" borderId="12" applyBorder="0">
      <alignment horizontal="center"/>
    </xf>
    <xf numFmtId="317" fontId="44" fillId="72" borderId="0" applyBorder="0">
      <alignment horizontal="center"/>
    </xf>
    <xf numFmtId="316" fontId="44" fillId="5" borderId="12" applyBorder="0">
      <alignment horizontal="center"/>
    </xf>
    <xf numFmtId="317" fontId="44" fillId="72" borderId="0" applyBorder="0">
      <alignment horizontal="center"/>
    </xf>
    <xf numFmtId="364" fontId="127" fillId="0" borderId="3" applyNumberFormat="0" applyFill="0">
      <alignment horizontal="left" vertical="top" wrapText="1"/>
    </xf>
    <xf numFmtId="364" fontId="128" fillId="73" borderId="0"/>
    <xf numFmtId="364" fontId="129" fillId="0" borderId="0">
      <alignment horizontal="left"/>
    </xf>
    <xf numFmtId="364" fontId="129" fillId="0" borderId="0">
      <alignment horizontal="left"/>
    </xf>
    <xf numFmtId="364" fontId="130" fillId="0" borderId="31" applyNumberFormat="0" applyAlignment="0" applyProtection="0">
      <alignment horizontal="left" vertical="center"/>
    </xf>
    <xf numFmtId="364" fontId="130" fillId="0" borderId="31" applyNumberFormat="0" applyAlignment="0" applyProtection="0">
      <alignment horizontal="left" vertical="center"/>
    </xf>
    <xf numFmtId="364" fontId="130" fillId="0" borderId="8">
      <alignment horizontal="left" vertical="center"/>
    </xf>
    <xf numFmtId="364" fontId="130" fillId="0" borderId="8">
      <alignment horizontal="left" vertical="center"/>
    </xf>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16" fillId="0" borderId="26"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1" fillId="0" borderId="32" applyNumberFormat="0" applyFill="0" applyAlignment="0" applyProtection="0"/>
    <xf numFmtId="364" fontId="131" fillId="0" borderId="32" applyNumberFormat="0" applyFill="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2" fillId="0" borderId="0" applyNumberFormat="0" applyFill="0" applyBorder="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17"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3" fillId="0" borderId="27" applyNumberFormat="0" applyFill="0" applyAlignment="0" applyProtection="0"/>
    <xf numFmtId="364" fontId="133" fillId="0" borderId="27" applyNumberFormat="0" applyFill="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0" fillId="0" borderId="0" applyNumberFormat="0" applyFill="0" applyBorder="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18" fillId="0" borderId="28"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18" fillId="0" borderId="28"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33" applyNumberFormat="0" applyFill="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18"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18"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4" fillId="0" borderId="0" applyNumberFormat="0" applyFill="0" applyBorder="0" applyAlignment="0" applyProtection="0"/>
    <xf numFmtId="364" fontId="132" fillId="0" borderId="0" applyProtection="0"/>
    <xf numFmtId="318" fontId="135" fillId="0" borderId="0">
      <protection locked="0"/>
    </xf>
    <xf numFmtId="318" fontId="135"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64" fontId="130" fillId="0" borderId="0" applyProtection="0"/>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19" fontId="22" fillId="0" borderId="0">
      <protection locked="0"/>
    </xf>
    <xf numFmtId="364" fontId="136" fillId="0" borderId="34">
      <alignment horizontal="center"/>
    </xf>
    <xf numFmtId="364" fontId="136" fillId="0" borderId="0">
      <alignment horizontal="center"/>
    </xf>
    <xf numFmtId="164" fontId="137" fillId="74" borderId="1" applyNumberFormat="0" applyAlignment="0">
      <alignment horizontal="left" vertical="top"/>
    </xf>
    <xf numFmtId="5" fontId="137" fillId="74" borderId="1" applyNumberFormat="0" applyAlignment="0">
      <alignment horizontal="left" vertical="top"/>
    </xf>
    <xf numFmtId="318" fontId="138" fillId="0" borderId="0">
      <protection locked="0"/>
    </xf>
    <xf numFmtId="320" fontId="81" fillId="0" borderId="0" applyFont="0" applyFill="0" applyBorder="0" applyAlignment="0" applyProtection="0">
      <alignment horizontal="center" vertical="center"/>
    </xf>
    <xf numFmtId="364" fontId="139" fillId="0" borderId="9" applyNumberFormat="0" applyFill="0" applyAlignment="0" applyProtection="0"/>
    <xf numFmtId="49" fontId="140" fillId="0" borderId="1">
      <alignment vertical="center"/>
    </xf>
    <xf numFmtId="49" fontId="140" fillId="0" borderId="1">
      <alignment vertical="center"/>
    </xf>
    <xf numFmtId="364" fontId="20" fillId="0" borderId="0"/>
    <xf numFmtId="364" fontId="20" fillId="0" borderId="0"/>
    <xf numFmtId="364" fontId="20" fillId="0" borderId="0"/>
    <xf numFmtId="364" fontId="141" fillId="0" borderId="0" applyNumberFormat="0" applyFill="0" applyBorder="0" applyAlignment="0" applyProtection="0">
      <alignment vertical="top"/>
      <protection locked="0"/>
    </xf>
    <xf numFmtId="167" fontId="10" fillId="0" borderId="0" applyFont="0" applyFill="0" applyBorder="0" applyAlignment="0" applyProtection="0"/>
    <xf numFmtId="167" fontId="10" fillId="0" borderId="0" applyFont="0" applyFill="0" applyBorder="0" applyAlignment="0" applyProtection="0"/>
    <xf numFmtId="208" fontId="35" fillId="0" borderId="0" applyFill="0" applyBorder="0" applyAlignment="0" applyProtection="0"/>
    <xf numFmtId="188" fontId="35" fillId="0" borderId="0" applyFill="0" applyBorder="0" applyAlignment="0" applyProtection="0"/>
    <xf numFmtId="250" fontId="8" fillId="0" borderId="0" applyFill="0" applyBorder="0" applyAlignment="0" applyProtection="0"/>
    <xf numFmtId="364" fontId="142" fillId="0" borderId="0"/>
    <xf numFmtId="364" fontId="143" fillId="0" borderId="0" applyFont="0" applyFill="0" applyBorder="0" applyAlignment="0" applyProtection="0"/>
    <xf numFmtId="364" fontId="143" fillId="0" borderId="0" applyFont="0" applyFill="0" applyBorder="0" applyAlignment="0" applyProtection="0"/>
    <xf numFmtId="10" fontId="110" fillId="71" borderId="1" applyNumberFormat="0" applyBorder="0" applyAlignment="0" applyProtection="0"/>
    <xf numFmtId="10" fontId="110" fillId="71" borderId="1" applyNumberFormat="0" applyBorder="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22"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23"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64" fontId="114" fillId="14" borderId="19" applyNumberFormat="0" applyAlignment="0" applyProtection="0"/>
    <xf numFmtId="321" fontId="8" fillId="75" borderId="0"/>
    <xf numFmtId="2" fontId="144" fillId="0" borderId="22" applyBorder="0"/>
    <xf numFmtId="2" fontId="144" fillId="0" borderId="22" applyBorder="0"/>
    <xf numFmtId="364" fontId="145" fillId="0" borderId="7" applyNumberFormat="0" applyFont="0" applyFill="0" applyAlignment="0" applyProtection="0">
      <alignment horizontal="center"/>
    </xf>
    <xf numFmtId="364" fontId="145" fillId="0" borderId="7" applyNumberFormat="0" applyFont="0" applyFill="0" applyAlignment="0" applyProtection="0">
      <alignment horizontal="center"/>
    </xf>
    <xf numFmtId="364" fontId="14" fillId="0" borderId="0"/>
    <xf numFmtId="49" fontId="146" fillId="0" borderId="1" applyNumberFormat="0" applyFont="0" applyFill="0" applyAlignment="0" applyProtection="0">
      <alignment horizontal="center" vertical="center" wrapText="1"/>
    </xf>
    <xf numFmtId="49" fontId="146" fillId="0" borderId="1" applyNumberFormat="0" applyFont="0" applyFill="0" applyAlignment="0" applyProtection="0">
      <alignment horizontal="center" vertical="center" wrapText="1"/>
    </xf>
    <xf numFmtId="364" fontId="95" fillId="76" borderId="20" applyNumberFormat="0" applyAlignment="0" applyProtection="0"/>
    <xf numFmtId="364" fontId="95" fillId="76" borderId="20" applyNumberFormat="0" applyAlignment="0" applyProtection="0"/>
    <xf numFmtId="364" fontId="95" fillId="76" borderId="20" applyNumberFormat="0" applyAlignment="0" applyProtection="0"/>
    <xf numFmtId="364" fontId="147" fillId="0" borderId="6">
      <alignment horizontal="center" vertical="center" wrapText="1"/>
    </xf>
    <xf numFmtId="364" fontId="147" fillId="0" borderId="6">
      <alignment horizontal="center" vertical="center" wrapText="1"/>
    </xf>
    <xf numFmtId="322" fontId="8" fillId="0" borderId="0" applyFill="0" applyBorder="0" applyAlignment="0" applyProtection="0"/>
    <xf numFmtId="323" fontId="8" fillId="0" borderId="0" applyFill="0" applyBorder="0" applyAlignment="0" applyProtection="0"/>
    <xf numFmtId="324" fontId="8" fillId="0" borderId="0" applyFill="0" applyBorder="0" applyAlignment="0" applyProtection="0"/>
    <xf numFmtId="364" fontId="148" fillId="77" borderId="24"/>
    <xf numFmtId="364" fontId="148" fillId="77" borderId="24"/>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100" fillId="0" borderId="0"/>
    <xf numFmtId="364" fontId="100"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149" fillId="0" borderId="0" applyNumberFormat="0" applyFill="0" applyBorder="0" applyAlignment="0" applyProtection="0">
      <alignment vertical="top"/>
      <protection locked="0"/>
    </xf>
    <xf numFmtId="3" fontId="25" fillId="0" borderId="8">
      <alignment horizontal="centerContinuous"/>
    </xf>
    <xf numFmtId="364" fontId="8" fillId="0" borderId="0" applyFill="0" applyBorder="0" applyAlignment="0"/>
    <xf numFmtId="278" fontId="42" fillId="0" borderId="0" applyFill="0" applyBorder="0" applyAlignment="0"/>
    <xf numFmtId="256" fontId="42" fillId="0" borderId="0" applyFill="0" applyBorder="0" applyAlignment="0"/>
    <xf numFmtId="281" fontId="91" fillId="0" borderId="0" applyFill="0" applyBorder="0" applyAlignment="0"/>
    <xf numFmtId="278" fontId="42" fillId="0" borderId="0" applyFill="0" applyBorder="0" applyAlignment="0"/>
    <xf numFmtId="364" fontId="150" fillId="0" borderId="35" applyNumberFormat="0" applyFill="0" applyAlignment="0" applyProtection="0"/>
    <xf numFmtId="321" fontId="8" fillId="78" borderId="0"/>
    <xf numFmtId="282" fontId="22" fillId="0" borderId="10" applyFont="0"/>
    <xf numFmtId="3" fontId="8" fillId="0" borderId="36"/>
    <xf numFmtId="364" fontId="52" fillId="0" borderId="30">
      <alignment horizontal="center"/>
    </xf>
    <xf numFmtId="325" fontId="8" fillId="0" borderId="0" applyFill="0" applyBorder="0" applyAlignment="0" applyProtection="0"/>
    <xf numFmtId="364" fontId="52" fillId="0" borderId="30">
      <alignment horizontal="center"/>
    </xf>
    <xf numFmtId="326" fontId="8" fillId="0" borderId="0" applyFill="0" applyBorder="0" applyAlignment="0" applyProtection="0"/>
    <xf numFmtId="327" fontId="8" fillId="0" borderId="0" applyFill="0" applyBorder="0" applyAlignment="0" applyProtection="0"/>
    <xf numFmtId="328" fontId="8" fillId="0" borderId="0" applyFill="0" applyBorder="0" applyAlignment="0" applyProtection="0"/>
    <xf numFmtId="364" fontId="81" fillId="0" borderId="0" applyFont="0" applyFill="0" applyBorder="0" applyProtection="0">
      <alignment horizontal="center" vertical="center"/>
    </xf>
    <xf numFmtId="329" fontId="8" fillId="0" borderId="0" applyFill="0" applyBorder="0" applyAlignment="0" applyProtection="0"/>
    <xf numFmtId="330" fontId="8" fillId="0" borderId="0" applyBorder="0">
      <alignment horizontal="left" vertical="center"/>
    </xf>
    <xf numFmtId="38" fontId="35" fillId="0" borderId="0" applyFont="0" applyFill="0" applyBorder="0" applyAlignment="0" applyProtection="0"/>
    <xf numFmtId="4" fontId="42" fillId="0" borderId="0" applyFont="0" applyFill="0" applyBorder="0" applyAlignment="0" applyProtection="0"/>
    <xf numFmtId="38" fontId="35" fillId="0" borderId="0" applyFont="0" applyFill="0" applyBorder="0" applyAlignment="0" applyProtection="0"/>
    <xf numFmtId="40" fontId="35"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331" fontId="8" fillId="0" borderId="0" applyFill="0" applyBorder="0" applyAlignment="0" applyProtection="0"/>
    <xf numFmtId="332" fontId="8" fillId="0" borderId="0" applyFill="0" applyBorder="0" applyAlignment="0" applyProtection="0"/>
    <xf numFmtId="333" fontId="8" fillId="0" borderId="0" applyFill="0" applyBorder="0" applyAlignment="0" applyProtection="0"/>
    <xf numFmtId="364" fontId="151" fillId="0" borderId="34"/>
    <xf numFmtId="364" fontId="151" fillId="0" borderId="34"/>
    <xf numFmtId="334" fontId="152" fillId="0" borderId="5"/>
    <xf numFmtId="335" fontId="153" fillId="0" borderId="37"/>
    <xf numFmtId="364" fontId="8" fillId="0" borderId="0" applyFont="0" applyFill="0" applyBorder="0" applyAlignment="0" applyProtection="0"/>
    <xf numFmtId="218" fontId="10" fillId="0" borderId="0" applyFont="0" applyFill="0" applyBorder="0" applyAlignment="0" applyProtection="0"/>
    <xf numFmtId="336" fontId="35" fillId="0" borderId="0" applyFont="0" applyFill="0" applyBorder="0" applyAlignment="0" applyProtection="0"/>
    <xf numFmtId="337" fontId="35" fillId="0" borderId="0" applyFont="0" applyFill="0" applyBorder="0" applyAlignment="0" applyProtection="0"/>
    <xf numFmtId="338" fontId="8" fillId="0" borderId="0" applyFont="0" applyFill="0" applyBorder="0" applyAlignment="0" applyProtection="0"/>
    <xf numFmtId="339" fontId="8" fillId="0" borderId="0" applyFont="0" applyFill="0" applyBorder="0" applyAlignment="0" applyProtection="0"/>
    <xf numFmtId="364" fontId="104" fillId="0" borderId="0" applyNumberFormat="0" applyFont="0" applyFill="0" applyAlignment="0"/>
    <xf numFmtId="4" fontId="154" fillId="0" borderId="7" applyBorder="0"/>
    <xf numFmtId="4" fontId="154" fillId="0" borderId="7" applyBorder="0"/>
    <xf numFmtId="364" fontId="35" fillId="0" borderId="0" applyNumberFormat="0" applyFill="0" applyAlignment="0"/>
    <xf numFmtId="364" fontId="104" fillId="0" borderId="0" applyNumberFormat="0" applyFont="0" applyFill="0" applyAlignment="0"/>
    <xf numFmtId="364" fontId="35" fillId="0" borderId="0" applyNumberFormat="0" applyFill="0" applyAlignment="0"/>
    <xf numFmtId="4" fontId="154" fillId="0" borderId="7" applyBorder="0"/>
    <xf numFmtId="4" fontId="154" fillId="0" borderId="7" applyBorder="0"/>
    <xf numFmtId="364" fontId="104" fillId="0" borderId="0" applyNumberFormat="0" applyFont="0" applyFill="0" applyAlignment="0"/>
    <xf numFmtId="364" fontId="35" fillId="0" borderId="0" applyNumberFormat="0" applyFill="0" applyAlignment="0"/>
    <xf numFmtId="364" fontId="104" fillId="0" borderId="0" applyNumberFormat="0" applyFont="0" applyFill="0" applyAlignment="0"/>
    <xf numFmtId="364" fontId="35" fillId="0" borderId="0" applyNumberFormat="0" applyFill="0" applyAlignment="0"/>
    <xf numFmtId="364" fontId="8" fillId="0" borderId="0" applyNumberFormat="0" applyFill="0" applyAlignment="0"/>
    <xf numFmtId="364" fontId="8" fillId="0" borderId="0" applyNumberFormat="0" applyFill="0" applyAlignment="0"/>
    <xf numFmtId="364" fontId="8" fillId="0" borderId="0" applyNumberFormat="0" applyFill="0" applyAlignment="0"/>
    <xf numFmtId="364" fontId="8" fillId="0" borderId="0" applyNumberFormat="0" applyFill="0" applyAlignment="0"/>
    <xf numFmtId="364" fontId="104" fillId="0" borderId="0" applyNumberFormat="0" applyFont="0" applyFill="0" applyAlignment="0"/>
    <xf numFmtId="364" fontId="35" fillId="0" borderId="0" applyNumberFormat="0" applyFill="0" applyAlignment="0"/>
    <xf numFmtId="364" fontId="8" fillId="0" borderId="0" applyNumberFormat="0" applyFill="0" applyAlignment="0"/>
    <xf numFmtId="364" fontId="104" fillId="0" borderId="0" applyNumberFormat="0" applyFont="0" applyFill="0" applyAlignment="0"/>
    <xf numFmtId="364" fontId="35" fillId="0" borderId="0" applyNumberFormat="0" applyFill="0" applyAlignment="0"/>
    <xf numFmtId="4" fontId="154" fillId="0" borderId="7" applyBorder="0"/>
    <xf numFmtId="4" fontId="154" fillId="0" borderId="7" applyBorder="0"/>
    <xf numFmtId="364" fontId="155" fillId="0" borderId="0">
      <alignment horizontal="justify" vertical="top"/>
    </xf>
    <xf numFmtId="168" fontId="156" fillId="53" borderId="0">
      <alignment vertical="top"/>
    </xf>
    <xf numFmtId="364" fontId="157" fillId="79" borderId="0" applyNumberFormat="0" applyBorder="0" applyAlignment="0" applyProtection="0"/>
    <xf numFmtId="364" fontId="20" fillId="0" borderId="0"/>
    <xf numFmtId="364" fontId="73" fillId="48" borderId="0" applyNumberFormat="0" applyBorder="0" applyAlignment="0" applyProtection="0"/>
    <xf numFmtId="364" fontId="73" fillId="52" borderId="0" applyNumberFormat="0" applyBorder="0" applyAlignment="0" applyProtection="0"/>
    <xf numFmtId="364" fontId="73" fillId="55" borderId="0" applyNumberFormat="0" applyBorder="0" applyAlignment="0" applyProtection="0"/>
    <xf numFmtId="364" fontId="73" fillId="38" borderId="0" applyNumberFormat="0" applyBorder="0" applyAlignment="0" applyProtection="0"/>
    <xf numFmtId="364" fontId="73" fillId="42" borderId="0" applyNumberFormat="0" applyBorder="0" applyAlignment="0" applyProtection="0"/>
    <xf numFmtId="364" fontId="73" fillId="60" borderId="0" applyNumberFormat="0" applyBorder="0" applyAlignment="0" applyProtection="0"/>
    <xf numFmtId="37" fontId="158" fillId="0" borderId="0"/>
    <xf numFmtId="364" fontId="106" fillId="0" borderId="0"/>
    <xf numFmtId="364" fontId="159" fillId="0" borderId="1" applyNumberFormat="0" applyFont="0" applyFill="0" applyBorder="0" applyAlignment="0">
      <alignment horizontal="center"/>
    </xf>
    <xf numFmtId="364" fontId="159" fillId="0" borderId="1" applyNumberFormat="0" applyFont="0" applyFill="0" applyBorder="0" applyAlignment="0">
      <alignment horizontal="center"/>
    </xf>
    <xf numFmtId="340" fontId="160"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41" fontId="16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41" fontId="161"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162" fillId="0" borderId="0"/>
    <xf numFmtId="364" fontId="162" fillId="0" borderId="0"/>
    <xf numFmtId="364" fontId="162" fillId="0" borderId="0"/>
    <xf numFmtId="364" fontId="162" fillId="0" borderId="0"/>
    <xf numFmtId="364" fontId="162" fillId="0" borderId="0"/>
    <xf numFmtId="364" fontId="162" fillId="0" borderId="0"/>
    <xf numFmtId="364" fontId="162" fillId="0" borderId="0"/>
    <xf numFmtId="364" fontId="163" fillId="0" borderId="0"/>
    <xf numFmtId="364" fontId="163" fillId="0" borderId="0"/>
    <xf numFmtId="364" fontId="163" fillId="0" borderId="0"/>
    <xf numFmtId="364" fontId="163" fillId="0" borderId="0"/>
    <xf numFmtId="364" fontId="163" fillId="0" borderId="0"/>
    <xf numFmtId="364" fontId="163" fillId="0" borderId="0"/>
    <xf numFmtId="364" fontId="163" fillId="0" borderId="0"/>
    <xf numFmtId="364" fontId="164" fillId="0" borderId="0"/>
    <xf numFmtId="364" fontId="8" fillId="0" borderId="0"/>
    <xf numFmtId="364" fontId="6" fillId="0" borderId="0"/>
    <xf numFmtId="364" fontId="15" fillId="0" borderId="0"/>
    <xf numFmtId="364" fontId="15"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7"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64" fillId="0" borderId="0"/>
    <xf numFmtId="364" fontId="6" fillId="0" borderId="0"/>
    <xf numFmtId="364" fontId="6" fillId="0" borderId="0"/>
    <xf numFmtId="364" fontId="6" fillId="0" borderId="0"/>
    <xf numFmtId="364" fontId="6" fillId="0" borderId="0"/>
    <xf numFmtId="364" fontId="8"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164"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64" fillId="0" borderId="0"/>
    <xf numFmtId="364" fontId="6" fillId="0" borderId="0"/>
    <xf numFmtId="364" fontId="6" fillId="0" borderId="0"/>
    <xf numFmtId="364" fontId="164" fillId="0" borderId="0"/>
    <xf numFmtId="364" fontId="6" fillId="0" borderId="0"/>
    <xf numFmtId="364" fontId="6" fillId="0" borderId="0"/>
    <xf numFmtId="364" fontId="164" fillId="0" borderId="0"/>
    <xf numFmtId="364" fontId="6" fillId="0" borderId="0"/>
    <xf numFmtId="364" fontId="6" fillId="0" borderId="0"/>
    <xf numFmtId="364" fontId="103" fillId="0" borderId="0"/>
    <xf numFmtId="364" fontId="6" fillId="0" borderId="0"/>
    <xf numFmtId="364" fontId="6" fillId="0" borderId="0"/>
    <xf numFmtId="364" fontId="8" fillId="0" borderId="0"/>
    <xf numFmtId="364" fontId="7" fillId="0" borderId="0"/>
    <xf numFmtId="364" fontId="7" fillId="0" borderId="0"/>
    <xf numFmtId="364" fontId="6" fillId="0" borderId="0"/>
    <xf numFmtId="364" fontId="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6" fillId="0" borderId="0"/>
    <xf numFmtId="364" fontId="8" fillId="0" borderId="0"/>
    <xf numFmtId="364" fontId="6" fillId="0" borderId="0"/>
    <xf numFmtId="364" fontId="6" fillId="0" borderId="0"/>
    <xf numFmtId="364" fontId="6" fillId="0" borderId="0"/>
    <xf numFmtId="364" fontId="6" fillId="0" borderId="0"/>
    <xf numFmtId="364" fontId="8" fillId="0" borderId="0"/>
    <xf numFmtId="364" fontId="10" fillId="0" borderId="0"/>
    <xf numFmtId="364" fontId="10" fillId="0" borderId="0"/>
    <xf numFmtId="364" fontId="8" fillId="0" borderId="0"/>
    <xf numFmtId="364" fontId="165" fillId="0" borderId="0"/>
    <xf numFmtId="364" fontId="165" fillId="0" borderId="0"/>
    <xf numFmtId="364" fontId="8" fillId="0" borderId="0"/>
    <xf numFmtId="364" fontId="8" fillId="0" borderId="0"/>
    <xf numFmtId="364" fontId="6" fillId="0" borderId="0"/>
    <xf numFmtId="364" fontId="8" fillId="0" borderId="0"/>
    <xf numFmtId="364" fontId="100" fillId="0" borderId="0"/>
    <xf numFmtId="364" fontId="8" fillId="0" borderId="0"/>
    <xf numFmtId="364" fontId="52" fillId="0" borderId="0"/>
    <xf numFmtId="364" fontId="1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4" fillId="0" borderId="0"/>
    <xf numFmtId="364" fontId="8"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6" fillId="0" borderId="0"/>
    <xf numFmtId="364" fontId="16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100" fillId="0" borderId="0"/>
    <xf numFmtId="364" fontId="7" fillId="0" borderId="0"/>
    <xf numFmtId="364" fontId="101" fillId="0" borderId="0"/>
    <xf numFmtId="364" fontId="103" fillId="0" borderId="0"/>
    <xf numFmtId="364" fontId="7" fillId="0" borderId="0"/>
    <xf numFmtId="364" fontId="8" fillId="0" borderId="0"/>
    <xf numFmtId="364" fontId="167" fillId="0" borderId="0"/>
    <xf numFmtId="364" fontId="8" fillId="0" borderId="0"/>
    <xf numFmtId="364" fontId="7"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42"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6" fillId="0" borderId="0"/>
    <xf numFmtId="364" fontId="6" fillId="0" borderId="0"/>
    <xf numFmtId="364" fontId="6" fillId="0" borderId="0"/>
    <xf numFmtId="364" fontId="11" fillId="0" borderId="0"/>
    <xf numFmtId="364" fontId="8" fillId="0" borderId="0"/>
    <xf numFmtId="364" fontId="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8"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64"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04"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6" fillId="0" borderId="0"/>
    <xf numFmtId="364" fontId="14" fillId="0" borderId="0"/>
    <xf numFmtId="265" fontId="14" fillId="0" borderId="0"/>
    <xf numFmtId="364" fontId="42" fillId="71" borderId="0"/>
    <xf numFmtId="364" fontId="120" fillId="0" borderId="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7" fillId="80"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70" borderId="29" applyNumberFormat="0" applyFon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8" fillId="17" borderId="29" applyNumberFormat="0" applyAlignment="0" applyProtection="0"/>
    <xf numFmtId="364" fontId="150" fillId="0" borderId="35" applyNumberFormat="0" applyFill="0" applyAlignment="0" applyProtection="0"/>
    <xf numFmtId="43" fontId="53" fillId="0" borderId="0" applyFont="0" applyFill="0" applyBorder="0" applyAlignment="0" applyProtection="0"/>
    <xf numFmtId="41" fontId="53" fillId="0" borderId="0" applyFont="0" applyFill="0" applyBorder="0" applyAlignment="0" applyProtection="0"/>
    <xf numFmtId="364" fontId="108" fillId="0" borderId="0" applyNumberFormat="0" applyFill="0" applyBorder="0" applyAlignment="0" applyProtection="0"/>
    <xf numFmtId="364" fontId="14" fillId="0" borderId="0" applyNumberFormat="0" applyFill="0" applyBorder="0" applyAlignment="0" applyProtection="0"/>
    <xf numFmtId="364" fontId="12" fillId="0" borderId="0" applyNumberFormat="0" applyFill="0" applyBorder="0" applyAlignment="0" applyProtection="0"/>
    <xf numFmtId="364" fontId="12" fillId="0" borderId="0" applyNumberFormat="0" applyFill="0" applyBorder="0" applyAlignment="0" applyProtection="0"/>
    <xf numFmtId="364" fontId="108" fillId="0" borderId="0" applyNumberFormat="0" applyFill="0" applyBorder="0" applyAlignment="0" applyProtection="0"/>
    <xf numFmtId="364" fontId="14" fillId="0" borderId="0" applyNumberFormat="0" applyFill="0" applyBorder="0" applyAlignment="0" applyProtection="0"/>
    <xf numFmtId="364" fontId="8" fillId="0" borderId="0" applyFont="0" applyFill="0" applyBorder="0" applyAlignment="0" applyProtection="0"/>
    <xf numFmtId="364" fontId="20" fillId="0" borderId="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9"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43" fontId="8" fillId="0" borderId="0" applyFill="0" applyBorder="0" applyAlignment="0" applyProtection="0"/>
    <xf numFmtId="14" fontId="82" fillId="0" borderId="0">
      <alignment horizontal="center" wrapText="1"/>
      <protection locked="0"/>
    </xf>
    <xf numFmtId="280" fontId="91" fillId="0" borderId="0" applyFont="0" applyFill="0" applyBorder="0" applyAlignment="0" applyProtection="0"/>
    <xf numFmtId="344"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7" fillId="0" borderId="0" applyFont="0" applyFill="0" applyBorder="0" applyAlignment="0" applyProtection="0"/>
    <xf numFmtId="9" fontId="1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3" fillId="0" borderId="0" applyFont="0" applyFill="0" applyBorder="0" applyAlignment="0" applyProtection="0"/>
    <xf numFmtId="9" fontId="3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03" fillId="0" borderId="0" applyFont="0" applyFill="0" applyBorder="0" applyAlignment="0" applyProtection="0"/>
    <xf numFmtId="9" fontId="60" fillId="0" borderId="0" applyFont="0" applyFill="0" applyBorder="0" applyAlignment="0" applyProtection="0"/>
    <xf numFmtId="9" fontId="8" fillId="0" borderId="0" applyFont="0" applyFill="0" applyBorder="0" applyAlignment="0" applyProtection="0"/>
    <xf numFmtId="9" fontId="6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35" fillId="0" borderId="38" applyNumberFormat="0" applyBorder="0"/>
    <xf numFmtId="9" fontId="35" fillId="0" borderId="38" applyNumberFormat="0" applyBorder="0"/>
    <xf numFmtId="364" fontId="8" fillId="0" borderId="0" applyFill="0" applyBorder="0" applyAlignment="0"/>
    <xf numFmtId="278" fontId="42" fillId="0" borderId="0" applyFill="0" applyBorder="0" applyAlignment="0"/>
    <xf numFmtId="256" fontId="42" fillId="0" borderId="0" applyFill="0" applyBorder="0" applyAlignment="0"/>
    <xf numFmtId="281" fontId="91" fillId="0" borderId="0" applyFill="0" applyBorder="0" applyAlignment="0"/>
    <xf numFmtId="278" fontId="42" fillId="0" borderId="0" applyFill="0" applyBorder="0" applyAlignment="0"/>
    <xf numFmtId="4" fontId="124" fillId="0" borderId="0">
      <alignment horizontal="right"/>
    </xf>
    <xf numFmtId="4" fontId="8" fillId="0" borderId="1">
      <alignment wrapText="1"/>
    </xf>
    <xf numFmtId="364" fontId="111" fillId="0" borderId="0"/>
    <xf numFmtId="2" fontId="12" fillId="0" borderId="1"/>
    <xf numFmtId="364" fontId="35" fillId="0" borderId="0" applyNumberFormat="0" applyFont="0" applyFill="0" applyBorder="0" applyAlignment="0" applyProtection="0">
      <alignment horizontal="left"/>
    </xf>
    <xf numFmtId="15" fontId="35" fillId="0" borderId="0" applyFont="0" applyFill="0" applyBorder="0" applyAlignment="0" applyProtection="0"/>
    <xf numFmtId="4" fontId="35" fillId="0" borderId="0" applyFont="0" applyFill="0" applyBorder="0" applyAlignment="0" applyProtection="0"/>
    <xf numFmtId="364" fontId="168" fillId="0" borderId="34">
      <alignment horizontal="center"/>
    </xf>
    <xf numFmtId="3" fontId="35" fillId="0" borderId="0" applyFont="0" applyFill="0" applyBorder="0" applyAlignment="0" applyProtection="0"/>
    <xf numFmtId="364" fontId="35" fillId="81" borderId="0" applyNumberFormat="0" applyFont="0" applyBorder="0" applyAlignment="0" applyProtection="0"/>
    <xf numFmtId="40" fontId="119" fillId="0" borderId="0" applyFont="0">
      <protection locked="0"/>
    </xf>
    <xf numFmtId="364" fontId="169" fillId="82" borderId="0" applyNumberFormat="0" applyFont="0" applyBorder="0" applyAlignment="0">
      <alignment horizontal="center"/>
    </xf>
    <xf numFmtId="345" fontId="8" fillId="0" borderId="0" applyFill="0" applyBorder="0" applyAlignment="0" applyProtection="0"/>
    <xf numFmtId="364" fontId="111" fillId="0" borderId="0"/>
    <xf numFmtId="4" fontId="170" fillId="0" borderId="0">
      <alignment horizontal="right"/>
    </xf>
    <xf numFmtId="14" fontId="171" fillId="0" borderId="0" applyNumberFormat="0" applyFill="0" applyBorder="0" applyAlignment="0" applyProtection="0">
      <alignment horizontal="left"/>
    </xf>
    <xf numFmtId="364" fontId="172" fillId="0" borderId="36" applyNumberFormat="0">
      <alignment horizontal="center"/>
    </xf>
    <xf numFmtId="167" fontId="10" fillId="0" borderId="0" applyFont="0" applyFill="0" applyBorder="0" applyAlignment="0" applyProtection="0"/>
    <xf numFmtId="167" fontId="10" fillId="0" borderId="0" applyFont="0" applyFill="0" applyBorder="0" applyAlignment="0" applyProtection="0"/>
    <xf numFmtId="188" fontId="35" fillId="0" borderId="0" applyFill="0" applyBorder="0" applyAlignment="0" applyProtection="0"/>
    <xf numFmtId="364" fontId="14" fillId="0" borderId="0" applyNumberFormat="0" applyFill="0" applyBorder="0" applyAlignment="0" applyProtection="0"/>
    <xf numFmtId="364" fontId="14" fillId="0" borderId="0" applyNumberFormat="0" applyFill="0" applyBorder="0" applyAlignment="0" applyProtection="0"/>
    <xf numFmtId="364" fontId="172" fillId="0" borderId="39" applyNumberFormat="0">
      <alignment horizontal="center"/>
    </xf>
    <xf numFmtId="364" fontId="172" fillId="0" borderId="39" applyNumberFormat="0">
      <alignment horizontal="center"/>
    </xf>
    <xf numFmtId="364" fontId="172" fillId="0" borderId="39" applyNumberFormat="0">
      <alignment horizontal="center"/>
    </xf>
    <xf numFmtId="250" fontId="8" fillId="0" borderId="0" applyFill="0" applyBorder="0" applyAlignment="0" applyProtection="0"/>
    <xf numFmtId="3" fontId="10" fillId="0" borderId="13">
      <alignment horizontal="right" wrapText="1"/>
    </xf>
    <xf numFmtId="3" fontId="10" fillId="0" borderId="13">
      <alignment horizontal="right" wrapText="1"/>
    </xf>
    <xf numFmtId="4" fontId="173" fillId="79" borderId="40" applyNumberFormat="0" applyProtection="0">
      <alignment vertical="center"/>
    </xf>
    <xf numFmtId="4" fontId="173"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83" borderId="0" applyNumberFormat="0" applyProtection="0">
      <alignment horizontal="left" vertical="center" indent="1"/>
    </xf>
    <xf numFmtId="4" fontId="175" fillId="53" borderId="40" applyNumberFormat="0" applyProtection="0">
      <alignment horizontal="right" vertical="center"/>
    </xf>
    <xf numFmtId="4" fontId="175" fillId="53"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3" fillId="85" borderId="41" applyNumberFormat="0" applyProtection="0">
      <alignment horizontal="left" vertical="center" indent="1"/>
    </xf>
    <xf numFmtId="4" fontId="173" fillId="85" borderId="41" applyNumberFormat="0" applyProtection="0">
      <alignment horizontal="left" vertical="center" indent="1"/>
    </xf>
    <xf numFmtId="4" fontId="173" fillId="85" borderId="41" applyNumberFormat="0" applyProtection="0">
      <alignment horizontal="left" vertical="center" indent="1"/>
    </xf>
    <xf numFmtId="4" fontId="173" fillId="24" borderId="0" applyNumberFormat="0" applyProtection="0">
      <alignment horizontal="left" vertical="center" indent="1"/>
    </xf>
    <xf numFmtId="4" fontId="173" fillId="83" borderId="0" applyNumberFormat="0" applyProtection="0">
      <alignment horizontal="left" vertical="center" indent="1"/>
    </xf>
    <xf numFmtId="4" fontId="175" fillId="24" borderId="40" applyNumberFormat="0" applyProtection="0">
      <alignment horizontal="right" vertical="center"/>
    </xf>
    <xf numFmtId="4" fontId="175" fillId="24" borderId="40" applyNumberFormat="0" applyProtection="0">
      <alignment horizontal="right" vertical="center"/>
    </xf>
    <xf numFmtId="4" fontId="46" fillId="24" borderId="0" applyNumberFormat="0" applyProtection="0">
      <alignment horizontal="left" vertical="center" indent="1"/>
    </xf>
    <xf numFmtId="4" fontId="46" fillId="83" borderId="0" applyNumberFormat="0" applyProtection="0">
      <alignment horizontal="left" vertical="center" indent="1"/>
    </xf>
    <xf numFmtId="4" fontId="175" fillId="5" borderId="40" applyNumberFormat="0" applyProtection="0">
      <alignment vertical="center"/>
    </xf>
    <xf numFmtId="4" fontId="175"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5" fillId="5" borderId="40" applyNumberFormat="0" applyProtection="0">
      <alignment horizontal="right" vertical="center"/>
    </xf>
    <xf numFmtId="4" fontId="175"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8" fillId="5" borderId="40" applyNumberFormat="0" applyProtection="0">
      <alignment horizontal="right" vertical="center"/>
    </xf>
    <xf numFmtId="4" fontId="178" fillId="5" borderId="40" applyNumberFormat="0" applyProtection="0">
      <alignment horizontal="right" vertical="center"/>
    </xf>
    <xf numFmtId="364" fontId="21" fillId="0" borderId="0">
      <alignment vertical="center"/>
    </xf>
    <xf numFmtId="364" fontId="179" fillId="0" borderId="0">
      <alignment horizontal="left"/>
    </xf>
    <xf numFmtId="173" fontId="180" fillId="0" borderId="0" applyFont="0">
      <alignment horizontal="left"/>
    </xf>
    <xf numFmtId="346" fontId="181" fillId="0" borderId="0" applyFont="0" applyFill="0" applyBorder="0" applyAlignment="0" applyProtection="0"/>
    <xf numFmtId="364" fontId="182" fillId="86" borderId="2"/>
    <xf numFmtId="364" fontId="169" fillId="1" borderId="8" applyNumberFormat="0" applyFont="0" applyAlignment="0">
      <alignment horizontal="center"/>
    </xf>
    <xf numFmtId="364" fontId="169" fillId="1" borderId="8" applyNumberFormat="0" applyFont="0" applyAlignment="0">
      <alignment horizontal="center"/>
    </xf>
    <xf numFmtId="364" fontId="183" fillId="0" borderId="0" applyNumberFormat="0" applyFill="0" applyBorder="0" applyAlignment="0" applyProtection="0"/>
    <xf numFmtId="3" fontId="22" fillId="0" borderId="0"/>
    <xf numFmtId="364" fontId="184" fillId="0" borderId="0" applyNumberFormat="0" applyFill="0" applyBorder="0" applyAlignment="0">
      <alignment horizontal="center"/>
    </xf>
    <xf numFmtId="304" fontId="35" fillId="0" borderId="0">
      <alignment horizontal="center"/>
    </xf>
    <xf numFmtId="364" fontId="163" fillId="75" borderId="0"/>
    <xf numFmtId="364" fontId="42"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44" fillId="0" borderId="0" applyNumberFormat="0" applyFill="0" applyBorder="0" applyAlignment="0" applyProtection="0"/>
    <xf numFmtId="364" fontId="44" fillId="0" borderId="0" applyNumberFormat="0" applyFill="0" applyBorder="0" applyAlignment="0" applyProtection="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16" fillId="0" borderId="0"/>
    <xf numFmtId="364" fontId="35" fillId="0" borderId="0"/>
    <xf numFmtId="364" fontId="16" fillId="0" borderId="0"/>
    <xf numFmtId="364" fontId="16" fillId="0" borderId="0"/>
    <xf numFmtId="166" fontId="10" fillId="0" borderId="0" applyFont="0" applyFill="0" applyBorder="0" applyAlignment="0" applyProtection="0"/>
    <xf numFmtId="364" fontId="42" fillId="0" borderId="0"/>
    <xf numFmtId="364" fontId="35" fillId="0" borderId="0"/>
    <xf numFmtId="364" fontId="42" fillId="0" borderId="0"/>
    <xf numFmtId="364" fontId="16" fillId="0" borderId="0"/>
    <xf numFmtId="166" fontId="10" fillId="0" borderId="0" applyFont="0" applyFill="0" applyBorder="0" applyAlignment="0" applyProtection="0"/>
    <xf numFmtId="364" fontId="16" fillId="0" borderId="0"/>
    <xf numFmtId="364" fontId="16" fillId="0" borderId="0"/>
    <xf numFmtId="364" fontId="16" fillId="0" borderId="0"/>
    <xf numFmtId="239" fontId="10" fillId="0" borderId="0" applyFont="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51" fontId="10" fillId="0" borderId="0" applyFont="0" applyFill="0" applyBorder="0" applyAlignment="0" applyProtection="0"/>
    <xf numFmtId="242" fontId="10" fillId="0" borderId="0" applyFont="0" applyFill="0" applyBorder="0" applyAlignment="0" applyProtection="0"/>
    <xf numFmtId="239" fontId="10" fillId="0" borderId="0" applyFont="0" applyFill="0" applyBorder="0" applyAlignment="0" applyProtection="0"/>
    <xf numFmtId="167" fontId="10" fillId="0" borderId="0" applyFont="0" applyFill="0" applyBorder="0" applyAlignment="0" applyProtection="0"/>
    <xf numFmtId="166" fontId="10" fillId="0" borderId="0" applyFont="0" applyFill="0" applyBorder="0" applyAlignment="0" applyProtection="0"/>
    <xf numFmtId="185" fontId="22"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198" fontId="10" fillId="0" borderId="0" applyFont="0" applyFill="0" applyBorder="0" applyAlignment="0" applyProtection="0"/>
    <xf numFmtId="166" fontId="10" fillId="0" borderId="0" applyFont="0" applyFill="0" applyBorder="0" applyAlignment="0" applyProtection="0"/>
    <xf numFmtId="227"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185" fontId="22" fillId="0" borderId="0" applyFont="0" applyFill="0" applyBorder="0" applyAlignment="0" applyProtection="0"/>
    <xf numFmtId="227" fontId="10" fillId="0" borderId="0" applyFont="0" applyFill="0" applyBorder="0" applyAlignment="0" applyProtection="0"/>
    <xf numFmtId="239" fontId="10" fillId="0" borderId="0" applyFont="0" applyFill="0" applyBorder="0" applyAlignment="0" applyProtection="0"/>
    <xf numFmtId="241" fontId="10" fillId="0" borderId="0" applyFont="0" applyFill="0" applyBorder="0" applyAlignment="0" applyProtection="0"/>
    <xf numFmtId="185" fontId="22"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227" fontId="10" fillId="0" borderId="0" applyFont="0" applyFill="0" applyBorder="0" applyAlignment="0" applyProtection="0"/>
    <xf numFmtId="185" fontId="10" fillId="0" borderId="0" applyFont="0" applyFill="0" applyBorder="0" applyAlignment="0" applyProtection="0"/>
    <xf numFmtId="227" fontId="10" fillId="0" borderId="0" applyFont="0" applyFill="0" applyBorder="0" applyAlignment="0" applyProtection="0"/>
    <xf numFmtId="227" fontId="10" fillId="0" borderId="0" applyFont="0" applyFill="0" applyBorder="0" applyAlignment="0" applyProtection="0"/>
    <xf numFmtId="231" fontId="10" fillId="0" borderId="0" applyFont="0" applyFill="0" applyBorder="0" applyAlignment="0" applyProtection="0"/>
    <xf numFmtId="185" fontId="10" fillId="0" borderId="0" applyFont="0" applyFill="0" applyBorder="0" applyAlignment="0" applyProtection="0"/>
    <xf numFmtId="227" fontId="10" fillId="0" borderId="0" applyFont="0" applyFill="0" applyBorder="0" applyAlignment="0" applyProtection="0"/>
    <xf numFmtId="239" fontId="10" fillId="0" borderId="0" applyFont="0" applyFill="0" applyBorder="0" applyAlignment="0" applyProtection="0"/>
    <xf numFmtId="185" fontId="10" fillId="0" borderId="0" applyFont="0" applyFill="0" applyBorder="0" applyAlignment="0" applyProtection="0"/>
    <xf numFmtId="233" fontId="10" fillId="0" borderId="0" applyFont="0" applyFill="0" applyBorder="0" applyAlignment="0" applyProtection="0"/>
    <xf numFmtId="235" fontId="10" fillId="0" borderId="0" applyFont="0" applyFill="0" applyBorder="0" applyAlignment="0" applyProtection="0"/>
    <xf numFmtId="193" fontId="22" fillId="0" borderId="0" applyFont="0" applyFill="0" applyBorder="0" applyAlignment="0" applyProtection="0"/>
    <xf numFmtId="167" fontId="10" fillId="0" borderId="0" applyFont="0" applyFill="0" applyBorder="0" applyAlignment="0" applyProtection="0"/>
    <xf numFmtId="193" fontId="22" fillId="0" borderId="0" applyFont="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170"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193" fontId="22" fillId="0" borderId="0" applyFont="0" applyFill="0" applyBorder="0" applyAlignment="0" applyProtection="0"/>
    <xf numFmtId="166" fontId="10" fillId="0" borderId="0" applyFont="0" applyFill="0" applyBorder="0" applyAlignment="0" applyProtection="0"/>
    <xf numFmtId="237" fontId="10" fillId="0" borderId="0" applyFont="0" applyFill="0" applyBorder="0" applyAlignment="0" applyProtection="0"/>
    <xf numFmtId="166"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195" fontId="10" fillId="0" borderId="0" applyFont="0" applyFill="0" applyBorder="0" applyAlignment="0" applyProtection="0"/>
    <xf numFmtId="242" fontId="10" fillId="0" borderId="0" applyFont="0" applyFill="0" applyBorder="0" applyAlignment="0" applyProtection="0"/>
    <xf numFmtId="166" fontId="10" fillId="0" borderId="0" applyFont="0" applyFill="0" applyBorder="0" applyAlignment="0" applyProtection="0"/>
    <xf numFmtId="167" fontId="10" fillId="0" borderId="0" applyFont="0" applyFill="0" applyBorder="0" applyAlignment="0" applyProtection="0"/>
    <xf numFmtId="166" fontId="10" fillId="0" borderId="0" applyFont="0" applyFill="0" applyBorder="0" applyAlignment="0" applyProtection="0"/>
    <xf numFmtId="246" fontId="10" fillId="0" borderId="0" applyFont="0" applyFill="0" applyBorder="0" applyAlignment="0" applyProtection="0"/>
    <xf numFmtId="227" fontId="10" fillId="0" borderId="0" applyFont="0" applyFill="0" applyBorder="0" applyAlignment="0" applyProtection="0"/>
    <xf numFmtId="193" fontId="10" fillId="0" borderId="0" applyFont="0" applyFill="0" applyBorder="0" applyAlignment="0" applyProtection="0"/>
    <xf numFmtId="227" fontId="10" fillId="0" borderId="0" applyFont="0" applyFill="0" applyBorder="0" applyAlignment="0" applyProtection="0"/>
    <xf numFmtId="193" fontId="10" fillId="0" borderId="0" applyFont="0" applyFill="0" applyBorder="0" applyAlignment="0" applyProtection="0"/>
    <xf numFmtId="229" fontId="10" fillId="0" borderId="0" applyFont="0" applyFill="0" applyBorder="0" applyAlignment="0" applyProtection="0"/>
    <xf numFmtId="193" fontId="10" fillId="0" borderId="0" applyFont="0" applyFill="0" applyBorder="0" applyAlignment="0" applyProtection="0"/>
    <xf numFmtId="185" fontId="22" fillId="0" borderId="0" applyFont="0" applyFill="0" applyBorder="0" applyAlignment="0" applyProtection="0"/>
    <xf numFmtId="239" fontId="10" fillId="0" borderId="0" applyFont="0" applyFill="0" applyBorder="0" applyAlignment="0" applyProtection="0"/>
    <xf numFmtId="227" fontId="10" fillId="0" borderId="0" applyFont="0" applyFill="0" applyBorder="0" applyAlignment="0" applyProtection="0"/>
    <xf numFmtId="193" fontId="10" fillId="0" borderId="0" applyFont="0" applyFill="0" applyBorder="0" applyAlignment="0" applyProtection="0"/>
    <xf numFmtId="227" fontId="10" fillId="0" borderId="0" applyFont="0" applyFill="0" applyBorder="0" applyAlignment="0" applyProtection="0"/>
    <xf numFmtId="239" fontId="10" fillId="0" borderId="0" applyFont="0" applyFill="0" applyBorder="0" applyAlignment="0" applyProtection="0"/>
    <xf numFmtId="185"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51" fontId="10" fillId="0" borderId="0" applyFont="0" applyFill="0" applyBorder="0" applyAlignment="0" applyProtection="0"/>
    <xf numFmtId="242" fontId="10" fillId="0" borderId="0" applyFont="0" applyFill="0" applyBorder="0" applyAlignment="0" applyProtection="0"/>
    <xf numFmtId="239" fontId="10" fillId="0" borderId="0" applyFont="0" applyFill="0" applyBorder="0" applyAlignment="0" applyProtection="0"/>
    <xf numFmtId="167" fontId="10" fillId="0" borderId="0" applyFont="0" applyFill="0" applyBorder="0" applyAlignment="0" applyProtection="0"/>
    <xf numFmtId="175" fontId="91" fillId="0" borderId="0" applyFont="0" applyFill="0" applyBorder="0" applyAlignment="0" applyProtection="0"/>
    <xf numFmtId="167" fontId="10" fillId="0" borderId="0" applyFont="0" applyFill="0" applyBorder="0" applyAlignment="0" applyProtection="0"/>
    <xf numFmtId="237"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39" fontId="10" fillId="0" borderId="0" applyFont="0" applyFill="0" applyBorder="0" applyAlignment="0" applyProtection="0"/>
    <xf numFmtId="237"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22" fillId="0" borderId="0" applyFont="0" applyFill="0" applyBorder="0" applyAlignment="0" applyProtection="0"/>
    <xf numFmtId="193" fontId="22" fillId="0" borderId="0" applyFont="0" applyFill="0" applyBorder="0" applyAlignment="0" applyProtection="0"/>
    <xf numFmtId="237" fontId="10" fillId="0" borderId="0" applyFont="0" applyFill="0" applyBorder="0" applyAlignment="0" applyProtection="0"/>
    <xf numFmtId="170" fontId="10" fillId="0" borderId="0" applyFont="0" applyFill="0" applyBorder="0" applyAlignment="0" applyProtection="0"/>
    <xf numFmtId="193" fontId="22" fillId="0" borderId="0" applyFont="0" applyFill="0" applyBorder="0" applyAlignment="0" applyProtection="0"/>
    <xf numFmtId="237" fontId="10" fillId="0" borderId="0" applyFont="0" applyFill="0" applyBorder="0" applyAlignment="0" applyProtection="0"/>
    <xf numFmtId="193" fontId="22"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242" fontId="10" fillId="0" borderId="0" applyFont="0" applyFill="0" applyBorder="0" applyAlignment="0" applyProtection="0"/>
    <xf numFmtId="167" fontId="10" fillId="0" borderId="0" applyFont="0" applyFill="0" applyBorder="0" applyAlignment="0" applyProtection="0"/>
    <xf numFmtId="246"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70"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239"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239"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239" fontId="10" fillId="0" borderId="0" applyFont="0" applyFill="0" applyBorder="0" applyAlignment="0" applyProtection="0"/>
    <xf numFmtId="14" fontId="185" fillId="0" borderId="0"/>
    <xf numFmtId="364" fontId="186" fillId="0" borderId="0"/>
    <xf numFmtId="364" fontId="151" fillId="0" borderId="0"/>
    <xf numFmtId="364" fontId="151" fillId="0" borderId="0"/>
    <xf numFmtId="364" fontId="151" fillId="0" borderId="0"/>
    <xf numFmtId="40" fontId="187" fillId="0" borderId="0" applyBorder="0">
      <alignment horizontal="right"/>
    </xf>
    <xf numFmtId="307" fontId="119" fillId="0" borderId="0" applyFont="0">
      <protection locked="0"/>
    </xf>
    <xf numFmtId="174" fontId="119" fillId="0" borderId="0" applyFont="0">
      <protection locked="0"/>
    </xf>
    <xf numFmtId="175" fontId="119" fillId="0" borderId="0" applyFont="0">
      <protection locked="0"/>
    </xf>
    <xf numFmtId="307" fontId="119" fillId="0" borderId="0" applyFont="0">
      <protection locked="0"/>
    </xf>
    <xf numFmtId="307" fontId="119" fillId="0" borderId="0" applyFont="0">
      <protection locked="0"/>
    </xf>
    <xf numFmtId="364" fontId="172" fillId="0" borderId="0"/>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7" fontId="10" fillId="0" borderId="22">
      <alignment horizontal="right" vertical="center"/>
    </xf>
    <xf numFmtId="347" fontId="10"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8" fontId="108" fillId="0" borderId="43">
      <alignment horizontal="right" vertical="center"/>
    </xf>
    <xf numFmtId="304" fontId="108" fillId="0" borderId="22">
      <alignment horizontal="right" vertical="center"/>
    </xf>
    <xf numFmtId="304" fontId="108"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49" fontId="14" fillId="0" borderId="22">
      <alignment horizontal="right" vertical="center"/>
    </xf>
    <xf numFmtId="349" fontId="14" fillId="0" borderId="22">
      <alignment horizontal="right" vertical="center"/>
    </xf>
    <xf numFmtId="349" fontId="14" fillId="0" borderId="22">
      <alignment horizontal="right" vertical="center"/>
    </xf>
    <xf numFmtId="349" fontId="14"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9" fontId="14" fillId="0" borderId="22">
      <alignment horizontal="right" vertical="center"/>
    </xf>
    <xf numFmtId="349" fontId="14" fillId="0" borderId="22">
      <alignment horizontal="right" vertical="center"/>
    </xf>
    <xf numFmtId="349" fontId="14" fillId="0" borderId="22">
      <alignment horizontal="right" vertical="center"/>
    </xf>
    <xf numFmtId="350" fontId="8" fillId="0" borderId="22">
      <alignment horizontal="right" vertical="center"/>
    </xf>
    <xf numFmtId="349" fontId="14"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51" fontId="188" fillId="0" borderId="22">
      <alignment horizontal="right" vertical="center"/>
    </xf>
    <xf numFmtId="351" fontId="188" fillId="0" borderId="22">
      <alignment horizontal="right" vertical="center"/>
    </xf>
    <xf numFmtId="351" fontId="188" fillId="0" borderId="22">
      <alignment horizontal="right" vertical="center"/>
    </xf>
    <xf numFmtId="351" fontId="188" fillId="0" borderId="22">
      <alignment horizontal="right" vertical="center"/>
    </xf>
    <xf numFmtId="352" fontId="14" fillId="0" borderId="43">
      <alignment horizontal="right" vertical="center"/>
    </xf>
    <xf numFmtId="349" fontId="14" fillId="0" borderId="22">
      <alignment horizontal="right" vertical="center"/>
    </xf>
    <xf numFmtId="349" fontId="14" fillId="0" borderId="22">
      <alignment horizontal="right" vertical="center"/>
    </xf>
    <xf numFmtId="349" fontId="14" fillId="0" borderId="22">
      <alignment horizontal="right" vertical="center"/>
    </xf>
    <xf numFmtId="349" fontId="14" fillId="0" borderId="22">
      <alignment horizontal="right" vertical="center"/>
    </xf>
    <xf numFmtId="353" fontId="91" fillId="0" borderId="22">
      <alignment horizontal="right" vertical="center"/>
    </xf>
    <xf numFmtId="353" fontId="91" fillId="0" borderId="22">
      <alignment horizontal="right" vertical="center"/>
    </xf>
    <xf numFmtId="353" fontId="91" fillId="0" borderId="22">
      <alignment horizontal="right" vertical="center"/>
    </xf>
    <xf numFmtId="353" fontId="91"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50" fontId="8" fillId="0" borderId="22">
      <alignment horizontal="right" vertical="center"/>
    </xf>
    <xf numFmtId="350" fontId="8" fillId="0" borderId="22">
      <alignment horizontal="right" vertical="center"/>
    </xf>
    <xf numFmtId="350" fontId="8" fillId="0" borderId="22">
      <alignment horizontal="right" vertical="center"/>
    </xf>
    <xf numFmtId="350" fontId="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172" fontId="152" fillId="0" borderId="22">
      <alignment horizontal="right" vertical="center"/>
    </xf>
    <xf numFmtId="172" fontId="152" fillId="0" borderId="22">
      <alignment horizontal="right" vertical="center"/>
    </xf>
    <xf numFmtId="354" fontId="152" fillId="0" borderId="43">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55" fontId="108" fillId="0" borderId="22">
      <alignment horizontal="right" vertical="center"/>
    </xf>
    <xf numFmtId="355" fontId="108" fillId="0" borderId="22">
      <alignment horizontal="right" vertical="center"/>
    </xf>
    <xf numFmtId="355" fontId="108" fillId="0" borderId="22">
      <alignment horizontal="right" vertical="center"/>
    </xf>
    <xf numFmtId="355" fontId="108" fillId="0" borderId="22">
      <alignment horizontal="right" vertical="center"/>
    </xf>
    <xf numFmtId="349" fontId="14"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8" fontId="108" fillId="0" borderId="43">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48" fontId="108" fillId="0" borderId="44">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8" fontId="108" fillId="0" borderId="43">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55" fontId="108" fillId="0" borderId="22">
      <alignment horizontal="right" vertical="center"/>
    </xf>
    <xf numFmtId="355" fontId="108" fillId="0" borderId="22">
      <alignment horizontal="right" vertical="center"/>
    </xf>
    <xf numFmtId="355" fontId="108" fillId="0" borderId="22">
      <alignment horizontal="right" vertical="center"/>
    </xf>
    <xf numFmtId="355" fontId="108" fillId="0" borderId="22">
      <alignment horizontal="right" vertical="center"/>
    </xf>
    <xf numFmtId="304" fontId="108" fillId="0" borderId="22">
      <alignment horizontal="right" vertical="center"/>
    </xf>
    <xf numFmtId="304" fontId="108" fillId="0" borderId="22">
      <alignment horizontal="right" vertical="center"/>
    </xf>
    <xf numFmtId="348" fontId="108" fillId="0" borderId="43">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48" fontId="108" fillId="0" borderId="44">
      <alignment horizontal="right" vertical="center"/>
    </xf>
    <xf numFmtId="348" fontId="108" fillId="0" borderId="44">
      <alignment horizontal="right" vertical="center"/>
    </xf>
    <xf numFmtId="347" fontId="10" fillId="0" borderId="22">
      <alignment horizontal="right" vertical="center"/>
    </xf>
    <xf numFmtId="347" fontId="10"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304" fontId="108"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49" fontId="14" fillId="0" borderId="22">
      <alignment horizontal="right" vertical="center"/>
    </xf>
    <xf numFmtId="304" fontId="108" fillId="0" borderId="22">
      <alignment horizontal="right" vertical="center"/>
    </xf>
    <xf numFmtId="304" fontId="108" fillId="0" borderId="22">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255" fontId="108"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172" fontId="152" fillId="0" borderId="22">
      <alignment horizontal="right" vertical="center"/>
    </xf>
    <xf numFmtId="364" fontId="111" fillId="0" borderId="24"/>
    <xf numFmtId="364" fontId="111" fillId="0" borderId="24"/>
    <xf numFmtId="3" fontId="189" fillId="65" borderId="1" applyFill="0" applyAlignment="0" applyProtection="0">
      <alignment horizontal="justify" vertical="center"/>
    </xf>
    <xf numFmtId="3" fontId="189" fillId="65" borderId="1" applyFill="0" applyAlignment="0" applyProtection="0">
      <alignment horizontal="justify" vertical="center"/>
    </xf>
    <xf numFmtId="282" fontId="22" fillId="0" borderId="14">
      <protection hidden="1"/>
    </xf>
    <xf numFmtId="49" fontId="46" fillId="0" borderId="0" applyFill="0" applyBorder="0" applyAlignment="0"/>
    <xf numFmtId="364" fontId="8" fillId="0" borderId="0" applyFill="0" applyBorder="0" applyAlignment="0"/>
    <xf numFmtId="282" fontId="8" fillId="0" borderId="0" applyFill="0" applyBorder="0" applyAlignment="0"/>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185" fontId="108" fillId="0" borderId="22">
      <alignment horizontal="center"/>
    </xf>
    <xf numFmtId="356" fontId="190" fillId="0" borderId="0" applyNumberFormat="0" applyFont="0" applyFill="0" applyBorder="0" applyAlignment="0">
      <alignment horizontal="centerContinuous"/>
    </xf>
    <xf numFmtId="364" fontId="14" fillId="0" borderId="45"/>
    <xf numFmtId="364" fontId="191" fillId="0" borderId="46"/>
    <xf numFmtId="364" fontId="191" fillId="0" borderId="45"/>
    <xf numFmtId="364" fontId="191" fillId="0" borderId="46"/>
    <xf numFmtId="364" fontId="108" fillId="0" borderId="0" applyNumberFormat="0" applyFill="0" applyBorder="0" applyAlignment="0" applyProtection="0"/>
    <xf numFmtId="364" fontId="108" fillId="0" borderId="0" applyNumberFormat="0" applyFill="0" applyBorder="0" applyAlignment="0" applyProtection="0"/>
    <xf numFmtId="364" fontId="108" fillId="0" borderId="0" applyNumberFormat="0" applyFill="0" applyBorder="0" applyAlignment="0" applyProtection="0"/>
    <xf numFmtId="364" fontId="108" fillId="0" borderId="0" applyNumberFormat="0" applyFill="0" applyBorder="0" applyAlignment="0" applyProtection="0"/>
    <xf numFmtId="364" fontId="108" fillId="0" borderId="0" applyNumberFormat="0" applyFill="0" applyBorder="0" applyAlignment="0" applyProtection="0"/>
    <xf numFmtId="364" fontId="10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12" fillId="0" borderId="0" applyNumberFormat="0" applyFill="0" applyBorder="0" applyAlignment="0" applyProtection="0"/>
    <xf numFmtId="3" fontId="192" fillId="0" borderId="12" applyNumberFormat="0" applyBorder="0" applyAlignment="0"/>
    <xf numFmtId="364" fontId="193" fillId="0" borderId="0" applyNumberFormat="0" applyFill="0" applyBorder="0" applyAlignment="0" applyProtection="0"/>
    <xf numFmtId="364" fontId="93" fillId="63" borderId="19" applyNumberFormat="0" applyAlignment="0" applyProtection="0"/>
    <xf numFmtId="364" fontId="194" fillId="78" borderId="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364" fontId="193" fillId="0" borderId="0" applyNumberFormat="0" applyFill="0" applyBorder="0" applyAlignment="0" applyProtection="0"/>
    <xf numFmtId="41" fontId="195" fillId="0" borderId="47" applyNumberFormat="0" applyFill="0" applyProtection="0">
      <alignment horizontal="center"/>
    </xf>
    <xf numFmtId="4" fontId="196" fillId="0" borderId="0">
      <alignment horizontal="left" indent="1"/>
    </xf>
    <xf numFmtId="364" fontId="122" fillId="0" borderId="48" applyNumberFormat="0" applyFill="0" applyAlignment="0" applyProtection="0"/>
    <xf numFmtId="364" fontId="126" fillId="18" borderId="0" applyNumberFormat="0" applyBorder="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122" fillId="0" borderId="48" applyNumberForma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148" fillId="0" borderId="50"/>
    <xf numFmtId="364" fontId="148" fillId="0" borderId="50"/>
    <xf numFmtId="364" fontId="148" fillId="0" borderId="50"/>
    <xf numFmtId="364" fontId="148" fillId="0" borderId="24"/>
    <xf numFmtId="364" fontId="148" fillId="0" borderId="24"/>
    <xf numFmtId="364" fontId="153" fillId="0" borderId="51" applyNumberFormat="0" applyAlignment="0">
      <alignment horizontal="center"/>
    </xf>
    <xf numFmtId="364" fontId="153" fillId="0" borderId="51" applyNumberFormat="0" applyAlignment="0">
      <alignment horizontal="center"/>
    </xf>
    <xf numFmtId="364" fontId="153" fillId="0" borderId="51" applyNumberFormat="0" applyAlignment="0">
      <alignment horizontal="center"/>
    </xf>
    <xf numFmtId="364" fontId="157" fillId="87" borderId="0" applyNumberFormat="0" applyBorder="0" applyAlignment="0" applyProtection="0"/>
    <xf numFmtId="364" fontId="197" fillId="0" borderId="0" applyBorder="0">
      <alignment vertical="top" wrapText="1"/>
    </xf>
    <xf numFmtId="41" fontId="8" fillId="0" borderId="0" applyFont="0" applyFill="0" applyBorder="0" applyAlignment="0" applyProtection="0"/>
    <xf numFmtId="43" fontId="8" fillId="0" borderId="0" applyFont="0" applyFill="0" applyBorder="0" applyAlignment="0" applyProtection="0"/>
    <xf numFmtId="307" fontId="119" fillId="0" borderId="0" applyFont="0">
      <alignment horizontal="center"/>
      <protection locked="0"/>
    </xf>
    <xf numFmtId="174" fontId="119" fillId="0" borderId="0" applyFont="0">
      <alignment horizontal="center"/>
      <protection locked="0"/>
    </xf>
    <xf numFmtId="175" fontId="119" fillId="0" borderId="0" applyFont="0">
      <alignment horizontal="center"/>
      <protection locked="0"/>
    </xf>
    <xf numFmtId="307" fontId="119" fillId="0" borderId="0" applyFont="0">
      <alignment horizontal="center"/>
      <protection locked="0"/>
    </xf>
    <xf numFmtId="307" fontId="119" fillId="0" borderId="0" applyFont="0">
      <alignment horizontal="center"/>
      <protection locked="0"/>
    </xf>
    <xf numFmtId="37" fontId="110" fillId="79" borderId="0" applyNumberFormat="0" applyBorder="0" applyAlignment="0" applyProtection="0"/>
    <xf numFmtId="37" fontId="110" fillId="0" borderId="0"/>
    <xf numFmtId="3" fontId="198" fillId="0" borderId="9" applyProtection="0"/>
    <xf numFmtId="364" fontId="199" fillId="0" borderId="0"/>
    <xf numFmtId="357" fontId="35" fillId="0" borderId="0" applyFont="0" applyFill="0" applyBorder="0" applyAlignment="0" applyProtection="0"/>
    <xf numFmtId="358" fontId="42" fillId="0" borderId="0" applyFont="0" applyFill="0" applyBorder="0" applyAlignment="0" applyProtection="0"/>
    <xf numFmtId="364" fontId="200" fillId="0" borderId="0" applyNumberFormat="0" applyFill="0" applyBorder="0" applyAlignment="0" applyProtection="0"/>
    <xf numFmtId="364" fontId="125" fillId="0" borderId="0" applyNumberFormat="0" applyFill="0" applyBorder="0" applyAlignment="0" applyProtection="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282" fontId="108" fillId="0" borderId="0"/>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180" fontId="108" fillId="0" borderId="1"/>
    <xf numFmtId="364" fontId="196" fillId="0" borderId="0"/>
    <xf numFmtId="364" fontId="160" fillId="0" borderId="0"/>
    <xf numFmtId="364" fontId="160" fillId="0" borderId="0"/>
    <xf numFmtId="3" fontId="108" fillId="0" borderId="0" applyNumberFormat="0" applyBorder="0" applyAlignment="0" applyProtection="0">
      <alignment horizontal="centerContinuous"/>
      <protection locked="0"/>
    </xf>
    <xf numFmtId="3" fontId="61" fillId="0" borderId="0">
      <protection locked="0"/>
    </xf>
    <xf numFmtId="364" fontId="160" fillId="0" borderId="0"/>
    <xf numFmtId="364" fontId="160" fillId="0" borderId="0"/>
    <xf numFmtId="164" fontId="201" fillId="88" borderId="4">
      <alignment vertical="top"/>
    </xf>
    <xf numFmtId="5" fontId="201" fillId="88" borderId="4">
      <alignment vertical="top"/>
    </xf>
    <xf numFmtId="364" fontId="202" fillId="89" borderId="1">
      <alignment horizontal="left" vertical="center"/>
    </xf>
    <xf numFmtId="364" fontId="202" fillId="89" borderId="1">
      <alignment horizontal="left" vertical="center"/>
    </xf>
    <xf numFmtId="165" fontId="203" fillId="90" borderId="4"/>
    <xf numFmtId="165" fontId="203" fillId="90" borderId="4"/>
    <xf numFmtId="164" fontId="137" fillId="0" borderId="4">
      <alignment horizontal="left" vertical="top"/>
    </xf>
    <xf numFmtId="164" fontId="137" fillId="0" borderId="4">
      <alignment horizontal="left" vertical="top"/>
    </xf>
    <xf numFmtId="364" fontId="204" fillId="91" borderId="0">
      <alignment horizontal="left" vertical="center"/>
    </xf>
    <xf numFmtId="164" fontId="44" fillId="0" borderId="3">
      <alignment horizontal="left" vertical="top"/>
    </xf>
    <xf numFmtId="364" fontId="205" fillId="0" borderId="3">
      <alignment horizontal="left" vertical="center"/>
    </xf>
    <xf numFmtId="364" fontId="190" fillId="0" borderId="0" applyFont="0" applyBorder="0" applyAlignment="0">
      <alignment horizontal="center"/>
    </xf>
    <xf numFmtId="359" fontId="8" fillId="0" borderId="0" applyFont="0" applyFill="0" applyBorder="0" applyAlignment="0" applyProtection="0"/>
    <xf numFmtId="175" fontId="22" fillId="0" borderId="0" applyFont="0" applyFill="0" applyBorder="0" applyAlignment="0" applyProtection="0"/>
    <xf numFmtId="166" fontId="120" fillId="0" borderId="0" applyFont="0" applyFill="0" applyBorder="0" applyAlignment="0" applyProtection="0"/>
    <xf numFmtId="168" fontId="120" fillId="0" borderId="0" applyFont="0" applyFill="0" applyBorder="0" applyAlignment="0" applyProtection="0"/>
    <xf numFmtId="364" fontId="200" fillId="0" borderId="0" applyNumberFormat="0" applyFill="0" applyBorder="0" applyAlignment="0" applyProtection="0"/>
    <xf numFmtId="364" fontId="85" fillId="16" borderId="0" applyNumberFormat="0" applyBorder="0" applyAlignment="0" applyProtection="0"/>
    <xf numFmtId="364" fontId="206" fillId="0" borderId="0" applyNumberFormat="0" applyFill="0" applyBorder="0" applyAlignment="0" applyProtection="0"/>
    <xf numFmtId="364" fontId="74" fillId="48" borderId="0" applyNumberFormat="0" applyBorder="0" applyAlignment="0" applyProtection="0">
      <alignment vertical="center"/>
    </xf>
    <xf numFmtId="364" fontId="74" fillId="52" borderId="0" applyNumberFormat="0" applyBorder="0" applyAlignment="0" applyProtection="0">
      <alignment vertical="center"/>
    </xf>
    <xf numFmtId="364" fontId="74" fillId="55" borderId="0" applyNumberFormat="0" applyBorder="0" applyAlignment="0" applyProtection="0">
      <alignment vertical="center"/>
    </xf>
    <xf numFmtId="364" fontId="74" fillId="38" borderId="0" applyNumberFormat="0" applyBorder="0" applyAlignment="0" applyProtection="0">
      <alignment vertical="center"/>
    </xf>
    <xf numFmtId="364" fontId="74" fillId="42" borderId="0" applyNumberFormat="0" applyBorder="0" applyAlignment="0" applyProtection="0">
      <alignment vertical="center"/>
    </xf>
    <xf numFmtId="364" fontId="74" fillId="60" borderId="0" applyNumberFormat="0" applyBorder="0" applyAlignment="0" applyProtection="0">
      <alignment vertical="center"/>
    </xf>
    <xf numFmtId="364" fontId="207" fillId="0" borderId="0" applyNumberFormat="0" applyFill="0" applyBorder="0" applyAlignment="0" applyProtection="0">
      <alignment vertical="top"/>
      <protection locked="0"/>
    </xf>
    <xf numFmtId="364" fontId="208" fillId="0" borderId="0" applyNumberFormat="0" applyFill="0" applyBorder="0" applyAlignment="0" applyProtection="0">
      <alignment vertical="top"/>
      <protection locked="0"/>
    </xf>
    <xf numFmtId="364" fontId="42" fillId="0" borderId="0"/>
    <xf numFmtId="364" fontId="42" fillId="0" borderId="0"/>
    <xf numFmtId="364" fontId="209" fillId="0" borderId="0" applyNumberFormat="0" applyFill="0" applyBorder="0" applyAlignment="0" applyProtection="0">
      <alignment vertical="center"/>
    </xf>
    <xf numFmtId="364" fontId="210" fillId="76" borderId="20" applyNumberFormat="0" applyAlignment="0" applyProtection="0">
      <alignment vertical="center"/>
    </xf>
    <xf numFmtId="364" fontId="210" fillId="76" borderId="20" applyNumberFormat="0" applyAlignment="0" applyProtection="0">
      <alignment vertical="center"/>
    </xf>
    <xf numFmtId="364" fontId="210" fillId="76" borderId="20" applyNumberFormat="0" applyAlignment="0" applyProtection="0">
      <alignment vertical="center"/>
    </xf>
    <xf numFmtId="364" fontId="211" fillId="87" borderId="0" applyNumberFormat="0" applyBorder="0" applyAlignment="0" applyProtection="0">
      <alignment vertical="center"/>
    </xf>
    <xf numFmtId="364" fontId="17" fillId="70" borderId="29" applyNumberFormat="0" applyFont="0" applyAlignment="0" applyProtection="0">
      <alignment vertical="center"/>
    </xf>
    <xf numFmtId="364" fontId="212" fillId="0" borderId="35" applyNumberFormat="0" applyFill="0" applyAlignment="0" applyProtection="0">
      <alignment vertical="center"/>
    </xf>
    <xf numFmtId="166" fontId="213" fillId="0" borderId="0" applyFont="0" applyFill="0" applyBorder="0" applyAlignment="0" applyProtection="0"/>
    <xf numFmtId="168" fontId="213" fillId="0" borderId="0" applyFont="0" applyFill="0" applyBorder="0" applyAlignment="0" applyProtection="0"/>
    <xf numFmtId="364" fontId="213" fillId="0" borderId="0"/>
    <xf numFmtId="364" fontId="214" fillId="0" borderId="0" applyFont="0" applyFill="0" applyBorder="0" applyAlignment="0" applyProtection="0"/>
    <xf numFmtId="364" fontId="214" fillId="0" borderId="0" applyFont="0" applyFill="0" applyBorder="0" applyAlignment="0" applyProtection="0"/>
    <xf numFmtId="364" fontId="21" fillId="0" borderId="0">
      <alignment vertical="center"/>
    </xf>
    <xf numFmtId="40" fontId="215" fillId="0" borderId="0" applyFont="0" applyFill="0" applyBorder="0" applyAlignment="0" applyProtection="0"/>
    <xf numFmtId="38" fontId="215" fillId="0" borderId="0" applyFont="0" applyFill="0" applyBorder="0" applyAlignment="0" applyProtection="0"/>
    <xf numFmtId="364" fontId="215" fillId="0" borderId="0" applyFont="0" applyFill="0" applyBorder="0" applyAlignment="0" applyProtection="0"/>
    <xf numFmtId="364" fontId="215" fillId="0" borderId="0" applyFont="0" applyFill="0" applyBorder="0" applyAlignment="0" applyProtection="0"/>
    <xf numFmtId="9" fontId="20" fillId="0" borderId="0" applyFont="0" applyFill="0" applyBorder="0" applyAlignment="0" applyProtection="0"/>
    <xf numFmtId="9" fontId="8" fillId="0" borderId="0" applyFont="0" applyFill="0" applyBorder="0" applyAlignment="0" applyProtection="0"/>
    <xf numFmtId="9" fontId="65" fillId="0" borderId="0" applyFont="0" applyFill="0" applyBorder="0" applyAlignment="0" applyProtection="0"/>
    <xf numFmtId="364" fontId="216" fillId="0" borderId="0"/>
    <xf numFmtId="38" fontId="8" fillId="0" borderId="0" applyFont="0" applyFill="0" applyBorder="0" applyAlignment="0" applyProtection="0"/>
    <xf numFmtId="38" fontId="8" fillId="0" borderId="0" applyFont="0" applyFill="0" applyBorder="0" applyAlignment="0" applyProtection="0"/>
    <xf numFmtId="38" fontId="8" fillId="0" borderId="0" applyFont="0" applyFill="0" applyBorder="0" applyAlignment="0" applyProtection="0"/>
    <xf numFmtId="175"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364" fontId="217" fillId="0" borderId="0" applyFont="0" applyFill="0" applyBorder="0" applyAlignment="0" applyProtection="0"/>
    <xf numFmtId="364" fontId="8" fillId="0" borderId="0" applyFont="0" applyFill="0" applyBorder="0" applyAlignment="0" applyProtection="0"/>
    <xf numFmtId="364"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364" fontId="65" fillId="0" borderId="0" applyFont="0" applyFill="0" applyBorder="0" applyAlignment="0" applyProtection="0"/>
    <xf numFmtId="364" fontId="65" fillId="0" borderId="0" applyFont="0" applyFill="0" applyBorder="0" applyAlignment="0" applyProtection="0"/>
    <xf numFmtId="351" fontId="218" fillId="0" borderId="0" applyFont="0" applyFill="0" applyBorder="0" applyAlignment="0" applyProtection="0"/>
    <xf numFmtId="360" fontId="218" fillId="0" borderId="0" applyFont="0" applyFill="0" applyBorder="0" applyAlignment="0" applyProtection="0"/>
    <xf numFmtId="361" fontId="219" fillId="0" borderId="0" applyFill="0" applyBorder="0" applyProtection="0">
      <alignment vertical="center"/>
    </xf>
    <xf numFmtId="362" fontId="220" fillId="0" borderId="0" applyFill="0" applyBorder="0" applyProtection="0">
      <alignment vertical="center"/>
      <protection locked="0"/>
    </xf>
    <xf numFmtId="364" fontId="65" fillId="0" borderId="0"/>
    <xf numFmtId="364" fontId="104" fillId="0" borderId="0"/>
    <xf numFmtId="364" fontId="221" fillId="23" borderId="19" applyNumberFormat="0" applyAlignment="0" applyProtection="0">
      <alignment vertical="center"/>
    </xf>
    <xf numFmtId="364" fontId="222" fillId="63" borderId="25" applyNumberFormat="0" applyAlignment="0" applyProtection="0">
      <alignment vertical="center"/>
    </xf>
    <xf numFmtId="364" fontId="102" fillId="0" borderId="0" applyFont="0" applyFill="0" applyBorder="0" applyAlignment="0" applyProtection="0"/>
    <xf numFmtId="364" fontId="102" fillId="0" borderId="0" applyFont="0" applyFill="0" applyBorder="0" applyAlignment="0" applyProtection="0"/>
    <xf numFmtId="41" fontId="52" fillId="0" borderId="0" applyFont="0" applyFill="0" applyBorder="0" applyAlignment="0" applyProtection="0"/>
    <xf numFmtId="43" fontId="52" fillId="0" borderId="0" applyFont="0" applyFill="0" applyBorder="0" applyAlignment="0" applyProtection="0"/>
    <xf numFmtId="364" fontId="223" fillId="4" borderId="0" applyNumberFormat="0" applyBorder="0" applyAlignment="0" applyProtection="0">
      <alignment vertical="center"/>
    </xf>
    <xf numFmtId="364" fontId="223" fillId="4" borderId="0" applyNumberFormat="0" applyBorder="0" applyAlignment="0" applyProtection="0"/>
    <xf numFmtId="364" fontId="223" fillId="4" borderId="0" applyNumberFormat="0" applyBorder="0" applyAlignment="0" applyProtection="0"/>
    <xf numFmtId="364" fontId="224" fillId="15" borderId="0" applyNumberFormat="0" applyBorder="0" applyAlignment="0" applyProtection="0">
      <alignment vertical="center"/>
    </xf>
    <xf numFmtId="364" fontId="224" fillId="15" borderId="0" applyNumberFormat="0" applyBorder="0" applyAlignment="0" applyProtection="0"/>
    <xf numFmtId="364" fontId="224" fillId="15" borderId="0" applyNumberFormat="0" applyBorder="0" applyAlignment="0" applyProtection="0"/>
    <xf numFmtId="364" fontId="36" fillId="0" borderId="0"/>
    <xf numFmtId="364" fontId="102" fillId="0" borderId="0"/>
    <xf numFmtId="364" fontId="75" fillId="47" borderId="0" applyNumberFormat="0" applyBorder="0" applyAlignment="0" applyProtection="0">
      <alignment vertical="center"/>
    </xf>
    <xf numFmtId="364" fontId="75" fillId="53" borderId="0" applyNumberFormat="0" applyBorder="0" applyAlignment="0" applyProtection="0">
      <alignment vertical="center"/>
    </xf>
    <xf numFmtId="364" fontId="75" fillId="56" borderId="0" applyNumberFormat="0" applyBorder="0" applyAlignment="0" applyProtection="0">
      <alignment vertical="center"/>
    </xf>
    <xf numFmtId="364" fontId="75" fillId="43" borderId="0" applyNumberFormat="0" applyBorder="0" applyAlignment="0" applyProtection="0">
      <alignment vertical="center"/>
    </xf>
    <xf numFmtId="364" fontId="75" fillId="39" borderId="0" applyNumberFormat="0" applyBorder="0" applyAlignment="0" applyProtection="0">
      <alignment vertical="center"/>
    </xf>
    <xf numFmtId="364" fontId="75" fillId="61" borderId="0" applyNumberFormat="0" applyBorder="0" applyAlignment="0" applyProtection="0">
      <alignment vertical="center"/>
    </xf>
    <xf numFmtId="364" fontId="225" fillId="16" borderId="0" applyNumberFormat="0" applyBorder="0" applyAlignment="0" applyProtection="0">
      <alignment vertical="center"/>
    </xf>
    <xf numFmtId="49" fontId="77" fillId="0" borderId="0" applyFont="0" applyFill="0" applyBorder="0" applyAlignment="0" applyProtection="0"/>
    <xf numFmtId="364" fontId="226" fillId="0" borderId="0"/>
    <xf numFmtId="364" fontId="227" fillId="0" borderId="0" applyNumberFormat="0" applyFill="0" applyBorder="0" applyAlignment="0" applyProtection="0">
      <alignment vertical="center"/>
    </xf>
    <xf numFmtId="364" fontId="228" fillId="0" borderId="26" applyNumberFormat="0" applyFill="0" applyAlignment="0" applyProtection="0">
      <alignment vertical="center"/>
    </xf>
    <xf numFmtId="364" fontId="229" fillId="0" borderId="27" applyNumberFormat="0" applyFill="0" applyAlignment="0" applyProtection="0">
      <alignment vertical="center"/>
    </xf>
    <xf numFmtId="364" fontId="230" fillId="0" borderId="28" applyNumberFormat="0" applyFill="0" applyAlignment="0" applyProtection="0">
      <alignment vertical="center"/>
    </xf>
    <xf numFmtId="364" fontId="230" fillId="0" borderId="0" applyNumberFormat="0" applyFill="0" applyBorder="0" applyAlignment="0" applyProtection="0">
      <alignment vertical="center"/>
    </xf>
    <xf numFmtId="169" fontId="231" fillId="0" borderId="0" applyFont="0" applyFill="0" applyBorder="0" applyAlignment="0" applyProtection="0"/>
    <xf numFmtId="38" fontId="232" fillId="0" borderId="0" applyFont="0" applyFill="0" applyBorder="0" applyAlignment="0" applyProtection="0"/>
    <xf numFmtId="364" fontId="233" fillId="65" borderId="20" applyNumberFormat="0" applyAlignment="0" applyProtection="0">
      <alignment vertical="center"/>
    </xf>
    <xf numFmtId="364" fontId="233" fillId="65" borderId="20" applyNumberFormat="0" applyAlignment="0" applyProtection="0">
      <alignment vertical="center"/>
    </xf>
    <xf numFmtId="364" fontId="233" fillId="65" borderId="20" applyNumberFormat="0" applyAlignment="0" applyProtection="0">
      <alignment vertical="center"/>
    </xf>
    <xf numFmtId="364" fontId="8" fillId="0" borderId="0"/>
    <xf numFmtId="364" fontId="8" fillId="0" borderId="0"/>
    <xf numFmtId="364" fontId="8" fillId="0" borderId="0"/>
    <xf numFmtId="364" fontId="8" fillId="0" borderId="0"/>
    <xf numFmtId="364" fontId="8" fillId="0" borderId="0"/>
    <xf numFmtId="364" fontId="77" fillId="0" borderId="0"/>
    <xf numFmtId="364" fontId="234" fillId="0" borderId="48" applyNumberFormat="0" applyFill="0" applyAlignment="0" applyProtection="0">
      <alignment vertical="center"/>
    </xf>
    <xf numFmtId="364" fontId="8" fillId="80" borderId="29" applyNumberFormat="0" applyFont="0" applyAlignment="0" applyProtection="0">
      <alignment vertical="center"/>
    </xf>
    <xf numFmtId="364" fontId="8" fillId="80" borderId="29" applyNumberFormat="0" applyAlignment="0" applyProtection="0"/>
    <xf numFmtId="364" fontId="235" fillId="0" borderId="0"/>
    <xf numFmtId="364" fontId="65" fillId="0" borderId="0" applyFont="0" applyFill="0" applyBorder="0" applyAlignment="0" applyProtection="0"/>
    <xf numFmtId="364" fontId="236" fillId="18" borderId="0" applyNumberFormat="0" applyBorder="0" applyAlignment="0" applyProtection="0">
      <alignment vertical="center"/>
    </xf>
    <xf numFmtId="364" fontId="237" fillId="0" borderId="26" applyNumberFormat="0" applyFill="0" applyAlignment="0" applyProtection="0">
      <alignment vertical="center"/>
    </xf>
    <xf numFmtId="364" fontId="238" fillId="0" borderId="27" applyNumberFormat="0" applyFill="0" applyAlignment="0" applyProtection="0">
      <alignment vertical="center"/>
    </xf>
    <xf numFmtId="364" fontId="239" fillId="0" borderId="28" applyNumberFormat="0" applyFill="0" applyAlignment="0" applyProtection="0">
      <alignment vertical="center"/>
    </xf>
    <xf numFmtId="364" fontId="239" fillId="0" borderId="0" applyNumberFormat="0" applyFill="0" applyBorder="0" applyAlignment="0" applyProtection="0">
      <alignment vertical="center"/>
    </xf>
    <xf numFmtId="4" fontId="77" fillId="0" borderId="0" applyFill="0" applyBorder="0" applyProtection="0">
      <alignment vertical="center"/>
    </xf>
    <xf numFmtId="364" fontId="240" fillId="0" borderId="0" applyNumberFormat="0" applyFill="0" applyBorder="0" applyAlignment="0" applyProtection="0">
      <alignment vertical="center"/>
    </xf>
    <xf numFmtId="364" fontId="241" fillId="63" borderId="19" applyNumberFormat="0" applyAlignment="0" applyProtection="0">
      <alignment vertical="center"/>
    </xf>
    <xf numFmtId="364" fontId="242" fillId="0" borderId="0" applyNumberFormat="0" applyFill="0" applyBorder="0" applyAlignment="0" applyProtection="0">
      <alignment vertical="center"/>
    </xf>
    <xf numFmtId="364" fontId="243" fillId="0" borderId="0" applyNumberFormat="0" applyFill="0" applyBorder="0" applyAlignment="0" applyProtection="0">
      <alignment vertical="center"/>
    </xf>
    <xf numFmtId="364" fontId="244" fillId="0" borderId="0" applyNumberFormat="0" applyFill="0" applyBorder="0" applyAlignment="0" applyProtection="0">
      <alignment vertical="center"/>
    </xf>
    <xf numFmtId="364" fontId="245" fillId="9" borderId="19" applyNumberFormat="0" applyAlignment="0" applyProtection="0">
      <alignment vertical="center"/>
    </xf>
    <xf numFmtId="179" fontId="52" fillId="0" borderId="0" applyFont="0" applyFill="0" applyBorder="0" applyAlignment="0" applyProtection="0"/>
    <xf numFmtId="165" fontId="51" fillId="0" borderId="0" applyFont="0" applyFill="0" applyBorder="0" applyAlignment="0" applyProtection="0"/>
    <xf numFmtId="363" fontId="52" fillId="0" borderId="0" applyFont="0" applyFill="0" applyBorder="0" applyAlignment="0" applyProtection="0"/>
    <xf numFmtId="364" fontId="246" fillId="22" borderId="19" applyNumberFormat="0" applyAlignment="0" applyProtection="0">
      <alignment vertical="center"/>
    </xf>
    <xf numFmtId="364" fontId="247" fillId="9" borderId="25" applyNumberFormat="0" applyAlignment="0" applyProtection="0">
      <alignment vertical="center"/>
    </xf>
    <xf numFmtId="364" fontId="248" fillId="79" borderId="0" applyNumberFormat="0" applyBorder="0" applyAlignment="0" applyProtection="0">
      <alignment vertical="center"/>
    </xf>
    <xf numFmtId="168" fontId="8" fillId="0" borderId="0" applyFont="0" applyFill="0" applyBorder="0" applyAlignment="0" applyProtection="0"/>
    <xf numFmtId="166" fontId="8" fillId="0" borderId="0" applyFont="0" applyFill="0" applyBorder="0" applyAlignment="0" applyProtection="0"/>
    <xf numFmtId="364" fontId="249" fillId="0" borderId="35" applyNumberFormat="0" applyFill="0" applyAlignment="0" applyProtection="0">
      <alignment vertical="center"/>
    </xf>
    <xf numFmtId="364" fontId="250" fillId="0" borderId="48" applyNumberFormat="0" applyFill="0" applyAlignment="0" applyProtection="0">
      <alignment vertical="center"/>
    </xf>
    <xf numFmtId="320" fontId="232" fillId="0" borderId="22">
      <alignment horizontal="center"/>
    </xf>
    <xf numFmtId="320" fontId="232" fillId="0" borderId="22">
      <alignment horizontal="center"/>
    </xf>
    <xf numFmtId="167"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364" fontId="8" fillId="0" borderId="0"/>
    <xf numFmtId="364" fontId="251" fillId="0" borderId="0"/>
    <xf numFmtId="171" fontId="251" fillId="0" borderId="0" applyFont="0" applyFill="0" applyBorder="0" applyAlignment="0" applyProtection="0"/>
    <xf numFmtId="364" fontId="16" fillId="0" borderId="0"/>
    <xf numFmtId="23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51"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3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6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251" fontId="10" fillId="0" borderId="0" applyFont="0" applyFill="0" applyBorder="0" applyAlignment="0" applyProtection="0"/>
    <xf numFmtId="166" fontId="10" fillId="0" borderId="0" applyFont="0" applyFill="0" applyBorder="0" applyAlignment="0" applyProtection="0"/>
    <xf numFmtId="185" fontId="22" fillId="0" borderId="0" applyFont="0" applyFill="0" applyBorder="0" applyAlignment="0" applyProtection="0"/>
    <xf numFmtId="166" fontId="10" fillId="0" borderId="0" applyFont="0" applyFill="0" applyBorder="0" applyAlignment="0" applyProtection="0"/>
    <xf numFmtId="227" fontId="10" fillId="0" borderId="0" applyFont="0" applyFill="0" applyBorder="0" applyAlignment="0" applyProtection="0"/>
    <xf numFmtId="185" fontId="22" fillId="0" borderId="0" applyFont="0" applyFill="0" applyBorder="0" applyAlignment="0" applyProtection="0"/>
    <xf numFmtId="185" fontId="10" fillId="0" borderId="0" applyFont="0" applyFill="0" applyBorder="0" applyAlignment="0" applyProtection="0"/>
    <xf numFmtId="233" fontId="10" fillId="0" borderId="0" applyFont="0" applyFill="0" applyBorder="0" applyAlignment="0" applyProtection="0"/>
    <xf numFmtId="237"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364" fontId="91" fillId="0" borderId="0"/>
    <xf numFmtId="182" fontId="26" fillId="0" borderId="14">
      <alignment horizontal="center"/>
      <protection hidden="1"/>
    </xf>
    <xf numFmtId="182" fontId="26" fillId="0" borderId="14">
      <alignment horizontal="center"/>
      <protection hidden="1"/>
    </xf>
    <xf numFmtId="364" fontId="8" fillId="0" borderId="0"/>
    <xf numFmtId="364" fontId="8" fillId="0" borderId="0"/>
    <xf numFmtId="43" fontId="8" fillId="0" borderId="0" applyFont="0" applyFill="0" applyBorder="0" applyAlignment="0" applyProtection="0"/>
    <xf numFmtId="43"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364" fontId="8" fillId="0" borderId="0" applyNumberFormat="0" applyFill="0" applyBorder="0" applyAlignment="0" applyProtection="0"/>
    <xf numFmtId="364" fontId="252" fillId="0" borderId="0">
      <alignment vertical="center"/>
    </xf>
    <xf numFmtId="364" fontId="8" fillId="0" borderId="0" applyNumberFormat="0" applyFill="0" applyBorder="0" applyAlignment="0" applyProtection="0"/>
    <xf numFmtId="364" fontId="8" fillId="0" borderId="0" applyNumberFormat="0" applyFill="0" applyBorder="0" applyAlignment="0" applyProtection="0"/>
    <xf numFmtId="364" fontId="8" fillId="0" borderId="0" applyNumberFormat="0" applyFill="0" applyBorder="0" applyAlignment="0" applyProtection="0"/>
    <xf numFmtId="364" fontId="253" fillId="0" borderId="0">
      <protection locked="0"/>
    </xf>
    <xf numFmtId="364" fontId="253" fillId="0" borderId="0">
      <protection locked="0"/>
    </xf>
    <xf numFmtId="364" fontId="254" fillId="0" borderId="0" applyNumberFormat="0" applyFill="0" applyBorder="0" applyAlignment="0" applyProtection="0">
      <alignment vertical="top"/>
      <protection locked="0"/>
    </xf>
    <xf numFmtId="364" fontId="255" fillId="0" borderId="0" applyNumberFormat="0" applyFill="0" applyBorder="0" applyAlignment="0" applyProtection="0">
      <alignment vertical="top"/>
      <protection locked="0"/>
    </xf>
    <xf numFmtId="38" fontId="35" fillId="0" borderId="0" applyFont="0" applyFill="0" applyBorder="0" applyAlignment="0" applyProtection="0"/>
    <xf numFmtId="202" fontId="213" fillId="0" borderId="0" applyFont="0" applyFill="0" applyBorder="0" applyAlignment="0" applyProtection="0"/>
    <xf numFmtId="364" fontId="16" fillId="0" borderId="0"/>
    <xf numFmtId="364" fontId="95" fillId="64" borderId="20" applyNumberFormat="0" applyAlignment="0" applyProtection="0"/>
    <xf numFmtId="364" fontId="95" fillId="65" borderId="20" applyNumberFormat="0" applyAlignment="0" applyProtection="0"/>
    <xf numFmtId="188" fontId="8" fillId="0" borderId="0" applyFill="0" applyBorder="0" applyAlignment="0" applyProtection="0"/>
    <xf numFmtId="169" fontId="8" fillId="0" borderId="0" applyFont="0" applyFill="0" applyBorder="0" applyAlignment="0" applyProtection="0"/>
    <xf numFmtId="364" fontId="130" fillId="0" borderId="31" applyNumberFormat="0" applyAlignment="0" applyProtection="0">
      <alignment horizontal="left" vertical="center"/>
    </xf>
    <xf numFmtId="364" fontId="130" fillId="0" borderId="31" applyNumberFormat="0" applyAlignment="0" applyProtection="0">
      <alignment horizontal="left" vertical="center"/>
    </xf>
    <xf numFmtId="364" fontId="95" fillId="76" borderId="20" applyNumberFormat="0" applyAlignment="0" applyProtection="0"/>
    <xf numFmtId="3" fontId="8" fillId="0" borderId="36"/>
    <xf numFmtId="364" fontId="104" fillId="0" borderId="0"/>
    <xf numFmtId="364" fontId="8"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5" fillId="0" borderId="38" applyNumberFormat="0" applyBorder="0"/>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6" applyNumberFormat="0">
      <alignment horizontal="center"/>
    </xf>
    <xf numFmtId="364" fontId="172" fillId="0" borderId="39" applyNumberFormat="0">
      <alignment horizontal="center"/>
    </xf>
    <xf numFmtId="364" fontId="172" fillId="0" borderId="39" applyNumberFormat="0">
      <alignment horizontal="center"/>
    </xf>
    <xf numFmtId="4" fontId="173" fillId="85" borderId="41" applyNumberFormat="0" applyProtection="0">
      <alignment horizontal="left" vertical="center" indent="1"/>
    </xf>
    <xf numFmtId="4" fontId="173" fillId="85" borderId="41" applyNumberFormat="0" applyProtection="0">
      <alignment horizontal="left" vertical="center" indent="1"/>
    </xf>
    <xf numFmtId="364" fontId="8" fillId="0" borderId="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8" fillId="0" borderId="49" applyNumberFormat="0" applyFont="0" applyFill="0" applyAlignment="0" applyProtection="0"/>
    <xf numFmtId="364" fontId="148" fillId="0" borderId="50"/>
    <xf numFmtId="364" fontId="153" fillId="0" borderId="51" applyNumberFormat="0" applyAlignment="0">
      <alignment horizontal="center"/>
    </xf>
    <xf numFmtId="364" fontId="153" fillId="0" borderId="51" applyNumberFormat="0" applyAlignment="0">
      <alignment horizontal="center"/>
    </xf>
    <xf numFmtId="364" fontId="153" fillId="0" borderId="51" applyNumberFormat="0" applyAlignment="0">
      <alignment horizontal="center"/>
    </xf>
    <xf numFmtId="364" fontId="210" fillId="76" borderId="20" applyNumberFormat="0" applyAlignment="0" applyProtection="0">
      <alignment vertical="center"/>
    </xf>
    <xf numFmtId="364" fontId="233" fillId="65" borderId="20" applyNumberFormat="0" applyAlignment="0" applyProtection="0">
      <alignment vertical="center"/>
    </xf>
    <xf numFmtId="364" fontId="8" fillId="0" borderId="0"/>
    <xf numFmtId="169" fontId="6" fillId="0" borderId="0" applyFont="0" applyFill="0" applyBorder="0" applyAlignment="0" applyProtection="0"/>
    <xf numFmtId="364" fontId="256" fillId="0" borderId="0"/>
    <xf numFmtId="364" fontId="35" fillId="0" borderId="0"/>
    <xf numFmtId="364" fontId="35" fillId="0" borderId="0"/>
    <xf numFmtId="364" fontId="35" fillId="0" borderId="0"/>
    <xf numFmtId="364" fontId="16" fillId="0" borderId="0"/>
    <xf numFmtId="364" fontId="16" fillId="0" borderId="0"/>
    <xf numFmtId="169" fontId="8" fillId="0" borderId="0" applyFont="0" applyFill="0" applyBorder="0" applyAlignment="0" applyProtection="0"/>
    <xf numFmtId="364" fontId="8" fillId="0" borderId="0"/>
    <xf numFmtId="169" fontId="8" fillId="0" borderId="0" applyFont="0" applyFill="0" applyBorder="0" applyAlignment="0" applyProtection="0"/>
    <xf numFmtId="364" fontId="6" fillId="0" borderId="0"/>
    <xf numFmtId="364" fontId="14" fillId="0" borderId="54" applyFont="0" applyFill="0" applyAlignment="0"/>
    <xf numFmtId="364" fontId="14" fillId="0" borderId="54" applyFont="0" applyFill="0" applyAlignment="0"/>
    <xf numFmtId="282" fontId="22" fillId="0" borderId="54">
      <protection locked="0"/>
    </xf>
    <xf numFmtId="282" fontId="22" fillId="0" borderId="54">
      <protection locked="0"/>
    </xf>
    <xf numFmtId="185" fontId="22" fillId="0" borderId="54"/>
    <xf numFmtId="185" fontId="22" fillId="0" borderId="54"/>
    <xf numFmtId="169" fontId="7" fillId="0" borderId="0" applyFont="0" applyFill="0" applyBorder="0" applyAlignment="0" applyProtection="0"/>
    <xf numFmtId="167" fontId="8" fillId="0" borderId="0" applyFont="0" applyFill="0" applyBorder="0" applyProtection="0">
      <alignment vertical="top"/>
    </xf>
    <xf numFmtId="169" fontId="104" fillId="0" borderId="0" applyFont="0" applyFill="0" applyBorder="0" applyAlignment="0" applyProtection="0"/>
    <xf numFmtId="169" fontId="251" fillId="0" borderId="0" applyFont="0" applyFill="0" applyBorder="0" applyAlignment="0" applyProtection="0"/>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30" fillId="0" borderId="56" applyNumberFormat="0" applyAlignment="0" applyProtection="0">
      <alignment horizontal="left" vertical="center"/>
    </xf>
    <xf numFmtId="364" fontId="145" fillId="0" borderId="54" applyNumberFormat="0" applyFont="0" applyFill="0" applyAlignment="0" applyProtection="0">
      <alignment horizontal="center"/>
    </xf>
    <xf numFmtId="364" fontId="145" fillId="0" borderId="54" applyNumberFormat="0" applyFont="0" applyFill="0" applyAlignment="0" applyProtection="0">
      <alignment horizontal="center"/>
    </xf>
    <xf numFmtId="364" fontId="147" fillId="0" borderId="53">
      <alignment horizontal="center" vertical="center" wrapText="1"/>
    </xf>
    <xf numFmtId="364" fontId="147" fillId="0" borderId="53">
      <alignment horizontal="center" vertical="center" wrapText="1"/>
    </xf>
    <xf numFmtId="3" fontId="8" fillId="0" borderId="55"/>
    <xf numFmtId="3" fontId="8" fillId="0" borderId="55"/>
    <xf numFmtId="3" fontId="8" fillId="0" borderId="55"/>
    <xf numFmtId="3" fontId="8" fillId="0" borderId="55"/>
    <xf numFmtId="3" fontId="8" fillId="0" borderId="55"/>
    <xf numFmtId="3" fontId="8" fillId="0" borderId="55"/>
    <xf numFmtId="4" fontId="154" fillId="0" borderId="54" applyBorder="0"/>
    <xf numFmtId="4" fontId="154" fillId="0" borderId="54" applyBorder="0"/>
    <xf numFmtId="4" fontId="154" fillId="0" borderId="54" applyBorder="0"/>
    <xf numFmtId="4" fontId="154" fillId="0" borderId="54" applyBorder="0"/>
    <xf numFmtId="4" fontId="154" fillId="0" borderId="54" applyBorder="0"/>
    <xf numFmtId="4" fontId="154" fillId="0" borderId="54" applyBorder="0"/>
    <xf numFmtId="364" fontId="8" fillId="0" borderId="0"/>
    <xf numFmtId="364" fontId="251" fillId="0" borderId="0"/>
    <xf numFmtId="364" fontId="16" fillId="0" borderId="0"/>
    <xf numFmtId="364" fontId="251" fillId="0" borderId="0"/>
    <xf numFmtId="9" fontId="6" fillId="0" borderId="0" applyFont="0" applyFill="0" applyBorder="0" applyAlignment="0" applyProtection="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9" fontId="35" fillId="0" borderId="47" applyNumberFormat="0" applyBorder="0"/>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64" fontId="172" fillId="0" borderId="57" applyNumberFormat="0">
      <alignment horizontal="center"/>
    </xf>
    <xf numFmtId="3" fontId="10" fillId="0" borderId="52">
      <alignment horizontal="right" wrapText="1"/>
    </xf>
    <xf numFmtId="3" fontId="10" fillId="0" borderId="52">
      <alignment horizontal="right" wrapTex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4" fontId="173" fillId="85" borderId="58" applyNumberFormat="0" applyProtection="0">
      <alignment horizontal="left" vertical="center" indent="1"/>
    </xf>
    <xf numFmtId="364" fontId="183" fillId="0" borderId="0" applyNumberFormat="0" applyFill="0" applyBorder="0" applyAlignment="0" applyProtection="0"/>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153" fillId="0" borderId="59" applyNumberFormat="0" applyAlignment="0">
      <alignment horizontal="center"/>
    </xf>
    <xf numFmtId="364" fontId="6" fillId="0" borderId="0"/>
    <xf numFmtId="9" fontId="251" fillId="0" borderId="0" applyFont="0" applyFill="0" applyBorder="0" applyAlignment="0" applyProtection="0"/>
    <xf numFmtId="16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169" fontId="8" fillId="0" borderId="0" applyFont="0" applyFill="0" applyBorder="0" applyAlignment="0" applyProtection="0"/>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protection locked="0"/>
    </xf>
    <xf numFmtId="364" fontId="29" fillId="0" borderId="0" applyFont="0" applyFill="0" applyBorder="0" applyAlignment="0" applyProtection="0"/>
    <xf numFmtId="364" fontId="35" fillId="0" borderId="61">
      <alignment horizontal="center"/>
    </xf>
    <xf numFmtId="364" fontId="79" fillId="0" borderId="0" applyNumberFormat="0" applyFill="0" applyBorder="0" applyAlignment="0" applyProtection="0"/>
    <xf numFmtId="364" fontId="8" fillId="0" borderId="0"/>
    <xf numFmtId="0" fontId="6" fillId="0" borderId="0"/>
    <xf numFmtId="0" fontId="8" fillId="0" borderId="0"/>
    <xf numFmtId="0" fontId="8" fillId="0" borderId="0"/>
    <xf numFmtId="0" fontId="6" fillId="0" borderId="0"/>
    <xf numFmtId="0" fontId="35" fillId="0" borderId="0"/>
    <xf numFmtId="0" fontId="6" fillId="0" borderId="0"/>
    <xf numFmtId="0" fontId="8" fillId="0" borderId="0"/>
    <xf numFmtId="169" fontId="6" fillId="0" borderId="0" applyFont="0" applyFill="0" applyBorder="0" applyAlignment="0" applyProtection="0"/>
    <xf numFmtId="169" fontId="6"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0" fontId="6" fillId="0" borderId="0"/>
    <xf numFmtId="0" fontId="8" fillId="0" borderId="0"/>
    <xf numFmtId="0" fontId="6" fillId="0" borderId="0"/>
    <xf numFmtId="0" fontId="8" fillId="0" borderId="0"/>
    <xf numFmtId="0" fontId="8" fillId="0" borderId="0"/>
    <xf numFmtId="0" fontId="257" fillId="0" borderId="0"/>
    <xf numFmtId="169" fontId="257" fillId="0" borderId="0" applyFont="0" applyFill="0" applyBorder="0" applyAlignment="0" applyProtection="0"/>
    <xf numFmtId="364" fontId="35" fillId="0" borderId="61">
      <alignment horizontal="center"/>
    </xf>
    <xf numFmtId="364" fontId="35" fillId="0" borderId="61">
      <alignment horizontal="center"/>
    </xf>
    <xf numFmtId="364" fontId="35" fillId="0" borderId="61">
      <alignment horizontal="center"/>
    </xf>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64" fontId="47" fillId="0" borderId="0"/>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 fontId="24" fillId="0" borderId="63"/>
    <xf numFmtId="364" fontId="14" fillId="0" borderId="60" applyFont="0" applyFill="0" applyAlignment="0"/>
    <xf numFmtId="364" fontId="14" fillId="0" borderId="60" applyFont="0" applyFill="0" applyAlignment="0"/>
    <xf numFmtId="364" fontId="14" fillId="0" borderId="60" applyFont="0" applyFill="0" applyAlignment="0"/>
    <xf numFmtId="364" fontId="14" fillId="0" borderId="60" applyFont="0" applyFill="0" applyAlignment="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3" fillId="9" borderId="19" applyNumberFormat="0" applyAlignment="0" applyProtection="0"/>
    <xf numFmtId="364" fontId="93" fillId="9" borderId="19" applyNumberFormat="0" applyAlignment="0" applyProtection="0"/>
    <xf numFmtId="364" fontId="93" fillId="9"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3" fillId="63" borderId="19" applyNumberFormat="0" applyAlignment="0" applyProtection="0"/>
    <xf numFmtId="364" fontId="93" fillId="63" borderId="19" applyNumberFormat="0" applyAlignment="0" applyProtection="0"/>
    <xf numFmtId="364" fontId="93" fillId="63" borderId="19" applyNumberFormat="0" applyAlignment="0" applyProtection="0"/>
    <xf numFmtId="364" fontId="93" fillId="63" borderId="19" applyNumberFormat="0" applyAlignment="0" applyProtection="0"/>
    <xf numFmtId="364" fontId="93" fillId="63" borderId="19" applyNumberFormat="0" applyAlignment="0" applyProtection="0"/>
    <xf numFmtId="364" fontId="93" fillId="63"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364" fontId="92" fillId="62" borderId="19" applyNumberFormat="0" applyAlignment="0" applyProtection="0"/>
    <xf numFmtId="282" fontId="22" fillId="0" borderId="60">
      <protection locked="0"/>
    </xf>
    <xf numFmtId="282" fontId="22" fillId="0" borderId="60">
      <protection locked="0"/>
    </xf>
    <xf numFmtId="282" fontId="22" fillId="0" borderId="60">
      <protection locked="0"/>
    </xf>
    <xf numFmtId="282" fontId="22" fillId="0" borderId="60">
      <protection locked="0"/>
    </xf>
    <xf numFmtId="185" fontId="22" fillId="0" borderId="60"/>
    <xf numFmtId="185" fontId="22" fillId="0" borderId="60"/>
    <xf numFmtId="185" fontId="22" fillId="0" borderId="60"/>
    <xf numFmtId="185" fontId="22" fillId="0" borderId="60"/>
    <xf numFmtId="364" fontId="8" fillId="0" borderId="22" applyNumberFormat="0" applyProtection="0">
      <alignment horizontal="center" vertical="center"/>
    </xf>
    <xf numFmtId="364" fontId="8" fillId="0" borderId="22" applyNumberFormat="0" applyProtection="0">
      <alignment horizontal="center" vertical="center"/>
    </xf>
    <xf numFmtId="364" fontId="8" fillId="0" borderId="22" applyNumberFormat="0" applyProtection="0">
      <alignment horizontal="center" vertical="center"/>
    </xf>
    <xf numFmtId="364" fontId="8" fillId="0" borderId="22" applyNumberFormat="0" applyProtection="0">
      <alignment horizontal="center" vertical="center"/>
    </xf>
    <xf numFmtId="364" fontId="8" fillId="0" borderId="22" applyNumberFormat="0" applyProtection="0">
      <alignment horizontal="center" vertical="center"/>
    </xf>
    <xf numFmtId="364" fontId="8" fillId="0" borderId="22" applyNumberFormat="0" applyProtection="0">
      <alignment horizontal="center" vertical="center"/>
    </xf>
    <xf numFmtId="169" fontId="23" fillId="0" borderId="0" applyFont="0" applyFill="0" applyBorder="0" applyAlignment="0" applyProtection="0"/>
    <xf numFmtId="364" fontId="111" fillId="0" borderId="64"/>
    <xf numFmtId="364" fontId="111" fillId="0" borderId="64"/>
    <xf numFmtId="364" fontId="111" fillId="0" borderId="64"/>
    <xf numFmtId="364" fontId="111" fillId="0" borderId="64"/>
    <xf numFmtId="364" fontId="111" fillId="0" borderId="64"/>
    <xf numFmtId="364" fontId="111" fillId="0" borderId="64"/>
    <xf numFmtId="364" fontId="113" fillId="63" borderId="65" applyNumberFormat="0" applyAlignment="0" applyProtection="0"/>
    <xf numFmtId="364" fontId="113" fillId="63" borderId="65" applyNumberFormat="0" applyAlignment="0" applyProtection="0"/>
    <xf numFmtId="364" fontId="113" fillId="63" borderId="65"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 fillId="70" borderId="67" applyNumberFormat="0" applyFont="0" applyAlignment="0" applyProtection="0"/>
    <xf numFmtId="364" fontId="11" fillId="70" borderId="67" applyNumberFormat="0" applyFont="0" applyAlignment="0" applyProtection="0"/>
    <xf numFmtId="364" fontId="11" fillId="70" borderId="67" applyNumberFormat="0" applyFont="0" applyAlignment="0" applyProtection="0"/>
    <xf numFmtId="364" fontId="130" fillId="0" borderId="68">
      <alignment horizontal="left" vertical="center"/>
    </xf>
    <xf numFmtId="364" fontId="130" fillId="0" borderId="68">
      <alignment horizontal="left" vertical="center"/>
    </xf>
    <xf numFmtId="364" fontId="130" fillId="0" borderId="68">
      <alignment horizontal="left" vertical="center"/>
    </xf>
    <xf numFmtId="364" fontId="130" fillId="0" borderId="68">
      <alignment horizontal="left" vertical="center"/>
    </xf>
    <xf numFmtId="364" fontId="130" fillId="0" borderId="68">
      <alignment horizontal="left" vertical="center"/>
    </xf>
    <xf numFmtId="364" fontId="130" fillId="0" borderId="68">
      <alignment horizontal="left" vertical="center"/>
    </xf>
    <xf numFmtId="364" fontId="130" fillId="0" borderId="68">
      <alignment horizontal="left" vertical="center"/>
    </xf>
    <xf numFmtId="364" fontId="130" fillId="0" borderId="68">
      <alignment horizontal="left" vertical="center"/>
    </xf>
    <xf numFmtId="5" fontId="137" fillId="74" borderId="63" applyNumberFormat="0" applyAlignment="0">
      <alignment horizontal="left" vertical="top"/>
    </xf>
    <xf numFmtId="5" fontId="137" fillId="74" borderId="63" applyNumberFormat="0" applyAlignment="0">
      <alignment horizontal="left" vertical="top"/>
    </xf>
    <xf numFmtId="5" fontId="137" fillId="74" borderId="63" applyNumberFormat="0" applyAlignment="0">
      <alignment horizontal="left" vertical="top"/>
    </xf>
    <xf numFmtId="5" fontId="137" fillId="74" borderId="63" applyNumberFormat="0" applyAlignment="0">
      <alignment horizontal="left" vertical="top"/>
    </xf>
    <xf numFmtId="164" fontId="137" fillId="74" borderId="63" applyNumberFormat="0" applyAlignment="0">
      <alignment horizontal="left" vertical="top"/>
    </xf>
    <xf numFmtId="164" fontId="137" fillId="74" borderId="63" applyNumberFormat="0" applyAlignment="0">
      <alignment horizontal="left" vertical="top"/>
    </xf>
    <xf numFmtId="164" fontId="137" fillId="74" borderId="63" applyNumberFormat="0" applyAlignment="0">
      <alignment horizontal="left" vertical="top"/>
    </xf>
    <xf numFmtId="164" fontId="137" fillId="74" borderId="63" applyNumberFormat="0" applyAlignment="0">
      <alignment horizontal="left" vertical="top"/>
    </xf>
    <xf numFmtId="49" fontId="140" fillId="0" borderId="63">
      <alignment vertical="center"/>
    </xf>
    <xf numFmtId="49" fontId="140" fillId="0" borderId="63">
      <alignment vertical="center"/>
    </xf>
    <xf numFmtId="49" fontId="140" fillId="0" borderId="63">
      <alignment vertical="center"/>
    </xf>
    <xf numFmtId="49" fontId="140" fillId="0" borderId="63">
      <alignment vertical="center"/>
    </xf>
    <xf numFmtId="49" fontId="140" fillId="0" borderId="63">
      <alignment vertical="center"/>
    </xf>
    <xf numFmtId="49" fontId="140" fillId="0" borderId="63">
      <alignment vertical="center"/>
    </xf>
    <xf numFmtId="49" fontId="140" fillId="0" borderId="63">
      <alignment vertical="center"/>
    </xf>
    <xf numFmtId="49" fontId="140" fillId="0" borderId="63">
      <alignment vertical="center"/>
    </xf>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10" fontId="110" fillId="71" borderId="63" applyNumberFormat="0" applyBorder="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22" borderId="66" applyNumberFormat="0" applyAlignment="0" applyProtection="0"/>
    <xf numFmtId="364" fontId="114" fillId="22" borderId="66" applyNumberFormat="0" applyAlignment="0" applyProtection="0"/>
    <xf numFmtId="364" fontId="114" fillId="22"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23"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364" fontId="114" fillId="14" borderId="66" applyNumberFormat="0" applyAlignment="0" applyProtection="0"/>
    <xf numFmtId="2" fontId="144" fillId="0" borderId="22" applyBorder="0"/>
    <xf numFmtId="2" fontId="144" fillId="0" borderId="22" applyBorder="0"/>
    <xf numFmtId="2" fontId="144" fillId="0" borderId="22" applyBorder="0"/>
    <xf numFmtId="2" fontId="144" fillId="0" borderId="22" applyBorder="0"/>
    <xf numFmtId="2" fontId="144" fillId="0" borderId="22" applyBorder="0"/>
    <xf numFmtId="2" fontId="144" fillId="0" borderId="22" applyBorder="0"/>
    <xf numFmtId="364" fontId="145" fillId="0" borderId="60" applyNumberFormat="0" applyFont="0" applyFill="0" applyAlignment="0" applyProtection="0">
      <alignment horizontal="center"/>
    </xf>
    <xf numFmtId="364" fontId="145" fillId="0" borderId="60" applyNumberFormat="0" applyFont="0" applyFill="0" applyAlignment="0" applyProtection="0">
      <alignment horizontal="center"/>
    </xf>
    <xf numFmtId="364" fontId="145" fillId="0" borderId="60" applyNumberFormat="0" applyFont="0" applyFill="0" applyAlignment="0" applyProtection="0">
      <alignment horizontal="center"/>
    </xf>
    <xf numFmtId="364" fontId="145" fillId="0" borderId="60" applyNumberFormat="0" applyFont="0" applyFill="0" applyAlignment="0" applyProtection="0">
      <alignment horizontal="center"/>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49" fontId="146" fillId="0" borderId="69" applyNumberFormat="0" applyFont="0" applyFill="0" applyAlignment="0" applyProtection="0">
      <alignment horizontal="center" vertical="center" wrapText="1"/>
    </xf>
    <xf numFmtId="364" fontId="148" fillId="77" borderId="64"/>
    <xf numFmtId="364" fontId="148" fillId="77" borderId="64"/>
    <xf numFmtId="364" fontId="148" fillId="77" borderId="64"/>
    <xf numFmtId="364" fontId="148" fillId="77" borderId="64"/>
    <xf numFmtId="364" fontId="148" fillId="77" borderId="64"/>
    <xf numFmtId="364" fontId="148" fillId="77" borderId="64"/>
    <xf numFmtId="3" fontId="25" fillId="0" borderId="70">
      <alignment horizontal="centerContinuous"/>
    </xf>
    <xf numFmtId="3" fontId="25" fillId="0" borderId="70">
      <alignment horizontal="centerContinuous"/>
    </xf>
    <xf numFmtId="3" fontId="25" fillId="0" borderId="70">
      <alignment horizontal="centerContinuous"/>
    </xf>
    <xf numFmtId="3" fontId="25" fillId="0" borderId="70">
      <alignment horizontal="centerContinuous"/>
    </xf>
    <xf numFmtId="335" fontId="153" fillId="0" borderId="71"/>
    <xf numFmtId="335" fontId="153" fillId="0" borderId="71"/>
    <xf numFmtId="335" fontId="153" fillId="0" borderId="71"/>
    <xf numFmtId="334" fontId="152" fillId="0" borderId="62"/>
    <xf numFmtId="334" fontId="152" fillId="0" borderId="62"/>
    <xf numFmtId="334" fontId="152" fillId="0" borderId="62"/>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4" fontId="154" fillId="0" borderId="60" applyBorder="0"/>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364" fontId="159" fillId="0" borderId="69" applyNumberFormat="0" applyFont="0" applyFill="0" applyBorder="0" applyAlignment="0">
      <alignment horizontal="center"/>
    </xf>
    <xf numFmtId="0" fontId="23" fillId="0" borderId="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7" fillId="80" borderId="67" applyNumberFormat="0" applyAlignment="0" applyProtection="0"/>
    <xf numFmtId="364" fontId="7" fillId="80" borderId="67" applyNumberFormat="0" applyAlignment="0" applyProtection="0"/>
    <xf numFmtId="364" fontId="7" fillId="80"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70" borderId="67" applyNumberFormat="0" applyFon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8" fillId="17" borderId="67"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9" borderId="25" applyNumberFormat="0" applyAlignment="0" applyProtection="0"/>
    <xf numFmtId="364" fontId="113" fillId="9" borderId="25" applyNumberFormat="0" applyAlignment="0" applyProtection="0"/>
    <xf numFmtId="364" fontId="113" fillId="9"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3"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364" fontId="113" fillId="62" borderId="25" applyNumberFormat="0" applyAlignment="0" applyProtection="0"/>
    <xf numFmtId="4" fontId="8" fillId="0" borderId="69">
      <alignment wrapText="1"/>
    </xf>
    <xf numFmtId="4" fontId="8" fillId="0" borderId="69">
      <alignment wrapText="1"/>
    </xf>
    <xf numFmtId="4" fontId="8" fillId="0" borderId="69">
      <alignment wrapText="1"/>
    </xf>
    <xf numFmtId="4" fontId="8" fillId="0" borderId="69">
      <alignment wrapText="1"/>
    </xf>
    <xf numFmtId="2" fontId="12" fillId="0" borderId="69"/>
    <xf numFmtId="2" fontId="12" fillId="0" borderId="69"/>
    <xf numFmtId="2" fontId="12" fillId="0" borderId="69"/>
    <xf numFmtId="2" fontId="12" fillId="0" borderId="69"/>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364" fontId="172" fillId="0" borderId="55" applyNumberFormat="0">
      <alignment horizontal="center"/>
    </xf>
    <xf numFmtId="4" fontId="173" fillId="79" borderId="40" applyNumberFormat="0" applyProtection="0">
      <alignment vertical="center"/>
    </xf>
    <xf numFmtId="4" fontId="173" fillId="79" borderId="40" applyNumberFormat="0" applyProtection="0">
      <alignment vertical="center"/>
    </xf>
    <xf numFmtId="4" fontId="173" fillId="79" borderId="40" applyNumberFormat="0" applyProtection="0">
      <alignment vertical="center"/>
    </xf>
    <xf numFmtId="4" fontId="173" fillId="79" borderId="40" applyNumberFormat="0" applyProtection="0">
      <alignment vertical="center"/>
    </xf>
    <xf numFmtId="4" fontId="173" fillId="79" borderId="40" applyNumberFormat="0" applyProtection="0">
      <alignment vertical="center"/>
    </xf>
    <xf numFmtId="4" fontId="173"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4" fillId="79" borderId="40" applyNumberFormat="0" applyProtection="0">
      <alignment vertical="center"/>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79" borderId="40" applyNumberFormat="0" applyProtection="0">
      <alignment horizontal="left" vertical="center" indent="1"/>
    </xf>
    <xf numFmtId="4" fontId="175" fillId="53" borderId="40" applyNumberFormat="0" applyProtection="0">
      <alignment horizontal="right" vertical="center"/>
    </xf>
    <xf numFmtId="4" fontId="175" fillId="53" borderId="40" applyNumberFormat="0" applyProtection="0">
      <alignment horizontal="right" vertical="center"/>
    </xf>
    <xf numFmtId="4" fontId="175" fillId="53" borderId="40" applyNumberFormat="0" applyProtection="0">
      <alignment horizontal="right" vertical="center"/>
    </xf>
    <xf numFmtId="4" fontId="175" fillId="53" borderId="40" applyNumberFormat="0" applyProtection="0">
      <alignment horizontal="right" vertical="center"/>
    </xf>
    <xf numFmtId="4" fontId="175" fillId="53" borderId="40" applyNumberFormat="0" applyProtection="0">
      <alignment horizontal="right" vertical="center"/>
    </xf>
    <xf numFmtId="4" fontId="175" fillId="53"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15"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28"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4"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3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22"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3"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56"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5" fillId="84" borderId="40" applyNumberFormat="0" applyProtection="0">
      <alignment horizontal="right" vertical="center"/>
    </xf>
    <xf numFmtId="4" fontId="175" fillId="24" borderId="40" applyNumberFormat="0" applyProtection="0">
      <alignment horizontal="right" vertical="center"/>
    </xf>
    <xf numFmtId="4" fontId="175" fillId="24" borderId="40" applyNumberFormat="0" applyProtection="0">
      <alignment horizontal="right" vertical="center"/>
    </xf>
    <xf numFmtId="4" fontId="175" fillId="24" borderId="40" applyNumberFormat="0" applyProtection="0">
      <alignment horizontal="right" vertical="center"/>
    </xf>
    <xf numFmtId="4" fontId="175" fillId="24" borderId="40" applyNumberFormat="0" applyProtection="0">
      <alignment horizontal="right" vertical="center"/>
    </xf>
    <xf numFmtId="4" fontId="175" fillId="24" borderId="40" applyNumberFormat="0" applyProtection="0">
      <alignment horizontal="right" vertical="center"/>
    </xf>
    <xf numFmtId="4" fontId="175" fillId="24" borderId="40" applyNumberFormat="0" applyProtection="0">
      <alignment horizontal="right" vertical="center"/>
    </xf>
    <xf numFmtId="4" fontId="175" fillId="5" borderId="40" applyNumberFormat="0" applyProtection="0">
      <alignment vertical="center"/>
    </xf>
    <xf numFmtId="4" fontId="175" fillId="5" borderId="40" applyNumberFormat="0" applyProtection="0">
      <alignment vertical="center"/>
    </xf>
    <xf numFmtId="4" fontId="175" fillId="5" borderId="40" applyNumberFormat="0" applyProtection="0">
      <alignment vertical="center"/>
    </xf>
    <xf numFmtId="4" fontId="175" fillId="5" borderId="40" applyNumberFormat="0" applyProtection="0">
      <alignment vertical="center"/>
    </xf>
    <xf numFmtId="4" fontId="175" fillId="5" borderId="40" applyNumberFormat="0" applyProtection="0">
      <alignment vertical="center"/>
    </xf>
    <xf numFmtId="4" fontId="175"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6" fillId="5" borderId="40" applyNumberFormat="0" applyProtection="0">
      <alignment vertical="center"/>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3" fillId="24" borderId="42" applyNumberFormat="0" applyProtection="0">
      <alignment horizontal="left" vertical="center" indent="1"/>
    </xf>
    <xf numFmtId="4" fontId="175" fillId="5" borderId="40" applyNumberFormat="0" applyProtection="0">
      <alignment horizontal="right" vertical="center"/>
    </xf>
    <xf numFmtId="4" fontId="175" fillId="5" borderId="40" applyNumberFormat="0" applyProtection="0">
      <alignment horizontal="right" vertical="center"/>
    </xf>
    <xf numFmtId="4" fontId="175" fillId="5" borderId="40" applyNumberFormat="0" applyProtection="0">
      <alignment horizontal="right" vertical="center"/>
    </xf>
    <xf numFmtId="4" fontId="175" fillId="5" borderId="40" applyNumberFormat="0" applyProtection="0">
      <alignment horizontal="right" vertical="center"/>
    </xf>
    <xf numFmtId="4" fontId="175" fillId="5" borderId="40" applyNumberFormat="0" applyProtection="0">
      <alignment horizontal="right" vertical="center"/>
    </xf>
    <xf numFmtId="4" fontId="175"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3" fillId="24" borderId="40"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7" fillId="74" borderId="42" applyNumberFormat="0" applyProtection="0">
      <alignment horizontal="left" vertical="center" indent="1"/>
    </xf>
    <xf numFmtId="4" fontId="178" fillId="5" borderId="40" applyNumberFormat="0" applyProtection="0">
      <alignment horizontal="right" vertical="center"/>
    </xf>
    <xf numFmtId="4" fontId="178" fillId="5" borderId="40" applyNumberFormat="0" applyProtection="0">
      <alignment horizontal="right" vertical="center"/>
    </xf>
    <xf numFmtId="4" fontId="178" fillId="5" borderId="40" applyNumberFormat="0" applyProtection="0">
      <alignment horizontal="right" vertical="center"/>
    </xf>
    <xf numFmtId="4" fontId="178" fillId="5" borderId="40" applyNumberFormat="0" applyProtection="0">
      <alignment horizontal="right" vertical="center"/>
    </xf>
    <xf numFmtId="4" fontId="178" fillId="5" borderId="40" applyNumberFormat="0" applyProtection="0">
      <alignment horizontal="right" vertical="center"/>
    </xf>
    <xf numFmtId="4" fontId="178" fillId="5" borderId="40" applyNumberFormat="0" applyProtection="0">
      <alignment horizontal="right" vertic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64" fontId="169" fillId="1" borderId="70" applyNumberFormat="0" applyFont="0" applyAlignment="0">
      <alignment horizont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8" fontId="108" fillId="0" borderId="73">
      <alignment horizontal="right" vertical="center"/>
    </xf>
    <xf numFmtId="348" fontId="108" fillId="0" borderId="73">
      <alignment horizontal="right" vertical="center"/>
    </xf>
    <xf numFmtId="348" fontId="108" fillId="0" borderId="73">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1" fontId="188" fillId="0" borderId="72">
      <alignment horizontal="right" vertical="center"/>
    </xf>
    <xf numFmtId="352" fontId="14" fillId="0" borderId="73">
      <alignment horizontal="right" vertical="center"/>
    </xf>
    <xf numFmtId="352" fontId="14" fillId="0" borderId="73">
      <alignment horizontal="right" vertical="center"/>
    </xf>
    <xf numFmtId="352" fontId="14" fillId="0" borderId="73">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353" fontId="91"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50" fontId="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54" fontId="152" fillId="0" borderId="73">
      <alignment horizontal="right" vertical="center"/>
    </xf>
    <xf numFmtId="354" fontId="152" fillId="0" borderId="73">
      <alignment horizontal="right" vertical="center"/>
    </xf>
    <xf numFmtId="354" fontId="152" fillId="0" borderId="73">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8" fontId="108" fillId="0" borderId="73">
      <alignment horizontal="right" vertical="center"/>
    </xf>
    <xf numFmtId="348" fontId="108" fillId="0" borderId="73">
      <alignment horizontal="right" vertical="center"/>
    </xf>
    <xf numFmtId="348" fontId="108" fillId="0" borderId="73">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8" fontId="108" fillId="0" borderId="73">
      <alignment horizontal="right" vertical="center"/>
    </xf>
    <xf numFmtId="348" fontId="108" fillId="0" borderId="73">
      <alignment horizontal="right" vertical="center"/>
    </xf>
    <xf numFmtId="348" fontId="108" fillId="0" borderId="73">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55"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8" fontId="108" fillId="0" borderId="73">
      <alignment horizontal="right" vertical="center"/>
    </xf>
    <xf numFmtId="348" fontId="108" fillId="0" borderId="73">
      <alignment horizontal="right" vertical="center"/>
    </xf>
    <xf numFmtId="348" fontId="108" fillId="0" borderId="73">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8" fontId="108" fillId="0" borderId="74">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47" fontId="10"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49" fontId="14" fillId="0" borderId="72">
      <alignment horizontal="right" vertical="center"/>
    </xf>
    <xf numFmtId="349" fontId="14" fillId="0" borderId="72">
      <alignment horizontal="right" vertical="center"/>
    </xf>
    <xf numFmtId="349" fontId="14"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304"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255" fontId="108"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172" fontId="152" fillId="0" borderId="72">
      <alignment horizontal="right" vertical="center"/>
    </xf>
    <xf numFmtId="364" fontId="111" fillId="0" borderId="75"/>
    <xf numFmtId="364" fontId="111" fillId="0" borderId="75"/>
    <xf numFmtId="364" fontId="111" fillId="0" borderId="75"/>
    <xf numFmtId="364" fontId="111" fillId="0" borderId="75"/>
    <xf numFmtId="364" fontId="111" fillId="0" borderId="75"/>
    <xf numFmtId="364" fontId="111" fillId="0" borderId="75"/>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3" fontId="189" fillId="65" borderId="69" applyFill="0" applyAlignment="0" applyProtection="0">
      <alignment horizontal="justify" vertic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185" fontId="108" fillId="0" borderId="72">
      <alignment horizontal="center"/>
    </xf>
    <xf numFmtId="364" fontId="93" fillId="63" borderId="76" applyNumberFormat="0" applyAlignment="0" applyProtection="0"/>
    <xf numFmtId="364" fontId="93" fillId="63" borderId="76" applyNumberFormat="0" applyAlignment="0" applyProtection="0"/>
    <xf numFmtId="364" fontId="93" fillId="63" borderId="76" applyNumberFormat="0" applyAlignment="0" applyProtection="0"/>
    <xf numFmtId="364" fontId="122" fillId="0" borderId="77" applyNumberFormat="0" applyFill="0" applyAlignment="0" applyProtection="0"/>
    <xf numFmtId="364" fontId="122" fillId="0" borderId="77" applyNumberFormat="0" applyFill="0" applyAlignment="0" applyProtection="0"/>
    <xf numFmtId="364" fontId="122" fillId="0" borderId="77" applyNumberFormat="0" applyFill="0" applyAlignment="0" applyProtection="0"/>
    <xf numFmtId="364" fontId="122" fillId="0" borderId="77" applyNumberFormat="0" applyFill="0" applyAlignment="0" applyProtection="0"/>
    <xf numFmtId="364" fontId="122" fillId="0" borderId="77" applyNumberFormat="0" applyFill="0" applyAlignment="0" applyProtection="0"/>
    <xf numFmtId="364" fontId="122" fillId="0" borderId="77" applyNumberFormat="0" applyFill="0" applyAlignment="0" applyProtection="0"/>
    <xf numFmtId="364" fontId="148" fillId="0" borderId="75"/>
    <xf numFmtId="364" fontId="148" fillId="0" borderId="75"/>
    <xf numFmtId="364" fontId="148" fillId="0" borderId="75"/>
    <xf numFmtId="364" fontId="148" fillId="0" borderId="75"/>
    <xf numFmtId="364" fontId="148" fillId="0" borderId="75"/>
    <xf numFmtId="364" fontId="148" fillId="0" borderId="75"/>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180" fontId="108" fillId="0" borderId="69"/>
    <xf numFmtId="5" fontId="201" fillId="88" borderId="78">
      <alignment vertical="top"/>
    </xf>
    <xf numFmtId="5" fontId="201" fillId="88" borderId="78">
      <alignment vertical="top"/>
    </xf>
    <xf numFmtId="5" fontId="201" fillId="88" borderId="78">
      <alignment vertical="top"/>
    </xf>
    <xf numFmtId="5" fontId="201" fillId="88" borderId="78">
      <alignment vertical="top"/>
    </xf>
    <xf numFmtId="164" fontId="201" fillId="88" borderId="78">
      <alignment vertical="top"/>
    </xf>
    <xf numFmtId="164" fontId="201" fillId="88" borderId="78">
      <alignment vertical="top"/>
    </xf>
    <xf numFmtId="164" fontId="201" fillId="88" borderId="78">
      <alignment vertical="top"/>
    </xf>
    <xf numFmtId="164" fontId="201" fillId="88" borderId="78">
      <alignment vertical="top"/>
    </xf>
    <xf numFmtId="364" fontId="202" fillId="89" borderId="69">
      <alignment horizontal="left" vertical="center"/>
    </xf>
    <xf numFmtId="364" fontId="202" fillId="89" borderId="69">
      <alignment horizontal="left" vertical="center"/>
    </xf>
    <xf numFmtId="364" fontId="202" fillId="89" borderId="69">
      <alignment horizontal="left" vertical="center"/>
    </xf>
    <xf numFmtId="364" fontId="202" fillId="89" borderId="69">
      <alignment horizontal="left" vertical="center"/>
    </xf>
    <xf numFmtId="364" fontId="202" fillId="89" borderId="69">
      <alignment horizontal="left" vertical="center"/>
    </xf>
    <xf numFmtId="364" fontId="202" fillId="89" borderId="69">
      <alignment horizontal="left" vertical="center"/>
    </xf>
    <xf numFmtId="364" fontId="202" fillId="89" borderId="69">
      <alignment horizontal="left" vertical="center"/>
    </xf>
    <xf numFmtId="364" fontId="202" fillId="89" borderId="69">
      <alignment horizontal="left" vertical="center"/>
    </xf>
    <xf numFmtId="165" fontId="203" fillId="90" borderId="78"/>
    <xf numFmtId="165" fontId="203" fillId="90" borderId="78"/>
    <xf numFmtId="165" fontId="203" fillId="90" borderId="78"/>
    <xf numFmtId="165" fontId="203" fillId="90" borderId="78"/>
    <xf numFmtId="165" fontId="203" fillId="90" borderId="78"/>
    <xf numFmtId="165" fontId="203" fillId="90" borderId="78"/>
    <xf numFmtId="165" fontId="203" fillId="90" borderId="78"/>
    <xf numFmtId="165" fontId="203" fillId="90" borderId="78"/>
    <xf numFmtId="164" fontId="137" fillId="0" borderId="78">
      <alignment horizontal="left" vertical="top"/>
    </xf>
    <xf numFmtId="164" fontId="137" fillId="0" borderId="78">
      <alignment horizontal="left" vertical="top"/>
    </xf>
    <xf numFmtId="164" fontId="137" fillId="0" borderId="78">
      <alignment horizontal="left" vertical="top"/>
    </xf>
    <xf numFmtId="164" fontId="137" fillId="0" borderId="78">
      <alignment horizontal="left" vertical="top"/>
    </xf>
    <xf numFmtId="164" fontId="137" fillId="0" borderId="78">
      <alignment horizontal="left" vertical="top"/>
    </xf>
    <xf numFmtId="164" fontId="137" fillId="0" borderId="78">
      <alignment horizontal="left" vertical="top"/>
    </xf>
    <xf numFmtId="164" fontId="137" fillId="0" borderId="78">
      <alignment horizontal="left" vertical="top"/>
    </xf>
    <xf numFmtId="164" fontId="137" fillId="0" borderId="78">
      <alignment horizontal="left" vertical="top"/>
    </xf>
    <xf numFmtId="364" fontId="17" fillId="70" borderId="79" applyNumberFormat="0" applyFont="0" applyAlignment="0" applyProtection="0">
      <alignment vertical="center"/>
    </xf>
    <xf numFmtId="364" fontId="17" fillId="70" borderId="79" applyNumberFormat="0" applyFont="0" applyAlignment="0" applyProtection="0">
      <alignment vertical="center"/>
    </xf>
    <xf numFmtId="364" fontId="17" fillId="70" borderId="79" applyNumberFormat="0" applyFont="0" applyAlignment="0" applyProtection="0">
      <alignment vertical="center"/>
    </xf>
    <xf numFmtId="364" fontId="221" fillId="23" borderId="76" applyNumberFormat="0" applyAlignment="0" applyProtection="0">
      <alignment vertical="center"/>
    </xf>
    <xf numFmtId="364" fontId="221" fillId="23" borderId="76" applyNumberFormat="0" applyAlignment="0" applyProtection="0">
      <alignment vertical="center"/>
    </xf>
    <xf numFmtId="364" fontId="221" fillId="23" borderId="76" applyNumberFormat="0" applyAlignment="0" applyProtection="0">
      <alignment vertical="center"/>
    </xf>
    <xf numFmtId="364" fontId="222" fillId="63" borderId="80" applyNumberFormat="0" applyAlignment="0" applyProtection="0">
      <alignment vertical="center"/>
    </xf>
    <xf numFmtId="364" fontId="222" fillId="63" borderId="80" applyNumberFormat="0" applyAlignment="0" applyProtection="0">
      <alignment vertical="center"/>
    </xf>
    <xf numFmtId="364" fontId="222" fillId="63" borderId="80" applyNumberFormat="0" applyAlignment="0" applyProtection="0">
      <alignment vertical="center"/>
    </xf>
    <xf numFmtId="364" fontId="234" fillId="0" borderId="77" applyNumberFormat="0" applyFill="0" applyAlignment="0" applyProtection="0">
      <alignment vertical="center"/>
    </xf>
    <xf numFmtId="364" fontId="234" fillId="0" borderId="77" applyNumberFormat="0" applyFill="0" applyAlignment="0" applyProtection="0">
      <alignment vertical="center"/>
    </xf>
    <xf numFmtId="364" fontId="234" fillId="0" borderId="77" applyNumberFormat="0" applyFill="0" applyAlignment="0" applyProtection="0">
      <alignment vertical="center"/>
    </xf>
    <xf numFmtId="364" fontId="8" fillId="80" borderId="79" applyNumberFormat="0" applyAlignment="0" applyProtection="0"/>
    <xf numFmtId="364" fontId="8" fillId="80" borderId="79" applyNumberFormat="0" applyAlignment="0" applyProtection="0"/>
    <xf numFmtId="364" fontId="8" fillId="80" borderId="79" applyNumberFormat="0" applyAlignment="0" applyProtection="0"/>
    <xf numFmtId="364" fontId="8" fillId="80" borderId="79" applyNumberFormat="0" applyFont="0" applyAlignment="0" applyProtection="0">
      <alignment vertical="center"/>
    </xf>
    <xf numFmtId="364" fontId="8" fillId="80" borderId="79" applyNumberFormat="0" applyFont="0" applyAlignment="0" applyProtection="0">
      <alignment vertical="center"/>
    </xf>
    <xf numFmtId="364" fontId="8" fillId="80" borderId="79" applyNumberFormat="0" applyFont="0" applyAlignment="0" applyProtection="0">
      <alignment vertical="center"/>
    </xf>
    <xf numFmtId="364" fontId="241" fillId="63" borderId="76" applyNumberFormat="0" applyAlignment="0" applyProtection="0">
      <alignment vertical="center"/>
    </xf>
    <xf numFmtId="364" fontId="241" fillId="63" borderId="76" applyNumberFormat="0" applyAlignment="0" applyProtection="0">
      <alignment vertical="center"/>
    </xf>
    <xf numFmtId="364" fontId="241" fillId="63" borderId="76" applyNumberFormat="0" applyAlignment="0" applyProtection="0">
      <alignment vertical="center"/>
    </xf>
    <xf numFmtId="364" fontId="245" fillId="9" borderId="76" applyNumberFormat="0" applyAlignment="0" applyProtection="0">
      <alignment vertical="center"/>
    </xf>
    <xf numFmtId="364" fontId="245" fillId="9" borderId="76" applyNumberFormat="0" applyAlignment="0" applyProtection="0">
      <alignment vertical="center"/>
    </xf>
    <xf numFmtId="364" fontId="245" fillId="9" borderId="76" applyNumberFormat="0" applyAlignment="0" applyProtection="0">
      <alignment vertical="center"/>
    </xf>
    <xf numFmtId="364" fontId="246" fillId="22" borderId="76" applyNumberFormat="0" applyAlignment="0" applyProtection="0">
      <alignment vertical="center"/>
    </xf>
    <xf numFmtId="364" fontId="246" fillId="22" borderId="76" applyNumberFormat="0" applyAlignment="0" applyProtection="0">
      <alignment vertical="center"/>
    </xf>
    <xf numFmtId="364" fontId="246" fillId="22" borderId="76" applyNumberFormat="0" applyAlignment="0" applyProtection="0">
      <alignment vertical="center"/>
    </xf>
    <xf numFmtId="364" fontId="247" fillId="9" borderId="80" applyNumberFormat="0" applyAlignment="0" applyProtection="0">
      <alignment vertical="center"/>
    </xf>
    <xf numFmtId="364" fontId="247" fillId="9" borderId="80" applyNumberFormat="0" applyAlignment="0" applyProtection="0">
      <alignment vertical="center"/>
    </xf>
    <xf numFmtId="364" fontId="247" fillId="9" borderId="80" applyNumberFormat="0" applyAlignment="0" applyProtection="0">
      <alignment vertical="center"/>
    </xf>
    <xf numFmtId="364" fontId="250" fillId="0" borderId="77" applyNumberFormat="0" applyFill="0" applyAlignment="0" applyProtection="0">
      <alignment vertical="center"/>
    </xf>
    <xf numFmtId="364" fontId="250" fillId="0" borderId="77" applyNumberFormat="0" applyFill="0" applyAlignment="0" applyProtection="0">
      <alignment vertical="center"/>
    </xf>
    <xf numFmtId="364" fontId="250" fillId="0" borderId="77" applyNumberFormat="0" applyFill="0" applyAlignment="0" applyProtection="0">
      <alignment vertical="center"/>
    </xf>
    <xf numFmtId="320" fontId="232" fillId="0" borderId="72">
      <alignment horizontal="center"/>
    </xf>
    <xf numFmtId="320" fontId="232" fillId="0" borderId="72">
      <alignment horizontal="center"/>
    </xf>
    <xf numFmtId="320" fontId="232" fillId="0" borderId="72">
      <alignment horizontal="center"/>
    </xf>
    <xf numFmtId="320" fontId="232" fillId="0" borderId="72">
      <alignment horizontal="center"/>
    </xf>
    <xf numFmtId="320" fontId="232" fillId="0" borderId="72">
      <alignment horizontal="center"/>
    </xf>
    <xf numFmtId="320" fontId="232" fillId="0" borderId="72">
      <alignment horizontal="center"/>
    </xf>
    <xf numFmtId="0" fontId="258" fillId="0" borderId="0"/>
    <xf numFmtId="0" fontId="259" fillId="0" borderId="81">
      <alignment horizontal="centerContinuous" vertical="center"/>
    </xf>
    <xf numFmtId="365" fontId="29" fillId="0" borderId="0">
      <alignment vertical="center"/>
    </xf>
    <xf numFmtId="4" fontId="29" fillId="0" borderId="0">
      <alignment vertical="center"/>
    </xf>
    <xf numFmtId="288" fontId="29" fillId="0" borderId="0">
      <alignment vertical="center"/>
    </xf>
    <xf numFmtId="0" fontId="260" fillId="0" borderId="0"/>
    <xf numFmtId="9" fontId="261" fillId="0" borderId="0" applyFont="0" applyFill="0" applyBorder="0" applyAlignment="0" applyProtection="0"/>
    <xf numFmtId="0" fontId="35" fillId="0" borderId="0"/>
    <xf numFmtId="0" fontId="35" fillId="0" borderId="0"/>
    <xf numFmtId="0" fontId="35" fillId="0" borderId="0"/>
    <xf numFmtId="0" fontId="35" fillId="0" borderId="0"/>
    <xf numFmtId="0" fontId="191" fillId="0" borderId="45"/>
    <xf numFmtId="166" fontId="10"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5" fillId="0" borderId="0"/>
    <xf numFmtId="0" fontId="35" fillId="0" borderId="0"/>
    <xf numFmtId="0" fontId="16" fillId="0" borderId="0"/>
    <xf numFmtId="179" fontId="10" fillId="0" borderId="0" applyFont="0" applyFill="0" applyBorder="0" applyAlignment="0" applyProtection="0"/>
    <xf numFmtId="0" fontId="44" fillId="0" borderId="0" applyNumberFormat="0" applyFill="0" applyBorder="0" applyAlignment="0" applyProtection="0"/>
    <xf numFmtId="166" fontId="10" fillId="0" borderId="0" applyFont="0" applyFill="0" applyBorder="0" applyAlignment="0" applyProtection="0"/>
    <xf numFmtId="0" fontId="44" fillId="0" borderId="0" applyNumberFormat="0" applyFill="0" applyBorder="0" applyAlignment="0" applyProtection="0"/>
    <xf numFmtId="0" fontId="35" fillId="0" borderId="0"/>
    <xf numFmtId="0" fontId="35"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6" fillId="0" borderId="0"/>
    <xf numFmtId="166" fontId="10" fillId="0" borderId="0" applyFont="0" applyFill="0" applyBorder="0" applyAlignment="0" applyProtection="0"/>
    <xf numFmtId="0" fontId="35" fillId="0" borderId="0"/>
    <xf numFmtId="0" fontId="35" fillId="0" borderId="0"/>
    <xf numFmtId="179"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366" fontId="10" fillId="0" borderId="0" applyFont="0" applyFill="0" applyBorder="0" applyAlignment="0" applyProtection="0"/>
    <xf numFmtId="179"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366" fontId="10"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166" fontId="10" fillId="0" borderId="0" applyFont="0" applyFill="0" applyBorder="0" applyAlignment="0" applyProtection="0"/>
    <xf numFmtId="0" fontId="46" fillId="0" borderId="0">
      <alignment vertical="top"/>
    </xf>
    <xf numFmtId="0" fontId="35" fillId="0" borderId="0"/>
    <xf numFmtId="0" fontId="35" fillId="0" borderId="0"/>
    <xf numFmtId="0" fontId="35" fillId="0" borderId="0"/>
    <xf numFmtId="0" fontId="35" fillId="0" borderId="0"/>
    <xf numFmtId="166" fontId="10" fillId="0" borderId="0" applyFont="0" applyFill="0" applyBorder="0" applyAlignment="0" applyProtection="0"/>
    <xf numFmtId="0" fontId="35" fillId="0" borderId="0"/>
    <xf numFmtId="0" fontId="35" fillId="0" borderId="0"/>
    <xf numFmtId="0" fontId="35" fillId="0" borderId="0"/>
    <xf numFmtId="166" fontId="10" fillId="0" borderId="0" applyFont="0" applyFill="0" applyBorder="0" applyAlignment="0" applyProtection="0"/>
    <xf numFmtId="0" fontId="44" fillId="0" borderId="0" applyNumberFormat="0" applyFill="0" applyBorder="0" applyAlignment="0" applyProtection="0"/>
    <xf numFmtId="166" fontId="10" fillId="0" borderId="0" applyFont="0" applyFill="0" applyBorder="0" applyAlignment="0" applyProtection="0"/>
    <xf numFmtId="366" fontId="10" fillId="0" borderId="0" applyFont="0" applyFill="0" applyBorder="0" applyAlignment="0" applyProtection="0"/>
    <xf numFmtId="0" fontId="35" fillId="0" borderId="0"/>
    <xf numFmtId="0" fontId="35" fillId="0" borderId="0"/>
    <xf numFmtId="367" fontId="262" fillId="0" borderId="0" applyFont="0" applyFill="0" applyBorder="0" applyAlignment="0" applyProtection="0"/>
    <xf numFmtId="368" fontId="262" fillId="0" borderId="0" applyFont="0" applyFill="0" applyBorder="0" applyAlignment="0" applyProtection="0"/>
    <xf numFmtId="0" fontId="263" fillId="0" borderId="0"/>
    <xf numFmtId="9" fontId="259" fillId="0" borderId="0">
      <alignment vertical="center"/>
    </xf>
    <xf numFmtId="0" fontId="259" fillId="0" borderId="0">
      <alignment vertical="center"/>
    </xf>
    <xf numFmtId="10" fontId="259" fillId="0" borderId="0">
      <alignment vertical="center"/>
    </xf>
    <xf numFmtId="0" fontId="259" fillId="0" borderId="0">
      <alignment vertical="center"/>
    </xf>
    <xf numFmtId="330" fontId="29" fillId="0" borderId="0">
      <alignment vertical="center"/>
    </xf>
    <xf numFmtId="9" fontId="264" fillId="71" borderId="0" applyFill="0" applyBorder="0" applyProtection="0">
      <alignment horizontal="right"/>
    </xf>
    <xf numFmtId="10" fontId="264" fillId="0" borderId="0" applyFill="0" applyBorder="0" applyProtection="0">
      <alignment horizontal="right"/>
    </xf>
    <xf numFmtId="0" fontId="8" fillId="0" borderId="0"/>
    <xf numFmtId="37" fontId="8" fillId="71" borderId="82" applyFill="0" applyBorder="0" applyAlignment="0" applyProtection="0"/>
    <xf numFmtId="0" fontId="14" fillId="0" borderId="0"/>
    <xf numFmtId="0" fontId="25" fillId="0" borderId="0"/>
    <xf numFmtId="0" fontId="8" fillId="0" borderId="0"/>
    <xf numFmtId="169" fontId="8" fillId="0" borderId="0" applyFont="0" applyFill="0" applyBorder="0" applyAlignment="0" applyProtection="0"/>
    <xf numFmtId="0" fontId="8" fillId="0" borderId="0"/>
    <xf numFmtId="169" fontId="8" fillId="0" borderId="0" applyFont="0" applyFill="0" applyBorder="0" applyAlignment="0" applyProtection="0"/>
    <xf numFmtId="0" fontId="7" fillId="0" borderId="0"/>
    <xf numFmtId="0" fontId="8" fillId="0" borderId="0"/>
    <xf numFmtId="175" fontId="6" fillId="0" borderId="0" applyFont="0" applyFill="0" applyBorder="0" applyAlignment="0" applyProtection="0"/>
    <xf numFmtId="0" fontId="7" fillId="0" borderId="0"/>
    <xf numFmtId="0" fontId="8" fillId="0" borderId="0"/>
    <xf numFmtId="0" fontId="8" fillId="0" borderId="0"/>
    <xf numFmtId="169" fontId="8" fillId="0" borderId="0" applyFont="0" applyFill="0" applyBorder="0" applyAlignment="0" applyProtection="0"/>
    <xf numFmtId="0" fontId="21" fillId="0" borderId="0"/>
    <xf numFmtId="0" fontId="251" fillId="0" borderId="0"/>
    <xf numFmtId="169" fontId="8" fillId="0" borderId="0" applyFont="0" applyFill="0" applyBorder="0" applyAlignment="0" applyProtection="0"/>
    <xf numFmtId="169" fontId="21" fillId="0" borderId="0" applyFont="0" applyFill="0" applyBorder="0" applyAlignment="0" applyProtection="0"/>
    <xf numFmtId="0" fontId="6" fillId="0" borderId="0"/>
    <xf numFmtId="0" fontId="8" fillId="0" borderId="0"/>
    <xf numFmtId="169" fontId="7" fillId="0" borderId="0" applyFont="0" applyFill="0" applyBorder="0" applyAlignment="0" applyProtection="0"/>
    <xf numFmtId="0" fontId="23" fillId="0" borderId="0"/>
    <xf numFmtId="0" fontId="8" fillId="0" borderId="0"/>
    <xf numFmtId="0" fontId="8" fillId="0" borderId="0" applyNumberFormat="0" applyFill="0" applyBorder="0" applyProtection="0"/>
    <xf numFmtId="0" fontId="22" fillId="0" borderId="0"/>
    <xf numFmtId="0" fontId="8" fillId="0" borderId="0"/>
    <xf numFmtId="0" fontId="8" fillId="0" borderId="0"/>
    <xf numFmtId="0" fontId="6" fillId="0" borderId="0"/>
    <xf numFmtId="0" fontId="8" fillId="0" borderId="0"/>
    <xf numFmtId="0" fontId="6" fillId="0" borderId="0"/>
    <xf numFmtId="0" fontId="8" fillId="0" borderId="0"/>
    <xf numFmtId="169" fontId="7" fillId="0" borderId="0" applyFont="0" applyFill="0" applyBorder="0" applyAlignment="0" applyProtection="0"/>
    <xf numFmtId="0" fontId="268" fillId="0" borderId="0">
      <alignment horizontal="center" vertical="center"/>
    </xf>
    <xf numFmtId="9" fontId="8" fillId="0" borderId="0" applyFont="0" applyFill="0" applyBorder="0" applyAlignment="0" applyProtection="0"/>
    <xf numFmtId="0" fontId="274" fillId="0" borderId="0"/>
    <xf numFmtId="0" fontId="275" fillId="0" borderId="0"/>
    <xf numFmtId="169" fontId="6" fillId="0" borderId="0" applyFont="0" applyFill="0" applyBorder="0" applyAlignment="0" applyProtection="0"/>
    <xf numFmtId="169" fontId="273" fillId="0" borderId="0" applyFont="0" applyFill="0" applyBorder="0" applyAlignment="0" applyProtection="0"/>
    <xf numFmtId="188" fontId="276" fillId="0" borderId="0" applyFill="0" applyBorder="0" applyAlignment="0" applyProtection="0"/>
    <xf numFmtId="0" fontId="275" fillId="0" borderId="0"/>
    <xf numFmtId="169" fontId="6" fillId="0" borderId="0" applyFont="0" applyFill="0" applyBorder="0" applyAlignment="0" applyProtection="0"/>
    <xf numFmtId="188" fontId="276" fillId="0" borderId="0" applyFill="0" applyBorder="0" applyAlignment="0" applyProtection="0"/>
    <xf numFmtId="169" fontId="166" fillId="0" borderId="0" applyFont="0" applyFill="0" applyBorder="0" applyAlignment="0" applyProtection="0"/>
    <xf numFmtId="169" fontId="8" fillId="0" borderId="0" applyFont="0" applyFill="0" applyBorder="0" applyAlignment="0" applyProtection="0"/>
    <xf numFmtId="43" fontId="270" fillId="0" borderId="0" applyFont="0" applyFill="0" applyBorder="0" applyAlignment="0" applyProtection="0"/>
    <xf numFmtId="208" fontId="276" fillId="0" borderId="0" applyFill="0" applyBorder="0" applyAlignment="0" applyProtection="0"/>
    <xf numFmtId="9" fontId="166" fillId="0" borderId="0" applyFont="0" applyFill="0" applyBorder="0" applyAlignment="0" applyProtection="0"/>
    <xf numFmtId="0" fontId="166" fillId="0" borderId="0"/>
    <xf numFmtId="0" fontId="275" fillId="0" borderId="0"/>
    <xf numFmtId="0" fontId="275" fillId="0" borderId="0"/>
    <xf numFmtId="0" fontId="5" fillId="0" borderId="0"/>
    <xf numFmtId="0" fontId="8" fillId="0" borderId="0"/>
    <xf numFmtId="0" fontId="8" fillId="0" borderId="0"/>
    <xf numFmtId="169" fontId="6" fillId="0" borderId="0" applyFont="0" applyFill="0" applyBorder="0" applyAlignment="0" applyProtection="0"/>
    <xf numFmtId="43" fontId="8" fillId="0" borderId="0" applyFont="0" applyFill="0" applyBorder="0" applyAlignment="0" applyProtection="0"/>
    <xf numFmtId="0" fontId="36" fillId="0" borderId="0"/>
    <xf numFmtId="169" fontId="36" fillId="0" borderId="0" applyFont="0" applyFill="0" applyBorder="0" applyAlignment="0" applyProtection="0"/>
    <xf numFmtId="0" fontId="6" fillId="0" borderId="0"/>
    <xf numFmtId="169" fontId="6" fillId="0" borderId="0" applyFont="0" applyFill="0" applyBorder="0" applyAlignment="0" applyProtection="0"/>
    <xf numFmtId="169" fontId="279" fillId="0" borderId="0" applyFont="0" applyFill="0" applyBorder="0" applyAlignment="0" applyProtection="0"/>
    <xf numFmtId="169" fontId="8" fillId="0" borderId="0" applyFont="0" applyFill="0" applyBorder="0" applyAlignment="0" applyProtection="0"/>
    <xf numFmtId="169" fontId="44" fillId="0" borderId="0" applyFont="0" applyFill="0" applyBorder="0" applyAlignment="0" applyProtection="0"/>
    <xf numFmtId="0" fontId="270" fillId="0" borderId="0">
      <alignment vertical="center"/>
    </xf>
    <xf numFmtId="0" fontId="280" fillId="0" borderId="0">
      <alignment vertical="center"/>
    </xf>
    <xf numFmtId="0" fontId="6" fillId="0" borderId="0"/>
    <xf numFmtId="169" fontId="6" fillId="0" borderId="0" applyFont="0" applyFill="0" applyBorder="0" applyAlignment="0" applyProtection="0"/>
    <xf numFmtId="9" fontId="8" fillId="0" borderId="0" applyFont="0" applyFill="0" applyBorder="0" applyAlignment="0" applyProtection="0"/>
    <xf numFmtId="9" fontId="279" fillId="0" borderId="0" applyFont="0" applyFill="0" applyBorder="0" applyAlignment="0" applyProtection="0"/>
    <xf numFmtId="43" fontId="8" fillId="0" borderId="0" applyFont="0" applyFill="0" applyBorder="0" applyAlignment="0" applyProtection="0"/>
    <xf numFmtId="169" fontId="6" fillId="0" borderId="0" applyFont="0" applyFill="0" applyBorder="0" applyAlignment="0" applyProtection="0"/>
    <xf numFmtId="0" fontId="268" fillId="0" borderId="0">
      <alignment horizontal="left" vertical="center" wrapText="1"/>
    </xf>
    <xf numFmtId="169" fontId="6" fillId="0" borderId="0" applyFont="0" applyFill="0" applyBorder="0" applyAlignment="0" applyProtection="0"/>
    <xf numFmtId="9" fontId="6" fillId="0" borderId="0" applyFont="0" applyFill="0" applyBorder="0" applyAlignment="0" applyProtection="0"/>
    <xf numFmtId="0" fontId="8" fillId="0" borderId="0"/>
    <xf numFmtId="43" fontId="8" fillId="0" borderId="0" applyFont="0" applyFill="0" applyBorder="0" applyAlignment="0" applyProtection="0"/>
    <xf numFmtId="169" fontId="6" fillId="0" borderId="0" applyFont="0" applyFill="0" applyBorder="0" applyAlignment="0" applyProtection="0"/>
    <xf numFmtId="43" fontId="270" fillId="0" borderId="0" applyFont="0" applyFill="0" applyBorder="0" applyAlignment="0" applyProtection="0"/>
    <xf numFmtId="0" fontId="6" fillId="0" borderId="0"/>
    <xf numFmtId="0" fontId="8" fillId="0" borderId="0"/>
    <xf numFmtId="0" fontId="8" fillId="0" borderId="0"/>
    <xf numFmtId="43" fontId="6"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169" fontId="6" fillId="0" borderId="0" applyFont="0" applyFill="0" applyBorder="0" applyAlignment="0" applyProtection="0"/>
    <xf numFmtId="265" fontId="268" fillId="0" borderId="0">
      <alignment horizontal="right" vertical="center"/>
    </xf>
    <xf numFmtId="0" fontId="6" fillId="0" borderId="0"/>
    <xf numFmtId="0" fontId="6" fillId="0" borderId="0"/>
    <xf numFmtId="0" fontId="268" fillId="0" borderId="0">
      <alignment horizontal="center" vertical="center" wrapText="1"/>
    </xf>
    <xf numFmtId="0" fontId="270" fillId="0" borderId="0">
      <alignment vertical="center"/>
    </xf>
    <xf numFmtId="9" fontId="6" fillId="0" borderId="0" applyFont="0" applyFill="0" applyBorder="0" applyAlignment="0" applyProtection="0"/>
    <xf numFmtId="9" fontId="270" fillId="0" borderId="0" applyFont="0" applyFill="0" applyBorder="0" applyAlignment="0" applyProtection="0"/>
    <xf numFmtId="43" fontId="8" fillId="0" borderId="0" applyFont="0" applyFill="0" applyBorder="0" applyAlignment="0" applyProtection="0"/>
    <xf numFmtId="0" fontId="6" fillId="0" borderId="0"/>
    <xf numFmtId="169" fontId="8" fillId="0" borderId="0" applyFont="0" applyFill="0" applyBorder="0" applyAlignment="0" applyProtection="0"/>
    <xf numFmtId="0" fontId="6" fillId="0" borderId="0"/>
    <xf numFmtId="43" fontId="8" fillId="0" borderId="0" applyFont="0" applyFill="0" applyBorder="0" applyAlignment="0" applyProtection="0"/>
    <xf numFmtId="0" fontId="6" fillId="0" borderId="0"/>
    <xf numFmtId="169" fontId="6" fillId="0" borderId="0" applyFont="0" applyFill="0" applyBorder="0" applyAlignment="0" applyProtection="0"/>
    <xf numFmtId="0" fontId="282" fillId="0" borderId="0"/>
    <xf numFmtId="16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9" fontId="6" fillId="0" borderId="0" applyFont="0" applyFill="0" applyBorder="0" applyAlignment="0" applyProtection="0"/>
    <xf numFmtId="169" fontId="166" fillId="0" borderId="0" applyFont="0" applyFill="0" applyBorder="0" applyAlignment="0" applyProtection="0"/>
    <xf numFmtId="169" fontId="8" fillId="0" borderId="0" applyFont="0" applyFill="0" applyBorder="0" applyAlignment="0" applyProtection="0"/>
    <xf numFmtId="364" fontId="8" fillId="0" borderId="0"/>
    <xf numFmtId="9" fontId="166" fillId="0" borderId="0" applyFont="0" applyFill="0" applyBorder="0" applyAlignment="0" applyProtection="0"/>
    <xf numFmtId="9" fontId="6" fillId="0" borderId="0" applyFont="0" applyFill="0" applyBorder="0" applyAlignment="0" applyProtection="0"/>
    <xf numFmtId="169" fontId="6" fillId="0" borderId="0" applyFont="0" applyFill="0" applyBorder="0" applyAlignment="0" applyProtection="0"/>
    <xf numFmtId="0" fontId="283" fillId="0" borderId="0" applyNumberFormat="0" applyFill="0" applyBorder="0" applyAlignment="0" applyProtection="0"/>
    <xf numFmtId="0" fontId="4" fillId="0" borderId="0"/>
    <xf numFmtId="169" fontId="6" fillId="0" borderId="0" applyFont="0" applyFill="0" applyBorder="0" applyAlignment="0" applyProtection="0"/>
    <xf numFmtId="9" fontId="6" fillId="0" borderId="0" applyFont="0" applyFill="0" applyBorder="0" applyAlignment="0" applyProtection="0"/>
    <xf numFmtId="0" fontId="6" fillId="0" borderId="0"/>
    <xf numFmtId="169" fontId="6" fillId="0" borderId="0" applyFont="0" applyFill="0" applyBorder="0" applyAlignment="0" applyProtection="0"/>
    <xf numFmtId="0" fontId="6" fillId="0" borderId="0"/>
    <xf numFmtId="0" fontId="6" fillId="0" borderId="0"/>
    <xf numFmtId="43" fontId="8" fillId="0" borderId="0" applyFont="0" applyFill="0" applyBorder="0" applyAlignment="0" applyProtection="0"/>
    <xf numFmtId="9" fontId="8" fillId="0" borderId="0" applyFont="0" applyFill="0" applyBorder="0" applyAlignment="0" applyProtection="0"/>
    <xf numFmtId="0" fontId="166" fillId="0" borderId="0"/>
    <xf numFmtId="0" fontId="7" fillId="0" borderId="0"/>
    <xf numFmtId="0" fontId="3" fillId="0" borderId="0"/>
    <xf numFmtId="0" fontId="36" fillId="0" borderId="0"/>
    <xf numFmtId="169" fontId="36" fillId="0" borderId="0" applyFont="0" applyFill="0" applyBorder="0" applyAlignment="0" applyProtection="0"/>
    <xf numFmtId="0" fontId="2" fillId="0" borderId="0"/>
    <xf numFmtId="0" fontId="282" fillId="0" borderId="0"/>
    <xf numFmtId="169" fontId="282" fillId="0" borderId="0" applyFont="0" applyFill="0" applyBorder="0" applyAlignment="0" applyProtection="0"/>
    <xf numFmtId="169" fontId="8" fillId="0" borderId="0" applyFont="0" applyFill="0" applyBorder="0" applyAlignment="0" applyProtection="0"/>
    <xf numFmtId="0" fontId="1" fillId="0" borderId="0"/>
    <xf numFmtId="0" fontId="25" fillId="0" borderId="0"/>
  </cellStyleXfs>
  <cellXfs count="630">
    <xf numFmtId="364" fontId="0" fillId="0" borderId="0" xfId="0"/>
    <xf numFmtId="364" fontId="266" fillId="0" borderId="0" xfId="0" applyFont="1" applyAlignment="1">
      <alignment horizontal="right" vertical="center"/>
    </xf>
    <xf numFmtId="49" fontId="270" fillId="0" borderId="0" xfId="0" applyNumberFormat="1" applyFont="1" applyAlignment="1">
      <alignment horizontal="center" vertical="center"/>
    </xf>
    <xf numFmtId="364" fontId="270" fillId="0" borderId="0" xfId="0" applyFont="1" applyAlignment="1">
      <alignment vertical="center"/>
    </xf>
    <xf numFmtId="364" fontId="266" fillId="0" borderId="83" xfId="0" applyFont="1" applyBorder="1" applyAlignment="1">
      <alignment vertical="center"/>
    </xf>
    <xf numFmtId="364" fontId="266" fillId="0" borderId="0" xfId="0" applyFont="1" applyAlignment="1">
      <alignment vertical="center"/>
    </xf>
    <xf numFmtId="364" fontId="270" fillId="0" borderId="91" xfId="0" applyFont="1" applyBorder="1" applyAlignment="1">
      <alignment horizontal="center" vertical="center"/>
    </xf>
    <xf numFmtId="364" fontId="270" fillId="0" borderId="91" xfId="0" applyFont="1" applyBorder="1" applyAlignment="1">
      <alignment vertical="center"/>
    </xf>
    <xf numFmtId="49" fontId="270" fillId="0" borderId="91" xfId="0" applyNumberFormat="1" applyFont="1" applyBorder="1" applyAlignment="1">
      <alignment horizontal="center" vertical="center"/>
    </xf>
    <xf numFmtId="364" fontId="266" fillId="94" borderId="91" xfId="0" applyFont="1" applyFill="1" applyBorder="1" applyAlignment="1">
      <alignment horizontal="center" vertical="center"/>
    </xf>
    <xf numFmtId="364" fontId="266" fillId="94" borderId="91" xfId="0" applyFont="1" applyFill="1" applyBorder="1" applyAlignment="1">
      <alignment horizontal="left" vertical="center"/>
    </xf>
    <xf numFmtId="364" fontId="270" fillId="94" borderId="91" xfId="0" applyFont="1" applyFill="1" applyBorder="1" applyAlignment="1">
      <alignment vertical="center"/>
    </xf>
    <xf numFmtId="364" fontId="270" fillId="0" borderId="91" xfId="0" applyFont="1" applyBorder="1" applyAlignment="1">
      <alignment horizontal="left" vertical="center"/>
    </xf>
    <xf numFmtId="364" fontId="266" fillId="0" borderId="91" xfId="0" applyFont="1" applyBorder="1" applyAlignment="1">
      <alignment horizontal="center" vertical="center"/>
    </xf>
    <xf numFmtId="364" fontId="266" fillId="0" borderId="91" xfId="0" applyFont="1" applyBorder="1" applyAlignment="1">
      <alignment horizontal="left" vertical="center"/>
    </xf>
    <xf numFmtId="175" fontId="270" fillId="0" borderId="83" xfId="10067" applyNumberFormat="1" applyFont="1" applyBorder="1" applyAlignment="1">
      <alignment vertical="center"/>
    </xf>
    <xf numFmtId="175" fontId="266" fillId="0" borderId="83" xfId="10067" applyNumberFormat="1" applyFont="1" applyBorder="1" applyAlignment="1">
      <alignment vertical="center"/>
    </xf>
    <xf numFmtId="364" fontId="266" fillId="94" borderId="91" xfId="0" applyFont="1" applyFill="1" applyBorder="1" applyAlignment="1">
      <alignment horizontal="left" vertical="center" wrapText="1"/>
    </xf>
    <xf numFmtId="175" fontId="270" fillId="0" borderId="0" xfId="10067" applyNumberFormat="1" applyFont="1" applyAlignment="1">
      <alignment vertical="center"/>
    </xf>
    <xf numFmtId="175" fontId="270" fillId="0" borderId="91" xfId="10067" applyNumberFormat="1" applyFont="1" applyBorder="1" applyAlignment="1">
      <alignment vertical="center"/>
    </xf>
    <xf numFmtId="175" fontId="266" fillId="94" borderId="91" xfId="10067" applyNumberFormat="1" applyFont="1" applyFill="1" applyBorder="1" applyAlignment="1">
      <alignment vertical="center"/>
    </xf>
    <xf numFmtId="49" fontId="284" fillId="0" borderId="0" xfId="0" applyNumberFormat="1" applyFont="1" applyAlignment="1">
      <alignment horizontal="left" vertical="center"/>
    </xf>
    <xf numFmtId="49" fontId="266" fillId="0" borderId="0" xfId="0" applyNumberFormat="1" applyFont="1" applyAlignment="1">
      <alignment horizontal="left" vertical="center"/>
    </xf>
    <xf numFmtId="0" fontId="267" fillId="2" borderId="97" xfId="14536" applyFont="1" applyFill="1" applyBorder="1" applyAlignment="1">
      <alignment horizontal="center" vertical="center" wrapText="1"/>
    </xf>
    <xf numFmtId="0" fontId="267" fillId="2" borderId="97" xfId="14597" applyFont="1" applyFill="1" applyBorder="1" applyAlignment="1">
      <alignment horizontal="left" vertical="center" wrapText="1"/>
    </xf>
    <xf numFmtId="49" fontId="17" fillId="2" borderId="97" xfId="14536" applyNumberFormat="1" applyFont="1" applyFill="1" applyBorder="1" applyAlignment="1">
      <alignment horizontal="center" vertical="center" wrapText="1"/>
    </xf>
    <xf numFmtId="175" fontId="17" fillId="2" borderId="97" xfId="10067" applyNumberFormat="1" applyFont="1" applyFill="1" applyBorder="1" applyAlignment="1">
      <alignment horizontal="center" vertical="center" wrapText="1"/>
    </xf>
    <xf numFmtId="0" fontId="17" fillId="2" borderId="97" xfId="14536" applyFont="1" applyFill="1" applyBorder="1" applyAlignment="1">
      <alignment horizontal="center" vertical="center" wrapText="1"/>
    </xf>
    <xf numFmtId="0" fontId="17" fillId="2" borderId="97" xfId="14597" applyFont="1" applyFill="1" applyBorder="1" applyAlignment="1">
      <alignment horizontal="left" vertical="center" wrapText="1"/>
    </xf>
    <xf numFmtId="0" fontId="266" fillId="2" borderId="0" xfId="4562" applyNumberFormat="1" applyFont="1" applyFill="1" applyBorder="1" applyAlignment="1" applyProtection="1">
      <alignment horizontal="left" vertical="center"/>
    </xf>
    <xf numFmtId="0" fontId="270" fillId="2" borderId="0" xfId="14527" applyFont="1" applyFill="1" applyAlignment="1">
      <alignment vertical="center"/>
    </xf>
    <xf numFmtId="0" fontId="270" fillId="2" borderId="0" xfId="10479" applyFont="1" applyFill="1"/>
    <xf numFmtId="0" fontId="270" fillId="2" borderId="0" xfId="10474" applyFont="1" applyFill="1" applyAlignment="1">
      <alignment vertical="center"/>
    </xf>
    <xf numFmtId="0" fontId="266" fillId="2" borderId="0" xfId="4562" applyNumberFormat="1" applyFont="1" applyFill="1" applyBorder="1" applyAlignment="1" applyProtection="1">
      <alignment horizontal="left" vertical="center" wrapText="1"/>
    </xf>
    <xf numFmtId="0" fontId="270" fillId="2" borderId="0" xfId="10474" applyFont="1" applyFill="1" applyAlignment="1">
      <alignment vertical="center" wrapText="1"/>
    </xf>
    <xf numFmtId="0" fontId="270" fillId="2" borderId="0" xfId="14527" applyFont="1" applyFill="1" applyAlignment="1">
      <alignment vertical="center" wrapText="1"/>
    </xf>
    <xf numFmtId="0" fontId="266" fillId="93" borderId="97" xfId="14536" applyFont="1" applyFill="1" applyBorder="1" applyAlignment="1">
      <alignment horizontal="center" vertical="center" wrapText="1"/>
    </xf>
    <xf numFmtId="0" fontId="267" fillId="93" borderId="97" xfId="14536" applyFont="1" applyFill="1" applyBorder="1" applyAlignment="1">
      <alignment vertical="center" wrapText="1"/>
    </xf>
    <xf numFmtId="0" fontId="270" fillId="93" borderId="97" xfId="10479" applyFont="1" applyFill="1" applyBorder="1"/>
    <xf numFmtId="0" fontId="270" fillId="2" borderId="97" xfId="0" applyNumberFormat="1" applyFont="1" applyFill="1" applyBorder="1" applyAlignment="1">
      <alignment horizontal="center" vertical="center" wrapText="1"/>
    </xf>
    <xf numFmtId="364" fontId="17" fillId="2" borderId="97" xfId="0" applyFont="1" applyFill="1" applyBorder="1" applyAlignment="1">
      <alignment horizontal="left" vertical="center" wrapText="1"/>
    </xf>
    <xf numFmtId="2" fontId="17" fillId="2" borderId="97" xfId="0" applyNumberFormat="1" applyFont="1" applyFill="1" applyBorder="1" applyAlignment="1">
      <alignment horizontal="center" vertical="center" wrapText="1"/>
    </xf>
    <xf numFmtId="175" fontId="17" fillId="2" borderId="97" xfId="10067" applyNumberFormat="1" applyFont="1" applyFill="1" applyBorder="1" applyAlignment="1">
      <alignment horizontal="center" vertical="center"/>
    </xf>
    <xf numFmtId="0" fontId="270" fillId="2" borderId="97" xfId="10479" applyFont="1" applyFill="1" applyBorder="1"/>
    <xf numFmtId="364" fontId="267" fillId="2" borderId="97" xfId="0" applyFont="1" applyFill="1" applyBorder="1" applyAlignment="1">
      <alignment horizontal="left" vertical="center" wrapText="1"/>
    </xf>
    <xf numFmtId="0" fontId="17" fillId="2" borderId="97" xfId="14536" applyFont="1" applyFill="1" applyBorder="1" applyAlignment="1">
      <alignment horizontal="left" vertical="center" wrapText="1"/>
    </xf>
    <xf numFmtId="0" fontId="270" fillId="2" borderId="97" xfId="6510" applyNumberFormat="1" applyFont="1" applyFill="1" applyBorder="1" applyAlignment="1">
      <alignment horizontal="center" vertical="center" wrapText="1"/>
    </xf>
    <xf numFmtId="364" fontId="17" fillId="2" borderId="97" xfId="6510" applyFont="1" applyFill="1" applyBorder="1" applyAlignment="1">
      <alignment horizontal="left" vertical="center" wrapText="1"/>
    </xf>
    <xf numFmtId="364" fontId="17" fillId="2" borderId="97" xfId="6510" applyFont="1" applyFill="1" applyBorder="1" applyAlignment="1">
      <alignment horizontal="center" vertical="center" wrapText="1"/>
    </xf>
    <xf numFmtId="49" fontId="17" fillId="2" borderId="97" xfId="14549" applyNumberFormat="1" applyFont="1" applyFill="1" applyBorder="1" applyAlignment="1">
      <alignment horizontal="center" vertical="center" wrapText="1"/>
    </xf>
    <xf numFmtId="0" fontId="270" fillId="2" borderId="97" xfId="14536" applyFont="1" applyFill="1" applyBorder="1" applyAlignment="1">
      <alignment horizontal="center" vertical="center" wrapText="1"/>
    </xf>
    <xf numFmtId="0" fontId="17" fillId="2" borderId="97" xfId="14536" applyFont="1" applyFill="1" applyBorder="1" applyAlignment="1">
      <alignment vertical="center" wrapText="1"/>
    </xf>
    <xf numFmtId="2" fontId="17" fillId="2" borderId="97" xfId="14536" applyNumberFormat="1" applyFont="1" applyFill="1" applyBorder="1" applyAlignment="1">
      <alignment horizontal="center" vertical="center" wrapText="1"/>
    </xf>
    <xf numFmtId="364" fontId="17" fillId="2" borderId="97" xfId="6479" applyFont="1" applyFill="1" applyBorder="1" applyAlignment="1">
      <alignment horizontal="left" vertical="center" wrapText="1"/>
    </xf>
    <xf numFmtId="364" fontId="17" fillId="2" borderId="97" xfId="6479" applyFont="1" applyFill="1" applyBorder="1" applyAlignment="1">
      <alignment horizontal="center" vertical="center" wrapText="1"/>
    </xf>
    <xf numFmtId="0" fontId="17" fillId="2" borderId="97" xfId="14545" quotePrefix="1" applyFont="1" applyFill="1" applyBorder="1" applyAlignment="1">
      <alignment horizontal="left" vertical="center" wrapText="1"/>
    </xf>
    <xf numFmtId="0" fontId="17" fillId="2" borderId="97" xfId="14545" applyFont="1" applyFill="1" applyBorder="1" applyAlignment="1">
      <alignment horizontal="center" vertical="center" wrapText="1"/>
    </xf>
    <xf numFmtId="0" fontId="266" fillId="2" borderId="97" xfId="14536" applyFont="1" applyFill="1" applyBorder="1" applyAlignment="1">
      <alignment horizontal="center" vertical="center" wrapText="1"/>
    </xf>
    <xf numFmtId="364" fontId="267" fillId="2" borderId="97" xfId="0" applyFont="1" applyFill="1" applyBorder="1" applyAlignment="1">
      <alignment horizontal="center" vertical="center" wrapText="1"/>
    </xf>
    <xf numFmtId="175" fontId="266" fillId="2" borderId="97" xfId="4459" applyNumberFormat="1" applyFont="1" applyFill="1" applyBorder="1" applyAlignment="1">
      <alignment horizontal="right" vertical="center" wrapText="1"/>
    </xf>
    <xf numFmtId="3" fontId="270" fillId="2" borderId="97" xfId="10479" applyNumberFormat="1" applyFont="1" applyFill="1" applyBorder="1" applyAlignment="1">
      <alignment vertical="center" wrapText="1"/>
    </xf>
    <xf numFmtId="3" fontId="269" fillId="2" borderId="97" xfId="14547" applyNumberFormat="1" applyFont="1" applyFill="1" applyBorder="1" applyAlignment="1">
      <alignment vertical="center" wrapText="1"/>
    </xf>
    <xf numFmtId="1" fontId="270" fillId="2" borderId="97" xfId="14527" applyNumberFormat="1" applyFont="1" applyFill="1" applyBorder="1" applyAlignment="1">
      <alignment vertical="center" wrapText="1"/>
    </xf>
    <xf numFmtId="3" fontId="270" fillId="2" borderId="97" xfId="14547" applyNumberFormat="1" applyFont="1" applyFill="1" applyBorder="1" applyAlignment="1">
      <alignment vertical="center" wrapText="1"/>
    </xf>
    <xf numFmtId="3" fontId="270" fillId="2" borderId="97" xfId="10479" applyNumberFormat="1" applyFont="1" applyFill="1" applyBorder="1" applyAlignment="1">
      <alignment horizontal="right" vertical="center" wrapText="1"/>
    </xf>
    <xf numFmtId="3" fontId="270" fillId="2" borderId="97" xfId="14547" applyNumberFormat="1" applyFont="1" applyFill="1" applyBorder="1" applyAlignment="1">
      <alignment horizontal="right" vertical="center" wrapText="1"/>
    </xf>
    <xf numFmtId="175" fontId="270" fillId="2" borderId="97" xfId="4459" applyNumberFormat="1" applyFont="1" applyFill="1" applyBorder="1" applyAlignment="1">
      <alignment vertical="center" wrapText="1"/>
    </xf>
    <xf numFmtId="364" fontId="270" fillId="2" borderId="97" xfId="6510" applyFont="1" applyFill="1" applyBorder="1" applyAlignment="1">
      <alignment horizontal="center" vertical="center" wrapText="1"/>
    </xf>
    <xf numFmtId="2" fontId="270" fillId="2" borderId="97" xfId="0" applyNumberFormat="1" applyFont="1" applyFill="1" applyBorder="1" applyAlignment="1">
      <alignment horizontal="center" vertical="center" wrapText="1"/>
    </xf>
    <xf numFmtId="0" fontId="270" fillId="2" borderId="97" xfId="14545" applyFont="1" applyFill="1" applyBorder="1" applyAlignment="1">
      <alignment horizontal="center" vertical="center" wrapText="1"/>
    </xf>
    <xf numFmtId="0" fontId="267" fillId="2" borderId="97" xfId="14536" applyFont="1" applyFill="1" applyBorder="1" applyAlignment="1">
      <alignment horizontal="left" vertical="center" wrapText="1"/>
    </xf>
    <xf numFmtId="175" fontId="270" fillId="2" borderId="97" xfId="14537" applyNumberFormat="1" applyFont="1" applyFill="1" applyBorder="1" applyAlignment="1">
      <alignment horizontal="right" vertical="center" wrapText="1"/>
    </xf>
    <xf numFmtId="175" fontId="269" fillId="2" borderId="97" xfId="4459" applyNumberFormat="1" applyFont="1" applyFill="1" applyBorder="1" applyAlignment="1">
      <alignment vertical="center" wrapText="1"/>
    </xf>
    <xf numFmtId="1" fontId="266" fillId="2" borderId="97" xfId="14530" applyNumberFormat="1" applyFont="1" applyFill="1" applyBorder="1" applyAlignment="1">
      <alignment horizontal="center" vertical="center" wrapText="1"/>
    </xf>
    <xf numFmtId="1" fontId="270" fillId="2" borderId="97" xfId="14530" applyNumberFormat="1" applyFont="1" applyFill="1" applyBorder="1" applyAlignment="1">
      <alignment horizontal="center" vertical="center" wrapText="1"/>
    </xf>
    <xf numFmtId="0" fontId="266" fillId="2" borderId="97" xfId="14538" applyFont="1" applyFill="1" applyBorder="1" applyAlignment="1">
      <alignment horizontal="center" vertical="center" wrapText="1"/>
    </xf>
    <xf numFmtId="0" fontId="270" fillId="2" borderId="97" xfId="10479" applyFont="1" applyFill="1" applyBorder="1" applyAlignment="1">
      <alignment horizontal="center" vertical="center" wrapText="1"/>
    </xf>
    <xf numFmtId="0" fontId="270" fillId="2" borderId="97" xfId="10479" applyFont="1" applyFill="1" applyBorder="1" applyAlignment="1">
      <alignment vertical="center" wrapText="1"/>
    </xf>
    <xf numFmtId="175" fontId="270" fillId="2" borderId="97" xfId="10067" applyNumberFormat="1" applyFont="1" applyFill="1" applyBorder="1" applyAlignment="1">
      <alignment horizontal="center" vertical="center"/>
    </xf>
    <xf numFmtId="0" fontId="266" fillId="2" borderId="97" xfId="10479" applyFont="1" applyFill="1" applyBorder="1" applyAlignment="1">
      <alignment horizontal="center" vertical="center" wrapText="1"/>
    </xf>
    <xf numFmtId="0" fontId="266" fillId="2" borderId="97" xfId="10479" applyFont="1" applyFill="1" applyBorder="1" applyAlignment="1">
      <alignment vertical="center" wrapText="1"/>
    </xf>
    <xf numFmtId="1" fontId="270" fillId="95" borderId="97" xfId="14530" applyNumberFormat="1" applyFont="1" applyFill="1" applyBorder="1" applyAlignment="1">
      <alignment horizontal="center" vertical="center" wrapText="1"/>
    </xf>
    <xf numFmtId="0" fontId="266" fillId="2" borderId="97" xfId="14647" applyFont="1" applyFill="1" applyBorder="1" applyAlignment="1">
      <alignment horizontal="center" vertical="center" wrapText="1"/>
    </xf>
    <xf numFmtId="1" fontId="270" fillId="2" borderId="97" xfId="6510" applyNumberFormat="1" applyFont="1" applyFill="1" applyBorder="1" applyAlignment="1">
      <alignment horizontal="center" vertical="center" wrapText="1"/>
    </xf>
    <xf numFmtId="175" fontId="270" fillId="2" borderId="97" xfId="2" applyNumberFormat="1" applyFont="1" applyFill="1" applyBorder="1" applyAlignment="1">
      <alignment horizontal="left" vertical="center" wrapText="1"/>
    </xf>
    <xf numFmtId="0" fontId="266" fillId="95" borderId="97" xfId="10479" applyFont="1" applyFill="1" applyBorder="1" applyAlignment="1">
      <alignment horizontal="center" vertical="center" wrapText="1"/>
    </xf>
    <xf numFmtId="0" fontId="266" fillId="95" borderId="97" xfId="10479" applyFont="1" applyFill="1" applyBorder="1" applyAlignment="1">
      <alignment vertical="center" wrapText="1"/>
    </xf>
    <xf numFmtId="0" fontId="269" fillId="2" borderId="97" xfId="10479" applyFont="1" applyFill="1" applyBorder="1" applyAlignment="1">
      <alignment vertical="center" wrapText="1"/>
    </xf>
    <xf numFmtId="0" fontId="269" fillId="2" borderId="97" xfId="10479" applyFont="1" applyFill="1" applyBorder="1" applyAlignment="1">
      <alignment horizontal="center" vertical="center" wrapText="1"/>
    </xf>
    <xf numFmtId="175" fontId="269" fillId="2" borderId="97" xfId="10067" applyNumberFormat="1" applyFont="1" applyFill="1" applyBorder="1" applyAlignment="1">
      <alignment horizontal="center" vertical="center"/>
    </xf>
    <xf numFmtId="0" fontId="272" fillId="2" borderId="97" xfId="10479" applyFont="1" applyFill="1" applyBorder="1" applyAlignment="1">
      <alignment horizontal="center" vertical="center" wrapText="1"/>
    </xf>
    <xf numFmtId="0" fontId="272" fillId="2" borderId="97" xfId="10479" applyFont="1" applyFill="1" applyBorder="1" applyAlignment="1">
      <alignment vertical="center" wrapText="1"/>
    </xf>
    <xf numFmtId="175" fontId="266" fillId="2" borderId="0" xfId="4562" applyNumberFormat="1" applyFont="1" applyFill="1" applyBorder="1" applyAlignment="1" applyProtection="1">
      <alignment horizontal="left" vertical="center"/>
    </xf>
    <xf numFmtId="0" fontId="17" fillId="2" borderId="85" xfId="14552" applyFont="1" applyFill="1" applyBorder="1" applyAlignment="1">
      <alignment vertical="center"/>
    </xf>
    <xf numFmtId="0" fontId="17" fillId="2" borderId="85" xfId="14552" applyFont="1" applyFill="1" applyBorder="1" applyAlignment="1">
      <alignment horizontal="center" vertical="center"/>
    </xf>
    <xf numFmtId="0" fontId="17" fillId="2" borderId="0" xfId="14552" applyFont="1" applyFill="1" applyAlignment="1">
      <alignment vertical="center"/>
    </xf>
    <xf numFmtId="0" fontId="17" fillId="2" borderId="0" xfId="14552" applyFont="1" applyFill="1" applyAlignment="1">
      <alignment horizontal="center" vertical="center"/>
    </xf>
    <xf numFmtId="0" fontId="17" fillId="2" borderId="0" xfId="14552" applyFont="1" applyFill="1" applyAlignment="1">
      <alignment vertical="center" wrapText="1"/>
    </xf>
    <xf numFmtId="0" fontId="17" fillId="2" borderId="0" xfId="14552" applyFont="1" applyFill="1" applyAlignment="1">
      <alignment horizontal="center" vertical="center" wrapText="1"/>
    </xf>
    <xf numFmtId="175" fontId="270" fillId="2" borderId="0" xfId="10067" applyNumberFormat="1" applyFont="1" applyFill="1" applyAlignment="1">
      <alignment vertical="center" wrapText="1"/>
    </xf>
    <xf numFmtId="49" fontId="267" fillId="2" borderId="97" xfId="14536" applyNumberFormat="1" applyFont="1" applyFill="1" applyBorder="1" applyAlignment="1">
      <alignment vertical="center" wrapText="1"/>
    </xf>
    <xf numFmtId="49" fontId="267" fillId="2" borderId="97" xfId="14536" applyNumberFormat="1" applyFont="1" applyFill="1" applyBorder="1" applyAlignment="1">
      <alignment horizontal="center" vertical="center" wrapText="1"/>
    </xf>
    <xf numFmtId="175" fontId="267" fillId="2" borderId="97" xfId="10067" applyNumberFormat="1" applyFont="1" applyFill="1" applyBorder="1" applyAlignment="1">
      <alignment horizontal="center" vertical="center" wrapText="1"/>
    </xf>
    <xf numFmtId="49" fontId="267" fillId="2" borderId="97" xfId="14575" applyNumberFormat="1" applyFont="1" applyFill="1" applyBorder="1" applyAlignment="1">
      <alignment vertical="center" wrapText="1"/>
    </xf>
    <xf numFmtId="330" fontId="270" fillId="2" borderId="97" xfId="10479" applyNumberFormat="1" applyFont="1" applyFill="1" applyBorder="1"/>
    <xf numFmtId="49" fontId="17" fillId="2" borderId="97" xfId="14536" applyNumberFormat="1" applyFont="1" applyFill="1" applyBorder="1" applyAlignment="1">
      <alignment vertical="center" wrapText="1"/>
    </xf>
    <xf numFmtId="49" fontId="17" fillId="2" borderId="97" xfId="14575" applyNumberFormat="1" applyFont="1" applyFill="1" applyBorder="1" applyAlignment="1">
      <alignment vertical="center" wrapText="1"/>
    </xf>
    <xf numFmtId="0" fontId="17" fillId="2" borderId="97" xfId="14552" applyFont="1" applyFill="1" applyBorder="1" applyAlignment="1">
      <alignment horizontal="left" vertical="center" wrapText="1"/>
    </xf>
    <xf numFmtId="175" fontId="266" fillId="2" borderId="97" xfId="10067" applyNumberFormat="1" applyFont="1" applyFill="1" applyBorder="1" applyAlignment="1">
      <alignment vertical="center" wrapText="1"/>
    </xf>
    <xf numFmtId="0" fontId="266" fillId="2" borderId="97" xfId="10479" applyFont="1" applyFill="1" applyBorder="1" applyAlignment="1">
      <alignment vertical="center"/>
    </xf>
    <xf numFmtId="175" fontId="270" fillId="2" borderId="97" xfId="10067" applyNumberFormat="1" applyFont="1" applyFill="1" applyBorder="1" applyAlignment="1">
      <alignment vertical="center" wrapText="1"/>
    </xf>
    <xf numFmtId="0" fontId="270" fillId="2" borderId="97" xfId="10479" applyFont="1" applyFill="1" applyBorder="1" applyAlignment="1">
      <alignment vertical="center"/>
    </xf>
    <xf numFmtId="169" fontId="270" fillId="2" borderId="97" xfId="10067" applyFont="1" applyFill="1" applyBorder="1" applyAlignment="1">
      <alignment vertical="center" wrapText="1"/>
    </xf>
    <xf numFmtId="169" fontId="270" fillId="2" borderId="97" xfId="10067" applyFont="1" applyFill="1" applyBorder="1" applyAlignment="1">
      <alignment vertical="center"/>
    </xf>
    <xf numFmtId="0" fontId="270" fillId="2" borderId="0" xfId="10479" applyFont="1" applyFill="1" applyAlignment="1">
      <alignment wrapText="1"/>
    </xf>
    <xf numFmtId="0" fontId="270" fillId="93" borderId="97" xfId="10479" applyFont="1" applyFill="1" applyBorder="1" applyAlignment="1">
      <alignment wrapText="1"/>
    </xf>
    <xf numFmtId="169" fontId="266" fillId="2" borderId="97" xfId="10067" applyFont="1" applyFill="1" applyBorder="1" applyAlignment="1">
      <alignment vertical="center" wrapText="1"/>
    </xf>
    <xf numFmtId="0" fontId="270" fillId="2" borderId="97" xfId="14551" applyFont="1" applyFill="1" applyBorder="1" applyAlignment="1">
      <alignment vertical="center" wrapText="1"/>
    </xf>
    <xf numFmtId="175" fontId="270" fillId="2" borderId="97" xfId="10479" applyNumberFormat="1" applyFont="1" applyFill="1" applyBorder="1" applyAlignment="1">
      <alignment vertical="center" wrapText="1"/>
    </xf>
    <xf numFmtId="169" fontId="270" fillId="2" borderId="0" xfId="10067" applyFont="1" applyFill="1" applyAlignment="1">
      <alignment vertical="center" wrapText="1"/>
    </xf>
    <xf numFmtId="169" fontId="270" fillId="2" borderId="97" xfId="10067" applyFont="1" applyFill="1" applyBorder="1" applyAlignment="1">
      <alignment horizontal="center" vertical="center" wrapText="1"/>
    </xf>
    <xf numFmtId="169" fontId="266" fillId="2" borderId="97" xfId="10067" applyFont="1" applyFill="1" applyBorder="1" applyAlignment="1">
      <alignment horizontal="center" vertical="center" wrapText="1"/>
    </xf>
    <xf numFmtId="175" fontId="266" fillId="2" borderId="0" xfId="4562" applyNumberFormat="1" applyFont="1" applyFill="1" applyBorder="1" applyAlignment="1" applyProtection="1">
      <alignment horizontal="center" vertical="center"/>
    </xf>
    <xf numFmtId="0" fontId="265" fillId="2" borderId="86" xfId="14552" applyFont="1" applyFill="1" applyBorder="1" applyAlignment="1">
      <alignment horizontal="center" vertical="center" wrapText="1"/>
    </xf>
    <xf numFmtId="175" fontId="266" fillId="2" borderId="97" xfId="10479" applyNumberFormat="1" applyFont="1" applyFill="1" applyBorder="1" applyAlignment="1">
      <alignment vertical="center" wrapText="1"/>
    </xf>
    <xf numFmtId="0" fontId="287" fillId="2" borderId="0" xfId="14526" applyFont="1" applyFill="1" applyAlignment="1">
      <alignment horizontal="left" vertical="center"/>
    </xf>
    <xf numFmtId="0" fontId="287" fillId="2" borderId="0" xfId="14526" applyFont="1" applyFill="1" applyAlignment="1">
      <alignment horizontal="center" vertical="center"/>
    </xf>
    <xf numFmtId="175" fontId="270" fillId="2" borderId="0" xfId="10067" applyNumberFormat="1" applyFont="1" applyFill="1" applyAlignment="1">
      <alignment vertical="center"/>
    </xf>
    <xf numFmtId="0" fontId="270" fillId="2" borderId="0" xfId="10479" applyFont="1" applyFill="1" applyAlignment="1">
      <alignment vertical="center"/>
    </xf>
    <xf numFmtId="0" fontId="285" fillId="2" borderId="0" xfId="14526" applyFont="1" applyFill="1" applyAlignment="1">
      <alignment horizontal="left" vertical="center"/>
    </xf>
    <xf numFmtId="0" fontId="285" fillId="2" borderId="0" xfId="14526" applyFont="1" applyFill="1" applyAlignment="1">
      <alignment horizontal="center" vertical="center"/>
    </xf>
    <xf numFmtId="0" fontId="288" fillId="2" borderId="0" xfId="14526" applyFont="1" applyFill="1" applyAlignment="1">
      <alignment horizontal="left" vertical="center"/>
    </xf>
    <xf numFmtId="0" fontId="288" fillId="2" borderId="0" xfId="14526" applyFont="1" applyFill="1" applyAlignment="1">
      <alignment horizontal="center" vertical="center"/>
    </xf>
    <xf numFmtId="3" fontId="17" fillId="2" borderId="0" xfId="14526" applyNumberFormat="1" applyFont="1" applyFill="1" applyAlignment="1">
      <alignment vertical="center" wrapText="1"/>
    </xf>
    <xf numFmtId="3" fontId="17" fillId="2" borderId="0" xfId="14526" applyNumberFormat="1" applyFont="1" applyFill="1" applyAlignment="1">
      <alignment horizontal="left" vertical="center" wrapText="1"/>
    </xf>
    <xf numFmtId="3" fontId="17" fillId="2" borderId="0" xfId="14526" applyNumberFormat="1" applyFont="1" applyFill="1" applyAlignment="1">
      <alignment horizontal="center" vertical="center" wrapText="1"/>
    </xf>
    <xf numFmtId="175" fontId="17" fillId="2" borderId="0" xfId="14526" applyNumberFormat="1" applyFont="1" applyFill="1" applyAlignment="1">
      <alignment horizontal="center" vertical="center" wrapText="1"/>
    </xf>
    <xf numFmtId="3" fontId="267" fillId="95" borderId="97" xfId="14526" applyNumberFormat="1" applyFont="1" applyFill="1" applyBorder="1" applyAlignment="1">
      <alignment horizontal="left" vertical="center" wrapText="1"/>
    </xf>
    <xf numFmtId="3" fontId="267" fillId="95" borderId="97" xfId="14526" applyNumberFormat="1" applyFont="1" applyFill="1" applyBorder="1" applyAlignment="1">
      <alignment horizontal="center" vertical="center" wrapText="1"/>
    </xf>
    <xf numFmtId="175" fontId="266" fillId="95" borderId="97" xfId="10067" applyNumberFormat="1" applyFont="1" applyFill="1" applyBorder="1" applyAlignment="1">
      <alignment horizontal="center" vertical="center" wrapText="1"/>
    </xf>
    <xf numFmtId="175" fontId="267" fillId="95" borderId="97" xfId="14526" applyNumberFormat="1" applyFont="1" applyFill="1" applyBorder="1" applyAlignment="1">
      <alignment horizontal="center" vertical="center" wrapText="1"/>
    </xf>
    <xf numFmtId="3" fontId="17" fillId="2" borderId="97" xfId="14581" applyNumberFormat="1" applyFont="1" applyFill="1" applyBorder="1" applyAlignment="1">
      <alignment horizontal="left" vertical="center" wrapText="1"/>
    </xf>
    <xf numFmtId="3" fontId="17" fillId="2" borderId="97" xfId="14526" applyNumberFormat="1" applyFont="1" applyFill="1" applyBorder="1" applyAlignment="1">
      <alignment horizontal="center" vertical="center" wrapText="1"/>
    </xf>
    <xf numFmtId="175" fontId="270" fillId="2" borderId="97" xfId="10067" applyNumberFormat="1" applyFont="1" applyFill="1" applyBorder="1" applyAlignment="1">
      <alignment horizontal="center" vertical="center" wrapText="1"/>
    </xf>
    <xf numFmtId="175" fontId="17" fillId="2" borderId="97" xfId="14526" applyNumberFormat="1" applyFont="1" applyFill="1" applyBorder="1" applyAlignment="1">
      <alignment horizontal="center" vertical="center" wrapText="1"/>
    </xf>
    <xf numFmtId="3" fontId="269" fillId="2" borderId="97" xfId="14581" applyNumberFormat="1" applyFont="1" applyFill="1" applyBorder="1" applyAlignment="1">
      <alignment horizontal="left" vertical="center" wrapText="1"/>
    </xf>
    <xf numFmtId="3" fontId="269" fillId="2" borderId="97" xfId="14526" applyNumberFormat="1" applyFont="1" applyFill="1" applyBorder="1" applyAlignment="1">
      <alignment horizontal="center" vertical="center" wrapText="1"/>
    </xf>
    <xf numFmtId="175" fontId="269" fillId="2" borderId="97" xfId="10067" applyNumberFormat="1" applyFont="1" applyFill="1" applyBorder="1" applyAlignment="1">
      <alignment horizontal="center" vertical="center" wrapText="1"/>
    </xf>
    <xf numFmtId="175" fontId="269" fillId="2" borderId="97" xfId="14526" applyNumberFormat="1" applyFont="1" applyFill="1" applyBorder="1" applyAlignment="1">
      <alignment horizontal="center" vertical="center" wrapText="1"/>
    </xf>
    <xf numFmtId="0" fontId="269" fillId="2" borderId="97" xfId="10479" applyFont="1" applyFill="1" applyBorder="1" applyAlignment="1">
      <alignment vertical="center"/>
    </xf>
    <xf numFmtId="3" fontId="269" fillId="2" borderId="97" xfId="14526" applyNumberFormat="1" applyFont="1" applyFill="1" applyBorder="1" applyAlignment="1">
      <alignment horizontal="left" vertical="center" wrapText="1"/>
    </xf>
    <xf numFmtId="175" fontId="270" fillId="95" borderId="97" xfId="10067" applyNumberFormat="1" applyFont="1" applyFill="1" applyBorder="1" applyAlignment="1">
      <alignment horizontal="center" vertical="center" wrapText="1"/>
    </xf>
    <xf numFmtId="3" fontId="267" fillId="2" borderId="97" xfId="14526" applyNumberFormat="1" applyFont="1" applyFill="1" applyBorder="1" applyAlignment="1">
      <alignment horizontal="left" vertical="center" wrapText="1"/>
    </xf>
    <xf numFmtId="3" fontId="17" fillId="2" borderId="97" xfId="14526" applyNumberFormat="1" applyFont="1" applyFill="1" applyBorder="1" applyAlignment="1">
      <alignment horizontal="left" vertical="center" wrapText="1"/>
    </xf>
    <xf numFmtId="3" fontId="290" fillId="2" borderId="97" xfId="14526" applyNumberFormat="1" applyFont="1" applyFill="1" applyBorder="1" applyAlignment="1">
      <alignment vertical="center" wrapText="1"/>
    </xf>
    <xf numFmtId="3" fontId="290" fillId="2" borderId="97" xfId="14642" applyNumberFormat="1" applyFont="1" applyFill="1" applyBorder="1" applyAlignment="1">
      <alignment horizontal="left" vertical="center" wrapText="1"/>
    </xf>
    <xf numFmtId="3" fontId="290" fillId="2" borderId="97" xfId="14526" applyNumberFormat="1" applyFont="1" applyFill="1" applyBorder="1" applyAlignment="1">
      <alignment horizontal="center" vertical="center" wrapText="1"/>
    </xf>
    <xf numFmtId="175" fontId="290" fillId="2" borderId="97" xfId="14526" applyNumberFormat="1" applyFont="1" applyFill="1" applyBorder="1" applyAlignment="1">
      <alignment horizontal="center" vertical="center" wrapText="1"/>
    </xf>
    <xf numFmtId="3" fontId="272" fillId="2" borderId="97" xfId="14526" applyNumberFormat="1" applyFont="1" applyFill="1" applyBorder="1" applyAlignment="1">
      <alignment horizontal="left" vertical="center" wrapText="1"/>
    </xf>
    <xf numFmtId="3" fontId="269" fillId="0" borderId="97" xfId="14526" applyNumberFormat="1" applyFont="1" applyBorder="1" applyAlignment="1">
      <alignment horizontal="center" vertical="center" wrapText="1"/>
    </xf>
    <xf numFmtId="3" fontId="269" fillId="0" borderId="97" xfId="14526" applyNumberFormat="1" applyFont="1" applyBorder="1" applyAlignment="1">
      <alignment horizontal="left" vertical="center" wrapText="1"/>
    </xf>
    <xf numFmtId="175" fontId="269" fillId="0" borderId="97" xfId="14526" applyNumberFormat="1" applyFont="1" applyBorder="1" applyAlignment="1">
      <alignment horizontal="center" vertical="center" wrapText="1"/>
    </xf>
    <xf numFmtId="3" fontId="267" fillId="96" borderId="97" xfId="14526" applyNumberFormat="1" applyFont="1" applyFill="1" applyBorder="1" applyAlignment="1">
      <alignment horizontal="left" vertical="center" wrapText="1"/>
    </xf>
    <xf numFmtId="3" fontId="267" fillId="96" borderId="97" xfId="14526" applyNumberFormat="1" applyFont="1" applyFill="1" applyBorder="1" applyAlignment="1">
      <alignment horizontal="center" vertical="center" wrapText="1"/>
    </xf>
    <xf numFmtId="175" fontId="270" fillId="96" borderId="97" xfId="10067" applyNumberFormat="1" applyFont="1" applyFill="1" applyBorder="1" applyAlignment="1">
      <alignment horizontal="center" vertical="center" wrapText="1"/>
    </xf>
    <xf numFmtId="175" fontId="267" fillId="96" borderId="97" xfId="14526" applyNumberFormat="1" applyFont="1" applyFill="1" applyBorder="1" applyAlignment="1">
      <alignment horizontal="center" vertical="center" wrapText="1"/>
    </xf>
    <xf numFmtId="1" fontId="266" fillId="96" borderId="97" xfId="14530" applyNumberFormat="1" applyFont="1" applyFill="1" applyBorder="1" applyAlignment="1">
      <alignment horizontal="center" vertical="center" wrapText="1"/>
    </xf>
    <xf numFmtId="0" fontId="266" fillId="96" borderId="97" xfId="14536" applyFont="1" applyFill="1" applyBorder="1" applyAlignment="1">
      <alignment horizontal="center" vertical="center" wrapText="1"/>
    </xf>
    <xf numFmtId="0" fontId="266" fillId="96" borderId="97" xfId="10479" applyFont="1" applyFill="1" applyBorder="1" applyAlignment="1">
      <alignment vertical="center"/>
    </xf>
    <xf numFmtId="3" fontId="267" fillId="2" borderId="97" xfId="14526" applyNumberFormat="1" applyFont="1" applyFill="1" applyBorder="1" applyAlignment="1">
      <alignment horizontal="center" vertical="center" wrapText="1"/>
    </xf>
    <xf numFmtId="175" fontId="266" fillId="2" borderId="97" xfId="10067" applyNumberFormat="1" applyFont="1" applyFill="1" applyBorder="1" applyAlignment="1">
      <alignment horizontal="center" vertical="center" wrapText="1"/>
    </xf>
    <xf numFmtId="175" fontId="267" fillId="2" borderId="97" xfId="14526" applyNumberFormat="1" applyFont="1" applyFill="1" applyBorder="1" applyAlignment="1">
      <alignment horizontal="center" vertical="center" wrapText="1"/>
    </xf>
    <xf numFmtId="0" fontId="272" fillId="2" borderId="97" xfId="14536" applyFont="1" applyFill="1" applyBorder="1" applyAlignment="1">
      <alignment horizontal="center" vertical="center" wrapText="1"/>
    </xf>
    <xf numFmtId="3" fontId="269" fillId="2" borderId="97" xfId="14526" applyNumberFormat="1" applyFont="1" applyFill="1" applyBorder="1" applyAlignment="1">
      <alignment vertical="center" wrapText="1"/>
    </xf>
    <xf numFmtId="0" fontId="267" fillId="2" borderId="0" xfId="10479" applyFont="1" applyFill="1" applyAlignment="1">
      <alignment vertical="center"/>
    </xf>
    <xf numFmtId="0" fontId="17" fillId="2" borderId="0" xfId="10479" applyFont="1" applyFill="1" applyAlignment="1">
      <alignment vertical="center"/>
    </xf>
    <xf numFmtId="0" fontId="267" fillId="2" borderId="0" xfId="10479" applyFont="1" applyFill="1" applyAlignment="1">
      <alignment horizontal="center" vertical="center"/>
    </xf>
    <xf numFmtId="1" fontId="270" fillId="2" borderId="0" xfId="14527" applyNumberFormat="1" applyFont="1" applyFill="1" applyAlignment="1">
      <alignment vertical="center" wrapText="1"/>
    </xf>
    <xf numFmtId="0" fontId="267" fillId="2" borderId="97" xfId="10479" applyFont="1" applyFill="1" applyBorder="1" applyAlignment="1">
      <alignment horizontal="center" vertical="center"/>
    </xf>
    <xf numFmtId="0" fontId="267" fillId="2" borderId="97" xfId="10479" applyFont="1" applyFill="1" applyBorder="1" applyAlignment="1">
      <alignment horizontal="left" vertical="center"/>
    </xf>
    <xf numFmtId="0" fontId="272" fillId="2" borderId="97" xfId="10479" applyFont="1" applyFill="1" applyBorder="1" applyAlignment="1">
      <alignment horizontal="center" vertical="center"/>
    </xf>
    <xf numFmtId="330" fontId="266" fillId="2" borderId="97" xfId="14530" applyNumberFormat="1" applyFont="1" applyFill="1" applyBorder="1" applyAlignment="1">
      <alignment horizontal="center" vertical="center" wrapText="1"/>
    </xf>
    <xf numFmtId="0" fontId="267" fillId="2" borderId="97" xfId="10479" applyFont="1" applyFill="1" applyBorder="1" applyAlignment="1">
      <alignment horizontal="center" vertical="center" wrapText="1"/>
    </xf>
    <xf numFmtId="0" fontId="267" fillId="2" borderId="97" xfId="14554" applyFont="1" applyFill="1" applyBorder="1" applyAlignment="1">
      <alignment horizontal="center" vertical="center" wrapText="1"/>
    </xf>
    <xf numFmtId="0" fontId="267" fillId="2" borderId="97" xfId="14554" applyFont="1" applyFill="1" applyBorder="1" applyAlignment="1">
      <alignment horizontal="center" vertical="center"/>
    </xf>
    <xf numFmtId="0" fontId="267" fillId="2" borderId="97" xfId="10479" applyFont="1" applyFill="1" applyBorder="1" applyAlignment="1">
      <alignment vertical="center"/>
    </xf>
    <xf numFmtId="2" fontId="270" fillId="2" borderId="97" xfId="14536" applyNumberFormat="1" applyFont="1" applyFill="1" applyBorder="1" applyAlignment="1">
      <alignment horizontal="center" vertical="center" wrapText="1"/>
    </xf>
    <xf numFmtId="330" fontId="270" fillId="2" borderId="97" xfId="14536" applyNumberFormat="1" applyFont="1" applyFill="1" applyBorder="1" applyAlignment="1">
      <alignment horizontal="center" vertical="center" wrapText="1"/>
    </xf>
    <xf numFmtId="0" fontId="17" fillId="2" borderId="97" xfId="10479" applyFont="1" applyFill="1" applyBorder="1" applyAlignment="1">
      <alignment vertical="center"/>
    </xf>
    <xf numFmtId="0" fontId="17" fillId="2" borderId="97" xfId="10479" applyFont="1" applyFill="1" applyBorder="1" applyAlignment="1">
      <alignment horizontal="center" vertical="center" wrapText="1"/>
    </xf>
    <xf numFmtId="0" fontId="17" fillId="2" borderId="97" xfId="14554" applyFont="1" applyFill="1" applyBorder="1" applyAlignment="1">
      <alignment horizontal="center" vertical="center" wrapText="1"/>
    </xf>
    <xf numFmtId="330" fontId="267" fillId="2" borderId="97" xfId="14554" applyNumberFormat="1" applyFont="1" applyFill="1" applyBorder="1" applyAlignment="1">
      <alignment horizontal="center" vertical="center"/>
    </xf>
    <xf numFmtId="0" fontId="17" fillId="2" borderId="97" xfId="14554" applyFont="1" applyFill="1" applyBorder="1" applyAlignment="1">
      <alignment horizontal="center" vertical="center"/>
    </xf>
    <xf numFmtId="0" fontId="17" fillId="2" borderId="97" xfId="14554" quotePrefix="1" applyFont="1" applyFill="1" applyBorder="1" applyAlignment="1">
      <alignment horizontal="center" vertical="center"/>
    </xf>
    <xf numFmtId="0" fontId="17" fillId="2" borderId="97" xfId="14554" applyFont="1" applyFill="1" applyBorder="1" applyAlignment="1">
      <alignment horizontal="left" vertical="center" wrapText="1"/>
    </xf>
    <xf numFmtId="0" fontId="269" fillId="2" borderId="97" xfId="14554" applyFont="1" applyFill="1" applyBorder="1" applyAlignment="1">
      <alignment horizontal="center" vertical="center" wrapText="1"/>
    </xf>
    <xf numFmtId="0" fontId="17" fillId="2" borderId="97" xfId="14554" applyFont="1" applyFill="1" applyBorder="1" applyAlignment="1">
      <alignment vertical="center"/>
    </xf>
    <xf numFmtId="175" fontId="289" fillId="98" borderId="97" xfId="10067" applyNumberFormat="1" applyFont="1" applyFill="1" applyBorder="1" applyAlignment="1">
      <alignment vertical="center" wrapText="1"/>
    </xf>
    <xf numFmtId="2" fontId="270" fillId="97" borderId="97" xfId="14536" applyNumberFormat="1" applyFont="1" applyFill="1" applyBorder="1" applyAlignment="1">
      <alignment horizontal="center" vertical="center" wrapText="1"/>
    </xf>
    <xf numFmtId="330" fontId="270" fillId="97" borderId="97" xfId="14536" applyNumberFormat="1" applyFont="1" applyFill="1" applyBorder="1" applyAlignment="1">
      <alignment horizontal="center" vertical="center" wrapText="1"/>
    </xf>
    <xf numFmtId="175" fontId="289" fillId="99" borderId="97" xfId="10067" applyNumberFormat="1" applyFont="1" applyFill="1" applyBorder="1" applyAlignment="1">
      <alignment vertical="center" wrapText="1"/>
    </xf>
    <xf numFmtId="0" fontId="270" fillId="97" borderId="97" xfId="10479" applyFont="1" applyFill="1" applyBorder="1"/>
    <xf numFmtId="0" fontId="267" fillId="2" borderId="0" xfId="10479" applyFont="1" applyFill="1" applyAlignment="1">
      <alignment vertical="center" wrapText="1"/>
    </xf>
    <xf numFmtId="175" fontId="17" fillId="2" borderId="0" xfId="10067" applyNumberFormat="1" applyFont="1" applyFill="1" applyAlignment="1">
      <alignment vertical="center" wrapText="1"/>
    </xf>
    <xf numFmtId="0" fontId="267" fillId="2" borderId="0" xfId="10479" applyFont="1" applyFill="1" applyAlignment="1">
      <alignment horizontal="center" vertical="center" wrapText="1"/>
    </xf>
    <xf numFmtId="175" fontId="17" fillId="2" borderId="0" xfId="10067" applyNumberFormat="1" applyFont="1" applyFill="1" applyAlignment="1">
      <alignment horizontal="center" vertical="center" wrapText="1"/>
    </xf>
    <xf numFmtId="0" fontId="6" fillId="2" borderId="0" xfId="14527" applyFont="1" applyFill="1" applyAlignment="1">
      <alignment vertical="center" wrapText="1"/>
    </xf>
    <xf numFmtId="0" fontId="17" fillId="2" borderId="0" xfId="10479" applyFont="1" applyFill="1" applyAlignment="1">
      <alignment horizontal="center" vertical="center"/>
    </xf>
    <xf numFmtId="169" fontId="266" fillId="93" borderId="97" xfId="10474" applyNumberFormat="1" applyFont="1" applyFill="1" applyBorder="1" applyAlignment="1">
      <alignment horizontal="left" vertical="center"/>
    </xf>
    <xf numFmtId="330" fontId="266" fillId="93" borderId="97" xfId="14530" applyNumberFormat="1" applyFont="1" applyFill="1" applyBorder="1" applyAlignment="1">
      <alignment horizontal="center" vertical="center" wrapText="1"/>
    </xf>
    <xf numFmtId="175" fontId="17" fillId="93" borderId="97" xfId="10067" applyNumberFormat="1" applyFont="1" applyFill="1" applyBorder="1" applyAlignment="1">
      <alignment horizontal="center" vertical="center" wrapText="1"/>
    </xf>
    <xf numFmtId="175" fontId="266" fillId="93" borderId="97" xfId="10067" applyNumberFormat="1" applyFont="1" applyFill="1" applyBorder="1" applyAlignment="1">
      <alignment horizontal="center" vertical="center" wrapText="1"/>
    </xf>
    <xf numFmtId="49" fontId="17" fillId="93" borderId="97" xfId="14536" applyNumberFormat="1" applyFont="1" applyFill="1" applyBorder="1" applyAlignment="1">
      <alignment horizontal="center" vertical="center" wrapText="1"/>
    </xf>
    <xf numFmtId="0" fontId="265" fillId="93" borderId="97" xfId="14552" applyFont="1" applyFill="1" applyBorder="1" applyAlignment="1">
      <alignment horizontal="center" vertical="center"/>
    </xf>
    <xf numFmtId="0" fontId="265" fillId="93" borderId="97" xfId="14552" applyFont="1" applyFill="1" applyBorder="1" applyAlignment="1">
      <alignment vertical="center"/>
    </xf>
    <xf numFmtId="0" fontId="17" fillId="2" borderId="97" xfId="10479" applyFont="1" applyFill="1" applyBorder="1" applyAlignment="1">
      <alignment horizontal="center" vertical="center"/>
    </xf>
    <xf numFmtId="1" fontId="267" fillId="2" borderId="97" xfId="10479" applyNumberFormat="1" applyFont="1" applyFill="1" applyBorder="1" applyAlignment="1">
      <alignment horizontal="center" vertical="center"/>
    </xf>
    <xf numFmtId="1" fontId="267" fillId="2" borderId="97" xfId="10479" applyNumberFormat="1" applyFont="1" applyFill="1" applyBorder="1" applyAlignment="1">
      <alignment horizontal="center" vertical="center" wrapText="1"/>
    </xf>
    <xf numFmtId="1" fontId="17" fillId="2" borderId="97" xfId="10479" applyNumberFormat="1" applyFont="1" applyFill="1" applyBorder="1" applyAlignment="1">
      <alignment horizontal="center" vertical="center"/>
    </xf>
    <xf numFmtId="0" fontId="267" fillId="2" borderId="97" xfId="10479" applyFont="1" applyFill="1" applyBorder="1" applyAlignment="1">
      <alignment horizontal="left" vertical="center" wrapText="1"/>
    </xf>
    <xf numFmtId="0" fontId="17" fillId="2" borderId="97" xfId="10479" applyFont="1" applyFill="1" applyBorder="1" applyAlignment="1">
      <alignment horizontal="left" vertical="center"/>
    </xf>
    <xf numFmtId="0" fontId="17" fillId="2" borderId="97" xfId="14554" applyFont="1" applyFill="1" applyBorder="1" applyAlignment="1" applyProtection="1">
      <alignment horizontal="center" vertical="center" wrapText="1"/>
      <protection hidden="1"/>
    </xf>
    <xf numFmtId="0" fontId="17" fillId="2" borderId="97" xfId="10479" applyFont="1" applyFill="1" applyBorder="1" applyAlignment="1" applyProtection="1">
      <alignment vertical="center" wrapText="1"/>
      <protection hidden="1"/>
    </xf>
    <xf numFmtId="0" fontId="17" fillId="2" borderId="97" xfId="10479" applyFont="1" applyFill="1" applyBorder="1" applyAlignment="1" applyProtection="1">
      <alignment horizontal="center" vertical="center" wrapText="1"/>
      <protection hidden="1"/>
    </xf>
    <xf numFmtId="0" fontId="267" fillId="2" borderId="97" xfId="10479" applyFont="1" applyFill="1" applyBorder="1" applyAlignment="1" applyProtection="1">
      <alignment horizontal="center" vertical="center" wrapText="1"/>
      <protection hidden="1"/>
    </xf>
    <xf numFmtId="0" fontId="17" fillId="2" borderId="97" xfId="10479" applyFont="1" applyFill="1" applyBorder="1" applyAlignment="1">
      <alignment horizontal="left" vertical="center" wrapText="1"/>
    </xf>
    <xf numFmtId="1" fontId="266" fillId="2" borderId="97" xfId="10474" applyNumberFormat="1" applyFont="1" applyFill="1" applyBorder="1" applyAlignment="1">
      <alignment horizontal="left" vertical="center"/>
    </xf>
    <xf numFmtId="175" fontId="266" fillId="2" borderId="97" xfId="10067" applyNumberFormat="1" applyFont="1" applyFill="1" applyBorder="1" applyAlignment="1">
      <alignment horizontal="left" vertical="center"/>
    </xf>
    <xf numFmtId="330" fontId="269" fillId="2" borderId="97" xfId="14536" applyNumberFormat="1" applyFont="1" applyFill="1" applyBorder="1" applyAlignment="1">
      <alignment horizontal="center" vertical="center" wrapText="1"/>
    </xf>
    <xf numFmtId="0" fontId="269" fillId="2" borderId="97" xfId="10479" applyFont="1" applyFill="1" applyBorder="1" applyAlignment="1">
      <alignment horizontal="left" vertical="center"/>
    </xf>
    <xf numFmtId="0" fontId="269" fillId="2" borderId="97" xfId="10479" applyFont="1" applyFill="1" applyBorder="1" applyAlignment="1">
      <alignment horizontal="center" vertical="center"/>
    </xf>
    <xf numFmtId="0" fontId="266" fillId="2" borderId="97" xfId="14536" applyFont="1" applyFill="1" applyBorder="1" applyAlignment="1">
      <alignment horizontal="left" vertical="center" wrapText="1"/>
    </xf>
    <xf numFmtId="175" fontId="266" fillId="2" borderId="97" xfId="10067" applyNumberFormat="1" applyFont="1" applyFill="1" applyBorder="1" applyAlignment="1">
      <alignment horizontal="left" vertical="center" wrapText="1"/>
    </xf>
    <xf numFmtId="330" fontId="270" fillId="2" borderId="97" xfId="10474" applyNumberFormat="1" applyFont="1" applyFill="1" applyBorder="1" applyAlignment="1">
      <alignment horizontal="center" vertical="center"/>
    </xf>
    <xf numFmtId="330" fontId="270" fillId="2" borderId="97" xfId="0" applyNumberFormat="1" applyFont="1" applyFill="1" applyBorder="1" applyAlignment="1">
      <alignment horizontal="center" vertical="center"/>
    </xf>
    <xf numFmtId="0" fontId="267" fillId="93" borderId="97" xfId="10479" applyFont="1" applyFill="1" applyBorder="1" applyAlignment="1">
      <alignment vertical="center"/>
    </xf>
    <xf numFmtId="330" fontId="270" fillId="93" borderId="97" xfId="0" applyNumberFormat="1" applyFont="1" applyFill="1" applyBorder="1" applyAlignment="1">
      <alignment horizontal="center" vertical="center"/>
    </xf>
    <xf numFmtId="175" fontId="17" fillId="93" borderId="97" xfId="10067" applyNumberFormat="1" applyFont="1" applyFill="1" applyBorder="1" applyAlignment="1">
      <alignment horizontal="center" vertical="center"/>
    </xf>
    <xf numFmtId="175" fontId="270" fillId="93" borderId="97" xfId="10067" applyNumberFormat="1" applyFont="1" applyFill="1" applyBorder="1" applyAlignment="1">
      <alignment horizontal="center" vertical="center"/>
    </xf>
    <xf numFmtId="175" fontId="270" fillId="93" borderId="97" xfId="10067" applyNumberFormat="1" applyFont="1" applyFill="1" applyBorder="1" applyAlignment="1">
      <alignment horizontal="center" vertical="center" wrapText="1"/>
    </xf>
    <xf numFmtId="0" fontId="267" fillId="93" borderId="97" xfId="10479" applyFont="1" applyFill="1" applyBorder="1" applyAlignment="1">
      <alignment horizontal="center" vertical="center"/>
    </xf>
    <xf numFmtId="2" fontId="6" fillId="93" borderId="97" xfId="0" applyNumberFormat="1" applyFont="1" applyFill="1" applyBorder="1" applyAlignment="1">
      <alignment horizontal="center" vertical="center" wrapText="1"/>
    </xf>
    <xf numFmtId="0" fontId="17" fillId="2" borderId="97" xfId="10479" applyFont="1" applyFill="1" applyBorder="1" applyAlignment="1">
      <alignment vertical="center" wrapText="1"/>
    </xf>
    <xf numFmtId="0" fontId="267" fillId="2" borderId="97" xfId="10479" applyFont="1" applyFill="1" applyBorder="1" applyAlignment="1">
      <alignment vertical="center" wrapText="1"/>
    </xf>
    <xf numFmtId="49" fontId="267" fillId="97" borderId="97" xfId="14536" applyNumberFormat="1" applyFont="1" applyFill="1" applyBorder="1" applyAlignment="1">
      <alignment horizontal="center" vertical="center" wrapText="1"/>
    </xf>
    <xf numFmtId="175" fontId="17" fillId="2" borderId="0" xfId="10067" applyNumberFormat="1" applyFont="1" applyFill="1" applyAlignment="1">
      <alignment horizontal="center" vertical="center"/>
    </xf>
    <xf numFmtId="0" fontId="17" fillId="2" borderId="0" xfId="10479" applyFont="1" applyFill="1" applyAlignment="1">
      <alignment vertical="center" wrapText="1"/>
    </xf>
    <xf numFmtId="0" fontId="266" fillId="97" borderId="97" xfId="10479" applyFont="1" applyFill="1" applyBorder="1" applyAlignment="1">
      <alignment horizontal="center" vertical="center" wrapText="1"/>
    </xf>
    <xf numFmtId="175" fontId="266" fillId="97" borderId="97" xfId="10067" applyNumberFormat="1" applyFont="1" applyFill="1" applyBorder="1" applyAlignment="1">
      <alignment horizontal="center" vertical="center" wrapText="1"/>
    </xf>
    <xf numFmtId="0" fontId="266" fillId="97" borderId="97" xfId="10479" applyFont="1" applyFill="1" applyBorder="1" applyAlignment="1">
      <alignment horizontal="center" vertical="center"/>
    </xf>
    <xf numFmtId="0" fontId="266" fillId="97" borderId="97" xfId="10479" applyFont="1" applyFill="1" applyBorder="1" applyAlignment="1">
      <alignment horizontal="left" vertical="center"/>
    </xf>
    <xf numFmtId="175" fontId="266" fillId="97" borderId="97" xfId="10067" applyNumberFormat="1" applyFont="1" applyFill="1" applyBorder="1" applyAlignment="1">
      <alignment horizontal="center" vertical="center"/>
    </xf>
    <xf numFmtId="0" fontId="266" fillId="93" borderId="97" xfId="10479" applyFont="1" applyFill="1" applyBorder="1" applyAlignment="1">
      <alignment horizontal="center" vertical="center"/>
    </xf>
    <xf numFmtId="0" fontId="266" fillId="93" borderId="97" xfId="10479" applyFont="1" applyFill="1" applyBorder="1" applyAlignment="1">
      <alignment horizontal="left" vertical="center"/>
    </xf>
    <xf numFmtId="175" fontId="266" fillId="93" borderId="97" xfId="10067" applyNumberFormat="1" applyFont="1" applyFill="1" applyBorder="1" applyAlignment="1">
      <alignment horizontal="center" vertical="center"/>
    </xf>
    <xf numFmtId="0" fontId="266" fillId="96" borderId="97" xfId="10479" applyFont="1" applyFill="1" applyBorder="1" applyAlignment="1">
      <alignment horizontal="center" vertical="center" wrapText="1"/>
    </xf>
    <xf numFmtId="0" fontId="266" fillId="96" borderId="97" xfId="10479" applyFont="1" applyFill="1" applyBorder="1" applyAlignment="1">
      <alignment vertical="center" wrapText="1"/>
    </xf>
    <xf numFmtId="0" fontId="266" fillId="2" borderId="97" xfId="10479" applyFont="1" applyFill="1" applyBorder="1" applyAlignment="1">
      <alignment horizontal="left" vertical="center" wrapText="1"/>
    </xf>
    <xf numFmtId="175" fontId="272" fillId="2" borderId="97" xfId="10067" applyNumberFormat="1" applyFont="1" applyFill="1" applyBorder="1" applyAlignment="1">
      <alignment horizontal="center" vertical="center" wrapText="1"/>
    </xf>
    <xf numFmtId="2" fontId="266" fillId="2" borderId="97" xfId="10479" applyNumberFormat="1" applyFont="1" applyFill="1" applyBorder="1" applyAlignment="1">
      <alignment horizontal="center" vertical="center" wrapText="1"/>
    </xf>
    <xf numFmtId="2" fontId="266" fillId="96" borderId="97" xfId="10479" applyNumberFormat="1" applyFont="1" applyFill="1" applyBorder="1" applyAlignment="1">
      <alignment horizontal="center" vertical="center"/>
    </xf>
    <xf numFmtId="2" fontId="266" fillId="96" borderId="97" xfId="10479" applyNumberFormat="1" applyFont="1" applyFill="1" applyBorder="1" applyAlignment="1">
      <alignment vertical="center"/>
    </xf>
    <xf numFmtId="0" fontId="270" fillId="96" borderId="97" xfId="10479" applyFont="1" applyFill="1" applyBorder="1" applyAlignment="1">
      <alignment horizontal="center" vertical="center"/>
    </xf>
    <xf numFmtId="175" fontId="270" fillId="96" borderId="97" xfId="10067" applyNumberFormat="1" applyFont="1" applyFill="1" applyBorder="1" applyAlignment="1">
      <alignment horizontal="center" vertical="center"/>
    </xf>
    <xf numFmtId="0" fontId="270" fillId="96" borderId="97" xfId="10479" applyFont="1" applyFill="1" applyBorder="1"/>
    <xf numFmtId="0" fontId="272" fillId="2" borderId="97" xfId="10479" applyFont="1" applyFill="1" applyBorder="1" applyAlignment="1">
      <alignment horizontal="left" vertical="center" wrapText="1"/>
    </xf>
    <xf numFmtId="2" fontId="272" fillId="2" borderId="97" xfId="10479" applyNumberFormat="1" applyFont="1" applyFill="1" applyBorder="1" applyAlignment="1">
      <alignment horizontal="center" vertical="center" wrapText="1"/>
    </xf>
    <xf numFmtId="3" fontId="269" fillId="96" borderId="97" xfId="14547" applyNumberFormat="1" applyFont="1" applyFill="1" applyBorder="1" applyAlignment="1">
      <alignment vertical="center" wrapText="1"/>
    </xf>
    <xf numFmtId="175" fontId="270" fillId="96" borderId="97" xfId="4459" applyNumberFormat="1" applyFont="1" applyFill="1" applyBorder="1" applyAlignment="1">
      <alignment vertical="center" wrapText="1"/>
    </xf>
    <xf numFmtId="330" fontId="272" fillId="2" borderId="97" xfId="10479" applyNumberFormat="1" applyFont="1" applyFill="1" applyBorder="1" applyAlignment="1">
      <alignment horizontal="center" vertical="center" wrapText="1"/>
    </xf>
    <xf numFmtId="1" fontId="270" fillId="93" borderId="97" xfId="14530" applyNumberFormat="1" applyFont="1" applyFill="1" applyBorder="1" applyAlignment="1">
      <alignment horizontal="center" vertical="center" wrapText="1"/>
    </xf>
    <xf numFmtId="0" fontId="266" fillId="96" borderId="97" xfId="10479" applyFont="1" applyFill="1" applyBorder="1" applyAlignment="1">
      <alignment horizontal="center" vertical="center"/>
    </xf>
    <xf numFmtId="0" fontId="266" fillId="96" borderId="97" xfId="10479" applyFont="1" applyFill="1" applyBorder="1" applyAlignment="1">
      <alignment horizontal="left" vertical="center"/>
    </xf>
    <xf numFmtId="0" fontId="266" fillId="2" borderId="97" xfId="10479" applyFont="1" applyFill="1" applyBorder="1" applyAlignment="1">
      <alignment horizontal="center" vertical="center"/>
    </xf>
    <xf numFmtId="0" fontId="266" fillId="2" borderId="97" xfId="10479" applyFont="1" applyFill="1" applyBorder="1" applyAlignment="1">
      <alignment horizontal="left" vertical="center"/>
    </xf>
    <xf numFmtId="0" fontId="266" fillId="97" borderId="97" xfId="10479" applyFont="1" applyFill="1" applyBorder="1" applyAlignment="1">
      <alignment vertical="center"/>
    </xf>
    <xf numFmtId="175" fontId="270" fillId="97" borderId="97" xfId="10067" applyNumberFormat="1" applyFont="1" applyFill="1" applyBorder="1" applyAlignment="1">
      <alignment horizontal="center" vertical="center" wrapText="1"/>
    </xf>
    <xf numFmtId="49" fontId="17" fillId="2" borderId="97" xfId="10479" applyNumberFormat="1" applyFont="1" applyFill="1" applyBorder="1" applyAlignment="1">
      <alignment horizontal="center" vertical="center" wrapText="1"/>
    </xf>
    <xf numFmtId="0" fontId="267" fillId="96" borderId="97" xfId="10479" applyFont="1" applyFill="1" applyBorder="1" applyAlignment="1">
      <alignment horizontal="center" vertical="center" wrapText="1"/>
    </xf>
    <xf numFmtId="0" fontId="267" fillId="96" borderId="97" xfId="10479" applyFont="1" applyFill="1" applyBorder="1" applyAlignment="1">
      <alignment vertical="center" wrapText="1"/>
    </xf>
    <xf numFmtId="49" fontId="269" fillId="2" borderId="97" xfId="10479" applyNumberFormat="1" applyFont="1" applyFill="1" applyBorder="1" applyAlignment="1">
      <alignment vertical="center" wrapText="1"/>
    </xf>
    <xf numFmtId="49" fontId="269" fillId="2" borderId="97" xfId="10479" applyNumberFormat="1" applyFont="1" applyFill="1" applyBorder="1" applyAlignment="1">
      <alignment horizontal="center" vertical="center" wrapText="1"/>
    </xf>
    <xf numFmtId="49" fontId="272" fillId="2" borderId="97" xfId="10479" applyNumberFormat="1" applyFont="1" applyFill="1" applyBorder="1" applyAlignment="1">
      <alignment vertical="center" wrapText="1"/>
    </xf>
    <xf numFmtId="49" fontId="272" fillId="2" borderId="97" xfId="10479" applyNumberFormat="1" applyFont="1" applyFill="1" applyBorder="1" applyAlignment="1">
      <alignment horizontal="center" vertical="center" wrapText="1"/>
    </xf>
    <xf numFmtId="49" fontId="267" fillId="2" borderId="97" xfId="10479" applyNumberFormat="1" applyFont="1" applyFill="1" applyBorder="1" applyAlignment="1">
      <alignment vertical="center" wrapText="1"/>
    </xf>
    <xf numFmtId="2" fontId="267" fillId="2" borderId="97" xfId="10479" applyNumberFormat="1" applyFont="1" applyFill="1" applyBorder="1" applyAlignment="1">
      <alignment horizontal="center" vertical="center" wrapText="1"/>
    </xf>
    <xf numFmtId="0" fontId="17" fillId="2" borderId="0" xfId="10479" applyFont="1" applyFill="1" applyAlignment="1">
      <alignment horizontal="center" vertical="center" wrapText="1"/>
    </xf>
    <xf numFmtId="175" fontId="266" fillId="2" borderId="0" xfId="14578" applyNumberFormat="1" applyFont="1" applyFill="1" applyBorder="1" applyAlignment="1" applyProtection="1">
      <alignment horizontal="left" vertical="center"/>
    </xf>
    <xf numFmtId="0" fontId="265" fillId="2" borderId="0" xfId="14648" applyFont="1" applyFill="1" applyAlignment="1">
      <alignment vertical="center"/>
    </xf>
    <xf numFmtId="0" fontId="267" fillId="2" borderId="97" xfId="14648" applyFont="1" applyFill="1" applyBorder="1" applyAlignment="1">
      <alignment horizontal="left" vertical="center" wrapText="1"/>
    </xf>
    <xf numFmtId="0" fontId="17" fillId="2" borderId="97" xfId="14525" applyFont="1" applyFill="1" applyBorder="1" applyAlignment="1">
      <alignment vertical="center" wrapText="1"/>
    </xf>
    <xf numFmtId="0" fontId="17" fillId="2" borderId="97" xfId="14525" applyFont="1" applyFill="1" applyBorder="1" applyAlignment="1">
      <alignment horizontal="center" vertical="center" wrapText="1"/>
    </xf>
    <xf numFmtId="0" fontId="267" fillId="2" borderId="97" xfId="14525" applyFont="1" applyFill="1" applyBorder="1" applyAlignment="1">
      <alignment vertical="center" wrapText="1"/>
    </xf>
    <xf numFmtId="1" fontId="270" fillId="2" borderId="0" xfId="14527" applyNumberFormat="1" applyFont="1" applyFill="1" applyAlignment="1">
      <alignment horizontal="center" vertical="center"/>
    </xf>
    <xf numFmtId="175" fontId="270" fillId="2" borderId="0" xfId="2" applyNumberFormat="1" applyFont="1" applyFill="1" applyBorder="1" applyAlignment="1">
      <alignment horizontal="center" vertical="center"/>
    </xf>
    <xf numFmtId="175" fontId="270" fillId="2" borderId="0" xfId="2" applyNumberFormat="1" applyFont="1" applyFill="1" applyBorder="1" applyAlignment="1">
      <alignment horizontal="center" vertical="center" wrapText="1"/>
    </xf>
    <xf numFmtId="0" fontId="267" fillId="93" borderId="97" xfId="14536" applyFont="1" applyFill="1" applyBorder="1" applyAlignment="1">
      <alignment horizontal="center" vertical="center" wrapText="1"/>
    </xf>
    <xf numFmtId="169" fontId="270" fillId="2" borderId="0" xfId="10067" applyFont="1" applyFill="1" applyAlignment="1">
      <alignment horizontal="center" vertical="center" wrapText="1"/>
    </xf>
    <xf numFmtId="169" fontId="0" fillId="0" borderId="0" xfId="10067" applyFont="1"/>
    <xf numFmtId="175" fontId="270" fillId="2" borderId="97" xfId="10067" applyNumberFormat="1" applyFont="1" applyFill="1" applyBorder="1" applyAlignment="1">
      <alignment vertical="center"/>
    </xf>
    <xf numFmtId="169" fontId="270" fillId="2" borderId="0" xfId="10067" applyFont="1" applyFill="1" applyAlignment="1">
      <alignment vertical="center"/>
    </xf>
    <xf numFmtId="3" fontId="17" fillId="2" borderId="97" xfId="14536" applyNumberFormat="1" applyFont="1" applyFill="1" applyBorder="1" applyAlignment="1">
      <alignment horizontal="center" vertical="center" wrapText="1"/>
    </xf>
    <xf numFmtId="3" fontId="17" fillId="2" borderId="97" xfId="14597" applyNumberFormat="1" applyFont="1" applyFill="1" applyBorder="1" applyAlignment="1">
      <alignment horizontal="left" vertical="center" wrapText="1"/>
    </xf>
    <xf numFmtId="169" fontId="17" fillId="2" borderId="97" xfId="10067" applyFont="1" applyFill="1" applyBorder="1" applyAlignment="1">
      <alignment horizontal="center" vertical="center" wrapText="1"/>
    </xf>
    <xf numFmtId="175" fontId="17" fillId="92" borderId="97" xfId="10067" applyNumberFormat="1" applyFont="1" applyFill="1" applyBorder="1" applyAlignment="1">
      <alignment horizontal="center" vertical="center" wrapText="1"/>
    </xf>
    <xf numFmtId="330" fontId="270" fillId="2" borderId="97" xfId="10479" applyNumberFormat="1" applyFont="1" applyFill="1" applyBorder="1" applyAlignment="1">
      <alignment vertical="center"/>
    </xf>
    <xf numFmtId="175" fontId="6" fillId="2" borderId="97" xfId="10067" applyNumberFormat="1" applyFill="1" applyBorder="1" applyAlignment="1">
      <alignment vertical="center" wrapText="1"/>
    </xf>
    <xf numFmtId="175" fontId="6" fillId="2" borderId="97" xfId="10479" applyNumberFormat="1" applyFill="1" applyBorder="1" applyAlignment="1">
      <alignment vertical="center"/>
    </xf>
    <xf numFmtId="169" fontId="17" fillId="2" borderId="97" xfId="10067" quotePrefix="1" applyFont="1" applyFill="1" applyBorder="1" applyAlignment="1">
      <alignment horizontal="center" vertical="center"/>
    </xf>
    <xf numFmtId="169" fontId="17" fillId="2" borderId="97" xfId="10067" applyFont="1" applyFill="1" applyBorder="1" applyAlignment="1">
      <alignment horizontal="left" vertical="center" wrapText="1"/>
    </xf>
    <xf numFmtId="0" fontId="270" fillId="97" borderId="97" xfId="10479" applyFont="1" applyFill="1" applyBorder="1" applyAlignment="1">
      <alignment wrapText="1"/>
    </xf>
    <xf numFmtId="0" fontId="270" fillId="2" borderId="97" xfId="10479" applyFont="1" applyFill="1" applyBorder="1" applyAlignment="1">
      <alignment wrapText="1"/>
    </xf>
    <xf numFmtId="0" fontId="270" fillId="96" borderId="97" xfId="10479" applyFont="1" applyFill="1" applyBorder="1" applyAlignment="1">
      <alignment wrapText="1"/>
    </xf>
    <xf numFmtId="49" fontId="0" fillId="0" borderId="0" xfId="0" applyNumberFormat="1" applyAlignment="1">
      <alignment horizontal="center"/>
    </xf>
    <xf numFmtId="364" fontId="0" fillId="0" borderId="0" xfId="0" applyAlignment="1">
      <alignment vertical="center"/>
    </xf>
    <xf numFmtId="169" fontId="0" fillId="0" borderId="0" xfId="10067" applyFont="1" applyAlignment="1">
      <alignment vertical="center"/>
    </xf>
    <xf numFmtId="364" fontId="266" fillId="96" borderId="91" xfId="0" applyFont="1" applyFill="1" applyBorder="1" applyAlignment="1">
      <alignment horizontal="center" vertical="center"/>
    </xf>
    <xf numFmtId="364" fontId="266" fillId="0" borderId="0" xfId="0" applyFont="1" applyAlignment="1">
      <alignment horizontal="center" vertical="center"/>
    </xf>
    <xf numFmtId="364" fontId="266" fillId="0" borderId="0" xfId="0" applyFont="1" applyAlignment="1">
      <alignment horizontal="left" vertical="center"/>
    </xf>
    <xf numFmtId="175" fontId="266" fillId="0" borderId="0" xfId="10067" applyNumberFormat="1" applyFont="1" applyFill="1" applyBorder="1" applyAlignment="1">
      <alignment vertical="center"/>
    </xf>
    <xf numFmtId="175" fontId="270" fillId="2" borderId="0" xfId="10067" applyNumberFormat="1" applyFont="1" applyFill="1" applyAlignment="1">
      <alignment horizontal="center" vertical="center"/>
    </xf>
    <xf numFmtId="0" fontId="270" fillId="2" borderId="0" xfId="10479" applyFont="1" applyFill="1" applyAlignment="1">
      <alignment horizontal="center" vertical="center"/>
    </xf>
    <xf numFmtId="0" fontId="270" fillId="2" borderId="0" xfId="14527" applyFont="1" applyFill="1" applyAlignment="1">
      <alignment horizontal="center" vertical="center" wrapText="1"/>
    </xf>
    <xf numFmtId="1" fontId="270" fillId="2" borderId="97" xfId="14527" applyNumberFormat="1" applyFont="1" applyFill="1" applyBorder="1" applyAlignment="1">
      <alignment horizontal="center" vertical="center" wrapText="1"/>
    </xf>
    <xf numFmtId="175" fontId="270" fillId="2" borderId="97" xfId="4459" applyNumberFormat="1" applyFont="1" applyFill="1" applyBorder="1" applyAlignment="1">
      <alignment horizontal="center" vertical="center" wrapText="1"/>
    </xf>
    <xf numFmtId="3" fontId="270" fillId="2" borderId="97" xfId="10479" applyNumberFormat="1" applyFont="1" applyFill="1" applyBorder="1" applyAlignment="1">
      <alignment horizontal="center" vertical="center" wrapText="1"/>
    </xf>
    <xf numFmtId="3" fontId="270" fillId="2" borderId="97" xfId="14547" applyNumberFormat="1" applyFont="1" applyFill="1" applyBorder="1" applyAlignment="1">
      <alignment horizontal="center" vertical="center" wrapText="1"/>
    </xf>
    <xf numFmtId="175" fontId="270" fillId="2" borderId="97" xfId="2" applyNumberFormat="1" applyFont="1" applyFill="1" applyBorder="1" applyAlignment="1">
      <alignment horizontal="center" vertical="center" wrapText="1"/>
    </xf>
    <xf numFmtId="3" fontId="269" fillId="2" borderId="97" xfId="14547" applyNumberFormat="1" applyFont="1" applyFill="1" applyBorder="1" applyAlignment="1">
      <alignment horizontal="center" vertical="center" wrapText="1"/>
    </xf>
    <xf numFmtId="175" fontId="266" fillId="2" borderId="97" xfId="4459" applyNumberFormat="1" applyFont="1" applyFill="1" applyBorder="1" applyAlignment="1">
      <alignment horizontal="center" vertical="center" wrapText="1"/>
    </xf>
    <xf numFmtId="169" fontId="270" fillId="2" borderId="0" xfId="10067" applyFont="1" applyFill="1" applyAlignment="1">
      <alignment horizontal="center" vertical="center"/>
    </xf>
    <xf numFmtId="175" fontId="270" fillId="2" borderId="0" xfId="10067" applyNumberFormat="1" applyFont="1" applyFill="1" applyAlignment="1">
      <alignment horizontal="center" vertical="center" wrapText="1"/>
    </xf>
    <xf numFmtId="175" fontId="270" fillId="2" borderId="97" xfId="14537" applyNumberFormat="1" applyFont="1" applyFill="1" applyBorder="1" applyAlignment="1">
      <alignment horizontal="center" vertical="center" wrapText="1"/>
    </xf>
    <xf numFmtId="175" fontId="269" fillId="2" borderId="97" xfId="4459" applyNumberFormat="1" applyFont="1" applyFill="1" applyBorder="1" applyAlignment="1">
      <alignment horizontal="center" vertical="center" wrapText="1"/>
    </xf>
    <xf numFmtId="175" fontId="270" fillId="2" borderId="97" xfId="10479" applyNumberFormat="1" applyFont="1" applyFill="1" applyBorder="1" applyAlignment="1">
      <alignment horizontal="center" vertical="center" wrapText="1"/>
    </xf>
    <xf numFmtId="175" fontId="266" fillId="2" borderId="97" xfId="10479" applyNumberFormat="1" applyFont="1" applyFill="1" applyBorder="1" applyAlignment="1">
      <alignment horizontal="center" vertical="center" wrapText="1"/>
    </xf>
    <xf numFmtId="0" fontId="270" fillId="2" borderId="97" xfId="14551" applyFont="1" applyFill="1" applyBorder="1" applyAlignment="1">
      <alignment horizontal="center" vertical="center" wrapText="1"/>
    </xf>
    <xf numFmtId="0" fontId="270" fillId="95" borderId="97" xfId="10479" applyFont="1" applyFill="1" applyBorder="1" applyAlignment="1">
      <alignment vertical="center" wrapText="1"/>
    </xf>
    <xf numFmtId="0" fontId="266" fillId="95" borderId="97" xfId="14551" applyFont="1" applyFill="1" applyBorder="1" applyAlignment="1">
      <alignment vertical="center" wrapText="1"/>
    </xf>
    <xf numFmtId="0" fontId="266" fillId="2" borderId="97" xfId="14551" applyFont="1" applyFill="1" applyBorder="1" applyAlignment="1">
      <alignment vertical="center" wrapText="1"/>
    </xf>
    <xf numFmtId="175" fontId="270" fillId="2" borderId="97" xfId="4830" applyNumberFormat="1" applyFont="1" applyFill="1" applyBorder="1" applyAlignment="1">
      <alignment horizontal="left" vertical="center" wrapText="1"/>
    </xf>
    <xf numFmtId="364" fontId="270" fillId="2" borderId="97" xfId="0" applyFont="1" applyFill="1" applyBorder="1" applyAlignment="1">
      <alignment vertical="center" wrapText="1"/>
    </xf>
    <xf numFmtId="364" fontId="269" fillId="2" borderId="97" xfId="0" applyFont="1" applyFill="1" applyBorder="1" applyAlignment="1">
      <alignment vertical="center" wrapText="1"/>
    </xf>
    <xf numFmtId="0" fontId="270" fillId="2" borderId="0" xfId="10479" applyFont="1" applyFill="1" applyAlignment="1">
      <alignment horizontal="center" vertical="center" wrapText="1"/>
    </xf>
    <xf numFmtId="0" fontId="270" fillId="93" borderId="97" xfId="10479" applyFont="1" applyFill="1" applyBorder="1" applyAlignment="1">
      <alignment horizontal="center" vertical="center" wrapText="1"/>
    </xf>
    <xf numFmtId="364" fontId="270" fillId="2" borderId="97" xfId="0" applyFont="1" applyFill="1" applyBorder="1" applyAlignment="1">
      <alignment horizontal="center" vertical="center" wrapText="1"/>
    </xf>
    <xf numFmtId="1" fontId="270" fillId="2" borderId="97" xfId="10067" applyNumberFormat="1" applyFont="1" applyFill="1" applyBorder="1" applyAlignment="1" applyProtection="1">
      <alignment horizontal="center" vertical="center" wrapText="1"/>
    </xf>
    <xf numFmtId="0" fontId="270" fillId="95" borderId="97" xfId="10479" applyFont="1" applyFill="1" applyBorder="1" applyAlignment="1">
      <alignment horizontal="center" vertical="center" wrapText="1"/>
    </xf>
    <xf numFmtId="175" fontId="286" fillId="2" borderId="97" xfId="10067" applyNumberFormat="1" applyFont="1" applyFill="1" applyBorder="1" applyAlignment="1">
      <alignment horizontal="center" vertical="center" wrapText="1"/>
    </xf>
    <xf numFmtId="175" fontId="286" fillId="2" borderId="97" xfId="10479" applyNumberFormat="1" applyFont="1" applyFill="1" applyBorder="1" applyAlignment="1">
      <alignment horizontal="center" vertical="center" wrapText="1"/>
    </xf>
    <xf numFmtId="175" fontId="266" fillId="2" borderId="0" xfId="14578" applyNumberFormat="1" applyFont="1" applyFill="1" applyBorder="1" applyAlignment="1" applyProtection="1">
      <alignment horizontal="left" vertical="center" wrapText="1"/>
    </xf>
    <xf numFmtId="0" fontId="267" fillId="2" borderId="0" xfId="14648" applyFont="1" applyFill="1" applyAlignment="1">
      <alignment horizontal="centerContinuous" vertical="center" wrapText="1"/>
    </xf>
    <xf numFmtId="0" fontId="265" fillId="2" borderId="0" xfId="14648" applyFont="1" applyFill="1" applyAlignment="1">
      <alignment vertical="center" wrapText="1"/>
    </xf>
    <xf numFmtId="0" fontId="267" fillId="2" borderId="97" xfId="14648" applyFont="1" applyFill="1" applyBorder="1" applyAlignment="1">
      <alignment horizontal="center" vertical="center" wrapText="1"/>
    </xf>
    <xf numFmtId="0" fontId="265" fillId="2" borderId="97" xfId="14648" applyFont="1" applyFill="1" applyBorder="1" applyAlignment="1">
      <alignment vertical="center" wrapText="1"/>
    </xf>
    <xf numFmtId="0" fontId="17" fillId="2" borderId="97" xfId="14648" applyFont="1" applyFill="1" applyBorder="1" applyAlignment="1">
      <alignment horizontal="center" vertical="center" wrapText="1"/>
    </xf>
    <xf numFmtId="169" fontId="270" fillId="2" borderId="97" xfId="10479" applyNumberFormat="1" applyFont="1" applyFill="1" applyBorder="1" applyAlignment="1">
      <alignment horizontal="center" vertical="center" wrapText="1"/>
    </xf>
    <xf numFmtId="0" fontId="270" fillId="2" borderId="0" xfId="10479" applyFont="1" applyFill="1" applyAlignment="1">
      <alignment vertical="center" wrapText="1"/>
    </xf>
    <xf numFmtId="169" fontId="17" fillId="2" borderId="97" xfId="14648" applyNumberFormat="1" applyFont="1" applyFill="1" applyBorder="1" applyAlignment="1">
      <alignment vertical="center" wrapText="1"/>
    </xf>
    <xf numFmtId="0" fontId="266" fillId="95" borderId="97" xfId="14551" applyFont="1" applyFill="1" applyBorder="1" applyAlignment="1">
      <alignment horizontal="center" vertical="center" wrapText="1"/>
    </xf>
    <xf numFmtId="0" fontId="266" fillId="2" borderId="97" xfId="14551" applyFont="1" applyFill="1" applyBorder="1" applyAlignment="1">
      <alignment horizontal="center" vertical="center" wrapText="1"/>
    </xf>
    <xf numFmtId="175" fontId="290" fillId="2" borderId="97" xfId="10067" applyNumberFormat="1" applyFont="1" applyFill="1" applyBorder="1" applyAlignment="1">
      <alignment horizontal="center" vertical="center" wrapText="1"/>
    </xf>
    <xf numFmtId="175" fontId="291" fillId="2" borderId="97" xfId="10067" applyNumberFormat="1" applyFont="1" applyFill="1" applyBorder="1" applyAlignment="1">
      <alignment horizontal="center" vertical="center" wrapText="1"/>
    </xf>
    <xf numFmtId="175" fontId="270" fillId="2" borderId="97" xfId="4830" applyNumberFormat="1" applyFont="1" applyFill="1" applyBorder="1" applyAlignment="1">
      <alignment horizontal="center" vertical="center" wrapText="1"/>
    </xf>
    <xf numFmtId="175" fontId="269" fillId="0" borderId="97" xfId="10067" applyNumberFormat="1" applyFont="1" applyFill="1" applyBorder="1" applyAlignment="1">
      <alignment horizontal="center" vertical="center" wrapText="1"/>
    </xf>
    <xf numFmtId="364" fontId="269" fillId="2" borderId="97" xfId="0" applyFont="1" applyFill="1" applyBorder="1" applyAlignment="1">
      <alignment horizontal="center" vertical="center" wrapText="1"/>
    </xf>
    <xf numFmtId="364" fontId="0" fillId="0" borderId="0" xfId="0" applyAlignment="1">
      <alignment vertical="center" wrapText="1"/>
    </xf>
    <xf numFmtId="0" fontId="270" fillId="93" borderId="97" xfId="10479" applyFont="1" applyFill="1" applyBorder="1" applyAlignment="1">
      <alignment vertical="center" wrapText="1"/>
    </xf>
    <xf numFmtId="0" fontId="270" fillId="2" borderId="0" xfId="0" applyNumberFormat="1" applyFont="1" applyFill="1" applyAlignment="1">
      <alignment vertical="center" wrapText="1"/>
    </xf>
    <xf numFmtId="364" fontId="270" fillId="2" borderId="0" xfId="0" applyFont="1" applyFill="1" applyAlignment="1">
      <alignment vertical="center" wrapText="1"/>
    </xf>
    <xf numFmtId="364" fontId="270" fillId="2" borderId="0" xfId="0" applyFont="1" applyFill="1" applyAlignment="1">
      <alignment horizontal="center" vertical="center" wrapText="1"/>
    </xf>
    <xf numFmtId="0" fontId="267" fillId="2" borderId="0" xfId="14648" applyFont="1" applyFill="1" applyAlignment="1">
      <alignment horizontal="center" vertical="center"/>
    </xf>
    <xf numFmtId="1" fontId="266" fillId="2" borderId="97" xfId="14527" applyNumberFormat="1" applyFont="1" applyFill="1" applyBorder="1" applyAlignment="1">
      <alignment vertical="center" wrapText="1"/>
    </xf>
    <xf numFmtId="175" fontId="266" fillId="2" borderId="97" xfId="4459" applyNumberFormat="1" applyFont="1" applyFill="1" applyBorder="1" applyAlignment="1">
      <alignment vertical="center" wrapText="1"/>
    </xf>
    <xf numFmtId="175" fontId="270" fillId="2" borderId="97" xfId="4459" applyNumberFormat="1" applyFont="1" applyFill="1" applyBorder="1" applyAlignment="1">
      <alignment horizontal="right" vertical="center" wrapText="1"/>
    </xf>
    <xf numFmtId="0" fontId="270" fillId="2" borderId="97" xfId="14647" applyFont="1" applyFill="1" applyBorder="1" applyAlignment="1">
      <alignment horizontal="center" vertical="center" wrapText="1"/>
    </xf>
    <xf numFmtId="0" fontId="270" fillId="2" borderId="97" xfId="14538" applyFont="1" applyFill="1" applyBorder="1" applyAlignment="1">
      <alignment horizontal="center" vertical="center" wrapText="1"/>
    </xf>
    <xf numFmtId="1" fontId="270" fillId="96" borderId="97" xfId="14530" applyNumberFormat="1" applyFont="1" applyFill="1" applyBorder="1" applyAlignment="1">
      <alignment horizontal="center" vertical="center" wrapText="1"/>
    </xf>
    <xf numFmtId="0" fontId="270" fillId="96" borderId="97" xfId="14536" applyFont="1" applyFill="1" applyBorder="1" applyAlignment="1">
      <alignment horizontal="center" vertical="center" wrapText="1"/>
    </xf>
    <xf numFmtId="0" fontId="270" fillId="96" borderId="97" xfId="10479" applyFont="1" applyFill="1" applyBorder="1" applyAlignment="1">
      <alignment vertical="center" wrapText="1"/>
    </xf>
    <xf numFmtId="0" fontId="269" fillId="2" borderId="97" xfId="14536" applyFont="1" applyFill="1" applyBorder="1" applyAlignment="1">
      <alignment horizontal="center" vertical="center" wrapText="1"/>
    </xf>
    <xf numFmtId="1" fontId="267" fillId="96" borderId="87" xfId="0" quotePrefix="1" applyNumberFormat="1" applyFont="1" applyFill="1" applyBorder="1" applyAlignment="1">
      <alignment horizontal="center" vertical="center" wrapText="1"/>
    </xf>
    <xf numFmtId="169" fontId="266" fillId="97" borderId="97" xfId="10474" applyNumberFormat="1" applyFont="1" applyFill="1" applyBorder="1" applyAlignment="1">
      <alignment horizontal="center" vertical="center" wrapText="1"/>
    </xf>
    <xf numFmtId="169" fontId="266" fillId="97" borderId="97" xfId="10474" applyNumberFormat="1" applyFont="1" applyFill="1" applyBorder="1" applyAlignment="1">
      <alignment horizontal="left" vertical="center" wrapText="1"/>
    </xf>
    <xf numFmtId="175" fontId="267" fillId="97" borderId="97" xfId="10067" applyNumberFormat="1" applyFont="1" applyFill="1" applyBorder="1" applyAlignment="1">
      <alignment horizontal="center" vertical="center" wrapText="1"/>
    </xf>
    <xf numFmtId="0" fontId="266" fillId="97" borderId="97" xfId="10474" applyFont="1" applyFill="1" applyBorder="1" applyAlignment="1">
      <alignment horizontal="center" vertical="center" wrapText="1"/>
    </xf>
    <xf numFmtId="0" fontId="17" fillId="97" borderId="97" xfId="10479" applyFont="1" applyFill="1" applyBorder="1" applyAlignment="1">
      <alignment horizontal="center" vertical="center" wrapText="1"/>
    </xf>
    <xf numFmtId="175" fontId="17" fillId="97" borderId="97" xfId="10067" applyNumberFormat="1" applyFont="1" applyFill="1" applyBorder="1" applyAlignment="1">
      <alignment horizontal="center" vertical="center" wrapText="1"/>
    </xf>
    <xf numFmtId="0" fontId="17" fillId="97" borderId="97" xfId="10479" applyFont="1" applyFill="1" applyBorder="1" applyAlignment="1">
      <alignment vertical="center" wrapText="1"/>
    </xf>
    <xf numFmtId="0" fontId="266" fillId="97" borderId="88" xfId="10474" applyFont="1" applyFill="1" applyBorder="1" applyAlignment="1">
      <alignment horizontal="center" vertical="center" wrapText="1"/>
    </xf>
    <xf numFmtId="169" fontId="266" fillId="97" borderId="88" xfId="10474" applyNumberFormat="1" applyFont="1" applyFill="1" applyBorder="1" applyAlignment="1">
      <alignment horizontal="left" vertical="center" wrapText="1"/>
    </xf>
    <xf numFmtId="0" fontId="17" fillId="97" borderId="88" xfId="10479" applyFont="1" applyFill="1" applyBorder="1" applyAlignment="1">
      <alignment horizontal="center" vertical="center" wrapText="1"/>
    </xf>
    <xf numFmtId="175" fontId="17" fillId="97" borderId="88" xfId="10067" applyNumberFormat="1" applyFont="1" applyFill="1" applyBorder="1" applyAlignment="1">
      <alignment horizontal="center" vertical="center" wrapText="1"/>
    </xf>
    <xf numFmtId="0" fontId="17" fillId="97" borderId="88" xfId="10479" applyFont="1" applyFill="1" applyBorder="1" applyAlignment="1">
      <alignment vertical="center" wrapText="1"/>
    </xf>
    <xf numFmtId="0" fontId="270" fillId="97" borderId="88" xfId="10479" applyFont="1" applyFill="1" applyBorder="1"/>
    <xf numFmtId="175" fontId="266" fillId="97" borderId="88" xfId="10067" applyNumberFormat="1" applyFont="1" applyFill="1" applyBorder="1"/>
    <xf numFmtId="0" fontId="270" fillId="97" borderId="88" xfId="10479" applyFont="1" applyFill="1" applyBorder="1" applyAlignment="1">
      <alignment wrapText="1"/>
    </xf>
    <xf numFmtId="169" fontId="266" fillId="97" borderId="97" xfId="10067" applyFont="1" applyFill="1" applyBorder="1" applyAlignment="1">
      <alignment horizontal="center" vertical="center" wrapText="1"/>
    </xf>
    <xf numFmtId="0" fontId="270" fillId="97" borderId="97" xfId="10479" applyFont="1" applyFill="1" applyBorder="1" applyAlignment="1">
      <alignment horizontal="center" vertical="center" wrapText="1"/>
    </xf>
    <xf numFmtId="0" fontId="270" fillId="97" borderId="97" xfId="10479" applyFont="1" applyFill="1" applyBorder="1" applyAlignment="1">
      <alignment vertical="center" wrapText="1"/>
    </xf>
    <xf numFmtId="0" fontId="17" fillId="2" borderId="97" xfId="14648" applyFont="1" applyFill="1" applyBorder="1" applyAlignment="1">
      <alignment vertical="center" wrapText="1"/>
    </xf>
    <xf numFmtId="49" fontId="267" fillId="97" borderId="88" xfId="14536" applyNumberFormat="1" applyFont="1" applyFill="1" applyBorder="1" applyAlignment="1">
      <alignment horizontal="center" vertical="center" wrapText="1"/>
    </xf>
    <xf numFmtId="0" fontId="270" fillId="97" borderId="88" xfId="10479" applyFont="1" applyFill="1" applyBorder="1" applyAlignment="1">
      <alignment horizontal="center" vertical="center" wrapText="1"/>
    </xf>
    <xf numFmtId="0" fontId="270" fillId="97" borderId="88" xfId="10479" applyFont="1" applyFill="1" applyBorder="1" applyAlignment="1">
      <alignment vertical="center" wrapText="1"/>
    </xf>
    <xf numFmtId="175" fontId="266" fillId="97" borderId="88" xfId="10067" applyNumberFormat="1" applyFont="1" applyFill="1" applyBorder="1" applyAlignment="1">
      <alignment vertical="center" wrapText="1"/>
    </xf>
    <xf numFmtId="364" fontId="270" fillId="97" borderId="88" xfId="0" applyFont="1" applyFill="1" applyBorder="1" applyAlignment="1">
      <alignment vertical="center" wrapText="1"/>
    </xf>
    <xf numFmtId="0" fontId="6" fillId="93" borderId="97" xfId="10479" applyFill="1" applyBorder="1" applyAlignment="1">
      <alignment vertical="center"/>
    </xf>
    <xf numFmtId="0" fontId="6" fillId="2" borderId="97" xfId="10479" applyFill="1" applyBorder="1" applyAlignment="1">
      <alignment vertical="center"/>
    </xf>
    <xf numFmtId="0" fontId="270" fillId="97" borderId="97" xfId="10479" applyFont="1" applyFill="1" applyBorder="1" applyAlignment="1">
      <alignment vertical="center"/>
    </xf>
    <xf numFmtId="169" fontId="266" fillId="97" borderId="97" xfId="10474" applyNumberFormat="1" applyFont="1" applyFill="1" applyBorder="1" applyAlignment="1">
      <alignment horizontal="left" vertical="center"/>
    </xf>
    <xf numFmtId="0" fontId="266" fillId="97" borderId="97" xfId="14536" applyFont="1" applyFill="1" applyBorder="1" applyAlignment="1">
      <alignment horizontal="left" vertical="center" wrapText="1"/>
    </xf>
    <xf numFmtId="175" fontId="266" fillId="97" borderId="97" xfId="10067" applyNumberFormat="1" applyFont="1" applyFill="1" applyBorder="1" applyAlignment="1">
      <alignment horizontal="left" vertical="center" wrapText="1"/>
    </xf>
    <xf numFmtId="0" fontId="289" fillId="97" borderId="97" xfId="14552" applyFont="1" applyFill="1" applyBorder="1" applyAlignment="1">
      <alignment horizontal="center" vertical="center"/>
    </xf>
    <xf numFmtId="0" fontId="289" fillId="97" borderId="97" xfId="14552" applyFont="1" applyFill="1" applyBorder="1" applyAlignment="1">
      <alignment vertical="center"/>
    </xf>
    <xf numFmtId="0" fontId="6" fillId="97" borderId="97" xfId="10479" applyFill="1" applyBorder="1" applyAlignment="1">
      <alignment vertical="center"/>
    </xf>
    <xf numFmtId="169" fontId="266" fillId="93" borderId="97" xfId="10474" applyNumberFormat="1" applyFont="1" applyFill="1" applyBorder="1" applyAlignment="1">
      <alignment horizontal="center" vertical="center" wrapText="1"/>
    </xf>
    <xf numFmtId="0" fontId="270" fillId="97" borderId="88" xfId="10479" applyFont="1" applyFill="1" applyBorder="1" applyAlignment="1">
      <alignment vertical="center"/>
    </xf>
    <xf numFmtId="175" fontId="289" fillId="99" borderId="88" xfId="10067" applyNumberFormat="1" applyFont="1" applyFill="1" applyBorder="1" applyAlignment="1">
      <alignment vertical="center" wrapText="1"/>
    </xf>
    <xf numFmtId="2" fontId="270" fillId="97" borderId="88" xfId="14536" applyNumberFormat="1" applyFont="1" applyFill="1" applyBorder="1" applyAlignment="1">
      <alignment horizontal="center" vertical="center" wrapText="1"/>
    </xf>
    <xf numFmtId="330" fontId="270" fillId="97" borderId="88" xfId="14536" applyNumberFormat="1" applyFont="1" applyFill="1" applyBorder="1" applyAlignment="1">
      <alignment horizontal="center" vertical="center" wrapText="1"/>
    </xf>
    <xf numFmtId="175" fontId="266" fillId="97" borderId="88" xfId="10067" applyNumberFormat="1" applyFont="1" applyFill="1" applyBorder="1" applyAlignment="1">
      <alignment vertical="center"/>
    </xf>
    <xf numFmtId="0" fontId="289" fillId="97" borderId="97" xfId="14552" applyFont="1" applyFill="1" applyBorder="1" applyAlignment="1">
      <alignment vertical="center" wrapText="1"/>
    </xf>
    <xf numFmtId="0" fontId="266" fillId="97" borderId="97" xfId="14536" applyFont="1" applyFill="1" applyBorder="1" applyAlignment="1">
      <alignment vertical="center" wrapText="1"/>
    </xf>
    <xf numFmtId="49" fontId="267" fillId="2" borderId="88" xfId="14536" applyNumberFormat="1" applyFont="1" applyFill="1" applyBorder="1" applyAlignment="1">
      <alignment horizontal="center" vertical="center" wrapText="1"/>
    </xf>
    <xf numFmtId="175" fontId="289" fillId="98" borderId="88" xfId="10067" applyNumberFormat="1" applyFont="1" applyFill="1" applyBorder="1" applyAlignment="1">
      <alignment vertical="center" wrapText="1"/>
    </xf>
    <xf numFmtId="1" fontId="266" fillId="96" borderId="87" xfId="10474" applyNumberFormat="1" applyFont="1" applyFill="1" applyBorder="1" applyAlignment="1">
      <alignment horizontal="center" vertical="center" wrapText="1"/>
    </xf>
    <xf numFmtId="364" fontId="270" fillId="97" borderId="97" xfId="0" applyFont="1" applyFill="1" applyBorder="1" applyAlignment="1">
      <alignment vertical="center" wrapText="1"/>
    </xf>
    <xf numFmtId="364" fontId="270" fillId="97" borderId="93" xfId="0" applyFont="1" applyFill="1" applyBorder="1" applyAlignment="1">
      <alignment vertical="center" wrapText="1"/>
    </xf>
    <xf numFmtId="49" fontId="17" fillId="97" borderId="97" xfId="14536" applyNumberFormat="1" applyFont="1" applyFill="1" applyBorder="1" applyAlignment="1">
      <alignment horizontal="center" vertical="center" wrapText="1"/>
    </xf>
    <xf numFmtId="169" fontId="270" fillId="97" borderId="97" xfId="10067" applyFont="1" applyFill="1" applyBorder="1" applyAlignment="1">
      <alignment vertical="center" wrapText="1"/>
    </xf>
    <xf numFmtId="169" fontId="270" fillId="97" borderId="97" xfId="10067" applyFont="1" applyFill="1" applyBorder="1" applyAlignment="1">
      <alignment horizontal="center" vertical="center" wrapText="1"/>
    </xf>
    <xf numFmtId="169" fontId="270" fillId="97" borderId="88" xfId="10067" applyFont="1" applyFill="1" applyBorder="1" applyAlignment="1">
      <alignment vertical="center" wrapText="1"/>
    </xf>
    <xf numFmtId="169" fontId="270" fillId="97" borderId="88" xfId="10067" applyFont="1" applyFill="1" applyBorder="1" applyAlignment="1">
      <alignment horizontal="center" vertical="center" wrapText="1"/>
    </xf>
    <xf numFmtId="0" fontId="266" fillId="96" borderId="87" xfId="10474" applyFont="1" applyFill="1" applyBorder="1" applyAlignment="1">
      <alignment horizontal="center" vertical="center" wrapText="1"/>
    </xf>
    <xf numFmtId="49" fontId="266" fillId="96" borderId="87" xfId="1" applyNumberFormat="1" applyFont="1" applyFill="1" applyBorder="1" applyAlignment="1">
      <alignment horizontal="center" vertical="center" wrapText="1"/>
    </xf>
    <xf numFmtId="1" fontId="266" fillId="96" borderId="87" xfId="10067" applyNumberFormat="1" applyFont="1" applyFill="1" applyBorder="1" applyAlignment="1">
      <alignment horizontal="center" vertical="center" wrapText="1"/>
    </xf>
    <xf numFmtId="175" fontId="266" fillId="2" borderId="97" xfId="4691" applyNumberFormat="1" applyFont="1" applyFill="1" applyBorder="1" applyAlignment="1">
      <alignment horizontal="center" vertical="center" wrapText="1"/>
    </xf>
    <xf numFmtId="1" fontId="270" fillId="2" borderId="97" xfId="14537" applyNumberFormat="1" applyFont="1" applyFill="1" applyBorder="1" applyAlignment="1">
      <alignment horizontal="center" vertical="center" wrapText="1"/>
    </xf>
    <xf numFmtId="169" fontId="266" fillId="95" borderId="97" xfId="10067" applyFont="1" applyFill="1" applyBorder="1" applyAlignment="1">
      <alignment horizontal="center" vertical="center" wrapText="1"/>
    </xf>
    <xf numFmtId="0" fontId="270" fillId="2" borderId="97" xfId="14553" applyFont="1" applyFill="1" applyBorder="1" applyAlignment="1">
      <alignment vertical="center" wrapText="1"/>
    </xf>
    <xf numFmtId="175" fontId="270" fillId="97" borderId="88" xfId="10067" applyNumberFormat="1" applyFont="1" applyFill="1" applyBorder="1" applyAlignment="1">
      <alignment horizontal="center" vertical="center" wrapText="1"/>
    </xf>
    <xf numFmtId="364" fontId="266" fillId="0" borderId="96" xfId="0" applyFont="1" applyBorder="1" applyAlignment="1">
      <alignment vertical="center"/>
    </xf>
    <xf numFmtId="49" fontId="270" fillId="0" borderId="96" xfId="0" applyNumberFormat="1" applyFont="1" applyBorder="1" applyAlignment="1">
      <alignment horizontal="center" vertical="center"/>
    </xf>
    <xf numFmtId="364" fontId="270" fillId="0" borderId="96" xfId="0" applyFont="1" applyBorder="1" applyAlignment="1">
      <alignment horizontal="left" vertical="center"/>
    </xf>
    <xf numFmtId="175" fontId="270" fillId="0" borderId="96" xfId="10067" applyNumberFormat="1" applyFont="1" applyBorder="1" applyAlignment="1">
      <alignment vertical="center"/>
    </xf>
    <xf numFmtId="169" fontId="270" fillId="93" borderId="97" xfId="10067" applyFont="1" applyFill="1" applyBorder="1" applyAlignment="1">
      <alignment vertical="center" wrapText="1"/>
    </xf>
    <xf numFmtId="169" fontId="270" fillId="93" borderId="97" xfId="10067" applyFont="1" applyFill="1" applyBorder="1" applyAlignment="1">
      <alignment horizontal="center" vertical="center" wrapText="1"/>
    </xf>
    <xf numFmtId="169" fontId="270" fillId="95" borderId="97" xfId="10067" applyFont="1" applyFill="1" applyBorder="1" applyAlignment="1">
      <alignment horizontal="center" vertical="center" wrapText="1"/>
    </xf>
    <xf numFmtId="169" fontId="270" fillId="95" borderId="97" xfId="10067" applyFont="1" applyFill="1" applyBorder="1" applyAlignment="1">
      <alignment vertical="center" wrapText="1"/>
    </xf>
    <xf numFmtId="169" fontId="266" fillId="95" borderId="97" xfId="10067" applyFont="1" applyFill="1" applyBorder="1" applyAlignment="1">
      <alignment vertical="center" wrapText="1"/>
    </xf>
    <xf numFmtId="169" fontId="270" fillId="2" borderId="97" xfId="10067" applyFont="1" applyFill="1" applyBorder="1" applyAlignment="1">
      <alignment horizontal="right" vertical="center" wrapText="1"/>
    </xf>
    <xf numFmtId="169" fontId="270" fillId="2" borderId="97" xfId="10067" applyFont="1" applyFill="1" applyBorder="1" applyAlignment="1">
      <alignment horizontal="left" vertical="center" wrapText="1"/>
    </xf>
    <xf numFmtId="169" fontId="266" fillId="2" borderId="97" xfId="10067" applyFont="1" applyFill="1" applyBorder="1" applyAlignment="1">
      <alignment horizontal="right" vertical="center" wrapText="1"/>
    </xf>
    <xf numFmtId="169" fontId="269" fillId="2" borderId="97" xfId="10067" applyFont="1" applyFill="1" applyBorder="1" applyAlignment="1">
      <alignment vertical="center" wrapText="1"/>
    </xf>
    <xf numFmtId="169" fontId="269" fillId="2" borderId="97" xfId="10067" applyFont="1" applyFill="1" applyBorder="1" applyAlignment="1">
      <alignment horizontal="center" vertical="center" wrapText="1"/>
    </xf>
    <xf numFmtId="169" fontId="266" fillId="96" borderId="97" xfId="10067" applyFont="1" applyFill="1" applyBorder="1" applyAlignment="1">
      <alignment horizontal="center" vertical="center" wrapText="1"/>
    </xf>
    <xf numFmtId="169" fontId="266" fillId="96" borderId="97" xfId="10067" applyFont="1" applyFill="1" applyBorder="1" applyAlignment="1">
      <alignment vertical="center" wrapText="1"/>
    </xf>
    <xf numFmtId="169" fontId="272" fillId="2" borderId="97" xfId="10067" applyFont="1" applyFill="1" applyBorder="1" applyAlignment="1">
      <alignment horizontal="center" vertical="center" wrapText="1"/>
    </xf>
    <xf numFmtId="169" fontId="270" fillId="97" borderId="97" xfId="10067" applyFont="1" applyFill="1" applyBorder="1" applyAlignment="1">
      <alignment vertical="center"/>
    </xf>
    <xf numFmtId="169" fontId="270" fillId="93" borderId="97" xfId="10067" applyFont="1" applyFill="1" applyBorder="1" applyAlignment="1">
      <alignment vertical="center"/>
    </xf>
    <xf numFmtId="169" fontId="270" fillId="96" borderId="97" xfId="10067" applyFont="1" applyFill="1" applyBorder="1" applyAlignment="1">
      <alignment vertical="center"/>
    </xf>
    <xf numFmtId="169" fontId="269" fillId="96" borderId="97" xfId="10067" applyFont="1" applyFill="1" applyBorder="1" applyAlignment="1">
      <alignment vertical="center" wrapText="1"/>
    </xf>
    <xf numFmtId="169" fontId="270" fillId="96" borderId="97" xfId="10067" applyFont="1" applyFill="1" applyBorder="1" applyAlignment="1">
      <alignment vertical="center" wrapText="1"/>
    </xf>
    <xf numFmtId="169" fontId="270" fillId="97" borderId="88" xfId="10067" applyFont="1" applyFill="1" applyBorder="1" applyAlignment="1">
      <alignment vertical="center"/>
    </xf>
    <xf numFmtId="0" fontId="6" fillId="2" borderId="0" xfId="10479" applyFill="1" applyAlignment="1">
      <alignment vertical="center"/>
    </xf>
    <xf numFmtId="169" fontId="6" fillId="2" borderId="0" xfId="10067" applyFill="1" applyAlignment="1">
      <alignment vertical="center"/>
    </xf>
    <xf numFmtId="169" fontId="6" fillId="2" borderId="0" xfId="10067" applyFont="1" applyFill="1" applyAlignment="1">
      <alignment vertical="center" wrapText="1"/>
    </xf>
    <xf numFmtId="169" fontId="6" fillId="97" borderId="97" xfId="10067" applyFill="1" applyBorder="1" applyAlignment="1">
      <alignment vertical="center"/>
    </xf>
    <xf numFmtId="169" fontId="6" fillId="93" borderId="97" xfId="10067" applyFill="1" applyBorder="1" applyAlignment="1">
      <alignment vertical="center"/>
    </xf>
    <xf numFmtId="169" fontId="6" fillId="2" borderId="97" xfId="10067" applyFill="1" applyBorder="1" applyAlignment="1">
      <alignment vertical="center"/>
    </xf>
    <xf numFmtId="169" fontId="6" fillId="2" borderId="97" xfId="10067" applyFill="1" applyBorder="1" applyAlignment="1">
      <alignment vertical="center" wrapText="1"/>
    </xf>
    <xf numFmtId="169" fontId="6" fillId="2" borderId="97" xfId="10067" applyFill="1" applyBorder="1" applyAlignment="1">
      <alignment horizontal="center" vertical="center" wrapText="1"/>
    </xf>
    <xf numFmtId="169" fontId="6" fillId="93" borderId="97" xfId="10067" applyFont="1" applyFill="1" applyBorder="1" applyAlignment="1">
      <alignment horizontal="center" vertical="center" wrapText="1"/>
    </xf>
    <xf numFmtId="169" fontId="289" fillId="99" borderId="97" xfId="10067" applyFont="1" applyFill="1" applyBorder="1" applyAlignment="1">
      <alignment vertical="center" wrapText="1"/>
    </xf>
    <xf numFmtId="169" fontId="289" fillId="99" borderId="88" xfId="10067" applyFont="1" applyFill="1" applyBorder="1" applyAlignment="1">
      <alignment vertical="center" wrapText="1"/>
    </xf>
    <xf numFmtId="49" fontId="266" fillId="96" borderId="96" xfId="10067" applyNumberFormat="1" applyFont="1" applyFill="1" applyBorder="1" applyAlignment="1">
      <alignment horizontal="center" vertical="center" wrapText="1"/>
    </xf>
    <xf numFmtId="49" fontId="267" fillId="96" borderId="87" xfId="14536" applyNumberFormat="1" applyFont="1" applyFill="1" applyBorder="1" applyAlignment="1">
      <alignment horizontal="center" vertical="center" wrapText="1"/>
    </xf>
    <xf numFmtId="49" fontId="266" fillId="96" borderId="87" xfId="10474" applyNumberFormat="1" applyFont="1" applyFill="1" applyBorder="1" applyAlignment="1">
      <alignment horizontal="center" vertical="center" wrapText="1"/>
    </xf>
    <xf numFmtId="49" fontId="267" fillId="96" borderId="87" xfId="10067" quotePrefix="1" applyNumberFormat="1" applyFont="1" applyFill="1" applyBorder="1" applyAlignment="1">
      <alignment horizontal="center" vertical="center" wrapText="1"/>
    </xf>
    <xf numFmtId="49" fontId="267" fillId="96" borderId="87" xfId="0" quotePrefix="1" applyNumberFormat="1" applyFont="1" applyFill="1" applyBorder="1" applyAlignment="1">
      <alignment horizontal="center" vertical="center" wrapText="1"/>
    </xf>
    <xf numFmtId="49" fontId="267" fillId="96" borderId="87" xfId="14648" applyNumberFormat="1" applyFont="1" applyFill="1" applyBorder="1" applyAlignment="1">
      <alignment horizontal="center" vertical="center" wrapText="1"/>
    </xf>
    <xf numFmtId="49" fontId="267" fillId="96" borderId="87" xfId="14555" applyNumberFormat="1" applyFont="1" applyFill="1" applyBorder="1" applyAlignment="1">
      <alignment horizontal="center" vertical="center" wrapText="1"/>
    </xf>
    <xf numFmtId="49" fontId="267" fillId="96" borderId="96" xfId="10479" applyNumberFormat="1" applyFont="1" applyFill="1" applyBorder="1" applyAlignment="1">
      <alignment horizontal="center" vertical="center" wrapText="1"/>
    </xf>
    <xf numFmtId="49" fontId="266" fillId="96" borderId="87" xfId="10479" applyNumberFormat="1" applyFont="1" applyFill="1" applyBorder="1" applyAlignment="1">
      <alignment horizontal="center" vertical="center" wrapText="1"/>
    </xf>
    <xf numFmtId="49" fontId="266" fillId="96" borderId="87" xfId="10067" applyNumberFormat="1" applyFont="1" applyFill="1" applyBorder="1" applyAlignment="1">
      <alignment horizontal="center" vertical="center"/>
    </xf>
    <xf numFmtId="49" fontId="17" fillId="96" borderId="90" xfId="10479" applyNumberFormat="1" applyFont="1" applyFill="1" applyBorder="1" applyAlignment="1">
      <alignment horizontal="center" vertical="center"/>
    </xf>
    <xf numFmtId="49" fontId="267" fillId="96" borderId="90" xfId="10479" applyNumberFormat="1" applyFont="1" applyFill="1" applyBorder="1" applyAlignment="1">
      <alignment horizontal="center" vertical="center"/>
    </xf>
    <xf numFmtId="49" fontId="277" fillId="96" borderId="96" xfId="10067" applyNumberFormat="1" applyFont="1" applyFill="1" applyBorder="1" applyAlignment="1">
      <alignment horizontal="center" vertical="center" wrapText="1"/>
    </xf>
    <xf numFmtId="49" fontId="267" fillId="96" borderId="87" xfId="10479" applyNumberFormat="1" applyFont="1" applyFill="1" applyBorder="1" applyAlignment="1">
      <alignment horizontal="center" vertical="center" wrapText="1"/>
    </xf>
    <xf numFmtId="49" fontId="267" fillId="96" borderId="87" xfId="10067" applyNumberFormat="1" applyFont="1" applyFill="1" applyBorder="1" applyAlignment="1">
      <alignment horizontal="center" vertical="center" wrapText="1"/>
    </xf>
    <xf numFmtId="49" fontId="17" fillId="96" borderId="87" xfId="10479" applyNumberFormat="1" applyFont="1" applyFill="1" applyBorder="1" applyAlignment="1">
      <alignment horizontal="center" vertical="center"/>
    </xf>
    <xf numFmtId="49" fontId="267" fillId="96" borderId="87" xfId="10479" applyNumberFormat="1" applyFont="1" applyFill="1" applyBorder="1" applyAlignment="1">
      <alignment horizontal="center" vertical="center"/>
    </xf>
    <xf numFmtId="49" fontId="271" fillId="96" borderId="87" xfId="0" quotePrefix="1" applyNumberFormat="1" applyFont="1" applyFill="1" applyBorder="1" applyAlignment="1">
      <alignment horizontal="center" vertical="center" wrapText="1"/>
    </xf>
    <xf numFmtId="49" fontId="271" fillId="96" borderId="87" xfId="10067" quotePrefix="1" applyNumberFormat="1" applyFont="1" applyFill="1" applyBorder="1" applyAlignment="1">
      <alignment horizontal="center" vertical="center" wrapText="1"/>
    </xf>
    <xf numFmtId="49" fontId="272" fillId="96" borderId="87" xfId="10479" applyNumberFormat="1" applyFont="1" applyFill="1" applyBorder="1" applyAlignment="1">
      <alignment horizontal="center" vertical="center"/>
    </xf>
    <xf numFmtId="49" fontId="267" fillId="96" borderId="87" xfId="14554" applyNumberFormat="1" applyFont="1" applyFill="1" applyBorder="1" applyAlignment="1">
      <alignment horizontal="center" vertical="center" wrapText="1"/>
    </xf>
    <xf numFmtId="49" fontId="267" fillId="96" borderId="87" xfId="14554" applyNumberFormat="1" applyFont="1" applyFill="1" applyBorder="1" applyAlignment="1">
      <alignment horizontal="center" vertical="center"/>
    </xf>
    <xf numFmtId="49" fontId="267" fillId="96" borderId="87" xfId="14526" applyNumberFormat="1" applyFont="1" applyFill="1" applyBorder="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169" fontId="294" fillId="2" borderId="97" xfId="10067" applyFont="1" applyFill="1" applyBorder="1" applyAlignment="1">
      <alignment vertical="center" wrapText="1"/>
    </xf>
    <xf numFmtId="169" fontId="294" fillId="2" borderId="97" xfId="10067" applyFont="1" applyFill="1" applyBorder="1" applyAlignment="1">
      <alignment horizontal="center" vertical="center" wrapText="1"/>
    </xf>
    <xf numFmtId="175" fontId="294" fillId="2" borderId="97" xfId="10067" applyNumberFormat="1" applyFont="1" applyFill="1" applyBorder="1" applyAlignment="1">
      <alignment horizontal="center" vertical="center" wrapText="1"/>
    </xf>
    <xf numFmtId="0" fontId="294" fillId="2" borderId="97" xfId="10479" applyFont="1" applyFill="1" applyBorder="1" applyAlignment="1">
      <alignment vertical="center" wrapText="1"/>
    </xf>
    <xf numFmtId="175" fontId="294" fillId="2" borderId="97" xfId="10479" applyNumberFormat="1" applyFont="1" applyFill="1" applyBorder="1" applyAlignment="1">
      <alignment horizontal="center" vertical="center" wrapText="1"/>
    </xf>
    <xf numFmtId="364" fontId="293" fillId="0" borderId="0" xfId="0" applyFont="1" applyAlignment="1">
      <alignment vertical="center" wrapText="1"/>
    </xf>
    <xf numFmtId="169" fontId="0" fillId="0" borderId="0" xfId="10067" applyFont="1" applyAlignment="1">
      <alignment horizontal="center"/>
    </xf>
    <xf numFmtId="0" fontId="270" fillId="97" borderId="97" xfId="10479" applyFont="1" applyFill="1" applyBorder="1" applyAlignment="1">
      <alignment horizontal="center" vertical="center"/>
    </xf>
    <xf numFmtId="0" fontId="270" fillId="2" borderId="97" xfId="10479" applyFont="1" applyFill="1" applyBorder="1" applyAlignment="1">
      <alignment horizontal="center" vertical="center"/>
    </xf>
    <xf numFmtId="169" fontId="270" fillId="2" borderId="97" xfId="10067" applyFont="1" applyFill="1" applyBorder="1" applyAlignment="1">
      <alignment horizontal="center" vertical="center"/>
    </xf>
    <xf numFmtId="0" fontId="270" fillId="97" borderId="88" xfId="10479" applyFont="1" applyFill="1" applyBorder="1" applyAlignment="1">
      <alignment horizontal="center" vertical="center"/>
    </xf>
    <xf numFmtId="364" fontId="0" fillId="0" borderId="0" xfId="0" applyAlignment="1">
      <alignment horizontal="center" vertical="center"/>
    </xf>
    <xf numFmtId="0" fontId="6" fillId="2" borderId="0" xfId="10479" applyFill="1" applyAlignment="1">
      <alignment horizontal="center" vertical="center"/>
    </xf>
    <xf numFmtId="0" fontId="6" fillId="2" borderId="0" xfId="14527" applyFont="1" applyFill="1" applyAlignment="1">
      <alignment horizontal="center" vertical="center" wrapText="1"/>
    </xf>
    <xf numFmtId="0" fontId="6" fillId="97" borderId="97" xfId="10479" applyFill="1" applyBorder="1" applyAlignment="1">
      <alignment horizontal="center" vertical="center"/>
    </xf>
    <xf numFmtId="0" fontId="6" fillId="93" borderId="97" xfId="10479" applyFill="1" applyBorder="1" applyAlignment="1">
      <alignment horizontal="center" vertical="center"/>
    </xf>
    <xf numFmtId="0" fontId="6" fillId="2" borderId="97" xfId="10479" applyFill="1" applyBorder="1" applyAlignment="1">
      <alignment horizontal="center" vertical="center"/>
    </xf>
    <xf numFmtId="175" fontId="6" fillId="2" borderId="97" xfId="10067" applyNumberFormat="1" applyFill="1" applyBorder="1" applyAlignment="1">
      <alignment horizontal="center" vertical="center" wrapText="1"/>
    </xf>
    <xf numFmtId="169" fontId="6" fillId="2" borderId="0" xfId="10067" applyFill="1" applyAlignment="1">
      <alignment horizontal="center" vertical="center"/>
    </xf>
    <xf numFmtId="169" fontId="6" fillId="2" borderId="0" xfId="10067" applyFont="1" applyFill="1" applyAlignment="1">
      <alignment horizontal="center" vertical="center" wrapText="1"/>
    </xf>
    <xf numFmtId="169" fontId="6" fillId="97" borderId="97" xfId="10067" applyFill="1" applyBorder="1" applyAlignment="1">
      <alignment horizontal="center" vertical="center"/>
    </xf>
    <xf numFmtId="169" fontId="6" fillId="93" borderId="97" xfId="10067" applyFill="1" applyBorder="1" applyAlignment="1">
      <alignment horizontal="center" vertical="center"/>
    </xf>
    <xf numFmtId="169" fontId="6" fillId="2" borderId="97" xfId="10067" applyFill="1" applyBorder="1" applyAlignment="1">
      <alignment horizontal="center" vertical="center"/>
    </xf>
    <xf numFmtId="169" fontId="289" fillId="99" borderId="97" xfId="10067" applyFont="1" applyFill="1" applyBorder="1" applyAlignment="1">
      <alignment horizontal="center" vertical="center" wrapText="1"/>
    </xf>
    <xf numFmtId="169" fontId="270" fillId="97" borderId="97" xfId="10067" applyFont="1" applyFill="1" applyBorder="1" applyAlignment="1">
      <alignment horizontal="center" vertical="center"/>
    </xf>
    <xf numFmtId="169" fontId="289" fillId="99" borderId="88" xfId="10067" applyFont="1" applyFill="1" applyBorder="1" applyAlignment="1">
      <alignment horizontal="center" vertical="center" wrapText="1"/>
    </xf>
    <xf numFmtId="169" fontId="270" fillId="97" borderId="88" xfId="10067" applyFont="1" applyFill="1" applyBorder="1" applyAlignment="1">
      <alignment horizontal="center" vertical="center"/>
    </xf>
    <xf numFmtId="169" fontId="0" fillId="0" borderId="0" xfId="10067" applyFont="1" applyAlignment="1">
      <alignment horizontal="center" vertical="center"/>
    </xf>
    <xf numFmtId="169" fontId="270" fillId="93" borderId="97" xfId="10067" applyFont="1" applyFill="1" applyBorder="1" applyAlignment="1">
      <alignment horizontal="center" vertical="center"/>
    </xf>
    <xf numFmtId="169" fontId="270" fillId="96" borderId="97" xfId="10067" applyFont="1" applyFill="1" applyBorder="1" applyAlignment="1">
      <alignment horizontal="center" vertical="center"/>
    </xf>
    <xf numFmtId="169" fontId="269" fillId="96" borderId="97" xfId="10067" applyFont="1" applyFill="1" applyBorder="1" applyAlignment="1">
      <alignment horizontal="center" vertical="center" wrapText="1"/>
    </xf>
    <xf numFmtId="169" fontId="270" fillId="96" borderId="97" xfId="10067" applyFont="1" applyFill="1" applyBorder="1" applyAlignment="1">
      <alignment horizontal="center" vertical="center" wrapText="1"/>
    </xf>
    <xf numFmtId="175" fontId="266" fillId="96" borderId="91" xfId="10067" applyNumberFormat="1" applyFont="1" applyFill="1" applyBorder="1" applyAlignment="1">
      <alignment horizontal="center" vertical="center"/>
    </xf>
    <xf numFmtId="364" fontId="266" fillId="94" borderId="91" xfId="0" applyFont="1" applyFill="1" applyBorder="1" applyAlignment="1">
      <alignment vertical="center"/>
    </xf>
    <xf numFmtId="175" fontId="270" fillId="2" borderId="0" xfId="10479" applyNumberFormat="1" applyFont="1" applyFill="1" applyAlignment="1">
      <alignment vertical="center"/>
    </xf>
    <xf numFmtId="175" fontId="270" fillId="2" borderId="0" xfId="14527" applyNumberFormat="1" applyFont="1" applyFill="1" applyAlignment="1">
      <alignment vertical="center" wrapText="1"/>
    </xf>
    <xf numFmtId="175" fontId="266" fillId="96" borderId="96" xfId="10067" applyNumberFormat="1" applyFont="1" applyFill="1" applyBorder="1" applyAlignment="1">
      <alignment horizontal="center" vertical="center" wrapText="1"/>
    </xf>
    <xf numFmtId="175" fontId="267" fillId="96" borderId="87" xfId="0" quotePrefix="1" applyNumberFormat="1" applyFont="1" applyFill="1" applyBorder="1" applyAlignment="1">
      <alignment horizontal="center" vertical="center" wrapText="1"/>
    </xf>
    <xf numFmtId="175" fontId="270" fillId="97" borderId="97" xfId="10479" applyNumberFormat="1" applyFont="1" applyFill="1" applyBorder="1" applyAlignment="1">
      <alignment vertical="center" wrapText="1"/>
    </xf>
    <xf numFmtId="175" fontId="270" fillId="93" borderId="97" xfId="10479" applyNumberFormat="1" applyFont="1" applyFill="1" applyBorder="1" applyAlignment="1">
      <alignment vertical="center" wrapText="1"/>
    </xf>
    <xf numFmtId="175" fontId="270" fillId="2" borderId="97" xfId="14527" applyNumberFormat="1" applyFont="1" applyFill="1" applyBorder="1" applyAlignment="1">
      <alignment vertical="center" wrapText="1"/>
    </xf>
    <xf numFmtId="175" fontId="270" fillId="2" borderId="97" xfId="14545" applyNumberFormat="1" applyFont="1" applyFill="1" applyBorder="1" applyAlignment="1">
      <alignment horizontal="center" vertical="center" wrapText="1"/>
    </xf>
    <xf numFmtId="175" fontId="270" fillId="2" borderId="97" xfId="14547" applyNumberFormat="1" applyFont="1" applyFill="1" applyBorder="1" applyAlignment="1">
      <alignment vertical="center" wrapText="1"/>
    </xf>
    <xf numFmtId="175" fontId="266" fillId="2" borderId="97" xfId="14530" applyNumberFormat="1" applyFont="1" applyFill="1" applyBorder="1" applyAlignment="1">
      <alignment horizontal="center" vertical="center" wrapText="1"/>
    </xf>
    <xf numFmtId="175" fontId="270" fillId="2" borderId="97" xfId="14530" applyNumberFormat="1" applyFont="1" applyFill="1" applyBorder="1" applyAlignment="1">
      <alignment horizontal="center" vertical="center" wrapText="1"/>
    </xf>
    <xf numFmtId="175" fontId="270" fillId="2" borderId="97" xfId="14536" applyNumberFormat="1" applyFont="1" applyFill="1" applyBorder="1" applyAlignment="1">
      <alignment horizontal="center" vertical="center" wrapText="1"/>
    </xf>
    <xf numFmtId="175" fontId="266" fillId="2" borderId="97" xfId="14538" applyNumberFormat="1" applyFont="1" applyFill="1" applyBorder="1" applyAlignment="1">
      <alignment horizontal="center" vertical="center" wrapText="1"/>
    </xf>
    <xf numFmtId="175" fontId="270" fillId="95" borderId="97" xfId="14530" applyNumberFormat="1" applyFont="1" applyFill="1" applyBorder="1" applyAlignment="1">
      <alignment horizontal="center" vertical="center" wrapText="1"/>
    </xf>
    <xf numFmtId="175" fontId="270" fillId="95" borderId="97" xfId="10479" applyNumberFormat="1" applyFont="1" applyFill="1" applyBorder="1" applyAlignment="1">
      <alignment vertical="center" wrapText="1"/>
    </xf>
    <xf numFmtId="175" fontId="294" fillId="2" borderId="97" xfId="10067" applyNumberFormat="1" applyFont="1" applyFill="1" applyBorder="1" applyAlignment="1">
      <alignment vertical="center" wrapText="1"/>
    </xf>
    <xf numFmtId="175" fontId="270" fillId="97" borderId="88" xfId="10479" applyNumberFormat="1" applyFont="1" applyFill="1" applyBorder="1" applyAlignment="1">
      <alignment vertical="center" wrapText="1"/>
    </xf>
    <xf numFmtId="175" fontId="270" fillId="2" borderId="0" xfId="10479" applyNumberFormat="1" applyFont="1" applyFill="1" applyAlignment="1">
      <alignment vertical="center" wrapText="1"/>
    </xf>
    <xf numFmtId="364" fontId="266" fillId="0" borderId="0" xfId="0" applyFont="1" applyAlignment="1">
      <alignment horizontal="center"/>
    </xf>
    <xf numFmtId="364" fontId="278" fillId="0" borderId="0" xfId="0" applyFont="1" applyAlignment="1">
      <alignment horizontal="center" vertical="center"/>
    </xf>
    <xf numFmtId="364" fontId="266" fillId="96" borderId="91" xfId="0" applyFont="1" applyFill="1" applyBorder="1" applyAlignment="1">
      <alignment horizontal="center" vertical="center"/>
    </xf>
    <xf numFmtId="0" fontId="270" fillId="2" borderId="97" xfId="14536" applyFont="1" applyFill="1" applyBorder="1" applyAlignment="1">
      <alignment horizontal="center" vertical="center" wrapText="1"/>
    </xf>
    <xf numFmtId="0" fontId="266" fillId="96" borderId="81" xfId="10474" applyFont="1" applyFill="1" applyBorder="1" applyAlignment="1">
      <alignment horizontal="center" vertical="center" wrapText="1"/>
    </xf>
    <xf numFmtId="0" fontId="266" fillId="96" borderId="92" xfId="10474" applyFont="1" applyFill="1" applyBorder="1" applyAlignment="1">
      <alignment horizontal="center" vertical="center" wrapText="1"/>
    </xf>
    <xf numFmtId="0" fontId="266" fillId="96" borderId="89" xfId="10474" applyFont="1" applyFill="1" applyBorder="1" applyAlignment="1">
      <alignment horizontal="center" vertical="center" wrapText="1"/>
    </xf>
    <xf numFmtId="364" fontId="285" fillId="96" borderId="96" xfId="0" applyFont="1" applyFill="1" applyBorder="1" applyAlignment="1">
      <alignment horizontal="center" vertical="center" wrapText="1"/>
    </xf>
    <xf numFmtId="0" fontId="266" fillId="96" borderId="95" xfId="10474" applyFont="1" applyFill="1" applyBorder="1" applyAlignment="1">
      <alignment horizontal="center" vertical="center" wrapText="1"/>
    </xf>
    <xf numFmtId="0" fontId="266" fillId="96" borderId="98" xfId="10474" applyFont="1" applyFill="1" applyBorder="1" applyAlignment="1">
      <alignment horizontal="center" vertical="center" wrapText="1"/>
    </xf>
    <xf numFmtId="169" fontId="266" fillId="96" borderId="95" xfId="10474" applyNumberFormat="1" applyFont="1" applyFill="1" applyBorder="1" applyAlignment="1">
      <alignment horizontal="center" vertical="center" wrapText="1"/>
    </xf>
    <xf numFmtId="169" fontId="266" fillId="96" borderId="98" xfId="10474" applyNumberFormat="1" applyFont="1" applyFill="1" applyBorder="1" applyAlignment="1">
      <alignment horizontal="center" vertical="center" wrapText="1"/>
    </xf>
    <xf numFmtId="49" fontId="266" fillId="96" borderId="95" xfId="1" applyNumberFormat="1" applyFont="1" applyFill="1" applyBorder="1" applyAlignment="1">
      <alignment horizontal="center" vertical="center" wrapText="1"/>
    </xf>
    <xf numFmtId="49" fontId="266" fillId="96" borderId="98" xfId="1" applyNumberFormat="1" applyFont="1" applyFill="1" applyBorder="1" applyAlignment="1">
      <alignment horizontal="center" vertical="center" wrapText="1"/>
    </xf>
    <xf numFmtId="175" fontId="266" fillId="96" borderId="87" xfId="10067" applyNumberFormat="1" applyFont="1" applyFill="1" applyBorder="1" applyAlignment="1">
      <alignment horizontal="center" vertical="center" wrapText="1"/>
    </xf>
    <xf numFmtId="175" fontId="266" fillId="96" borderId="98" xfId="10067" applyNumberFormat="1" applyFont="1" applyFill="1" applyBorder="1" applyAlignment="1">
      <alignment horizontal="center" vertical="center" wrapText="1"/>
    </xf>
    <xf numFmtId="0" fontId="266" fillId="96" borderId="30" xfId="10474" applyFont="1" applyFill="1" applyBorder="1" applyAlignment="1">
      <alignment horizontal="center" vertical="center" wrapText="1"/>
    </xf>
    <xf numFmtId="0" fontId="266" fillId="96" borderId="84" xfId="10474" applyFont="1" applyFill="1" applyBorder="1" applyAlignment="1">
      <alignment horizontal="center" vertical="center" wrapText="1"/>
    </xf>
    <xf numFmtId="364" fontId="267" fillId="96" borderId="96" xfId="0" applyFont="1" applyFill="1" applyBorder="1" applyAlignment="1">
      <alignment horizontal="center" vertical="center" wrapText="1"/>
    </xf>
    <xf numFmtId="169" fontId="266" fillId="96" borderId="96" xfId="10067" applyFont="1" applyFill="1" applyBorder="1" applyAlignment="1">
      <alignment horizontal="center" vertical="center" wrapText="1"/>
    </xf>
    <xf numFmtId="175" fontId="266" fillId="96" borderId="96" xfId="10067" applyNumberFormat="1" applyFont="1" applyFill="1" applyBorder="1" applyAlignment="1">
      <alignment horizontal="center" vertical="center" wrapText="1"/>
    </xf>
    <xf numFmtId="175" fontId="266" fillId="96" borderId="81" xfId="10067" applyNumberFormat="1" applyFont="1" applyFill="1" applyBorder="1" applyAlignment="1">
      <alignment horizontal="center" vertical="center" wrapText="1"/>
    </xf>
    <xf numFmtId="175" fontId="266" fillId="96" borderId="89" xfId="10067" applyNumberFormat="1" applyFont="1" applyFill="1" applyBorder="1" applyAlignment="1">
      <alignment horizontal="center" vertical="center" wrapText="1"/>
    </xf>
    <xf numFmtId="364" fontId="266" fillId="96" borderId="96" xfId="0" applyFont="1" applyFill="1" applyBorder="1" applyAlignment="1">
      <alignment horizontal="center" vertical="center" wrapText="1"/>
    </xf>
    <xf numFmtId="49" fontId="266" fillId="96" borderId="81" xfId="10067" applyNumberFormat="1" applyFont="1" applyFill="1" applyBorder="1" applyAlignment="1">
      <alignment horizontal="center" vertical="center" wrapText="1"/>
    </xf>
    <xf numFmtId="49" fontId="266" fillId="96" borderId="89" xfId="10067" applyNumberFormat="1" applyFont="1" applyFill="1" applyBorder="1" applyAlignment="1">
      <alignment horizontal="center" vertical="center" wrapText="1"/>
    </xf>
    <xf numFmtId="49" fontId="266" fillId="96" borderId="96" xfId="0" applyNumberFormat="1" applyFont="1" applyFill="1" applyBorder="1" applyAlignment="1">
      <alignment horizontal="center" vertical="center" wrapText="1"/>
    </xf>
    <xf numFmtId="49" fontId="267" fillId="96" borderId="96" xfId="14552" applyNumberFormat="1" applyFont="1" applyFill="1" applyBorder="1" applyAlignment="1">
      <alignment horizontal="center" vertical="center" wrapText="1"/>
    </xf>
    <xf numFmtId="49" fontId="285" fillId="96" borderId="96" xfId="0" applyNumberFormat="1" applyFont="1" applyFill="1" applyBorder="1" applyAlignment="1">
      <alignment horizontal="center" vertical="center" wrapText="1"/>
    </xf>
    <xf numFmtId="49" fontId="267" fillId="96" borderId="96" xfId="14536" applyNumberFormat="1" applyFont="1" applyFill="1" applyBorder="1" applyAlignment="1">
      <alignment horizontal="center" vertical="center" wrapText="1"/>
    </xf>
    <xf numFmtId="49" fontId="266" fillId="96" borderId="96" xfId="10474" applyNumberFormat="1" applyFont="1" applyFill="1" applyBorder="1" applyAlignment="1">
      <alignment horizontal="center" vertical="center" wrapText="1"/>
    </xf>
    <xf numFmtId="49" fontId="266" fillId="96" borderId="96" xfId="10067" applyNumberFormat="1" applyFont="1" applyFill="1" applyBorder="1" applyAlignment="1">
      <alignment horizontal="center" vertical="center" wrapText="1"/>
    </xf>
    <xf numFmtId="49" fontId="267" fillId="96" borderId="96" xfId="0" applyNumberFormat="1" applyFont="1" applyFill="1" applyBorder="1" applyAlignment="1">
      <alignment horizontal="center" vertical="center" wrapText="1"/>
    </xf>
    <xf numFmtId="3" fontId="269" fillId="2" borderId="97" xfId="14526" applyNumberFormat="1" applyFont="1" applyFill="1" applyBorder="1" applyAlignment="1">
      <alignment horizontal="center" vertical="center" wrapText="1"/>
    </xf>
    <xf numFmtId="3" fontId="17" fillId="2" borderId="97" xfId="14526" applyNumberFormat="1" applyFont="1" applyFill="1" applyBorder="1" applyAlignment="1">
      <alignment horizontal="center" vertical="center" wrapText="1"/>
    </xf>
    <xf numFmtId="49" fontId="267" fillId="96" borderId="96" xfId="14526" applyNumberFormat="1" applyFont="1" applyFill="1" applyBorder="1" applyAlignment="1">
      <alignment horizontal="center" vertical="center" wrapText="1"/>
    </xf>
    <xf numFmtId="49" fontId="285" fillId="96" borderId="96" xfId="10067" applyNumberFormat="1" applyFont="1" applyFill="1" applyBorder="1" applyAlignment="1">
      <alignment horizontal="center" vertical="center" wrapText="1"/>
    </xf>
    <xf numFmtId="49" fontId="267" fillId="96" borderId="96" xfId="10479" applyNumberFormat="1" applyFont="1" applyFill="1" applyBorder="1" applyAlignment="1">
      <alignment horizontal="center" vertical="center"/>
    </xf>
    <xf numFmtId="49" fontId="285" fillId="96" borderId="96" xfId="0" applyNumberFormat="1" applyFont="1" applyFill="1" applyBorder="1" applyAlignment="1">
      <alignment horizontal="center" vertical="center"/>
    </xf>
    <xf numFmtId="49" fontId="267" fillId="96" borderId="90" xfId="10479" applyNumberFormat="1" applyFont="1" applyFill="1" applyBorder="1" applyAlignment="1">
      <alignment horizontal="center" vertical="center"/>
    </xf>
    <xf numFmtId="49" fontId="272" fillId="96" borderId="96" xfId="10479" applyNumberFormat="1" applyFont="1" applyFill="1" applyBorder="1" applyAlignment="1">
      <alignment horizontal="center" vertical="center" wrapText="1"/>
    </xf>
    <xf numFmtId="49" fontId="272" fillId="96" borderId="90" xfId="10479" applyNumberFormat="1" applyFont="1" applyFill="1" applyBorder="1" applyAlignment="1">
      <alignment horizontal="center" vertical="center"/>
    </xf>
    <xf numFmtId="49" fontId="272" fillId="96" borderId="96" xfId="10479" applyNumberFormat="1" applyFont="1" applyFill="1" applyBorder="1" applyAlignment="1">
      <alignment horizontal="center" vertical="center"/>
    </xf>
    <xf numFmtId="0" fontId="269" fillId="2" borderId="97" xfId="10479" applyFont="1" applyFill="1" applyBorder="1" applyAlignment="1">
      <alignment horizontal="center" vertical="center" wrapText="1"/>
    </xf>
    <xf numFmtId="49" fontId="267" fillId="96" borderId="96" xfId="14554" applyNumberFormat="1" applyFont="1" applyFill="1" applyBorder="1" applyAlignment="1">
      <alignment horizontal="center" vertical="center" wrapText="1"/>
    </xf>
    <xf numFmtId="49" fontId="267" fillId="96" borderId="90" xfId="14554" applyNumberFormat="1" applyFont="1" applyFill="1" applyBorder="1" applyAlignment="1">
      <alignment horizontal="center" vertical="center" wrapText="1"/>
    </xf>
    <xf numFmtId="49" fontId="267" fillId="96" borderId="90" xfId="14554" applyNumberFormat="1" applyFont="1" applyFill="1" applyBorder="1" applyAlignment="1">
      <alignment horizontal="center" vertical="center"/>
    </xf>
    <xf numFmtId="49" fontId="267" fillId="96" borderId="81" xfId="14554" applyNumberFormat="1" applyFont="1" applyFill="1" applyBorder="1" applyAlignment="1">
      <alignment horizontal="center" vertical="center" wrapText="1"/>
    </xf>
    <xf numFmtId="49" fontId="267" fillId="96" borderId="99" xfId="14554" applyNumberFormat="1" applyFont="1" applyFill="1" applyBorder="1" applyAlignment="1">
      <alignment horizontal="center" vertical="center"/>
    </xf>
    <xf numFmtId="0" fontId="267" fillId="2" borderId="97" xfId="10479" applyFont="1" applyFill="1" applyBorder="1" applyAlignment="1">
      <alignment horizontal="left" vertical="center"/>
    </xf>
    <xf numFmtId="49" fontId="266" fillId="96" borderId="96" xfId="10067" applyNumberFormat="1" applyFont="1" applyFill="1" applyBorder="1" applyAlignment="1">
      <alignment horizontal="center" vertical="center"/>
    </xf>
    <xf numFmtId="49" fontId="266" fillId="96" borderId="96" xfId="1" applyNumberFormat="1" applyFont="1" applyFill="1" applyBorder="1" applyAlignment="1">
      <alignment horizontal="center" vertical="center" wrapText="1"/>
    </xf>
    <xf numFmtId="49" fontId="266" fillId="96" borderId="96" xfId="4776" applyNumberFormat="1" applyFont="1" applyFill="1" applyBorder="1" applyAlignment="1">
      <alignment horizontal="center" vertical="center" wrapText="1"/>
    </xf>
    <xf numFmtId="49" fontId="266" fillId="96" borderId="96" xfId="4776" applyNumberFormat="1" applyFont="1" applyFill="1" applyBorder="1" applyAlignment="1">
      <alignment horizontal="center" vertical="center"/>
    </xf>
    <xf numFmtId="49" fontId="267" fillId="96" borderId="96" xfId="10479" applyNumberFormat="1" applyFont="1" applyFill="1" applyBorder="1" applyAlignment="1">
      <alignment horizontal="center" vertical="center" wrapText="1"/>
    </xf>
    <xf numFmtId="49" fontId="267" fillId="96" borderId="90" xfId="10479" applyNumberFormat="1" applyFont="1" applyFill="1" applyBorder="1" applyAlignment="1">
      <alignment horizontal="center" vertical="center" wrapText="1"/>
    </xf>
    <xf numFmtId="0" fontId="272" fillId="2" borderId="97" xfId="10479" applyFont="1" applyFill="1" applyBorder="1" applyAlignment="1">
      <alignment horizontal="center" vertical="center" wrapText="1"/>
    </xf>
    <xf numFmtId="49" fontId="292" fillId="96" borderId="96" xfId="0" applyNumberFormat="1" applyFont="1" applyFill="1" applyBorder="1" applyAlignment="1">
      <alignment horizontal="center" vertical="center"/>
    </xf>
    <xf numFmtId="49" fontId="266" fillId="96" borderId="90" xfId="4776" applyNumberFormat="1" applyFont="1" applyFill="1" applyBorder="1" applyAlignment="1">
      <alignment horizontal="center" vertical="center" wrapText="1"/>
    </xf>
    <xf numFmtId="49" fontId="266" fillId="96" borderId="3" xfId="4776" applyNumberFormat="1" applyFont="1" applyFill="1" applyBorder="1" applyAlignment="1">
      <alignment horizontal="center" vertical="center" wrapText="1"/>
    </xf>
    <xf numFmtId="49" fontId="267" fillId="96" borderId="90" xfId="10067" applyNumberFormat="1" applyFont="1" applyFill="1" applyBorder="1" applyAlignment="1">
      <alignment horizontal="center" vertical="center" wrapText="1"/>
    </xf>
    <xf numFmtId="49" fontId="267" fillId="96" borderId="3" xfId="10067" applyNumberFormat="1" applyFont="1" applyFill="1" applyBorder="1" applyAlignment="1">
      <alignment horizontal="center" vertical="center" wrapText="1"/>
    </xf>
    <xf numFmtId="49" fontId="266" fillId="96" borderId="90" xfId="10067" applyNumberFormat="1" applyFont="1" applyFill="1" applyBorder="1" applyAlignment="1">
      <alignment horizontal="center" vertical="center"/>
    </xf>
    <xf numFmtId="49" fontId="267" fillId="96" borderId="3" xfId="10479" applyNumberFormat="1" applyFont="1" applyFill="1" applyBorder="1" applyAlignment="1">
      <alignment horizontal="center" vertical="center" wrapText="1"/>
    </xf>
    <xf numFmtId="49" fontId="277" fillId="96" borderId="96" xfId="0" applyNumberFormat="1" applyFont="1" applyFill="1" applyBorder="1" applyAlignment="1">
      <alignment horizontal="center" vertical="center" wrapText="1"/>
    </xf>
    <xf numFmtId="49" fontId="277" fillId="96" borderId="96" xfId="10067" applyNumberFormat="1" applyFont="1" applyFill="1" applyBorder="1" applyAlignment="1">
      <alignment horizontal="center" vertical="center"/>
    </xf>
    <xf numFmtId="49" fontId="277" fillId="96" borderId="81" xfId="10067" applyNumberFormat="1" applyFont="1" applyFill="1" applyBorder="1" applyAlignment="1">
      <alignment horizontal="center" vertical="center" wrapText="1"/>
    </xf>
    <xf numFmtId="49" fontId="277" fillId="96" borderId="89" xfId="10067" applyNumberFormat="1" applyFont="1" applyFill="1" applyBorder="1" applyAlignment="1">
      <alignment horizontal="center" vertical="center" wrapText="1"/>
    </xf>
    <xf numFmtId="0" fontId="17" fillId="2" borderId="97" xfId="10479" applyFont="1" applyFill="1" applyBorder="1" applyAlignment="1" applyProtection="1">
      <alignment horizontal="center" vertical="center" wrapText="1"/>
      <protection hidden="1"/>
    </xf>
    <xf numFmtId="49" fontId="271" fillId="96" borderId="96" xfId="0" applyNumberFormat="1" applyFont="1" applyFill="1" applyBorder="1" applyAlignment="1">
      <alignment horizontal="center" vertical="center" wrapText="1"/>
    </xf>
    <xf numFmtId="0" fontId="270" fillId="2" borderId="97" xfId="10479" applyFont="1" applyFill="1" applyBorder="1" applyAlignment="1">
      <alignment horizontal="center" vertical="center" wrapText="1"/>
    </xf>
    <xf numFmtId="49" fontId="266" fillId="96" borderId="90" xfId="10479" applyNumberFormat="1" applyFont="1" applyFill="1" applyBorder="1" applyAlignment="1">
      <alignment horizontal="center" vertical="center" wrapText="1"/>
    </xf>
    <xf numFmtId="49" fontId="266" fillId="96" borderId="94" xfId="10479" applyNumberFormat="1" applyFont="1" applyFill="1" applyBorder="1" applyAlignment="1">
      <alignment horizontal="center" vertical="center" wrapText="1"/>
    </xf>
    <xf numFmtId="49" fontId="266" fillId="96" borderId="90" xfId="10067" applyNumberFormat="1" applyFont="1" applyFill="1" applyBorder="1" applyAlignment="1">
      <alignment horizontal="center" vertical="center" wrapText="1"/>
    </xf>
    <xf numFmtId="49" fontId="266" fillId="96" borderId="94" xfId="10067" applyNumberFormat="1" applyFont="1" applyFill="1" applyBorder="1" applyAlignment="1">
      <alignment horizontal="center" vertical="center" wrapText="1"/>
    </xf>
    <xf numFmtId="49" fontId="267" fillId="96" borderId="96" xfId="14648" applyNumberFormat="1" applyFont="1" applyFill="1" applyBorder="1" applyAlignment="1">
      <alignment horizontal="center" vertical="center" wrapText="1"/>
    </xf>
    <xf numFmtId="49" fontId="267" fillId="96" borderId="96" xfId="14555" applyNumberFormat="1" applyFont="1" applyFill="1" applyBorder="1" applyAlignment="1">
      <alignment horizontal="center" vertical="center" wrapText="1"/>
    </xf>
    <xf numFmtId="0" fontId="270" fillId="2" borderId="97" xfId="10067" applyNumberFormat="1" applyFont="1" applyFill="1" applyBorder="1" applyAlignment="1">
      <alignment vertical="center" wrapText="1"/>
    </xf>
  </cellXfs>
  <cellStyles count="14656">
    <cellStyle name="_x0001_" xfId="21" xr:uid="{00000000-0005-0000-0000-000000000000}"/>
    <cellStyle name=" " xfId="10458" xr:uid="{00000000-0005-0000-0000-000001000000}"/>
    <cellStyle name="          _x000a__x000a_shell=progman.exe_x000a__x000a_m" xfId="22" xr:uid="{00000000-0005-0000-0000-000002000000}"/>
    <cellStyle name="          _x000d__x000a_shell=progman.exe_x000d__x000a_m" xfId="23" xr:uid="{00000000-0005-0000-0000-000003000000}"/>
    <cellStyle name="          _x000d__x000a_shell=progman.exe_x000d__x000a_m 2" xfId="24" xr:uid="{00000000-0005-0000-0000-000004000000}"/>
    <cellStyle name="          _x000d__x000a_shell=progman.exe_x000d__x000a_m 3" xfId="25" xr:uid="{00000000-0005-0000-0000-000005000000}"/>
    <cellStyle name="          _x000d__x000a_shell=progman.exe_x000d__x000a_m 4" xfId="26" xr:uid="{00000000-0005-0000-0000-000006000000}"/>
    <cellStyle name="          _x000d__x000a_shell=progman.exe_x000d__x000a_m 5" xfId="27" xr:uid="{00000000-0005-0000-0000-000007000000}"/>
    <cellStyle name="          _x000d__x000a_shell=progman.exe_x000d__x000a_m 6" xfId="28" xr:uid="{00000000-0005-0000-0000-000008000000}"/>
    <cellStyle name="          _x000d__x000a_shell=progman.exe_x000d__x000a_m 7" xfId="29" xr:uid="{00000000-0005-0000-0000-000009000000}"/>
    <cellStyle name=" _97연말" xfId="10459" xr:uid="{00000000-0005-0000-0000-00000A000000}"/>
    <cellStyle name=" _97연말_attach#3_BM_rev1_elec_Thalofa_II" xfId="10460" xr:uid="{00000000-0005-0000-0000-00000B000000}"/>
    <cellStyle name=" _97연말_attach#3-BM_rev1_elec_Thalozem_II" xfId="10461" xr:uid="{00000000-0005-0000-0000-00000C000000}"/>
    <cellStyle name=" _97연말1" xfId="10462" xr:uid="{00000000-0005-0000-0000-00000D000000}"/>
    <cellStyle name=" _97연말1_attach#3_BM_rev1_elec_Thalofa_II" xfId="10463" xr:uid="{00000000-0005-0000-0000-00000E000000}"/>
    <cellStyle name=" _97연말1_attach#3-BM_rev1_elec_Thalozem_II" xfId="10464" xr:uid="{00000000-0005-0000-0000-00000F000000}"/>
    <cellStyle name=" _attach#3_BM_rev1_elec_Thalofa_II" xfId="10465" xr:uid="{00000000-0005-0000-0000-000010000000}"/>
    <cellStyle name=" _attach#3-BM_rev1_elec_Thalozem_II" xfId="10466" xr:uid="{00000000-0005-0000-0000-000011000000}"/>
    <cellStyle name=" _Book1" xfId="10467" xr:uid="{00000000-0005-0000-0000-000012000000}"/>
    <cellStyle name=" _Book1_attach#3_BM_rev1_elec_Thalofa_II" xfId="10468" xr:uid="{00000000-0005-0000-0000-000013000000}"/>
    <cellStyle name=" _Book1_attach#3-BM_rev1_elec_Thalozem_II" xfId="10469" xr:uid="{00000000-0005-0000-0000-000014000000}"/>
    <cellStyle name=" 1" xfId="9690" xr:uid="{00000000-0005-0000-0000-000015000000}"/>
    <cellStyle name=" 10" xfId="9691" xr:uid="{00000000-0005-0000-0000-000016000000}"/>
    <cellStyle name=" 11" xfId="9692" xr:uid="{00000000-0005-0000-0000-000017000000}"/>
    <cellStyle name=" 12" xfId="9693" xr:uid="{00000000-0005-0000-0000-000018000000}"/>
    <cellStyle name=" 13" xfId="9694" xr:uid="{00000000-0005-0000-0000-000019000000}"/>
    <cellStyle name=" 14" xfId="9695" xr:uid="{00000000-0005-0000-0000-00001A000000}"/>
    <cellStyle name=" 15" xfId="9696" xr:uid="{00000000-0005-0000-0000-00001B000000}"/>
    <cellStyle name=" 16" xfId="9697" xr:uid="{00000000-0005-0000-0000-00001C000000}"/>
    <cellStyle name=" 17" xfId="9698" xr:uid="{00000000-0005-0000-0000-00001D000000}"/>
    <cellStyle name=" 18" xfId="9699" xr:uid="{00000000-0005-0000-0000-00001E000000}"/>
    <cellStyle name=" 19" xfId="9700" xr:uid="{00000000-0005-0000-0000-00001F000000}"/>
    <cellStyle name=" 2" xfId="30" xr:uid="{00000000-0005-0000-0000-000020000000}"/>
    <cellStyle name=" 20" xfId="9701" xr:uid="{00000000-0005-0000-0000-000021000000}"/>
    <cellStyle name=" 21" xfId="9702" xr:uid="{00000000-0005-0000-0000-000022000000}"/>
    <cellStyle name=" 22" xfId="9703" xr:uid="{00000000-0005-0000-0000-000023000000}"/>
    <cellStyle name=" 23" xfId="9704" xr:uid="{00000000-0005-0000-0000-000024000000}"/>
    <cellStyle name=" 24" xfId="9705" xr:uid="{00000000-0005-0000-0000-000025000000}"/>
    <cellStyle name=" 25" xfId="9706" xr:uid="{00000000-0005-0000-0000-000026000000}"/>
    <cellStyle name=" 26" xfId="9707" xr:uid="{00000000-0005-0000-0000-000027000000}"/>
    <cellStyle name=" 27" xfId="9708" xr:uid="{00000000-0005-0000-0000-000028000000}"/>
    <cellStyle name=" 28" xfId="9709" xr:uid="{00000000-0005-0000-0000-000029000000}"/>
    <cellStyle name=" 29" xfId="9710" xr:uid="{00000000-0005-0000-0000-00002A000000}"/>
    <cellStyle name=" 3" xfId="31" xr:uid="{00000000-0005-0000-0000-00002B000000}"/>
    <cellStyle name=" 30" xfId="9711" xr:uid="{00000000-0005-0000-0000-00002C000000}"/>
    <cellStyle name=" 31" xfId="9712" xr:uid="{00000000-0005-0000-0000-00002D000000}"/>
    <cellStyle name=" 32" xfId="9713" xr:uid="{00000000-0005-0000-0000-00002E000000}"/>
    <cellStyle name=" 33" xfId="9714" xr:uid="{00000000-0005-0000-0000-00002F000000}"/>
    <cellStyle name=" 34" xfId="9715" xr:uid="{00000000-0005-0000-0000-000030000000}"/>
    <cellStyle name=" 35" xfId="9716" xr:uid="{00000000-0005-0000-0000-000031000000}"/>
    <cellStyle name=" 36" xfId="9717" xr:uid="{00000000-0005-0000-0000-000032000000}"/>
    <cellStyle name=" 37" xfId="9718" xr:uid="{00000000-0005-0000-0000-000033000000}"/>
    <cellStyle name=" 38" xfId="9719" xr:uid="{00000000-0005-0000-0000-000034000000}"/>
    <cellStyle name=" 39" xfId="9720" xr:uid="{00000000-0005-0000-0000-000035000000}"/>
    <cellStyle name=" 4" xfId="32" xr:uid="{00000000-0005-0000-0000-000036000000}"/>
    <cellStyle name=" 40" xfId="9721" xr:uid="{00000000-0005-0000-0000-000037000000}"/>
    <cellStyle name=" 41" xfId="9722" xr:uid="{00000000-0005-0000-0000-000038000000}"/>
    <cellStyle name=" 42" xfId="9723" xr:uid="{00000000-0005-0000-0000-000039000000}"/>
    <cellStyle name=" 43" xfId="9724" xr:uid="{00000000-0005-0000-0000-00003A000000}"/>
    <cellStyle name=" 44" xfId="9725" xr:uid="{00000000-0005-0000-0000-00003B000000}"/>
    <cellStyle name=" 45" xfId="9726" xr:uid="{00000000-0005-0000-0000-00003C000000}"/>
    <cellStyle name=" 46" xfId="9727" xr:uid="{00000000-0005-0000-0000-00003D000000}"/>
    <cellStyle name=" 47" xfId="9728" xr:uid="{00000000-0005-0000-0000-00003E000000}"/>
    <cellStyle name=" 48" xfId="9729" xr:uid="{00000000-0005-0000-0000-00003F000000}"/>
    <cellStyle name=" 5" xfId="33" xr:uid="{00000000-0005-0000-0000-000040000000}"/>
    <cellStyle name=" 6" xfId="9730" xr:uid="{00000000-0005-0000-0000-000041000000}"/>
    <cellStyle name=" 7" xfId="9731" xr:uid="{00000000-0005-0000-0000-000042000000}"/>
    <cellStyle name=" 8" xfId="9732" xr:uid="{00000000-0005-0000-0000-000043000000}"/>
    <cellStyle name=" 9" xfId="9733" xr:uid="{00000000-0005-0000-0000-000044000000}"/>
    <cellStyle name="_x000a__x000a_JournalTemplate=C:\COMFO\CTALK\JOURSTD.TPL_x000a__x000a_LbStateAddress=3 3 0 251 1 89 2 311_x000a__x000a_LbStateJou 2" xfId="9734" xr:uid="{00000000-0005-0000-0000-000045000000}"/>
    <cellStyle name="_x000c_ōᅺb0ōᆊbXōᆚbōᆪb¨ōᆺb섄ōᇊb섰ōᇚb셌ōᇪb셨ōᇺb손ōሊbÌōሚbôōሪbŀōሺbŨōቊbƀōቚb솴ōቪb쇌ōቺb쇬ōኊb숄ōኚb술ōኪbƜōኺbƸōዊbǜōዚbǸōዪbɄō" xfId="10470" xr:uid="{00000000-0005-0000-0000-000046000000}"/>
    <cellStyle name="_x000d__x000a_JournalTemplate=C:\COMFO\CTALK\JOURSTD.TPL_x000d__x000a_LbStateAddress=3 3 0 251 1 89 2 311_x000d__x000a_LbStateJou" xfId="34" xr:uid="{00000000-0005-0000-0000-000047000000}"/>
    <cellStyle name="&quot;" xfId="10471" xr:uid="{00000000-0005-0000-0000-000048000000}"/>
    <cellStyle name="&quot; 2" xfId="10492" xr:uid="{00000000-0005-0000-0000-000049000000}"/>
    <cellStyle name="&quot; 2 2" xfId="10493" xr:uid="{00000000-0005-0000-0000-00004A000000}"/>
    <cellStyle name="&quot; 3" xfId="10494" xr:uid="{00000000-0005-0000-0000-00004B000000}"/>
    <cellStyle name="#" xfId="14450" xr:uid="{00000000-0005-0000-0000-00004C000000}"/>
    <cellStyle name="#,##0" xfId="35" xr:uid="{00000000-0005-0000-0000-00004D000000}"/>
    <cellStyle name="#,##0 2" xfId="36" xr:uid="{00000000-0005-0000-0000-00004E000000}"/>
    <cellStyle name="#,##0 2 2" xfId="10495" xr:uid="{00000000-0005-0000-0000-00004F000000}"/>
    <cellStyle name="#,##0 2 2 2" xfId="10496" xr:uid="{00000000-0005-0000-0000-000050000000}"/>
    <cellStyle name="#,##0 2 3" xfId="10497" xr:uid="{00000000-0005-0000-0000-000051000000}"/>
    <cellStyle name="#,##0 2 4" xfId="10498" xr:uid="{00000000-0005-0000-0000-000052000000}"/>
    <cellStyle name="#,##0 3" xfId="10499" xr:uid="{00000000-0005-0000-0000-000053000000}"/>
    <cellStyle name="#,##0 3 2" xfId="10500" xr:uid="{00000000-0005-0000-0000-000054000000}"/>
    <cellStyle name="#,##0 4" xfId="10501" xr:uid="{00000000-0005-0000-0000-000055000000}"/>
    <cellStyle name="#,##0 5" xfId="10502" xr:uid="{00000000-0005-0000-0000-000056000000}"/>
    <cellStyle name="#,##0.0" xfId="14451" xr:uid="{00000000-0005-0000-0000-000057000000}"/>
    <cellStyle name="#,##0.00" xfId="14452" xr:uid="{00000000-0005-0000-0000-000058000000}"/>
    <cellStyle name="#,##0.000" xfId="14453" xr:uid="{00000000-0005-0000-0000-000059000000}"/>
    <cellStyle name="#.##0" xfId="37" xr:uid="{00000000-0005-0000-0000-00005A000000}"/>
    <cellStyle name="%" xfId="38" xr:uid="{00000000-0005-0000-0000-00005B000000}"/>
    <cellStyle name="%(0)" xfId="39" xr:uid="{00000000-0005-0000-0000-00005C000000}"/>
    <cellStyle name="%(1)" xfId="40" xr:uid="{00000000-0005-0000-0000-00005D000000}"/>
    <cellStyle name="%(2)" xfId="41" xr:uid="{00000000-0005-0000-0000-00005E000000}"/>
    <cellStyle name="%_7.Rate &amp; Prelims" xfId="9735" xr:uid="{00000000-0005-0000-0000-00005F000000}"/>
    <cellStyle name="%_DT HT Goi 1.4 den ngay 15-5-08" xfId="42" xr:uid="{00000000-0005-0000-0000-000060000000}"/>
    <cellStyle name="%_F6A&amp; F14-BoQ-Civil- Masan- rev04" xfId="9736" xr:uid="{00000000-0005-0000-0000-000061000000}"/>
    <cellStyle name="%_Nomenclature PHA1 M10 EJ 010 A" xfId="43" xr:uid="{00000000-0005-0000-0000-000062000000}"/>
    <cellStyle name="%_Sheet2" xfId="44" xr:uid="{00000000-0005-0000-0000-000063000000}"/>
    <cellStyle name="%_Vat tu boc tach Goldola" xfId="45" xr:uid="{00000000-0005-0000-0000-000064000000}"/>
    <cellStyle name=",." xfId="46" xr:uid="{00000000-0005-0000-0000-000065000000}"/>
    <cellStyle name="､@ｯ・BQSUM" xfId="9737" xr:uid="{00000000-0005-0000-0000-000066000000}"/>
    <cellStyle name="､@ｯ・BQSUM(D)" xfId="9738" xr:uid="{00000000-0005-0000-0000-000067000000}"/>
    <cellStyle name="､d､ﾀｦ・BQSUM" xfId="9739" xr:uid="{00000000-0005-0000-0000-000068000000}"/>
    <cellStyle name="､d､ﾀｦ・BQSUM(D)" xfId="9740" xr:uid="{00000000-0005-0000-0000-000069000000}"/>
    <cellStyle name="." xfId="47" xr:uid="{00000000-0005-0000-0000-00006A000000}"/>
    <cellStyle name=". 2" xfId="48" xr:uid="{00000000-0005-0000-0000-00006B000000}"/>
    <cellStyle name="?" xfId="49" xr:uid="{00000000-0005-0000-0000-00006C000000}"/>
    <cellStyle name="??" xfId="50" xr:uid="{00000000-0005-0000-0000-00006D000000}"/>
    <cellStyle name="?? [0.00]_      " xfId="51" xr:uid="{00000000-0005-0000-0000-00006E000000}"/>
    <cellStyle name="?? [0]" xfId="52" xr:uid="{00000000-0005-0000-0000-00006F000000}"/>
    <cellStyle name="?? [0] 2" xfId="53" xr:uid="{00000000-0005-0000-0000-000070000000}"/>
    <cellStyle name="?? [0] 2 2" xfId="9741" xr:uid="{00000000-0005-0000-0000-000071000000}"/>
    <cellStyle name="?? [0] 3" xfId="54" xr:uid="{00000000-0005-0000-0000-000072000000}"/>
    <cellStyle name="?? [0] 3 2" xfId="9742" xr:uid="{00000000-0005-0000-0000-000073000000}"/>
    <cellStyle name="?? [0] 4" xfId="55" xr:uid="{00000000-0005-0000-0000-000074000000}"/>
    <cellStyle name="?? [0] 4 2" xfId="9743" xr:uid="{00000000-0005-0000-0000-000075000000}"/>
    <cellStyle name="?? [0] 5" xfId="56" xr:uid="{00000000-0005-0000-0000-000076000000}"/>
    <cellStyle name="?? [0] 5 2" xfId="9744" xr:uid="{00000000-0005-0000-0000-000077000000}"/>
    <cellStyle name="?? [0] 6" xfId="9745" xr:uid="{00000000-0005-0000-0000-000078000000}"/>
    <cellStyle name="?? 10" xfId="57" xr:uid="{00000000-0005-0000-0000-000079000000}"/>
    <cellStyle name="?? 100" xfId="58" xr:uid="{00000000-0005-0000-0000-00007A000000}"/>
    <cellStyle name="?? 101" xfId="59" xr:uid="{00000000-0005-0000-0000-00007B000000}"/>
    <cellStyle name="?? 102" xfId="60" xr:uid="{00000000-0005-0000-0000-00007C000000}"/>
    <cellStyle name="?? 103" xfId="61" xr:uid="{00000000-0005-0000-0000-00007D000000}"/>
    <cellStyle name="?? 104" xfId="62" xr:uid="{00000000-0005-0000-0000-00007E000000}"/>
    <cellStyle name="?? 105" xfId="63" xr:uid="{00000000-0005-0000-0000-00007F000000}"/>
    <cellStyle name="?? 106" xfId="64" xr:uid="{00000000-0005-0000-0000-000080000000}"/>
    <cellStyle name="?? 107" xfId="65" xr:uid="{00000000-0005-0000-0000-000081000000}"/>
    <cellStyle name="?? 108" xfId="66" xr:uid="{00000000-0005-0000-0000-000082000000}"/>
    <cellStyle name="?? 109" xfId="67" xr:uid="{00000000-0005-0000-0000-000083000000}"/>
    <cellStyle name="?? 11" xfId="68" xr:uid="{00000000-0005-0000-0000-000084000000}"/>
    <cellStyle name="?? 110" xfId="69" xr:uid="{00000000-0005-0000-0000-000085000000}"/>
    <cellStyle name="?? 111" xfId="70" xr:uid="{00000000-0005-0000-0000-000086000000}"/>
    <cellStyle name="?? 12" xfId="71" xr:uid="{00000000-0005-0000-0000-000087000000}"/>
    <cellStyle name="?? 13" xfId="72" xr:uid="{00000000-0005-0000-0000-000088000000}"/>
    <cellStyle name="?? 14" xfId="73" xr:uid="{00000000-0005-0000-0000-000089000000}"/>
    <cellStyle name="?? 15" xfId="74" xr:uid="{00000000-0005-0000-0000-00008A000000}"/>
    <cellStyle name="?? 16" xfId="75" xr:uid="{00000000-0005-0000-0000-00008B000000}"/>
    <cellStyle name="?? 17" xfId="76" xr:uid="{00000000-0005-0000-0000-00008C000000}"/>
    <cellStyle name="?? 18" xfId="77" xr:uid="{00000000-0005-0000-0000-00008D000000}"/>
    <cellStyle name="?? 19" xfId="78" xr:uid="{00000000-0005-0000-0000-00008E000000}"/>
    <cellStyle name="?? 2" xfId="79" xr:uid="{00000000-0005-0000-0000-00008F000000}"/>
    <cellStyle name="?? 2 2" xfId="9746" xr:uid="{00000000-0005-0000-0000-000090000000}"/>
    <cellStyle name="?? 20" xfId="80" xr:uid="{00000000-0005-0000-0000-000091000000}"/>
    <cellStyle name="?? 21" xfId="81" xr:uid="{00000000-0005-0000-0000-000092000000}"/>
    <cellStyle name="?? 22" xfId="82" xr:uid="{00000000-0005-0000-0000-000093000000}"/>
    <cellStyle name="?? 23" xfId="83" xr:uid="{00000000-0005-0000-0000-000094000000}"/>
    <cellStyle name="?? 24" xfId="84" xr:uid="{00000000-0005-0000-0000-000095000000}"/>
    <cellStyle name="?? 25" xfId="85" xr:uid="{00000000-0005-0000-0000-000096000000}"/>
    <cellStyle name="?? 26" xfId="86" xr:uid="{00000000-0005-0000-0000-000097000000}"/>
    <cellStyle name="?? 27" xfId="87" xr:uid="{00000000-0005-0000-0000-000098000000}"/>
    <cellStyle name="?? 28" xfId="88" xr:uid="{00000000-0005-0000-0000-000099000000}"/>
    <cellStyle name="?? 29" xfId="89" xr:uid="{00000000-0005-0000-0000-00009A000000}"/>
    <cellStyle name="?? 3" xfId="90" xr:uid="{00000000-0005-0000-0000-00009B000000}"/>
    <cellStyle name="?? 3 2" xfId="9747" xr:uid="{00000000-0005-0000-0000-00009C000000}"/>
    <cellStyle name="?? 30" xfId="91" xr:uid="{00000000-0005-0000-0000-00009D000000}"/>
    <cellStyle name="?? 31" xfId="92" xr:uid="{00000000-0005-0000-0000-00009E000000}"/>
    <cellStyle name="?? 32" xfId="93" xr:uid="{00000000-0005-0000-0000-00009F000000}"/>
    <cellStyle name="?? 33" xfId="94" xr:uid="{00000000-0005-0000-0000-0000A0000000}"/>
    <cellStyle name="?? 34" xfId="95" xr:uid="{00000000-0005-0000-0000-0000A1000000}"/>
    <cellStyle name="?? 35" xfId="96" xr:uid="{00000000-0005-0000-0000-0000A2000000}"/>
    <cellStyle name="?? 36" xfId="97" xr:uid="{00000000-0005-0000-0000-0000A3000000}"/>
    <cellStyle name="?? 37" xfId="98" xr:uid="{00000000-0005-0000-0000-0000A4000000}"/>
    <cellStyle name="?? 38" xfId="99" xr:uid="{00000000-0005-0000-0000-0000A5000000}"/>
    <cellStyle name="?? 39" xfId="100" xr:uid="{00000000-0005-0000-0000-0000A6000000}"/>
    <cellStyle name="?? 4" xfId="101" xr:uid="{00000000-0005-0000-0000-0000A7000000}"/>
    <cellStyle name="?? 4 2" xfId="9748" xr:uid="{00000000-0005-0000-0000-0000A8000000}"/>
    <cellStyle name="?? 40" xfId="102" xr:uid="{00000000-0005-0000-0000-0000A9000000}"/>
    <cellStyle name="?? 41" xfId="103" xr:uid="{00000000-0005-0000-0000-0000AA000000}"/>
    <cellStyle name="?? 42" xfId="104" xr:uid="{00000000-0005-0000-0000-0000AB000000}"/>
    <cellStyle name="?? 43" xfId="105" xr:uid="{00000000-0005-0000-0000-0000AC000000}"/>
    <cellStyle name="?? 44" xfId="106" xr:uid="{00000000-0005-0000-0000-0000AD000000}"/>
    <cellStyle name="?? 45" xfId="107" xr:uid="{00000000-0005-0000-0000-0000AE000000}"/>
    <cellStyle name="?? 46" xfId="108" xr:uid="{00000000-0005-0000-0000-0000AF000000}"/>
    <cellStyle name="?? 47" xfId="109" xr:uid="{00000000-0005-0000-0000-0000B0000000}"/>
    <cellStyle name="?? 48" xfId="110" xr:uid="{00000000-0005-0000-0000-0000B1000000}"/>
    <cellStyle name="?? 49" xfId="111" xr:uid="{00000000-0005-0000-0000-0000B2000000}"/>
    <cellStyle name="?? 5" xfId="112" xr:uid="{00000000-0005-0000-0000-0000B3000000}"/>
    <cellStyle name="?? 5 2" xfId="9749" xr:uid="{00000000-0005-0000-0000-0000B4000000}"/>
    <cellStyle name="?? 50" xfId="113" xr:uid="{00000000-0005-0000-0000-0000B5000000}"/>
    <cellStyle name="?? 51" xfId="114" xr:uid="{00000000-0005-0000-0000-0000B6000000}"/>
    <cellStyle name="?? 52" xfId="115" xr:uid="{00000000-0005-0000-0000-0000B7000000}"/>
    <cellStyle name="?? 53" xfId="116" xr:uid="{00000000-0005-0000-0000-0000B8000000}"/>
    <cellStyle name="?? 54" xfId="117" xr:uid="{00000000-0005-0000-0000-0000B9000000}"/>
    <cellStyle name="?? 55" xfId="118" xr:uid="{00000000-0005-0000-0000-0000BA000000}"/>
    <cellStyle name="?? 56" xfId="119" xr:uid="{00000000-0005-0000-0000-0000BB000000}"/>
    <cellStyle name="?? 57" xfId="120" xr:uid="{00000000-0005-0000-0000-0000BC000000}"/>
    <cellStyle name="?? 58" xfId="121" xr:uid="{00000000-0005-0000-0000-0000BD000000}"/>
    <cellStyle name="?? 59" xfId="122" xr:uid="{00000000-0005-0000-0000-0000BE000000}"/>
    <cellStyle name="?? 6" xfId="123" xr:uid="{00000000-0005-0000-0000-0000BF000000}"/>
    <cellStyle name="?? 60" xfId="124" xr:uid="{00000000-0005-0000-0000-0000C0000000}"/>
    <cellStyle name="?? 61" xfId="125" xr:uid="{00000000-0005-0000-0000-0000C1000000}"/>
    <cellStyle name="?? 62" xfId="126" xr:uid="{00000000-0005-0000-0000-0000C2000000}"/>
    <cellStyle name="?? 63" xfId="127" xr:uid="{00000000-0005-0000-0000-0000C3000000}"/>
    <cellStyle name="?? 64" xfId="128" xr:uid="{00000000-0005-0000-0000-0000C4000000}"/>
    <cellStyle name="?? 65" xfId="129" xr:uid="{00000000-0005-0000-0000-0000C5000000}"/>
    <cellStyle name="?? 66" xfId="130" xr:uid="{00000000-0005-0000-0000-0000C6000000}"/>
    <cellStyle name="?? 67" xfId="131" xr:uid="{00000000-0005-0000-0000-0000C7000000}"/>
    <cellStyle name="?? 68" xfId="132" xr:uid="{00000000-0005-0000-0000-0000C8000000}"/>
    <cellStyle name="?? 69" xfId="133" xr:uid="{00000000-0005-0000-0000-0000C9000000}"/>
    <cellStyle name="?? 7" xfId="134" xr:uid="{00000000-0005-0000-0000-0000CA000000}"/>
    <cellStyle name="?? 70" xfId="135" xr:uid="{00000000-0005-0000-0000-0000CB000000}"/>
    <cellStyle name="?? 71" xfId="136" xr:uid="{00000000-0005-0000-0000-0000CC000000}"/>
    <cellStyle name="?? 72" xfId="137" xr:uid="{00000000-0005-0000-0000-0000CD000000}"/>
    <cellStyle name="?? 73" xfId="138" xr:uid="{00000000-0005-0000-0000-0000CE000000}"/>
    <cellStyle name="?? 74" xfId="139" xr:uid="{00000000-0005-0000-0000-0000CF000000}"/>
    <cellStyle name="?? 75" xfId="140" xr:uid="{00000000-0005-0000-0000-0000D0000000}"/>
    <cellStyle name="?? 76" xfId="141" xr:uid="{00000000-0005-0000-0000-0000D1000000}"/>
    <cellStyle name="?? 77" xfId="142" xr:uid="{00000000-0005-0000-0000-0000D2000000}"/>
    <cellStyle name="?? 78" xfId="143" xr:uid="{00000000-0005-0000-0000-0000D3000000}"/>
    <cellStyle name="?? 79" xfId="144" xr:uid="{00000000-0005-0000-0000-0000D4000000}"/>
    <cellStyle name="?? 8" xfId="145" xr:uid="{00000000-0005-0000-0000-0000D5000000}"/>
    <cellStyle name="?? 80" xfId="146" xr:uid="{00000000-0005-0000-0000-0000D6000000}"/>
    <cellStyle name="?? 81" xfId="147" xr:uid="{00000000-0005-0000-0000-0000D7000000}"/>
    <cellStyle name="?? 82" xfId="148" xr:uid="{00000000-0005-0000-0000-0000D8000000}"/>
    <cellStyle name="?? 83" xfId="149" xr:uid="{00000000-0005-0000-0000-0000D9000000}"/>
    <cellStyle name="?? 84" xfId="150" xr:uid="{00000000-0005-0000-0000-0000DA000000}"/>
    <cellStyle name="?? 85" xfId="151" xr:uid="{00000000-0005-0000-0000-0000DB000000}"/>
    <cellStyle name="?? 86" xfId="152" xr:uid="{00000000-0005-0000-0000-0000DC000000}"/>
    <cellStyle name="?? 87" xfId="153" xr:uid="{00000000-0005-0000-0000-0000DD000000}"/>
    <cellStyle name="?? 88" xfId="154" xr:uid="{00000000-0005-0000-0000-0000DE000000}"/>
    <cellStyle name="?? 89" xfId="155" xr:uid="{00000000-0005-0000-0000-0000DF000000}"/>
    <cellStyle name="?? 9" xfId="156" xr:uid="{00000000-0005-0000-0000-0000E0000000}"/>
    <cellStyle name="?? 90" xfId="157" xr:uid="{00000000-0005-0000-0000-0000E1000000}"/>
    <cellStyle name="?? 91" xfId="158" xr:uid="{00000000-0005-0000-0000-0000E2000000}"/>
    <cellStyle name="?? 92" xfId="159" xr:uid="{00000000-0005-0000-0000-0000E3000000}"/>
    <cellStyle name="?? 93" xfId="160" xr:uid="{00000000-0005-0000-0000-0000E4000000}"/>
    <cellStyle name="?? 94" xfId="161" xr:uid="{00000000-0005-0000-0000-0000E5000000}"/>
    <cellStyle name="?? 95" xfId="162" xr:uid="{00000000-0005-0000-0000-0000E6000000}"/>
    <cellStyle name="?? 96" xfId="163" xr:uid="{00000000-0005-0000-0000-0000E7000000}"/>
    <cellStyle name="?? 97" xfId="164" xr:uid="{00000000-0005-0000-0000-0000E8000000}"/>
    <cellStyle name="?? 98" xfId="165" xr:uid="{00000000-0005-0000-0000-0000E9000000}"/>
    <cellStyle name="?? 99" xfId="166" xr:uid="{00000000-0005-0000-0000-0000EA000000}"/>
    <cellStyle name="??%U?&amp;H?_x0008_?s_x000a__x0007__x0001__x0001_" xfId="9750" xr:uid="{00000000-0005-0000-0000-0000EB000000}"/>
    <cellStyle name="??&amp;" xfId="167" xr:uid="{00000000-0005-0000-0000-0000EC000000}"/>
    <cellStyle name="??&amp;O" xfId="168" xr:uid="{00000000-0005-0000-0000-0000ED000000}"/>
    <cellStyle name="??&amp;O?" xfId="169" xr:uid="{00000000-0005-0000-0000-0000EE000000}"/>
    <cellStyle name="??&amp;O?&amp;" xfId="170" xr:uid="{00000000-0005-0000-0000-0000EF000000}"/>
    <cellStyle name="??&amp;O?&amp;H" xfId="171" xr:uid="{00000000-0005-0000-0000-0000F0000000}"/>
    <cellStyle name="??&amp;O?&amp;H?" xfId="172" xr:uid="{00000000-0005-0000-0000-0000F1000000}"/>
    <cellStyle name="??&amp;O?&amp;H?_x0008_?" xfId="173" xr:uid="{00000000-0005-0000-0000-0000F2000000}"/>
    <cellStyle name="??&amp;O?&amp;H?_x0008_??" xfId="174" xr:uid="{00000000-0005-0000-0000-0000F3000000}"/>
    <cellStyle name="??&amp;O?&amp;H?_x0008_??_x0007__x0001__x0001_" xfId="14454" xr:uid="{00000000-0005-0000-0000-0000F4000000}"/>
    <cellStyle name="??&amp;O?&amp;H?_x0008_??_x0007__x0001__x0001_?" xfId="175" xr:uid="{00000000-0005-0000-0000-0000F5000000}"/>
    <cellStyle name="??&amp;O?&amp;H?_x0008_??_x0007__x0001__x0001_?_x0002_" xfId="176" xr:uid="{00000000-0005-0000-0000-0000F6000000}"/>
    <cellStyle name="??&amp;O?&amp;H?_x0008_??_x0007__x0001__x0001_?_x0002_" xfId="177" xr:uid="{00000000-0005-0000-0000-0000F7000000}"/>
    <cellStyle name="??&amp;O?&amp;H?_x0008_??_x0007__x0001__x0001_?_x0002_" xfId="178" xr:uid="{00000000-0005-0000-0000-0000F8000000}"/>
    <cellStyle name="??&amp;O?&amp;H?_x0008_??_x0007__x0001__x0001_?_x0002__x0001_(_x0002_&gt;_x000f_???v!????_x0007_??????????????????????????           ?????           ?????????_x000d_?????????????????????????????????????????????????????????????????????????????????????????????????????????????????????" xfId="179" xr:uid="{00000000-0005-0000-0000-0000F9000000}"/>
    <cellStyle name="??&amp;O?&amp;H?_x0008_??_x0007__x0001__x0001__M_E Services _ Education" xfId="180" xr:uid="{00000000-0005-0000-0000-0000FA000000}"/>
    <cellStyle name="??&amp;O?&amp;H?_x0008__x000f__x0007_?_x0007__x0001__x0001_?_x0002_" xfId="181" xr:uid="{00000000-0005-0000-0000-0000FB000000}"/>
    <cellStyle name="??&amp;O?&amp;H?_x0008__x000f__x0007_?_x0007__x0001__x0001_?_x0002_" xfId="182" xr:uid="{00000000-0005-0000-0000-0000FC000000}"/>
    <cellStyle name="??&amp;O?&amp;H?_x0008__x000f__x0007_?_x0007__x0001__x0001_?_x0002__x0001_(_x0002_c ????????_x0007_??????????????????????????           ?????           ?????????_x000d_C:\WINDOWS\COUNTRY.SYS_x000d_??????????????????????????????????????????????????????????????????????????????????????????????" xfId="183" xr:uid="{00000000-0005-0000-0000-0000FD000000}"/>
    <cellStyle name="??&amp;O?&amp;H?_x0008__x000f__x0007_?_x0007__x0001__x0001__M_E Services _ Education" xfId="184" xr:uid="{00000000-0005-0000-0000-0000FE000000}"/>
    <cellStyle name="??(R)" xfId="9751" xr:uid="{00000000-0005-0000-0000-0000FF000000}"/>
    <cellStyle name="???" xfId="185" xr:uid="{00000000-0005-0000-0000-000000010000}"/>
    <cellStyle name="?_x001d_??%" xfId="9752" xr:uid="{00000000-0005-0000-0000-000001010000}"/>
    <cellStyle name="?_x001d_??%U©÷u" xfId="186" xr:uid="{00000000-0005-0000-0000-000002010000}"/>
    <cellStyle name="?_x001d_??%U©÷u&amp;H©÷" xfId="187" xr:uid="{00000000-0005-0000-0000-000003010000}"/>
    <cellStyle name="?_x001d_??%U©÷u&amp;H©÷9_x0008_? " xfId="188" xr:uid="{00000000-0005-0000-0000-000004010000}"/>
    <cellStyle name="?_x001d_??%U©÷u&amp;H©÷9_x0008_? s_x000a__x0007__x0001__x0001_" xfId="189" xr:uid="{00000000-0005-0000-0000-000005010000}"/>
    <cellStyle name="?_x001d_??%U©÷u&amp;H©÷9_x0008_? s_x000a__x0007__x0001__x0001_?_x0002_???????????????_x0001_(_x0002_u_x000a_?????_x001f_????????_x0007_????????????????!???????????           ?????           ?????????_x000a_C:\WINDOWS\country.sys_x000a_??????????????????????????????????????????????????????????????????????????????????????????????" xfId="190" xr:uid="{00000000-0005-0000-0000-000006010000}"/>
    <cellStyle name="?_x001d_??%U©÷u&amp;H©÷9_x0008_? s_x000a__x0007__x0001__x0001_?_x0002_???????????????_x0001_(_x0002_u_x000d_?????_x001f_????????_x0007_????????????????!???????????           ?????           ?????????_x000d_C:\WINDOWS\country.sys_x000d_??????????????????????????????????????????????????????????????????????????????????????????????" xfId="191" xr:uid="{00000000-0005-0000-0000-000007010000}"/>
    <cellStyle name="?_x001d_??%U²u&amp;H²9_x0008_? s_x000a__x0007__x0001__x0001_" xfId="192" xr:uid="{00000000-0005-0000-0000-000008010000}"/>
    <cellStyle name="?_x001d_??%U²u&amp;H²9_x0008_? s_x000a__x0007__x0001__x0001_ 2" xfId="9753" xr:uid="{00000000-0005-0000-0000-000009010000}"/>
    <cellStyle name="?_x001d_??%U²u&amp;H²9_x0008_? s_x000a__x0007__x0001__x0001_ 3" xfId="9754" xr:uid="{00000000-0005-0000-0000-00000A010000}"/>
    <cellStyle name="????" xfId="9755" xr:uid="{00000000-0005-0000-0000-00000B010000}"/>
    <cellStyle name="???? [0.00]_      " xfId="193" xr:uid="{00000000-0005-0000-0000-00000C010000}"/>
    <cellStyle name="?????" xfId="9756" xr:uid="{00000000-0005-0000-0000-00000D010000}"/>
    <cellStyle name="??????" xfId="194" xr:uid="{00000000-0005-0000-0000-00000E010000}"/>
    <cellStyle name="???????" xfId="9757" xr:uid="{00000000-0005-0000-0000-00000F010000}"/>
    <cellStyle name="????????????" xfId="9758" xr:uid="{00000000-0005-0000-0000-000010010000}"/>
    <cellStyle name="????????????????? [0]_PLDT" xfId="9759" xr:uid="{00000000-0005-0000-0000-000011010000}"/>
    <cellStyle name="??????????????????? [0]_FTC_OFFER" xfId="9760" xr:uid="{00000000-0005-0000-0000-000012010000}"/>
    <cellStyle name="????_      " xfId="195" xr:uid="{00000000-0005-0000-0000-000013010000}"/>
    <cellStyle name="???[0]_?? DI" xfId="196" xr:uid="{00000000-0005-0000-0000-000014010000}"/>
    <cellStyle name="???_???" xfId="14455" xr:uid="{00000000-0005-0000-0000-000015010000}"/>
    <cellStyle name="?_x0010__x0001_??Pr" xfId="197" xr:uid="{00000000-0005-0000-0000-000016010000}"/>
    <cellStyle name="???R쀀Àok1" xfId="198" xr:uid="{00000000-0005-0000-0000-000017010000}"/>
    <cellStyle name="???R쀀Àok1 2" xfId="199" xr:uid="{00000000-0005-0000-0000-000018010000}"/>
    <cellStyle name="??[0]" xfId="200" xr:uid="{00000000-0005-0000-0000-000019010000}"/>
    <cellStyle name="??_      " xfId="201" xr:uid="{00000000-0005-0000-0000-00001A010000}"/>
    <cellStyle name="??9JS—_x0008_??????????????????H_x0001_????&lt;i·0??????????_x0007_?_x0010__x0001_??Thongso??9JS—_x0008_??????????????????‚_x0001_?" xfId="202" xr:uid="{00000000-0005-0000-0000-00001B010000}"/>
    <cellStyle name="??A? [0]_laroux_1_¸???™? " xfId="203" xr:uid="{00000000-0005-0000-0000-00001C010000}"/>
    <cellStyle name="??A?_laroux_1_¸???™? " xfId="204" xr:uid="{00000000-0005-0000-0000-00001D010000}"/>
    <cellStyle name="??e¨?¨?A?÷_??aA??" xfId="205" xr:uid="{00000000-0005-0000-0000-00001E010000}"/>
    <cellStyle name="_x0001_??Thanh_phan?9š" xfId="206" xr:uid="{00000000-0005-0000-0000-00001F010000}"/>
    <cellStyle name="?_07.02.06 - Indo Eng Bill of Quantity - 339 - Binary - Rev A.Mech" xfId="207" xr:uid="{00000000-0005-0000-0000-000020010000}"/>
    <cellStyle name="?_BOQ of CentrePoint-Nov,09" xfId="208" xr:uid="{00000000-0005-0000-0000-000021010000}"/>
    <cellStyle name="?_CenterPointM&amp;EBD-Net.Nov.10.07" xfId="209" xr:uid="{00000000-0005-0000-0000-000022010000}"/>
    <cellStyle name="?_CenterPointM&amp;EBD-Net.Rev.2" xfId="210" xr:uid="{00000000-0005-0000-0000-000023010000}"/>
    <cellStyle name="?_CentrePoint-Nov,08" xfId="211" xr:uid="{00000000-0005-0000-0000-000024010000}"/>
    <cellStyle name="?_CentrePoint-Nov,08_1" xfId="212" xr:uid="{00000000-0005-0000-0000-000025010000}"/>
    <cellStyle name="?_Genral Conditin etc" xfId="213" xr:uid="{00000000-0005-0000-0000-000026010000}"/>
    <cellStyle name="?_M_E Services _ Education" xfId="214" xr:uid="{00000000-0005-0000-0000-000027010000}"/>
    <cellStyle name="?_Manufacture list" xfId="215" xr:uid="{00000000-0005-0000-0000-000028010000}"/>
    <cellStyle name="?¡±¢¥?_?¨ù??¢´¢¥_¢¬???¢â? " xfId="216" xr:uid="{00000000-0005-0000-0000-000029010000}"/>
    <cellStyle name="?”´?_?¼??¤´_¸???™? " xfId="217" xr:uid="{00000000-0005-0000-0000-00002A010000}"/>
    <cellStyle name="_x0001_?¶æµ_x001b_ºß­ " xfId="218" xr:uid="{00000000-0005-0000-0000-00002B010000}"/>
    <cellStyle name="_x0001_?¶æµ_x001b_ºß­_" xfId="219" xr:uid="{00000000-0005-0000-0000-00002C010000}"/>
    <cellStyle name="?ðÇ" xfId="220" xr:uid="{00000000-0005-0000-0000-00002D010000}"/>
    <cellStyle name="?ðÇ%" xfId="221" xr:uid="{00000000-0005-0000-0000-00002E010000}"/>
    <cellStyle name="?ðÇ%U?&amp;H" xfId="222" xr:uid="{00000000-0005-0000-0000-00002F010000}"/>
    <cellStyle name="?ðÇ%U?&amp;H?_x0008_?s_x000a__x0007__x0001__x0001_" xfId="223" xr:uid="{00000000-0005-0000-0000-000030010000}"/>
    <cellStyle name="?ðÇ%U?&amp;H?_x0008_?s_x000a__x0007__x0001__x0001_?_x0002_ÿÿÿÿÿÿÿÿÿÿÿÿÿÿÿ_x0001_(_x0002_?€????ÿÿÿÿ????_x0007_??????????????????????????           ?????           ?????????_x000a_C:\WINDOWS\country.sys_x000a_??????????????????????????????????????????????????????????????????????????????????????????????" xfId="224" xr:uid="{00000000-0005-0000-0000-000031010000}"/>
    <cellStyle name="?ðÇ%U?&amp;H?_x0008_?s_x000a__x0007__x0001__x0001_?_x0002_ÿÿÿÿÿÿÿÿÿÿÿÿÿÿÿ_x0001_(_x0002_?€????ÿÿÿÿ????_x0007_??????????????????????????           ?????           ?????????_x000d_C:\WINDOWS\country.sys_x000d_??????????????????????????????????????????????????????????????????????????????????????????????" xfId="225" xr:uid="{00000000-0005-0000-0000-000032010000}"/>
    <cellStyle name="?I?I?_x0001_??j?_x0008_?h_x0001__x000c__x000c__x0002__x0002__x000c_!Comma [0]_Chi phÝ kh¸c_B¶ng 1 (2)?G_x001d_Comma [0]_Chi phÝ kh¸c_B¶ng 2?G$Comma [0]_Ch" xfId="226" xr:uid="{00000000-0005-0000-0000-000033010000}"/>
    <cellStyle name="?Sums?9^R—_x0008_????????????????????N_x0004__x0002__x0003_1?_x0014_" xfId="227" xr:uid="{00000000-0005-0000-0000-000034010000}"/>
    <cellStyle name="?W準_Electrical" xfId="228" xr:uid="{00000000-0005-0000-0000-000035010000}"/>
    <cellStyle name="?曹%U?&amp;H?_x0008_?" xfId="229" xr:uid="{00000000-0005-0000-0000-000036010000}"/>
    <cellStyle name="?曹%U?&amp;H?_x0008_?s_x000a__x0007__x0001__x0001_" xfId="230" xr:uid="{00000000-0005-0000-0000-000037010000}"/>
    <cellStyle name="?曹%U?&amp;H?_x0008_?s_x000a__x0007__x0001__x0001_?_x0002__x0001_(_x0002_???" xfId="231" xr:uid="{00000000-0005-0000-0000-000038010000}"/>
    <cellStyle name="?曹%U?&amp;H?_x0008_?s_x000a__x0007__x0001__x0001_?_x0002__x0001_(_x0002_?????????_x0007_??????????????????????????           ?????           ?????????_x000d_C:\WINDOWS\country.sys_x000d_??????????????????????????????????????????????????????????????????????????????????????????????" xfId="232" xr:uid="{00000000-0005-0000-0000-000039010000}"/>
    <cellStyle name="?饑_x000c_辋?恂U_x0001_??_x0007__x0001__x0001_" xfId="233" xr:uid="{00000000-0005-0000-0000-00003A010000}"/>
    <cellStyle name="[0]_Chi phÝ kh¸c_V" xfId="234" xr:uid="{00000000-0005-0000-0000-00003B010000}"/>
    <cellStyle name="_x0001_\Ô" xfId="235" xr:uid="{00000000-0005-0000-0000-00003C010000}"/>
    <cellStyle name="_04 (vn)SECC Bills of Quantities" xfId="236" xr:uid="{00000000-0005-0000-0000-00003D010000}"/>
    <cellStyle name="_05_Artemis_95% Estimate_Rev 00_Issued 12_08_05" xfId="237" xr:uid="{00000000-0005-0000-0000-00003E010000}"/>
    <cellStyle name="_05_Artemis_95% Estimate_Rev 00_Issued 12_08_05_FM" xfId="238" xr:uid="{00000000-0005-0000-0000-00003F010000}"/>
    <cellStyle name="_07.02.06 - Indo Eng Bill of Quantity - 339 - Binary - Rev A.Mech" xfId="239" xr:uid="{00000000-0005-0000-0000-000040010000}"/>
    <cellStyle name="_07.02.06 - Indo Eng Bill of Quantity - 339 - Binary - Rev A.Mech_M_E Services _ Education" xfId="240" xr:uid="{00000000-0005-0000-0000-000041010000}"/>
    <cellStyle name="_07.02.06 - Indo Eng Bill of Quantity - 339 - Binary - Rev A.Mech_M_E Services _ Education_1" xfId="241" xr:uid="{00000000-0005-0000-0000-000042010000}"/>
    <cellStyle name="_07.02.06 - Indo Eng Bill of Quantity - 339 - Binary - Rev A.Mech_M_E Services _ Education_1_submit DHND 5%" xfId="242" xr:uid="{00000000-0005-0000-0000-000043010000}"/>
    <cellStyle name="_07.02.06 - Indo Eng Bill of Quantity - 339 - Binary - Rev A.Mech_M_E Services _ Education_submit DHND 5%" xfId="243" xr:uid="{00000000-0005-0000-0000-000044010000}"/>
    <cellStyle name="_07.02.06 - Indo Eng Bill of Quantity - 339 - Binary - Rev A.Mech_submit DHND 5%" xfId="244" xr:uid="{00000000-0005-0000-0000-000045010000}"/>
    <cellStyle name="_1. Tong du toan" xfId="245" xr:uid="{00000000-0005-0000-0000-000046010000}"/>
    <cellStyle name="_1107" xfId="246" xr:uid="{00000000-0005-0000-0000-000047010000}"/>
    <cellStyle name="_1487-BOQ-9th" xfId="247" xr:uid="{00000000-0005-0000-0000-000048010000}"/>
    <cellStyle name="_4. Equipment  Schedule P&amp;S" xfId="248" xr:uid="{00000000-0005-0000-0000-000049010000}"/>
    <cellStyle name="_4. Equipment  Schedule P&amp;S_M_E Services _ Education" xfId="249" xr:uid="{00000000-0005-0000-0000-00004A010000}"/>
    <cellStyle name="_4. Equipment  Schedule P&amp;S_M_E Services _ Education_1" xfId="250" xr:uid="{00000000-0005-0000-0000-00004B010000}"/>
    <cellStyle name="_4. Equipment  Schedule P&amp;S_M_E Services _ Education_1_submit DHND 5%" xfId="251" xr:uid="{00000000-0005-0000-0000-00004C010000}"/>
    <cellStyle name="_4. Equipment  Schedule P&amp;S_M_E Services _ Education_submit DHND 5%" xfId="252" xr:uid="{00000000-0005-0000-0000-00004D010000}"/>
    <cellStyle name="_4. Equipment  Schedule P&amp;S_submit DHND 5%" xfId="253" xr:uid="{00000000-0005-0000-0000-00004E010000}"/>
    <cellStyle name="_433 Cong ty TNHH Khanh Tam" xfId="254" xr:uid="{00000000-0005-0000-0000-00004F010000}"/>
    <cellStyle name="_6. Manufactures  list" xfId="255" xr:uid="{00000000-0005-0000-0000-000050010000}"/>
    <cellStyle name="_60% Programming Estimate_SS1_Rev 3" xfId="256" xr:uid="{00000000-0005-0000-0000-000051010000}"/>
    <cellStyle name="_A5-v4-client's comment" xfId="14456" xr:uid="{00000000-0005-0000-0000-000052010000}"/>
    <cellStyle name="_A5-v4-client's comment_CHI TIET 03" xfId="14457" xr:uid="{00000000-0005-0000-0000-000053010000}"/>
    <cellStyle name="_Ac 2160 - BO" xfId="14458" xr:uid="{00000000-0005-0000-0000-000054010000}"/>
    <cellStyle name="_Ac 2160 - BO_CHI TIET 03" xfId="14459" xr:uid="{00000000-0005-0000-0000-000055010000}"/>
    <cellStyle name="_ACMV BOQ" xfId="257" xr:uid="{00000000-0005-0000-0000-000056010000}"/>
    <cellStyle name="_ACMV BOQ_M_E Services _ Education" xfId="258" xr:uid="{00000000-0005-0000-0000-000057010000}"/>
    <cellStyle name="_ACMV BOQ_M_E Services _ Education_1" xfId="259" xr:uid="{00000000-0005-0000-0000-000058010000}"/>
    <cellStyle name="_ACMV BOQ_M_E Services _ Education_1_submit DHND 5%" xfId="260" xr:uid="{00000000-0005-0000-0000-000059010000}"/>
    <cellStyle name="_ACMV BOQ_M_E Services _ Education_submit DHND 5%" xfId="261" xr:uid="{00000000-0005-0000-0000-00005A010000}"/>
    <cellStyle name="_ACMV BOQ_submit DHND 5%" xfId="262" xr:uid="{00000000-0005-0000-0000-00005B010000}"/>
    <cellStyle name="_ACMV&amp;PS scope" xfId="263" xr:uid="{00000000-0005-0000-0000-00005C010000}"/>
    <cellStyle name="_ACT-IPC-ALL-005 JUL08rev" xfId="264" xr:uid="{00000000-0005-0000-0000-00005D010000}"/>
    <cellStyle name="_ACT-IPC-ALL-007 Aug08rev" xfId="265" xr:uid="{00000000-0005-0000-0000-00005E010000}"/>
    <cellStyle name="_AddFirePump" xfId="266" xr:uid="{00000000-0005-0000-0000-00005F010000}"/>
    <cellStyle name="_AddFirePump_Genral Conditin etc" xfId="267" xr:uid="{00000000-0005-0000-0000-000060010000}"/>
    <cellStyle name="_AddFirePump_M_E Services _ Education" xfId="268" xr:uid="{00000000-0005-0000-0000-000061010000}"/>
    <cellStyle name="_AddFirePump_M_E Services _ Education_1" xfId="269" xr:uid="{00000000-0005-0000-0000-000062010000}"/>
    <cellStyle name="_ANH NGA" xfId="270" xr:uid="{00000000-0005-0000-0000-000063010000}"/>
    <cellStyle name="_App G-UR Elec&amp;IT " xfId="271" xr:uid="{00000000-0005-0000-0000-000064010000}"/>
    <cellStyle name="_App G-UR Elec&amp;IT _bang chi tiet_ACMV 25-06-2011" xfId="272" xr:uid="{00000000-0005-0000-0000-000065010000}"/>
    <cellStyle name="_App G-UR Elec&amp;IT _Bill of quantity - cables tray FA - Paragon detail from Tai 011-07-2011" xfId="273" xr:uid="{00000000-0005-0000-0000-000066010000}"/>
    <cellStyle name="_App G-UR Elec&amp;IT _BOQ-Big C Hai Duong-Electrical-(Final  30-5-2011)-Gia ban HS" xfId="274" xr:uid="{00000000-0005-0000-0000-000067010000}"/>
    <cellStyle name="_App G-UR Elec&amp;IT _quotation QNT-REE-040411 (1)" xfId="275" xr:uid="{00000000-0005-0000-0000-000068010000}"/>
    <cellStyle name="_Apr_CPA_PG8_Prescott_Trev1_A9 UM FCBGA_CPU Comparison " xfId="276" xr:uid="{00000000-0005-0000-0000-000069010000}"/>
    <cellStyle name="_Apr_CPA_PG8_Prescott_Trev1_A9 UM FCBGA_CPU Comparison _bang chi tiet_ACMV 25-06-2011" xfId="277" xr:uid="{00000000-0005-0000-0000-00006A010000}"/>
    <cellStyle name="_Apr_CPA_PG8_Prescott_Trev1_A9 UM FCBGA_CPU Comparison _Bill of quantity - cables tray FA - Paragon detail from Tai 011-07-2011" xfId="278" xr:uid="{00000000-0005-0000-0000-00006B010000}"/>
    <cellStyle name="_Apr_CPA_PG8_Prescott_Trev1_A9 UM FCBGA_CPU Comparison _quotation QNT-REE-040411 (1)" xfId="279" xr:uid="{00000000-0005-0000-0000-00006C010000}"/>
    <cellStyle name="_Avalon Apr. 8-05" xfId="280" xr:uid="{00000000-0005-0000-0000-00006D010000}"/>
    <cellStyle name="_Bang Chi tieu (2)" xfId="281" xr:uid="{00000000-0005-0000-0000-00006E010000}"/>
    <cellStyle name="_Bang Chi tieu (2)?_x001c_Comma [0]_Chi phÝ kh¸c_Book1?!Comma [0]_Chi phÝ kh¸c_Liªn ChiÓu?b_x001e_Comma [0]_Chi" xfId="282" xr:uid="{00000000-0005-0000-0000-00006F010000}"/>
    <cellStyle name="_Bang So Sanh VSD - Ngay 07-01-2009" xfId="283" xr:uid="{00000000-0005-0000-0000-000070010000}"/>
    <cellStyle name="_Bang TH chung" xfId="284" xr:uid="{00000000-0005-0000-0000-000071010000}"/>
    <cellStyle name="_BAO GIA DANG XAY DUNG" xfId="285" xr:uid="{00000000-0005-0000-0000-000072010000}"/>
    <cellStyle name="_Bao gia M &amp; E (10.9.2009)" xfId="9761" xr:uid="{00000000-0005-0000-0000-000073010000}"/>
    <cellStyle name="_Bao Gia Ong Cast Iron KNACK - Ngay 14-01-2009" xfId="286" xr:uid="{00000000-0005-0000-0000-000074010000}"/>
    <cellStyle name="_Bao Gia Ong Cast Iron KNACK - Ngay 20-01-2009" xfId="287" xr:uid="{00000000-0005-0000-0000-000075010000}"/>
    <cellStyle name="_Bao Gia Ong Cast Iron KNACK - Ngay 24-12-2008" xfId="288" xr:uid="{00000000-0005-0000-0000-000076010000}"/>
    <cellStyle name="_BC 10-7-2006" xfId="14460" xr:uid="{00000000-0005-0000-0000-000077010000}"/>
    <cellStyle name="_BCT - KITYCOTTAGE SS 1''x1'' ANGLE 22-00PET-026" xfId="289" xr:uid="{00000000-0005-0000-0000-000078010000}"/>
    <cellStyle name="_BCT - MID FLANGE LATCH RIGHT 22-00 PET-030" xfId="290" xr:uid="{00000000-0005-0000-0000-000079010000}"/>
    <cellStyle name="_BG DU AN BEST WESTER NHA TRANG(1)." xfId="291" xr:uid="{00000000-0005-0000-0000-00007A010000}"/>
    <cellStyle name="_x0001__Bill of quantity - cables tray FA - Paragon detail from Tai 011-07-2011" xfId="292" xr:uid="{00000000-0005-0000-0000-00007B010000}"/>
    <cellStyle name="_Book1" xfId="293" xr:uid="{00000000-0005-0000-0000-00007C010000}"/>
    <cellStyle name="_Book1 2" xfId="294" xr:uid="{00000000-0005-0000-0000-00007D010000}"/>
    <cellStyle name="_Book1_001 - Electrical" xfId="295" xr:uid="{00000000-0005-0000-0000-00007E010000}"/>
    <cellStyle name="_Book1_001-Indoor Sports  Structure &amp; Architect Qty-editT (ID)" xfId="296" xr:uid="{00000000-0005-0000-0000-00007F010000}"/>
    <cellStyle name="_Book1_001-Type B Plumbing-Qty" xfId="297" xr:uid="{00000000-0005-0000-0000-000080010000}"/>
    <cellStyle name="_Book1_01 - Taking off for Bill 2" xfId="298" xr:uid="{00000000-0005-0000-0000-000081010000}"/>
    <cellStyle name="_Book1_02 - Taking off for bil3" xfId="299" xr:uid="{00000000-0005-0000-0000-000082010000}"/>
    <cellStyle name="_Book1_02 - Taking off for bil3 - Edit" xfId="300" xr:uid="{00000000-0005-0000-0000-000083010000}"/>
    <cellStyle name="_Book1_023-BoQ - HVAC" xfId="301" xr:uid="{00000000-0005-0000-0000-000084010000}"/>
    <cellStyle name="_Book1_1" xfId="302" xr:uid="{00000000-0005-0000-0000-000085010000}"/>
    <cellStyle name="_Book1_1. Tong du toan" xfId="303" xr:uid="{00000000-0005-0000-0000-000086010000}"/>
    <cellStyle name="_Book1_1_ACT-IPC-ALL-005 JUL08rev" xfId="304" xr:uid="{00000000-0005-0000-0000-000087010000}"/>
    <cellStyle name="_Book1_1_ACT-IPC-ALL-007 Aug08rev" xfId="305" xr:uid="{00000000-0005-0000-0000-000088010000}"/>
    <cellStyle name="_Book1_1_BOQ-Thuan thao (Tai 07May)" xfId="306" xr:uid="{00000000-0005-0000-0000-000089010000}"/>
    <cellStyle name="_Book1_1_CAU TAO GIA THE OCEAN VILLAS DANANG" xfId="307" xr:uid="{00000000-0005-0000-0000-00008A010000}"/>
    <cellStyle name="_Book1_1_Danh sach nha cung cap ( Vendor List ) - Cap nhat 15-04-2011" xfId="308" xr:uid="{00000000-0005-0000-0000-00008B010000}"/>
    <cellStyle name="_Book1_1_PCM Bi-Monthly Report October" xfId="309" xr:uid="{00000000-0005-0000-0000-00008C010000}"/>
    <cellStyle name="_Book1_1_THAO DIEN PEARL  - CAP THOAT NUOC (5-9-2011)" xfId="310" xr:uid="{00000000-0005-0000-0000-00008D010000}"/>
    <cellStyle name="_Book1_2" xfId="311" xr:uid="{00000000-0005-0000-0000-00008E010000}"/>
    <cellStyle name="_Book1_2_M_E Services _ Education" xfId="312" xr:uid="{00000000-0005-0000-0000-00008F010000}"/>
    <cellStyle name="_Book1_2_M_E Services _ Education_1" xfId="313" xr:uid="{00000000-0005-0000-0000-000090010000}"/>
    <cellStyle name="_Book1_2_M_E Services _ Education_1_submit DHND 5%" xfId="314" xr:uid="{00000000-0005-0000-0000-000091010000}"/>
    <cellStyle name="_Book1_2_M_E Services _ Education_submit DHND 5%" xfId="315" xr:uid="{00000000-0005-0000-0000-000092010000}"/>
    <cellStyle name="_Book1_2_submit DHND 5%" xfId="316" xr:uid="{00000000-0005-0000-0000-000093010000}"/>
    <cellStyle name="_Book1_2---DATA_SAIN GOBAIN (THEP)_Option 1-British Standard" xfId="317" xr:uid="{00000000-0005-0000-0000-000094010000}"/>
    <cellStyle name="_Book1_ACT-IPC-ALL-005 JUL08rev" xfId="318" xr:uid="{00000000-0005-0000-0000-000095010000}"/>
    <cellStyle name="_Book1_ACT-IPC-ALL-007 Aug08rev" xfId="319" xr:uid="{00000000-0005-0000-0000-000096010000}"/>
    <cellStyle name="_Book1_Bang KL chi tiet phan than" xfId="320" xr:uid="{00000000-0005-0000-0000-000097010000}"/>
    <cellStyle name="_Book1_basement finishes- cost estimate" xfId="321" xr:uid="{00000000-0005-0000-0000-000098010000}"/>
    <cellStyle name="_Book1_BC-QT-WB-dthao" xfId="322" xr:uid="{00000000-0005-0000-0000-000099010000}"/>
    <cellStyle name="_Book1_BC-QT-WB-dthao_2---DATA_SAIN GOBAIN (THEP)_Option 1-British Standard" xfId="323" xr:uid="{00000000-0005-0000-0000-00009A010000}"/>
    <cellStyle name="_Book1_Bill of quantity - cables tray FA - Paragon detail from Tai 011-07-2011" xfId="324" xr:uid="{00000000-0005-0000-0000-00009B010000}"/>
    <cellStyle name="_Book1_Book1" xfId="325" xr:uid="{00000000-0005-0000-0000-00009C010000}"/>
    <cellStyle name="_Book1_BOQ-Thuan thao (Tai 07May)" xfId="326" xr:uid="{00000000-0005-0000-0000-00009D010000}"/>
    <cellStyle name="_Book1_Cat lai_bang tinh khoi luong_thiet bi ve sinh-1" xfId="327" xr:uid="{00000000-0005-0000-0000-00009E010000}"/>
    <cellStyle name="_Book1_Catlai Villa Project - BOQ  Generator Camera External lighting " xfId="328" xr:uid="{00000000-0005-0000-0000-00009F010000}"/>
    <cellStyle name="_Book1_CAU TAO GIA THE OCEAN VILLAS DANANG" xfId="329" xr:uid="{00000000-0005-0000-0000-0000A0010000}"/>
    <cellStyle name="_Book1_Copy of 012-Lab &amp; Func Structure &amp; Architect Qty-editT (version 1)" xfId="331" xr:uid="{00000000-0005-0000-0000-0000A2010000}"/>
    <cellStyle name="_Book1_Copy of Breakdown quantity of Sub_Structure Rev 02" xfId="332" xr:uid="{00000000-0005-0000-0000-0000A3010000}"/>
    <cellStyle name="_Book1_Chi tiet thep ket cau thuong tang" xfId="330" xr:uid="{00000000-0005-0000-0000-0000A1010000}"/>
    <cellStyle name="_Book1_Danh sach nha cung cap ( Vendor List ) - Cap nhat 15-04-2011" xfId="333" xr:uid="{00000000-0005-0000-0000-0000A4010000}"/>
    <cellStyle name="_Book1_dS" xfId="14461" xr:uid="{00000000-0005-0000-0000-0000A5010000}"/>
    <cellStyle name="_Book1_DT HT Goi 1.4 den ngay 15-5-08" xfId="334" xr:uid="{00000000-0005-0000-0000-0000A6010000}"/>
    <cellStyle name="_Book1_Du toan" xfId="335" xr:uid="{00000000-0005-0000-0000-0000A7010000}"/>
    <cellStyle name="_Book1_Du toan chi phi gia thau T12 (Dat Phuong)" xfId="336" xr:uid="{00000000-0005-0000-0000-0000A8010000}"/>
    <cellStyle name="_Book1_Du toan chi phi gia thau T12 (Dat Phuong) 2" xfId="337" xr:uid="{00000000-0005-0000-0000-0000A9010000}"/>
    <cellStyle name="_Book1_Du toan Ket cau ha tang _ Rev 03" xfId="338" xr:uid="{00000000-0005-0000-0000-0000AA010000}"/>
    <cellStyle name="_Book1_Electrical house B Qty" xfId="339" xr:uid="{00000000-0005-0000-0000-0000AB010000}"/>
    <cellStyle name="_Book1_F4_5_6__Bao_cao_tai_NPP BICH TIEN" xfId="14462" xr:uid="{00000000-0005-0000-0000-0000AC010000}"/>
    <cellStyle name="_Book1_Form for detail of steel" xfId="340" xr:uid="{00000000-0005-0000-0000-0000AD010000}"/>
    <cellStyle name="_Book1_HH2 Exterior_vinaconex9 27-5-09(VN)" xfId="341" xr:uid="{00000000-0005-0000-0000-0000AE010000}"/>
    <cellStyle name="_Book1_IDJ - School type A" xfId="342" xr:uid="{00000000-0005-0000-0000-0000AF010000}"/>
    <cellStyle name="_Book1_Indoor-BoQ-Electrical 18-08-08 Hung agian" xfId="343" xr:uid="{00000000-0005-0000-0000-0000B0010000}"/>
    <cellStyle name="_Book1_l" xfId="344" xr:uid="{00000000-0005-0000-0000-0000B1010000}"/>
    <cellStyle name="_Book1_M_E Services _ Education" xfId="345" xr:uid="{00000000-0005-0000-0000-0000B2010000}"/>
    <cellStyle name="_Book1_M_E Services _ Education_1" xfId="346" xr:uid="{00000000-0005-0000-0000-0000B3010000}"/>
    <cellStyle name="_Book1_M_E Services _ Education_1_submit DHND 5%" xfId="347" xr:uid="{00000000-0005-0000-0000-0000B4010000}"/>
    <cellStyle name="_Book1_M_E Services _ Education_submit DHND 5%" xfId="348" xr:uid="{00000000-0005-0000-0000-0000B5010000}"/>
    <cellStyle name="_Book1_Mau -bao_cao_XNT_NVTK_tai_NPP 19.7" xfId="14463" xr:uid="{00000000-0005-0000-0000-0000B6010000}"/>
    <cellStyle name="_Book1_Mau_bao_cao_XNT_NVTK_tai_NPP 21.7" xfId="14464" xr:uid="{00000000-0005-0000-0000-0000B7010000}"/>
    <cellStyle name="_Book1_Nha Khach Thanh Uy- Busway -LS- REV1-29-06" xfId="349" xr:uid="{00000000-0005-0000-0000-0000B8010000}"/>
    <cellStyle name="_Book1_O-REE_Superstructure take off qty-2 (Kha)" xfId="350" xr:uid="{00000000-0005-0000-0000-0000B9010000}"/>
    <cellStyle name="_Book1_PA &amp; CO-BoQ" xfId="351" xr:uid="{00000000-0005-0000-0000-0000BA010000}"/>
    <cellStyle name="_Book1_PCM Bi-Monthly Report October" xfId="352" xr:uid="{00000000-0005-0000-0000-0000BB010000}"/>
    <cellStyle name="_Book1_Plumbing house BQty" xfId="353" xr:uid="{00000000-0005-0000-0000-0000BC010000}"/>
    <cellStyle name="_Book1_Rebars taking off" xfId="354" xr:uid="{00000000-0005-0000-0000-0000BD010000}"/>
    <cellStyle name="_Book1_REE Office - Steel - Rev01" xfId="355" xr:uid="{00000000-0005-0000-0000-0000BE010000}"/>
    <cellStyle name="_Book1_REE Office Building - Bang Tien Luong" xfId="356" xr:uid="{00000000-0005-0000-0000-0000BF010000}"/>
    <cellStyle name="_Book1_REE Office Building Work Cost - Part two - Rev00" xfId="357" xr:uid="{00000000-0005-0000-0000-0000C0010000}"/>
    <cellStyle name="_Book1_REE Office Building Work Cost - Part two - Rev00 (Trang)" xfId="358" xr:uid="{00000000-0005-0000-0000-0000C1010000}"/>
    <cellStyle name="_Book1_REE Office Building Work Cost - Rev00-1" xfId="359" xr:uid="{00000000-0005-0000-0000-0000C2010000}"/>
    <cellStyle name="_Book1_Ree-substructure-detail qty-rev00" xfId="360" xr:uid="{00000000-0005-0000-0000-0000C3010000}"/>
    <cellStyle name="_Book1_Rex Hotel - Bang tien luong -kien truc  work cost rev.00" xfId="361" xr:uid="{00000000-0005-0000-0000-0000C4010000}"/>
    <cellStyle name="_Book1_Sheet2" xfId="362" xr:uid="{00000000-0005-0000-0000-0000C5010000}"/>
    <cellStyle name="_Book1_Sub.grade works" xfId="363" xr:uid="{00000000-0005-0000-0000-0000C6010000}"/>
    <cellStyle name="_Book1_submit DHND 5%" xfId="364" xr:uid="{00000000-0005-0000-0000-0000C7010000}"/>
    <cellStyle name="_Book1_THAO DIEN PEARL  - CAP THOAT NUOC (5-9-2011)" xfId="365" xr:uid="{00000000-0005-0000-0000-0000C8010000}"/>
    <cellStyle name="_Book1_Thong tin chung Groz" xfId="366" xr:uid="{00000000-0005-0000-0000-0000C9010000}"/>
    <cellStyle name="_Book1_Udic_M&amp;E HT Thang may_Rev.00" xfId="367" xr:uid="{00000000-0005-0000-0000-0000CA010000}"/>
    <cellStyle name="_Book1_Vat tu boc tach Goldola" xfId="368" xr:uid="{00000000-0005-0000-0000-0000CB010000}"/>
    <cellStyle name="_Book1_VO-16-Singapore embassy" xfId="369" xr:uid="{00000000-0005-0000-0000-0000CC010000}"/>
    <cellStyle name="_Book2" xfId="370" xr:uid="{00000000-0005-0000-0000-0000CD010000}"/>
    <cellStyle name="_Book2 2" xfId="371" xr:uid="{00000000-0005-0000-0000-0000CE010000}"/>
    <cellStyle name="_Book2_BOQ ME THAO DIEN R6 18022014" xfId="372" xr:uid="{00000000-0005-0000-0000-0000CF010000}"/>
    <cellStyle name="_Book2_BOQ ME THAO DIEN R6 18022014 (Mr.Luc)" xfId="373" xr:uid="{00000000-0005-0000-0000-0000D0010000}"/>
    <cellStyle name="_Book2_BOQ ME THAO DIEN Rev-00 FP 02-01-2014 (2)" xfId="374" xr:uid="{00000000-0005-0000-0000-0000D1010000}"/>
    <cellStyle name="_Book2_BOQ ME THAO DIEN Rev-00 FP 02-01-2014 (2) 2" xfId="375" xr:uid="{00000000-0005-0000-0000-0000D2010000}"/>
    <cellStyle name="_Book2_BOQ ME THAO DIEN Rev-00 FP 02-01-2014 (2) 3" xfId="376" xr:uid="{00000000-0005-0000-0000-0000D3010000}"/>
    <cellStyle name="_Book2_BOQ ME THAO DIEN Rev-00 FP 02-01-2014 (2) 4" xfId="377" xr:uid="{00000000-0005-0000-0000-0000D4010000}"/>
    <cellStyle name="_Book2_BOQ ME THAO DIEN Rev-00 FP 02-01-2014 (2) 5" xfId="378" xr:uid="{00000000-0005-0000-0000-0000D5010000}"/>
    <cellStyle name="_Book2_Cau tao gia Arico T2-2009" xfId="379" xr:uid="{00000000-0005-0000-0000-0000D6010000}"/>
    <cellStyle name="_Book2_Cau tao gia Arico T2-2009_08. BoQ Vinamilk My Phuoc 2 BD - Rev.00 (Tong hop XD-M&amp;E)-29.09.09" xfId="380" xr:uid="{00000000-0005-0000-0000-0000D7010000}"/>
    <cellStyle name="_Book2_Cau tao gia Nop thau" xfId="381" xr:uid="{00000000-0005-0000-0000-0000D8010000}"/>
    <cellStyle name="_Book2_Cau tao gia Nop thau 2" xfId="382" xr:uid="{00000000-0005-0000-0000-0000D9010000}"/>
    <cellStyle name="_Book2_Cau tao gia Nop thau_BOQ Texhong GD3 moi thau" xfId="383" xr:uid="{00000000-0005-0000-0000-0000DA010000}"/>
    <cellStyle name="_Book2_Cau tao gia Nop thau_BOQ Texhong Ngan Long" xfId="384" xr:uid="{00000000-0005-0000-0000-0000DB010000}"/>
    <cellStyle name="_Book2_Cau tao gia tong hop Mau" xfId="385" xr:uid="{00000000-0005-0000-0000-0000DC010000}"/>
    <cellStyle name="_Book2_Cau tao gia tong hop Mau 2" xfId="386" xr:uid="{00000000-0005-0000-0000-0000DD010000}"/>
    <cellStyle name="_Book2_Cau tao gia tong hop Mau_BOQ Texhong GD3 moi thau" xfId="387" xr:uid="{00000000-0005-0000-0000-0000DE010000}"/>
    <cellStyle name="_Book2_Cau tao gia tong hop Mau_BOQ Texhong Ngan Long" xfId="388" xr:uid="{00000000-0005-0000-0000-0000DF010000}"/>
    <cellStyle name="_Book2_CTC - BoQ Agrex Building" xfId="390" xr:uid="{00000000-0005-0000-0000-0000E1010000}"/>
    <cellStyle name="_Book2_Chi phi bien phap Ham,san transfer" xfId="389" xr:uid="{00000000-0005-0000-0000-0000E0010000}"/>
    <cellStyle name="_boq" xfId="391" xr:uid="{00000000-0005-0000-0000-0000E2010000}"/>
    <cellStyle name="_BOQ - VINAMILK TOWER(REV 0)" xfId="392" xr:uid="{00000000-0005-0000-0000-0000E3010000}"/>
    <cellStyle name="_BOQ M&amp;E- DRAGON TOWER(23-9-09)" xfId="393" xr:uid="{00000000-0005-0000-0000-0000E4010000}"/>
    <cellStyle name="_BOQ Mech Rotto(English &amp; Japanese)" xfId="394" xr:uid="{00000000-0005-0000-0000-0000E5010000}"/>
    <cellStyle name="_BOQ Mech Rotto(English &amp; Japanese)_M_E Services _ Education" xfId="395" xr:uid="{00000000-0005-0000-0000-0000E6010000}"/>
    <cellStyle name="_BOQ Mech Rotto(English &amp; Japanese)_M_E Services _ Education_1" xfId="396" xr:uid="{00000000-0005-0000-0000-0000E7010000}"/>
    <cellStyle name="_BOQ Mech Rotto(English &amp; Japanese)_M_E Services _ Education_1_submit DHND 5%" xfId="397" xr:uid="{00000000-0005-0000-0000-0000E8010000}"/>
    <cellStyle name="_BOQ Mech Rotto(English &amp; Japanese)_M_E Services _ Education_submit DHND 5%" xfId="398" xr:uid="{00000000-0005-0000-0000-0000E9010000}"/>
    <cellStyle name="_BOQ Mech Rotto(English &amp; Japanese)_submit DHND 5%" xfId="399" xr:uid="{00000000-0005-0000-0000-0000EA010000}"/>
    <cellStyle name="_BOQ of CentrePoint-Nov,09" xfId="400" xr:uid="{00000000-0005-0000-0000-0000EB010000}"/>
    <cellStyle name="_BOQ of CentrePoint-Nov,09_M_E Services _ Education" xfId="401" xr:uid="{00000000-0005-0000-0000-0000EC010000}"/>
    <cellStyle name="_BOQ of CentrePoint-Nov,09_M_E Services _ Education_1" xfId="402" xr:uid="{00000000-0005-0000-0000-0000ED010000}"/>
    <cellStyle name="_BOQ of CentrePoint-Nov,09_M_E Services _ Education_1_submit DHND 5%" xfId="403" xr:uid="{00000000-0005-0000-0000-0000EE010000}"/>
    <cellStyle name="_BOQ of CentrePoint-Nov,09_M_E Services _ Education_submit DHND 5%" xfId="404" xr:uid="{00000000-0005-0000-0000-0000EF010000}"/>
    <cellStyle name="_BOQ of CentrePoint-Nov,09_submit DHND 5%" xfId="405" xr:uid="{00000000-0005-0000-0000-0000F0010000}"/>
    <cellStyle name="_BOQ of exhaust fan" xfId="406" xr:uid="{00000000-0005-0000-0000-0000F1010000}"/>
    <cellStyle name="_BOQ OF MEPF for Saigon Paragon Tower" xfId="407" xr:uid="{00000000-0005-0000-0000-0000F2010000}"/>
    <cellStyle name="_BOQ OF MEPF for Saigon Paragon Tower_2---DATA_SAIN GOBAIN (THEP)_Option 1-British Standard" xfId="408" xr:uid="{00000000-0005-0000-0000-0000F3010000}"/>
    <cellStyle name="_BOQ OF MEPF for Saigon Paragon Tower_Form" xfId="409" xr:uid="{00000000-0005-0000-0000-0000F4010000}"/>
    <cellStyle name="_BOQ OF MEPF for Saigon Paragon Tower_Form_Genral Conditin etc" xfId="410" xr:uid="{00000000-0005-0000-0000-0000F5010000}"/>
    <cellStyle name="_BOQ OF MEPF for Saigon Paragon Tower_Form_M_E Services _ Education" xfId="411" xr:uid="{00000000-0005-0000-0000-0000F6010000}"/>
    <cellStyle name="_BOQ OF MEPF for Saigon Paragon Tower_Form_M_E Services _ Education_1" xfId="412" xr:uid="{00000000-0005-0000-0000-0000F7010000}"/>
    <cellStyle name="_BOQ OF MEPF for Saigon Paragon Tower_M_E Services _ Education" xfId="413" xr:uid="{00000000-0005-0000-0000-0000F8010000}"/>
    <cellStyle name="_BOQ OF MEPF for Saigon Paragon Tower_M_E Services _ Education_1" xfId="414" xr:uid="{00000000-0005-0000-0000-0000F9010000}"/>
    <cellStyle name="_BOQ OF MEPF for Saigon Paragon Tower_Manufacture list" xfId="415" xr:uid="{00000000-0005-0000-0000-0000FA010000}"/>
    <cellStyle name="_BOQ OF MEPF for Saigon Paragon Tower_RFI" xfId="416" xr:uid="{00000000-0005-0000-0000-0000FB010000}"/>
    <cellStyle name="_BOQ OF MEPF for Saigon Paragon Tower_RFI_Genral Conditin etc" xfId="417" xr:uid="{00000000-0005-0000-0000-0000FC010000}"/>
    <cellStyle name="_BOQ OF MEPF for Saigon Paragon Tower_RFI_M_E Services _ Education" xfId="418" xr:uid="{00000000-0005-0000-0000-0000FD010000}"/>
    <cellStyle name="_BOQ OF MEPF for Saigon Paragon Tower_RFI_M_E Services _ Education_1" xfId="419" xr:uid="{00000000-0005-0000-0000-0000FE010000}"/>
    <cellStyle name="_BOQ OF MEPF for Saigon Paragon Tower_TenRev.1" xfId="420" xr:uid="{00000000-0005-0000-0000-0000FF010000}"/>
    <cellStyle name="_BOQ OF MEPF for Saigon Paragon Tower_TenRev.1_Genral Conditin etc" xfId="421" xr:uid="{00000000-0005-0000-0000-000000020000}"/>
    <cellStyle name="_BOQ OF MEPF for Saigon Paragon Tower_TenRev.1_M_E Services _ Education" xfId="422" xr:uid="{00000000-0005-0000-0000-000001020000}"/>
    <cellStyle name="_BOQ OF MEPF for Saigon Paragon Tower_TenRev.1_M_E Services _ Education_1" xfId="423" xr:uid="{00000000-0005-0000-0000-000002020000}"/>
    <cellStyle name="_BOQ P&amp;S - Fire Kureha" xfId="424" xr:uid="{00000000-0005-0000-0000-000003020000}"/>
    <cellStyle name="_BOQ P&amp;S - Fire Kureha_M_E Services _ Education" xfId="425" xr:uid="{00000000-0005-0000-0000-000004020000}"/>
    <cellStyle name="_BOQ P&amp;S - Fire Kureha_M_E Services _ Education_1" xfId="426" xr:uid="{00000000-0005-0000-0000-000005020000}"/>
    <cellStyle name="_BOQ P&amp;S - Fire Kureha_M_E Services _ Education_1_submit DHND 5%" xfId="427" xr:uid="{00000000-0005-0000-0000-000006020000}"/>
    <cellStyle name="_BOQ P&amp;S - Fire Kureha_M_E Services _ Education_submit DHND 5%" xfId="428" xr:uid="{00000000-0005-0000-0000-000007020000}"/>
    <cellStyle name="_BOQ P&amp;S - Fire Kureha_submit DHND 5%" xfId="429" xr:uid="{00000000-0005-0000-0000-000008020000}"/>
    <cellStyle name="_BOQ P&amp;S-FIRE (24-01-07) Net" xfId="430" xr:uid="{00000000-0005-0000-0000-000009020000}"/>
    <cellStyle name="_BOQ- Phan XD-COTECCONS (02-4-08)" xfId="431" xr:uid="{00000000-0005-0000-0000-00000A020000}"/>
    <cellStyle name="_BOQ send 20.5.10" xfId="10069" xr:uid="{00000000-0005-0000-0000-00000B020000}"/>
    <cellStyle name="_BOQ SINGAPORE EMB. TO PRIME" xfId="432" xr:uid="{00000000-0005-0000-0000-00000C020000}"/>
    <cellStyle name="_BOQ_send_11.6.10" xfId="10070" xr:uid="{00000000-0005-0000-0000-00000D020000}"/>
    <cellStyle name="_BoQ-E-TOWN 2 Building -COTECCONS" xfId="433" xr:uid="{00000000-0005-0000-0000-00000E020000}"/>
    <cellStyle name="_x0001__BOQ-Multi Complex-Dien + P&amp;D-(Rev 0 2-7-2011)" xfId="434" xr:uid="{00000000-0005-0000-0000-00000F020000}"/>
    <cellStyle name="_BP02B- Annex 04 - Schedule of Works" xfId="435" xr:uid="{00000000-0005-0000-0000-000010020000}"/>
    <cellStyle name="_BQ-Cinco 35T 03-10-2008 (HSMT+T+G)REV" xfId="436" xr:uid="{00000000-0005-0000-0000-000011020000}"/>
    <cellStyle name="_BQ-Cinco 35T 03-10-2008 (HSMT+T+G)REV_Golden Hill -AC(M&amp;Y)-April 06 2010" xfId="437" xr:uid="{00000000-0005-0000-0000-000012020000}"/>
    <cellStyle name="_BQ-Cinco 35T 03-10-2008 (HSMT+T+G)REV_Golden Hill -FP-REV0-April 06 2010" xfId="438" xr:uid="{00000000-0005-0000-0000-000013020000}"/>
    <cellStyle name="_BQ-Cinco 35T 03-10-2008 (HSMT+T+G)REV_Golden Hill-PL -REV0 -April 06-2010" xfId="439" xr:uid="{00000000-0005-0000-0000-000014020000}"/>
    <cellStyle name="_BQ-Cinco 35T 14-08-2008 Alternative (HSMT+T+G)" xfId="440" xr:uid="{00000000-0005-0000-0000-000015020000}"/>
    <cellStyle name="_BQ-Cinco 35T 14-08-2008 Alternative (HSMT+T+G)_Golden Hill -AC(M&amp;Y)-April 06 2010" xfId="441" xr:uid="{00000000-0005-0000-0000-000016020000}"/>
    <cellStyle name="_BQ-Cinco 35T 14-08-2008 Alternative (HSMT+T+G)_Golden Hill -FP-REV0-April 06 2010" xfId="442" xr:uid="{00000000-0005-0000-0000-000017020000}"/>
    <cellStyle name="_BQ-Cinco 35T 14-08-2008 Alternative (HSMT+T+G)_Golden Hill-PL -REV0 -April 06-2010" xfId="443" xr:uid="{00000000-0005-0000-0000-000018020000}"/>
    <cellStyle name="_Budget (Preliminary_2 Koike)" xfId="444" xr:uid="{00000000-0005-0000-0000-000019020000}"/>
    <cellStyle name="_Castrol - Sales &amp; AR - NTHH" xfId="14465" xr:uid="{00000000-0005-0000-0000-00001A020000}"/>
    <cellStyle name="_Castrol - Sales &amp; AR - NTHH_CHI TIET 03" xfId="14466" xr:uid="{00000000-0005-0000-0000-00001B020000}"/>
    <cellStyle name="_Castrol - Stock WPs - NTHH" xfId="14467" xr:uid="{00000000-0005-0000-0000-00001C020000}"/>
    <cellStyle name="_Cau tao gia Nop thau" xfId="445" xr:uid="{00000000-0005-0000-0000-00001D020000}"/>
    <cellStyle name="_Cau tao gia Nop thau 2" xfId="446" xr:uid="{00000000-0005-0000-0000-00001E020000}"/>
    <cellStyle name="_Cau tao gia Nop thau Mau" xfId="447" xr:uid="{00000000-0005-0000-0000-00001F020000}"/>
    <cellStyle name="_Cau tao gia Nop thau_BOQ Texhong GD3 moi thau" xfId="448" xr:uid="{00000000-0005-0000-0000-000020020000}"/>
    <cellStyle name="_Cau tao gia Nop thau_BOQ Texhong Ngan Long" xfId="449" xr:uid="{00000000-0005-0000-0000-000021020000}"/>
    <cellStyle name="_Cau tao gia tong hop Mau" xfId="452" xr:uid="{00000000-0005-0000-0000-000024020000}"/>
    <cellStyle name="_Cau tao gia tong hop Mau 2" xfId="453" xr:uid="{00000000-0005-0000-0000-000025020000}"/>
    <cellStyle name="_Cau tao gia tong hop Mau_BOQ Texhong GD3 moi thau" xfId="454" xr:uid="{00000000-0005-0000-0000-000026020000}"/>
    <cellStyle name="_Cau tao gia tong hop Mau_BOQ Texhong Ngan Long" xfId="455" xr:uid="{00000000-0005-0000-0000-000027020000}"/>
    <cellStyle name="_CAU TAO GIA THE OCEAN VILLAS DANANG" xfId="450" xr:uid="{00000000-0005-0000-0000-000022020000}"/>
    <cellStyle name="_Cau tao gia Thien Long Ha Nam (28-2-08)" xfId="451" xr:uid="{00000000-0005-0000-0000-000023020000}"/>
    <cellStyle name="_CenterPointM&amp;EBD-Net.Nov.10.07" xfId="456" xr:uid="{00000000-0005-0000-0000-000028020000}"/>
    <cellStyle name="_CenterPointM&amp;EBD-Net.Nov.10.07_M_E Services _ Education" xfId="457" xr:uid="{00000000-0005-0000-0000-000029020000}"/>
    <cellStyle name="_CenterPointM&amp;EBD-Net.Nov.10.07_M_E Services _ Education_1" xfId="458" xr:uid="{00000000-0005-0000-0000-00002A020000}"/>
    <cellStyle name="_CenterPointM&amp;EBD-Net.Nov.10.07_M_E Services _ Education_1_submit DHND 5%" xfId="459" xr:uid="{00000000-0005-0000-0000-00002B020000}"/>
    <cellStyle name="_CenterPointM&amp;EBD-Net.Nov.10.07_M_E Services _ Education_submit DHND 5%" xfId="460" xr:uid="{00000000-0005-0000-0000-00002C020000}"/>
    <cellStyle name="_CenterPointM&amp;EBD-Net.Nov.10.07_submit DHND 5%" xfId="461" xr:uid="{00000000-0005-0000-0000-00002D020000}"/>
    <cellStyle name="_CenterPointM&amp;EBD-Net.Rev.2" xfId="462" xr:uid="{00000000-0005-0000-0000-00002E020000}"/>
    <cellStyle name="_CentrePoint-Nov,08" xfId="463" xr:uid="{00000000-0005-0000-0000-00002F020000}"/>
    <cellStyle name="_CentrePoint-Nov,08_M_E Services _ Education" xfId="464" xr:uid="{00000000-0005-0000-0000-000030020000}"/>
    <cellStyle name="_CentrePoint-Nov,08_M_E Services _ Education_1" xfId="465" xr:uid="{00000000-0005-0000-0000-000031020000}"/>
    <cellStyle name="_CentrePoint-Nov,08_M_E Services _ Education_1_submit DHND 5%" xfId="466" xr:uid="{00000000-0005-0000-0000-000032020000}"/>
    <cellStyle name="_CentrePoint-Nov,08_M_E Services _ Education_submit DHND 5%" xfId="467" xr:uid="{00000000-0005-0000-0000-000033020000}"/>
    <cellStyle name="_CentrePoint-Nov,08_submit DHND 5%" xfId="468" xr:uid="{00000000-0005-0000-0000-000034020000}"/>
    <cellStyle name="_CINCO-AL-300707-OG" xfId="471" xr:uid="{00000000-0005-0000-0000-000038020000}"/>
    <cellStyle name="_x0001__Cong tac CBi" xfId="472" xr:uid="{00000000-0005-0000-0000-000039020000}"/>
    <cellStyle name="_x0001__Cong tac chuan bi Cao su" xfId="473" xr:uid="{00000000-0005-0000-0000-00003A020000}"/>
    <cellStyle name="_cong tac chuan bi Nhatrang Plaza" xfId="474" xr:uid="{00000000-0005-0000-0000-00003B020000}"/>
    <cellStyle name="_Cong tac chuan bi-Thanh" xfId="475" xr:uid="{00000000-0005-0000-0000-00003C020000}"/>
    <cellStyle name="_Copy of Du toan Coc thu nghiem khoan nhoi D1200 (Rev 01)" xfId="476" xr:uid="{00000000-0005-0000-0000-00003D020000}"/>
    <cellStyle name="_Copy of Du toan Coc thu nghiem khoan nhoi D1200 (Rev 01)_Breakdown Quantity of Substructure_Rev 03" xfId="477" xr:uid="{00000000-0005-0000-0000-00003E020000}"/>
    <cellStyle name="_Copy of Mau_bao_cao_XNT_NVTK_tai_NPP" xfId="14469" xr:uid="{00000000-0005-0000-0000-00003F020000}"/>
    <cellStyle name="_Cost analysis-Fire" xfId="478" xr:uid="{00000000-0005-0000-0000-000040020000}"/>
    <cellStyle name="_Cost analysis-P&amp;S" xfId="479" xr:uid="{00000000-0005-0000-0000-000041020000}"/>
    <cellStyle name="_Cost plan- SCB (Ver 2me)_MEPF" xfId="480" xr:uid="{00000000-0005-0000-0000-000042020000}"/>
    <cellStyle name="_Cost plan- SCB (Ver 2me)_MEPF 2" xfId="481" xr:uid="{00000000-0005-0000-0000-000043020000}"/>
    <cellStyle name="_Costanaly (acmv)" xfId="482" xr:uid="{00000000-0005-0000-0000-000044020000}"/>
    <cellStyle name="_CostAnalysisFormat" xfId="483" xr:uid="{00000000-0005-0000-0000-000045020000}"/>
    <cellStyle name="_CTC - BoQ Agrex Building" xfId="484" xr:uid="{00000000-0005-0000-0000-000046020000}"/>
    <cellStyle name="_CTN 10.06.2010 send" xfId="10071" xr:uid="{00000000-0005-0000-0000-000047020000}"/>
    <cellStyle name="_Chenh lech Phan tren (03-07-06)" xfId="469" xr:uid="{00000000-0005-0000-0000-000035020000}"/>
    <cellStyle name="_Chenh lech Phan tren (03-07-06) 2" xfId="470" xr:uid="{00000000-0005-0000-0000-000036020000}"/>
    <cellStyle name="_CHI TIET 03" xfId="14468" xr:uid="{00000000-0005-0000-0000-000037020000}"/>
    <cellStyle name="_DAILY REPORT 4.1.08L3KVH22" xfId="485" xr:uid="{00000000-0005-0000-0000-000048020000}"/>
    <cellStyle name="_Danh ba" xfId="486" xr:uid="{00000000-0005-0000-0000-000049020000}"/>
    <cellStyle name="_Deisgn Gap Vaulations_FM_Rev 0" xfId="487" xr:uid="{00000000-0005-0000-0000-00004A020000}"/>
    <cellStyle name="_Deviation" xfId="488" xr:uid="{00000000-0005-0000-0000-00004B020000}"/>
    <cellStyle name="_doiPK_DC" xfId="14470" xr:uid="{00000000-0005-0000-0000-00004D020000}"/>
    <cellStyle name="_DT HT Goi 1.4 den ngay 15-5-08" xfId="490" xr:uid="{00000000-0005-0000-0000-00004F020000}"/>
    <cellStyle name="_du chi CTT phan duoi (07-11-05)" xfId="491" xr:uid="{00000000-0005-0000-0000-000050020000}"/>
    <cellStyle name="_du chi CTT phan duoi (07-11-05)_2---DATA_SAIN GOBAIN (THEP)_Option 1-British Standard" xfId="492" xr:uid="{00000000-0005-0000-0000-000051020000}"/>
    <cellStyle name="_Du toan hoan thien mat ngoai" xfId="493" xr:uid="{00000000-0005-0000-0000-000052020000}"/>
    <cellStyle name="_Du toan Ket cau ha tang _ Rev 03" xfId="494" xr:uid="{00000000-0005-0000-0000-000053020000}"/>
    <cellStyle name="_Du toan phan coc barrette" xfId="495" xr:uid="{00000000-0005-0000-0000-000054020000}"/>
    <cellStyle name="_Du toan phan coc barrette_Du toan phan ket cau thuong tang - Rev 00a" xfId="496" xr:uid="{00000000-0005-0000-0000-000055020000}"/>
    <cellStyle name="_Du toan phan coc barrette_Ree-substructure-detail qty-rev00" xfId="497" xr:uid="{00000000-0005-0000-0000-000056020000}"/>
    <cellStyle name="_Du toan phan hoan thien-1" xfId="498" xr:uid="{00000000-0005-0000-0000-000057020000}"/>
    <cellStyle name="_Du toan phan than" xfId="499" xr:uid="{00000000-0005-0000-0000-000058020000}"/>
    <cellStyle name="_Du toan TK sua chua VP Chi nhanh Ha Tay - PVFC Land" xfId="500" xr:uid="{00000000-0005-0000-0000-000059020000}"/>
    <cellStyle name="_DU_TOAN" xfId="10072" xr:uid="{00000000-0005-0000-0000-00005A020000}"/>
    <cellStyle name="_DU_TOAN_DU_THAU nop lai lan cuoi 11-06" xfId="10073" xr:uid="{00000000-0005-0000-0000-00005B020000}"/>
    <cellStyle name="_dutoan1" xfId="501" xr:uid="{00000000-0005-0000-0000-00005C020000}"/>
    <cellStyle name="_DUTOAN3" xfId="502" xr:uid="{00000000-0005-0000-0000-00005D020000}"/>
    <cellStyle name="_ĐỊNH MỨC KHOÁN 20-00PET -059" xfId="489" xr:uid="{00000000-0005-0000-0000-00004C020000}"/>
    <cellStyle name="_ĐƠN ĐẶT HÀNG VNM" xfId="14471" xr:uid="{00000000-0005-0000-0000-00004E020000}"/>
    <cellStyle name="_E-Orchard Garden(to mr Huy)" xfId="503" xr:uid="{00000000-0005-0000-0000-00005E020000}"/>
    <cellStyle name="_E-Orchard Garden(to mr Huy)_Genral Conditin etc" xfId="504" xr:uid="{00000000-0005-0000-0000-00005F020000}"/>
    <cellStyle name="_E-Orchard Garden(to mr Huy)_M_E Services _ Education" xfId="505" xr:uid="{00000000-0005-0000-0000-000060020000}"/>
    <cellStyle name="_E-Orchard Garden(to mr Huy)_M_E Services _ Education_1" xfId="506" xr:uid="{00000000-0005-0000-0000-000061020000}"/>
    <cellStyle name="_EqptmentSchedule (M&amp;E)- July 20, 07" xfId="507" xr:uid="{00000000-0005-0000-0000-000062020000}"/>
    <cellStyle name="_EqptmentSchedule (M&amp;E)- July 20, 07_M_E Services _ Education" xfId="508" xr:uid="{00000000-0005-0000-0000-000063020000}"/>
    <cellStyle name="_EqptmentSchedule (M&amp;E)- July 20, 07_M_E Services _ Education_1" xfId="509" xr:uid="{00000000-0005-0000-0000-000064020000}"/>
    <cellStyle name="_EqptmentSchedule (M&amp;E)- July 20, 07_M_E Services _ Education_1_submit DHND 5%" xfId="510" xr:uid="{00000000-0005-0000-0000-000065020000}"/>
    <cellStyle name="_EqptmentSchedule (M&amp;E)- July 20, 07_M_E Services _ Education_submit DHND 5%" xfId="511" xr:uid="{00000000-0005-0000-0000-000066020000}"/>
    <cellStyle name="_EqptmentSchedule (M&amp;E)- July 20, 07_submit DHND 5%" xfId="512" xr:uid="{00000000-0005-0000-0000-000067020000}"/>
    <cellStyle name="_Equipment schedule,Non scope(Fire)" xfId="513" xr:uid="{00000000-0005-0000-0000-000068020000}"/>
    <cellStyle name="_Equipment schedule,Non scope(Fire)_M_E Services _ Education" xfId="514" xr:uid="{00000000-0005-0000-0000-000069020000}"/>
    <cellStyle name="_Equipment schedule,Non scope(Fire)_M_E Services _ Education_1" xfId="515" xr:uid="{00000000-0005-0000-0000-00006A020000}"/>
    <cellStyle name="_Equipment schedule,Non scope(Fire)_M_E Services _ Education_1_submit DHND 5%" xfId="516" xr:uid="{00000000-0005-0000-0000-00006B020000}"/>
    <cellStyle name="_Equipment schedule,Non scope(Fire)_M_E Services _ Education_submit DHND 5%" xfId="517" xr:uid="{00000000-0005-0000-0000-00006C020000}"/>
    <cellStyle name="_Equipment schedule,Non scope(Fire)_submit DHND 5%" xfId="518" xr:uid="{00000000-0005-0000-0000-00006D020000}"/>
    <cellStyle name="_ET_STYLE_NoName_00_" xfId="519" xr:uid="{00000000-0005-0000-0000-00006E020000}"/>
    <cellStyle name="_ET_STYLE_NoName_00_ 2" xfId="520" xr:uid="{00000000-0005-0000-0000-00006F020000}"/>
    <cellStyle name="_ET_STYLE_NoName_00__B27 B4 B8 UNIT 16" xfId="521" xr:uid="{00000000-0005-0000-0000-000070020000}"/>
    <cellStyle name="_EXPENSES-1206" xfId="14472" xr:uid="{00000000-0005-0000-0000-000071020000}"/>
    <cellStyle name="_EXPENSES-1206_CHI TIET 03" xfId="14473" xr:uid="{00000000-0005-0000-0000-000072020000}"/>
    <cellStyle name="_F4_5_6__Bao_cao_tai_NPP BICH TIEN" xfId="14474" xr:uid="{00000000-0005-0000-0000-000073020000}"/>
    <cellStyle name="_Final Summary Richland Hill (30-9-08)" xfId="522" xr:uid="{00000000-0005-0000-0000-000074020000}"/>
    <cellStyle name="_Final Summary Richland Hill (30-9-08) 2" xfId="523" xr:uid="{00000000-0005-0000-0000-000075020000}"/>
    <cellStyle name="_Final Summary Richland Hill (30-9-08)_BOQ Texhong GD3 moi thau" xfId="524" xr:uid="{00000000-0005-0000-0000-000076020000}"/>
    <cellStyle name="_Final Summary Richland Hill (30-9-08)_BOQ Texhong Ngan Long" xfId="525" xr:uid="{00000000-0005-0000-0000-000077020000}"/>
    <cellStyle name="_form__moi__bao_cao_ngay_NEW_AGAIN" xfId="14475" xr:uid="{00000000-0005-0000-0000-000078020000}"/>
    <cellStyle name="_GC BoQ_GPB(SS3)&amp;IW(SS7)_Rev 0" xfId="526" xr:uid="{00000000-0005-0000-0000-000079020000}"/>
    <cellStyle name="_General condition" xfId="527" xr:uid="{00000000-0005-0000-0000-00007A020000}"/>
    <cellStyle name="_GeneralCondition.NonScope.EqptSchedule.Manufacturer- July 17, 07" xfId="528" xr:uid="{00000000-0005-0000-0000-00007B020000}"/>
    <cellStyle name="_GeneralCondition.NonScope.EqptSchedule.Manufacturer- July 17, 07_M_E Services _ Education" xfId="529" xr:uid="{00000000-0005-0000-0000-00007C020000}"/>
    <cellStyle name="_GeneralCondition.NonScope.EqptSchedule.Manufacturer- July 17, 07_M_E Services _ Education_1" xfId="530" xr:uid="{00000000-0005-0000-0000-00007D020000}"/>
    <cellStyle name="_GeneralCondition.NonScope.EqptSchedule.Manufacturer- July 17, 07_M_E Services _ Education_1_submit DHND 5%" xfId="531" xr:uid="{00000000-0005-0000-0000-00007E020000}"/>
    <cellStyle name="_GeneralCondition.NonScope.EqptSchedule.Manufacturer- July 17, 07_M_E Services _ Education_submit DHND 5%" xfId="532" xr:uid="{00000000-0005-0000-0000-00007F020000}"/>
    <cellStyle name="_GeneralCondition.NonScope.EqptSchedule.Manufacturer- July 17, 07_submit DHND 5%" xfId="533" xr:uid="{00000000-0005-0000-0000-000080020000}"/>
    <cellStyle name="_Genral Conditin etc" xfId="534" xr:uid="{00000000-0005-0000-0000-000081020000}"/>
    <cellStyle name="_Golden-Weatlake" xfId="538" xr:uid="{00000000-0005-0000-0000-000085020000}"/>
    <cellStyle name="_Gia Cost &amp; Gia HD - P Kinh Doanh &amp; P.Vat Tu" xfId="535" xr:uid="{00000000-0005-0000-0000-000082020000}"/>
    <cellStyle name="_Gia thau goi 6 Son La" xfId="536" xr:uid="{00000000-0005-0000-0000-000083020000}"/>
    <cellStyle name="_giatonghop thanhtoan d1" xfId="537" xr:uid="{00000000-0005-0000-0000-000084020000}"/>
    <cellStyle name="_HAN SU DUNG" xfId="14476" xr:uid="{00000000-0005-0000-0000-000086020000}"/>
    <cellStyle name="_HGCT-VMC" xfId="14477" xr:uid="{00000000-0005-0000-0000-000087020000}"/>
    <cellStyle name="_HH2 Exterior_CEO 27-5-09(VN)" xfId="539" xr:uid="{00000000-0005-0000-0000-000088020000}"/>
    <cellStyle name="_HU2_BenCat" xfId="14478" xr:uid="{00000000-0005-0000-0000-000089020000}"/>
    <cellStyle name="_hvno14" xfId="540" xr:uid="{00000000-0005-0000-0000-00008A020000}"/>
    <cellStyle name="_icp 7-07" xfId="14479" xr:uid="{00000000-0005-0000-0000-00008B020000}"/>
    <cellStyle name="_Intel BQ" xfId="541" xr:uid="{00000000-0005-0000-0000-00008C020000}"/>
    <cellStyle name="_Jan CPA2_A9 UM FCBGA_CPU Comparison " xfId="542" xr:uid="{00000000-0005-0000-0000-00008D020000}"/>
    <cellStyle name="_Jan CPA2_A9 UM FCBGA_CPU Comparison _bang chi tiet_ACMV 25-06-2011" xfId="543" xr:uid="{00000000-0005-0000-0000-00008E020000}"/>
    <cellStyle name="_Jan CPA2_A9 UM FCBGA_CPU Comparison _Bill of quantity - cables tray FA - Paragon detail from Tai 011-07-2011" xfId="544" xr:uid="{00000000-0005-0000-0000-00008F020000}"/>
    <cellStyle name="_Jan CPA2_A9 UM FCBGA_CPU Comparison _quotation QNT-REE-040411 (1)" xfId="545" xr:uid="{00000000-0005-0000-0000-000090020000}"/>
    <cellStyle name="_JOON  omdau" xfId="14480" xr:uid="{00000000-0005-0000-0000-000091020000}"/>
    <cellStyle name="_KD - Stock WPs - NTHH" xfId="14481" xr:uid="{00000000-0005-0000-0000-000092020000}"/>
    <cellStyle name="_KD - Stock WPs - NTHH_CHI TIET 03" xfId="14482" xr:uid="{00000000-0005-0000-0000-000093020000}"/>
    <cellStyle name="_KE HOACH GIAO HANG T 05-2011 (2)" xfId="546" xr:uid="{00000000-0005-0000-0000-000094020000}"/>
    <cellStyle name="_kluong duthau" xfId="548" xr:uid="{00000000-0005-0000-0000-000096020000}"/>
    <cellStyle name="_kluong duthau 2" xfId="549" xr:uid="{00000000-0005-0000-0000-000097020000}"/>
    <cellStyle name="_KT (2)" xfId="550" xr:uid="{00000000-0005-0000-0000-000098020000}"/>
    <cellStyle name="_KT (2) 2" xfId="551" xr:uid="{00000000-0005-0000-0000-000099020000}"/>
    <cellStyle name="_KT (2)_1" xfId="552" xr:uid="{00000000-0005-0000-0000-00009A020000}"/>
    <cellStyle name="_KT (2)_1_2---DATA_SAIN GOBAIN (THEP)_Option 1-British Standard" xfId="553" xr:uid="{00000000-0005-0000-0000-00009B020000}"/>
    <cellStyle name="_KT (2)_1_BCT - KITYCOTTAGE SS 1''x1'' ANGLE 22-00PET-026" xfId="554" xr:uid="{00000000-0005-0000-0000-00009C020000}"/>
    <cellStyle name="_KT (2)_1_BCT - MID FLANGE LATCH RIGHT 22-00 PET-030" xfId="555" xr:uid="{00000000-0005-0000-0000-00009D020000}"/>
    <cellStyle name="_KT (2)_1_Book1" xfId="556" xr:uid="{00000000-0005-0000-0000-00009E020000}"/>
    <cellStyle name="_KT (2)_1_ĐỊNH MỨC KHOÁN 20-00PET -059" xfId="557" xr:uid="{00000000-0005-0000-0000-00009F020000}"/>
    <cellStyle name="_KT (2)_1_Lora-tungchau" xfId="558" xr:uid="{00000000-0005-0000-0000-0000A0020000}"/>
    <cellStyle name="_KT (2)_1_Lora-tungchau_2---DATA_SAIN GOBAIN (THEP)_Option 1-British Standard" xfId="559" xr:uid="{00000000-0005-0000-0000-0000A1020000}"/>
    <cellStyle name="_KT (2)_1_M_E Services _ Education" xfId="560" xr:uid="{00000000-0005-0000-0000-0000A2020000}"/>
    <cellStyle name="_KT (2)_1_M_E Services _ Education_1" xfId="561" xr:uid="{00000000-0005-0000-0000-0000A3020000}"/>
    <cellStyle name="_KT (2)_1_M_E Services _ Education_1_submit DHND 5%" xfId="562" xr:uid="{00000000-0005-0000-0000-0000A4020000}"/>
    <cellStyle name="_KT (2)_1_M_E Services _ Education_submit DHND 5%" xfId="563" xr:uid="{00000000-0005-0000-0000-0000A5020000}"/>
    <cellStyle name="_KT (2)_1_Qt-HT3PQ1(CauKho)" xfId="564" xr:uid="{00000000-0005-0000-0000-0000A6020000}"/>
    <cellStyle name="_KT (2)_1_Qt-HT3PQ1(CauKho)_2---DATA_SAIN GOBAIN (THEP)_Option 1-British Standard" xfId="565" xr:uid="{00000000-0005-0000-0000-0000A7020000}"/>
    <cellStyle name="_KT (2)_1_submit DHND 5%" xfId="566" xr:uid="{00000000-0005-0000-0000-0000A8020000}"/>
    <cellStyle name="_KT (2)_1_TAM UNG VAT TU CHINH DOT 3 (REV2)" xfId="567" xr:uid="{00000000-0005-0000-0000-0000A9020000}"/>
    <cellStyle name="_KT (2)_1_TAM UNG VAT TU CHINH DOT 3 (REV2)_2---DATA_SAIN GOBAIN (THEP)_Option 1-British Standard" xfId="568" xr:uid="{00000000-0005-0000-0000-0000AA020000}"/>
    <cellStyle name="_KT (2)_2" xfId="569" xr:uid="{00000000-0005-0000-0000-0000AB020000}"/>
    <cellStyle name="_KT (2)_2_2---DATA_SAIN GOBAIN (THEP)_Option 1-British Standard" xfId="570" xr:uid="{00000000-0005-0000-0000-0000AC020000}"/>
    <cellStyle name="_KT (2)_2_M_E Services _ Education" xfId="571" xr:uid="{00000000-0005-0000-0000-0000AD020000}"/>
    <cellStyle name="_KT (2)_2_M_E Services _ Education_1" xfId="572" xr:uid="{00000000-0005-0000-0000-0000AE020000}"/>
    <cellStyle name="_KT (2)_2_M_E Services _ Education_1_submit DHND 5%" xfId="573" xr:uid="{00000000-0005-0000-0000-0000AF020000}"/>
    <cellStyle name="_KT (2)_2_M_E Services _ Education_submit DHND 5%" xfId="574" xr:uid="{00000000-0005-0000-0000-0000B0020000}"/>
    <cellStyle name="_KT (2)_2_submit DHND 5%" xfId="575" xr:uid="{00000000-0005-0000-0000-0000B1020000}"/>
    <cellStyle name="_KT (2)_2_TG-TH" xfId="576" xr:uid="{00000000-0005-0000-0000-0000B2020000}"/>
    <cellStyle name="_KT (2)_2_TG-TH 10" xfId="577" xr:uid="{00000000-0005-0000-0000-0000B3020000}"/>
    <cellStyle name="_KT (2)_2_TG-TH 100" xfId="578" xr:uid="{00000000-0005-0000-0000-0000B4020000}"/>
    <cellStyle name="_KT (2)_2_TG-TH 101" xfId="579" xr:uid="{00000000-0005-0000-0000-0000B5020000}"/>
    <cellStyle name="_KT (2)_2_TG-TH 102" xfId="580" xr:uid="{00000000-0005-0000-0000-0000B6020000}"/>
    <cellStyle name="_KT (2)_2_TG-TH 103" xfId="581" xr:uid="{00000000-0005-0000-0000-0000B7020000}"/>
    <cellStyle name="_KT (2)_2_TG-TH 104" xfId="582" xr:uid="{00000000-0005-0000-0000-0000B8020000}"/>
    <cellStyle name="_KT (2)_2_TG-TH 105" xfId="583" xr:uid="{00000000-0005-0000-0000-0000B9020000}"/>
    <cellStyle name="_KT (2)_2_TG-TH 106" xfId="584" xr:uid="{00000000-0005-0000-0000-0000BA020000}"/>
    <cellStyle name="_KT (2)_2_TG-TH 107" xfId="585" xr:uid="{00000000-0005-0000-0000-0000BB020000}"/>
    <cellStyle name="_KT (2)_2_TG-TH 108" xfId="586" xr:uid="{00000000-0005-0000-0000-0000BC020000}"/>
    <cellStyle name="_KT (2)_2_TG-TH 109" xfId="587" xr:uid="{00000000-0005-0000-0000-0000BD020000}"/>
    <cellStyle name="_KT (2)_2_TG-TH 11" xfId="588" xr:uid="{00000000-0005-0000-0000-0000BE020000}"/>
    <cellStyle name="_KT (2)_2_TG-TH 110" xfId="589" xr:uid="{00000000-0005-0000-0000-0000BF020000}"/>
    <cellStyle name="_KT (2)_2_TG-TH 111" xfId="590" xr:uid="{00000000-0005-0000-0000-0000C0020000}"/>
    <cellStyle name="_KT (2)_2_TG-TH 12" xfId="591" xr:uid="{00000000-0005-0000-0000-0000C1020000}"/>
    <cellStyle name="_KT (2)_2_TG-TH 13" xfId="592" xr:uid="{00000000-0005-0000-0000-0000C2020000}"/>
    <cellStyle name="_KT (2)_2_TG-TH 14" xfId="593" xr:uid="{00000000-0005-0000-0000-0000C3020000}"/>
    <cellStyle name="_KT (2)_2_TG-TH 15" xfId="594" xr:uid="{00000000-0005-0000-0000-0000C4020000}"/>
    <cellStyle name="_KT (2)_2_TG-TH 16" xfId="595" xr:uid="{00000000-0005-0000-0000-0000C5020000}"/>
    <cellStyle name="_KT (2)_2_TG-TH 17" xfId="596" xr:uid="{00000000-0005-0000-0000-0000C6020000}"/>
    <cellStyle name="_KT (2)_2_TG-TH 18" xfId="597" xr:uid="{00000000-0005-0000-0000-0000C7020000}"/>
    <cellStyle name="_KT (2)_2_TG-TH 19" xfId="598" xr:uid="{00000000-0005-0000-0000-0000C8020000}"/>
    <cellStyle name="_KT (2)_2_TG-TH 2" xfId="599" xr:uid="{00000000-0005-0000-0000-0000C9020000}"/>
    <cellStyle name="_KT (2)_2_TG-TH 20" xfId="600" xr:uid="{00000000-0005-0000-0000-0000CA020000}"/>
    <cellStyle name="_KT (2)_2_TG-TH 21" xfId="601" xr:uid="{00000000-0005-0000-0000-0000CB020000}"/>
    <cellStyle name="_KT (2)_2_TG-TH 22" xfId="602" xr:uid="{00000000-0005-0000-0000-0000CC020000}"/>
    <cellStyle name="_KT (2)_2_TG-TH 23" xfId="603" xr:uid="{00000000-0005-0000-0000-0000CD020000}"/>
    <cellStyle name="_KT (2)_2_TG-TH 24" xfId="604" xr:uid="{00000000-0005-0000-0000-0000CE020000}"/>
    <cellStyle name="_KT (2)_2_TG-TH 25" xfId="605" xr:uid="{00000000-0005-0000-0000-0000CF020000}"/>
    <cellStyle name="_KT (2)_2_TG-TH 26" xfId="606" xr:uid="{00000000-0005-0000-0000-0000D0020000}"/>
    <cellStyle name="_KT (2)_2_TG-TH 27" xfId="607" xr:uid="{00000000-0005-0000-0000-0000D1020000}"/>
    <cellStyle name="_KT (2)_2_TG-TH 28" xfId="608" xr:uid="{00000000-0005-0000-0000-0000D2020000}"/>
    <cellStyle name="_KT (2)_2_TG-TH 29" xfId="609" xr:uid="{00000000-0005-0000-0000-0000D3020000}"/>
    <cellStyle name="_KT (2)_2_TG-TH 3" xfId="610" xr:uid="{00000000-0005-0000-0000-0000D4020000}"/>
    <cellStyle name="_KT (2)_2_TG-TH 30" xfId="611" xr:uid="{00000000-0005-0000-0000-0000D5020000}"/>
    <cellStyle name="_KT (2)_2_TG-TH 31" xfId="612" xr:uid="{00000000-0005-0000-0000-0000D6020000}"/>
    <cellStyle name="_KT (2)_2_TG-TH 32" xfId="613" xr:uid="{00000000-0005-0000-0000-0000D7020000}"/>
    <cellStyle name="_KT (2)_2_TG-TH 33" xfId="614" xr:uid="{00000000-0005-0000-0000-0000D8020000}"/>
    <cellStyle name="_KT (2)_2_TG-TH 34" xfId="615" xr:uid="{00000000-0005-0000-0000-0000D9020000}"/>
    <cellStyle name="_KT (2)_2_TG-TH 35" xfId="616" xr:uid="{00000000-0005-0000-0000-0000DA020000}"/>
    <cellStyle name="_KT (2)_2_TG-TH 36" xfId="617" xr:uid="{00000000-0005-0000-0000-0000DB020000}"/>
    <cellStyle name="_KT (2)_2_TG-TH 37" xfId="618" xr:uid="{00000000-0005-0000-0000-0000DC020000}"/>
    <cellStyle name="_KT (2)_2_TG-TH 38" xfId="619" xr:uid="{00000000-0005-0000-0000-0000DD020000}"/>
    <cellStyle name="_KT (2)_2_TG-TH 39" xfId="620" xr:uid="{00000000-0005-0000-0000-0000DE020000}"/>
    <cellStyle name="_KT (2)_2_TG-TH 4" xfId="621" xr:uid="{00000000-0005-0000-0000-0000DF020000}"/>
    <cellStyle name="_KT (2)_2_TG-TH 40" xfId="622" xr:uid="{00000000-0005-0000-0000-0000E0020000}"/>
    <cellStyle name="_KT (2)_2_TG-TH 41" xfId="623" xr:uid="{00000000-0005-0000-0000-0000E1020000}"/>
    <cellStyle name="_KT (2)_2_TG-TH 42" xfId="624" xr:uid="{00000000-0005-0000-0000-0000E2020000}"/>
    <cellStyle name="_KT (2)_2_TG-TH 43" xfId="625" xr:uid="{00000000-0005-0000-0000-0000E3020000}"/>
    <cellStyle name="_KT (2)_2_TG-TH 44" xfId="626" xr:uid="{00000000-0005-0000-0000-0000E4020000}"/>
    <cellStyle name="_KT (2)_2_TG-TH 45" xfId="627" xr:uid="{00000000-0005-0000-0000-0000E5020000}"/>
    <cellStyle name="_KT (2)_2_TG-TH 46" xfId="628" xr:uid="{00000000-0005-0000-0000-0000E6020000}"/>
    <cellStyle name="_KT (2)_2_TG-TH 47" xfId="629" xr:uid="{00000000-0005-0000-0000-0000E7020000}"/>
    <cellStyle name="_KT (2)_2_TG-TH 48" xfId="630" xr:uid="{00000000-0005-0000-0000-0000E8020000}"/>
    <cellStyle name="_KT (2)_2_TG-TH 49" xfId="631" xr:uid="{00000000-0005-0000-0000-0000E9020000}"/>
    <cellStyle name="_KT (2)_2_TG-TH 5" xfId="632" xr:uid="{00000000-0005-0000-0000-0000EA020000}"/>
    <cellStyle name="_KT (2)_2_TG-TH 50" xfId="633" xr:uid="{00000000-0005-0000-0000-0000EB020000}"/>
    <cellStyle name="_KT (2)_2_TG-TH 51" xfId="634" xr:uid="{00000000-0005-0000-0000-0000EC020000}"/>
    <cellStyle name="_KT (2)_2_TG-TH 52" xfId="635" xr:uid="{00000000-0005-0000-0000-0000ED020000}"/>
    <cellStyle name="_KT (2)_2_TG-TH 53" xfId="636" xr:uid="{00000000-0005-0000-0000-0000EE020000}"/>
    <cellStyle name="_KT (2)_2_TG-TH 54" xfId="637" xr:uid="{00000000-0005-0000-0000-0000EF020000}"/>
    <cellStyle name="_KT (2)_2_TG-TH 55" xfId="638" xr:uid="{00000000-0005-0000-0000-0000F0020000}"/>
    <cellStyle name="_KT (2)_2_TG-TH 56" xfId="639" xr:uid="{00000000-0005-0000-0000-0000F1020000}"/>
    <cellStyle name="_KT (2)_2_TG-TH 57" xfId="640" xr:uid="{00000000-0005-0000-0000-0000F2020000}"/>
    <cellStyle name="_KT (2)_2_TG-TH 58" xfId="641" xr:uid="{00000000-0005-0000-0000-0000F3020000}"/>
    <cellStyle name="_KT (2)_2_TG-TH 59" xfId="642" xr:uid="{00000000-0005-0000-0000-0000F4020000}"/>
    <cellStyle name="_KT (2)_2_TG-TH 6" xfId="643" xr:uid="{00000000-0005-0000-0000-0000F5020000}"/>
    <cellStyle name="_KT (2)_2_TG-TH 60" xfId="644" xr:uid="{00000000-0005-0000-0000-0000F6020000}"/>
    <cellStyle name="_KT (2)_2_TG-TH 61" xfId="645" xr:uid="{00000000-0005-0000-0000-0000F7020000}"/>
    <cellStyle name="_KT (2)_2_TG-TH 62" xfId="646" xr:uid="{00000000-0005-0000-0000-0000F8020000}"/>
    <cellStyle name="_KT (2)_2_TG-TH 63" xfId="647" xr:uid="{00000000-0005-0000-0000-0000F9020000}"/>
    <cellStyle name="_KT (2)_2_TG-TH 64" xfId="648" xr:uid="{00000000-0005-0000-0000-0000FA020000}"/>
    <cellStyle name="_KT (2)_2_TG-TH 65" xfId="649" xr:uid="{00000000-0005-0000-0000-0000FB020000}"/>
    <cellStyle name="_KT (2)_2_TG-TH 66" xfId="650" xr:uid="{00000000-0005-0000-0000-0000FC020000}"/>
    <cellStyle name="_KT (2)_2_TG-TH 67" xfId="651" xr:uid="{00000000-0005-0000-0000-0000FD020000}"/>
    <cellStyle name="_KT (2)_2_TG-TH 68" xfId="652" xr:uid="{00000000-0005-0000-0000-0000FE020000}"/>
    <cellStyle name="_KT (2)_2_TG-TH 69" xfId="653" xr:uid="{00000000-0005-0000-0000-0000FF020000}"/>
    <cellStyle name="_KT (2)_2_TG-TH 7" xfId="654" xr:uid="{00000000-0005-0000-0000-000000030000}"/>
    <cellStyle name="_KT (2)_2_TG-TH 70" xfId="655" xr:uid="{00000000-0005-0000-0000-000001030000}"/>
    <cellStyle name="_KT (2)_2_TG-TH 71" xfId="656" xr:uid="{00000000-0005-0000-0000-000002030000}"/>
    <cellStyle name="_KT (2)_2_TG-TH 72" xfId="657" xr:uid="{00000000-0005-0000-0000-000003030000}"/>
    <cellStyle name="_KT (2)_2_TG-TH 73" xfId="658" xr:uid="{00000000-0005-0000-0000-000004030000}"/>
    <cellStyle name="_KT (2)_2_TG-TH 74" xfId="659" xr:uid="{00000000-0005-0000-0000-000005030000}"/>
    <cellStyle name="_KT (2)_2_TG-TH 75" xfId="660" xr:uid="{00000000-0005-0000-0000-000006030000}"/>
    <cellStyle name="_KT (2)_2_TG-TH 76" xfId="661" xr:uid="{00000000-0005-0000-0000-000007030000}"/>
    <cellStyle name="_KT (2)_2_TG-TH 77" xfId="662" xr:uid="{00000000-0005-0000-0000-000008030000}"/>
    <cellStyle name="_KT (2)_2_TG-TH 78" xfId="663" xr:uid="{00000000-0005-0000-0000-000009030000}"/>
    <cellStyle name="_KT (2)_2_TG-TH 79" xfId="664" xr:uid="{00000000-0005-0000-0000-00000A030000}"/>
    <cellStyle name="_KT (2)_2_TG-TH 8" xfId="665" xr:uid="{00000000-0005-0000-0000-00000B030000}"/>
    <cellStyle name="_KT (2)_2_TG-TH 80" xfId="666" xr:uid="{00000000-0005-0000-0000-00000C030000}"/>
    <cellStyle name="_KT (2)_2_TG-TH 81" xfId="667" xr:uid="{00000000-0005-0000-0000-00000D030000}"/>
    <cellStyle name="_KT (2)_2_TG-TH 82" xfId="668" xr:uid="{00000000-0005-0000-0000-00000E030000}"/>
    <cellStyle name="_KT (2)_2_TG-TH 83" xfId="669" xr:uid="{00000000-0005-0000-0000-00000F030000}"/>
    <cellStyle name="_KT (2)_2_TG-TH 84" xfId="670" xr:uid="{00000000-0005-0000-0000-000010030000}"/>
    <cellStyle name="_KT (2)_2_TG-TH 85" xfId="671" xr:uid="{00000000-0005-0000-0000-000011030000}"/>
    <cellStyle name="_KT (2)_2_TG-TH 86" xfId="672" xr:uid="{00000000-0005-0000-0000-000012030000}"/>
    <cellStyle name="_KT (2)_2_TG-TH 87" xfId="673" xr:uid="{00000000-0005-0000-0000-000013030000}"/>
    <cellStyle name="_KT (2)_2_TG-TH 88" xfId="674" xr:uid="{00000000-0005-0000-0000-000014030000}"/>
    <cellStyle name="_KT (2)_2_TG-TH 89" xfId="675" xr:uid="{00000000-0005-0000-0000-000015030000}"/>
    <cellStyle name="_KT (2)_2_TG-TH 9" xfId="676" xr:uid="{00000000-0005-0000-0000-000016030000}"/>
    <cellStyle name="_KT (2)_2_TG-TH 90" xfId="677" xr:uid="{00000000-0005-0000-0000-000017030000}"/>
    <cellStyle name="_KT (2)_2_TG-TH 91" xfId="678" xr:uid="{00000000-0005-0000-0000-000018030000}"/>
    <cellStyle name="_KT (2)_2_TG-TH 92" xfId="679" xr:uid="{00000000-0005-0000-0000-000019030000}"/>
    <cellStyle name="_KT (2)_2_TG-TH 93" xfId="680" xr:uid="{00000000-0005-0000-0000-00001A030000}"/>
    <cellStyle name="_KT (2)_2_TG-TH 94" xfId="681" xr:uid="{00000000-0005-0000-0000-00001B030000}"/>
    <cellStyle name="_KT (2)_2_TG-TH 95" xfId="682" xr:uid="{00000000-0005-0000-0000-00001C030000}"/>
    <cellStyle name="_KT (2)_2_TG-TH 96" xfId="683" xr:uid="{00000000-0005-0000-0000-00001D030000}"/>
    <cellStyle name="_KT (2)_2_TG-TH 97" xfId="684" xr:uid="{00000000-0005-0000-0000-00001E030000}"/>
    <cellStyle name="_KT (2)_2_TG-TH 98" xfId="685" xr:uid="{00000000-0005-0000-0000-00001F030000}"/>
    <cellStyle name="_KT (2)_2_TG-TH 99" xfId="686" xr:uid="{00000000-0005-0000-0000-000020030000}"/>
    <cellStyle name="_KT (2)_2_TG-TH_04- Bang bieu khoi luong 20110531(2)" xfId="687" xr:uid="{00000000-0005-0000-0000-000021030000}"/>
    <cellStyle name="_KT (2)_2_TG-TH_04-Bang bieu khoi luong 20110703(kiet)" xfId="688" xr:uid="{00000000-0005-0000-0000-000022030000}"/>
    <cellStyle name="_KT (2)_2_TG-TH_20110627-TDP-MEP BOQ-R2" xfId="689" xr:uid="{00000000-0005-0000-0000-000023030000}"/>
    <cellStyle name="_KT (2)_2_TG-TH_2---DATA_SAIN GOBAIN (THEP)_Option 1-British Standard" xfId="690" xr:uid="{00000000-0005-0000-0000-000024030000}"/>
    <cellStyle name="_KT (2)_2_TG-TH_44611-MEP Estimate cost" xfId="691" xr:uid="{00000000-0005-0000-0000-000025030000}"/>
    <cellStyle name="_KT (2)_2_TG-TH_BAO CAO KLCT PT2000" xfId="692" xr:uid="{00000000-0005-0000-0000-000026030000}"/>
    <cellStyle name="_KT (2)_2_TG-TH_BAO CAO KLCT PT2000_2---DATA_SAIN GOBAIN (THEP)_Option 1-British Standard" xfId="693" xr:uid="{00000000-0005-0000-0000-000027030000}"/>
    <cellStyle name="_KT (2)_2_TG-TH_BAO CAO PT2000" xfId="694" xr:uid="{00000000-0005-0000-0000-000028030000}"/>
    <cellStyle name="_KT (2)_2_TG-TH_BAO CAO PT2000_2---DATA_SAIN GOBAIN (THEP)_Option 1-British Standard" xfId="695" xr:uid="{00000000-0005-0000-0000-000029030000}"/>
    <cellStyle name="_KT (2)_2_TG-TH_BAO CAO PT2000_Book1" xfId="696" xr:uid="{00000000-0005-0000-0000-00002A030000}"/>
    <cellStyle name="_KT (2)_2_TG-TH_BAO CAO PT2000_Book1_2---DATA_SAIN GOBAIN (THEP)_Option 1-British Standard" xfId="697" xr:uid="{00000000-0005-0000-0000-00002B030000}"/>
    <cellStyle name="_KT (2)_2_TG-TH_Bao cao XDCB 2001 - T11 KH dieu chinh 20-11-THAI" xfId="698" xr:uid="{00000000-0005-0000-0000-00002C030000}"/>
    <cellStyle name="_KT (2)_2_TG-TH_Bao cao XDCB 2001 - T11 KH dieu chinh 20-11-THAI_2---DATA_SAIN GOBAIN (THEP)_Option 1-British Standard" xfId="699" xr:uid="{00000000-0005-0000-0000-00002D030000}"/>
    <cellStyle name="_KT (2)_2_TG-TH_BCT - KITYCOTTAGE SS 1''x1'' ANGLE 22-00PET-026" xfId="700" xr:uid="{00000000-0005-0000-0000-00002E030000}"/>
    <cellStyle name="_KT (2)_2_TG-TH_BCT - MID FLANGE LATCH RIGHT 22-00 PET-030" xfId="701" xr:uid="{00000000-0005-0000-0000-00002F030000}"/>
    <cellStyle name="_KT (2)_2_TG-TH_Book1" xfId="702" xr:uid="{00000000-0005-0000-0000-000030030000}"/>
    <cellStyle name="_KT (2)_2_TG-TH_Book1 2" xfId="703" xr:uid="{00000000-0005-0000-0000-000031030000}"/>
    <cellStyle name="_KT (2)_2_TG-TH_Book1_1" xfId="704" xr:uid="{00000000-0005-0000-0000-000032030000}"/>
    <cellStyle name="_KT (2)_2_TG-TH_Book1_1 2" xfId="705" xr:uid="{00000000-0005-0000-0000-000033030000}"/>
    <cellStyle name="_KT (2)_2_TG-TH_Book1_1_2---DATA_SAIN GOBAIN (THEP)_Option 1-British Standard" xfId="706" xr:uid="{00000000-0005-0000-0000-000034030000}"/>
    <cellStyle name="_KT (2)_2_TG-TH_Book1_1_BCT - KITYCOTTAGE SS 1''x1'' ANGLE 22-00PET-026" xfId="707" xr:uid="{00000000-0005-0000-0000-000035030000}"/>
    <cellStyle name="_KT (2)_2_TG-TH_Book1_1_Bill of quantity - cables tray FA - Paragon detail from Tai 011-07-2011" xfId="708" xr:uid="{00000000-0005-0000-0000-000036030000}"/>
    <cellStyle name="_KT (2)_2_TG-TH_Book1_1_Book1" xfId="709" xr:uid="{00000000-0005-0000-0000-000037030000}"/>
    <cellStyle name="_KT (2)_2_TG-TH_Book1_1_Book1_2---DATA_SAIN GOBAIN (THEP)_Option 1-British Standard" xfId="710" xr:uid="{00000000-0005-0000-0000-000038030000}"/>
    <cellStyle name="_KT (2)_2_TG-TH_Book1_1_Book1_THAO DIEN PEARL  - CAP THOAT NUOC (5-9-2011)" xfId="711" xr:uid="{00000000-0005-0000-0000-000039030000}"/>
    <cellStyle name="_KT (2)_2_TG-TH_Book1_1_CACKHOANKHAUTRU" xfId="712" xr:uid="{00000000-0005-0000-0000-00003A030000}"/>
    <cellStyle name="_KT (2)_2_TG-TH_Book1_1_CACKHOANKHAUTRU_2---DATA_SAIN GOBAIN (THEP)_Option 1-British Standard" xfId="713" xr:uid="{00000000-0005-0000-0000-00003B030000}"/>
    <cellStyle name="_KT (2)_2_TG-TH_Book1_1_Cong tac chuan bi Cao su" xfId="714" xr:uid="{00000000-0005-0000-0000-00003C030000}"/>
    <cellStyle name="_KT (2)_2_TG-TH_Book1_1_CTC - BoQ Agrex Building" xfId="715" xr:uid="{00000000-0005-0000-0000-00003D030000}"/>
    <cellStyle name="_KT (2)_2_TG-TH_Book1_1_Danh sach nha cung cap ( Vendor List ) - Cap nhat 15-04-2011" xfId="716" xr:uid="{00000000-0005-0000-0000-00003E030000}"/>
    <cellStyle name="_KT (2)_2_TG-TH_Book1_1_KLTT-PHUCHUNG" xfId="717" xr:uid="{00000000-0005-0000-0000-00003F030000}"/>
    <cellStyle name="_KT (2)_2_TG-TH_Book1_1_KLTT-PHUCHUNG_2---DATA_SAIN GOBAIN (THEP)_Option 1-British Standard" xfId="718" xr:uid="{00000000-0005-0000-0000-000040030000}"/>
    <cellStyle name="_KT (2)_2_TG-TH_Book1_1_l" xfId="719" xr:uid="{00000000-0005-0000-0000-000041030000}"/>
    <cellStyle name="_KT (2)_2_TG-TH_Book1_1_Nha Khach Thanh Uy- Busway -LS- REV1-29-06" xfId="720" xr:uid="{00000000-0005-0000-0000-000042030000}"/>
    <cellStyle name="_KT (2)_2_TG-TH_Book1_1_Thanh toan (Du an Ca Mau)" xfId="721" xr:uid="{00000000-0005-0000-0000-000043030000}"/>
    <cellStyle name="_KT (2)_2_TG-TH_Book1_1_Thanh toan (Du an Ca Mau)_2---DATA_SAIN GOBAIN (THEP)_Option 1-British Standard" xfId="722" xr:uid="{00000000-0005-0000-0000-000044030000}"/>
    <cellStyle name="_KT (2)_2_TG-TH_Book1_1_THANHTOAN" xfId="723" xr:uid="{00000000-0005-0000-0000-000045030000}"/>
    <cellStyle name="_KT (2)_2_TG-TH_Book1_1_THANHTOAN A-B" xfId="724" xr:uid="{00000000-0005-0000-0000-000046030000}"/>
    <cellStyle name="_KT (2)_2_TG-TH_Book1_1_THANHTOAN A-B_2---DATA_SAIN GOBAIN (THEP)_Option 1-British Standard" xfId="725" xr:uid="{00000000-0005-0000-0000-000047030000}"/>
    <cellStyle name="_KT (2)_2_TG-TH_Book1_1_THANHTOAN_2---DATA_SAIN GOBAIN (THEP)_Option 1-British Standard" xfId="726" xr:uid="{00000000-0005-0000-0000-000048030000}"/>
    <cellStyle name="_KT (2)_2_TG-TH_Book1_1_THAO DIEN PEARL  - CAP THOAT NUOC (5-9-2011)" xfId="727" xr:uid="{00000000-0005-0000-0000-000049030000}"/>
    <cellStyle name="_KT (2)_2_TG-TH_Book1_2" xfId="728" xr:uid="{00000000-0005-0000-0000-00004A030000}"/>
    <cellStyle name="_KT (2)_2_TG-TH_Book1_2 2" xfId="729" xr:uid="{00000000-0005-0000-0000-00004B030000}"/>
    <cellStyle name="_KT (2)_2_TG-TH_Book1_2_2---DATA_SAIN GOBAIN (THEP)_Option 1-British Standard" xfId="730" xr:uid="{00000000-0005-0000-0000-00004C030000}"/>
    <cellStyle name="_KT (2)_2_TG-TH_Book1_2_Bill of quantity - cables tray FA - Paragon detail from Tai 011-07-2011" xfId="731" xr:uid="{00000000-0005-0000-0000-00004D030000}"/>
    <cellStyle name="_KT (2)_2_TG-TH_Book1_2_Book1" xfId="732" xr:uid="{00000000-0005-0000-0000-00004E030000}"/>
    <cellStyle name="_KT (2)_2_TG-TH_Book1_2_Book1_2---DATA_SAIN GOBAIN (THEP)_Option 1-British Standard" xfId="733" xr:uid="{00000000-0005-0000-0000-00004F030000}"/>
    <cellStyle name="_KT (2)_2_TG-TH_Book1_2_CACKHOANKHAUTRU" xfId="734" xr:uid="{00000000-0005-0000-0000-000050030000}"/>
    <cellStyle name="_KT (2)_2_TG-TH_Book1_2_CACKHOANKHAUTRU_2---DATA_SAIN GOBAIN (THEP)_Option 1-British Standard" xfId="735" xr:uid="{00000000-0005-0000-0000-000051030000}"/>
    <cellStyle name="_KT (2)_2_TG-TH_Book1_2_Cong tac chuan bi Cao su" xfId="736" xr:uid="{00000000-0005-0000-0000-000052030000}"/>
    <cellStyle name="_KT (2)_2_TG-TH_Book1_2_Danh sach nha cung cap ( Vendor List ) - Cap nhat 15-04-2011" xfId="737" xr:uid="{00000000-0005-0000-0000-000053030000}"/>
    <cellStyle name="_KT (2)_2_TG-TH_Book1_2_KLTT-PHUCHUNG" xfId="738" xr:uid="{00000000-0005-0000-0000-000054030000}"/>
    <cellStyle name="_KT (2)_2_TG-TH_Book1_2_KLTT-PHUCHUNG_2---DATA_SAIN GOBAIN (THEP)_Option 1-British Standard" xfId="739" xr:uid="{00000000-0005-0000-0000-000055030000}"/>
    <cellStyle name="_KT (2)_2_TG-TH_Book1_2_l" xfId="740" xr:uid="{00000000-0005-0000-0000-000056030000}"/>
    <cellStyle name="_KT (2)_2_TG-TH_Book1_2_Nha Khach Thanh Uy- Busway -LS- REV1-29-06" xfId="741" xr:uid="{00000000-0005-0000-0000-000057030000}"/>
    <cellStyle name="_KT (2)_2_TG-TH_Book1_2_Thanh toan (Du an Ca Mau)" xfId="742" xr:uid="{00000000-0005-0000-0000-000058030000}"/>
    <cellStyle name="_KT (2)_2_TG-TH_Book1_2_Thanh toan (Du an Ca Mau)_2---DATA_SAIN GOBAIN (THEP)_Option 1-British Standard" xfId="743" xr:uid="{00000000-0005-0000-0000-000059030000}"/>
    <cellStyle name="_KT (2)_2_TG-TH_Book1_2_THANHTOAN" xfId="744" xr:uid="{00000000-0005-0000-0000-00005A030000}"/>
    <cellStyle name="_KT (2)_2_TG-TH_Book1_2_THANHTOAN A-B" xfId="745" xr:uid="{00000000-0005-0000-0000-00005B030000}"/>
    <cellStyle name="_KT (2)_2_TG-TH_Book1_2_THANHTOAN A-B_2---DATA_SAIN GOBAIN (THEP)_Option 1-British Standard" xfId="746" xr:uid="{00000000-0005-0000-0000-00005C030000}"/>
    <cellStyle name="_KT (2)_2_TG-TH_Book1_2_THANHTOAN_2---DATA_SAIN GOBAIN (THEP)_Option 1-British Standard" xfId="747" xr:uid="{00000000-0005-0000-0000-00005D030000}"/>
    <cellStyle name="_KT (2)_2_TG-TH_Book1_2_THAO DIEN PEARL  - CAP THOAT NUOC (5-9-2011)" xfId="748" xr:uid="{00000000-0005-0000-0000-00005E030000}"/>
    <cellStyle name="_KT (2)_2_TG-TH_Book1_2---DATA_SAIN GOBAIN (THEP)_Option 1-British Standard" xfId="749" xr:uid="{00000000-0005-0000-0000-00005F030000}"/>
    <cellStyle name="_KT (2)_2_TG-TH_Book1_3" xfId="750" xr:uid="{00000000-0005-0000-0000-000060030000}"/>
    <cellStyle name="_KT (2)_2_TG-TH_Book1_3_2---DATA_SAIN GOBAIN (THEP)_Option 1-British Standard" xfId="751" xr:uid="{00000000-0005-0000-0000-000061030000}"/>
    <cellStyle name="_KT (2)_2_TG-TH_Book1_3_Book1" xfId="752" xr:uid="{00000000-0005-0000-0000-000062030000}"/>
    <cellStyle name="_KT (2)_2_TG-TH_Book1_3_Book1_2---DATA_SAIN GOBAIN (THEP)_Option 1-British Standard" xfId="753" xr:uid="{00000000-0005-0000-0000-000063030000}"/>
    <cellStyle name="_KT (2)_2_TG-TH_Book1_3_CACKHOANKHAUTRU" xfId="754" xr:uid="{00000000-0005-0000-0000-000064030000}"/>
    <cellStyle name="_KT (2)_2_TG-TH_Book1_3_CACKHOANKHAUTRU_2---DATA_SAIN GOBAIN (THEP)_Option 1-British Standard" xfId="755" xr:uid="{00000000-0005-0000-0000-000065030000}"/>
    <cellStyle name="_KT (2)_2_TG-TH_Book1_3_KLTT-PHUCHUNG" xfId="756" xr:uid="{00000000-0005-0000-0000-000066030000}"/>
    <cellStyle name="_KT (2)_2_TG-TH_Book1_3_KLTT-PHUCHUNG_2---DATA_SAIN GOBAIN (THEP)_Option 1-British Standard" xfId="757" xr:uid="{00000000-0005-0000-0000-000067030000}"/>
    <cellStyle name="_KT (2)_2_TG-TH_Book1_3_Thanh toan (Du an Ca Mau)" xfId="758" xr:uid="{00000000-0005-0000-0000-000068030000}"/>
    <cellStyle name="_KT (2)_2_TG-TH_Book1_3_Thanh toan (Du an Ca Mau)_2---DATA_SAIN GOBAIN (THEP)_Option 1-British Standard" xfId="759" xr:uid="{00000000-0005-0000-0000-000069030000}"/>
    <cellStyle name="_KT (2)_2_TG-TH_Book1_3_THANHTOAN" xfId="760" xr:uid="{00000000-0005-0000-0000-00006A030000}"/>
    <cellStyle name="_KT (2)_2_TG-TH_Book1_3_THANHTOAN A-B" xfId="761" xr:uid="{00000000-0005-0000-0000-00006B030000}"/>
    <cellStyle name="_KT (2)_2_TG-TH_Book1_3_THANHTOAN A-B_2---DATA_SAIN GOBAIN (THEP)_Option 1-British Standard" xfId="762" xr:uid="{00000000-0005-0000-0000-00006C030000}"/>
    <cellStyle name="_KT (2)_2_TG-TH_Book1_3_THANHTOAN_2---DATA_SAIN GOBAIN (THEP)_Option 1-British Standard" xfId="763" xr:uid="{00000000-0005-0000-0000-00006D030000}"/>
    <cellStyle name="_KT (2)_2_TG-TH_Book1_4" xfId="764" xr:uid="{00000000-0005-0000-0000-00006E030000}"/>
    <cellStyle name="_KT (2)_2_TG-TH_Book1_4_2---DATA_SAIN GOBAIN (THEP)_Option 1-British Standard" xfId="765" xr:uid="{00000000-0005-0000-0000-00006F030000}"/>
    <cellStyle name="_KT (2)_2_TG-TH_Book1_4_CACKHOANKHAUTRU" xfId="766" xr:uid="{00000000-0005-0000-0000-000070030000}"/>
    <cellStyle name="_KT (2)_2_TG-TH_Book1_4_CACKHOANKHAUTRU_2---DATA_SAIN GOBAIN (THEP)_Option 1-British Standard" xfId="767" xr:uid="{00000000-0005-0000-0000-000071030000}"/>
    <cellStyle name="_KT (2)_2_TG-TH_Book1_4_KLTT-PHUCHUNG" xfId="768" xr:uid="{00000000-0005-0000-0000-000072030000}"/>
    <cellStyle name="_KT (2)_2_TG-TH_Book1_4_KLTT-PHUCHUNG_2---DATA_SAIN GOBAIN (THEP)_Option 1-British Standard" xfId="769" xr:uid="{00000000-0005-0000-0000-000073030000}"/>
    <cellStyle name="_KT (2)_2_TG-TH_Book1_4_Thanh toan (Du an Ca Mau)" xfId="770" xr:uid="{00000000-0005-0000-0000-000074030000}"/>
    <cellStyle name="_KT (2)_2_TG-TH_Book1_4_Thanh toan (Du an Ca Mau)_2---DATA_SAIN GOBAIN (THEP)_Option 1-British Standard" xfId="771" xr:uid="{00000000-0005-0000-0000-000075030000}"/>
    <cellStyle name="_KT (2)_2_TG-TH_Book1_4_THANHTOAN" xfId="772" xr:uid="{00000000-0005-0000-0000-000076030000}"/>
    <cellStyle name="_KT (2)_2_TG-TH_Book1_4_THANHTOAN A-B" xfId="773" xr:uid="{00000000-0005-0000-0000-000077030000}"/>
    <cellStyle name="_KT (2)_2_TG-TH_Book1_4_THANHTOAN A-B_2---DATA_SAIN GOBAIN (THEP)_Option 1-British Standard" xfId="774" xr:uid="{00000000-0005-0000-0000-000078030000}"/>
    <cellStyle name="_KT (2)_2_TG-TH_Book1_4_THANHTOAN_2---DATA_SAIN GOBAIN (THEP)_Option 1-British Standard" xfId="775" xr:uid="{00000000-0005-0000-0000-000079030000}"/>
    <cellStyle name="_KT (2)_2_TG-TH_Book1_Book1" xfId="776" xr:uid="{00000000-0005-0000-0000-00007A030000}"/>
    <cellStyle name="_KT (2)_2_TG-TH_Book1_Book1_2---DATA_SAIN GOBAIN (THEP)_Option 1-British Standard" xfId="777" xr:uid="{00000000-0005-0000-0000-00007B030000}"/>
    <cellStyle name="_KT (2)_2_TG-TH_Book1_Book1_Book1" xfId="778" xr:uid="{00000000-0005-0000-0000-00007C030000}"/>
    <cellStyle name="_KT (2)_2_TG-TH_Book1_Book1_Book1_2---DATA_SAIN GOBAIN (THEP)_Option 1-British Standard" xfId="779" xr:uid="{00000000-0005-0000-0000-00007D030000}"/>
    <cellStyle name="_KT (2)_2_TG-TH_Book1_Book1_CACKHOANKHAUTRU" xfId="780" xr:uid="{00000000-0005-0000-0000-00007E030000}"/>
    <cellStyle name="_KT (2)_2_TG-TH_Book1_Book1_CACKHOANKHAUTRU_2---DATA_SAIN GOBAIN (THEP)_Option 1-British Standard" xfId="781" xr:uid="{00000000-0005-0000-0000-00007F030000}"/>
    <cellStyle name="_KT (2)_2_TG-TH_Book1_Book1_KLTT-PHUCHUNG" xfId="782" xr:uid="{00000000-0005-0000-0000-000080030000}"/>
    <cellStyle name="_KT (2)_2_TG-TH_Book1_Book1_KLTT-PHUCHUNG_2---DATA_SAIN GOBAIN (THEP)_Option 1-British Standard" xfId="783" xr:uid="{00000000-0005-0000-0000-000081030000}"/>
    <cellStyle name="_KT (2)_2_TG-TH_Book1_Book1_Thanh toan (Du an Ca Mau)" xfId="784" xr:uid="{00000000-0005-0000-0000-000082030000}"/>
    <cellStyle name="_KT (2)_2_TG-TH_Book1_Book1_Thanh toan (Du an Ca Mau)_2---DATA_SAIN GOBAIN (THEP)_Option 1-British Standard" xfId="785" xr:uid="{00000000-0005-0000-0000-000083030000}"/>
    <cellStyle name="_KT (2)_2_TG-TH_Book1_Book1_THANHTOAN" xfId="786" xr:uid="{00000000-0005-0000-0000-000084030000}"/>
    <cellStyle name="_KT (2)_2_TG-TH_Book1_Book1_THANHTOAN A-B" xfId="787" xr:uid="{00000000-0005-0000-0000-000085030000}"/>
    <cellStyle name="_KT (2)_2_TG-TH_Book1_Book1_THANHTOAN A-B_2---DATA_SAIN GOBAIN (THEP)_Option 1-British Standard" xfId="788" xr:uid="{00000000-0005-0000-0000-000086030000}"/>
    <cellStyle name="_KT (2)_2_TG-TH_Book1_Book1_THANHTOAN_2---DATA_SAIN GOBAIN (THEP)_Option 1-British Standard" xfId="789" xr:uid="{00000000-0005-0000-0000-000087030000}"/>
    <cellStyle name="_KT (2)_2_TG-TH_Book1_Book1_THAO DIEN PEARL  - CAP THOAT NUOC (5-9-2011)" xfId="790" xr:uid="{00000000-0005-0000-0000-000088030000}"/>
    <cellStyle name="_KT (2)_2_TG-TH_Book1_Book2" xfId="791" xr:uid="{00000000-0005-0000-0000-000089030000}"/>
    <cellStyle name="_KT (2)_2_TG-TH_Book1_BOQ-Thuan thao (Tai 07May)" xfId="792" xr:uid="{00000000-0005-0000-0000-00008A030000}"/>
    <cellStyle name="_KT (2)_2_TG-TH_Book1_CACKHOANKHAUTRU" xfId="793" xr:uid="{00000000-0005-0000-0000-00008B030000}"/>
    <cellStyle name="_KT (2)_2_TG-TH_Book1_CACKHOANKHAUTRU_2---DATA_SAIN GOBAIN (THEP)_Option 1-British Standard" xfId="794" xr:uid="{00000000-0005-0000-0000-00008C030000}"/>
    <cellStyle name="_KT (2)_2_TG-TH_Book1_Cau tao gia Arico T2-2009" xfId="795" xr:uid="{00000000-0005-0000-0000-00008D030000}"/>
    <cellStyle name="_KT (2)_2_TG-TH_Book1_Cau tao gia Nop thau" xfId="796" xr:uid="{00000000-0005-0000-0000-00008E030000}"/>
    <cellStyle name="_KT (2)_2_TG-TH_Book1_Cau tao gia phan Tho (ham + Than) 15-9-08" xfId="797" xr:uid="{00000000-0005-0000-0000-00008F030000}"/>
    <cellStyle name="_KT (2)_2_TG-TH_Book1_Cau tao gia tong hop Mau" xfId="799" xr:uid="{00000000-0005-0000-0000-000091030000}"/>
    <cellStyle name="_KT (2)_2_TG-TH_Book1_CAU TAO GIA THE OCEAN VILLAS DANANG" xfId="798" xr:uid="{00000000-0005-0000-0000-000090030000}"/>
    <cellStyle name="_KT (2)_2_TG-TH_Book1_Cau tao gia VT-NC Mau" xfId="800" xr:uid="{00000000-0005-0000-0000-000092030000}"/>
    <cellStyle name="_KT (2)_2_TG-TH_Book1_cong tac chuan bi Nhatrang Plaza" xfId="801" xr:uid="{00000000-0005-0000-0000-000093030000}"/>
    <cellStyle name="_KT (2)_2_TG-TH_Book1_Cong tac chuan bi-Thanh" xfId="802" xr:uid="{00000000-0005-0000-0000-000094030000}"/>
    <cellStyle name="_KT (2)_2_TG-TH_Book1_Copy of Cau tao gia Mau" xfId="803" xr:uid="{00000000-0005-0000-0000-000095030000}"/>
    <cellStyle name="_KT (2)_2_TG-TH_Book1_CTC - BoQ Agrex Building" xfId="804" xr:uid="{00000000-0005-0000-0000-000096030000}"/>
    <cellStyle name="_KT (2)_2_TG-TH_Book1_CV1-khoi luong va don gia" xfId="805" xr:uid="{00000000-0005-0000-0000-000097030000}"/>
    <cellStyle name="_KT (2)_2_TG-TH_Book1_CV1-khoi luong va don gia_2---DATA_SAIN GOBAIN (THEP)_Option 1-British Standard" xfId="806" xr:uid="{00000000-0005-0000-0000-000098030000}"/>
    <cellStyle name="_KT (2)_2_TG-TH_Book1_Danh sach nha cung cap ( Vendor List ) - Cap nhat 15-04-2011" xfId="807" xr:uid="{00000000-0005-0000-0000-000099030000}"/>
    <cellStyle name="_KT (2)_2_TG-TH_Book1_Du toan chi phi gia thau T12 (Dat Phuong)" xfId="808" xr:uid="{00000000-0005-0000-0000-00009A030000}"/>
    <cellStyle name="_KT (2)_2_TG-TH_Book1_Du toan chi phi gia thau T12 (Dat Phuong)_2---DATA_SAIN GOBAIN (THEP)_Option 1-British Standard" xfId="809" xr:uid="{00000000-0005-0000-0000-00009B030000}"/>
    <cellStyle name="_KT (2)_2_TG-TH_Book1_HD-CONGTACCHINH-THAUPHU" xfId="810" xr:uid="{00000000-0005-0000-0000-00009C030000}"/>
    <cellStyle name="_KT (2)_2_TG-TH_Book1_HD-CONGTACCHINH-THAUPHU_2---DATA_SAIN GOBAIN (THEP)_Option 1-British Standard" xfId="811" xr:uid="{00000000-0005-0000-0000-00009D030000}"/>
    <cellStyle name="_KT (2)_2_TG-TH_Book1_HOPDONG-NOIBO" xfId="812" xr:uid="{00000000-0005-0000-0000-00009E030000}"/>
    <cellStyle name="_KT (2)_2_TG-TH_Book1_HOPDONG-NOIBO_2---DATA_SAIN GOBAIN (THEP)_Option 1-British Standard" xfId="813" xr:uid="{00000000-0005-0000-0000-00009F030000}"/>
    <cellStyle name="_KT (2)_2_TG-TH_Book1_l" xfId="814" xr:uid="{00000000-0005-0000-0000-0000A0030000}"/>
    <cellStyle name="_KT (2)_2_TG-TH_Book1_M_E Services _ Education" xfId="815" xr:uid="{00000000-0005-0000-0000-0000A1030000}"/>
    <cellStyle name="_KT (2)_2_TG-TH_Book1_M_E Services _ Education_1" xfId="816" xr:uid="{00000000-0005-0000-0000-0000A2030000}"/>
    <cellStyle name="_KT (2)_2_TG-TH_Book1_M_E Services _ Education_1_submit DHND 5%" xfId="817" xr:uid="{00000000-0005-0000-0000-0000A3030000}"/>
    <cellStyle name="_KT (2)_2_TG-TH_Book1_M_E Services _ Education_submit DHND 5%" xfId="818" xr:uid="{00000000-0005-0000-0000-0000A4030000}"/>
    <cellStyle name="_KT (2)_2_TG-TH_Book1_Nha Khach Thanh Uy- Busway -LS- REV1-29-06" xfId="819" xr:uid="{00000000-0005-0000-0000-0000A5030000}"/>
    <cellStyle name="_KT (2)_2_TG-TH_Book1_Priliminary" xfId="820" xr:uid="{00000000-0005-0000-0000-0000A6030000}"/>
    <cellStyle name="_KT (2)_2_TG-TH_Book1_submit DHND 5%" xfId="821" xr:uid="{00000000-0005-0000-0000-0000A7030000}"/>
    <cellStyle name="_KT (2)_2_TG-TH_Book1_THANH TOAN-CONGTACCHINH" xfId="822" xr:uid="{00000000-0005-0000-0000-0000A8030000}"/>
    <cellStyle name="_KT (2)_2_TG-TH_Book1_THANH TOAN-CONGTACCHINH_2---DATA_SAIN GOBAIN (THEP)_Option 1-British Standard" xfId="823" xr:uid="{00000000-0005-0000-0000-0000A9030000}"/>
    <cellStyle name="_KT (2)_2_TG-TH_Book1_THANHTOAN" xfId="824" xr:uid="{00000000-0005-0000-0000-0000AA030000}"/>
    <cellStyle name="_KT (2)_2_TG-TH_Book1_THANHTOAN_2---DATA_SAIN GOBAIN (THEP)_Option 1-British Standard" xfId="825" xr:uid="{00000000-0005-0000-0000-0000AB030000}"/>
    <cellStyle name="_KT (2)_2_TG-TH_Book2" xfId="826" xr:uid="{00000000-0005-0000-0000-0000AC030000}"/>
    <cellStyle name="_KT (2)_2_TG-TH_BOQ-Thuan thao (Tai 07May)" xfId="827" xr:uid="{00000000-0005-0000-0000-0000AD030000}"/>
    <cellStyle name="_KT (2)_2_TG-TH_CACKHOANKHAUTRU" xfId="828" xr:uid="{00000000-0005-0000-0000-0000AE030000}"/>
    <cellStyle name="_KT (2)_2_TG-TH_CACKHOANKHAUTRU_2---DATA_SAIN GOBAIN (THEP)_Option 1-British Standard" xfId="829" xr:uid="{00000000-0005-0000-0000-0000AF030000}"/>
    <cellStyle name="_KT (2)_2_TG-TH_Cau tao gia Arico T2-2009" xfId="830" xr:uid="{00000000-0005-0000-0000-0000B0030000}"/>
    <cellStyle name="_KT (2)_2_TG-TH_Cau tao gia Nop thau" xfId="831" xr:uid="{00000000-0005-0000-0000-0000B1030000}"/>
    <cellStyle name="_KT (2)_2_TG-TH_Cau tao gia phan Tho (ham + Than) 15-9-08" xfId="832" xr:uid="{00000000-0005-0000-0000-0000B2030000}"/>
    <cellStyle name="_KT (2)_2_TG-TH_Cau tao gia tong hop Mau" xfId="834" xr:uid="{00000000-0005-0000-0000-0000B4030000}"/>
    <cellStyle name="_KT (2)_2_TG-TH_CAU TAO GIA THE OCEAN VILLAS DANANG" xfId="833" xr:uid="{00000000-0005-0000-0000-0000B3030000}"/>
    <cellStyle name="_KT (2)_2_TG-TH_Cau tao gia VT-NC Mau" xfId="835" xr:uid="{00000000-0005-0000-0000-0000B5030000}"/>
    <cellStyle name="_KT (2)_2_TG-TH_cong tac chuan bi Nhatrang Plaza" xfId="836" xr:uid="{00000000-0005-0000-0000-0000B6030000}"/>
    <cellStyle name="_KT (2)_2_TG-TH_Cong tac chuan bi-Thanh" xfId="837" xr:uid="{00000000-0005-0000-0000-0000B7030000}"/>
    <cellStyle name="_KT (2)_2_TG-TH_Copy of Cau tao gia Mau" xfId="838" xr:uid="{00000000-0005-0000-0000-0000B8030000}"/>
    <cellStyle name="_KT (2)_2_TG-TH_CROWN WELL 冠威報價單20071015" xfId="839" xr:uid="{00000000-0005-0000-0000-0000B9030000}"/>
    <cellStyle name="_KT (2)_2_TG-TH_CTC - BoQ Agrex Building" xfId="840" xr:uid="{00000000-0005-0000-0000-0000BA030000}"/>
    <cellStyle name="_KT (2)_2_TG-TH_CV1-khoi luong va don gia" xfId="841" xr:uid="{00000000-0005-0000-0000-0000BB030000}"/>
    <cellStyle name="_KT (2)_2_TG-TH_CV1-khoi luong va don gia_2---DATA_SAIN GOBAIN (THEP)_Option 1-British Standard" xfId="842" xr:uid="{00000000-0005-0000-0000-0000BC030000}"/>
    <cellStyle name="_KT (2)_2_TG-TH_Danh sach nha cung cap ( Vendor List ) - Cap nhat 15-04-2011" xfId="843" xr:uid="{00000000-0005-0000-0000-0000BD030000}"/>
    <cellStyle name="_KT (2)_2_TG-TH_DT kho 50x72 ,52x45m -11-5" xfId="845" xr:uid="{00000000-0005-0000-0000-0000BF030000}"/>
    <cellStyle name="_KT (2)_2_TG-TH_DT kho 50x72 ,52x45m ASIA NUTRITION" xfId="846" xr:uid="{00000000-0005-0000-0000-0000C0030000}"/>
    <cellStyle name="_KT (2)_2_TG-TH_DTCDT MR.2N110.HOCMON.TDTOAN.CCUNG" xfId="847" xr:uid="{00000000-0005-0000-0000-0000C1030000}"/>
    <cellStyle name="_KT (2)_2_TG-TH_DTCDT MR.2N110.HOCMON.TDTOAN.CCUNG_2---DATA_SAIN GOBAIN (THEP)_Option 1-British Standard" xfId="848" xr:uid="{00000000-0005-0000-0000-0000C2030000}"/>
    <cellStyle name="_KT (2)_2_TG-TH_DTkho 52x70m ASIA NUTRITION" xfId="849" xr:uid="{00000000-0005-0000-0000-0000C3030000}"/>
    <cellStyle name="_KT (2)_2_TG-TH_DTkho 52x70m ASIA NUTRITION-change-tuong bt6m" xfId="850" xr:uid="{00000000-0005-0000-0000-0000C4030000}"/>
    <cellStyle name="_KT (2)_2_TG-TH_DTkho 52x70m ASIA NUTRITION-seno betong" xfId="851" xr:uid="{00000000-0005-0000-0000-0000C5030000}"/>
    <cellStyle name="_KT (2)_2_TG-TH_Du toan chi phi gia thau T12 (Dat Phuong)" xfId="852" xr:uid="{00000000-0005-0000-0000-0000C6030000}"/>
    <cellStyle name="_KT (2)_2_TG-TH_Du toan chi phi gia thau T12 (Dat Phuong)_2---DATA_SAIN GOBAIN (THEP)_Option 1-British Standard" xfId="853" xr:uid="{00000000-0005-0000-0000-0000C7030000}"/>
    <cellStyle name="_KT (2)_2_TG-TH_ĐỊNH MỨC KHOÁN 20-00PET -059" xfId="844" xr:uid="{00000000-0005-0000-0000-0000BE030000}"/>
    <cellStyle name="_KT (2)_2_TG-TH_HD-CONGTACCHINH-THAUPHU" xfId="854" xr:uid="{00000000-0005-0000-0000-0000C8030000}"/>
    <cellStyle name="_KT (2)_2_TG-TH_HD-CONGTACCHINH-THAUPHU_2---DATA_SAIN GOBAIN (THEP)_Option 1-British Standard" xfId="855" xr:uid="{00000000-0005-0000-0000-0000C9030000}"/>
    <cellStyle name="_KT (2)_2_TG-TH_HOPDONG-NOIBO" xfId="856" xr:uid="{00000000-0005-0000-0000-0000CA030000}"/>
    <cellStyle name="_KT (2)_2_TG-TH_HOPDONG-NOIBO_2---DATA_SAIN GOBAIN (THEP)_Option 1-British Standard" xfId="857" xr:uid="{00000000-0005-0000-0000-0000CB030000}"/>
    <cellStyle name="_KT (2)_2_TG-TH_l" xfId="858" xr:uid="{00000000-0005-0000-0000-0000CC030000}"/>
    <cellStyle name="_KT (2)_2_TG-TH_Lora-tungchau" xfId="859" xr:uid="{00000000-0005-0000-0000-0000CD030000}"/>
    <cellStyle name="_KT (2)_2_TG-TH_Lora-tungchau_2---DATA_SAIN GOBAIN (THEP)_Option 1-British Standard" xfId="860" xr:uid="{00000000-0005-0000-0000-0000CE030000}"/>
    <cellStyle name="_KT (2)_2_TG-TH_M_E Services _ Education" xfId="861" xr:uid="{00000000-0005-0000-0000-0000CF030000}"/>
    <cellStyle name="_KT (2)_2_TG-TH_M_E Services _ Education_1" xfId="862" xr:uid="{00000000-0005-0000-0000-0000D0030000}"/>
    <cellStyle name="_KT (2)_2_TG-TH_M_E Services _ Education_1_submit DHND 5%" xfId="863" xr:uid="{00000000-0005-0000-0000-0000D1030000}"/>
    <cellStyle name="_KT (2)_2_TG-TH_M_E Services _ Education_submit DHND 5%" xfId="864" xr:uid="{00000000-0005-0000-0000-0000D2030000}"/>
    <cellStyle name="_KT (2)_2_TG-TH_Nha Khach Thanh Uy- Busway -LS- REV1-29-06" xfId="865" xr:uid="{00000000-0005-0000-0000-0000D3030000}"/>
    <cellStyle name="_KT (2)_2_TG-TH_PGIA-phieu tham tra Kho bac" xfId="866" xr:uid="{00000000-0005-0000-0000-0000D4030000}"/>
    <cellStyle name="_KT (2)_2_TG-TH_PGIA-phieu tham tra Kho bac_2---DATA_SAIN GOBAIN (THEP)_Option 1-British Standard" xfId="867" xr:uid="{00000000-0005-0000-0000-0000D5030000}"/>
    <cellStyle name="_KT (2)_2_TG-TH_Priliminary" xfId="868" xr:uid="{00000000-0005-0000-0000-0000D6030000}"/>
    <cellStyle name="_KT (2)_2_TG-TH_PT02-02" xfId="869" xr:uid="{00000000-0005-0000-0000-0000D7030000}"/>
    <cellStyle name="_KT (2)_2_TG-TH_PT02-02_2---DATA_SAIN GOBAIN (THEP)_Option 1-British Standard" xfId="870" xr:uid="{00000000-0005-0000-0000-0000D8030000}"/>
    <cellStyle name="_KT (2)_2_TG-TH_PT02-02_Book1" xfId="871" xr:uid="{00000000-0005-0000-0000-0000D9030000}"/>
    <cellStyle name="_KT (2)_2_TG-TH_PT02-02_Book1_2---DATA_SAIN GOBAIN (THEP)_Option 1-British Standard" xfId="872" xr:uid="{00000000-0005-0000-0000-0000DA030000}"/>
    <cellStyle name="_KT (2)_2_TG-TH_PT02-03" xfId="873" xr:uid="{00000000-0005-0000-0000-0000DB030000}"/>
    <cellStyle name="_KT (2)_2_TG-TH_PT02-03_2---DATA_SAIN GOBAIN (THEP)_Option 1-British Standard" xfId="874" xr:uid="{00000000-0005-0000-0000-0000DC030000}"/>
    <cellStyle name="_KT (2)_2_TG-TH_PT02-03_Book1" xfId="875" xr:uid="{00000000-0005-0000-0000-0000DD030000}"/>
    <cellStyle name="_KT (2)_2_TG-TH_PT02-03_Book1_2---DATA_SAIN GOBAIN (THEP)_Option 1-British Standard" xfId="876" xr:uid="{00000000-0005-0000-0000-0000DE030000}"/>
    <cellStyle name="_KT (2)_2_TG-TH_Qt-HT3PQ1(CauKho)" xfId="877" xr:uid="{00000000-0005-0000-0000-0000DF030000}"/>
    <cellStyle name="_KT (2)_2_TG-TH_Qt-HT3PQ1(CauKho)_2---DATA_SAIN GOBAIN (THEP)_Option 1-British Standard" xfId="878" xr:uid="{00000000-0005-0000-0000-0000E0030000}"/>
    <cellStyle name="_KT (2)_2_TG-TH_submit DHND 5%" xfId="879" xr:uid="{00000000-0005-0000-0000-0000E1030000}"/>
    <cellStyle name="_KT (2)_2_TG-TH_TAM UNG VAT TU CHINH DOT 3 (REV2)" xfId="880" xr:uid="{00000000-0005-0000-0000-0000E2030000}"/>
    <cellStyle name="_KT (2)_2_TG-TH_TAM UNG VAT TU CHINH DOT 3 (REV2)_2---DATA_SAIN GOBAIN (THEP)_Option 1-British Standard" xfId="881" xr:uid="{00000000-0005-0000-0000-0000E3030000}"/>
    <cellStyle name="_KT (2)_2_TG-TH_Tong hop so luong cac muc" xfId="886" xr:uid="{00000000-0005-0000-0000-0000E8030000}"/>
    <cellStyle name="_KT (2)_2_TG-TH_THANH TOAN-CONGTACCHINH" xfId="882" xr:uid="{00000000-0005-0000-0000-0000E4030000}"/>
    <cellStyle name="_KT (2)_2_TG-TH_THANH TOAN-CONGTACCHINH_2---DATA_SAIN GOBAIN (THEP)_Option 1-British Standard" xfId="883" xr:uid="{00000000-0005-0000-0000-0000E5030000}"/>
    <cellStyle name="_KT (2)_2_TG-TH_THANHTOAN" xfId="884" xr:uid="{00000000-0005-0000-0000-0000E6030000}"/>
    <cellStyle name="_KT (2)_2_TG-TH_THANHTOAN_2---DATA_SAIN GOBAIN (THEP)_Option 1-British Standard" xfId="885" xr:uid="{00000000-0005-0000-0000-0000E7030000}"/>
    <cellStyle name="_KT (2)_2---DATA_SAIN GOBAIN (THEP)_Option 1-British Standard" xfId="887" xr:uid="{00000000-0005-0000-0000-0000E9030000}"/>
    <cellStyle name="_KT (2)_3" xfId="888" xr:uid="{00000000-0005-0000-0000-0000EA030000}"/>
    <cellStyle name="_KT (2)_3_2---DATA_SAIN GOBAIN (THEP)_Option 1-British Standard" xfId="889" xr:uid="{00000000-0005-0000-0000-0000EB030000}"/>
    <cellStyle name="_KT (2)_3_M_E Services _ Education" xfId="890" xr:uid="{00000000-0005-0000-0000-0000EC030000}"/>
    <cellStyle name="_KT (2)_3_M_E Services _ Education_1" xfId="891" xr:uid="{00000000-0005-0000-0000-0000ED030000}"/>
    <cellStyle name="_KT (2)_3_M_E Services _ Education_1_submit DHND 5%" xfId="892" xr:uid="{00000000-0005-0000-0000-0000EE030000}"/>
    <cellStyle name="_KT (2)_3_M_E Services _ Education_submit DHND 5%" xfId="893" xr:uid="{00000000-0005-0000-0000-0000EF030000}"/>
    <cellStyle name="_KT (2)_3_submit DHND 5%" xfId="894" xr:uid="{00000000-0005-0000-0000-0000F0030000}"/>
    <cellStyle name="_KT (2)_3_TG-TH" xfId="895" xr:uid="{00000000-0005-0000-0000-0000F1030000}"/>
    <cellStyle name="_KT (2)_3_TG-TH 2" xfId="896" xr:uid="{00000000-0005-0000-0000-0000F2030000}"/>
    <cellStyle name="_KT (2)_3_TG-TH_2---DATA_SAIN GOBAIN (THEP)_Option 1-British Standard" xfId="897" xr:uid="{00000000-0005-0000-0000-0000F3030000}"/>
    <cellStyle name="_KT (2)_3_TG-TH_BCT - KITYCOTTAGE SS 1''x1'' ANGLE 22-00PET-026" xfId="898" xr:uid="{00000000-0005-0000-0000-0000F4030000}"/>
    <cellStyle name="_KT (2)_3_TG-TH_BCT - MID FLANGE LATCH RIGHT 22-00 PET-030" xfId="899" xr:uid="{00000000-0005-0000-0000-0000F5030000}"/>
    <cellStyle name="_KT (2)_3_TG-TH_Book1" xfId="900" xr:uid="{00000000-0005-0000-0000-0000F6030000}"/>
    <cellStyle name="_KT (2)_3_TG-TH_Book1 2" xfId="901" xr:uid="{00000000-0005-0000-0000-0000F7030000}"/>
    <cellStyle name="_KT (2)_3_TG-TH_Book1_1" xfId="902" xr:uid="{00000000-0005-0000-0000-0000F8030000}"/>
    <cellStyle name="_KT (2)_3_TG-TH_Book1_2---DATA_SAIN GOBAIN (THEP)_Option 1-British Standard" xfId="903" xr:uid="{00000000-0005-0000-0000-0000F9030000}"/>
    <cellStyle name="_KT (2)_3_TG-TH_Book1_BC-QT-WB-dthao" xfId="904" xr:uid="{00000000-0005-0000-0000-0000FA030000}"/>
    <cellStyle name="_KT (2)_3_TG-TH_Book1_BC-QT-WB-dthao_2---DATA_SAIN GOBAIN (THEP)_Option 1-British Standard" xfId="905" xr:uid="{00000000-0005-0000-0000-0000FB030000}"/>
    <cellStyle name="_KT (2)_3_TG-TH_Book1_Bill of quantity - cables tray FA - Paragon detail from Tai 011-07-2011" xfId="906" xr:uid="{00000000-0005-0000-0000-0000FC030000}"/>
    <cellStyle name="_KT (2)_3_TG-TH_Book1_BOQ-Thuan thao (Tai 07May)" xfId="907" xr:uid="{00000000-0005-0000-0000-0000FD030000}"/>
    <cellStyle name="_KT (2)_3_TG-TH_Book1_CAU TAO GIA THE OCEAN VILLAS DANANG" xfId="908" xr:uid="{00000000-0005-0000-0000-0000FE030000}"/>
    <cellStyle name="_KT (2)_3_TG-TH_Book1_Danh sach nha cung cap ( Vendor List ) - Cap nhat 15-04-2011" xfId="909" xr:uid="{00000000-0005-0000-0000-0000FF030000}"/>
    <cellStyle name="_KT (2)_3_TG-TH_Book1_l" xfId="910" xr:uid="{00000000-0005-0000-0000-000000040000}"/>
    <cellStyle name="_KT (2)_3_TG-TH_Book1_M_E Services _ Education" xfId="911" xr:uid="{00000000-0005-0000-0000-000001040000}"/>
    <cellStyle name="_KT (2)_3_TG-TH_Book1_M_E Services _ Education_1" xfId="912" xr:uid="{00000000-0005-0000-0000-000002040000}"/>
    <cellStyle name="_KT (2)_3_TG-TH_Book1_M_E Services _ Education_1_submit DHND 5%" xfId="913" xr:uid="{00000000-0005-0000-0000-000003040000}"/>
    <cellStyle name="_KT (2)_3_TG-TH_Book1_M_E Services _ Education_submit DHND 5%" xfId="914" xr:uid="{00000000-0005-0000-0000-000004040000}"/>
    <cellStyle name="_KT (2)_3_TG-TH_Book1_Nha Khach Thanh Uy- Busway -LS- REV1-29-06" xfId="915" xr:uid="{00000000-0005-0000-0000-000005040000}"/>
    <cellStyle name="_KT (2)_3_TG-TH_Book1_submit DHND 5%" xfId="916" xr:uid="{00000000-0005-0000-0000-000006040000}"/>
    <cellStyle name="_KT (2)_3_TG-TH_Book1_THAO DIEN PEARL  - CAP THOAT NUOC (5-9-2011)" xfId="917" xr:uid="{00000000-0005-0000-0000-000007040000}"/>
    <cellStyle name="_KT (2)_3_TG-TH_Book2" xfId="918" xr:uid="{00000000-0005-0000-0000-000008040000}"/>
    <cellStyle name="_KT (2)_3_TG-TH_BOQ-Thuan thao (Tai 07May)" xfId="919" xr:uid="{00000000-0005-0000-0000-000009040000}"/>
    <cellStyle name="_KT (2)_3_TG-TH_Cau tao gia Arico T2-2009" xfId="920" xr:uid="{00000000-0005-0000-0000-00000A040000}"/>
    <cellStyle name="_KT (2)_3_TG-TH_Cau tao gia Nop thau" xfId="921" xr:uid="{00000000-0005-0000-0000-00000B040000}"/>
    <cellStyle name="_KT (2)_3_TG-TH_Cau tao gia phan Tho (ham + Than) 15-9-08" xfId="922" xr:uid="{00000000-0005-0000-0000-00000C040000}"/>
    <cellStyle name="_KT (2)_3_TG-TH_Cau tao gia tong hop Mau" xfId="924" xr:uid="{00000000-0005-0000-0000-00000E040000}"/>
    <cellStyle name="_KT (2)_3_TG-TH_CAU TAO GIA THE OCEAN VILLAS DANANG" xfId="923" xr:uid="{00000000-0005-0000-0000-00000D040000}"/>
    <cellStyle name="_KT (2)_3_TG-TH_Cau tao gia VT-NC Mau" xfId="925" xr:uid="{00000000-0005-0000-0000-00000F040000}"/>
    <cellStyle name="_KT (2)_3_TG-TH_cong tac chuan bi Nhatrang Plaza" xfId="926" xr:uid="{00000000-0005-0000-0000-000011040000}"/>
    <cellStyle name="_KT (2)_3_TG-TH_Cong tac chuan bi-Thanh" xfId="927" xr:uid="{00000000-0005-0000-0000-000012040000}"/>
    <cellStyle name="_KT (2)_3_TG-TH_Copy of Cau tao gia Mau" xfId="928" xr:uid="{00000000-0005-0000-0000-000013040000}"/>
    <cellStyle name="_KT (2)_3_TG-TH_CTC - BoQ Agrex Building" xfId="929" xr:uid="{00000000-0005-0000-0000-000014040000}"/>
    <cellStyle name="_KT (2)_3_TG-TH_CHI TIET 03" xfId="14483" xr:uid="{00000000-0005-0000-0000-000010040000}"/>
    <cellStyle name="_KT (2)_3_TG-TH_Danh sach nha cung cap ( Vendor List ) - Cap nhat 15-04-2011" xfId="930" xr:uid="{00000000-0005-0000-0000-000015040000}"/>
    <cellStyle name="_KT (2)_3_TG-TH_ĐỊNH MỨC KHOÁN 20-00PET -059" xfId="931" xr:uid="{00000000-0005-0000-0000-000016040000}"/>
    <cellStyle name="_KT (2)_3_TG-TH_HGCT-VMC" xfId="14484" xr:uid="{00000000-0005-0000-0000-000017040000}"/>
    <cellStyle name="_KT (2)_3_TG-TH_JOON  omdau" xfId="14485" xr:uid="{00000000-0005-0000-0000-000018040000}"/>
    <cellStyle name="_KT (2)_3_TG-TH_l" xfId="932" xr:uid="{00000000-0005-0000-0000-000019040000}"/>
    <cellStyle name="_KT (2)_3_TG-TH_Lora-tungchau" xfId="933" xr:uid="{00000000-0005-0000-0000-00001A040000}"/>
    <cellStyle name="_KT (2)_3_TG-TH_Lora-tungchau_2---DATA_SAIN GOBAIN (THEP)_Option 1-British Standard" xfId="934" xr:uid="{00000000-0005-0000-0000-00001B040000}"/>
    <cellStyle name="_KT (2)_3_TG-TH_M_E Services _ Education" xfId="935" xr:uid="{00000000-0005-0000-0000-00001C040000}"/>
    <cellStyle name="_KT (2)_3_TG-TH_M_E Services _ Education_1" xfId="936" xr:uid="{00000000-0005-0000-0000-00001D040000}"/>
    <cellStyle name="_KT (2)_3_TG-TH_M_E Services _ Education_1_submit DHND 5%" xfId="937" xr:uid="{00000000-0005-0000-0000-00001E040000}"/>
    <cellStyle name="_KT (2)_3_TG-TH_M_E Services _ Education_submit DHND 5%" xfId="938" xr:uid="{00000000-0005-0000-0000-00001F040000}"/>
    <cellStyle name="_KT (2)_3_TG-TH_Nha Khach Thanh Uy- Busway -LS- REV1-29-06" xfId="939" xr:uid="{00000000-0005-0000-0000-000020040000}"/>
    <cellStyle name="_KT (2)_3_TG-TH_PERSONAL" xfId="940" xr:uid="{00000000-0005-0000-0000-000021040000}"/>
    <cellStyle name="_KT (2)_3_TG-TH_PERSONAL 2" xfId="941" xr:uid="{00000000-0005-0000-0000-000022040000}"/>
    <cellStyle name="_KT (2)_3_TG-TH_PERSONAL_2---DATA_SAIN GOBAIN (THEP)_Option 1-British Standard" xfId="942" xr:uid="{00000000-0005-0000-0000-000023040000}"/>
    <cellStyle name="_KT (2)_3_TG-TH_PERSONAL_BCT - KITYCOTTAGE SS 1''x1'' ANGLE 22-00PET-026" xfId="943" xr:uid="{00000000-0005-0000-0000-000024040000}"/>
    <cellStyle name="_KT (2)_3_TG-TH_PERSONAL_BCT - MID FLANGE LATCH RIGHT 22-00 PET-030" xfId="944" xr:uid="{00000000-0005-0000-0000-000025040000}"/>
    <cellStyle name="_KT (2)_3_TG-TH_PERSONAL_Book1" xfId="945" xr:uid="{00000000-0005-0000-0000-000026040000}"/>
    <cellStyle name="_KT (2)_3_TG-TH_PERSONAL_Book1_1" xfId="946" xr:uid="{00000000-0005-0000-0000-000027040000}"/>
    <cellStyle name="_KT (2)_3_TG-TH_PERSONAL_Book1_2---DATA_SAIN GOBAIN (THEP)_Option 1-British Standard" xfId="947" xr:uid="{00000000-0005-0000-0000-000028040000}"/>
    <cellStyle name="_KT (2)_3_TG-TH_PERSONAL_Book1_CACKHOANKHAUTRU" xfId="948" xr:uid="{00000000-0005-0000-0000-000029040000}"/>
    <cellStyle name="_KT (2)_3_TG-TH_PERSONAL_Book1_CACKHOANKHAUTRU_2---DATA_SAIN GOBAIN (THEP)_Option 1-British Standard" xfId="949" xr:uid="{00000000-0005-0000-0000-00002A040000}"/>
    <cellStyle name="_KT (2)_3_TG-TH_PERSONAL_Book1_CV1-khoi luong va don gia" xfId="950" xr:uid="{00000000-0005-0000-0000-00002B040000}"/>
    <cellStyle name="_KT (2)_3_TG-TH_PERSONAL_Book1_CV1-khoi luong va don gia_2---DATA_SAIN GOBAIN (THEP)_Option 1-British Standard" xfId="951" xr:uid="{00000000-0005-0000-0000-00002C040000}"/>
    <cellStyle name="_KT (2)_3_TG-TH_PERSONAL_Book1_Danh sach nha cung cap ( Vendor List ) - Cap nhat 15-04-2011" xfId="952" xr:uid="{00000000-0005-0000-0000-00002D040000}"/>
    <cellStyle name="_KT (2)_3_TG-TH_PERSONAL_Book1_Du toan chi phi gia thau T12 (Dat Phuong)" xfId="953" xr:uid="{00000000-0005-0000-0000-00002E040000}"/>
    <cellStyle name="_KT (2)_3_TG-TH_PERSONAL_Book1_Du toan chi phi gia thau T12 (Dat Phuong)_2---DATA_SAIN GOBAIN (THEP)_Option 1-British Standard" xfId="954" xr:uid="{00000000-0005-0000-0000-00002F040000}"/>
    <cellStyle name="_KT (2)_3_TG-TH_PERSONAL_Book1_HD-CONGTACCHINH-THAUPHU" xfId="955" xr:uid="{00000000-0005-0000-0000-000030040000}"/>
    <cellStyle name="_KT (2)_3_TG-TH_PERSONAL_Book1_HD-CONGTACCHINH-THAUPHU_2---DATA_SAIN GOBAIN (THEP)_Option 1-British Standard" xfId="956" xr:uid="{00000000-0005-0000-0000-000031040000}"/>
    <cellStyle name="_KT (2)_3_TG-TH_PERSONAL_Book1_HOPDONG-NOIBO" xfId="957" xr:uid="{00000000-0005-0000-0000-000032040000}"/>
    <cellStyle name="_KT (2)_3_TG-TH_PERSONAL_Book1_HOPDONG-NOIBO_2---DATA_SAIN GOBAIN (THEP)_Option 1-British Standard" xfId="958" xr:uid="{00000000-0005-0000-0000-000033040000}"/>
    <cellStyle name="_KT (2)_3_TG-TH_PERSONAL_Book1_THANH TOAN-CONGTACCHINH" xfId="959" xr:uid="{00000000-0005-0000-0000-000034040000}"/>
    <cellStyle name="_KT (2)_3_TG-TH_PERSONAL_Book1_THANH TOAN-CONGTACCHINH_2---DATA_SAIN GOBAIN (THEP)_Option 1-British Standard" xfId="960" xr:uid="{00000000-0005-0000-0000-000035040000}"/>
    <cellStyle name="_KT (2)_3_TG-TH_PERSONAL_Book1_THANHTOAN" xfId="961" xr:uid="{00000000-0005-0000-0000-000036040000}"/>
    <cellStyle name="_KT (2)_3_TG-TH_PERSONAL_Book1_THANHTOAN_2---DATA_SAIN GOBAIN (THEP)_Option 1-British Standard" xfId="962" xr:uid="{00000000-0005-0000-0000-000037040000}"/>
    <cellStyle name="_KT (2)_3_TG-TH_PERSONAL_Book1_THAO DIEN PEARL  - CAP THOAT NUOC (5-9-2011)" xfId="963" xr:uid="{00000000-0005-0000-0000-000038040000}"/>
    <cellStyle name="_KT (2)_3_TG-TH_PERSONAL_BOQ-Thuan thao (Tai 07May)" xfId="964" xr:uid="{00000000-0005-0000-0000-000039040000}"/>
    <cellStyle name="_KT (2)_3_TG-TH_PERSONAL_CACKHOANKHAUTRU" xfId="965" xr:uid="{00000000-0005-0000-0000-00003A040000}"/>
    <cellStyle name="_KT (2)_3_TG-TH_PERSONAL_CACKHOANKHAUTRU_2---DATA_SAIN GOBAIN (THEP)_Option 1-British Standard" xfId="966" xr:uid="{00000000-0005-0000-0000-00003B040000}"/>
    <cellStyle name="_KT (2)_3_TG-TH_PERSONAL_CAU TAO GIA THE OCEAN VILLAS DANANG" xfId="967" xr:uid="{00000000-0005-0000-0000-00003C040000}"/>
    <cellStyle name="_KT (2)_3_TG-TH_PERSONAL_Copy of Cau tao gia Mau" xfId="968" xr:uid="{00000000-0005-0000-0000-00003D040000}"/>
    <cellStyle name="_KT (2)_3_TG-TH_PERSONAL_CV1-khoi luong va don gia" xfId="969" xr:uid="{00000000-0005-0000-0000-00003E040000}"/>
    <cellStyle name="_KT (2)_3_TG-TH_PERSONAL_CV1-khoi luong va don gia_2---DATA_SAIN GOBAIN (THEP)_Option 1-British Standard" xfId="970" xr:uid="{00000000-0005-0000-0000-00003F040000}"/>
    <cellStyle name="_KT (2)_3_TG-TH_PERSONAL_DT HT Goi 1.4 den ngay 15-5-08" xfId="972" xr:uid="{00000000-0005-0000-0000-000041040000}"/>
    <cellStyle name="_KT (2)_3_TG-TH_PERSONAL_Du toan chi phi gia thau T12 (Dat Phuong)" xfId="973" xr:uid="{00000000-0005-0000-0000-000042040000}"/>
    <cellStyle name="_KT (2)_3_TG-TH_PERSONAL_Du toan chi phi gia thau T12 (Dat Phuong)_2---DATA_SAIN GOBAIN (THEP)_Option 1-British Standard" xfId="974" xr:uid="{00000000-0005-0000-0000-000043040000}"/>
    <cellStyle name="_KT (2)_3_TG-TH_PERSONAL_ĐỊNH MỨC KHOÁN 20-00PET -059" xfId="971" xr:uid="{00000000-0005-0000-0000-000040040000}"/>
    <cellStyle name="_KT (2)_3_TG-TH_PERSONAL_HD-CONGTACCHINH-THAUPHU" xfId="975" xr:uid="{00000000-0005-0000-0000-000044040000}"/>
    <cellStyle name="_KT (2)_3_TG-TH_PERSONAL_HD-CONGTACCHINH-THAUPHU_2---DATA_SAIN GOBAIN (THEP)_Option 1-British Standard" xfId="976" xr:uid="{00000000-0005-0000-0000-000045040000}"/>
    <cellStyle name="_KT (2)_3_TG-TH_PERSONAL_HOPDONG-NOIBO" xfId="977" xr:uid="{00000000-0005-0000-0000-000046040000}"/>
    <cellStyle name="_KT (2)_3_TG-TH_PERSONAL_HOPDONG-NOIBO_2---DATA_SAIN GOBAIN (THEP)_Option 1-British Standard" xfId="978" xr:uid="{00000000-0005-0000-0000-000047040000}"/>
    <cellStyle name="_KT (2)_3_TG-TH_PERSONAL_HTQ.8 GD1" xfId="979" xr:uid="{00000000-0005-0000-0000-000048040000}"/>
    <cellStyle name="_KT (2)_3_TG-TH_PERSONAL_HTQ.8 GD1_2---DATA_SAIN GOBAIN (THEP)_Option 1-British Standard" xfId="980" xr:uid="{00000000-0005-0000-0000-000049040000}"/>
    <cellStyle name="_KT (2)_3_TG-TH_PERSONAL_l" xfId="981" xr:uid="{00000000-0005-0000-0000-00004A040000}"/>
    <cellStyle name="_KT (2)_3_TG-TH_PERSONAL_Nomenclature PHA1 M10 EJ 010 A" xfId="983" xr:uid="{00000000-0005-0000-0000-00004C040000}"/>
    <cellStyle name="_KT (2)_3_TG-TH_PERSONAL_Nha Khach Thanh Uy- Busway -LS- REV1-29-06" xfId="982" xr:uid="{00000000-0005-0000-0000-00004B040000}"/>
    <cellStyle name="_KT (2)_3_TG-TH_PERSONAL_Sheet2" xfId="984" xr:uid="{00000000-0005-0000-0000-00004D040000}"/>
    <cellStyle name="_KT (2)_3_TG-TH_PERSONAL_TAM UNG VAT TU CHINH DOT 3 (REV2)" xfId="985" xr:uid="{00000000-0005-0000-0000-00004E040000}"/>
    <cellStyle name="_KT (2)_3_TG-TH_PERSONAL_TAM UNG VAT TU CHINH DOT 3 (REV2)_2---DATA_SAIN GOBAIN (THEP)_Option 1-British Standard" xfId="986" xr:uid="{00000000-0005-0000-0000-00004F040000}"/>
    <cellStyle name="_KT (2)_3_TG-TH_PERSONAL_Tong hop KHCB 2001" xfId="992" xr:uid="{00000000-0005-0000-0000-000055040000}"/>
    <cellStyle name="_KT (2)_3_TG-TH_PERSONAL_Tong hop KHCB 2001_2---DATA_SAIN GOBAIN (THEP)_Option 1-British Standard" xfId="993" xr:uid="{00000000-0005-0000-0000-000056040000}"/>
    <cellStyle name="_KT (2)_3_TG-TH_PERSONAL_THANH TOAN-CONGTACCHINH" xfId="987" xr:uid="{00000000-0005-0000-0000-000050040000}"/>
    <cellStyle name="_KT (2)_3_TG-TH_PERSONAL_THANH TOAN-CONGTACCHINH_2---DATA_SAIN GOBAIN (THEP)_Option 1-British Standard" xfId="988" xr:uid="{00000000-0005-0000-0000-000051040000}"/>
    <cellStyle name="_KT (2)_3_TG-TH_PERSONAL_THANHTOAN" xfId="989" xr:uid="{00000000-0005-0000-0000-000052040000}"/>
    <cellStyle name="_KT (2)_3_TG-TH_PERSONAL_THANHTOAN_2---DATA_SAIN GOBAIN (THEP)_Option 1-British Standard" xfId="990" xr:uid="{00000000-0005-0000-0000-000053040000}"/>
    <cellStyle name="_KT (2)_3_TG-TH_PERSONAL_THAO DIEN PEARL  - CAP THOAT NUOC (5-9-2011)" xfId="991" xr:uid="{00000000-0005-0000-0000-000054040000}"/>
    <cellStyle name="_KT (2)_3_TG-TH_PERSONAL_Vat tu boc tach Goldola" xfId="994" xr:uid="{00000000-0005-0000-0000-000057040000}"/>
    <cellStyle name="_KT (2)_3_TG-TH_Priliminary" xfId="995" xr:uid="{00000000-0005-0000-0000-000058040000}"/>
    <cellStyle name="_KT (2)_3_TG-TH_Qt-HT3PQ1(CauKho)" xfId="996" xr:uid="{00000000-0005-0000-0000-000059040000}"/>
    <cellStyle name="_KT (2)_3_TG-TH_Qt-HT3PQ1(CauKho)_2---DATA_SAIN GOBAIN (THEP)_Option 1-British Standard" xfId="997" xr:uid="{00000000-0005-0000-0000-00005A040000}"/>
    <cellStyle name="_KT (2)_3_TG-TH_submit DHND 5%" xfId="998" xr:uid="{00000000-0005-0000-0000-00005B040000}"/>
    <cellStyle name="_KT (2)_3_TG-TH_TAM UNG VAT TU CHINH DOT 3 (REV2)" xfId="999" xr:uid="{00000000-0005-0000-0000-00005C040000}"/>
    <cellStyle name="_KT (2)_3_TG-TH_TAM UNG VAT TU CHINH DOT 3 (REV2)_2---DATA_SAIN GOBAIN (THEP)_Option 1-British Standard" xfId="1000" xr:uid="{00000000-0005-0000-0000-00005D040000}"/>
    <cellStyle name="_KT (2)_3_TG-TH_VHUONG KO GIU 2%" xfId="14486" xr:uid="{00000000-0005-0000-0000-00005E040000}"/>
    <cellStyle name="_KT (2)_3_TG-TH_VHUONG KO GIU 2%_tong hop" xfId="14487" xr:uid="{00000000-0005-0000-0000-00005F040000}"/>
    <cellStyle name="_KT (2)_4" xfId="1001" xr:uid="{00000000-0005-0000-0000-000060040000}"/>
    <cellStyle name="_KT (2)_4 10" xfId="1002" xr:uid="{00000000-0005-0000-0000-000061040000}"/>
    <cellStyle name="_KT (2)_4 100" xfId="1003" xr:uid="{00000000-0005-0000-0000-000062040000}"/>
    <cellStyle name="_KT (2)_4 101" xfId="1004" xr:uid="{00000000-0005-0000-0000-000063040000}"/>
    <cellStyle name="_KT (2)_4 102" xfId="1005" xr:uid="{00000000-0005-0000-0000-000064040000}"/>
    <cellStyle name="_KT (2)_4 103" xfId="1006" xr:uid="{00000000-0005-0000-0000-000065040000}"/>
    <cellStyle name="_KT (2)_4 104" xfId="1007" xr:uid="{00000000-0005-0000-0000-000066040000}"/>
    <cellStyle name="_KT (2)_4 105" xfId="1008" xr:uid="{00000000-0005-0000-0000-000067040000}"/>
    <cellStyle name="_KT (2)_4 106" xfId="1009" xr:uid="{00000000-0005-0000-0000-000068040000}"/>
    <cellStyle name="_KT (2)_4 107" xfId="1010" xr:uid="{00000000-0005-0000-0000-000069040000}"/>
    <cellStyle name="_KT (2)_4 108" xfId="1011" xr:uid="{00000000-0005-0000-0000-00006A040000}"/>
    <cellStyle name="_KT (2)_4 109" xfId="1012" xr:uid="{00000000-0005-0000-0000-00006B040000}"/>
    <cellStyle name="_KT (2)_4 11" xfId="1013" xr:uid="{00000000-0005-0000-0000-00006C040000}"/>
    <cellStyle name="_KT (2)_4 110" xfId="1014" xr:uid="{00000000-0005-0000-0000-00006D040000}"/>
    <cellStyle name="_KT (2)_4 111" xfId="1015" xr:uid="{00000000-0005-0000-0000-00006E040000}"/>
    <cellStyle name="_KT (2)_4 12" xfId="1016" xr:uid="{00000000-0005-0000-0000-00006F040000}"/>
    <cellStyle name="_KT (2)_4 13" xfId="1017" xr:uid="{00000000-0005-0000-0000-000070040000}"/>
    <cellStyle name="_KT (2)_4 14" xfId="1018" xr:uid="{00000000-0005-0000-0000-000071040000}"/>
    <cellStyle name="_KT (2)_4 15" xfId="1019" xr:uid="{00000000-0005-0000-0000-000072040000}"/>
    <cellStyle name="_KT (2)_4 16" xfId="1020" xr:uid="{00000000-0005-0000-0000-000073040000}"/>
    <cellStyle name="_KT (2)_4 17" xfId="1021" xr:uid="{00000000-0005-0000-0000-000074040000}"/>
    <cellStyle name="_KT (2)_4 18" xfId="1022" xr:uid="{00000000-0005-0000-0000-000075040000}"/>
    <cellStyle name="_KT (2)_4 19" xfId="1023" xr:uid="{00000000-0005-0000-0000-000076040000}"/>
    <cellStyle name="_KT (2)_4 2" xfId="1024" xr:uid="{00000000-0005-0000-0000-000077040000}"/>
    <cellStyle name="_KT (2)_4 20" xfId="1025" xr:uid="{00000000-0005-0000-0000-000078040000}"/>
    <cellStyle name="_KT (2)_4 21" xfId="1026" xr:uid="{00000000-0005-0000-0000-000079040000}"/>
    <cellStyle name="_KT (2)_4 22" xfId="1027" xr:uid="{00000000-0005-0000-0000-00007A040000}"/>
    <cellStyle name="_KT (2)_4 23" xfId="1028" xr:uid="{00000000-0005-0000-0000-00007B040000}"/>
    <cellStyle name="_KT (2)_4 24" xfId="1029" xr:uid="{00000000-0005-0000-0000-00007C040000}"/>
    <cellStyle name="_KT (2)_4 25" xfId="1030" xr:uid="{00000000-0005-0000-0000-00007D040000}"/>
    <cellStyle name="_KT (2)_4 26" xfId="1031" xr:uid="{00000000-0005-0000-0000-00007E040000}"/>
    <cellStyle name="_KT (2)_4 27" xfId="1032" xr:uid="{00000000-0005-0000-0000-00007F040000}"/>
    <cellStyle name="_KT (2)_4 28" xfId="1033" xr:uid="{00000000-0005-0000-0000-000080040000}"/>
    <cellStyle name="_KT (2)_4 29" xfId="1034" xr:uid="{00000000-0005-0000-0000-000081040000}"/>
    <cellStyle name="_KT (2)_4 3" xfId="1035" xr:uid="{00000000-0005-0000-0000-000082040000}"/>
    <cellStyle name="_KT (2)_4 30" xfId="1036" xr:uid="{00000000-0005-0000-0000-000083040000}"/>
    <cellStyle name="_KT (2)_4 31" xfId="1037" xr:uid="{00000000-0005-0000-0000-000084040000}"/>
    <cellStyle name="_KT (2)_4 32" xfId="1038" xr:uid="{00000000-0005-0000-0000-000085040000}"/>
    <cellStyle name="_KT (2)_4 33" xfId="1039" xr:uid="{00000000-0005-0000-0000-000086040000}"/>
    <cellStyle name="_KT (2)_4 34" xfId="1040" xr:uid="{00000000-0005-0000-0000-000087040000}"/>
    <cellStyle name="_KT (2)_4 35" xfId="1041" xr:uid="{00000000-0005-0000-0000-000088040000}"/>
    <cellStyle name="_KT (2)_4 36" xfId="1042" xr:uid="{00000000-0005-0000-0000-000089040000}"/>
    <cellStyle name="_KT (2)_4 37" xfId="1043" xr:uid="{00000000-0005-0000-0000-00008A040000}"/>
    <cellStyle name="_KT (2)_4 38" xfId="1044" xr:uid="{00000000-0005-0000-0000-00008B040000}"/>
    <cellStyle name="_KT (2)_4 39" xfId="1045" xr:uid="{00000000-0005-0000-0000-00008C040000}"/>
    <cellStyle name="_KT (2)_4 4" xfId="1046" xr:uid="{00000000-0005-0000-0000-00008D040000}"/>
    <cellStyle name="_KT (2)_4 40" xfId="1047" xr:uid="{00000000-0005-0000-0000-00008E040000}"/>
    <cellStyle name="_KT (2)_4 41" xfId="1048" xr:uid="{00000000-0005-0000-0000-00008F040000}"/>
    <cellStyle name="_KT (2)_4 42" xfId="1049" xr:uid="{00000000-0005-0000-0000-000090040000}"/>
    <cellStyle name="_KT (2)_4 43" xfId="1050" xr:uid="{00000000-0005-0000-0000-000091040000}"/>
    <cellStyle name="_KT (2)_4 44" xfId="1051" xr:uid="{00000000-0005-0000-0000-000092040000}"/>
    <cellStyle name="_KT (2)_4 45" xfId="1052" xr:uid="{00000000-0005-0000-0000-000093040000}"/>
    <cellStyle name="_KT (2)_4 46" xfId="1053" xr:uid="{00000000-0005-0000-0000-000094040000}"/>
    <cellStyle name="_KT (2)_4 47" xfId="1054" xr:uid="{00000000-0005-0000-0000-000095040000}"/>
    <cellStyle name="_KT (2)_4 48" xfId="1055" xr:uid="{00000000-0005-0000-0000-000096040000}"/>
    <cellStyle name="_KT (2)_4 49" xfId="1056" xr:uid="{00000000-0005-0000-0000-000097040000}"/>
    <cellStyle name="_KT (2)_4 5" xfId="1057" xr:uid="{00000000-0005-0000-0000-000098040000}"/>
    <cellStyle name="_KT (2)_4 50" xfId="1058" xr:uid="{00000000-0005-0000-0000-000099040000}"/>
    <cellStyle name="_KT (2)_4 51" xfId="1059" xr:uid="{00000000-0005-0000-0000-00009A040000}"/>
    <cellStyle name="_KT (2)_4 52" xfId="1060" xr:uid="{00000000-0005-0000-0000-00009B040000}"/>
    <cellStyle name="_KT (2)_4 53" xfId="1061" xr:uid="{00000000-0005-0000-0000-00009C040000}"/>
    <cellStyle name="_KT (2)_4 54" xfId="1062" xr:uid="{00000000-0005-0000-0000-00009D040000}"/>
    <cellStyle name="_KT (2)_4 55" xfId="1063" xr:uid="{00000000-0005-0000-0000-00009E040000}"/>
    <cellStyle name="_KT (2)_4 56" xfId="1064" xr:uid="{00000000-0005-0000-0000-00009F040000}"/>
    <cellStyle name="_KT (2)_4 57" xfId="1065" xr:uid="{00000000-0005-0000-0000-0000A0040000}"/>
    <cellStyle name="_KT (2)_4 58" xfId="1066" xr:uid="{00000000-0005-0000-0000-0000A1040000}"/>
    <cellStyle name="_KT (2)_4 59" xfId="1067" xr:uid="{00000000-0005-0000-0000-0000A2040000}"/>
    <cellStyle name="_KT (2)_4 6" xfId="1068" xr:uid="{00000000-0005-0000-0000-0000A3040000}"/>
    <cellStyle name="_KT (2)_4 60" xfId="1069" xr:uid="{00000000-0005-0000-0000-0000A4040000}"/>
    <cellStyle name="_KT (2)_4 61" xfId="1070" xr:uid="{00000000-0005-0000-0000-0000A5040000}"/>
    <cellStyle name="_KT (2)_4 62" xfId="1071" xr:uid="{00000000-0005-0000-0000-0000A6040000}"/>
    <cellStyle name="_KT (2)_4 63" xfId="1072" xr:uid="{00000000-0005-0000-0000-0000A7040000}"/>
    <cellStyle name="_KT (2)_4 64" xfId="1073" xr:uid="{00000000-0005-0000-0000-0000A8040000}"/>
    <cellStyle name="_KT (2)_4 65" xfId="1074" xr:uid="{00000000-0005-0000-0000-0000A9040000}"/>
    <cellStyle name="_KT (2)_4 66" xfId="1075" xr:uid="{00000000-0005-0000-0000-0000AA040000}"/>
    <cellStyle name="_KT (2)_4 67" xfId="1076" xr:uid="{00000000-0005-0000-0000-0000AB040000}"/>
    <cellStyle name="_KT (2)_4 68" xfId="1077" xr:uid="{00000000-0005-0000-0000-0000AC040000}"/>
    <cellStyle name="_KT (2)_4 69" xfId="1078" xr:uid="{00000000-0005-0000-0000-0000AD040000}"/>
    <cellStyle name="_KT (2)_4 7" xfId="1079" xr:uid="{00000000-0005-0000-0000-0000AE040000}"/>
    <cellStyle name="_KT (2)_4 70" xfId="1080" xr:uid="{00000000-0005-0000-0000-0000AF040000}"/>
    <cellStyle name="_KT (2)_4 71" xfId="1081" xr:uid="{00000000-0005-0000-0000-0000B0040000}"/>
    <cellStyle name="_KT (2)_4 72" xfId="1082" xr:uid="{00000000-0005-0000-0000-0000B1040000}"/>
    <cellStyle name="_KT (2)_4 73" xfId="1083" xr:uid="{00000000-0005-0000-0000-0000B2040000}"/>
    <cellStyle name="_KT (2)_4 74" xfId="1084" xr:uid="{00000000-0005-0000-0000-0000B3040000}"/>
    <cellStyle name="_KT (2)_4 75" xfId="1085" xr:uid="{00000000-0005-0000-0000-0000B4040000}"/>
    <cellStyle name="_KT (2)_4 76" xfId="1086" xr:uid="{00000000-0005-0000-0000-0000B5040000}"/>
    <cellStyle name="_KT (2)_4 77" xfId="1087" xr:uid="{00000000-0005-0000-0000-0000B6040000}"/>
    <cellStyle name="_KT (2)_4 78" xfId="1088" xr:uid="{00000000-0005-0000-0000-0000B7040000}"/>
    <cellStyle name="_KT (2)_4 79" xfId="1089" xr:uid="{00000000-0005-0000-0000-0000B8040000}"/>
    <cellStyle name="_KT (2)_4 8" xfId="1090" xr:uid="{00000000-0005-0000-0000-0000B9040000}"/>
    <cellStyle name="_KT (2)_4 80" xfId="1091" xr:uid="{00000000-0005-0000-0000-0000BA040000}"/>
    <cellStyle name="_KT (2)_4 81" xfId="1092" xr:uid="{00000000-0005-0000-0000-0000BB040000}"/>
    <cellStyle name="_KT (2)_4 82" xfId="1093" xr:uid="{00000000-0005-0000-0000-0000BC040000}"/>
    <cellStyle name="_KT (2)_4 83" xfId="1094" xr:uid="{00000000-0005-0000-0000-0000BD040000}"/>
    <cellStyle name="_KT (2)_4 84" xfId="1095" xr:uid="{00000000-0005-0000-0000-0000BE040000}"/>
    <cellStyle name="_KT (2)_4 85" xfId="1096" xr:uid="{00000000-0005-0000-0000-0000BF040000}"/>
    <cellStyle name="_KT (2)_4 86" xfId="1097" xr:uid="{00000000-0005-0000-0000-0000C0040000}"/>
    <cellStyle name="_KT (2)_4 87" xfId="1098" xr:uid="{00000000-0005-0000-0000-0000C1040000}"/>
    <cellStyle name="_KT (2)_4 88" xfId="1099" xr:uid="{00000000-0005-0000-0000-0000C2040000}"/>
    <cellStyle name="_KT (2)_4 89" xfId="1100" xr:uid="{00000000-0005-0000-0000-0000C3040000}"/>
    <cellStyle name="_KT (2)_4 9" xfId="1101" xr:uid="{00000000-0005-0000-0000-0000C4040000}"/>
    <cellStyle name="_KT (2)_4 90" xfId="1102" xr:uid="{00000000-0005-0000-0000-0000C5040000}"/>
    <cellStyle name="_KT (2)_4 91" xfId="1103" xr:uid="{00000000-0005-0000-0000-0000C6040000}"/>
    <cellStyle name="_KT (2)_4 92" xfId="1104" xr:uid="{00000000-0005-0000-0000-0000C7040000}"/>
    <cellStyle name="_KT (2)_4 93" xfId="1105" xr:uid="{00000000-0005-0000-0000-0000C8040000}"/>
    <cellStyle name="_KT (2)_4 94" xfId="1106" xr:uid="{00000000-0005-0000-0000-0000C9040000}"/>
    <cellStyle name="_KT (2)_4 95" xfId="1107" xr:uid="{00000000-0005-0000-0000-0000CA040000}"/>
    <cellStyle name="_KT (2)_4 96" xfId="1108" xr:uid="{00000000-0005-0000-0000-0000CB040000}"/>
    <cellStyle name="_KT (2)_4 97" xfId="1109" xr:uid="{00000000-0005-0000-0000-0000CC040000}"/>
    <cellStyle name="_KT (2)_4 98" xfId="1110" xr:uid="{00000000-0005-0000-0000-0000CD040000}"/>
    <cellStyle name="_KT (2)_4 99" xfId="1111" xr:uid="{00000000-0005-0000-0000-0000CE040000}"/>
    <cellStyle name="_KT (2)_4_04- Bang bieu khoi luong 20110531(2)" xfId="1112" xr:uid="{00000000-0005-0000-0000-0000CF040000}"/>
    <cellStyle name="_KT (2)_4_04-Bang bieu khoi luong 20110703(kiet)" xfId="1113" xr:uid="{00000000-0005-0000-0000-0000D0040000}"/>
    <cellStyle name="_KT (2)_4_20110627-TDP-MEP BOQ-R2" xfId="1114" xr:uid="{00000000-0005-0000-0000-0000D1040000}"/>
    <cellStyle name="_KT (2)_4_2---DATA_SAIN GOBAIN (THEP)_Option 1-British Standard" xfId="1115" xr:uid="{00000000-0005-0000-0000-0000D2040000}"/>
    <cellStyle name="_KT (2)_4_44611-MEP Estimate cost" xfId="1116" xr:uid="{00000000-0005-0000-0000-0000D3040000}"/>
    <cellStyle name="_KT (2)_4_BAO CAO KLCT PT2000" xfId="1117" xr:uid="{00000000-0005-0000-0000-0000D4040000}"/>
    <cellStyle name="_KT (2)_4_BAO CAO KLCT PT2000_2---DATA_SAIN GOBAIN (THEP)_Option 1-British Standard" xfId="1118" xr:uid="{00000000-0005-0000-0000-0000D5040000}"/>
    <cellStyle name="_KT (2)_4_BAO CAO PT2000" xfId="1119" xr:uid="{00000000-0005-0000-0000-0000D6040000}"/>
    <cellStyle name="_KT (2)_4_BAO CAO PT2000_2---DATA_SAIN GOBAIN (THEP)_Option 1-British Standard" xfId="1120" xr:uid="{00000000-0005-0000-0000-0000D7040000}"/>
    <cellStyle name="_KT (2)_4_BAO CAO PT2000_Book1" xfId="1121" xr:uid="{00000000-0005-0000-0000-0000D8040000}"/>
    <cellStyle name="_KT (2)_4_BAO CAO PT2000_Book1_2---DATA_SAIN GOBAIN (THEP)_Option 1-British Standard" xfId="1122" xr:uid="{00000000-0005-0000-0000-0000D9040000}"/>
    <cellStyle name="_KT (2)_4_Bao cao XDCB 2001 - T11 KH dieu chinh 20-11-THAI" xfId="1123" xr:uid="{00000000-0005-0000-0000-0000DA040000}"/>
    <cellStyle name="_KT (2)_4_Bao cao XDCB 2001 - T11 KH dieu chinh 20-11-THAI_2---DATA_SAIN GOBAIN (THEP)_Option 1-British Standard" xfId="1124" xr:uid="{00000000-0005-0000-0000-0000DB040000}"/>
    <cellStyle name="_KT (2)_4_BCT - KITYCOTTAGE SS 1''x1'' ANGLE 22-00PET-026" xfId="1125" xr:uid="{00000000-0005-0000-0000-0000DC040000}"/>
    <cellStyle name="_KT (2)_4_BCT - MID FLANGE LATCH RIGHT 22-00 PET-030" xfId="1126" xr:uid="{00000000-0005-0000-0000-0000DD040000}"/>
    <cellStyle name="_KT (2)_4_Book1" xfId="1127" xr:uid="{00000000-0005-0000-0000-0000DE040000}"/>
    <cellStyle name="_KT (2)_4_Book1 2" xfId="1128" xr:uid="{00000000-0005-0000-0000-0000DF040000}"/>
    <cellStyle name="_KT (2)_4_Book1_1" xfId="1129" xr:uid="{00000000-0005-0000-0000-0000E0040000}"/>
    <cellStyle name="_KT (2)_4_Book1_1 2" xfId="1130" xr:uid="{00000000-0005-0000-0000-0000E1040000}"/>
    <cellStyle name="_KT (2)_4_Book1_1_2---DATA_SAIN GOBAIN (THEP)_Option 1-British Standard" xfId="1131" xr:uid="{00000000-0005-0000-0000-0000E2040000}"/>
    <cellStyle name="_KT (2)_4_Book1_1_BCT - KITYCOTTAGE SS 1''x1'' ANGLE 22-00PET-026" xfId="1132" xr:uid="{00000000-0005-0000-0000-0000E3040000}"/>
    <cellStyle name="_KT (2)_4_Book1_1_Bill of quantity - cables tray FA - Paragon detail from Tai 011-07-2011" xfId="1133" xr:uid="{00000000-0005-0000-0000-0000E4040000}"/>
    <cellStyle name="_KT (2)_4_Book1_1_Book1" xfId="1134" xr:uid="{00000000-0005-0000-0000-0000E5040000}"/>
    <cellStyle name="_KT (2)_4_Book1_1_Book1_2---DATA_SAIN GOBAIN (THEP)_Option 1-British Standard" xfId="1135" xr:uid="{00000000-0005-0000-0000-0000E6040000}"/>
    <cellStyle name="_KT (2)_4_Book1_1_Book1_THAO DIEN PEARL  - CAP THOAT NUOC (5-9-2011)" xfId="1136" xr:uid="{00000000-0005-0000-0000-0000E7040000}"/>
    <cellStyle name="_KT (2)_4_Book1_1_CACKHOANKHAUTRU" xfId="1137" xr:uid="{00000000-0005-0000-0000-0000E8040000}"/>
    <cellStyle name="_KT (2)_4_Book1_1_CACKHOANKHAUTRU_2---DATA_SAIN GOBAIN (THEP)_Option 1-British Standard" xfId="1138" xr:uid="{00000000-0005-0000-0000-0000E9040000}"/>
    <cellStyle name="_KT (2)_4_Book1_1_Cong tac chuan bi Cao su" xfId="1139" xr:uid="{00000000-0005-0000-0000-0000EA040000}"/>
    <cellStyle name="_KT (2)_4_Book1_1_CTC - BoQ Agrex Building" xfId="1140" xr:uid="{00000000-0005-0000-0000-0000EB040000}"/>
    <cellStyle name="_KT (2)_4_Book1_1_Danh sach nha cung cap ( Vendor List ) - Cap nhat 15-04-2011" xfId="1141" xr:uid="{00000000-0005-0000-0000-0000EC040000}"/>
    <cellStyle name="_KT (2)_4_Book1_1_KLTT-PHUCHUNG" xfId="1142" xr:uid="{00000000-0005-0000-0000-0000ED040000}"/>
    <cellStyle name="_KT (2)_4_Book1_1_KLTT-PHUCHUNG_2---DATA_SAIN GOBAIN (THEP)_Option 1-British Standard" xfId="1143" xr:uid="{00000000-0005-0000-0000-0000EE040000}"/>
    <cellStyle name="_KT (2)_4_Book1_1_l" xfId="1144" xr:uid="{00000000-0005-0000-0000-0000EF040000}"/>
    <cellStyle name="_KT (2)_4_Book1_1_Nha Khach Thanh Uy- Busway -LS- REV1-29-06" xfId="1145" xr:uid="{00000000-0005-0000-0000-0000F0040000}"/>
    <cellStyle name="_KT (2)_4_Book1_1_Thanh toan (Du an Ca Mau)" xfId="1146" xr:uid="{00000000-0005-0000-0000-0000F1040000}"/>
    <cellStyle name="_KT (2)_4_Book1_1_Thanh toan (Du an Ca Mau)_2---DATA_SAIN GOBAIN (THEP)_Option 1-British Standard" xfId="1147" xr:uid="{00000000-0005-0000-0000-0000F2040000}"/>
    <cellStyle name="_KT (2)_4_Book1_1_THANHTOAN" xfId="1148" xr:uid="{00000000-0005-0000-0000-0000F3040000}"/>
    <cellStyle name="_KT (2)_4_Book1_1_THANHTOAN A-B" xfId="1149" xr:uid="{00000000-0005-0000-0000-0000F4040000}"/>
    <cellStyle name="_KT (2)_4_Book1_1_THANHTOAN A-B_2---DATA_SAIN GOBAIN (THEP)_Option 1-British Standard" xfId="1150" xr:uid="{00000000-0005-0000-0000-0000F5040000}"/>
    <cellStyle name="_KT (2)_4_Book1_1_THANHTOAN_2---DATA_SAIN GOBAIN (THEP)_Option 1-British Standard" xfId="1151" xr:uid="{00000000-0005-0000-0000-0000F6040000}"/>
    <cellStyle name="_KT (2)_4_Book1_1_THAO DIEN PEARL  - CAP THOAT NUOC (5-9-2011)" xfId="1152" xr:uid="{00000000-0005-0000-0000-0000F7040000}"/>
    <cellStyle name="_KT (2)_4_Book1_2" xfId="1153" xr:uid="{00000000-0005-0000-0000-0000F8040000}"/>
    <cellStyle name="_KT (2)_4_Book1_2 2" xfId="1154" xr:uid="{00000000-0005-0000-0000-0000F9040000}"/>
    <cellStyle name="_KT (2)_4_Book1_2_2---DATA_SAIN GOBAIN (THEP)_Option 1-British Standard" xfId="1155" xr:uid="{00000000-0005-0000-0000-0000FA040000}"/>
    <cellStyle name="_KT (2)_4_Book1_2_Bill of quantity - cables tray FA - Paragon detail from Tai 011-07-2011" xfId="1156" xr:uid="{00000000-0005-0000-0000-0000FB040000}"/>
    <cellStyle name="_KT (2)_4_Book1_2_Book1" xfId="1157" xr:uid="{00000000-0005-0000-0000-0000FC040000}"/>
    <cellStyle name="_KT (2)_4_Book1_2_Book1_2---DATA_SAIN GOBAIN (THEP)_Option 1-British Standard" xfId="1158" xr:uid="{00000000-0005-0000-0000-0000FD040000}"/>
    <cellStyle name="_KT (2)_4_Book1_2_CACKHOANKHAUTRU" xfId="1159" xr:uid="{00000000-0005-0000-0000-0000FE040000}"/>
    <cellStyle name="_KT (2)_4_Book1_2_CACKHOANKHAUTRU_2---DATA_SAIN GOBAIN (THEP)_Option 1-British Standard" xfId="1160" xr:uid="{00000000-0005-0000-0000-0000FF040000}"/>
    <cellStyle name="_KT (2)_4_Book1_2_Cong tac chuan bi Cao su" xfId="1161" xr:uid="{00000000-0005-0000-0000-000000050000}"/>
    <cellStyle name="_KT (2)_4_Book1_2_Danh sach nha cung cap ( Vendor List ) - Cap nhat 15-04-2011" xfId="1162" xr:uid="{00000000-0005-0000-0000-000001050000}"/>
    <cellStyle name="_KT (2)_4_Book1_2_KLTT-PHUCHUNG" xfId="1163" xr:uid="{00000000-0005-0000-0000-000002050000}"/>
    <cellStyle name="_KT (2)_4_Book1_2_KLTT-PHUCHUNG_2---DATA_SAIN GOBAIN (THEP)_Option 1-British Standard" xfId="1164" xr:uid="{00000000-0005-0000-0000-000003050000}"/>
    <cellStyle name="_KT (2)_4_Book1_2_l" xfId="1165" xr:uid="{00000000-0005-0000-0000-000004050000}"/>
    <cellStyle name="_KT (2)_4_Book1_2_Nha Khach Thanh Uy- Busway -LS- REV1-29-06" xfId="1166" xr:uid="{00000000-0005-0000-0000-000005050000}"/>
    <cellStyle name="_KT (2)_4_Book1_2_Thanh toan (Du an Ca Mau)" xfId="1167" xr:uid="{00000000-0005-0000-0000-000006050000}"/>
    <cellStyle name="_KT (2)_4_Book1_2_Thanh toan (Du an Ca Mau)_2---DATA_SAIN GOBAIN (THEP)_Option 1-British Standard" xfId="1168" xr:uid="{00000000-0005-0000-0000-000007050000}"/>
    <cellStyle name="_KT (2)_4_Book1_2_THANHTOAN" xfId="1169" xr:uid="{00000000-0005-0000-0000-000008050000}"/>
    <cellStyle name="_KT (2)_4_Book1_2_THANHTOAN A-B" xfId="1170" xr:uid="{00000000-0005-0000-0000-000009050000}"/>
    <cellStyle name="_KT (2)_4_Book1_2_THANHTOAN A-B_2---DATA_SAIN GOBAIN (THEP)_Option 1-British Standard" xfId="1171" xr:uid="{00000000-0005-0000-0000-00000A050000}"/>
    <cellStyle name="_KT (2)_4_Book1_2_THANHTOAN_2---DATA_SAIN GOBAIN (THEP)_Option 1-British Standard" xfId="1172" xr:uid="{00000000-0005-0000-0000-00000B050000}"/>
    <cellStyle name="_KT (2)_4_Book1_2_THAO DIEN PEARL  - CAP THOAT NUOC (5-9-2011)" xfId="1173" xr:uid="{00000000-0005-0000-0000-00000C050000}"/>
    <cellStyle name="_KT (2)_4_Book1_2---DATA_SAIN GOBAIN (THEP)_Option 1-British Standard" xfId="1174" xr:uid="{00000000-0005-0000-0000-00000D050000}"/>
    <cellStyle name="_KT (2)_4_Book1_3" xfId="1175" xr:uid="{00000000-0005-0000-0000-00000E050000}"/>
    <cellStyle name="_KT (2)_4_Book1_3_2---DATA_SAIN GOBAIN (THEP)_Option 1-British Standard" xfId="1176" xr:uid="{00000000-0005-0000-0000-00000F050000}"/>
    <cellStyle name="_KT (2)_4_Book1_3_Book1" xfId="1177" xr:uid="{00000000-0005-0000-0000-000010050000}"/>
    <cellStyle name="_KT (2)_4_Book1_3_Book1_2---DATA_SAIN GOBAIN (THEP)_Option 1-British Standard" xfId="1178" xr:uid="{00000000-0005-0000-0000-000011050000}"/>
    <cellStyle name="_KT (2)_4_Book1_3_CACKHOANKHAUTRU" xfId="1179" xr:uid="{00000000-0005-0000-0000-000012050000}"/>
    <cellStyle name="_KT (2)_4_Book1_3_CACKHOANKHAUTRU_2---DATA_SAIN GOBAIN (THEP)_Option 1-British Standard" xfId="1180" xr:uid="{00000000-0005-0000-0000-000013050000}"/>
    <cellStyle name="_KT (2)_4_Book1_3_KLTT-PHUCHUNG" xfId="1181" xr:uid="{00000000-0005-0000-0000-000014050000}"/>
    <cellStyle name="_KT (2)_4_Book1_3_KLTT-PHUCHUNG_2---DATA_SAIN GOBAIN (THEP)_Option 1-British Standard" xfId="1182" xr:uid="{00000000-0005-0000-0000-000015050000}"/>
    <cellStyle name="_KT (2)_4_Book1_3_Thanh toan (Du an Ca Mau)" xfId="1183" xr:uid="{00000000-0005-0000-0000-000016050000}"/>
    <cellStyle name="_KT (2)_4_Book1_3_Thanh toan (Du an Ca Mau)_2---DATA_SAIN GOBAIN (THEP)_Option 1-British Standard" xfId="1184" xr:uid="{00000000-0005-0000-0000-000017050000}"/>
    <cellStyle name="_KT (2)_4_Book1_3_THANHTOAN" xfId="1185" xr:uid="{00000000-0005-0000-0000-000018050000}"/>
    <cellStyle name="_KT (2)_4_Book1_3_THANHTOAN A-B" xfId="1186" xr:uid="{00000000-0005-0000-0000-000019050000}"/>
    <cellStyle name="_KT (2)_4_Book1_3_THANHTOAN A-B_2---DATA_SAIN GOBAIN (THEP)_Option 1-British Standard" xfId="1187" xr:uid="{00000000-0005-0000-0000-00001A050000}"/>
    <cellStyle name="_KT (2)_4_Book1_3_THANHTOAN_2---DATA_SAIN GOBAIN (THEP)_Option 1-British Standard" xfId="1188" xr:uid="{00000000-0005-0000-0000-00001B050000}"/>
    <cellStyle name="_KT (2)_4_Book1_4" xfId="1189" xr:uid="{00000000-0005-0000-0000-00001C050000}"/>
    <cellStyle name="_KT (2)_4_Book1_4_2---DATA_SAIN GOBAIN (THEP)_Option 1-British Standard" xfId="1190" xr:uid="{00000000-0005-0000-0000-00001D050000}"/>
    <cellStyle name="_KT (2)_4_Book1_4_CACKHOANKHAUTRU" xfId="1191" xr:uid="{00000000-0005-0000-0000-00001E050000}"/>
    <cellStyle name="_KT (2)_4_Book1_4_CACKHOANKHAUTRU_2---DATA_SAIN GOBAIN (THEP)_Option 1-British Standard" xfId="1192" xr:uid="{00000000-0005-0000-0000-00001F050000}"/>
    <cellStyle name="_KT (2)_4_Book1_4_KLTT-PHUCHUNG" xfId="1193" xr:uid="{00000000-0005-0000-0000-000020050000}"/>
    <cellStyle name="_KT (2)_4_Book1_4_KLTT-PHUCHUNG_2---DATA_SAIN GOBAIN (THEP)_Option 1-British Standard" xfId="1194" xr:uid="{00000000-0005-0000-0000-000021050000}"/>
    <cellStyle name="_KT (2)_4_Book1_4_Thanh toan (Du an Ca Mau)" xfId="1195" xr:uid="{00000000-0005-0000-0000-000022050000}"/>
    <cellStyle name="_KT (2)_4_Book1_4_Thanh toan (Du an Ca Mau)_2---DATA_SAIN GOBAIN (THEP)_Option 1-British Standard" xfId="1196" xr:uid="{00000000-0005-0000-0000-000023050000}"/>
    <cellStyle name="_KT (2)_4_Book1_4_THANHTOAN" xfId="1197" xr:uid="{00000000-0005-0000-0000-000024050000}"/>
    <cellStyle name="_KT (2)_4_Book1_4_THANHTOAN A-B" xfId="1198" xr:uid="{00000000-0005-0000-0000-000025050000}"/>
    <cellStyle name="_KT (2)_4_Book1_4_THANHTOAN A-B_2---DATA_SAIN GOBAIN (THEP)_Option 1-British Standard" xfId="1199" xr:uid="{00000000-0005-0000-0000-000026050000}"/>
    <cellStyle name="_KT (2)_4_Book1_4_THANHTOAN_2---DATA_SAIN GOBAIN (THEP)_Option 1-British Standard" xfId="1200" xr:uid="{00000000-0005-0000-0000-000027050000}"/>
    <cellStyle name="_KT (2)_4_Book1_Book1" xfId="1201" xr:uid="{00000000-0005-0000-0000-000028050000}"/>
    <cellStyle name="_KT (2)_4_Book1_Book1_2---DATA_SAIN GOBAIN (THEP)_Option 1-British Standard" xfId="1202" xr:uid="{00000000-0005-0000-0000-000029050000}"/>
    <cellStyle name="_KT (2)_4_Book1_Book1_Book1" xfId="1203" xr:uid="{00000000-0005-0000-0000-00002A050000}"/>
    <cellStyle name="_KT (2)_4_Book1_Book1_Book1_2---DATA_SAIN GOBAIN (THEP)_Option 1-British Standard" xfId="1204" xr:uid="{00000000-0005-0000-0000-00002B050000}"/>
    <cellStyle name="_KT (2)_4_Book1_Book1_CACKHOANKHAUTRU" xfId="1205" xr:uid="{00000000-0005-0000-0000-00002C050000}"/>
    <cellStyle name="_KT (2)_4_Book1_Book1_CACKHOANKHAUTRU_2---DATA_SAIN GOBAIN (THEP)_Option 1-British Standard" xfId="1206" xr:uid="{00000000-0005-0000-0000-00002D050000}"/>
    <cellStyle name="_KT (2)_4_Book1_Book1_KLTT-PHUCHUNG" xfId="1207" xr:uid="{00000000-0005-0000-0000-00002E050000}"/>
    <cellStyle name="_KT (2)_4_Book1_Book1_KLTT-PHUCHUNG_2---DATA_SAIN GOBAIN (THEP)_Option 1-British Standard" xfId="1208" xr:uid="{00000000-0005-0000-0000-00002F050000}"/>
    <cellStyle name="_KT (2)_4_Book1_Book1_Thanh toan (Du an Ca Mau)" xfId="1209" xr:uid="{00000000-0005-0000-0000-000030050000}"/>
    <cellStyle name="_KT (2)_4_Book1_Book1_Thanh toan (Du an Ca Mau)_2---DATA_SAIN GOBAIN (THEP)_Option 1-British Standard" xfId="1210" xr:uid="{00000000-0005-0000-0000-000031050000}"/>
    <cellStyle name="_KT (2)_4_Book1_Book1_THANHTOAN" xfId="1211" xr:uid="{00000000-0005-0000-0000-000032050000}"/>
    <cellStyle name="_KT (2)_4_Book1_Book1_THANHTOAN A-B" xfId="1212" xr:uid="{00000000-0005-0000-0000-000033050000}"/>
    <cellStyle name="_KT (2)_4_Book1_Book1_THANHTOAN A-B_2---DATA_SAIN GOBAIN (THEP)_Option 1-British Standard" xfId="1213" xr:uid="{00000000-0005-0000-0000-000034050000}"/>
    <cellStyle name="_KT (2)_4_Book1_Book1_THANHTOAN_2---DATA_SAIN GOBAIN (THEP)_Option 1-British Standard" xfId="1214" xr:uid="{00000000-0005-0000-0000-000035050000}"/>
    <cellStyle name="_KT (2)_4_Book1_Book1_THAO DIEN PEARL  - CAP THOAT NUOC (5-9-2011)" xfId="1215" xr:uid="{00000000-0005-0000-0000-000036050000}"/>
    <cellStyle name="_KT (2)_4_Book1_Book2" xfId="1216" xr:uid="{00000000-0005-0000-0000-000037050000}"/>
    <cellStyle name="_KT (2)_4_Book1_BOQ-Thuan thao (Tai 07May)" xfId="1217" xr:uid="{00000000-0005-0000-0000-000038050000}"/>
    <cellStyle name="_KT (2)_4_Book1_CACKHOANKHAUTRU" xfId="1218" xr:uid="{00000000-0005-0000-0000-000039050000}"/>
    <cellStyle name="_KT (2)_4_Book1_CACKHOANKHAUTRU_2---DATA_SAIN GOBAIN (THEP)_Option 1-British Standard" xfId="1219" xr:uid="{00000000-0005-0000-0000-00003A050000}"/>
    <cellStyle name="_KT (2)_4_Book1_Cau tao gia Arico T2-2009" xfId="1220" xr:uid="{00000000-0005-0000-0000-00003B050000}"/>
    <cellStyle name="_KT (2)_4_Book1_Cau tao gia Nop thau" xfId="1221" xr:uid="{00000000-0005-0000-0000-00003C050000}"/>
    <cellStyle name="_KT (2)_4_Book1_Cau tao gia phan Tho (ham + Than) 15-9-08" xfId="1222" xr:uid="{00000000-0005-0000-0000-00003D050000}"/>
    <cellStyle name="_KT (2)_4_Book1_Cau tao gia tong hop Mau" xfId="1224" xr:uid="{00000000-0005-0000-0000-00003F050000}"/>
    <cellStyle name="_KT (2)_4_Book1_CAU TAO GIA THE OCEAN VILLAS DANANG" xfId="1223" xr:uid="{00000000-0005-0000-0000-00003E050000}"/>
    <cellStyle name="_KT (2)_4_Book1_Cau tao gia VT-NC Mau" xfId="1225" xr:uid="{00000000-0005-0000-0000-000040050000}"/>
    <cellStyle name="_KT (2)_4_Book1_cong tac chuan bi Nhatrang Plaza" xfId="1226" xr:uid="{00000000-0005-0000-0000-000041050000}"/>
    <cellStyle name="_KT (2)_4_Book1_Cong tac chuan bi-Thanh" xfId="1227" xr:uid="{00000000-0005-0000-0000-000042050000}"/>
    <cellStyle name="_KT (2)_4_Book1_Copy of Cau tao gia Mau" xfId="1228" xr:uid="{00000000-0005-0000-0000-000043050000}"/>
    <cellStyle name="_KT (2)_4_Book1_CTC - BoQ Agrex Building" xfId="1229" xr:uid="{00000000-0005-0000-0000-000044050000}"/>
    <cellStyle name="_KT (2)_4_Book1_CV1-khoi luong va don gia" xfId="1230" xr:uid="{00000000-0005-0000-0000-000045050000}"/>
    <cellStyle name="_KT (2)_4_Book1_CV1-khoi luong va don gia_2---DATA_SAIN GOBAIN (THEP)_Option 1-British Standard" xfId="1231" xr:uid="{00000000-0005-0000-0000-000046050000}"/>
    <cellStyle name="_KT (2)_4_Book1_Danh sach nha cung cap ( Vendor List ) - Cap nhat 15-04-2011" xfId="1232" xr:uid="{00000000-0005-0000-0000-000047050000}"/>
    <cellStyle name="_KT (2)_4_Book1_Du toan chi phi gia thau T12 (Dat Phuong)" xfId="1233" xr:uid="{00000000-0005-0000-0000-000048050000}"/>
    <cellStyle name="_KT (2)_4_Book1_Du toan chi phi gia thau T12 (Dat Phuong)_2---DATA_SAIN GOBAIN (THEP)_Option 1-British Standard" xfId="1234" xr:uid="{00000000-0005-0000-0000-000049050000}"/>
    <cellStyle name="_KT (2)_4_Book1_HD-CONGTACCHINH-THAUPHU" xfId="1235" xr:uid="{00000000-0005-0000-0000-00004A050000}"/>
    <cellStyle name="_KT (2)_4_Book1_HD-CONGTACCHINH-THAUPHU_2---DATA_SAIN GOBAIN (THEP)_Option 1-British Standard" xfId="1236" xr:uid="{00000000-0005-0000-0000-00004B050000}"/>
    <cellStyle name="_KT (2)_4_Book1_HOPDONG-NOIBO" xfId="1237" xr:uid="{00000000-0005-0000-0000-00004C050000}"/>
    <cellStyle name="_KT (2)_4_Book1_HOPDONG-NOIBO_2---DATA_SAIN GOBAIN (THEP)_Option 1-British Standard" xfId="1238" xr:uid="{00000000-0005-0000-0000-00004D050000}"/>
    <cellStyle name="_KT (2)_4_Book1_l" xfId="1239" xr:uid="{00000000-0005-0000-0000-00004E050000}"/>
    <cellStyle name="_KT (2)_4_Book1_M_E Services _ Education" xfId="1240" xr:uid="{00000000-0005-0000-0000-00004F050000}"/>
    <cellStyle name="_KT (2)_4_Book1_M_E Services _ Education_1" xfId="1241" xr:uid="{00000000-0005-0000-0000-000050050000}"/>
    <cellStyle name="_KT (2)_4_Book1_M_E Services _ Education_1_submit DHND 5%" xfId="1242" xr:uid="{00000000-0005-0000-0000-000051050000}"/>
    <cellStyle name="_KT (2)_4_Book1_M_E Services _ Education_submit DHND 5%" xfId="1243" xr:uid="{00000000-0005-0000-0000-000052050000}"/>
    <cellStyle name="_KT (2)_4_Book1_Nha Khach Thanh Uy- Busway -LS- REV1-29-06" xfId="1244" xr:uid="{00000000-0005-0000-0000-000053050000}"/>
    <cellStyle name="_KT (2)_4_Book1_Priliminary" xfId="1245" xr:uid="{00000000-0005-0000-0000-000054050000}"/>
    <cellStyle name="_KT (2)_4_Book1_submit DHND 5%" xfId="1246" xr:uid="{00000000-0005-0000-0000-000055050000}"/>
    <cellStyle name="_KT (2)_4_Book1_THANH TOAN-CONGTACCHINH" xfId="1247" xr:uid="{00000000-0005-0000-0000-000056050000}"/>
    <cellStyle name="_KT (2)_4_Book1_THANH TOAN-CONGTACCHINH_2---DATA_SAIN GOBAIN (THEP)_Option 1-British Standard" xfId="1248" xr:uid="{00000000-0005-0000-0000-000057050000}"/>
    <cellStyle name="_KT (2)_4_Book1_THANHTOAN" xfId="1249" xr:uid="{00000000-0005-0000-0000-000058050000}"/>
    <cellStyle name="_KT (2)_4_Book1_THANHTOAN_2---DATA_SAIN GOBAIN (THEP)_Option 1-British Standard" xfId="1250" xr:uid="{00000000-0005-0000-0000-000059050000}"/>
    <cellStyle name="_KT (2)_4_Book2" xfId="1251" xr:uid="{00000000-0005-0000-0000-00005A050000}"/>
    <cellStyle name="_KT (2)_4_BOQ-Thuan thao (Tai 07May)" xfId="1252" xr:uid="{00000000-0005-0000-0000-00005B050000}"/>
    <cellStyle name="_KT (2)_4_CACKHOANKHAUTRU" xfId="1253" xr:uid="{00000000-0005-0000-0000-00005C050000}"/>
    <cellStyle name="_KT (2)_4_CACKHOANKHAUTRU_2---DATA_SAIN GOBAIN (THEP)_Option 1-British Standard" xfId="1254" xr:uid="{00000000-0005-0000-0000-00005D050000}"/>
    <cellStyle name="_KT (2)_4_Cau tao gia Arico T2-2009" xfId="1255" xr:uid="{00000000-0005-0000-0000-00005E050000}"/>
    <cellStyle name="_KT (2)_4_Cau tao gia Nop thau" xfId="1256" xr:uid="{00000000-0005-0000-0000-00005F050000}"/>
    <cellStyle name="_KT (2)_4_Cau tao gia phan Tho (ham + Than) 15-9-08" xfId="1257" xr:uid="{00000000-0005-0000-0000-000060050000}"/>
    <cellStyle name="_KT (2)_4_Cau tao gia tong hop Mau" xfId="1259" xr:uid="{00000000-0005-0000-0000-000062050000}"/>
    <cellStyle name="_KT (2)_4_CAU TAO GIA THE OCEAN VILLAS DANANG" xfId="1258" xr:uid="{00000000-0005-0000-0000-000061050000}"/>
    <cellStyle name="_KT (2)_4_Cau tao gia VT-NC Mau" xfId="1260" xr:uid="{00000000-0005-0000-0000-000063050000}"/>
    <cellStyle name="_KT (2)_4_cong tac chuan bi Nhatrang Plaza" xfId="1261" xr:uid="{00000000-0005-0000-0000-000064050000}"/>
    <cellStyle name="_KT (2)_4_Cong tac chuan bi-Thanh" xfId="1262" xr:uid="{00000000-0005-0000-0000-000065050000}"/>
    <cellStyle name="_KT (2)_4_Copy of Cau tao gia Mau" xfId="1263" xr:uid="{00000000-0005-0000-0000-000066050000}"/>
    <cellStyle name="_KT (2)_4_CROWN WELL 冠威報價單20071015" xfId="1264" xr:uid="{00000000-0005-0000-0000-000067050000}"/>
    <cellStyle name="_KT (2)_4_CTC - BoQ Agrex Building" xfId="1265" xr:uid="{00000000-0005-0000-0000-000068050000}"/>
    <cellStyle name="_KT (2)_4_CV1-khoi luong va don gia" xfId="1266" xr:uid="{00000000-0005-0000-0000-000069050000}"/>
    <cellStyle name="_KT (2)_4_CV1-khoi luong va don gia_2---DATA_SAIN GOBAIN (THEP)_Option 1-British Standard" xfId="1267" xr:uid="{00000000-0005-0000-0000-00006A050000}"/>
    <cellStyle name="_KT (2)_4_Danh sach nha cung cap ( Vendor List ) - Cap nhat 15-04-2011" xfId="1268" xr:uid="{00000000-0005-0000-0000-00006B050000}"/>
    <cellStyle name="_KT (2)_4_DT kho 50x72 ,52x45m -11-5" xfId="1270" xr:uid="{00000000-0005-0000-0000-00006D050000}"/>
    <cellStyle name="_KT (2)_4_DT kho 50x72 ,52x45m ASIA NUTRITION" xfId="1271" xr:uid="{00000000-0005-0000-0000-00006E050000}"/>
    <cellStyle name="_KT (2)_4_DTCDT MR.2N110.HOCMON.TDTOAN.CCUNG" xfId="1272" xr:uid="{00000000-0005-0000-0000-00006F050000}"/>
    <cellStyle name="_KT (2)_4_DTCDT MR.2N110.HOCMON.TDTOAN.CCUNG_2---DATA_SAIN GOBAIN (THEP)_Option 1-British Standard" xfId="1273" xr:uid="{00000000-0005-0000-0000-000070050000}"/>
    <cellStyle name="_KT (2)_4_DTkho 52x70m ASIA NUTRITION" xfId="1274" xr:uid="{00000000-0005-0000-0000-000071050000}"/>
    <cellStyle name="_KT (2)_4_DTkho 52x70m ASIA NUTRITION-change-tuong bt6m" xfId="1275" xr:uid="{00000000-0005-0000-0000-000072050000}"/>
    <cellStyle name="_KT (2)_4_DTkho 52x70m ASIA NUTRITION-seno betong" xfId="1276" xr:uid="{00000000-0005-0000-0000-000073050000}"/>
    <cellStyle name="_KT (2)_4_Du toan chi phi gia thau T12 (Dat Phuong)" xfId="1277" xr:uid="{00000000-0005-0000-0000-000074050000}"/>
    <cellStyle name="_KT (2)_4_Du toan chi phi gia thau T12 (Dat Phuong)_2---DATA_SAIN GOBAIN (THEP)_Option 1-British Standard" xfId="1278" xr:uid="{00000000-0005-0000-0000-000075050000}"/>
    <cellStyle name="_KT (2)_4_ĐỊNH MỨC KHOÁN 20-00PET -059" xfId="1269" xr:uid="{00000000-0005-0000-0000-00006C050000}"/>
    <cellStyle name="_KT (2)_4_HD-CONGTACCHINH-THAUPHU" xfId="1279" xr:uid="{00000000-0005-0000-0000-000076050000}"/>
    <cellStyle name="_KT (2)_4_HD-CONGTACCHINH-THAUPHU_2---DATA_SAIN GOBAIN (THEP)_Option 1-British Standard" xfId="1280" xr:uid="{00000000-0005-0000-0000-000077050000}"/>
    <cellStyle name="_KT (2)_4_HOPDONG-NOIBO" xfId="1281" xr:uid="{00000000-0005-0000-0000-000078050000}"/>
    <cellStyle name="_KT (2)_4_HOPDONG-NOIBO_2---DATA_SAIN GOBAIN (THEP)_Option 1-British Standard" xfId="1282" xr:uid="{00000000-0005-0000-0000-000079050000}"/>
    <cellStyle name="_KT (2)_4_l" xfId="1283" xr:uid="{00000000-0005-0000-0000-00007A050000}"/>
    <cellStyle name="_KT (2)_4_Lora-tungchau" xfId="1284" xr:uid="{00000000-0005-0000-0000-00007B050000}"/>
    <cellStyle name="_KT (2)_4_Lora-tungchau_2---DATA_SAIN GOBAIN (THEP)_Option 1-British Standard" xfId="1285" xr:uid="{00000000-0005-0000-0000-00007C050000}"/>
    <cellStyle name="_KT (2)_4_M_E Services _ Education" xfId="1286" xr:uid="{00000000-0005-0000-0000-00007D050000}"/>
    <cellStyle name="_KT (2)_4_M_E Services _ Education_1" xfId="1287" xr:uid="{00000000-0005-0000-0000-00007E050000}"/>
    <cellStyle name="_KT (2)_4_M_E Services _ Education_1_submit DHND 5%" xfId="1288" xr:uid="{00000000-0005-0000-0000-00007F050000}"/>
    <cellStyle name="_KT (2)_4_M_E Services _ Education_submit DHND 5%" xfId="1289" xr:uid="{00000000-0005-0000-0000-000080050000}"/>
    <cellStyle name="_KT (2)_4_Nha Khach Thanh Uy- Busway -LS- REV1-29-06" xfId="1290" xr:uid="{00000000-0005-0000-0000-000081050000}"/>
    <cellStyle name="_KT (2)_4_PGIA-phieu tham tra Kho bac" xfId="1291" xr:uid="{00000000-0005-0000-0000-000082050000}"/>
    <cellStyle name="_KT (2)_4_PGIA-phieu tham tra Kho bac_2---DATA_SAIN GOBAIN (THEP)_Option 1-British Standard" xfId="1292" xr:uid="{00000000-0005-0000-0000-000083050000}"/>
    <cellStyle name="_KT (2)_4_Priliminary" xfId="1293" xr:uid="{00000000-0005-0000-0000-000084050000}"/>
    <cellStyle name="_KT (2)_4_PT02-02" xfId="1294" xr:uid="{00000000-0005-0000-0000-000085050000}"/>
    <cellStyle name="_KT (2)_4_PT02-02_2---DATA_SAIN GOBAIN (THEP)_Option 1-British Standard" xfId="1295" xr:uid="{00000000-0005-0000-0000-000086050000}"/>
    <cellStyle name="_KT (2)_4_PT02-02_Book1" xfId="1296" xr:uid="{00000000-0005-0000-0000-000087050000}"/>
    <cellStyle name="_KT (2)_4_PT02-02_Book1_2---DATA_SAIN GOBAIN (THEP)_Option 1-British Standard" xfId="1297" xr:uid="{00000000-0005-0000-0000-000088050000}"/>
    <cellStyle name="_KT (2)_4_PT02-03" xfId="1298" xr:uid="{00000000-0005-0000-0000-000089050000}"/>
    <cellStyle name="_KT (2)_4_PT02-03_2---DATA_SAIN GOBAIN (THEP)_Option 1-British Standard" xfId="1299" xr:uid="{00000000-0005-0000-0000-00008A050000}"/>
    <cellStyle name="_KT (2)_4_PT02-03_Book1" xfId="1300" xr:uid="{00000000-0005-0000-0000-00008B050000}"/>
    <cellStyle name="_KT (2)_4_PT02-03_Book1_2---DATA_SAIN GOBAIN (THEP)_Option 1-British Standard" xfId="1301" xr:uid="{00000000-0005-0000-0000-00008C050000}"/>
    <cellStyle name="_KT (2)_4_Qt-HT3PQ1(CauKho)" xfId="1302" xr:uid="{00000000-0005-0000-0000-00008D050000}"/>
    <cellStyle name="_KT (2)_4_Qt-HT3PQ1(CauKho)_2---DATA_SAIN GOBAIN (THEP)_Option 1-British Standard" xfId="1303" xr:uid="{00000000-0005-0000-0000-00008E050000}"/>
    <cellStyle name="_KT (2)_4_submit DHND 5%" xfId="1304" xr:uid="{00000000-0005-0000-0000-00008F050000}"/>
    <cellStyle name="_KT (2)_4_TAM UNG VAT TU CHINH DOT 3 (REV2)" xfId="1305" xr:uid="{00000000-0005-0000-0000-000090050000}"/>
    <cellStyle name="_KT (2)_4_TAM UNG VAT TU CHINH DOT 3 (REV2)_2---DATA_SAIN GOBAIN (THEP)_Option 1-British Standard" xfId="1306" xr:uid="{00000000-0005-0000-0000-000091050000}"/>
    <cellStyle name="_KT (2)_4_TG-TH" xfId="1307" xr:uid="{00000000-0005-0000-0000-000092050000}"/>
    <cellStyle name="_KT (2)_4_TG-TH_2---DATA_SAIN GOBAIN (THEP)_Option 1-British Standard" xfId="1308" xr:uid="{00000000-0005-0000-0000-000093050000}"/>
    <cellStyle name="_KT (2)_4_TG-TH_M_E Services _ Education" xfId="1309" xr:uid="{00000000-0005-0000-0000-000094050000}"/>
    <cellStyle name="_KT (2)_4_TG-TH_M_E Services _ Education_1" xfId="1310" xr:uid="{00000000-0005-0000-0000-000095050000}"/>
    <cellStyle name="_KT (2)_4_TG-TH_M_E Services _ Education_1_submit DHND 5%" xfId="1311" xr:uid="{00000000-0005-0000-0000-000096050000}"/>
    <cellStyle name="_KT (2)_4_TG-TH_M_E Services _ Education_submit DHND 5%" xfId="1312" xr:uid="{00000000-0005-0000-0000-000097050000}"/>
    <cellStyle name="_KT (2)_4_TG-TH_submit DHND 5%" xfId="1313" xr:uid="{00000000-0005-0000-0000-000098050000}"/>
    <cellStyle name="_KT (2)_4_Tong hop so luong cac muc" xfId="1318" xr:uid="{00000000-0005-0000-0000-00009D050000}"/>
    <cellStyle name="_KT (2)_4_THANH TOAN-CONGTACCHINH" xfId="1314" xr:uid="{00000000-0005-0000-0000-000099050000}"/>
    <cellStyle name="_KT (2)_4_THANH TOAN-CONGTACCHINH_2---DATA_SAIN GOBAIN (THEP)_Option 1-British Standard" xfId="1315" xr:uid="{00000000-0005-0000-0000-00009A050000}"/>
    <cellStyle name="_KT (2)_4_THANHTOAN" xfId="1316" xr:uid="{00000000-0005-0000-0000-00009B050000}"/>
    <cellStyle name="_KT (2)_4_THANHTOAN_2---DATA_SAIN GOBAIN (THEP)_Option 1-British Standard" xfId="1317" xr:uid="{00000000-0005-0000-0000-00009C050000}"/>
    <cellStyle name="_KT (2)_5" xfId="1319" xr:uid="{00000000-0005-0000-0000-00009E050000}"/>
    <cellStyle name="_KT (2)_5 10" xfId="1320" xr:uid="{00000000-0005-0000-0000-00009F050000}"/>
    <cellStyle name="_KT (2)_5 100" xfId="1321" xr:uid="{00000000-0005-0000-0000-0000A0050000}"/>
    <cellStyle name="_KT (2)_5 101" xfId="1322" xr:uid="{00000000-0005-0000-0000-0000A1050000}"/>
    <cellStyle name="_KT (2)_5 102" xfId="1323" xr:uid="{00000000-0005-0000-0000-0000A2050000}"/>
    <cellStyle name="_KT (2)_5 103" xfId="1324" xr:uid="{00000000-0005-0000-0000-0000A3050000}"/>
    <cellStyle name="_KT (2)_5 104" xfId="1325" xr:uid="{00000000-0005-0000-0000-0000A4050000}"/>
    <cellStyle name="_KT (2)_5 105" xfId="1326" xr:uid="{00000000-0005-0000-0000-0000A5050000}"/>
    <cellStyle name="_KT (2)_5 106" xfId="1327" xr:uid="{00000000-0005-0000-0000-0000A6050000}"/>
    <cellStyle name="_KT (2)_5 107" xfId="1328" xr:uid="{00000000-0005-0000-0000-0000A7050000}"/>
    <cellStyle name="_KT (2)_5 108" xfId="1329" xr:uid="{00000000-0005-0000-0000-0000A8050000}"/>
    <cellStyle name="_KT (2)_5 109" xfId="1330" xr:uid="{00000000-0005-0000-0000-0000A9050000}"/>
    <cellStyle name="_KT (2)_5 11" xfId="1331" xr:uid="{00000000-0005-0000-0000-0000AA050000}"/>
    <cellStyle name="_KT (2)_5 110" xfId="1332" xr:uid="{00000000-0005-0000-0000-0000AB050000}"/>
    <cellStyle name="_KT (2)_5 111" xfId="1333" xr:uid="{00000000-0005-0000-0000-0000AC050000}"/>
    <cellStyle name="_KT (2)_5 12" xfId="1334" xr:uid="{00000000-0005-0000-0000-0000AD050000}"/>
    <cellStyle name="_KT (2)_5 13" xfId="1335" xr:uid="{00000000-0005-0000-0000-0000AE050000}"/>
    <cellStyle name="_KT (2)_5 14" xfId="1336" xr:uid="{00000000-0005-0000-0000-0000AF050000}"/>
    <cellStyle name="_KT (2)_5 15" xfId="1337" xr:uid="{00000000-0005-0000-0000-0000B0050000}"/>
    <cellStyle name="_KT (2)_5 16" xfId="1338" xr:uid="{00000000-0005-0000-0000-0000B1050000}"/>
    <cellStyle name="_KT (2)_5 17" xfId="1339" xr:uid="{00000000-0005-0000-0000-0000B2050000}"/>
    <cellStyle name="_KT (2)_5 18" xfId="1340" xr:uid="{00000000-0005-0000-0000-0000B3050000}"/>
    <cellStyle name="_KT (2)_5 19" xfId="1341" xr:uid="{00000000-0005-0000-0000-0000B4050000}"/>
    <cellStyle name="_KT (2)_5 2" xfId="1342" xr:uid="{00000000-0005-0000-0000-0000B5050000}"/>
    <cellStyle name="_KT (2)_5 20" xfId="1343" xr:uid="{00000000-0005-0000-0000-0000B6050000}"/>
    <cellStyle name="_KT (2)_5 21" xfId="1344" xr:uid="{00000000-0005-0000-0000-0000B7050000}"/>
    <cellStyle name="_KT (2)_5 22" xfId="1345" xr:uid="{00000000-0005-0000-0000-0000B8050000}"/>
    <cellStyle name="_KT (2)_5 23" xfId="1346" xr:uid="{00000000-0005-0000-0000-0000B9050000}"/>
    <cellStyle name="_KT (2)_5 24" xfId="1347" xr:uid="{00000000-0005-0000-0000-0000BA050000}"/>
    <cellStyle name="_KT (2)_5 25" xfId="1348" xr:uid="{00000000-0005-0000-0000-0000BB050000}"/>
    <cellStyle name="_KT (2)_5 26" xfId="1349" xr:uid="{00000000-0005-0000-0000-0000BC050000}"/>
    <cellStyle name="_KT (2)_5 27" xfId="1350" xr:uid="{00000000-0005-0000-0000-0000BD050000}"/>
    <cellStyle name="_KT (2)_5 28" xfId="1351" xr:uid="{00000000-0005-0000-0000-0000BE050000}"/>
    <cellStyle name="_KT (2)_5 29" xfId="1352" xr:uid="{00000000-0005-0000-0000-0000BF050000}"/>
    <cellStyle name="_KT (2)_5 3" xfId="1353" xr:uid="{00000000-0005-0000-0000-0000C0050000}"/>
    <cellStyle name="_KT (2)_5 30" xfId="1354" xr:uid="{00000000-0005-0000-0000-0000C1050000}"/>
    <cellStyle name="_KT (2)_5 31" xfId="1355" xr:uid="{00000000-0005-0000-0000-0000C2050000}"/>
    <cellStyle name="_KT (2)_5 32" xfId="1356" xr:uid="{00000000-0005-0000-0000-0000C3050000}"/>
    <cellStyle name="_KT (2)_5 33" xfId="1357" xr:uid="{00000000-0005-0000-0000-0000C4050000}"/>
    <cellStyle name="_KT (2)_5 34" xfId="1358" xr:uid="{00000000-0005-0000-0000-0000C5050000}"/>
    <cellStyle name="_KT (2)_5 35" xfId="1359" xr:uid="{00000000-0005-0000-0000-0000C6050000}"/>
    <cellStyle name="_KT (2)_5 36" xfId="1360" xr:uid="{00000000-0005-0000-0000-0000C7050000}"/>
    <cellStyle name="_KT (2)_5 37" xfId="1361" xr:uid="{00000000-0005-0000-0000-0000C8050000}"/>
    <cellStyle name="_KT (2)_5 38" xfId="1362" xr:uid="{00000000-0005-0000-0000-0000C9050000}"/>
    <cellStyle name="_KT (2)_5 39" xfId="1363" xr:uid="{00000000-0005-0000-0000-0000CA050000}"/>
    <cellStyle name="_KT (2)_5 4" xfId="1364" xr:uid="{00000000-0005-0000-0000-0000CB050000}"/>
    <cellStyle name="_KT (2)_5 40" xfId="1365" xr:uid="{00000000-0005-0000-0000-0000CC050000}"/>
    <cellStyle name="_KT (2)_5 41" xfId="1366" xr:uid="{00000000-0005-0000-0000-0000CD050000}"/>
    <cellStyle name="_KT (2)_5 42" xfId="1367" xr:uid="{00000000-0005-0000-0000-0000CE050000}"/>
    <cellStyle name="_KT (2)_5 43" xfId="1368" xr:uid="{00000000-0005-0000-0000-0000CF050000}"/>
    <cellStyle name="_KT (2)_5 44" xfId="1369" xr:uid="{00000000-0005-0000-0000-0000D0050000}"/>
    <cellStyle name="_KT (2)_5 45" xfId="1370" xr:uid="{00000000-0005-0000-0000-0000D1050000}"/>
    <cellStyle name="_KT (2)_5 46" xfId="1371" xr:uid="{00000000-0005-0000-0000-0000D2050000}"/>
    <cellStyle name="_KT (2)_5 47" xfId="1372" xr:uid="{00000000-0005-0000-0000-0000D3050000}"/>
    <cellStyle name="_KT (2)_5 48" xfId="1373" xr:uid="{00000000-0005-0000-0000-0000D4050000}"/>
    <cellStyle name="_KT (2)_5 49" xfId="1374" xr:uid="{00000000-0005-0000-0000-0000D5050000}"/>
    <cellStyle name="_KT (2)_5 5" xfId="1375" xr:uid="{00000000-0005-0000-0000-0000D6050000}"/>
    <cellStyle name="_KT (2)_5 50" xfId="1376" xr:uid="{00000000-0005-0000-0000-0000D7050000}"/>
    <cellStyle name="_KT (2)_5 51" xfId="1377" xr:uid="{00000000-0005-0000-0000-0000D8050000}"/>
    <cellStyle name="_KT (2)_5 52" xfId="1378" xr:uid="{00000000-0005-0000-0000-0000D9050000}"/>
    <cellStyle name="_KT (2)_5 53" xfId="1379" xr:uid="{00000000-0005-0000-0000-0000DA050000}"/>
    <cellStyle name="_KT (2)_5 54" xfId="1380" xr:uid="{00000000-0005-0000-0000-0000DB050000}"/>
    <cellStyle name="_KT (2)_5 55" xfId="1381" xr:uid="{00000000-0005-0000-0000-0000DC050000}"/>
    <cellStyle name="_KT (2)_5 56" xfId="1382" xr:uid="{00000000-0005-0000-0000-0000DD050000}"/>
    <cellStyle name="_KT (2)_5 57" xfId="1383" xr:uid="{00000000-0005-0000-0000-0000DE050000}"/>
    <cellStyle name="_KT (2)_5 58" xfId="1384" xr:uid="{00000000-0005-0000-0000-0000DF050000}"/>
    <cellStyle name="_KT (2)_5 59" xfId="1385" xr:uid="{00000000-0005-0000-0000-0000E0050000}"/>
    <cellStyle name="_KT (2)_5 6" xfId="1386" xr:uid="{00000000-0005-0000-0000-0000E1050000}"/>
    <cellStyle name="_KT (2)_5 60" xfId="1387" xr:uid="{00000000-0005-0000-0000-0000E2050000}"/>
    <cellStyle name="_KT (2)_5 61" xfId="1388" xr:uid="{00000000-0005-0000-0000-0000E3050000}"/>
    <cellStyle name="_KT (2)_5 62" xfId="1389" xr:uid="{00000000-0005-0000-0000-0000E4050000}"/>
    <cellStyle name="_KT (2)_5 63" xfId="1390" xr:uid="{00000000-0005-0000-0000-0000E5050000}"/>
    <cellStyle name="_KT (2)_5 64" xfId="1391" xr:uid="{00000000-0005-0000-0000-0000E6050000}"/>
    <cellStyle name="_KT (2)_5 65" xfId="1392" xr:uid="{00000000-0005-0000-0000-0000E7050000}"/>
    <cellStyle name="_KT (2)_5 66" xfId="1393" xr:uid="{00000000-0005-0000-0000-0000E8050000}"/>
    <cellStyle name="_KT (2)_5 67" xfId="1394" xr:uid="{00000000-0005-0000-0000-0000E9050000}"/>
    <cellStyle name="_KT (2)_5 68" xfId="1395" xr:uid="{00000000-0005-0000-0000-0000EA050000}"/>
    <cellStyle name="_KT (2)_5 69" xfId="1396" xr:uid="{00000000-0005-0000-0000-0000EB050000}"/>
    <cellStyle name="_KT (2)_5 7" xfId="1397" xr:uid="{00000000-0005-0000-0000-0000EC050000}"/>
    <cellStyle name="_KT (2)_5 70" xfId="1398" xr:uid="{00000000-0005-0000-0000-0000ED050000}"/>
    <cellStyle name="_KT (2)_5 71" xfId="1399" xr:uid="{00000000-0005-0000-0000-0000EE050000}"/>
    <cellStyle name="_KT (2)_5 72" xfId="1400" xr:uid="{00000000-0005-0000-0000-0000EF050000}"/>
    <cellStyle name="_KT (2)_5 73" xfId="1401" xr:uid="{00000000-0005-0000-0000-0000F0050000}"/>
    <cellStyle name="_KT (2)_5 74" xfId="1402" xr:uid="{00000000-0005-0000-0000-0000F1050000}"/>
    <cellStyle name="_KT (2)_5 75" xfId="1403" xr:uid="{00000000-0005-0000-0000-0000F2050000}"/>
    <cellStyle name="_KT (2)_5 76" xfId="1404" xr:uid="{00000000-0005-0000-0000-0000F3050000}"/>
    <cellStyle name="_KT (2)_5 77" xfId="1405" xr:uid="{00000000-0005-0000-0000-0000F4050000}"/>
    <cellStyle name="_KT (2)_5 78" xfId="1406" xr:uid="{00000000-0005-0000-0000-0000F5050000}"/>
    <cellStyle name="_KT (2)_5 79" xfId="1407" xr:uid="{00000000-0005-0000-0000-0000F6050000}"/>
    <cellStyle name="_KT (2)_5 8" xfId="1408" xr:uid="{00000000-0005-0000-0000-0000F7050000}"/>
    <cellStyle name="_KT (2)_5 80" xfId="1409" xr:uid="{00000000-0005-0000-0000-0000F8050000}"/>
    <cellStyle name="_KT (2)_5 81" xfId="1410" xr:uid="{00000000-0005-0000-0000-0000F9050000}"/>
    <cellStyle name="_KT (2)_5 82" xfId="1411" xr:uid="{00000000-0005-0000-0000-0000FA050000}"/>
    <cellStyle name="_KT (2)_5 83" xfId="1412" xr:uid="{00000000-0005-0000-0000-0000FB050000}"/>
    <cellStyle name="_KT (2)_5 84" xfId="1413" xr:uid="{00000000-0005-0000-0000-0000FC050000}"/>
    <cellStyle name="_KT (2)_5 85" xfId="1414" xr:uid="{00000000-0005-0000-0000-0000FD050000}"/>
    <cellStyle name="_KT (2)_5 86" xfId="1415" xr:uid="{00000000-0005-0000-0000-0000FE050000}"/>
    <cellStyle name="_KT (2)_5 87" xfId="1416" xr:uid="{00000000-0005-0000-0000-0000FF050000}"/>
    <cellStyle name="_KT (2)_5 88" xfId="1417" xr:uid="{00000000-0005-0000-0000-000000060000}"/>
    <cellStyle name="_KT (2)_5 89" xfId="1418" xr:uid="{00000000-0005-0000-0000-000001060000}"/>
    <cellStyle name="_KT (2)_5 9" xfId="1419" xr:uid="{00000000-0005-0000-0000-000002060000}"/>
    <cellStyle name="_KT (2)_5 90" xfId="1420" xr:uid="{00000000-0005-0000-0000-000003060000}"/>
    <cellStyle name="_KT (2)_5 91" xfId="1421" xr:uid="{00000000-0005-0000-0000-000004060000}"/>
    <cellStyle name="_KT (2)_5 92" xfId="1422" xr:uid="{00000000-0005-0000-0000-000005060000}"/>
    <cellStyle name="_KT (2)_5 93" xfId="1423" xr:uid="{00000000-0005-0000-0000-000006060000}"/>
    <cellStyle name="_KT (2)_5 94" xfId="1424" xr:uid="{00000000-0005-0000-0000-000007060000}"/>
    <cellStyle name="_KT (2)_5 95" xfId="1425" xr:uid="{00000000-0005-0000-0000-000008060000}"/>
    <cellStyle name="_KT (2)_5 96" xfId="1426" xr:uid="{00000000-0005-0000-0000-000009060000}"/>
    <cellStyle name="_KT (2)_5 97" xfId="1427" xr:uid="{00000000-0005-0000-0000-00000A060000}"/>
    <cellStyle name="_KT (2)_5 98" xfId="1428" xr:uid="{00000000-0005-0000-0000-00000B060000}"/>
    <cellStyle name="_KT (2)_5 99" xfId="1429" xr:uid="{00000000-0005-0000-0000-00000C060000}"/>
    <cellStyle name="_KT (2)_5_04- Bang bieu khoi luong 20110531(2)" xfId="1430" xr:uid="{00000000-0005-0000-0000-00000D060000}"/>
    <cellStyle name="_KT (2)_5_04-Bang bieu khoi luong 20110703(kiet)" xfId="1431" xr:uid="{00000000-0005-0000-0000-00000E060000}"/>
    <cellStyle name="_KT (2)_5_20110627-TDP-MEP BOQ-R2" xfId="1432" xr:uid="{00000000-0005-0000-0000-00000F060000}"/>
    <cellStyle name="_KT (2)_5_2---DATA_SAIN GOBAIN (THEP)_Option 1-British Standard" xfId="1433" xr:uid="{00000000-0005-0000-0000-000010060000}"/>
    <cellStyle name="_KT (2)_5_44611-MEP Estimate cost" xfId="1434" xr:uid="{00000000-0005-0000-0000-000011060000}"/>
    <cellStyle name="_KT (2)_5_BAO CAO KLCT PT2000" xfId="1435" xr:uid="{00000000-0005-0000-0000-000012060000}"/>
    <cellStyle name="_KT (2)_5_BAO CAO KLCT PT2000_2---DATA_SAIN GOBAIN (THEP)_Option 1-British Standard" xfId="1436" xr:uid="{00000000-0005-0000-0000-000013060000}"/>
    <cellStyle name="_KT (2)_5_BAO CAO PT2000" xfId="1437" xr:uid="{00000000-0005-0000-0000-000014060000}"/>
    <cellStyle name="_KT (2)_5_BAO CAO PT2000_2---DATA_SAIN GOBAIN (THEP)_Option 1-British Standard" xfId="1438" xr:uid="{00000000-0005-0000-0000-000015060000}"/>
    <cellStyle name="_KT (2)_5_BAO CAO PT2000_Book1" xfId="1439" xr:uid="{00000000-0005-0000-0000-000016060000}"/>
    <cellStyle name="_KT (2)_5_BAO CAO PT2000_Book1_2---DATA_SAIN GOBAIN (THEP)_Option 1-British Standard" xfId="1440" xr:uid="{00000000-0005-0000-0000-000017060000}"/>
    <cellStyle name="_KT (2)_5_Bao cao XDCB 2001 - T11 KH dieu chinh 20-11-THAI" xfId="1441" xr:uid="{00000000-0005-0000-0000-000018060000}"/>
    <cellStyle name="_KT (2)_5_Bao cao XDCB 2001 - T11 KH dieu chinh 20-11-THAI_2---DATA_SAIN GOBAIN (THEP)_Option 1-British Standard" xfId="1442" xr:uid="{00000000-0005-0000-0000-000019060000}"/>
    <cellStyle name="_KT (2)_5_BCT - KITYCOTTAGE SS 1''x1'' ANGLE 22-00PET-026" xfId="1443" xr:uid="{00000000-0005-0000-0000-00001A060000}"/>
    <cellStyle name="_KT (2)_5_BCT - MID FLANGE LATCH RIGHT 22-00 PET-030" xfId="1444" xr:uid="{00000000-0005-0000-0000-00001B060000}"/>
    <cellStyle name="_KT (2)_5_Book1" xfId="1445" xr:uid="{00000000-0005-0000-0000-00001C060000}"/>
    <cellStyle name="_KT (2)_5_Book1 2" xfId="1446" xr:uid="{00000000-0005-0000-0000-00001D060000}"/>
    <cellStyle name="_KT (2)_5_Book1_1" xfId="1447" xr:uid="{00000000-0005-0000-0000-00001E060000}"/>
    <cellStyle name="_KT (2)_5_Book1_1 2" xfId="1448" xr:uid="{00000000-0005-0000-0000-00001F060000}"/>
    <cellStyle name="_KT (2)_5_Book1_1_2---DATA_SAIN GOBAIN (THEP)_Option 1-British Standard" xfId="1449" xr:uid="{00000000-0005-0000-0000-000020060000}"/>
    <cellStyle name="_KT (2)_5_Book1_1_BCT - KITYCOTTAGE SS 1''x1'' ANGLE 22-00PET-026" xfId="1450" xr:uid="{00000000-0005-0000-0000-000021060000}"/>
    <cellStyle name="_KT (2)_5_Book1_1_Bill of quantity - cables tray FA - Paragon detail from Tai 011-07-2011" xfId="1451" xr:uid="{00000000-0005-0000-0000-000022060000}"/>
    <cellStyle name="_KT (2)_5_Book1_1_Book1" xfId="1452" xr:uid="{00000000-0005-0000-0000-000023060000}"/>
    <cellStyle name="_KT (2)_5_Book1_1_Book1_2---DATA_SAIN GOBAIN (THEP)_Option 1-British Standard" xfId="1453" xr:uid="{00000000-0005-0000-0000-000024060000}"/>
    <cellStyle name="_KT (2)_5_Book1_1_Book1_THAO DIEN PEARL  - CAP THOAT NUOC (5-9-2011)" xfId="1454" xr:uid="{00000000-0005-0000-0000-000025060000}"/>
    <cellStyle name="_KT (2)_5_Book1_1_CACKHOANKHAUTRU" xfId="1455" xr:uid="{00000000-0005-0000-0000-000026060000}"/>
    <cellStyle name="_KT (2)_5_Book1_1_CACKHOANKHAUTRU_2---DATA_SAIN GOBAIN (THEP)_Option 1-British Standard" xfId="1456" xr:uid="{00000000-0005-0000-0000-000027060000}"/>
    <cellStyle name="_KT (2)_5_Book1_1_Cong tac chuan bi Cao su" xfId="1457" xr:uid="{00000000-0005-0000-0000-000028060000}"/>
    <cellStyle name="_KT (2)_5_Book1_1_CTC - BoQ Agrex Building" xfId="1458" xr:uid="{00000000-0005-0000-0000-000029060000}"/>
    <cellStyle name="_KT (2)_5_Book1_1_Danh sach nha cung cap ( Vendor List ) - Cap nhat 15-04-2011" xfId="1459" xr:uid="{00000000-0005-0000-0000-00002A060000}"/>
    <cellStyle name="_KT (2)_5_Book1_1_KLTT-PHUCHUNG" xfId="1460" xr:uid="{00000000-0005-0000-0000-00002B060000}"/>
    <cellStyle name="_KT (2)_5_Book1_1_KLTT-PHUCHUNG_2---DATA_SAIN GOBAIN (THEP)_Option 1-British Standard" xfId="1461" xr:uid="{00000000-0005-0000-0000-00002C060000}"/>
    <cellStyle name="_KT (2)_5_Book1_1_l" xfId="1462" xr:uid="{00000000-0005-0000-0000-00002D060000}"/>
    <cellStyle name="_KT (2)_5_Book1_1_Nha Khach Thanh Uy- Busway -LS- REV1-29-06" xfId="1463" xr:uid="{00000000-0005-0000-0000-00002E060000}"/>
    <cellStyle name="_KT (2)_5_Book1_1_Thanh toan (Du an Ca Mau)" xfId="1464" xr:uid="{00000000-0005-0000-0000-00002F060000}"/>
    <cellStyle name="_KT (2)_5_Book1_1_Thanh toan (Du an Ca Mau)_2---DATA_SAIN GOBAIN (THEP)_Option 1-British Standard" xfId="1465" xr:uid="{00000000-0005-0000-0000-000030060000}"/>
    <cellStyle name="_KT (2)_5_Book1_1_THANHTOAN" xfId="1466" xr:uid="{00000000-0005-0000-0000-000031060000}"/>
    <cellStyle name="_KT (2)_5_Book1_1_THANHTOAN A-B" xfId="1467" xr:uid="{00000000-0005-0000-0000-000032060000}"/>
    <cellStyle name="_KT (2)_5_Book1_1_THANHTOAN A-B_2---DATA_SAIN GOBAIN (THEP)_Option 1-British Standard" xfId="1468" xr:uid="{00000000-0005-0000-0000-000033060000}"/>
    <cellStyle name="_KT (2)_5_Book1_1_THANHTOAN_2---DATA_SAIN GOBAIN (THEP)_Option 1-British Standard" xfId="1469" xr:uid="{00000000-0005-0000-0000-000034060000}"/>
    <cellStyle name="_KT (2)_5_Book1_1_THAO DIEN PEARL  - CAP THOAT NUOC (5-9-2011)" xfId="1470" xr:uid="{00000000-0005-0000-0000-000035060000}"/>
    <cellStyle name="_KT (2)_5_Book1_2" xfId="1471" xr:uid="{00000000-0005-0000-0000-000036060000}"/>
    <cellStyle name="_KT (2)_5_Book1_2 2" xfId="1472" xr:uid="{00000000-0005-0000-0000-000037060000}"/>
    <cellStyle name="_KT (2)_5_Book1_2_2---DATA_SAIN GOBAIN (THEP)_Option 1-British Standard" xfId="1473" xr:uid="{00000000-0005-0000-0000-000038060000}"/>
    <cellStyle name="_KT (2)_5_Book1_2_Bill of quantity - cables tray FA - Paragon detail from Tai 011-07-2011" xfId="1474" xr:uid="{00000000-0005-0000-0000-000039060000}"/>
    <cellStyle name="_KT (2)_5_Book1_2_Book1" xfId="1475" xr:uid="{00000000-0005-0000-0000-00003A060000}"/>
    <cellStyle name="_KT (2)_5_Book1_2_Book1_2---DATA_SAIN GOBAIN (THEP)_Option 1-British Standard" xfId="1476" xr:uid="{00000000-0005-0000-0000-00003B060000}"/>
    <cellStyle name="_KT (2)_5_Book1_2_CACKHOANKHAUTRU" xfId="1477" xr:uid="{00000000-0005-0000-0000-00003C060000}"/>
    <cellStyle name="_KT (2)_5_Book1_2_CACKHOANKHAUTRU_2---DATA_SAIN GOBAIN (THEP)_Option 1-British Standard" xfId="1478" xr:uid="{00000000-0005-0000-0000-00003D060000}"/>
    <cellStyle name="_KT (2)_5_Book1_2_Cong tac chuan bi Cao su" xfId="1479" xr:uid="{00000000-0005-0000-0000-00003E060000}"/>
    <cellStyle name="_KT (2)_5_Book1_2_Danh sach nha cung cap ( Vendor List ) - Cap nhat 15-04-2011" xfId="1480" xr:uid="{00000000-0005-0000-0000-00003F060000}"/>
    <cellStyle name="_KT (2)_5_Book1_2_KLTT-PHUCHUNG" xfId="1481" xr:uid="{00000000-0005-0000-0000-000040060000}"/>
    <cellStyle name="_KT (2)_5_Book1_2_KLTT-PHUCHUNG_2---DATA_SAIN GOBAIN (THEP)_Option 1-British Standard" xfId="1482" xr:uid="{00000000-0005-0000-0000-000041060000}"/>
    <cellStyle name="_KT (2)_5_Book1_2_l" xfId="1483" xr:uid="{00000000-0005-0000-0000-000042060000}"/>
    <cellStyle name="_KT (2)_5_Book1_2_Nha Khach Thanh Uy- Busway -LS- REV1-29-06" xfId="1484" xr:uid="{00000000-0005-0000-0000-000043060000}"/>
    <cellStyle name="_KT (2)_5_Book1_2_Thanh toan (Du an Ca Mau)" xfId="1485" xr:uid="{00000000-0005-0000-0000-000044060000}"/>
    <cellStyle name="_KT (2)_5_Book1_2_Thanh toan (Du an Ca Mau)_2---DATA_SAIN GOBAIN (THEP)_Option 1-British Standard" xfId="1486" xr:uid="{00000000-0005-0000-0000-000045060000}"/>
    <cellStyle name="_KT (2)_5_Book1_2_THANHTOAN" xfId="1487" xr:uid="{00000000-0005-0000-0000-000046060000}"/>
    <cellStyle name="_KT (2)_5_Book1_2_THANHTOAN A-B" xfId="1488" xr:uid="{00000000-0005-0000-0000-000047060000}"/>
    <cellStyle name="_KT (2)_5_Book1_2_THANHTOAN A-B_2---DATA_SAIN GOBAIN (THEP)_Option 1-British Standard" xfId="1489" xr:uid="{00000000-0005-0000-0000-000048060000}"/>
    <cellStyle name="_KT (2)_5_Book1_2_THANHTOAN_2---DATA_SAIN GOBAIN (THEP)_Option 1-British Standard" xfId="1490" xr:uid="{00000000-0005-0000-0000-000049060000}"/>
    <cellStyle name="_KT (2)_5_Book1_2_THAO DIEN PEARL  - CAP THOAT NUOC (5-9-2011)" xfId="1491" xr:uid="{00000000-0005-0000-0000-00004A060000}"/>
    <cellStyle name="_KT (2)_5_Book1_2---DATA_SAIN GOBAIN (THEP)_Option 1-British Standard" xfId="1492" xr:uid="{00000000-0005-0000-0000-00004B060000}"/>
    <cellStyle name="_KT (2)_5_Book1_3" xfId="1493" xr:uid="{00000000-0005-0000-0000-00004C060000}"/>
    <cellStyle name="_KT (2)_5_Book1_3_2---DATA_SAIN GOBAIN (THEP)_Option 1-British Standard" xfId="1494" xr:uid="{00000000-0005-0000-0000-00004D060000}"/>
    <cellStyle name="_KT (2)_5_Book1_4" xfId="1495" xr:uid="{00000000-0005-0000-0000-00004E060000}"/>
    <cellStyle name="_KT (2)_5_Book1_4_2---DATA_SAIN GOBAIN (THEP)_Option 1-British Standard" xfId="1496" xr:uid="{00000000-0005-0000-0000-00004F060000}"/>
    <cellStyle name="_KT (2)_5_Book1_BC-QT-WB-dthao" xfId="1497" xr:uid="{00000000-0005-0000-0000-000050060000}"/>
    <cellStyle name="_KT (2)_5_Book1_BC-QT-WB-dthao_2---DATA_SAIN GOBAIN (THEP)_Option 1-British Standard" xfId="1498" xr:uid="{00000000-0005-0000-0000-000051060000}"/>
    <cellStyle name="_KT (2)_5_Book1_Book1" xfId="1499" xr:uid="{00000000-0005-0000-0000-000052060000}"/>
    <cellStyle name="_KT (2)_5_Book1_Book1_2---DATA_SAIN GOBAIN (THEP)_Option 1-British Standard" xfId="1500" xr:uid="{00000000-0005-0000-0000-000053060000}"/>
    <cellStyle name="_KT (2)_5_Book1_Book1_Book1" xfId="1501" xr:uid="{00000000-0005-0000-0000-000054060000}"/>
    <cellStyle name="_KT (2)_5_Book1_Book1_Book1_2---DATA_SAIN GOBAIN (THEP)_Option 1-British Standard" xfId="1502" xr:uid="{00000000-0005-0000-0000-000055060000}"/>
    <cellStyle name="_KT (2)_5_Book1_Book1_CACKHOANKHAUTRU" xfId="1503" xr:uid="{00000000-0005-0000-0000-000056060000}"/>
    <cellStyle name="_KT (2)_5_Book1_Book1_CACKHOANKHAUTRU_2---DATA_SAIN GOBAIN (THEP)_Option 1-British Standard" xfId="1504" xr:uid="{00000000-0005-0000-0000-000057060000}"/>
    <cellStyle name="_KT (2)_5_Book1_Book1_KLTT-PHUCHUNG" xfId="1505" xr:uid="{00000000-0005-0000-0000-000058060000}"/>
    <cellStyle name="_KT (2)_5_Book1_Book1_KLTT-PHUCHUNG_2---DATA_SAIN GOBAIN (THEP)_Option 1-British Standard" xfId="1506" xr:uid="{00000000-0005-0000-0000-000059060000}"/>
    <cellStyle name="_KT (2)_5_Book1_Book1_Thanh toan (Du an Ca Mau)" xfId="1507" xr:uid="{00000000-0005-0000-0000-00005A060000}"/>
    <cellStyle name="_KT (2)_5_Book1_Book1_Thanh toan (Du an Ca Mau)_2---DATA_SAIN GOBAIN (THEP)_Option 1-British Standard" xfId="1508" xr:uid="{00000000-0005-0000-0000-00005B060000}"/>
    <cellStyle name="_KT (2)_5_Book1_Book1_THANHTOAN" xfId="1509" xr:uid="{00000000-0005-0000-0000-00005C060000}"/>
    <cellStyle name="_KT (2)_5_Book1_Book1_THANHTOAN A-B" xfId="1510" xr:uid="{00000000-0005-0000-0000-00005D060000}"/>
    <cellStyle name="_KT (2)_5_Book1_Book1_THANHTOAN A-B_2---DATA_SAIN GOBAIN (THEP)_Option 1-British Standard" xfId="1511" xr:uid="{00000000-0005-0000-0000-00005E060000}"/>
    <cellStyle name="_KT (2)_5_Book1_Book1_THANHTOAN_2---DATA_SAIN GOBAIN (THEP)_Option 1-British Standard" xfId="1512" xr:uid="{00000000-0005-0000-0000-00005F060000}"/>
    <cellStyle name="_KT (2)_5_Book1_Book1_THAO DIEN PEARL  - CAP THOAT NUOC (5-9-2011)" xfId="1513" xr:uid="{00000000-0005-0000-0000-000060060000}"/>
    <cellStyle name="_KT (2)_5_Book1_Book2" xfId="1514" xr:uid="{00000000-0005-0000-0000-000061060000}"/>
    <cellStyle name="_KT (2)_5_Book1_BOQ-Thuan thao (Tai 07May)" xfId="1515" xr:uid="{00000000-0005-0000-0000-000062060000}"/>
    <cellStyle name="_KT (2)_5_Book1_CACKHOANKHAUTRU" xfId="1516" xr:uid="{00000000-0005-0000-0000-000063060000}"/>
    <cellStyle name="_KT (2)_5_Book1_CACKHOANKHAUTRU_2---DATA_SAIN GOBAIN (THEP)_Option 1-British Standard" xfId="1517" xr:uid="{00000000-0005-0000-0000-000064060000}"/>
    <cellStyle name="_KT (2)_5_Book1_Cau tao gia Arico T2-2009" xfId="1518" xr:uid="{00000000-0005-0000-0000-000065060000}"/>
    <cellStyle name="_KT (2)_5_Book1_Cau tao gia Nop thau" xfId="1519" xr:uid="{00000000-0005-0000-0000-000066060000}"/>
    <cellStyle name="_KT (2)_5_Book1_Cau tao gia phan Tho (ham + Than) 15-9-08" xfId="1520" xr:uid="{00000000-0005-0000-0000-000067060000}"/>
    <cellStyle name="_KT (2)_5_Book1_Cau tao gia tong hop Mau" xfId="1522" xr:uid="{00000000-0005-0000-0000-000069060000}"/>
    <cellStyle name="_KT (2)_5_Book1_CAU TAO GIA THE OCEAN VILLAS DANANG" xfId="1521" xr:uid="{00000000-0005-0000-0000-000068060000}"/>
    <cellStyle name="_KT (2)_5_Book1_Cau tao gia VT-NC Mau" xfId="1523" xr:uid="{00000000-0005-0000-0000-00006A060000}"/>
    <cellStyle name="_KT (2)_5_Book1_cong tac chuan bi Nhatrang Plaza" xfId="1524" xr:uid="{00000000-0005-0000-0000-00006B060000}"/>
    <cellStyle name="_KT (2)_5_Book1_Cong tac chuan bi-Thanh" xfId="1525" xr:uid="{00000000-0005-0000-0000-00006C060000}"/>
    <cellStyle name="_KT (2)_5_Book1_Copy of Cau tao gia Mau" xfId="1526" xr:uid="{00000000-0005-0000-0000-00006D060000}"/>
    <cellStyle name="_KT (2)_5_Book1_CTC - BoQ Agrex Building" xfId="1527" xr:uid="{00000000-0005-0000-0000-00006E060000}"/>
    <cellStyle name="_KT (2)_5_Book1_CV1-khoi luong va don gia" xfId="1528" xr:uid="{00000000-0005-0000-0000-00006F060000}"/>
    <cellStyle name="_KT (2)_5_Book1_CV1-khoi luong va don gia_2---DATA_SAIN GOBAIN (THEP)_Option 1-British Standard" xfId="1529" xr:uid="{00000000-0005-0000-0000-000070060000}"/>
    <cellStyle name="_KT (2)_5_Book1_Danh sach nha cung cap ( Vendor List ) - Cap nhat 15-04-2011" xfId="1530" xr:uid="{00000000-0005-0000-0000-000071060000}"/>
    <cellStyle name="_KT (2)_5_Book1_Du toan chi phi gia thau T12 (Dat Phuong)" xfId="1531" xr:uid="{00000000-0005-0000-0000-000072060000}"/>
    <cellStyle name="_KT (2)_5_Book1_Du toan chi phi gia thau T12 (Dat Phuong)_2---DATA_SAIN GOBAIN (THEP)_Option 1-British Standard" xfId="1532" xr:uid="{00000000-0005-0000-0000-000073060000}"/>
    <cellStyle name="_KT (2)_5_Book1_HD-CONGTACCHINH-THAUPHU" xfId="1533" xr:uid="{00000000-0005-0000-0000-000074060000}"/>
    <cellStyle name="_KT (2)_5_Book1_HD-CONGTACCHINH-THAUPHU_2---DATA_SAIN GOBAIN (THEP)_Option 1-British Standard" xfId="1534" xr:uid="{00000000-0005-0000-0000-000075060000}"/>
    <cellStyle name="_KT (2)_5_Book1_HOPDONG-NOIBO" xfId="1535" xr:uid="{00000000-0005-0000-0000-000076060000}"/>
    <cellStyle name="_KT (2)_5_Book1_HOPDONG-NOIBO_2---DATA_SAIN GOBAIN (THEP)_Option 1-British Standard" xfId="1536" xr:uid="{00000000-0005-0000-0000-000077060000}"/>
    <cellStyle name="_KT (2)_5_Book1_l" xfId="1537" xr:uid="{00000000-0005-0000-0000-000078060000}"/>
    <cellStyle name="_KT (2)_5_Book1_M_E Services _ Education" xfId="1538" xr:uid="{00000000-0005-0000-0000-000079060000}"/>
    <cellStyle name="_KT (2)_5_Book1_M_E Services _ Education_1" xfId="1539" xr:uid="{00000000-0005-0000-0000-00007A060000}"/>
    <cellStyle name="_KT (2)_5_Book1_M_E Services _ Education_1_submit DHND 5%" xfId="1540" xr:uid="{00000000-0005-0000-0000-00007B060000}"/>
    <cellStyle name="_KT (2)_5_Book1_M_E Services _ Education_submit DHND 5%" xfId="1541" xr:uid="{00000000-0005-0000-0000-00007C060000}"/>
    <cellStyle name="_KT (2)_5_Book1_Nha Khach Thanh Uy- Busway -LS- REV1-29-06" xfId="1542" xr:uid="{00000000-0005-0000-0000-00007D060000}"/>
    <cellStyle name="_KT (2)_5_Book1_Priliminary" xfId="1543" xr:uid="{00000000-0005-0000-0000-00007E060000}"/>
    <cellStyle name="_KT (2)_5_Book1_submit DHND 5%" xfId="1544" xr:uid="{00000000-0005-0000-0000-00007F060000}"/>
    <cellStyle name="_KT (2)_5_Book1_THANH TOAN-CONGTACCHINH" xfId="1545" xr:uid="{00000000-0005-0000-0000-000080060000}"/>
    <cellStyle name="_KT (2)_5_Book1_THANH TOAN-CONGTACCHINH_2---DATA_SAIN GOBAIN (THEP)_Option 1-British Standard" xfId="1546" xr:uid="{00000000-0005-0000-0000-000081060000}"/>
    <cellStyle name="_KT (2)_5_Book1_THANHTOAN" xfId="1547" xr:uid="{00000000-0005-0000-0000-000082060000}"/>
    <cellStyle name="_KT (2)_5_Book1_THANHTOAN_2---DATA_SAIN GOBAIN (THEP)_Option 1-British Standard" xfId="1548" xr:uid="{00000000-0005-0000-0000-000083060000}"/>
    <cellStyle name="_KT (2)_5_CACKHOANKHAUTRU" xfId="1549" xr:uid="{00000000-0005-0000-0000-000084060000}"/>
    <cellStyle name="_KT (2)_5_CACKHOANKHAUTRU_2---DATA_SAIN GOBAIN (THEP)_Option 1-British Standard" xfId="1550" xr:uid="{00000000-0005-0000-0000-000085060000}"/>
    <cellStyle name="_KT (2)_5_CV1-khoi luong va don gia" xfId="1551" xr:uid="{00000000-0005-0000-0000-000086060000}"/>
    <cellStyle name="_KT (2)_5_CV1-khoi luong va don gia_2---DATA_SAIN GOBAIN (THEP)_Option 1-British Standard" xfId="1552" xr:uid="{00000000-0005-0000-0000-000087060000}"/>
    <cellStyle name="_KT (2)_5_Danh sach nha cung cap ( Vendor List ) - Cap nhat 15-04-2011" xfId="1553" xr:uid="{00000000-0005-0000-0000-000088060000}"/>
    <cellStyle name="_KT (2)_5_DTCDT MR.2N110.HOCMON.TDTOAN.CCUNG" xfId="1555" xr:uid="{00000000-0005-0000-0000-00008A060000}"/>
    <cellStyle name="_KT (2)_5_DTCDT MR.2N110.HOCMON.TDTOAN.CCUNG_2---DATA_SAIN GOBAIN (THEP)_Option 1-British Standard" xfId="1556" xr:uid="{00000000-0005-0000-0000-00008B060000}"/>
    <cellStyle name="_KT (2)_5_Du toan chi phi gia thau T12 (Dat Phuong)" xfId="1557" xr:uid="{00000000-0005-0000-0000-00008C060000}"/>
    <cellStyle name="_KT (2)_5_Du toan chi phi gia thau T12 (Dat Phuong)_2---DATA_SAIN GOBAIN (THEP)_Option 1-British Standard" xfId="1558" xr:uid="{00000000-0005-0000-0000-00008D060000}"/>
    <cellStyle name="_KT (2)_5_ĐỊNH MỨC KHOÁN 20-00PET -059" xfId="1554" xr:uid="{00000000-0005-0000-0000-000089060000}"/>
    <cellStyle name="_KT (2)_5_HD-CONGTACCHINH-THAUPHU" xfId="1559" xr:uid="{00000000-0005-0000-0000-00008E060000}"/>
    <cellStyle name="_KT (2)_5_HD-CONGTACCHINH-THAUPHU_2---DATA_SAIN GOBAIN (THEP)_Option 1-British Standard" xfId="1560" xr:uid="{00000000-0005-0000-0000-00008F060000}"/>
    <cellStyle name="_KT (2)_5_HOPDONG-NOIBO" xfId="1561" xr:uid="{00000000-0005-0000-0000-000090060000}"/>
    <cellStyle name="_KT (2)_5_HOPDONG-NOIBO_2---DATA_SAIN GOBAIN (THEP)_Option 1-British Standard" xfId="1562" xr:uid="{00000000-0005-0000-0000-000091060000}"/>
    <cellStyle name="_KT (2)_5_l" xfId="1563" xr:uid="{00000000-0005-0000-0000-000092060000}"/>
    <cellStyle name="_KT (2)_5_Lora-tungchau" xfId="1564" xr:uid="{00000000-0005-0000-0000-000093060000}"/>
    <cellStyle name="_KT (2)_5_Lora-tungchau_2---DATA_SAIN GOBAIN (THEP)_Option 1-British Standard" xfId="1565" xr:uid="{00000000-0005-0000-0000-000094060000}"/>
    <cellStyle name="_KT (2)_5_M_E Services _ Education" xfId="1566" xr:uid="{00000000-0005-0000-0000-000095060000}"/>
    <cellStyle name="_KT (2)_5_M_E Services _ Education_1" xfId="1567" xr:uid="{00000000-0005-0000-0000-000096060000}"/>
    <cellStyle name="_KT (2)_5_M_E Services _ Education_1_submit DHND 5%" xfId="1568" xr:uid="{00000000-0005-0000-0000-000097060000}"/>
    <cellStyle name="_KT (2)_5_M_E Services _ Education_submit DHND 5%" xfId="1569" xr:uid="{00000000-0005-0000-0000-000098060000}"/>
    <cellStyle name="_KT (2)_5_Nha Khach Thanh Uy- Busway -LS- REV1-29-06" xfId="1570" xr:uid="{00000000-0005-0000-0000-000099060000}"/>
    <cellStyle name="_KT (2)_5_PGIA-phieu tham tra Kho bac" xfId="1571" xr:uid="{00000000-0005-0000-0000-00009A060000}"/>
    <cellStyle name="_KT (2)_5_PGIA-phieu tham tra Kho bac_2---DATA_SAIN GOBAIN (THEP)_Option 1-British Standard" xfId="1572" xr:uid="{00000000-0005-0000-0000-00009B060000}"/>
    <cellStyle name="_KT (2)_5_PT02-02" xfId="1573" xr:uid="{00000000-0005-0000-0000-00009C060000}"/>
    <cellStyle name="_KT (2)_5_PT02-02_2---DATA_SAIN GOBAIN (THEP)_Option 1-British Standard" xfId="1574" xr:uid="{00000000-0005-0000-0000-00009D060000}"/>
    <cellStyle name="_KT (2)_5_PT02-02_Book1" xfId="1575" xr:uid="{00000000-0005-0000-0000-00009E060000}"/>
    <cellStyle name="_KT (2)_5_PT02-02_Book1_2---DATA_SAIN GOBAIN (THEP)_Option 1-British Standard" xfId="1576" xr:uid="{00000000-0005-0000-0000-00009F060000}"/>
    <cellStyle name="_KT (2)_5_PT02-03" xfId="1577" xr:uid="{00000000-0005-0000-0000-0000A0060000}"/>
    <cellStyle name="_KT (2)_5_PT02-03_2---DATA_SAIN GOBAIN (THEP)_Option 1-British Standard" xfId="1578" xr:uid="{00000000-0005-0000-0000-0000A1060000}"/>
    <cellStyle name="_KT (2)_5_PT02-03_Book1" xfId="1579" xr:uid="{00000000-0005-0000-0000-0000A2060000}"/>
    <cellStyle name="_KT (2)_5_PT02-03_Book1_2---DATA_SAIN GOBAIN (THEP)_Option 1-British Standard" xfId="1580" xr:uid="{00000000-0005-0000-0000-0000A3060000}"/>
    <cellStyle name="_KT (2)_5_Qt-HT3PQ1(CauKho)" xfId="1581" xr:uid="{00000000-0005-0000-0000-0000A4060000}"/>
    <cellStyle name="_KT (2)_5_Qt-HT3PQ1(CauKho)_2---DATA_SAIN GOBAIN (THEP)_Option 1-British Standard" xfId="1582" xr:uid="{00000000-0005-0000-0000-0000A5060000}"/>
    <cellStyle name="_KT (2)_5_submit DHND 5%" xfId="1583" xr:uid="{00000000-0005-0000-0000-0000A6060000}"/>
    <cellStyle name="_KT (2)_5_TAM UNG VAT TU CHINH DOT 3 (REV2)" xfId="1584" xr:uid="{00000000-0005-0000-0000-0000A7060000}"/>
    <cellStyle name="_KT (2)_5_TAM UNG VAT TU CHINH DOT 3 (REV2)_2---DATA_SAIN GOBAIN (THEP)_Option 1-British Standard" xfId="1585" xr:uid="{00000000-0005-0000-0000-0000A8060000}"/>
    <cellStyle name="_KT (2)_5_Tong hop so luong cac muc" xfId="1590" xr:uid="{00000000-0005-0000-0000-0000AD060000}"/>
    <cellStyle name="_KT (2)_5_THANH TOAN-CONGTACCHINH" xfId="1586" xr:uid="{00000000-0005-0000-0000-0000A9060000}"/>
    <cellStyle name="_KT (2)_5_THANH TOAN-CONGTACCHINH_2---DATA_SAIN GOBAIN (THEP)_Option 1-British Standard" xfId="1587" xr:uid="{00000000-0005-0000-0000-0000AA060000}"/>
    <cellStyle name="_KT (2)_5_THANHTOAN" xfId="1588" xr:uid="{00000000-0005-0000-0000-0000AB060000}"/>
    <cellStyle name="_KT (2)_5_THANHTOAN_2---DATA_SAIN GOBAIN (THEP)_Option 1-British Standard" xfId="1589" xr:uid="{00000000-0005-0000-0000-0000AC060000}"/>
    <cellStyle name="_KT (2)_BCT - KITYCOTTAGE SS 1''x1'' ANGLE 22-00PET-026" xfId="1591" xr:uid="{00000000-0005-0000-0000-0000AE060000}"/>
    <cellStyle name="_KT (2)_BCT - MID FLANGE LATCH RIGHT 22-00 PET-030" xfId="1592" xr:uid="{00000000-0005-0000-0000-0000AF060000}"/>
    <cellStyle name="_KT (2)_Book1" xfId="1593" xr:uid="{00000000-0005-0000-0000-0000B0060000}"/>
    <cellStyle name="_KT (2)_Book1 2" xfId="1594" xr:uid="{00000000-0005-0000-0000-0000B1060000}"/>
    <cellStyle name="_KT (2)_Book1_1" xfId="1595" xr:uid="{00000000-0005-0000-0000-0000B2060000}"/>
    <cellStyle name="_KT (2)_Book1_2---DATA_SAIN GOBAIN (THEP)_Option 1-British Standard" xfId="1596" xr:uid="{00000000-0005-0000-0000-0000B3060000}"/>
    <cellStyle name="_KT (2)_Book1_BC-QT-WB-dthao" xfId="1597" xr:uid="{00000000-0005-0000-0000-0000B4060000}"/>
    <cellStyle name="_KT (2)_Book1_BC-QT-WB-dthao_2---DATA_SAIN GOBAIN (THEP)_Option 1-British Standard" xfId="1598" xr:uid="{00000000-0005-0000-0000-0000B5060000}"/>
    <cellStyle name="_KT (2)_Book1_Bill of quantity - cables tray FA - Paragon detail from Tai 011-07-2011" xfId="1599" xr:uid="{00000000-0005-0000-0000-0000B6060000}"/>
    <cellStyle name="_KT (2)_Book1_Danh sach nha cung cap ( Vendor List ) - Cap nhat 15-04-2011" xfId="1600" xr:uid="{00000000-0005-0000-0000-0000B7060000}"/>
    <cellStyle name="_KT (2)_Book1_l" xfId="1601" xr:uid="{00000000-0005-0000-0000-0000B8060000}"/>
    <cellStyle name="_KT (2)_Book1_M_E Services _ Education" xfId="1602" xr:uid="{00000000-0005-0000-0000-0000B9060000}"/>
    <cellStyle name="_KT (2)_Book1_M_E Services _ Education_1" xfId="1603" xr:uid="{00000000-0005-0000-0000-0000BA060000}"/>
    <cellStyle name="_KT (2)_Book1_M_E Services _ Education_1_submit DHND 5%" xfId="1604" xr:uid="{00000000-0005-0000-0000-0000BB060000}"/>
    <cellStyle name="_KT (2)_Book1_M_E Services _ Education_submit DHND 5%" xfId="1605" xr:uid="{00000000-0005-0000-0000-0000BC060000}"/>
    <cellStyle name="_KT (2)_Book1_Nha Khach Thanh Uy- Busway -LS- REV1-29-06" xfId="1606" xr:uid="{00000000-0005-0000-0000-0000BD060000}"/>
    <cellStyle name="_KT (2)_Book1_submit DHND 5%" xfId="1607" xr:uid="{00000000-0005-0000-0000-0000BE060000}"/>
    <cellStyle name="_KT (2)_Book1_THAO DIEN PEARL  - CAP THOAT NUOC (5-9-2011)" xfId="1608" xr:uid="{00000000-0005-0000-0000-0000BF060000}"/>
    <cellStyle name="_KT (2)_CHI TIET 03" xfId="14488" xr:uid="{00000000-0005-0000-0000-0000C0060000}"/>
    <cellStyle name="_KT (2)_Danh sach nha cung cap ( Vendor List ) - Cap nhat 15-04-2011" xfId="1609" xr:uid="{00000000-0005-0000-0000-0000C1060000}"/>
    <cellStyle name="_KT (2)_ĐỊNH MỨC KHOÁN 20-00PET -059" xfId="1610" xr:uid="{00000000-0005-0000-0000-0000C2060000}"/>
    <cellStyle name="_KT (2)_HGCT-VMC" xfId="14489" xr:uid="{00000000-0005-0000-0000-0000C3060000}"/>
    <cellStyle name="_KT (2)_JOON  omdau" xfId="14490" xr:uid="{00000000-0005-0000-0000-0000C4060000}"/>
    <cellStyle name="_KT (2)_l" xfId="1611" xr:uid="{00000000-0005-0000-0000-0000C5060000}"/>
    <cellStyle name="_KT (2)_Lora-tungchau" xfId="1612" xr:uid="{00000000-0005-0000-0000-0000C6060000}"/>
    <cellStyle name="_KT (2)_Lora-tungchau_2---DATA_SAIN GOBAIN (THEP)_Option 1-British Standard" xfId="1613" xr:uid="{00000000-0005-0000-0000-0000C7060000}"/>
    <cellStyle name="_KT (2)_M_E Services _ Education" xfId="1614" xr:uid="{00000000-0005-0000-0000-0000C8060000}"/>
    <cellStyle name="_KT (2)_M_E Services _ Education_1" xfId="1615" xr:uid="{00000000-0005-0000-0000-0000C9060000}"/>
    <cellStyle name="_KT (2)_M_E Services _ Education_1_submit DHND 5%" xfId="1616" xr:uid="{00000000-0005-0000-0000-0000CA060000}"/>
    <cellStyle name="_KT (2)_M_E Services _ Education_submit DHND 5%" xfId="1617" xr:uid="{00000000-0005-0000-0000-0000CB060000}"/>
    <cellStyle name="_KT (2)_Nha Khach Thanh Uy- Busway -LS- REV1-29-06" xfId="1618" xr:uid="{00000000-0005-0000-0000-0000CC060000}"/>
    <cellStyle name="_KT (2)_PERSONAL" xfId="1619" xr:uid="{00000000-0005-0000-0000-0000CD060000}"/>
    <cellStyle name="_KT (2)_PERSONAL 2" xfId="1620" xr:uid="{00000000-0005-0000-0000-0000CE060000}"/>
    <cellStyle name="_KT (2)_PERSONAL_2---DATA_SAIN GOBAIN (THEP)_Option 1-British Standard" xfId="1621" xr:uid="{00000000-0005-0000-0000-0000CF060000}"/>
    <cellStyle name="_KT (2)_PERSONAL_BCT - KITYCOTTAGE SS 1''x1'' ANGLE 22-00PET-026" xfId="1622" xr:uid="{00000000-0005-0000-0000-0000D0060000}"/>
    <cellStyle name="_KT (2)_PERSONAL_BCT - MID FLANGE LATCH RIGHT 22-00 PET-030" xfId="1623" xr:uid="{00000000-0005-0000-0000-0000D1060000}"/>
    <cellStyle name="_KT (2)_PERSONAL_Book1" xfId="1624" xr:uid="{00000000-0005-0000-0000-0000D2060000}"/>
    <cellStyle name="_KT (2)_PERSONAL_Book1_1" xfId="1625" xr:uid="{00000000-0005-0000-0000-0000D3060000}"/>
    <cellStyle name="_KT (2)_PERSONAL_Book1_2---DATA_SAIN GOBAIN (THEP)_Option 1-British Standard" xfId="1626" xr:uid="{00000000-0005-0000-0000-0000D4060000}"/>
    <cellStyle name="_KT (2)_PERSONAL_Book1_CACKHOANKHAUTRU" xfId="1627" xr:uid="{00000000-0005-0000-0000-0000D5060000}"/>
    <cellStyle name="_KT (2)_PERSONAL_Book1_CACKHOANKHAUTRU_2---DATA_SAIN GOBAIN (THEP)_Option 1-British Standard" xfId="1628" xr:uid="{00000000-0005-0000-0000-0000D6060000}"/>
    <cellStyle name="_KT (2)_PERSONAL_Book1_CV1-khoi luong va don gia" xfId="1629" xr:uid="{00000000-0005-0000-0000-0000D7060000}"/>
    <cellStyle name="_KT (2)_PERSONAL_Book1_CV1-khoi luong va don gia_2---DATA_SAIN GOBAIN (THEP)_Option 1-British Standard" xfId="1630" xr:uid="{00000000-0005-0000-0000-0000D8060000}"/>
    <cellStyle name="_KT (2)_PERSONAL_Book1_Danh sach nha cung cap ( Vendor List ) - Cap nhat 15-04-2011" xfId="1631" xr:uid="{00000000-0005-0000-0000-0000D9060000}"/>
    <cellStyle name="_KT (2)_PERSONAL_Book1_Du toan chi phi gia thau T12 (Dat Phuong)" xfId="1632" xr:uid="{00000000-0005-0000-0000-0000DA060000}"/>
    <cellStyle name="_KT (2)_PERSONAL_Book1_Du toan chi phi gia thau T12 (Dat Phuong)_2---DATA_SAIN GOBAIN (THEP)_Option 1-British Standard" xfId="1633" xr:uid="{00000000-0005-0000-0000-0000DB060000}"/>
    <cellStyle name="_KT (2)_PERSONAL_Book1_HD-CONGTACCHINH-THAUPHU" xfId="1634" xr:uid="{00000000-0005-0000-0000-0000DC060000}"/>
    <cellStyle name="_KT (2)_PERSONAL_Book1_HD-CONGTACCHINH-THAUPHU_2---DATA_SAIN GOBAIN (THEP)_Option 1-British Standard" xfId="1635" xr:uid="{00000000-0005-0000-0000-0000DD060000}"/>
    <cellStyle name="_KT (2)_PERSONAL_Book1_HOPDONG-NOIBO" xfId="1636" xr:uid="{00000000-0005-0000-0000-0000DE060000}"/>
    <cellStyle name="_KT (2)_PERSONAL_Book1_HOPDONG-NOIBO_2---DATA_SAIN GOBAIN (THEP)_Option 1-British Standard" xfId="1637" xr:uid="{00000000-0005-0000-0000-0000DF060000}"/>
    <cellStyle name="_KT (2)_PERSONAL_Book1_THANH TOAN-CONGTACCHINH" xfId="1638" xr:uid="{00000000-0005-0000-0000-0000E0060000}"/>
    <cellStyle name="_KT (2)_PERSONAL_Book1_THANH TOAN-CONGTACCHINH_2---DATA_SAIN GOBAIN (THEP)_Option 1-British Standard" xfId="1639" xr:uid="{00000000-0005-0000-0000-0000E1060000}"/>
    <cellStyle name="_KT (2)_PERSONAL_Book1_THANHTOAN" xfId="1640" xr:uid="{00000000-0005-0000-0000-0000E2060000}"/>
    <cellStyle name="_KT (2)_PERSONAL_Book1_THANHTOAN_2---DATA_SAIN GOBAIN (THEP)_Option 1-British Standard" xfId="1641" xr:uid="{00000000-0005-0000-0000-0000E3060000}"/>
    <cellStyle name="_KT (2)_PERSONAL_Book1_THAO DIEN PEARL  - CAP THOAT NUOC (5-9-2011)" xfId="1642" xr:uid="{00000000-0005-0000-0000-0000E4060000}"/>
    <cellStyle name="_KT (2)_PERSONAL_CACKHOANKHAUTRU" xfId="1643" xr:uid="{00000000-0005-0000-0000-0000E5060000}"/>
    <cellStyle name="_KT (2)_PERSONAL_CACKHOANKHAUTRU_2---DATA_SAIN GOBAIN (THEP)_Option 1-British Standard" xfId="1644" xr:uid="{00000000-0005-0000-0000-0000E6060000}"/>
    <cellStyle name="_KT (2)_PERSONAL_CV1-khoi luong va don gia" xfId="1645" xr:uid="{00000000-0005-0000-0000-0000E7060000}"/>
    <cellStyle name="_KT (2)_PERSONAL_CV1-khoi luong va don gia_2---DATA_SAIN GOBAIN (THEP)_Option 1-British Standard" xfId="1646" xr:uid="{00000000-0005-0000-0000-0000E8060000}"/>
    <cellStyle name="_KT (2)_PERSONAL_DT HT Goi 1.4 den ngay 15-5-08" xfId="1648" xr:uid="{00000000-0005-0000-0000-0000EA060000}"/>
    <cellStyle name="_KT (2)_PERSONAL_Du toan chi phi gia thau T12 (Dat Phuong)" xfId="1649" xr:uid="{00000000-0005-0000-0000-0000EB060000}"/>
    <cellStyle name="_KT (2)_PERSONAL_Du toan chi phi gia thau T12 (Dat Phuong)_2---DATA_SAIN GOBAIN (THEP)_Option 1-British Standard" xfId="1650" xr:uid="{00000000-0005-0000-0000-0000EC060000}"/>
    <cellStyle name="_KT (2)_PERSONAL_ĐỊNH MỨC KHOÁN 20-00PET -059" xfId="1647" xr:uid="{00000000-0005-0000-0000-0000E9060000}"/>
    <cellStyle name="_KT (2)_PERSONAL_HD-CONGTACCHINH-THAUPHU" xfId="1651" xr:uid="{00000000-0005-0000-0000-0000ED060000}"/>
    <cellStyle name="_KT (2)_PERSONAL_HD-CONGTACCHINH-THAUPHU_2---DATA_SAIN GOBAIN (THEP)_Option 1-British Standard" xfId="1652" xr:uid="{00000000-0005-0000-0000-0000EE060000}"/>
    <cellStyle name="_KT (2)_PERSONAL_HOPDONG-NOIBO" xfId="1653" xr:uid="{00000000-0005-0000-0000-0000EF060000}"/>
    <cellStyle name="_KT (2)_PERSONAL_HOPDONG-NOIBO_2---DATA_SAIN GOBAIN (THEP)_Option 1-British Standard" xfId="1654" xr:uid="{00000000-0005-0000-0000-0000F0060000}"/>
    <cellStyle name="_KT (2)_PERSONAL_HTQ.8 GD1" xfId="1655" xr:uid="{00000000-0005-0000-0000-0000F1060000}"/>
    <cellStyle name="_KT (2)_PERSONAL_HTQ.8 GD1_2---DATA_SAIN GOBAIN (THEP)_Option 1-British Standard" xfId="1656" xr:uid="{00000000-0005-0000-0000-0000F2060000}"/>
    <cellStyle name="_KT (2)_PERSONAL_l" xfId="1657" xr:uid="{00000000-0005-0000-0000-0000F3060000}"/>
    <cellStyle name="_KT (2)_PERSONAL_Nomenclature PHA1 M10 EJ 010 A" xfId="1659" xr:uid="{00000000-0005-0000-0000-0000F5060000}"/>
    <cellStyle name="_KT (2)_PERSONAL_Nha Khach Thanh Uy- Busway -LS- REV1-29-06" xfId="1658" xr:uid="{00000000-0005-0000-0000-0000F4060000}"/>
    <cellStyle name="_KT (2)_PERSONAL_Sheet2" xfId="1660" xr:uid="{00000000-0005-0000-0000-0000F6060000}"/>
    <cellStyle name="_KT (2)_PERSONAL_TAM UNG VAT TU CHINH DOT 3 (REV2)" xfId="1661" xr:uid="{00000000-0005-0000-0000-0000F7060000}"/>
    <cellStyle name="_KT (2)_PERSONAL_TAM UNG VAT TU CHINH DOT 3 (REV2)_2---DATA_SAIN GOBAIN (THEP)_Option 1-British Standard" xfId="1662" xr:uid="{00000000-0005-0000-0000-0000F8060000}"/>
    <cellStyle name="_KT (2)_PERSONAL_Tong hop KHCB 2001" xfId="1668" xr:uid="{00000000-0005-0000-0000-0000FE060000}"/>
    <cellStyle name="_KT (2)_PERSONAL_Tong hop KHCB 2001_2---DATA_SAIN GOBAIN (THEP)_Option 1-British Standard" xfId="1669" xr:uid="{00000000-0005-0000-0000-0000FF060000}"/>
    <cellStyle name="_KT (2)_PERSONAL_THANH TOAN-CONGTACCHINH" xfId="1663" xr:uid="{00000000-0005-0000-0000-0000F9060000}"/>
    <cellStyle name="_KT (2)_PERSONAL_THANH TOAN-CONGTACCHINH_2---DATA_SAIN GOBAIN (THEP)_Option 1-British Standard" xfId="1664" xr:uid="{00000000-0005-0000-0000-0000FA060000}"/>
    <cellStyle name="_KT (2)_PERSONAL_THANHTOAN" xfId="1665" xr:uid="{00000000-0005-0000-0000-0000FB060000}"/>
    <cellStyle name="_KT (2)_PERSONAL_THANHTOAN_2---DATA_SAIN GOBAIN (THEP)_Option 1-British Standard" xfId="1666" xr:uid="{00000000-0005-0000-0000-0000FC060000}"/>
    <cellStyle name="_KT (2)_PERSONAL_THAO DIEN PEARL  - CAP THOAT NUOC (5-9-2011)" xfId="1667" xr:uid="{00000000-0005-0000-0000-0000FD060000}"/>
    <cellStyle name="_KT (2)_PERSONAL_Vat tu boc tach Goldola" xfId="1670" xr:uid="{00000000-0005-0000-0000-000000070000}"/>
    <cellStyle name="_KT (2)_Qt-HT3PQ1(CauKho)" xfId="1671" xr:uid="{00000000-0005-0000-0000-000001070000}"/>
    <cellStyle name="_KT (2)_Qt-HT3PQ1(CauKho)_2---DATA_SAIN GOBAIN (THEP)_Option 1-British Standard" xfId="1672" xr:uid="{00000000-0005-0000-0000-000002070000}"/>
    <cellStyle name="_KT (2)_submit DHND 5%" xfId="1673" xr:uid="{00000000-0005-0000-0000-000003070000}"/>
    <cellStyle name="_KT (2)_TAM UNG VAT TU CHINH DOT 3 (REV2)" xfId="1674" xr:uid="{00000000-0005-0000-0000-000004070000}"/>
    <cellStyle name="_KT (2)_TAM UNG VAT TU CHINH DOT 3 (REV2)_2---DATA_SAIN GOBAIN (THEP)_Option 1-British Standard" xfId="1675" xr:uid="{00000000-0005-0000-0000-000005070000}"/>
    <cellStyle name="_KT (2)_TG-TH" xfId="1676" xr:uid="{00000000-0005-0000-0000-000006070000}"/>
    <cellStyle name="_KT (2)_TG-TH_2---DATA_SAIN GOBAIN (THEP)_Option 1-British Standard" xfId="1677" xr:uid="{00000000-0005-0000-0000-000007070000}"/>
    <cellStyle name="_KT (2)_TG-TH_M_E Services _ Education" xfId="1678" xr:uid="{00000000-0005-0000-0000-000008070000}"/>
    <cellStyle name="_KT (2)_TG-TH_M_E Services _ Education_1" xfId="1679" xr:uid="{00000000-0005-0000-0000-000009070000}"/>
    <cellStyle name="_KT (2)_TG-TH_M_E Services _ Education_1_submit DHND 5%" xfId="1680" xr:uid="{00000000-0005-0000-0000-00000A070000}"/>
    <cellStyle name="_KT (2)_TG-TH_M_E Services _ Education_submit DHND 5%" xfId="1681" xr:uid="{00000000-0005-0000-0000-00000B070000}"/>
    <cellStyle name="_KT (2)_TG-TH_submit DHND 5%" xfId="1682" xr:uid="{00000000-0005-0000-0000-00000C070000}"/>
    <cellStyle name="_KT (2)_VHUONG KO GIU 2%" xfId="14491" xr:uid="{00000000-0005-0000-0000-00000D070000}"/>
    <cellStyle name="_KT (2)_VHUONG KO GIU 2%_tong hop" xfId="14492" xr:uid="{00000000-0005-0000-0000-00000E070000}"/>
    <cellStyle name="_KT_TG" xfId="1683" xr:uid="{00000000-0005-0000-0000-00000F070000}"/>
    <cellStyle name="_KT_TG_1" xfId="1684" xr:uid="{00000000-0005-0000-0000-000010070000}"/>
    <cellStyle name="_KT_TG_1 10" xfId="1685" xr:uid="{00000000-0005-0000-0000-000011070000}"/>
    <cellStyle name="_KT_TG_1 100" xfId="1686" xr:uid="{00000000-0005-0000-0000-000012070000}"/>
    <cellStyle name="_KT_TG_1 101" xfId="1687" xr:uid="{00000000-0005-0000-0000-000013070000}"/>
    <cellStyle name="_KT_TG_1 102" xfId="1688" xr:uid="{00000000-0005-0000-0000-000014070000}"/>
    <cellStyle name="_KT_TG_1 103" xfId="1689" xr:uid="{00000000-0005-0000-0000-000015070000}"/>
    <cellStyle name="_KT_TG_1 104" xfId="1690" xr:uid="{00000000-0005-0000-0000-000016070000}"/>
    <cellStyle name="_KT_TG_1 105" xfId="1691" xr:uid="{00000000-0005-0000-0000-000017070000}"/>
    <cellStyle name="_KT_TG_1 106" xfId="1692" xr:uid="{00000000-0005-0000-0000-000018070000}"/>
    <cellStyle name="_KT_TG_1 107" xfId="1693" xr:uid="{00000000-0005-0000-0000-000019070000}"/>
    <cellStyle name="_KT_TG_1 108" xfId="1694" xr:uid="{00000000-0005-0000-0000-00001A070000}"/>
    <cellStyle name="_KT_TG_1 109" xfId="1695" xr:uid="{00000000-0005-0000-0000-00001B070000}"/>
    <cellStyle name="_KT_TG_1 11" xfId="1696" xr:uid="{00000000-0005-0000-0000-00001C070000}"/>
    <cellStyle name="_KT_TG_1 110" xfId="1697" xr:uid="{00000000-0005-0000-0000-00001D070000}"/>
    <cellStyle name="_KT_TG_1 111" xfId="1698" xr:uid="{00000000-0005-0000-0000-00001E070000}"/>
    <cellStyle name="_KT_TG_1 12" xfId="1699" xr:uid="{00000000-0005-0000-0000-00001F070000}"/>
    <cellStyle name="_KT_TG_1 13" xfId="1700" xr:uid="{00000000-0005-0000-0000-000020070000}"/>
    <cellStyle name="_KT_TG_1 14" xfId="1701" xr:uid="{00000000-0005-0000-0000-000021070000}"/>
    <cellStyle name="_KT_TG_1 15" xfId="1702" xr:uid="{00000000-0005-0000-0000-000022070000}"/>
    <cellStyle name="_KT_TG_1 16" xfId="1703" xr:uid="{00000000-0005-0000-0000-000023070000}"/>
    <cellStyle name="_KT_TG_1 17" xfId="1704" xr:uid="{00000000-0005-0000-0000-000024070000}"/>
    <cellStyle name="_KT_TG_1 18" xfId="1705" xr:uid="{00000000-0005-0000-0000-000025070000}"/>
    <cellStyle name="_KT_TG_1 19" xfId="1706" xr:uid="{00000000-0005-0000-0000-000026070000}"/>
    <cellStyle name="_KT_TG_1 2" xfId="1707" xr:uid="{00000000-0005-0000-0000-000027070000}"/>
    <cellStyle name="_KT_TG_1 20" xfId="1708" xr:uid="{00000000-0005-0000-0000-000028070000}"/>
    <cellStyle name="_KT_TG_1 21" xfId="1709" xr:uid="{00000000-0005-0000-0000-000029070000}"/>
    <cellStyle name="_KT_TG_1 22" xfId="1710" xr:uid="{00000000-0005-0000-0000-00002A070000}"/>
    <cellStyle name="_KT_TG_1 23" xfId="1711" xr:uid="{00000000-0005-0000-0000-00002B070000}"/>
    <cellStyle name="_KT_TG_1 24" xfId="1712" xr:uid="{00000000-0005-0000-0000-00002C070000}"/>
    <cellStyle name="_KT_TG_1 25" xfId="1713" xr:uid="{00000000-0005-0000-0000-00002D070000}"/>
    <cellStyle name="_KT_TG_1 26" xfId="1714" xr:uid="{00000000-0005-0000-0000-00002E070000}"/>
    <cellStyle name="_KT_TG_1 27" xfId="1715" xr:uid="{00000000-0005-0000-0000-00002F070000}"/>
    <cellStyle name="_KT_TG_1 28" xfId="1716" xr:uid="{00000000-0005-0000-0000-000030070000}"/>
    <cellStyle name="_KT_TG_1 29" xfId="1717" xr:uid="{00000000-0005-0000-0000-000031070000}"/>
    <cellStyle name="_KT_TG_1 3" xfId="1718" xr:uid="{00000000-0005-0000-0000-000032070000}"/>
    <cellStyle name="_KT_TG_1 30" xfId="1719" xr:uid="{00000000-0005-0000-0000-000033070000}"/>
    <cellStyle name="_KT_TG_1 31" xfId="1720" xr:uid="{00000000-0005-0000-0000-000034070000}"/>
    <cellStyle name="_KT_TG_1 32" xfId="1721" xr:uid="{00000000-0005-0000-0000-000035070000}"/>
    <cellStyle name="_KT_TG_1 33" xfId="1722" xr:uid="{00000000-0005-0000-0000-000036070000}"/>
    <cellStyle name="_KT_TG_1 34" xfId="1723" xr:uid="{00000000-0005-0000-0000-000037070000}"/>
    <cellStyle name="_KT_TG_1 35" xfId="1724" xr:uid="{00000000-0005-0000-0000-000038070000}"/>
    <cellStyle name="_KT_TG_1 36" xfId="1725" xr:uid="{00000000-0005-0000-0000-000039070000}"/>
    <cellStyle name="_KT_TG_1 37" xfId="1726" xr:uid="{00000000-0005-0000-0000-00003A070000}"/>
    <cellStyle name="_KT_TG_1 38" xfId="1727" xr:uid="{00000000-0005-0000-0000-00003B070000}"/>
    <cellStyle name="_KT_TG_1 39" xfId="1728" xr:uid="{00000000-0005-0000-0000-00003C070000}"/>
    <cellStyle name="_KT_TG_1 4" xfId="1729" xr:uid="{00000000-0005-0000-0000-00003D070000}"/>
    <cellStyle name="_KT_TG_1 40" xfId="1730" xr:uid="{00000000-0005-0000-0000-00003E070000}"/>
    <cellStyle name="_KT_TG_1 41" xfId="1731" xr:uid="{00000000-0005-0000-0000-00003F070000}"/>
    <cellStyle name="_KT_TG_1 42" xfId="1732" xr:uid="{00000000-0005-0000-0000-000040070000}"/>
    <cellStyle name="_KT_TG_1 43" xfId="1733" xr:uid="{00000000-0005-0000-0000-000041070000}"/>
    <cellStyle name="_KT_TG_1 44" xfId="1734" xr:uid="{00000000-0005-0000-0000-000042070000}"/>
    <cellStyle name="_KT_TG_1 45" xfId="1735" xr:uid="{00000000-0005-0000-0000-000043070000}"/>
    <cellStyle name="_KT_TG_1 46" xfId="1736" xr:uid="{00000000-0005-0000-0000-000044070000}"/>
    <cellStyle name="_KT_TG_1 47" xfId="1737" xr:uid="{00000000-0005-0000-0000-000045070000}"/>
    <cellStyle name="_KT_TG_1 48" xfId="1738" xr:uid="{00000000-0005-0000-0000-000046070000}"/>
    <cellStyle name="_KT_TG_1 49" xfId="1739" xr:uid="{00000000-0005-0000-0000-000047070000}"/>
    <cellStyle name="_KT_TG_1 5" xfId="1740" xr:uid="{00000000-0005-0000-0000-000048070000}"/>
    <cellStyle name="_KT_TG_1 50" xfId="1741" xr:uid="{00000000-0005-0000-0000-000049070000}"/>
    <cellStyle name="_KT_TG_1 51" xfId="1742" xr:uid="{00000000-0005-0000-0000-00004A070000}"/>
    <cellStyle name="_KT_TG_1 52" xfId="1743" xr:uid="{00000000-0005-0000-0000-00004B070000}"/>
    <cellStyle name="_KT_TG_1 53" xfId="1744" xr:uid="{00000000-0005-0000-0000-00004C070000}"/>
    <cellStyle name="_KT_TG_1 54" xfId="1745" xr:uid="{00000000-0005-0000-0000-00004D070000}"/>
    <cellStyle name="_KT_TG_1 55" xfId="1746" xr:uid="{00000000-0005-0000-0000-00004E070000}"/>
    <cellStyle name="_KT_TG_1 56" xfId="1747" xr:uid="{00000000-0005-0000-0000-00004F070000}"/>
    <cellStyle name="_KT_TG_1 57" xfId="1748" xr:uid="{00000000-0005-0000-0000-000050070000}"/>
    <cellStyle name="_KT_TG_1 58" xfId="1749" xr:uid="{00000000-0005-0000-0000-000051070000}"/>
    <cellStyle name="_KT_TG_1 59" xfId="1750" xr:uid="{00000000-0005-0000-0000-000052070000}"/>
    <cellStyle name="_KT_TG_1 6" xfId="1751" xr:uid="{00000000-0005-0000-0000-000053070000}"/>
    <cellStyle name="_KT_TG_1 60" xfId="1752" xr:uid="{00000000-0005-0000-0000-000054070000}"/>
    <cellStyle name="_KT_TG_1 61" xfId="1753" xr:uid="{00000000-0005-0000-0000-000055070000}"/>
    <cellStyle name="_KT_TG_1 62" xfId="1754" xr:uid="{00000000-0005-0000-0000-000056070000}"/>
    <cellStyle name="_KT_TG_1 63" xfId="1755" xr:uid="{00000000-0005-0000-0000-000057070000}"/>
    <cellStyle name="_KT_TG_1 64" xfId="1756" xr:uid="{00000000-0005-0000-0000-000058070000}"/>
    <cellStyle name="_KT_TG_1 65" xfId="1757" xr:uid="{00000000-0005-0000-0000-000059070000}"/>
    <cellStyle name="_KT_TG_1 66" xfId="1758" xr:uid="{00000000-0005-0000-0000-00005A070000}"/>
    <cellStyle name="_KT_TG_1 67" xfId="1759" xr:uid="{00000000-0005-0000-0000-00005B070000}"/>
    <cellStyle name="_KT_TG_1 68" xfId="1760" xr:uid="{00000000-0005-0000-0000-00005C070000}"/>
    <cellStyle name="_KT_TG_1 69" xfId="1761" xr:uid="{00000000-0005-0000-0000-00005D070000}"/>
    <cellStyle name="_KT_TG_1 7" xfId="1762" xr:uid="{00000000-0005-0000-0000-00005E070000}"/>
    <cellStyle name="_KT_TG_1 70" xfId="1763" xr:uid="{00000000-0005-0000-0000-00005F070000}"/>
    <cellStyle name="_KT_TG_1 71" xfId="1764" xr:uid="{00000000-0005-0000-0000-000060070000}"/>
    <cellStyle name="_KT_TG_1 72" xfId="1765" xr:uid="{00000000-0005-0000-0000-000061070000}"/>
    <cellStyle name="_KT_TG_1 73" xfId="1766" xr:uid="{00000000-0005-0000-0000-000062070000}"/>
    <cellStyle name="_KT_TG_1 74" xfId="1767" xr:uid="{00000000-0005-0000-0000-000063070000}"/>
    <cellStyle name="_KT_TG_1 75" xfId="1768" xr:uid="{00000000-0005-0000-0000-000064070000}"/>
    <cellStyle name="_KT_TG_1 76" xfId="1769" xr:uid="{00000000-0005-0000-0000-000065070000}"/>
    <cellStyle name="_KT_TG_1 77" xfId="1770" xr:uid="{00000000-0005-0000-0000-000066070000}"/>
    <cellStyle name="_KT_TG_1 78" xfId="1771" xr:uid="{00000000-0005-0000-0000-000067070000}"/>
    <cellStyle name="_KT_TG_1 79" xfId="1772" xr:uid="{00000000-0005-0000-0000-000068070000}"/>
    <cellStyle name="_KT_TG_1 8" xfId="1773" xr:uid="{00000000-0005-0000-0000-000069070000}"/>
    <cellStyle name="_KT_TG_1 80" xfId="1774" xr:uid="{00000000-0005-0000-0000-00006A070000}"/>
    <cellStyle name="_KT_TG_1 81" xfId="1775" xr:uid="{00000000-0005-0000-0000-00006B070000}"/>
    <cellStyle name="_KT_TG_1 82" xfId="1776" xr:uid="{00000000-0005-0000-0000-00006C070000}"/>
    <cellStyle name="_KT_TG_1 83" xfId="1777" xr:uid="{00000000-0005-0000-0000-00006D070000}"/>
    <cellStyle name="_KT_TG_1 84" xfId="1778" xr:uid="{00000000-0005-0000-0000-00006E070000}"/>
    <cellStyle name="_KT_TG_1 85" xfId="1779" xr:uid="{00000000-0005-0000-0000-00006F070000}"/>
    <cellStyle name="_KT_TG_1 86" xfId="1780" xr:uid="{00000000-0005-0000-0000-000070070000}"/>
    <cellStyle name="_KT_TG_1 87" xfId="1781" xr:uid="{00000000-0005-0000-0000-000071070000}"/>
    <cellStyle name="_KT_TG_1 88" xfId="1782" xr:uid="{00000000-0005-0000-0000-000072070000}"/>
    <cellStyle name="_KT_TG_1 89" xfId="1783" xr:uid="{00000000-0005-0000-0000-000073070000}"/>
    <cellStyle name="_KT_TG_1 9" xfId="1784" xr:uid="{00000000-0005-0000-0000-000074070000}"/>
    <cellStyle name="_KT_TG_1 90" xfId="1785" xr:uid="{00000000-0005-0000-0000-000075070000}"/>
    <cellStyle name="_KT_TG_1 91" xfId="1786" xr:uid="{00000000-0005-0000-0000-000076070000}"/>
    <cellStyle name="_KT_TG_1 92" xfId="1787" xr:uid="{00000000-0005-0000-0000-000077070000}"/>
    <cellStyle name="_KT_TG_1 93" xfId="1788" xr:uid="{00000000-0005-0000-0000-000078070000}"/>
    <cellStyle name="_KT_TG_1 94" xfId="1789" xr:uid="{00000000-0005-0000-0000-000079070000}"/>
    <cellStyle name="_KT_TG_1 95" xfId="1790" xr:uid="{00000000-0005-0000-0000-00007A070000}"/>
    <cellStyle name="_KT_TG_1 96" xfId="1791" xr:uid="{00000000-0005-0000-0000-00007B070000}"/>
    <cellStyle name="_KT_TG_1 97" xfId="1792" xr:uid="{00000000-0005-0000-0000-00007C070000}"/>
    <cellStyle name="_KT_TG_1 98" xfId="1793" xr:uid="{00000000-0005-0000-0000-00007D070000}"/>
    <cellStyle name="_KT_TG_1 99" xfId="1794" xr:uid="{00000000-0005-0000-0000-00007E070000}"/>
    <cellStyle name="_KT_TG_1_04- Bang bieu khoi luong 20110531(2)" xfId="1795" xr:uid="{00000000-0005-0000-0000-00007F070000}"/>
    <cellStyle name="_KT_TG_1_04-Bang bieu khoi luong 20110703(kiet)" xfId="1796" xr:uid="{00000000-0005-0000-0000-000080070000}"/>
    <cellStyle name="_KT_TG_1_20110627-TDP-MEP BOQ-R2" xfId="1797" xr:uid="{00000000-0005-0000-0000-000081070000}"/>
    <cellStyle name="_KT_TG_1_2---DATA_SAIN GOBAIN (THEP)_Option 1-British Standard" xfId="1798" xr:uid="{00000000-0005-0000-0000-000082070000}"/>
    <cellStyle name="_KT_TG_1_44611-MEP Estimate cost" xfId="1799" xr:uid="{00000000-0005-0000-0000-000083070000}"/>
    <cellStyle name="_KT_TG_1_BAO CAO KLCT PT2000" xfId="1800" xr:uid="{00000000-0005-0000-0000-000084070000}"/>
    <cellStyle name="_KT_TG_1_BAO CAO KLCT PT2000_2---DATA_SAIN GOBAIN (THEP)_Option 1-British Standard" xfId="1801" xr:uid="{00000000-0005-0000-0000-000085070000}"/>
    <cellStyle name="_KT_TG_1_BAO CAO PT2000" xfId="1802" xr:uid="{00000000-0005-0000-0000-000086070000}"/>
    <cellStyle name="_KT_TG_1_BAO CAO PT2000_2---DATA_SAIN GOBAIN (THEP)_Option 1-British Standard" xfId="1803" xr:uid="{00000000-0005-0000-0000-000087070000}"/>
    <cellStyle name="_KT_TG_1_BAO CAO PT2000_Book1" xfId="1804" xr:uid="{00000000-0005-0000-0000-000088070000}"/>
    <cellStyle name="_KT_TG_1_BAO CAO PT2000_Book1_2---DATA_SAIN GOBAIN (THEP)_Option 1-British Standard" xfId="1805" xr:uid="{00000000-0005-0000-0000-000089070000}"/>
    <cellStyle name="_KT_TG_1_Bao cao XDCB 2001 - T11 KH dieu chinh 20-11-THAI" xfId="1806" xr:uid="{00000000-0005-0000-0000-00008A070000}"/>
    <cellStyle name="_KT_TG_1_Bao cao XDCB 2001 - T11 KH dieu chinh 20-11-THAI_2---DATA_SAIN GOBAIN (THEP)_Option 1-British Standard" xfId="1807" xr:uid="{00000000-0005-0000-0000-00008B070000}"/>
    <cellStyle name="_KT_TG_1_BCT - KITYCOTTAGE SS 1''x1'' ANGLE 22-00PET-026" xfId="1808" xr:uid="{00000000-0005-0000-0000-00008C070000}"/>
    <cellStyle name="_KT_TG_1_BCT - MID FLANGE LATCH RIGHT 22-00 PET-030" xfId="1809" xr:uid="{00000000-0005-0000-0000-00008D070000}"/>
    <cellStyle name="_KT_TG_1_Book1" xfId="1810" xr:uid="{00000000-0005-0000-0000-00008E070000}"/>
    <cellStyle name="_KT_TG_1_Book1 2" xfId="1811" xr:uid="{00000000-0005-0000-0000-00008F070000}"/>
    <cellStyle name="_KT_TG_1_Book1_1" xfId="1812" xr:uid="{00000000-0005-0000-0000-000090070000}"/>
    <cellStyle name="_KT_TG_1_Book1_1 2" xfId="1813" xr:uid="{00000000-0005-0000-0000-000091070000}"/>
    <cellStyle name="_KT_TG_1_Book1_1_2---DATA_SAIN GOBAIN (THEP)_Option 1-British Standard" xfId="1814" xr:uid="{00000000-0005-0000-0000-000092070000}"/>
    <cellStyle name="_KT_TG_1_Book1_1_BCT - KITYCOTTAGE SS 1''x1'' ANGLE 22-00PET-026" xfId="1815" xr:uid="{00000000-0005-0000-0000-000093070000}"/>
    <cellStyle name="_KT_TG_1_Book1_1_Bill of quantity - cables tray FA - Paragon detail from Tai 011-07-2011" xfId="1816" xr:uid="{00000000-0005-0000-0000-000094070000}"/>
    <cellStyle name="_KT_TG_1_Book1_1_Book1" xfId="1817" xr:uid="{00000000-0005-0000-0000-000095070000}"/>
    <cellStyle name="_KT_TG_1_Book1_1_Book1_2---DATA_SAIN GOBAIN (THEP)_Option 1-British Standard" xfId="1818" xr:uid="{00000000-0005-0000-0000-000096070000}"/>
    <cellStyle name="_KT_TG_1_Book1_1_Book1_THAO DIEN PEARL  - CAP THOAT NUOC (5-9-2011)" xfId="1819" xr:uid="{00000000-0005-0000-0000-000097070000}"/>
    <cellStyle name="_KT_TG_1_Book1_1_CACKHOANKHAUTRU" xfId="1820" xr:uid="{00000000-0005-0000-0000-000098070000}"/>
    <cellStyle name="_KT_TG_1_Book1_1_CACKHOANKHAUTRU_2---DATA_SAIN GOBAIN (THEP)_Option 1-British Standard" xfId="1821" xr:uid="{00000000-0005-0000-0000-000099070000}"/>
    <cellStyle name="_KT_TG_1_Book1_1_Danh sach nha cung cap ( Vendor List ) - Cap nhat 15-04-2011" xfId="1822" xr:uid="{00000000-0005-0000-0000-00009A070000}"/>
    <cellStyle name="_KT_TG_1_Book1_1_KLTT-PHUCHUNG" xfId="1823" xr:uid="{00000000-0005-0000-0000-00009B070000}"/>
    <cellStyle name="_KT_TG_1_Book1_1_KLTT-PHUCHUNG_2---DATA_SAIN GOBAIN (THEP)_Option 1-British Standard" xfId="1824" xr:uid="{00000000-0005-0000-0000-00009C070000}"/>
    <cellStyle name="_KT_TG_1_Book1_1_l" xfId="1825" xr:uid="{00000000-0005-0000-0000-00009D070000}"/>
    <cellStyle name="_KT_TG_1_Book1_1_Nha Khach Thanh Uy- Busway -LS- REV1-29-06" xfId="1826" xr:uid="{00000000-0005-0000-0000-00009E070000}"/>
    <cellStyle name="_KT_TG_1_Book1_1_Thanh toan (Du an Ca Mau)" xfId="1827" xr:uid="{00000000-0005-0000-0000-00009F070000}"/>
    <cellStyle name="_KT_TG_1_Book1_1_Thanh toan (Du an Ca Mau)_2---DATA_SAIN GOBAIN (THEP)_Option 1-British Standard" xfId="1828" xr:uid="{00000000-0005-0000-0000-0000A0070000}"/>
    <cellStyle name="_KT_TG_1_Book1_1_THANHTOAN" xfId="1829" xr:uid="{00000000-0005-0000-0000-0000A1070000}"/>
    <cellStyle name="_KT_TG_1_Book1_1_THANHTOAN A-B" xfId="1830" xr:uid="{00000000-0005-0000-0000-0000A2070000}"/>
    <cellStyle name="_KT_TG_1_Book1_1_THANHTOAN A-B_2---DATA_SAIN GOBAIN (THEP)_Option 1-British Standard" xfId="1831" xr:uid="{00000000-0005-0000-0000-0000A3070000}"/>
    <cellStyle name="_KT_TG_1_Book1_1_THANHTOAN_2---DATA_SAIN GOBAIN (THEP)_Option 1-British Standard" xfId="1832" xr:uid="{00000000-0005-0000-0000-0000A4070000}"/>
    <cellStyle name="_KT_TG_1_Book1_1_THAO DIEN PEARL  - CAP THOAT NUOC (5-9-2011)" xfId="1833" xr:uid="{00000000-0005-0000-0000-0000A5070000}"/>
    <cellStyle name="_KT_TG_1_Book1_2" xfId="1834" xr:uid="{00000000-0005-0000-0000-0000A6070000}"/>
    <cellStyle name="_KT_TG_1_Book1_2 2" xfId="1835" xr:uid="{00000000-0005-0000-0000-0000A7070000}"/>
    <cellStyle name="_KT_TG_1_Book1_2_2---DATA_SAIN GOBAIN (THEP)_Option 1-British Standard" xfId="1836" xr:uid="{00000000-0005-0000-0000-0000A8070000}"/>
    <cellStyle name="_KT_TG_1_Book1_2_Bill of quantity - cables tray FA - Paragon detail from Tai 011-07-2011" xfId="1837" xr:uid="{00000000-0005-0000-0000-0000A9070000}"/>
    <cellStyle name="_KT_TG_1_Book1_2_Book1" xfId="1838" xr:uid="{00000000-0005-0000-0000-0000AA070000}"/>
    <cellStyle name="_KT_TG_1_Book1_2_Book1_2---DATA_SAIN GOBAIN (THEP)_Option 1-British Standard" xfId="1839" xr:uid="{00000000-0005-0000-0000-0000AB070000}"/>
    <cellStyle name="_KT_TG_1_Book1_2_CACKHOANKHAUTRU" xfId="1840" xr:uid="{00000000-0005-0000-0000-0000AC070000}"/>
    <cellStyle name="_KT_TG_1_Book1_2_CACKHOANKHAUTRU_2---DATA_SAIN GOBAIN (THEP)_Option 1-British Standard" xfId="1841" xr:uid="{00000000-0005-0000-0000-0000AD070000}"/>
    <cellStyle name="_KT_TG_1_Book1_2_Danh sach nha cung cap ( Vendor List ) - Cap nhat 15-04-2011" xfId="1842" xr:uid="{00000000-0005-0000-0000-0000AE070000}"/>
    <cellStyle name="_KT_TG_1_Book1_2_KLTT-PHUCHUNG" xfId="1843" xr:uid="{00000000-0005-0000-0000-0000AF070000}"/>
    <cellStyle name="_KT_TG_1_Book1_2_KLTT-PHUCHUNG_2---DATA_SAIN GOBAIN (THEP)_Option 1-British Standard" xfId="1844" xr:uid="{00000000-0005-0000-0000-0000B0070000}"/>
    <cellStyle name="_KT_TG_1_Book1_2_l" xfId="1845" xr:uid="{00000000-0005-0000-0000-0000B1070000}"/>
    <cellStyle name="_KT_TG_1_Book1_2_Nha Khach Thanh Uy- Busway -LS- REV1-29-06" xfId="1846" xr:uid="{00000000-0005-0000-0000-0000B2070000}"/>
    <cellStyle name="_KT_TG_1_Book1_2_Thanh toan (Du an Ca Mau)" xfId="1847" xr:uid="{00000000-0005-0000-0000-0000B3070000}"/>
    <cellStyle name="_KT_TG_1_Book1_2_Thanh toan (Du an Ca Mau)_2---DATA_SAIN GOBAIN (THEP)_Option 1-British Standard" xfId="1848" xr:uid="{00000000-0005-0000-0000-0000B4070000}"/>
    <cellStyle name="_KT_TG_1_Book1_2_THANHTOAN" xfId="1849" xr:uid="{00000000-0005-0000-0000-0000B5070000}"/>
    <cellStyle name="_KT_TG_1_Book1_2_THANHTOAN A-B" xfId="1850" xr:uid="{00000000-0005-0000-0000-0000B6070000}"/>
    <cellStyle name="_KT_TG_1_Book1_2_THANHTOAN A-B_2---DATA_SAIN GOBAIN (THEP)_Option 1-British Standard" xfId="1851" xr:uid="{00000000-0005-0000-0000-0000B7070000}"/>
    <cellStyle name="_KT_TG_1_Book1_2_THANHTOAN_2---DATA_SAIN GOBAIN (THEP)_Option 1-British Standard" xfId="1852" xr:uid="{00000000-0005-0000-0000-0000B8070000}"/>
    <cellStyle name="_KT_TG_1_Book1_2_THAO DIEN PEARL  - CAP THOAT NUOC (5-9-2011)" xfId="1853" xr:uid="{00000000-0005-0000-0000-0000B9070000}"/>
    <cellStyle name="_KT_TG_1_Book1_2---DATA_SAIN GOBAIN (THEP)_Option 1-British Standard" xfId="1854" xr:uid="{00000000-0005-0000-0000-0000BA070000}"/>
    <cellStyle name="_KT_TG_1_Book1_3" xfId="1855" xr:uid="{00000000-0005-0000-0000-0000BB070000}"/>
    <cellStyle name="_KT_TG_1_Book1_3_2---DATA_SAIN GOBAIN (THEP)_Option 1-British Standard" xfId="1856" xr:uid="{00000000-0005-0000-0000-0000BC070000}"/>
    <cellStyle name="_KT_TG_1_Book1_4" xfId="1857" xr:uid="{00000000-0005-0000-0000-0000BD070000}"/>
    <cellStyle name="_KT_TG_1_Book1_4_2---DATA_SAIN GOBAIN (THEP)_Option 1-British Standard" xfId="1858" xr:uid="{00000000-0005-0000-0000-0000BE070000}"/>
    <cellStyle name="_KT_TG_1_Book1_BC-QT-WB-dthao" xfId="1859" xr:uid="{00000000-0005-0000-0000-0000BF070000}"/>
    <cellStyle name="_KT_TG_1_Book1_BC-QT-WB-dthao_2---DATA_SAIN GOBAIN (THEP)_Option 1-British Standard" xfId="1860" xr:uid="{00000000-0005-0000-0000-0000C0070000}"/>
    <cellStyle name="_KT_TG_1_Book1_Book1" xfId="1861" xr:uid="{00000000-0005-0000-0000-0000C1070000}"/>
    <cellStyle name="_KT_TG_1_Book1_Book1_2---DATA_SAIN GOBAIN (THEP)_Option 1-British Standard" xfId="1862" xr:uid="{00000000-0005-0000-0000-0000C2070000}"/>
    <cellStyle name="_KT_TG_1_Book1_Book1_Book1" xfId="1863" xr:uid="{00000000-0005-0000-0000-0000C3070000}"/>
    <cellStyle name="_KT_TG_1_Book1_Book1_Book1_2---DATA_SAIN GOBAIN (THEP)_Option 1-British Standard" xfId="1864" xr:uid="{00000000-0005-0000-0000-0000C4070000}"/>
    <cellStyle name="_KT_TG_1_Book1_Book1_CACKHOANKHAUTRU" xfId="1865" xr:uid="{00000000-0005-0000-0000-0000C5070000}"/>
    <cellStyle name="_KT_TG_1_Book1_Book1_CACKHOANKHAUTRU_2---DATA_SAIN GOBAIN (THEP)_Option 1-British Standard" xfId="1866" xr:uid="{00000000-0005-0000-0000-0000C6070000}"/>
    <cellStyle name="_KT_TG_1_Book1_Book1_KLTT-PHUCHUNG" xfId="1867" xr:uid="{00000000-0005-0000-0000-0000C7070000}"/>
    <cellStyle name="_KT_TG_1_Book1_Book1_KLTT-PHUCHUNG_2---DATA_SAIN GOBAIN (THEP)_Option 1-British Standard" xfId="1868" xr:uid="{00000000-0005-0000-0000-0000C8070000}"/>
    <cellStyle name="_KT_TG_1_Book1_Book1_Thanh toan (Du an Ca Mau)" xfId="1869" xr:uid="{00000000-0005-0000-0000-0000C9070000}"/>
    <cellStyle name="_KT_TG_1_Book1_Book1_Thanh toan (Du an Ca Mau)_2---DATA_SAIN GOBAIN (THEP)_Option 1-British Standard" xfId="1870" xr:uid="{00000000-0005-0000-0000-0000CA070000}"/>
    <cellStyle name="_KT_TG_1_Book1_Book1_THANHTOAN" xfId="1871" xr:uid="{00000000-0005-0000-0000-0000CB070000}"/>
    <cellStyle name="_KT_TG_1_Book1_Book1_THANHTOAN A-B" xfId="1872" xr:uid="{00000000-0005-0000-0000-0000CC070000}"/>
    <cellStyle name="_KT_TG_1_Book1_Book1_THANHTOAN A-B_2---DATA_SAIN GOBAIN (THEP)_Option 1-British Standard" xfId="1873" xr:uid="{00000000-0005-0000-0000-0000CD070000}"/>
    <cellStyle name="_KT_TG_1_Book1_Book1_THANHTOAN_2---DATA_SAIN GOBAIN (THEP)_Option 1-British Standard" xfId="1874" xr:uid="{00000000-0005-0000-0000-0000CE070000}"/>
    <cellStyle name="_KT_TG_1_Book1_Book1_THAO DIEN PEARL  - CAP THOAT NUOC (5-9-2011)" xfId="1875" xr:uid="{00000000-0005-0000-0000-0000CF070000}"/>
    <cellStyle name="_KT_TG_1_Book1_CACKHOANKHAUTRU" xfId="1876" xr:uid="{00000000-0005-0000-0000-0000D0070000}"/>
    <cellStyle name="_KT_TG_1_Book1_CACKHOANKHAUTRU_2---DATA_SAIN GOBAIN (THEP)_Option 1-British Standard" xfId="1877" xr:uid="{00000000-0005-0000-0000-0000D1070000}"/>
    <cellStyle name="_KT_TG_1_Book1_CV1-khoi luong va don gia" xfId="1878" xr:uid="{00000000-0005-0000-0000-0000D2070000}"/>
    <cellStyle name="_KT_TG_1_Book1_CV1-khoi luong va don gia_2---DATA_SAIN GOBAIN (THEP)_Option 1-British Standard" xfId="1879" xr:uid="{00000000-0005-0000-0000-0000D3070000}"/>
    <cellStyle name="_KT_TG_1_Book1_Danh sach nha cung cap ( Vendor List ) - Cap nhat 15-04-2011" xfId="1880" xr:uid="{00000000-0005-0000-0000-0000D4070000}"/>
    <cellStyle name="_KT_TG_1_Book1_Du toan chi phi gia thau T12 (Dat Phuong)" xfId="1881" xr:uid="{00000000-0005-0000-0000-0000D5070000}"/>
    <cellStyle name="_KT_TG_1_Book1_Du toan chi phi gia thau T12 (Dat Phuong)_2---DATA_SAIN GOBAIN (THEP)_Option 1-British Standard" xfId="1882" xr:uid="{00000000-0005-0000-0000-0000D6070000}"/>
    <cellStyle name="_KT_TG_1_Book1_HD-CONGTACCHINH-THAUPHU" xfId="1883" xr:uid="{00000000-0005-0000-0000-0000D7070000}"/>
    <cellStyle name="_KT_TG_1_Book1_HD-CONGTACCHINH-THAUPHU_2---DATA_SAIN GOBAIN (THEP)_Option 1-British Standard" xfId="1884" xr:uid="{00000000-0005-0000-0000-0000D8070000}"/>
    <cellStyle name="_KT_TG_1_Book1_HOPDONG-NOIBO" xfId="1885" xr:uid="{00000000-0005-0000-0000-0000D9070000}"/>
    <cellStyle name="_KT_TG_1_Book1_HOPDONG-NOIBO_2---DATA_SAIN GOBAIN (THEP)_Option 1-British Standard" xfId="1886" xr:uid="{00000000-0005-0000-0000-0000DA070000}"/>
    <cellStyle name="_KT_TG_1_Book1_l" xfId="1887" xr:uid="{00000000-0005-0000-0000-0000DB070000}"/>
    <cellStyle name="_KT_TG_1_Book1_M_E Services _ Education" xfId="1888" xr:uid="{00000000-0005-0000-0000-0000DC070000}"/>
    <cellStyle name="_KT_TG_1_Book1_M_E Services _ Education_1" xfId="1889" xr:uid="{00000000-0005-0000-0000-0000DD070000}"/>
    <cellStyle name="_KT_TG_1_Book1_M_E Services _ Education_1_submit DHND 5%" xfId="1890" xr:uid="{00000000-0005-0000-0000-0000DE070000}"/>
    <cellStyle name="_KT_TG_1_Book1_M_E Services _ Education_submit DHND 5%" xfId="1891" xr:uid="{00000000-0005-0000-0000-0000DF070000}"/>
    <cellStyle name="_KT_TG_1_Book1_Nha Khach Thanh Uy- Busway -LS- REV1-29-06" xfId="1892" xr:uid="{00000000-0005-0000-0000-0000E0070000}"/>
    <cellStyle name="_KT_TG_1_Book1_submit DHND 5%" xfId="1893" xr:uid="{00000000-0005-0000-0000-0000E1070000}"/>
    <cellStyle name="_KT_TG_1_Book1_THANH TOAN-CONGTACCHINH" xfId="1894" xr:uid="{00000000-0005-0000-0000-0000E2070000}"/>
    <cellStyle name="_KT_TG_1_Book1_THANH TOAN-CONGTACCHINH_2---DATA_SAIN GOBAIN (THEP)_Option 1-British Standard" xfId="1895" xr:uid="{00000000-0005-0000-0000-0000E3070000}"/>
    <cellStyle name="_KT_TG_1_Book1_THANHTOAN" xfId="1896" xr:uid="{00000000-0005-0000-0000-0000E4070000}"/>
    <cellStyle name="_KT_TG_1_Book1_THANHTOAN_2---DATA_SAIN GOBAIN (THEP)_Option 1-British Standard" xfId="1897" xr:uid="{00000000-0005-0000-0000-0000E5070000}"/>
    <cellStyle name="_KT_TG_1_CACKHOANKHAUTRU" xfId="1898" xr:uid="{00000000-0005-0000-0000-0000E6070000}"/>
    <cellStyle name="_KT_TG_1_CACKHOANKHAUTRU_2---DATA_SAIN GOBAIN (THEP)_Option 1-British Standard" xfId="1899" xr:uid="{00000000-0005-0000-0000-0000E7070000}"/>
    <cellStyle name="_KT_TG_1_CV1-khoi luong va don gia" xfId="1900" xr:uid="{00000000-0005-0000-0000-0000E8070000}"/>
    <cellStyle name="_KT_TG_1_CV1-khoi luong va don gia_2---DATA_SAIN GOBAIN (THEP)_Option 1-British Standard" xfId="1901" xr:uid="{00000000-0005-0000-0000-0000E9070000}"/>
    <cellStyle name="_KT_TG_1_Danh sach nha cung cap ( Vendor List ) - Cap nhat 15-04-2011" xfId="1902" xr:uid="{00000000-0005-0000-0000-0000EA070000}"/>
    <cellStyle name="_KT_TG_1_DTCDT MR.2N110.HOCMON.TDTOAN.CCUNG" xfId="1904" xr:uid="{00000000-0005-0000-0000-0000EC070000}"/>
    <cellStyle name="_KT_TG_1_DTCDT MR.2N110.HOCMON.TDTOAN.CCUNG_2---DATA_SAIN GOBAIN (THEP)_Option 1-British Standard" xfId="1905" xr:uid="{00000000-0005-0000-0000-0000ED070000}"/>
    <cellStyle name="_KT_TG_1_Du toan chi phi gia thau T12 (Dat Phuong)" xfId="1906" xr:uid="{00000000-0005-0000-0000-0000EE070000}"/>
    <cellStyle name="_KT_TG_1_Du toan chi phi gia thau T12 (Dat Phuong)_2---DATA_SAIN GOBAIN (THEP)_Option 1-British Standard" xfId="1907" xr:uid="{00000000-0005-0000-0000-0000EF070000}"/>
    <cellStyle name="_KT_TG_1_ĐỊNH MỨC KHOÁN 20-00PET -059" xfId="1903" xr:uid="{00000000-0005-0000-0000-0000EB070000}"/>
    <cellStyle name="_KT_TG_1_HD-CONGTACCHINH-THAUPHU" xfId="1908" xr:uid="{00000000-0005-0000-0000-0000F0070000}"/>
    <cellStyle name="_KT_TG_1_HD-CONGTACCHINH-THAUPHU_2---DATA_SAIN GOBAIN (THEP)_Option 1-British Standard" xfId="1909" xr:uid="{00000000-0005-0000-0000-0000F1070000}"/>
    <cellStyle name="_KT_TG_1_HOPDONG-NOIBO" xfId="1910" xr:uid="{00000000-0005-0000-0000-0000F2070000}"/>
    <cellStyle name="_KT_TG_1_HOPDONG-NOIBO_2---DATA_SAIN GOBAIN (THEP)_Option 1-British Standard" xfId="1911" xr:uid="{00000000-0005-0000-0000-0000F3070000}"/>
    <cellStyle name="_KT_TG_1_l" xfId="1912" xr:uid="{00000000-0005-0000-0000-0000F4070000}"/>
    <cellStyle name="_KT_TG_1_Lora-tungchau" xfId="1913" xr:uid="{00000000-0005-0000-0000-0000F5070000}"/>
    <cellStyle name="_KT_TG_1_Lora-tungchau_2---DATA_SAIN GOBAIN (THEP)_Option 1-British Standard" xfId="1914" xr:uid="{00000000-0005-0000-0000-0000F6070000}"/>
    <cellStyle name="_KT_TG_1_M_E Services _ Education" xfId="1915" xr:uid="{00000000-0005-0000-0000-0000F7070000}"/>
    <cellStyle name="_KT_TG_1_M_E Services _ Education_1" xfId="1916" xr:uid="{00000000-0005-0000-0000-0000F8070000}"/>
    <cellStyle name="_KT_TG_1_M_E Services _ Education_1_submit DHND 5%" xfId="1917" xr:uid="{00000000-0005-0000-0000-0000F9070000}"/>
    <cellStyle name="_KT_TG_1_M_E Services _ Education_submit DHND 5%" xfId="1918" xr:uid="{00000000-0005-0000-0000-0000FA070000}"/>
    <cellStyle name="_KT_TG_1_Nha Khach Thanh Uy- Busway -LS- REV1-29-06" xfId="1919" xr:uid="{00000000-0005-0000-0000-0000FB070000}"/>
    <cellStyle name="_KT_TG_1_PGIA-phieu tham tra Kho bac" xfId="1920" xr:uid="{00000000-0005-0000-0000-0000FC070000}"/>
    <cellStyle name="_KT_TG_1_PGIA-phieu tham tra Kho bac_2---DATA_SAIN GOBAIN (THEP)_Option 1-British Standard" xfId="1921" xr:uid="{00000000-0005-0000-0000-0000FD070000}"/>
    <cellStyle name="_KT_TG_1_PT02-02" xfId="1922" xr:uid="{00000000-0005-0000-0000-0000FE070000}"/>
    <cellStyle name="_KT_TG_1_PT02-02_2---DATA_SAIN GOBAIN (THEP)_Option 1-British Standard" xfId="1923" xr:uid="{00000000-0005-0000-0000-0000FF070000}"/>
    <cellStyle name="_KT_TG_1_PT02-02_Book1" xfId="1924" xr:uid="{00000000-0005-0000-0000-000000080000}"/>
    <cellStyle name="_KT_TG_1_PT02-02_Book1_2---DATA_SAIN GOBAIN (THEP)_Option 1-British Standard" xfId="1925" xr:uid="{00000000-0005-0000-0000-000001080000}"/>
    <cellStyle name="_KT_TG_1_PT02-03" xfId="1926" xr:uid="{00000000-0005-0000-0000-000002080000}"/>
    <cellStyle name="_KT_TG_1_PT02-03_2---DATA_SAIN GOBAIN (THEP)_Option 1-British Standard" xfId="1927" xr:uid="{00000000-0005-0000-0000-000003080000}"/>
    <cellStyle name="_KT_TG_1_PT02-03_Book1" xfId="1928" xr:uid="{00000000-0005-0000-0000-000004080000}"/>
    <cellStyle name="_KT_TG_1_PT02-03_Book1_2---DATA_SAIN GOBAIN (THEP)_Option 1-British Standard" xfId="1929" xr:uid="{00000000-0005-0000-0000-000005080000}"/>
    <cellStyle name="_KT_TG_1_Qt-HT3PQ1(CauKho)" xfId="1930" xr:uid="{00000000-0005-0000-0000-000006080000}"/>
    <cellStyle name="_KT_TG_1_Qt-HT3PQ1(CauKho)_2---DATA_SAIN GOBAIN (THEP)_Option 1-British Standard" xfId="1931" xr:uid="{00000000-0005-0000-0000-000007080000}"/>
    <cellStyle name="_KT_TG_1_submit DHND 5%" xfId="1932" xr:uid="{00000000-0005-0000-0000-000008080000}"/>
    <cellStyle name="_KT_TG_1_TAM UNG VAT TU CHINH DOT 3 (REV2)" xfId="1933" xr:uid="{00000000-0005-0000-0000-000009080000}"/>
    <cellStyle name="_KT_TG_1_TAM UNG VAT TU CHINH DOT 3 (REV2)_2---DATA_SAIN GOBAIN (THEP)_Option 1-British Standard" xfId="1934" xr:uid="{00000000-0005-0000-0000-00000A080000}"/>
    <cellStyle name="_KT_TG_1_Tong hop so luong cac muc" xfId="1939" xr:uid="{00000000-0005-0000-0000-00000F080000}"/>
    <cellStyle name="_KT_TG_1_THANH TOAN-CONGTACCHINH" xfId="1935" xr:uid="{00000000-0005-0000-0000-00000B080000}"/>
    <cellStyle name="_KT_TG_1_THANH TOAN-CONGTACCHINH_2---DATA_SAIN GOBAIN (THEP)_Option 1-British Standard" xfId="1936" xr:uid="{00000000-0005-0000-0000-00000C080000}"/>
    <cellStyle name="_KT_TG_1_THANHTOAN" xfId="1937" xr:uid="{00000000-0005-0000-0000-00000D080000}"/>
    <cellStyle name="_KT_TG_1_THANHTOAN_2---DATA_SAIN GOBAIN (THEP)_Option 1-British Standard" xfId="1938" xr:uid="{00000000-0005-0000-0000-00000E080000}"/>
    <cellStyle name="_KT_TG_2" xfId="1940" xr:uid="{00000000-0005-0000-0000-000010080000}"/>
    <cellStyle name="_KT_TG_2 10" xfId="1941" xr:uid="{00000000-0005-0000-0000-000011080000}"/>
    <cellStyle name="_KT_TG_2 100" xfId="1942" xr:uid="{00000000-0005-0000-0000-000012080000}"/>
    <cellStyle name="_KT_TG_2 101" xfId="1943" xr:uid="{00000000-0005-0000-0000-000013080000}"/>
    <cellStyle name="_KT_TG_2 102" xfId="1944" xr:uid="{00000000-0005-0000-0000-000014080000}"/>
    <cellStyle name="_KT_TG_2 103" xfId="1945" xr:uid="{00000000-0005-0000-0000-000015080000}"/>
    <cellStyle name="_KT_TG_2 104" xfId="1946" xr:uid="{00000000-0005-0000-0000-000016080000}"/>
    <cellStyle name="_KT_TG_2 105" xfId="1947" xr:uid="{00000000-0005-0000-0000-000017080000}"/>
    <cellStyle name="_KT_TG_2 106" xfId="1948" xr:uid="{00000000-0005-0000-0000-000018080000}"/>
    <cellStyle name="_KT_TG_2 107" xfId="1949" xr:uid="{00000000-0005-0000-0000-000019080000}"/>
    <cellStyle name="_KT_TG_2 108" xfId="1950" xr:uid="{00000000-0005-0000-0000-00001A080000}"/>
    <cellStyle name="_KT_TG_2 109" xfId="1951" xr:uid="{00000000-0005-0000-0000-00001B080000}"/>
    <cellStyle name="_KT_TG_2 11" xfId="1952" xr:uid="{00000000-0005-0000-0000-00001C080000}"/>
    <cellStyle name="_KT_TG_2 110" xfId="1953" xr:uid="{00000000-0005-0000-0000-00001D080000}"/>
    <cellStyle name="_KT_TG_2 111" xfId="1954" xr:uid="{00000000-0005-0000-0000-00001E080000}"/>
    <cellStyle name="_KT_TG_2 12" xfId="1955" xr:uid="{00000000-0005-0000-0000-00001F080000}"/>
    <cellStyle name="_KT_TG_2 13" xfId="1956" xr:uid="{00000000-0005-0000-0000-000020080000}"/>
    <cellStyle name="_KT_TG_2 14" xfId="1957" xr:uid="{00000000-0005-0000-0000-000021080000}"/>
    <cellStyle name="_KT_TG_2 15" xfId="1958" xr:uid="{00000000-0005-0000-0000-000022080000}"/>
    <cellStyle name="_KT_TG_2 16" xfId="1959" xr:uid="{00000000-0005-0000-0000-000023080000}"/>
    <cellStyle name="_KT_TG_2 17" xfId="1960" xr:uid="{00000000-0005-0000-0000-000024080000}"/>
    <cellStyle name="_KT_TG_2 18" xfId="1961" xr:uid="{00000000-0005-0000-0000-000025080000}"/>
    <cellStyle name="_KT_TG_2 19" xfId="1962" xr:uid="{00000000-0005-0000-0000-000026080000}"/>
    <cellStyle name="_KT_TG_2 2" xfId="1963" xr:uid="{00000000-0005-0000-0000-000027080000}"/>
    <cellStyle name="_KT_TG_2 20" xfId="1964" xr:uid="{00000000-0005-0000-0000-000028080000}"/>
    <cellStyle name="_KT_TG_2 21" xfId="1965" xr:uid="{00000000-0005-0000-0000-000029080000}"/>
    <cellStyle name="_KT_TG_2 22" xfId="1966" xr:uid="{00000000-0005-0000-0000-00002A080000}"/>
    <cellStyle name="_KT_TG_2 23" xfId="1967" xr:uid="{00000000-0005-0000-0000-00002B080000}"/>
    <cellStyle name="_KT_TG_2 24" xfId="1968" xr:uid="{00000000-0005-0000-0000-00002C080000}"/>
    <cellStyle name="_KT_TG_2 25" xfId="1969" xr:uid="{00000000-0005-0000-0000-00002D080000}"/>
    <cellStyle name="_KT_TG_2 26" xfId="1970" xr:uid="{00000000-0005-0000-0000-00002E080000}"/>
    <cellStyle name="_KT_TG_2 27" xfId="1971" xr:uid="{00000000-0005-0000-0000-00002F080000}"/>
    <cellStyle name="_KT_TG_2 28" xfId="1972" xr:uid="{00000000-0005-0000-0000-000030080000}"/>
    <cellStyle name="_KT_TG_2 29" xfId="1973" xr:uid="{00000000-0005-0000-0000-000031080000}"/>
    <cellStyle name="_KT_TG_2 3" xfId="1974" xr:uid="{00000000-0005-0000-0000-000032080000}"/>
    <cellStyle name="_KT_TG_2 30" xfId="1975" xr:uid="{00000000-0005-0000-0000-000033080000}"/>
    <cellStyle name="_KT_TG_2 31" xfId="1976" xr:uid="{00000000-0005-0000-0000-000034080000}"/>
    <cellStyle name="_KT_TG_2 32" xfId="1977" xr:uid="{00000000-0005-0000-0000-000035080000}"/>
    <cellStyle name="_KT_TG_2 33" xfId="1978" xr:uid="{00000000-0005-0000-0000-000036080000}"/>
    <cellStyle name="_KT_TG_2 34" xfId="1979" xr:uid="{00000000-0005-0000-0000-000037080000}"/>
    <cellStyle name="_KT_TG_2 35" xfId="1980" xr:uid="{00000000-0005-0000-0000-000038080000}"/>
    <cellStyle name="_KT_TG_2 36" xfId="1981" xr:uid="{00000000-0005-0000-0000-000039080000}"/>
    <cellStyle name="_KT_TG_2 37" xfId="1982" xr:uid="{00000000-0005-0000-0000-00003A080000}"/>
    <cellStyle name="_KT_TG_2 38" xfId="1983" xr:uid="{00000000-0005-0000-0000-00003B080000}"/>
    <cellStyle name="_KT_TG_2 39" xfId="1984" xr:uid="{00000000-0005-0000-0000-00003C080000}"/>
    <cellStyle name="_KT_TG_2 4" xfId="1985" xr:uid="{00000000-0005-0000-0000-00003D080000}"/>
    <cellStyle name="_KT_TG_2 40" xfId="1986" xr:uid="{00000000-0005-0000-0000-00003E080000}"/>
    <cellStyle name="_KT_TG_2 41" xfId="1987" xr:uid="{00000000-0005-0000-0000-00003F080000}"/>
    <cellStyle name="_KT_TG_2 42" xfId="1988" xr:uid="{00000000-0005-0000-0000-000040080000}"/>
    <cellStyle name="_KT_TG_2 43" xfId="1989" xr:uid="{00000000-0005-0000-0000-000041080000}"/>
    <cellStyle name="_KT_TG_2 44" xfId="1990" xr:uid="{00000000-0005-0000-0000-000042080000}"/>
    <cellStyle name="_KT_TG_2 45" xfId="1991" xr:uid="{00000000-0005-0000-0000-000043080000}"/>
    <cellStyle name="_KT_TG_2 46" xfId="1992" xr:uid="{00000000-0005-0000-0000-000044080000}"/>
    <cellStyle name="_KT_TG_2 47" xfId="1993" xr:uid="{00000000-0005-0000-0000-000045080000}"/>
    <cellStyle name="_KT_TG_2 48" xfId="1994" xr:uid="{00000000-0005-0000-0000-000046080000}"/>
    <cellStyle name="_KT_TG_2 49" xfId="1995" xr:uid="{00000000-0005-0000-0000-000047080000}"/>
    <cellStyle name="_KT_TG_2 5" xfId="1996" xr:uid="{00000000-0005-0000-0000-000048080000}"/>
    <cellStyle name="_KT_TG_2 50" xfId="1997" xr:uid="{00000000-0005-0000-0000-000049080000}"/>
    <cellStyle name="_KT_TG_2 51" xfId="1998" xr:uid="{00000000-0005-0000-0000-00004A080000}"/>
    <cellStyle name="_KT_TG_2 52" xfId="1999" xr:uid="{00000000-0005-0000-0000-00004B080000}"/>
    <cellStyle name="_KT_TG_2 53" xfId="2000" xr:uid="{00000000-0005-0000-0000-00004C080000}"/>
    <cellStyle name="_KT_TG_2 54" xfId="2001" xr:uid="{00000000-0005-0000-0000-00004D080000}"/>
    <cellStyle name="_KT_TG_2 55" xfId="2002" xr:uid="{00000000-0005-0000-0000-00004E080000}"/>
    <cellStyle name="_KT_TG_2 56" xfId="2003" xr:uid="{00000000-0005-0000-0000-00004F080000}"/>
    <cellStyle name="_KT_TG_2 57" xfId="2004" xr:uid="{00000000-0005-0000-0000-000050080000}"/>
    <cellStyle name="_KT_TG_2 58" xfId="2005" xr:uid="{00000000-0005-0000-0000-000051080000}"/>
    <cellStyle name="_KT_TG_2 59" xfId="2006" xr:uid="{00000000-0005-0000-0000-000052080000}"/>
    <cellStyle name="_KT_TG_2 6" xfId="2007" xr:uid="{00000000-0005-0000-0000-000053080000}"/>
    <cellStyle name="_KT_TG_2 60" xfId="2008" xr:uid="{00000000-0005-0000-0000-000054080000}"/>
    <cellStyle name="_KT_TG_2 61" xfId="2009" xr:uid="{00000000-0005-0000-0000-000055080000}"/>
    <cellStyle name="_KT_TG_2 62" xfId="2010" xr:uid="{00000000-0005-0000-0000-000056080000}"/>
    <cellStyle name="_KT_TG_2 63" xfId="2011" xr:uid="{00000000-0005-0000-0000-000057080000}"/>
    <cellStyle name="_KT_TG_2 64" xfId="2012" xr:uid="{00000000-0005-0000-0000-000058080000}"/>
    <cellStyle name="_KT_TG_2 65" xfId="2013" xr:uid="{00000000-0005-0000-0000-000059080000}"/>
    <cellStyle name="_KT_TG_2 66" xfId="2014" xr:uid="{00000000-0005-0000-0000-00005A080000}"/>
    <cellStyle name="_KT_TG_2 67" xfId="2015" xr:uid="{00000000-0005-0000-0000-00005B080000}"/>
    <cellStyle name="_KT_TG_2 68" xfId="2016" xr:uid="{00000000-0005-0000-0000-00005C080000}"/>
    <cellStyle name="_KT_TG_2 69" xfId="2017" xr:uid="{00000000-0005-0000-0000-00005D080000}"/>
    <cellStyle name="_KT_TG_2 7" xfId="2018" xr:uid="{00000000-0005-0000-0000-00005E080000}"/>
    <cellStyle name="_KT_TG_2 70" xfId="2019" xr:uid="{00000000-0005-0000-0000-00005F080000}"/>
    <cellStyle name="_KT_TG_2 71" xfId="2020" xr:uid="{00000000-0005-0000-0000-000060080000}"/>
    <cellStyle name="_KT_TG_2 72" xfId="2021" xr:uid="{00000000-0005-0000-0000-000061080000}"/>
    <cellStyle name="_KT_TG_2 73" xfId="2022" xr:uid="{00000000-0005-0000-0000-000062080000}"/>
    <cellStyle name="_KT_TG_2 74" xfId="2023" xr:uid="{00000000-0005-0000-0000-000063080000}"/>
    <cellStyle name="_KT_TG_2 75" xfId="2024" xr:uid="{00000000-0005-0000-0000-000064080000}"/>
    <cellStyle name="_KT_TG_2 76" xfId="2025" xr:uid="{00000000-0005-0000-0000-000065080000}"/>
    <cellStyle name="_KT_TG_2 77" xfId="2026" xr:uid="{00000000-0005-0000-0000-000066080000}"/>
    <cellStyle name="_KT_TG_2 78" xfId="2027" xr:uid="{00000000-0005-0000-0000-000067080000}"/>
    <cellStyle name="_KT_TG_2 79" xfId="2028" xr:uid="{00000000-0005-0000-0000-000068080000}"/>
    <cellStyle name="_KT_TG_2 8" xfId="2029" xr:uid="{00000000-0005-0000-0000-000069080000}"/>
    <cellStyle name="_KT_TG_2 80" xfId="2030" xr:uid="{00000000-0005-0000-0000-00006A080000}"/>
    <cellStyle name="_KT_TG_2 81" xfId="2031" xr:uid="{00000000-0005-0000-0000-00006B080000}"/>
    <cellStyle name="_KT_TG_2 82" xfId="2032" xr:uid="{00000000-0005-0000-0000-00006C080000}"/>
    <cellStyle name="_KT_TG_2 83" xfId="2033" xr:uid="{00000000-0005-0000-0000-00006D080000}"/>
    <cellStyle name="_KT_TG_2 84" xfId="2034" xr:uid="{00000000-0005-0000-0000-00006E080000}"/>
    <cellStyle name="_KT_TG_2 85" xfId="2035" xr:uid="{00000000-0005-0000-0000-00006F080000}"/>
    <cellStyle name="_KT_TG_2 86" xfId="2036" xr:uid="{00000000-0005-0000-0000-000070080000}"/>
    <cellStyle name="_KT_TG_2 87" xfId="2037" xr:uid="{00000000-0005-0000-0000-000071080000}"/>
    <cellStyle name="_KT_TG_2 88" xfId="2038" xr:uid="{00000000-0005-0000-0000-000072080000}"/>
    <cellStyle name="_KT_TG_2 89" xfId="2039" xr:uid="{00000000-0005-0000-0000-000073080000}"/>
    <cellStyle name="_KT_TG_2 9" xfId="2040" xr:uid="{00000000-0005-0000-0000-000074080000}"/>
    <cellStyle name="_KT_TG_2 90" xfId="2041" xr:uid="{00000000-0005-0000-0000-000075080000}"/>
    <cellStyle name="_KT_TG_2 91" xfId="2042" xr:uid="{00000000-0005-0000-0000-000076080000}"/>
    <cellStyle name="_KT_TG_2 92" xfId="2043" xr:uid="{00000000-0005-0000-0000-000077080000}"/>
    <cellStyle name="_KT_TG_2 93" xfId="2044" xr:uid="{00000000-0005-0000-0000-000078080000}"/>
    <cellStyle name="_KT_TG_2 94" xfId="2045" xr:uid="{00000000-0005-0000-0000-000079080000}"/>
    <cellStyle name="_KT_TG_2 95" xfId="2046" xr:uid="{00000000-0005-0000-0000-00007A080000}"/>
    <cellStyle name="_KT_TG_2 96" xfId="2047" xr:uid="{00000000-0005-0000-0000-00007B080000}"/>
    <cellStyle name="_KT_TG_2 97" xfId="2048" xr:uid="{00000000-0005-0000-0000-00007C080000}"/>
    <cellStyle name="_KT_TG_2 98" xfId="2049" xr:uid="{00000000-0005-0000-0000-00007D080000}"/>
    <cellStyle name="_KT_TG_2 99" xfId="2050" xr:uid="{00000000-0005-0000-0000-00007E080000}"/>
    <cellStyle name="_KT_TG_2_04- Bang bieu khoi luong 20110531(2)" xfId="2051" xr:uid="{00000000-0005-0000-0000-00007F080000}"/>
    <cellStyle name="_KT_TG_2_04-Bang bieu khoi luong 20110703(kiet)" xfId="2052" xr:uid="{00000000-0005-0000-0000-000080080000}"/>
    <cellStyle name="_KT_TG_2_20110627-TDP-MEP BOQ-R2" xfId="2053" xr:uid="{00000000-0005-0000-0000-000081080000}"/>
    <cellStyle name="_KT_TG_2_2---DATA_SAIN GOBAIN (THEP)_Option 1-British Standard" xfId="2054" xr:uid="{00000000-0005-0000-0000-000082080000}"/>
    <cellStyle name="_KT_TG_2_44611-MEP Estimate cost" xfId="2055" xr:uid="{00000000-0005-0000-0000-000083080000}"/>
    <cellStyle name="_KT_TG_2_BAO CAO KLCT PT2000" xfId="2056" xr:uid="{00000000-0005-0000-0000-000084080000}"/>
    <cellStyle name="_KT_TG_2_BAO CAO KLCT PT2000_2---DATA_SAIN GOBAIN (THEP)_Option 1-British Standard" xfId="2057" xr:uid="{00000000-0005-0000-0000-000085080000}"/>
    <cellStyle name="_KT_TG_2_BAO CAO PT2000" xfId="2058" xr:uid="{00000000-0005-0000-0000-000086080000}"/>
    <cellStyle name="_KT_TG_2_BAO CAO PT2000_2---DATA_SAIN GOBAIN (THEP)_Option 1-British Standard" xfId="2059" xr:uid="{00000000-0005-0000-0000-000087080000}"/>
    <cellStyle name="_KT_TG_2_BAO CAO PT2000_Book1" xfId="2060" xr:uid="{00000000-0005-0000-0000-000088080000}"/>
    <cellStyle name="_KT_TG_2_BAO CAO PT2000_Book1_2---DATA_SAIN GOBAIN (THEP)_Option 1-British Standard" xfId="2061" xr:uid="{00000000-0005-0000-0000-000089080000}"/>
    <cellStyle name="_KT_TG_2_Bao cao XDCB 2001 - T11 KH dieu chinh 20-11-THAI" xfId="2062" xr:uid="{00000000-0005-0000-0000-00008A080000}"/>
    <cellStyle name="_KT_TG_2_Bao cao XDCB 2001 - T11 KH dieu chinh 20-11-THAI_2---DATA_SAIN GOBAIN (THEP)_Option 1-British Standard" xfId="2063" xr:uid="{00000000-0005-0000-0000-00008B080000}"/>
    <cellStyle name="_KT_TG_2_BCT - KITYCOTTAGE SS 1''x1'' ANGLE 22-00PET-026" xfId="2064" xr:uid="{00000000-0005-0000-0000-00008C080000}"/>
    <cellStyle name="_KT_TG_2_BCT - MID FLANGE LATCH RIGHT 22-00 PET-030" xfId="2065" xr:uid="{00000000-0005-0000-0000-00008D080000}"/>
    <cellStyle name="_KT_TG_2_Book1" xfId="2066" xr:uid="{00000000-0005-0000-0000-00008E080000}"/>
    <cellStyle name="_KT_TG_2_Book1 2" xfId="2067" xr:uid="{00000000-0005-0000-0000-00008F080000}"/>
    <cellStyle name="_KT_TG_2_Book1_1" xfId="2068" xr:uid="{00000000-0005-0000-0000-000090080000}"/>
    <cellStyle name="_KT_TG_2_Book1_1 2" xfId="2069" xr:uid="{00000000-0005-0000-0000-000091080000}"/>
    <cellStyle name="_KT_TG_2_Book1_1_2---DATA_SAIN GOBAIN (THEP)_Option 1-British Standard" xfId="2070" xr:uid="{00000000-0005-0000-0000-000092080000}"/>
    <cellStyle name="_KT_TG_2_Book1_1_BCT - KITYCOTTAGE SS 1''x1'' ANGLE 22-00PET-026" xfId="2071" xr:uid="{00000000-0005-0000-0000-000093080000}"/>
    <cellStyle name="_KT_TG_2_Book1_1_Bill of quantity - cables tray FA - Paragon detail from Tai 011-07-2011" xfId="2072" xr:uid="{00000000-0005-0000-0000-000094080000}"/>
    <cellStyle name="_KT_TG_2_Book1_1_Book1" xfId="2073" xr:uid="{00000000-0005-0000-0000-000095080000}"/>
    <cellStyle name="_KT_TG_2_Book1_1_Book1_2---DATA_SAIN GOBAIN (THEP)_Option 1-British Standard" xfId="2074" xr:uid="{00000000-0005-0000-0000-000096080000}"/>
    <cellStyle name="_KT_TG_2_Book1_1_Book1_THAO DIEN PEARL  - CAP THOAT NUOC (5-9-2011)" xfId="2075" xr:uid="{00000000-0005-0000-0000-000097080000}"/>
    <cellStyle name="_KT_TG_2_Book1_1_CACKHOANKHAUTRU" xfId="2076" xr:uid="{00000000-0005-0000-0000-000098080000}"/>
    <cellStyle name="_KT_TG_2_Book1_1_CACKHOANKHAUTRU_2---DATA_SAIN GOBAIN (THEP)_Option 1-British Standard" xfId="2077" xr:uid="{00000000-0005-0000-0000-000099080000}"/>
    <cellStyle name="_KT_TG_2_Book1_1_Danh sach nha cung cap ( Vendor List ) - Cap nhat 15-04-2011" xfId="2078" xr:uid="{00000000-0005-0000-0000-00009A080000}"/>
    <cellStyle name="_KT_TG_2_Book1_1_KLTT-PHUCHUNG" xfId="2079" xr:uid="{00000000-0005-0000-0000-00009B080000}"/>
    <cellStyle name="_KT_TG_2_Book1_1_KLTT-PHUCHUNG_2---DATA_SAIN GOBAIN (THEP)_Option 1-British Standard" xfId="2080" xr:uid="{00000000-0005-0000-0000-00009C080000}"/>
    <cellStyle name="_KT_TG_2_Book1_1_l" xfId="2081" xr:uid="{00000000-0005-0000-0000-00009D080000}"/>
    <cellStyle name="_KT_TG_2_Book1_1_Nha Khach Thanh Uy- Busway -LS- REV1-29-06" xfId="2082" xr:uid="{00000000-0005-0000-0000-00009E080000}"/>
    <cellStyle name="_KT_TG_2_Book1_1_Thanh toan (Du an Ca Mau)" xfId="2083" xr:uid="{00000000-0005-0000-0000-00009F080000}"/>
    <cellStyle name="_KT_TG_2_Book1_1_Thanh toan (Du an Ca Mau)_2---DATA_SAIN GOBAIN (THEP)_Option 1-British Standard" xfId="2084" xr:uid="{00000000-0005-0000-0000-0000A0080000}"/>
    <cellStyle name="_KT_TG_2_Book1_1_THANHTOAN" xfId="2085" xr:uid="{00000000-0005-0000-0000-0000A1080000}"/>
    <cellStyle name="_KT_TG_2_Book1_1_THANHTOAN A-B" xfId="2086" xr:uid="{00000000-0005-0000-0000-0000A2080000}"/>
    <cellStyle name="_KT_TG_2_Book1_1_THANHTOAN A-B_2---DATA_SAIN GOBAIN (THEP)_Option 1-British Standard" xfId="2087" xr:uid="{00000000-0005-0000-0000-0000A3080000}"/>
    <cellStyle name="_KT_TG_2_Book1_1_THANHTOAN_2---DATA_SAIN GOBAIN (THEP)_Option 1-British Standard" xfId="2088" xr:uid="{00000000-0005-0000-0000-0000A4080000}"/>
    <cellStyle name="_KT_TG_2_Book1_1_THAO DIEN PEARL  - CAP THOAT NUOC (5-9-2011)" xfId="2089" xr:uid="{00000000-0005-0000-0000-0000A5080000}"/>
    <cellStyle name="_KT_TG_2_Book1_2" xfId="2090" xr:uid="{00000000-0005-0000-0000-0000A6080000}"/>
    <cellStyle name="_KT_TG_2_Book1_2 2" xfId="2091" xr:uid="{00000000-0005-0000-0000-0000A7080000}"/>
    <cellStyle name="_KT_TG_2_Book1_2_2---DATA_SAIN GOBAIN (THEP)_Option 1-British Standard" xfId="2092" xr:uid="{00000000-0005-0000-0000-0000A8080000}"/>
    <cellStyle name="_KT_TG_2_Book1_2_Bill of quantity - cables tray FA - Paragon detail from Tai 011-07-2011" xfId="2093" xr:uid="{00000000-0005-0000-0000-0000A9080000}"/>
    <cellStyle name="_KT_TG_2_Book1_2_Book1" xfId="2094" xr:uid="{00000000-0005-0000-0000-0000AA080000}"/>
    <cellStyle name="_KT_TG_2_Book1_2_Book1_2---DATA_SAIN GOBAIN (THEP)_Option 1-British Standard" xfId="2095" xr:uid="{00000000-0005-0000-0000-0000AB080000}"/>
    <cellStyle name="_KT_TG_2_Book1_2_CACKHOANKHAUTRU" xfId="2096" xr:uid="{00000000-0005-0000-0000-0000AC080000}"/>
    <cellStyle name="_KT_TG_2_Book1_2_CACKHOANKHAUTRU_2---DATA_SAIN GOBAIN (THEP)_Option 1-British Standard" xfId="2097" xr:uid="{00000000-0005-0000-0000-0000AD080000}"/>
    <cellStyle name="_KT_TG_2_Book1_2_Danh sach nha cung cap ( Vendor List ) - Cap nhat 15-04-2011" xfId="2098" xr:uid="{00000000-0005-0000-0000-0000AE080000}"/>
    <cellStyle name="_KT_TG_2_Book1_2_KLTT-PHUCHUNG" xfId="2099" xr:uid="{00000000-0005-0000-0000-0000AF080000}"/>
    <cellStyle name="_KT_TG_2_Book1_2_KLTT-PHUCHUNG_2---DATA_SAIN GOBAIN (THEP)_Option 1-British Standard" xfId="2100" xr:uid="{00000000-0005-0000-0000-0000B0080000}"/>
    <cellStyle name="_KT_TG_2_Book1_2_l" xfId="2101" xr:uid="{00000000-0005-0000-0000-0000B1080000}"/>
    <cellStyle name="_KT_TG_2_Book1_2_Nha Khach Thanh Uy- Busway -LS- REV1-29-06" xfId="2102" xr:uid="{00000000-0005-0000-0000-0000B2080000}"/>
    <cellStyle name="_KT_TG_2_Book1_2_Thanh toan (Du an Ca Mau)" xfId="2103" xr:uid="{00000000-0005-0000-0000-0000B3080000}"/>
    <cellStyle name="_KT_TG_2_Book1_2_Thanh toan (Du an Ca Mau)_2---DATA_SAIN GOBAIN (THEP)_Option 1-British Standard" xfId="2104" xr:uid="{00000000-0005-0000-0000-0000B4080000}"/>
    <cellStyle name="_KT_TG_2_Book1_2_THANHTOAN" xfId="2105" xr:uid="{00000000-0005-0000-0000-0000B5080000}"/>
    <cellStyle name="_KT_TG_2_Book1_2_THANHTOAN A-B" xfId="2106" xr:uid="{00000000-0005-0000-0000-0000B6080000}"/>
    <cellStyle name="_KT_TG_2_Book1_2_THANHTOAN A-B_2---DATA_SAIN GOBAIN (THEP)_Option 1-British Standard" xfId="2107" xr:uid="{00000000-0005-0000-0000-0000B7080000}"/>
    <cellStyle name="_KT_TG_2_Book1_2_THANHTOAN_2---DATA_SAIN GOBAIN (THEP)_Option 1-British Standard" xfId="2108" xr:uid="{00000000-0005-0000-0000-0000B8080000}"/>
    <cellStyle name="_KT_TG_2_Book1_2_THAO DIEN PEARL  - CAP THOAT NUOC (5-9-2011)" xfId="2109" xr:uid="{00000000-0005-0000-0000-0000B9080000}"/>
    <cellStyle name="_KT_TG_2_Book1_2---DATA_SAIN GOBAIN (THEP)_Option 1-British Standard" xfId="2110" xr:uid="{00000000-0005-0000-0000-0000BA080000}"/>
    <cellStyle name="_KT_TG_2_Book1_3" xfId="2111" xr:uid="{00000000-0005-0000-0000-0000BB080000}"/>
    <cellStyle name="_KT_TG_2_Book1_3_2---DATA_SAIN GOBAIN (THEP)_Option 1-British Standard" xfId="2112" xr:uid="{00000000-0005-0000-0000-0000BC080000}"/>
    <cellStyle name="_KT_TG_2_Book1_3_Book1" xfId="2113" xr:uid="{00000000-0005-0000-0000-0000BD080000}"/>
    <cellStyle name="_KT_TG_2_Book1_3_Book1_2---DATA_SAIN GOBAIN (THEP)_Option 1-British Standard" xfId="2114" xr:uid="{00000000-0005-0000-0000-0000BE080000}"/>
    <cellStyle name="_KT_TG_2_Book1_3_CACKHOANKHAUTRU" xfId="2115" xr:uid="{00000000-0005-0000-0000-0000BF080000}"/>
    <cellStyle name="_KT_TG_2_Book1_3_CACKHOANKHAUTRU_2---DATA_SAIN GOBAIN (THEP)_Option 1-British Standard" xfId="2116" xr:uid="{00000000-0005-0000-0000-0000C0080000}"/>
    <cellStyle name="_KT_TG_2_Book1_3_KLTT-PHUCHUNG" xfId="2117" xr:uid="{00000000-0005-0000-0000-0000C1080000}"/>
    <cellStyle name="_KT_TG_2_Book1_3_KLTT-PHUCHUNG_2---DATA_SAIN GOBAIN (THEP)_Option 1-British Standard" xfId="2118" xr:uid="{00000000-0005-0000-0000-0000C2080000}"/>
    <cellStyle name="_KT_TG_2_Book1_3_Thanh toan (Du an Ca Mau)" xfId="2119" xr:uid="{00000000-0005-0000-0000-0000C3080000}"/>
    <cellStyle name="_KT_TG_2_Book1_3_Thanh toan (Du an Ca Mau)_2---DATA_SAIN GOBAIN (THEP)_Option 1-British Standard" xfId="2120" xr:uid="{00000000-0005-0000-0000-0000C4080000}"/>
    <cellStyle name="_KT_TG_2_Book1_3_THANHTOAN" xfId="2121" xr:uid="{00000000-0005-0000-0000-0000C5080000}"/>
    <cellStyle name="_KT_TG_2_Book1_3_THANHTOAN A-B" xfId="2122" xr:uid="{00000000-0005-0000-0000-0000C6080000}"/>
    <cellStyle name="_KT_TG_2_Book1_3_THANHTOAN A-B_2---DATA_SAIN GOBAIN (THEP)_Option 1-British Standard" xfId="2123" xr:uid="{00000000-0005-0000-0000-0000C7080000}"/>
    <cellStyle name="_KT_TG_2_Book1_3_THANHTOAN_2---DATA_SAIN GOBAIN (THEP)_Option 1-British Standard" xfId="2124" xr:uid="{00000000-0005-0000-0000-0000C8080000}"/>
    <cellStyle name="_KT_TG_2_Book1_4" xfId="2125" xr:uid="{00000000-0005-0000-0000-0000C9080000}"/>
    <cellStyle name="_KT_TG_2_Book1_4_2---DATA_SAIN GOBAIN (THEP)_Option 1-British Standard" xfId="2126" xr:uid="{00000000-0005-0000-0000-0000CA080000}"/>
    <cellStyle name="_KT_TG_2_Book1_4_CACKHOANKHAUTRU" xfId="2127" xr:uid="{00000000-0005-0000-0000-0000CB080000}"/>
    <cellStyle name="_KT_TG_2_Book1_4_CACKHOANKHAUTRU_2---DATA_SAIN GOBAIN (THEP)_Option 1-British Standard" xfId="2128" xr:uid="{00000000-0005-0000-0000-0000CC080000}"/>
    <cellStyle name="_KT_TG_2_Book1_4_KLTT-PHUCHUNG" xfId="2129" xr:uid="{00000000-0005-0000-0000-0000CD080000}"/>
    <cellStyle name="_KT_TG_2_Book1_4_KLTT-PHUCHUNG_2---DATA_SAIN GOBAIN (THEP)_Option 1-British Standard" xfId="2130" xr:uid="{00000000-0005-0000-0000-0000CE080000}"/>
    <cellStyle name="_KT_TG_2_Book1_4_Thanh toan (Du an Ca Mau)" xfId="2131" xr:uid="{00000000-0005-0000-0000-0000CF080000}"/>
    <cellStyle name="_KT_TG_2_Book1_4_Thanh toan (Du an Ca Mau)_2---DATA_SAIN GOBAIN (THEP)_Option 1-British Standard" xfId="2132" xr:uid="{00000000-0005-0000-0000-0000D0080000}"/>
    <cellStyle name="_KT_TG_2_Book1_4_THANHTOAN" xfId="2133" xr:uid="{00000000-0005-0000-0000-0000D1080000}"/>
    <cellStyle name="_KT_TG_2_Book1_4_THANHTOAN A-B" xfId="2134" xr:uid="{00000000-0005-0000-0000-0000D2080000}"/>
    <cellStyle name="_KT_TG_2_Book1_4_THANHTOAN A-B_2---DATA_SAIN GOBAIN (THEP)_Option 1-British Standard" xfId="2135" xr:uid="{00000000-0005-0000-0000-0000D3080000}"/>
    <cellStyle name="_KT_TG_2_Book1_4_THANHTOAN_2---DATA_SAIN GOBAIN (THEP)_Option 1-British Standard" xfId="2136" xr:uid="{00000000-0005-0000-0000-0000D4080000}"/>
    <cellStyle name="_KT_TG_2_Book1_Book1" xfId="2137" xr:uid="{00000000-0005-0000-0000-0000D5080000}"/>
    <cellStyle name="_KT_TG_2_Book1_Book1_2---DATA_SAIN GOBAIN (THEP)_Option 1-British Standard" xfId="2138" xr:uid="{00000000-0005-0000-0000-0000D6080000}"/>
    <cellStyle name="_KT_TG_2_Book1_Book1_Book1" xfId="2139" xr:uid="{00000000-0005-0000-0000-0000D7080000}"/>
    <cellStyle name="_KT_TG_2_Book1_Book1_Book1_2---DATA_SAIN GOBAIN (THEP)_Option 1-British Standard" xfId="2140" xr:uid="{00000000-0005-0000-0000-0000D8080000}"/>
    <cellStyle name="_KT_TG_2_Book1_Book1_CACKHOANKHAUTRU" xfId="2141" xr:uid="{00000000-0005-0000-0000-0000D9080000}"/>
    <cellStyle name="_KT_TG_2_Book1_Book1_CACKHOANKHAUTRU_2---DATA_SAIN GOBAIN (THEP)_Option 1-British Standard" xfId="2142" xr:uid="{00000000-0005-0000-0000-0000DA080000}"/>
    <cellStyle name="_KT_TG_2_Book1_Book1_KLTT-PHUCHUNG" xfId="2143" xr:uid="{00000000-0005-0000-0000-0000DB080000}"/>
    <cellStyle name="_KT_TG_2_Book1_Book1_KLTT-PHUCHUNG_2---DATA_SAIN GOBAIN (THEP)_Option 1-British Standard" xfId="2144" xr:uid="{00000000-0005-0000-0000-0000DC080000}"/>
    <cellStyle name="_KT_TG_2_Book1_Book1_Thanh toan (Du an Ca Mau)" xfId="2145" xr:uid="{00000000-0005-0000-0000-0000DD080000}"/>
    <cellStyle name="_KT_TG_2_Book1_Book1_Thanh toan (Du an Ca Mau)_2---DATA_SAIN GOBAIN (THEP)_Option 1-British Standard" xfId="2146" xr:uid="{00000000-0005-0000-0000-0000DE080000}"/>
    <cellStyle name="_KT_TG_2_Book1_Book1_THANHTOAN" xfId="2147" xr:uid="{00000000-0005-0000-0000-0000DF080000}"/>
    <cellStyle name="_KT_TG_2_Book1_Book1_THANHTOAN A-B" xfId="2148" xr:uid="{00000000-0005-0000-0000-0000E0080000}"/>
    <cellStyle name="_KT_TG_2_Book1_Book1_THANHTOAN A-B_2---DATA_SAIN GOBAIN (THEP)_Option 1-British Standard" xfId="2149" xr:uid="{00000000-0005-0000-0000-0000E1080000}"/>
    <cellStyle name="_KT_TG_2_Book1_Book1_THANHTOAN_2---DATA_SAIN GOBAIN (THEP)_Option 1-British Standard" xfId="2150" xr:uid="{00000000-0005-0000-0000-0000E2080000}"/>
    <cellStyle name="_KT_TG_2_Book1_Book1_THAO DIEN PEARL  - CAP THOAT NUOC (5-9-2011)" xfId="2151" xr:uid="{00000000-0005-0000-0000-0000E3080000}"/>
    <cellStyle name="_KT_TG_2_Book1_CACKHOANKHAUTRU" xfId="2152" xr:uid="{00000000-0005-0000-0000-0000E4080000}"/>
    <cellStyle name="_KT_TG_2_Book1_CACKHOANKHAUTRU_2---DATA_SAIN GOBAIN (THEP)_Option 1-British Standard" xfId="2153" xr:uid="{00000000-0005-0000-0000-0000E5080000}"/>
    <cellStyle name="_KT_TG_2_Book1_CV1-khoi luong va don gia" xfId="2154" xr:uid="{00000000-0005-0000-0000-0000E6080000}"/>
    <cellStyle name="_KT_TG_2_Book1_CV1-khoi luong va don gia_2---DATA_SAIN GOBAIN (THEP)_Option 1-British Standard" xfId="2155" xr:uid="{00000000-0005-0000-0000-0000E7080000}"/>
    <cellStyle name="_KT_TG_2_Book1_Danh sach nha cung cap ( Vendor List ) - Cap nhat 15-04-2011" xfId="2156" xr:uid="{00000000-0005-0000-0000-0000E8080000}"/>
    <cellStyle name="_KT_TG_2_Book1_Du toan chi phi gia thau T12 (Dat Phuong)" xfId="2157" xr:uid="{00000000-0005-0000-0000-0000E9080000}"/>
    <cellStyle name="_KT_TG_2_Book1_Du toan chi phi gia thau T12 (Dat Phuong)_2---DATA_SAIN GOBAIN (THEP)_Option 1-British Standard" xfId="2158" xr:uid="{00000000-0005-0000-0000-0000EA080000}"/>
    <cellStyle name="_KT_TG_2_Book1_HD-CONGTACCHINH-THAUPHU" xfId="2159" xr:uid="{00000000-0005-0000-0000-0000EB080000}"/>
    <cellStyle name="_KT_TG_2_Book1_HD-CONGTACCHINH-THAUPHU_2---DATA_SAIN GOBAIN (THEP)_Option 1-British Standard" xfId="2160" xr:uid="{00000000-0005-0000-0000-0000EC080000}"/>
    <cellStyle name="_KT_TG_2_Book1_HOPDONG-NOIBO" xfId="2161" xr:uid="{00000000-0005-0000-0000-0000ED080000}"/>
    <cellStyle name="_KT_TG_2_Book1_HOPDONG-NOIBO_2---DATA_SAIN GOBAIN (THEP)_Option 1-British Standard" xfId="2162" xr:uid="{00000000-0005-0000-0000-0000EE080000}"/>
    <cellStyle name="_KT_TG_2_Book1_l" xfId="2163" xr:uid="{00000000-0005-0000-0000-0000EF080000}"/>
    <cellStyle name="_KT_TG_2_Book1_M_E Services _ Education" xfId="2164" xr:uid="{00000000-0005-0000-0000-0000F0080000}"/>
    <cellStyle name="_KT_TG_2_Book1_M_E Services _ Education_1" xfId="2165" xr:uid="{00000000-0005-0000-0000-0000F1080000}"/>
    <cellStyle name="_KT_TG_2_Book1_M_E Services _ Education_1_submit DHND 5%" xfId="2166" xr:uid="{00000000-0005-0000-0000-0000F2080000}"/>
    <cellStyle name="_KT_TG_2_Book1_M_E Services _ Education_submit DHND 5%" xfId="2167" xr:uid="{00000000-0005-0000-0000-0000F3080000}"/>
    <cellStyle name="_KT_TG_2_Book1_Nha Khach Thanh Uy- Busway -LS- REV1-29-06" xfId="2168" xr:uid="{00000000-0005-0000-0000-0000F4080000}"/>
    <cellStyle name="_KT_TG_2_Book1_submit DHND 5%" xfId="2169" xr:uid="{00000000-0005-0000-0000-0000F5080000}"/>
    <cellStyle name="_KT_TG_2_Book1_THANH TOAN-CONGTACCHINH" xfId="2170" xr:uid="{00000000-0005-0000-0000-0000F6080000}"/>
    <cellStyle name="_KT_TG_2_Book1_THANH TOAN-CONGTACCHINH_2---DATA_SAIN GOBAIN (THEP)_Option 1-British Standard" xfId="2171" xr:uid="{00000000-0005-0000-0000-0000F7080000}"/>
    <cellStyle name="_KT_TG_2_Book1_THANHTOAN" xfId="2172" xr:uid="{00000000-0005-0000-0000-0000F8080000}"/>
    <cellStyle name="_KT_TG_2_Book1_THANHTOAN_2---DATA_SAIN GOBAIN (THEP)_Option 1-British Standard" xfId="2173" xr:uid="{00000000-0005-0000-0000-0000F9080000}"/>
    <cellStyle name="_KT_TG_2_CACKHOANKHAUTRU" xfId="2174" xr:uid="{00000000-0005-0000-0000-0000FA080000}"/>
    <cellStyle name="_KT_TG_2_CACKHOANKHAUTRU_2---DATA_SAIN GOBAIN (THEP)_Option 1-British Standard" xfId="2175" xr:uid="{00000000-0005-0000-0000-0000FB080000}"/>
    <cellStyle name="_KT_TG_2_CV1-khoi luong va don gia" xfId="2176" xr:uid="{00000000-0005-0000-0000-0000FC080000}"/>
    <cellStyle name="_KT_TG_2_CV1-khoi luong va don gia_2---DATA_SAIN GOBAIN (THEP)_Option 1-British Standard" xfId="2177" xr:uid="{00000000-0005-0000-0000-0000FD080000}"/>
    <cellStyle name="_KT_TG_2_Danh sach nha cung cap ( Vendor List ) - Cap nhat 15-04-2011" xfId="2178" xr:uid="{00000000-0005-0000-0000-0000FE080000}"/>
    <cellStyle name="_KT_TG_2_DTCDT MR.2N110.HOCMON.TDTOAN.CCUNG" xfId="2180" xr:uid="{00000000-0005-0000-0000-000000090000}"/>
    <cellStyle name="_KT_TG_2_DTCDT MR.2N110.HOCMON.TDTOAN.CCUNG_2---DATA_SAIN GOBAIN (THEP)_Option 1-British Standard" xfId="2181" xr:uid="{00000000-0005-0000-0000-000001090000}"/>
    <cellStyle name="_KT_TG_2_Du toan chi phi gia thau T12 (Dat Phuong)" xfId="2182" xr:uid="{00000000-0005-0000-0000-000002090000}"/>
    <cellStyle name="_KT_TG_2_Du toan chi phi gia thau T12 (Dat Phuong)_2---DATA_SAIN GOBAIN (THEP)_Option 1-British Standard" xfId="2183" xr:uid="{00000000-0005-0000-0000-000003090000}"/>
    <cellStyle name="_KT_TG_2_ĐỊNH MỨC KHOÁN 20-00PET -059" xfId="2179" xr:uid="{00000000-0005-0000-0000-0000FF080000}"/>
    <cellStyle name="_KT_TG_2_HD-CONGTACCHINH-THAUPHU" xfId="2184" xr:uid="{00000000-0005-0000-0000-000004090000}"/>
    <cellStyle name="_KT_TG_2_HD-CONGTACCHINH-THAUPHU_2---DATA_SAIN GOBAIN (THEP)_Option 1-British Standard" xfId="2185" xr:uid="{00000000-0005-0000-0000-000005090000}"/>
    <cellStyle name="_KT_TG_2_HOPDONG-NOIBO" xfId="2186" xr:uid="{00000000-0005-0000-0000-000006090000}"/>
    <cellStyle name="_KT_TG_2_HOPDONG-NOIBO_2---DATA_SAIN GOBAIN (THEP)_Option 1-British Standard" xfId="2187" xr:uid="{00000000-0005-0000-0000-000007090000}"/>
    <cellStyle name="_KT_TG_2_l" xfId="2188" xr:uid="{00000000-0005-0000-0000-000008090000}"/>
    <cellStyle name="_KT_TG_2_Lora-tungchau" xfId="2189" xr:uid="{00000000-0005-0000-0000-000009090000}"/>
    <cellStyle name="_KT_TG_2_Lora-tungchau_2---DATA_SAIN GOBAIN (THEP)_Option 1-British Standard" xfId="2190" xr:uid="{00000000-0005-0000-0000-00000A090000}"/>
    <cellStyle name="_KT_TG_2_M_E Services _ Education" xfId="2191" xr:uid="{00000000-0005-0000-0000-00000B090000}"/>
    <cellStyle name="_KT_TG_2_M_E Services _ Education_1" xfId="2192" xr:uid="{00000000-0005-0000-0000-00000C090000}"/>
    <cellStyle name="_KT_TG_2_M_E Services _ Education_1_submit DHND 5%" xfId="2193" xr:uid="{00000000-0005-0000-0000-00000D090000}"/>
    <cellStyle name="_KT_TG_2_M_E Services _ Education_submit DHND 5%" xfId="2194" xr:uid="{00000000-0005-0000-0000-00000E090000}"/>
    <cellStyle name="_KT_TG_2_Nha Khach Thanh Uy- Busway -LS- REV1-29-06" xfId="2195" xr:uid="{00000000-0005-0000-0000-00000F090000}"/>
    <cellStyle name="_KT_TG_2_PGIA-phieu tham tra Kho bac" xfId="2196" xr:uid="{00000000-0005-0000-0000-000010090000}"/>
    <cellStyle name="_KT_TG_2_PGIA-phieu tham tra Kho bac_2---DATA_SAIN GOBAIN (THEP)_Option 1-British Standard" xfId="2197" xr:uid="{00000000-0005-0000-0000-000011090000}"/>
    <cellStyle name="_KT_TG_2_PT02-02" xfId="2198" xr:uid="{00000000-0005-0000-0000-000012090000}"/>
    <cellStyle name="_KT_TG_2_PT02-02_2---DATA_SAIN GOBAIN (THEP)_Option 1-British Standard" xfId="2199" xr:uid="{00000000-0005-0000-0000-000013090000}"/>
    <cellStyle name="_KT_TG_2_PT02-02_Book1" xfId="2200" xr:uid="{00000000-0005-0000-0000-000014090000}"/>
    <cellStyle name="_KT_TG_2_PT02-02_Book1_2---DATA_SAIN GOBAIN (THEP)_Option 1-British Standard" xfId="2201" xr:uid="{00000000-0005-0000-0000-000015090000}"/>
    <cellStyle name="_KT_TG_2_PT02-03" xfId="2202" xr:uid="{00000000-0005-0000-0000-000016090000}"/>
    <cellStyle name="_KT_TG_2_PT02-03_2---DATA_SAIN GOBAIN (THEP)_Option 1-British Standard" xfId="2203" xr:uid="{00000000-0005-0000-0000-000017090000}"/>
    <cellStyle name="_KT_TG_2_PT02-03_Book1" xfId="2204" xr:uid="{00000000-0005-0000-0000-000018090000}"/>
    <cellStyle name="_KT_TG_2_PT02-03_Book1_2---DATA_SAIN GOBAIN (THEP)_Option 1-British Standard" xfId="2205" xr:uid="{00000000-0005-0000-0000-000019090000}"/>
    <cellStyle name="_KT_TG_2_Qt-HT3PQ1(CauKho)" xfId="2206" xr:uid="{00000000-0005-0000-0000-00001A090000}"/>
    <cellStyle name="_KT_TG_2_Qt-HT3PQ1(CauKho)_2---DATA_SAIN GOBAIN (THEP)_Option 1-British Standard" xfId="2207" xr:uid="{00000000-0005-0000-0000-00001B090000}"/>
    <cellStyle name="_KT_TG_2_submit DHND 5%" xfId="2208" xr:uid="{00000000-0005-0000-0000-00001C090000}"/>
    <cellStyle name="_KT_TG_2_TAM UNG VAT TU CHINH DOT 3 (REV2)" xfId="2209" xr:uid="{00000000-0005-0000-0000-00001D090000}"/>
    <cellStyle name="_KT_TG_2_TAM UNG VAT TU CHINH DOT 3 (REV2)_2---DATA_SAIN GOBAIN (THEP)_Option 1-British Standard" xfId="2210" xr:uid="{00000000-0005-0000-0000-00001E090000}"/>
    <cellStyle name="_KT_TG_2_Tong hop so luong cac muc" xfId="2215" xr:uid="{00000000-0005-0000-0000-000023090000}"/>
    <cellStyle name="_KT_TG_2_THANH TOAN-CONGTACCHINH" xfId="2211" xr:uid="{00000000-0005-0000-0000-00001F090000}"/>
    <cellStyle name="_KT_TG_2_THANH TOAN-CONGTACCHINH_2---DATA_SAIN GOBAIN (THEP)_Option 1-British Standard" xfId="2212" xr:uid="{00000000-0005-0000-0000-000020090000}"/>
    <cellStyle name="_KT_TG_2_THANHTOAN" xfId="2213" xr:uid="{00000000-0005-0000-0000-000021090000}"/>
    <cellStyle name="_KT_TG_2_THANHTOAN_2---DATA_SAIN GOBAIN (THEP)_Option 1-British Standard" xfId="2214" xr:uid="{00000000-0005-0000-0000-000022090000}"/>
    <cellStyle name="_KT_TG_2---DATA_SAIN GOBAIN (THEP)_Option 1-British Standard" xfId="2216" xr:uid="{00000000-0005-0000-0000-000024090000}"/>
    <cellStyle name="_KT_TG_3" xfId="2217" xr:uid="{00000000-0005-0000-0000-000025090000}"/>
    <cellStyle name="_KT_TG_3_2---DATA_SAIN GOBAIN (THEP)_Option 1-British Standard" xfId="2218" xr:uid="{00000000-0005-0000-0000-000026090000}"/>
    <cellStyle name="_KT_TG_3_M_E Services _ Education" xfId="2219" xr:uid="{00000000-0005-0000-0000-000027090000}"/>
    <cellStyle name="_KT_TG_3_M_E Services _ Education_1" xfId="2220" xr:uid="{00000000-0005-0000-0000-000028090000}"/>
    <cellStyle name="_KT_TG_3_M_E Services _ Education_1_submit DHND 5%" xfId="2221" xr:uid="{00000000-0005-0000-0000-000029090000}"/>
    <cellStyle name="_KT_TG_3_M_E Services _ Education_submit DHND 5%" xfId="2222" xr:uid="{00000000-0005-0000-0000-00002A090000}"/>
    <cellStyle name="_KT_TG_3_submit DHND 5%" xfId="2223" xr:uid="{00000000-0005-0000-0000-00002B090000}"/>
    <cellStyle name="_KT_TG_4" xfId="2224" xr:uid="{00000000-0005-0000-0000-00002C090000}"/>
    <cellStyle name="_KT_TG_4_2---DATA_SAIN GOBAIN (THEP)_Option 1-British Standard" xfId="2225" xr:uid="{00000000-0005-0000-0000-00002D090000}"/>
    <cellStyle name="_KT_TG_4_BCT - KITYCOTTAGE SS 1''x1'' ANGLE 22-00PET-026" xfId="2226" xr:uid="{00000000-0005-0000-0000-00002E090000}"/>
    <cellStyle name="_KT_TG_4_BCT - MID FLANGE LATCH RIGHT 22-00 PET-030" xfId="2227" xr:uid="{00000000-0005-0000-0000-00002F090000}"/>
    <cellStyle name="_KT_TG_4_Book1" xfId="2228" xr:uid="{00000000-0005-0000-0000-000030090000}"/>
    <cellStyle name="_KT_TG_4_ĐỊNH MỨC KHOÁN 20-00PET -059" xfId="2229" xr:uid="{00000000-0005-0000-0000-000031090000}"/>
    <cellStyle name="_KT_TG_4_Lora-tungchau" xfId="2230" xr:uid="{00000000-0005-0000-0000-000032090000}"/>
    <cellStyle name="_KT_TG_4_Lora-tungchau_2---DATA_SAIN GOBAIN (THEP)_Option 1-British Standard" xfId="2231" xr:uid="{00000000-0005-0000-0000-000033090000}"/>
    <cellStyle name="_KT_TG_4_M_E Services _ Education" xfId="2232" xr:uid="{00000000-0005-0000-0000-000034090000}"/>
    <cellStyle name="_KT_TG_4_M_E Services _ Education_1" xfId="2233" xr:uid="{00000000-0005-0000-0000-000035090000}"/>
    <cellStyle name="_KT_TG_4_M_E Services _ Education_1_submit DHND 5%" xfId="2234" xr:uid="{00000000-0005-0000-0000-000036090000}"/>
    <cellStyle name="_KT_TG_4_M_E Services _ Education_submit DHND 5%" xfId="2235" xr:uid="{00000000-0005-0000-0000-000037090000}"/>
    <cellStyle name="_KT_TG_4_Qt-HT3PQ1(CauKho)" xfId="2236" xr:uid="{00000000-0005-0000-0000-000038090000}"/>
    <cellStyle name="_KT_TG_4_Qt-HT3PQ1(CauKho)_2---DATA_SAIN GOBAIN (THEP)_Option 1-British Standard" xfId="2237" xr:uid="{00000000-0005-0000-0000-000039090000}"/>
    <cellStyle name="_KT_TG_4_submit DHND 5%" xfId="2238" xr:uid="{00000000-0005-0000-0000-00003A090000}"/>
    <cellStyle name="_KT_TG_4_TAM UNG VAT TU CHINH DOT 3 (REV2)" xfId="2239" xr:uid="{00000000-0005-0000-0000-00003B090000}"/>
    <cellStyle name="_KT_TG_4_TAM UNG VAT TU CHINH DOT 3 (REV2)_2---DATA_SAIN GOBAIN (THEP)_Option 1-British Standard" xfId="2240" xr:uid="{00000000-0005-0000-0000-00003C090000}"/>
    <cellStyle name="_KT_TG_M_E Services _ Education" xfId="2241" xr:uid="{00000000-0005-0000-0000-00003D090000}"/>
    <cellStyle name="_KT_TG_M_E Services _ Education_1" xfId="2242" xr:uid="{00000000-0005-0000-0000-00003E090000}"/>
    <cellStyle name="_KT_TG_M_E Services _ Education_1_submit DHND 5%" xfId="2243" xr:uid="{00000000-0005-0000-0000-00003F090000}"/>
    <cellStyle name="_KT_TG_M_E Services _ Education_submit DHND 5%" xfId="2244" xr:uid="{00000000-0005-0000-0000-000040090000}"/>
    <cellStyle name="_KT_TG_submit DHND 5%" xfId="2245" xr:uid="{00000000-0005-0000-0000-000041090000}"/>
    <cellStyle name="_KTL__Monthly_claim_No(1).2" xfId="2246" xr:uid="{00000000-0005-0000-0000-000042090000}"/>
    <cellStyle name="_Khoi Luong" xfId="547" xr:uid="{00000000-0005-0000-0000-000095020000}"/>
    <cellStyle name="_x0001__l" xfId="2247" xr:uid="{00000000-0005-0000-0000-000043090000}"/>
    <cellStyle name="_Lora-tungchau" xfId="2248" xr:uid="{00000000-0005-0000-0000-000044090000}"/>
    <cellStyle name="_Lora-tungchau_2---DATA_SAIN GOBAIN (THEP)_Option 1-British Standard" xfId="2249" xr:uid="{00000000-0005-0000-0000-000045090000}"/>
    <cellStyle name="_M&amp;E BOQ.net" xfId="2250" xr:uid="{00000000-0005-0000-0000-000046090000}"/>
    <cellStyle name="_M&amp;E BOQ.net_M_E Services _ Education" xfId="2251" xr:uid="{00000000-0005-0000-0000-000047090000}"/>
    <cellStyle name="_M&amp;E BOQ.net_M_E Services _ Education_1" xfId="2252" xr:uid="{00000000-0005-0000-0000-000048090000}"/>
    <cellStyle name="_M&amp;E BOQ.net_M_E Services _ Education_1_submit DHND 5%" xfId="2253" xr:uid="{00000000-0005-0000-0000-000049090000}"/>
    <cellStyle name="_M&amp;E BOQ.net_M_E Services _ Education_submit DHND 5%" xfId="2254" xr:uid="{00000000-0005-0000-0000-00004A090000}"/>
    <cellStyle name="_M&amp;E BOQ.net_submit DHND 5%" xfId="2255" xr:uid="{00000000-0005-0000-0000-00004B090000}"/>
    <cellStyle name="_M_E Services _ Education" xfId="2256" xr:uid="{00000000-0005-0000-0000-00004C090000}"/>
    <cellStyle name="_M_E Services _ Education_1" xfId="2257" xr:uid="{00000000-0005-0000-0000-00004D090000}"/>
    <cellStyle name="_M_E Services _ Education_1_submit DHND 5%" xfId="2258" xr:uid="{00000000-0005-0000-0000-00004E090000}"/>
    <cellStyle name="_M_E Services _ Education_M_E Services _ Education" xfId="2259" xr:uid="{00000000-0005-0000-0000-00004F090000}"/>
    <cellStyle name="_M_E Services _ Education_M_E Services _ Education_submit DHND 5%" xfId="2260" xr:uid="{00000000-0005-0000-0000-000050090000}"/>
    <cellStyle name="_M_E Services _ Education_submit DHND 5%" xfId="2261" xr:uid="{00000000-0005-0000-0000-000051090000}"/>
    <cellStyle name="_Manufacture list" xfId="2262" xr:uid="{00000000-0005-0000-0000-000052090000}"/>
    <cellStyle name="_Manufacture list_1" xfId="2263" xr:uid="{00000000-0005-0000-0000-000053090000}"/>
    <cellStyle name="_Mau -bao_cao_XNT_NVTK_tai_NPP 19.7" xfId="14493" xr:uid="{00000000-0005-0000-0000-000054090000}"/>
    <cellStyle name="_Mau_bao_cao_XNT_NVTK_tai_NPP 21.7" xfId="14494" xr:uid="{00000000-0005-0000-0000-000055090000}"/>
    <cellStyle name="_Mau_bao_cao_XNT_NVTK_tai_NPP 3.7" xfId="14495" xr:uid="{00000000-0005-0000-0000-000056090000}"/>
    <cellStyle name="_Mau_bao_cao_XNT_NVTK_tai_NPP 3.7_1" xfId="14496" xr:uid="{00000000-0005-0000-0000-000057090000}"/>
    <cellStyle name="_x0007__MIKUNI-PJ-BOQ format New edition for India EL." xfId="2264" xr:uid="{00000000-0005-0000-0000-000058090000}"/>
    <cellStyle name="_x0007__MIKUNI-PJ-BOQ format New edition for India EL._E(BOQ)" xfId="2265" xr:uid="{00000000-0005-0000-0000-000059090000}"/>
    <cellStyle name="_x0007__MIKUNI-PJ-BOQ format New edition for India EL._E(BOQ)_submit DHND 5%" xfId="2266" xr:uid="{00000000-0005-0000-0000-00005A090000}"/>
    <cellStyle name="_x0007__MIKUNI-PJ-BOQ format New edition for India EL._submit DHND 5%" xfId="2267" xr:uid="{00000000-0005-0000-0000-00005B090000}"/>
    <cellStyle name="_MU, Equip" xfId="2268" xr:uid="{00000000-0005-0000-0000-00005C090000}"/>
    <cellStyle name="_MU, Equip_M_E Services _ Education" xfId="2269" xr:uid="{00000000-0005-0000-0000-00005D090000}"/>
    <cellStyle name="_MU, Equip_M_E Services _ Education_1" xfId="2270" xr:uid="{00000000-0005-0000-0000-00005E090000}"/>
    <cellStyle name="_MU, Equip_M_E Services _ Education_1_submit DHND 5%" xfId="2271" xr:uid="{00000000-0005-0000-0000-00005F090000}"/>
    <cellStyle name="_MU, Equip_M_E Services _ Education_submit DHND 5%" xfId="2272" xr:uid="{00000000-0005-0000-0000-000060090000}"/>
    <cellStyle name="_MU, Equip_submit DHND 5%" xfId="2273" xr:uid="{00000000-0005-0000-0000-000061090000}"/>
    <cellStyle name="_x0001__Nha Khach Thanh Uy- Busway -LS- REV1-29-06" xfId="2274" xr:uid="{00000000-0005-0000-0000-000062090000}"/>
    <cellStyle name="_Oct CPA Eqpt List approved_A9 UM FCBGA_CPU Comparison " xfId="2275" xr:uid="{00000000-0005-0000-0000-000063090000}"/>
    <cellStyle name="_Oct CPA Eqpt List approved_A9 UM FCBGA_CPU Comparison _bang chi tiet_ACMV 25-06-2011" xfId="2276" xr:uid="{00000000-0005-0000-0000-000064090000}"/>
    <cellStyle name="_Oct CPA Eqpt List approved_A9 UM FCBGA_CPU Comparison _Bill of quantity - cables tray FA - Paragon detail from Tai 011-07-2011" xfId="2277" xr:uid="{00000000-0005-0000-0000-000065090000}"/>
    <cellStyle name="_Oct CPA Eqpt List approved_A9 UM FCBGA_CPU Comparison _quotation QNT-REE-040411 (1)" xfId="2278" xr:uid="{00000000-0005-0000-0000-000066090000}"/>
    <cellStyle name="_OFG-mockup1_1_Apr_CPA_PG8_Prescott_Trev1_A9 UM FCBGA_CPU Comparison " xfId="2279" xr:uid="{00000000-0005-0000-0000-000067090000}"/>
    <cellStyle name="_OFG-mockup1_1_Apr_CPA_PG8_Prescott_Trev1_A9 UM FCBGA_CPU Comparison  2" xfId="2280" xr:uid="{00000000-0005-0000-0000-000068090000}"/>
    <cellStyle name="_OFG-mockup1_1_Apr_CPA_PG8_Prescott_Trev1_A9 UM FCBGA_CPU Comparison _bang chi tiet_ACMV 25-06-2011" xfId="2281" xr:uid="{00000000-0005-0000-0000-000069090000}"/>
    <cellStyle name="_OFG-mockup1_1_Apr_CPA_PG8_Prescott_Trev1_A9 UM FCBGA_CPU Comparison _Bill of quantity - cables tray FA - Paragon detail from Tai 011-07-2011" xfId="2282" xr:uid="{00000000-0005-0000-0000-00006A090000}"/>
    <cellStyle name="_OFG-mockup1_1_Apr_CPA_PG8_Prescott_Trev1_A9 UM FCBGA_CPU Comparison _BOQ-Big C Hai Duong-Electrical-(Final  30-5-2011)-Gia ban HS" xfId="2283" xr:uid="{00000000-0005-0000-0000-00006B090000}"/>
    <cellStyle name="_OFG-mockup1_1_Apr_CPA_PG8_Prescott_Trev1_A9 UM FCBGA_CPU Comparison _quotation QNT-REE-040411 (1)" xfId="2284" xr:uid="{00000000-0005-0000-0000-00006C090000}"/>
    <cellStyle name="_OFG-mockup1_1_Jan CPA2_A9 UM FCBGA_CPU Comparison " xfId="2285" xr:uid="{00000000-0005-0000-0000-00006D090000}"/>
    <cellStyle name="_OFG-mockup1_1_Jan CPA2_A9 UM FCBGA_CPU Comparison  2" xfId="2286" xr:uid="{00000000-0005-0000-0000-00006E090000}"/>
    <cellStyle name="_OFG-mockup1_1_Jan CPA2_A9 UM FCBGA_CPU Comparison _bang chi tiet_ACMV 25-06-2011" xfId="2287" xr:uid="{00000000-0005-0000-0000-00006F090000}"/>
    <cellStyle name="_OFG-mockup1_1_Jan CPA2_A9 UM FCBGA_CPU Comparison _Bill of quantity - cables tray FA - Paragon detail from Tai 011-07-2011" xfId="2288" xr:uid="{00000000-0005-0000-0000-000070090000}"/>
    <cellStyle name="_OFG-mockup1_1_Jan CPA2_A9 UM FCBGA_CPU Comparison _BOQ-Big C Hai Duong-Electrical-(Final  30-5-2011)-Gia ban HS" xfId="2289" xr:uid="{00000000-0005-0000-0000-000071090000}"/>
    <cellStyle name="_OFG-mockup1_1_Jan CPA2_A9 UM FCBGA_CPU Comparison _quotation QNT-REE-040411 (1)" xfId="2290" xr:uid="{00000000-0005-0000-0000-000072090000}"/>
    <cellStyle name="_OFG-mockup1_1_NGBI Roll-uprev4_all data1_A9 UM FCBGA_CPU Comparison " xfId="2291" xr:uid="{00000000-0005-0000-0000-000073090000}"/>
    <cellStyle name="_OFG-mockup1_1_NGBI Roll-uprev4_all data1_A9 UM FCBGA_CPU Comparison  2" xfId="2292" xr:uid="{00000000-0005-0000-0000-000074090000}"/>
    <cellStyle name="_OFG-mockup1_1_NGBI Roll-uprev4_all data1_A9 UM FCBGA_CPU Comparison _bang chi tiet_ACMV 25-06-2011" xfId="2293" xr:uid="{00000000-0005-0000-0000-000075090000}"/>
    <cellStyle name="_OFG-mockup1_1_NGBI Roll-uprev4_all data1_A9 UM FCBGA_CPU Comparison _Bill of quantity - cables tray FA - Paragon detail from Tai 011-07-2011" xfId="2294" xr:uid="{00000000-0005-0000-0000-000076090000}"/>
    <cellStyle name="_OFG-mockup1_1_NGBI Roll-uprev4_all data1_A9 UM FCBGA_CPU Comparison _BOQ-Big C Hai Duong-Electrical-(Final  30-5-2011)-Gia ban HS" xfId="2295" xr:uid="{00000000-0005-0000-0000-000077090000}"/>
    <cellStyle name="_OFG-mockup1_1_NGBI Roll-uprev4_all data1_A9 UM FCBGA_CPU Comparison _quotation QNT-REE-040411 (1)" xfId="2296" xr:uid="{00000000-0005-0000-0000-000078090000}"/>
    <cellStyle name="_OFG-mockup1_1_Oct CPA Eqpt List approved_A9 UM FCBGA_CPU Comparison " xfId="2297" xr:uid="{00000000-0005-0000-0000-000079090000}"/>
    <cellStyle name="_OFG-mockup1_1_Oct CPA Eqpt List approved_A9 UM FCBGA_CPU Comparison  2" xfId="2298" xr:uid="{00000000-0005-0000-0000-00007A090000}"/>
    <cellStyle name="_OFG-mockup1_1_Oct CPA Eqpt List approved_A9 UM FCBGA_CPU Comparison _bang chi tiet_ACMV 25-06-2011" xfId="2299" xr:uid="{00000000-0005-0000-0000-00007B090000}"/>
    <cellStyle name="_OFG-mockup1_1_Oct CPA Eqpt List approved_A9 UM FCBGA_CPU Comparison _Bill of quantity - cables tray FA - Paragon detail from Tai 011-07-2011" xfId="2300" xr:uid="{00000000-0005-0000-0000-00007C090000}"/>
    <cellStyle name="_OFG-mockup1_1_Oct CPA Eqpt List approved_A9 UM FCBGA_CPU Comparison _BOQ-Big C Hai Duong-Electrical-(Final  30-5-2011)-Gia ban HS" xfId="2301" xr:uid="{00000000-0005-0000-0000-00007D090000}"/>
    <cellStyle name="_OFG-mockup1_1_Oct CPA Eqpt List approved_A9 UM FCBGA_CPU Comparison _quotation QNT-REE-040411 (1)" xfId="2302" xr:uid="{00000000-0005-0000-0000-00007E090000}"/>
    <cellStyle name="_OFG-mockup1_1_trade ratio wkng file_A9 UM FCBGA_CPU Comparison " xfId="2303" xr:uid="{00000000-0005-0000-0000-00007F090000}"/>
    <cellStyle name="_OFG-mockup1_1_trade ratio wkng file_A9 UM FCBGA_CPU Comparison  2" xfId="2304" xr:uid="{00000000-0005-0000-0000-000080090000}"/>
    <cellStyle name="_OFG-mockup1_1_trade ratio wkng file_A9 UM FCBGA_CPU Comparison _bang chi tiet_ACMV 25-06-2011" xfId="2305" xr:uid="{00000000-0005-0000-0000-000081090000}"/>
    <cellStyle name="_OFG-mockup1_1_trade ratio wkng file_A9 UM FCBGA_CPU Comparison _Bill of quantity - cables tray FA - Paragon detail from Tai 011-07-2011" xfId="2306" xr:uid="{00000000-0005-0000-0000-000082090000}"/>
    <cellStyle name="_OFG-mockup1_1_trade ratio wkng file_A9 UM FCBGA_CPU Comparison _BOQ-Big C Hai Duong-Electrical-(Final  30-5-2011)-Gia ban HS" xfId="2307" xr:uid="{00000000-0005-0000-0000-000083090000}"/>
    <cellStyle name="_OFG-mockup1_1_trade ratio wkng file_A9 UM FCBGA_CPU Comparison _quotation QNT-REE-040411 (1)" xfId="2308" xr:uid="{00000000-0005-0000-0000-000084090000}"/>
    <cellStyle name="_OFG-mockup1_2_Apr_CPA_PG8_Prescott_Trev1_A9 UM FCBGA_CPU Comparison " xfId="2309" xr:uid="{00000000-0005-0000-0000-000085090000}"/>
    <cellStyle name="_OFG-mockup1_2_Apr_CPA_PG8_Prescott_Trev1_A9 UM FCBGA_CPU Comparison _bang chi tiet_ACMV 25-06-2011" xfId="2310" xr:uid="{00000000-0005-0000-0000-000086090000}"/>
    <cellStyle name="_OFG-mockup1_2_Apr_CPA_PG8_Prescott_Trev1_A9 UM FCBGA_CPU Comparison _Bill of quantity - cables tray FA - Paragon detail from Tai 011-07-2011" xfId="2311" xr:uid="{00000000-0005-0000-0000-000087090000}"/>
    <cellStyle name="_OFG-mockup1_2_Apr_CPA_PG8_Prescott_Trev1_A9 UM FCBGA_CPU Comparison _quotation QNT-REE-040411 (1)" xfId="2312" xr:uid="{00000000-0005-0000-0000-000088090000}"/>
    <cellStyle name="_OFG-mockup1_2_Jan CPA2_A9 UM FCBGA_CPU Comparison " xfId="2313" xr:uid="{00000000-0005-0000-0000-000089090000}"/>
    <cellStyle name="_OFG-mockup1_2_Jan CPA2_A9 UM FCBGA_CPU Comparison _bang chi tiet_ACMV 25-06-2011" xfId="2314" xr:uid="{00000000-0005-0000-0000-00008A090000}"/>
    <cellStyle name="_OFG-mockup1_2_Jan CPA2_A9 UM FCBGA_CPU Comparison _Bill of quantity - cables tray FA - Paragon detail from Tai 011-07-2011" xfId="2315" xr:uid="{00000000-0005-0000-0000-00008B090000}"/>
    <cellStyle name="_OFG-mockup1_2_Jan CPA2_A9 UM FCBGA_CPU Comparison _quotation QNT-REE-040411 (1)" xfId="2316" xr:uid="{00000000-0005-0000-0000-00008C090000}"/>
    <cellStyle name="_OFG-mockup1_2_Oct CPA Eqpt List approved_A9 UM FCBGA_CPU Comparison " xfId="2317" xr:uid="{00000000-0005-0000-0000-00008D090000}"/>
    <cellStyle name="_OFG-mockup1_2_Oct CPA Eqpt List approved_A9 UM FCBGA_CPU Comparison _bang chi tiet_ACMV 25-06-2011" xfId="2318" xr:uid="{00000000-0005-0000-0000-00008E090000}"/>
    <cellStyle name="_OFG-mockup1_2_Oct CPA Eqpt List approved_A9 UM FCBGA_CPU Comparison _Bill of quantity - cables tray FA - Paragon detail from Tai 011-07-2011" xfId="2319" xr:uid="{00000000-0005-0000-0000-00008F090000}"/>
    <cellStyle name="_OFG-mockup1_2_Oct CPA Eqpt List approved_A9 UM FCBGA_CPU Comparison _quotation QNT-REE-040411 (1)" xfId="2320" xr:uid="{00000000-0005-0000-0000-000090090000}"/>
    <cellStyle name="_OFG-mockup1_2_trade ratio wkng file_A9 UM FCBGA_CPU Comparison " xfId="2321" xr:uid="{00000000-0005-0000-0000-000091090000}"/>
    <cellStyle name="_OFG-mockup1_2_trade ratio wkng file_A9 UM FCBGA_CPU Comparison _bang chi tiet_ACMV 25-06-2011" xfId="2322" xr:uid="{00000000-0005-0000-0000-000092090000}"/>
    <cellStyle name="_OFG-mockup1_2_trade ratio wkng file_A9 UM FCBGA_CPU Comparison _Bill of quantity - cables tray FA - Paragon detail from Tai 011-07-2011" xfId="2323" xr:uid="{00000000-0005-0000-0000-000093090000}"/>
    <cellStyle name="_OFG-mockup1_2_trade ratio wkng file_A9 UM FCBGA_CPU Comparison _quotation QNT-REE-040411 (1)" xfId="2324" xr:uid="{00000000-0005-0000-0000-000094090000}"/>
    <cellStyle name="_P&amp;S option" xfId="2325" xr:uid="{00000000-0005-0000-0000-000095090000}"/>
    <cellStyle name="_P&amp;S option_Form" xfId="2326" xr:uid="{00000000-0005-0000-0000-000096090000}"/>
    <cellStyle name="_P&amp;S option_Form_Genral Conditin etc" xfId="2327" xr:uid="{00000000-0005-0000-0000-000097090000}"/>
    <cellStyle name="_P&amp;S option_Form_M_E Services _ Education" xfId="2328" xr:uid="{00000000-0005-0000-0000-000098090000}"/>
    <cellStyle name="_P&amp;S option_Form_M_E Services _ Education_1" xfId="2329" xr:uid="{00000000-0005-0000-0000-000099090000}"/>
    <cellStyle name="_P&amp;S option_M_E Services _ Education" xfId="2330" xr:uid="{00000000-0005-0000-0000-00009A090000}"/>
    <cellStyle name="_P&amp;S option_M_E Services _ Education_1" xfId="2331" xr:uid="{00000000-0005-0000-0000-00009B090000}"/>
    <cellStyle name="_P&amp;S option_Manufacture list" xfId="2332" xr:uid="{00000000-0005-0000-0000-00009C090000}"/>
    <cellStyle name="_P&amp;S option_RFI" xfId="2333" xr:uid="{00000000-0005-0000-0000-00009D090000}"/>
    <cellStyle name="_P&amp;S option_RFI_Genral Conditin etc" xfId="2334" xr:uid="{00000000-0005-0000-0000-00009E090000}"/>
    <cellStyle name="_P&amp;S option_RFI_M_E Services _ Education" xfId="2335" xr:uid="{00000000-0005-0000-0000-00009F090000}"/>
    <cellStyle name="_P&amp;S option_RFI_M_E Services _ Education_1" xfId="2336" xr:uid="{00000000-0005-0000-0000-0000A0090000}"/>
    <cellStyle name="_P&amp;S option_TenRev.1" xfId="2337" xr:uid="{00000000-0005-0000-0000-0000A1090000}"/>
    <cellStyle name="_P&amp;S option_TenRev.1_Genral Conditin etc" xfId="2338" xr:uid="{00000000-0005-0000-0000-0000A2090000}"/>
    <cellStyle name="_P&amp;S option_TenRev.1_M_E Services _ Education" xfId="2339" xr:uid="{00000000-0005-0000-0000-0000A3090000}"/>
    <cellStyle name="_P&amp;S option_TenRev.1_M_E Services _ Education_1" xfId="2340" xr:uid="{00000000-0005-0000-0000-0000A4090000}"/>
    <cellStyle name="_PERSONAL" xfId="2341" xr:uid="{00000000-0005-0000-0000-0000A5090000}"/>
    <cellStyle name="_PERSONAL 2" xfId="2342" xr:uid="{00000000-0005-0000-0000-0000A6090000}"/>
    <cellStyle name="_PERSONAL_2---DATA_SAIN GOBAIN (THEP)_Option 1-British Standard" xfId="2343" xr:uid="{00000000-0005-0000-0000-0000A7090000}"/>
    <cellStyle name="_PERSONAL_BCT - KITYCOTTAGE SS 1''x1'' ANGLE 22-00PET-026" xfId="2344" xr:uid="{00000000-0005-0000-0000-0000A8090000}"/>
    <cellStyle name="_PERSONAL_BCT - MID FLANGE LATCH RIGHT 22-00 PET-030" xfId="2345" xr:uid="{00000000-0005-0000-0000-0000A9090000}"/>
    <cellStyle name="_PERSONAL_Book1" xfId="2346" xr:uid="{00000000-0005-0000-0000-0000AA090000}"/>
    <cellStyle name="_PERSONAL_Book1_1" xfId="2347" xr:uid="{00000000-0005-0000-0000-0000AB090000}"/>
    <cellStyle name="_PERSONAL_Book1_2---DATA_SAIN GOBAIN (THEP)_Option 1-British Standard" xfId="2348" xr:uid="{00000000-0005-0000-0000-0000AC090000}"/>
    <cellStyle name="_PERSONAL_Book1_CACKHOANKHAUTRU" xfId="2349" xr:uid="{00000000-0005-0000-0000-0000AD090000}"/>
    <cellStyle name="_PERSONAL_Book1_CACKHOANKHAUTRU_2---DATA_SAIN GOBAIN (THEP)_Option 1-British Standard" xfId="2350" xr:uid="{00000000-0005-0000-0000-0000AE090000}"/>
    <cellStyle name="_PERSONAL_Book1_CV1-khoi luong va don gia" xfId="2351" xr:uid="{00000000-0005-0000-0000-0000AF090000}"/>
    <cellStyle name="_PERSONAL_Book1_CV1-khoi luong va don gia_2---DATA_SAIN GOBAIN (THEP)_Option 1-British Standard" xfId="2352" xr:uid="{00000000-0005-0000-0000-0000B0090000}"/>
    <cellStyle name="_PERSONAL_Book1_Danh sach nha cung cap ( Vendor List ) - Cap nhat 15-04-2011" xfId="2353" xr:uid="{00000000-0005-0000-0000-0000B1090000}"/>
    <cellStyle name="_PERSONAL_Book1_Du toan chi phi gia thau T12 (Dat Phuong)" xfId="2354" xr:uid="{00000000-0005-0000-0000-0000B2090000}"/>
    <cellStyle name="_PERSONAL_Book1_Du toan chi phi gia thau T12 (Dat Phuong)_2---DATA_SAIN GOBAIN (THEP)_Option 1-British Standard" xfId="2355" xr:uid="{00000000-0005-0000-0000-0000B3090000}"/>
    <cellStyle name="_PERSONAL_Book1_HD-CONGTACCHINH-THAUPHU" xfId="2356" xr:uid="{00000000-0005-0000-0000-0000B4090000}"/>
    <cellStyle name="_PERSONAL_Book1_HD-CONGTACCHINH-THAUPHU_2---DATA_SAIN GOBAIN (THEP)_Option 1-British Standard" xfId="2357" xr:uid="{00000000-0005-0000-0000-0000B5090000}"/>
    <cellStyle name="_PERSONAL_Book1_HOPDONG-NOIBO" xfId="2358" xr:uid="{00000000-0005-0000-0000-0000B6090000}"/>
    <cellStyle name="_PERSONAL_Book1_HOPDONG-NOIBO_2---DATA_SAIN GOBAIN (THEP)_Option 1-British Standard" xfId="2359" xr:uid="{00000000-0005-0000-0000-0000B7090000}"/>
    <cellStyle name="_PERSONAL_Book1_THANH TOAN-CONGTACCHINH" xfId="2360" xr:uid="{00000000-0005-0000-0000-0000B8090000}"/>
    <cellStyle name="_PERSONAL_Book1_THANH TOAN-CONGTACCHINH_2---DATA_SAIN GOBAIN (THEP)_Option 1-British Standard" xfId="2361" xr:uid="{00000000-0005-0000-0000-0000B9090000}"/>
    <cellStyle name="_PERSONAL_Book1_THANHTOAN" xfId="2362" xr:uid="{00000000-0005-0000-0000-0000BA090000}"/>
    <cellStyle name="_PERSONAL_Book1_THANHTOAN_2---DATA_SAIN GOBAIN (THEP)_Option 1-British Standard" xfId="2363" xr:uid="{00000000-0005-0000-0000-0000BB090000}"/>
    <cellStyle name="_PERSONAL_Book1_THAO DIEN PEARL  - CAP THOAT NUOC (5-9-2011)" xfId="2364" xr:uid="{00000000-0005-0000-0000-0000BC090000}"/>
    <cellStyle name="_PERSONAL_CACKHOANKHAUTRU" xfId="2365" xr:uid="{00000000-0005-0000-0000-0000BD090000}"/>
    <cellStyle name="_PERSONAL_CACKHOANKHAUTRU_2---DATA_SAIN GOBAIN (THEP)_Option 1-British Standard" xfId="2366" xr:uid="{00000000-0005-0000-0000-0000BE090000}"/>
    <cellStyle name="_PERSONAL_CV1-khoi luong va don gia" xfId="2367" xr:uid="{00000000-0005-0000-0000-0000BF090000}"/>
    <cellStyle name="_PERSONAL_CV1-khoi luong va don gia_2---DATA_SAIN GOBAIN (THEP)_Option 1-British Standard" xfId="2368" xr:uid="{00000000-0005-0000-0000-0000C0090000}"/>
    <cellStyle name="_PERSONAL_DT HT Goi 1.4 den ngay 15-5-08" xfId="2370" xr:uid="{00000000-0005-0000-0000-0000C2090000}"/>
    <cellStyle name="_PERSONAL_Du toan chi phi gia thau T12 (Dat Phuong)" xfId="2371" xr:uid="{00000000-0005-0000-0000-0000C3090000}"/>
    <cellStyle name="_PERSONAL_Du toan chi phi gia thau T12 (Dat Phuong)_2---DATA_SAIN GOBAIN (THEP)_Option 1-British Standard" xfId="2372" xr:uid="{00000000-0005-0000-0000-0000C4090000}"/>
    <cellStyle name="_PERSONAL_ĐỊNH MỨC KHOÁN 20-00PET -059" xfId="2369" xr:uid="{00000000-0005-0000-0000-0000C1090000}"/>
    <cellStyle name="_PERSONAL_HD-CONGTACCHINH-THAUPHU" xfId="2373" xr:uid="{00000000-0005-0000-0000-0000C5090000}"/>
    <cellStyle name="_PERSONAL_HD-CONGTACCHINH-THAUPHU_2---DATA_SAIN GOBAIN (THEP)_Option 1-British Standard" xfId="2374" xr:uid="{00000000-0005-0000-0000-0000C6090000}"/>
    <cellStyle name="_PERSONAL_HOPDONG-NOIBO" xfId="2375" xr:uid="{00000000-0005-0000-0000-0000C7090000}"/>
    <cellStyle name="_PERSONAL_HOPDONG-NOIBO_2---DATA_SAIN GOBAIN (THEP)_Option 1-British Standard" xfId="2376" xr:uid="{00000000-0005-0000-0000-0000C8090000}"/>
    <cellStyle name="_PERSONAL_HTQ.8 GD1" xfId="2377" xr:uid="{00000000-0005-0000-0000-0000C9090000}"/>
    <cellStyle name="_PERSONAL_HTQ.8 GD1_2---DATA_SAIN GOBAIN (THEP)_Option 1-British Standard" xfId="2378" xr:uid="{00000000-0005-0000-0000-0000CA090000}"/>
    <cellStyle name="_PERSONAL_l" xfId="2379" xr:uid="{00000000-0005-0000-0000-0000CB090000}"/>
    <cellStyle name="_PERSONAL_Nomenclature PHA1 M10 EJ 010 A" xfId="2381" xr:uid="{00000000-0005-0000-0000-0000CD090000}"/>
    <cellStyle name="_PERSONAL_Nha Khach Thanh Uy- Busway -LS- REV1-29-06" xfId="2380" xr:uid="{00000000-0005-0000-0000-0000CC090000}"/>
    <cellStyle name="_PERSONAL_Sheet2" xfId="2382" xr:uid="{00000000-0005-0000-0000-0000CE090000}"/>
    <cellStyle name="_PERSONAL_TAM UNG VAT TU CHINH DOT 3 (REV2)" xfId="2383" xr:uid="{00000000-0005-0000-0000-0000CF090000}"/>
    <cellStyle name="_PERSONAL_TAM UNG VAT TU CHINH DOT 3 (REV2)_2---DATA_SAIN GOBAIN (THEP)_Option 1-British Standard" xfId="2384" xr:uid="{00000000-0005-0000-0000-0000D0090000}"/>
    <cellStyle name="_PERSONAL_Tong hop KHCB 2001" xfId="2390" xr:uid="{00000000-0005-0000-0000-0000D6090000}"/>
    <cellStyle name="_PERSONAL_Tong hop KHCB 2001_2---DATA_SAIN GOBAIN (THEP)_Option 1-British Standard" xfId="2391" xr:uid="{00000000-0005-0000-0000-0000D7090000}"/>
    <cellStyle name="_PERSONAL_THANH TOAN-CONGTACCHINH" xfId="2385" xr:uid="{00000000-0005-0000-0000-0000D1090000}"/>
    <cellStyle name="_PERSONAL_THANH TOAN-CONGTACCHINH_2---DATA_SAIN GOBAIN (THEP)_Option 1-British Standard" xfId="2386" xr:uid="{00000000-0005-0000-0000-0000D2090000}"/>
    <cellStyle name="_PERSONAL_THANHTOAN" xfId="2387" xr:uid="{00000000-0005-0000-0000-0000D3090000}"/>
    <cellStyle name="_PERSONAL_THANHTOAN_2---DATA_SAIN GOBAIN (THEP)_Option 1-British Standard" xfId="2388" xr:uid="{00000000-0005-0000-0000-0000D4090000}"/>
    <cellStyle name="_PERSONAL_THAO DIEN PEARL  - CAP THOAT NUOC (5-9-2011)" xfId="2389" xr:uid="{00000000-0005-0000-0000-0000D5090000}"/>
    <cellStyle name="_PERSONAL_Vat tu boc tach Goldola" xfId="2392" xr:uid="{00000000-0005-0000-0000-0000D8090000}"/>
    <cellStyle name="_Plantation groown" xfId="14497" xr:uid="{00000000-0005-0000-0000-0000DC090000}"/>
    <cellStyle name="_PUNGKOOKnew" xfId="14498" xr:uid="{00000000-0005-0000-0000-0000DD090000}"/>
    <cellStyle name="_Purchasing 2006 YTD" xfId="14499" xr:uid="{00000000-0005-0000-0000-0000DE090000}"/>
    <cellStyle name="_Purchasing 2006 YTD_CHI TIET 03" xfId="14500" xr:uid="{00000000-0005-0000-0000-0000DF090000}"/>
    <cellStyle name="_Phan Ham (Sua theo GCC1)" xfId="2393" xr:uid="{00000000-0005-0000-0000-0000D9090000}"/>
    <cellStyle name="_Phan Ham (Sua theo GCC1)_2---DATA_SAIN GOBAIN (THEP)_Option 1-British Standard" xfId="2394" xr:uid="{00000000-0005-0000-0000-0000DA090000}"/>
    <cellStyle name="_phantichgia" xfId="2395" xr:uid="{00000000-0005-0000-0000-0000DB090000}"/>
    <cellStyle name="_Qt-HT3PQ1(CauKho)" xfId="2396" xr:uid="{00000000-0005-0000-0000-0000E0090000}"/>
    <cellStyle name="_Qt-HT3PQ1(CauKho)_2---DATA_SAIN GOBAIN (THEP)_Option 1-British Standard" xfId="2397" xr:uid="{00000000-0005-0000-0000-0000E1090000}"/>
    <cellStyle name="_Quotation PVC Conduit F&amp;G - 15-01-2009" xfId="2398" xr:uid="{00000000-0005-0000-0000-0000E2090000}"/>
    <cellStyle name="_RFI" xfId="2399" xr:uid="{00000000-0005-0000-0000-0000E3090000}"/>
    <cellStyle name="_RFI_Genral Conditin etc" xfId="2400" xr:uid="{00000000-0005-0000-0000-0000E4090000}"/>
    <cellStyle name="_RFI_M_E Services _ Education" xfId="2401" xr:uid="{00000000-0005-0000-0000-0000E5090000}"/>
    <cellStyle name="_RFI_M_E Services _ Education_1" xfId="2402" xr:uid="{00000000-0005-0000-0000-0000E6090000}"/>
    <cellStyle name="_RM FG INV 2006" xfId="14501" xr:uid="{00000000-0005-0000-0000-0000E7090000}"/>
    <cellStyle name="_RM FG INV 2006_CHI TIET 03" xfId="14502" xr:uid="{00000000-0005-0000-0000-0000E8090000}"/>
    <cellStyle name="_SCT MOI 2008" xfId="14503" xr:uid="{00000000-0005-0000-0000-0000EF090000}"/>
    <cellStyle name="_schedule-Sep.15,06" xfId="2403" xr:uid="{00000000-0005-0000-0000-0000E9090000}"/>
    <cellStyle name="_schedule-Sep.15,06_M_E Services _ Education" xfId="2404" xr:uid="{00000000-0005-0000-0000-0000EA090000}"/>
    <cellStyle name="_schedule-Sep.15,06_M_E Services _ Education_1" xfId="2405" xr:uid="{00000000-0005-0000-0000-0000EB090000}"/>
    <cellStyle name="_schedule-Sep.15,06_M_E Services _ Education_1_submit DHND 5%" xfId="2406" xr:uid="{00000000-0005-0000-0000-0000EC090000}"/>
    <cellStyle name="_schedule-Sep.15,06_M_E Services _ Education_submit DHND 5%" xfId="2407" xr:uid="{00000000-0005-0000-0000-0000ED090000}"/>
    <cellStyle name="_schedule-Sep.15,06_submit DHND 5%" xfId="2408" xr:uid="{00000000-0005-0000-0000-0000EE090000}"/>
    <cellStyle name="_Sheet2" xfId="2409" xr:uid="{00000000-0005-0000-0000-0000F0090000}"/>
    <cellStyle name="_So Sanh Busduct - Ngay 13-01-2009" xfId="2410" xr:uid="{00000000-0005-0000-0000-0000F1090000}"/>
    <cellStyle name="_So Sanh Cach Nhiet Ong Nuoc - Ngay 07-01-2009" xfId="2411" xr:uid="{00000000-0005-0000-0000-0000F2090000}"/>
    <cellStyle name="_So Sanh He MATV - Ngay 19-02-2009" xfId="2412" xr:uid="{00000000-0005-0000-0000-0000F3090000}"/>
    <cellStyle name="_SOSANHTAM" xfId="2413" xr:uid="{00000000-0005-0000-0000-0000F4090000}"/>
    <cellStyle name="_SOSANHTAM 2" xfId="2414" xr:uid="{00000000-0005-0000-0000-0000F5090000}"/>
    <cellStyle name="_Stock" xfId="14504" xr:uid="{00000000-0005-0000-0000-0000F6090000}"/>
    <cellStyle name="_Stock_CHI TIET 03" xfId="14505" xr:uid="{00000000-0005-0000-0000-0000F7090000}"/>
    <cellStyle name="_STT_Huyen" xfId="14506" xr:uid="{00000000-0005-0000-0000-0000F8090000}"/>
    <cellStyle name="_Swire BoQSub" xfId="2415" xr:uid="{00000000-0005-0000-0000-0000F9090000}"/>
    <cellStyle name="_Swire BoQSub_M_E Services _ Education" xfId="2416" xr:uid="{00000000-0005-0000-0000-0000FA090000}"/>
    <cellStyle name="_Swire BoQSub_M_E Services _ Education_1" xfId="2417" xr:uid="{00000000-0005-0000-0000-0000FB090000}"/>
    <cellStyle name="_Swire BoQSub_M_E Services _ Education_1_submit DHND 5%" xfId="2418" xr:uid="{00000000-0005-0000-0000-0000FC090000}"/>
    <cellStyle name="_Swire BoQSub_M_E Services _ Education_submit DHND 5%" xfId="2419" xr:uid="{00000000-0005-0000-0000-0000FD090000}"/>
    <cellStyle name="_Swire BoQSub_submit DHND 5%" xfId="2420" xr:uid="{00000000-0005-0000-0000-0000FE090000}"/>
    <cellStyle name="_TAM UNG VAT TU CHINH DOT 3 (REV2)" xfId="2421" xr:uid="{00000000-0005-0000-0000-0000FF090000}"/>
    <cellStyle name="_TAM UNG VAT TU CHINH DOT 3 (REV2)_2---DATA_SAIN GOBAIN (THEP)_Option 1-British Standard" xfId="2422" xr:uid="{00000000-0005-0000-0000-0000000A0000}"/>
    <cellStyle name="_TanDaPhanThan" xfId="2423" xr:uid="{00000000-0005-0000-0000-0000010A0000}"/>
    <cellStyle name="_Technical Data Pumps" xfId="2424" xr:uid="{00000000-0005-0000-0000-0000020A0000}"/>
    <cellStyle name="_Technical Data Pumps_Busway DML updated 04Dec" xfId="2425" xr:uid="{00000000-0005-0000-0000-0000030A0000}"/>
    <cellStyle name="_Technical Data Pumps_Golden Hill -AC(M&amp;Y)-April 06 2010" xfId="2427" xr:uid="{00000000-0005-0000-0000-0000050A0000}"/>
    <cellStyle name="_Technical Data Pumps_Golden Hill -FP-REV0-April 06 2010" xfId="2428" xr:uid="{00000000-0005-0000-0000-0000060A0000}"/>
    <cellStyle name="_Technical Data Pumps_Golden Hill-PL -REV0 -April 06-2010" xfId="2429" xr:uid="{00000000-0005-0000-0000-0000070A0000}"/>
    <cellStyle name="_Technical Data Pumps_Gia Cost &amp; Gia HD - P Kinh Doanh &amp; P.Vat Tu" xfId="2426" xr:uid="{00000000-0005-0000-0000-0000040A0000}"/>
    <cellStyle name="_Technical Data Pumps_So Sanh He MATV - Ngay 19-02-2009" xfId="2430" xr:uid="{00000000-0005-0000-0000-0000080A0000}"/>
    <cellStyle name="_Technical Data Pumps_So Sanh He MATV - Ngay 19-02-2009_So gia NCC-BECAMEX HOSPITAL" xfId="2431" xr:uid="{00000000-0005-0000-0000-0000090A0000}"/>
    <cellStyle name="_Technical Data Pumps_So Sanh He MATV - Ngay 19-02-2009_So gia NCC-BECAMEX HOSPITAL (Final 7-7-2011)" xfId="2432" xr:uid="{00000000-0005-0000-0000-00000A0A0000}"/>
    <cellStyle name="_Technical Data Pumps_So Sanh He MATV - Ngay 19-02-2009_So gia NCC-SAVICO PLAZA HN(Rev 0 10-1-2011)" xfId="2433" xr:uid="{00000000-0005-0000-0000-00000B0A0000}"/>
    <cellStyle name="_Tender form" xfId="2434" xr:uid="{00000000-0005-0000-0000-00000C0A0000}"/>
    <cellStyle name="_Tender form_M_E Services _ Education" xfId="2435" xr:uid="{00000000-0005-0000-0000-00000D0A0000}"/>
    <cellStyle name="_Tender form_M_E Services _ Education_1" xfId="2436" xr:uid="{00000000-0005-0000-0000-00000E0A0000}"/>
    <cellStyle name="_Tender form_M_E Services _ Education_1_submit DHND 5%" xfId="2437" xr:uid="{00000000-0005-0000-0000-00000F0A0000}"/>
    <cellStyle name="_Tender form_M_E Services _ Education_submit DHND 5%" xfId="2438" xr:uid="{00000000-0005-0000-0000-0000100A0000}"/>
    <cellStyle name="_Tender form_submit DHND 5%" xfId="2439" xr:uid="{00000000-0005-0000-0000-0000110A0000}"/>
    <cellStyle name="_TG-TH" xfId="2440" xr:uid="{00000000-0005-0000-0000-0000120A0000}"/>
    <cellStyle name="_TG-TH_1" xfId="2441" xr:uid="{00000000-0005-0000-0000-0000130A0000}"/>
    <cellStyle name="_TG-TH_1 10" xfId="2442" xr:uid="{00000000-0005-0000-0000-0000140A0000}"/>
    <cellStyle name="_TG-TH_1 100" xfId="2443" xr:uid="{00000000-0005-0000-0000-0000150A0000}"/>
    <cellStyle name="_TG-TH_1 101" xfId="2444" xr:uid="{00000000-0005-0000-0000-0000160A0000}"/>
    <cellStyle name="_TG-TH_1 102" xfId="2445" xr:uid="{00000000-0005-0000-0000-0000170A0000}"/>
    <cellStyle name="_TG-TH_1 103" xfId="2446" xr:uid="{00000000-0005-0000-0000-0000180A0000}"/>
    <cellStyle name="_TG-TH_1 104" xfId="2447" xr:uid="{00000000-0005-0000-0000-0000190A0000}"/>
    <cellStyle name="_TG-TH_1 105" xfId="2448" xr:uid="{00000000-0005-0000-0000-00001A0A0000}"/>
    <cellStyle name="_TG-TH_1 106" xfId="2449" xr:uid="{00000000-0005-0000-0000-00001B0A0000}"/>
    <cellStyle name="_TG-TH_1 107" xfId="2450" xr:uid="{00000000-0005-0000-0000-00001C0A0000}"/>
    <cellStyle name="_TG-TH_1 108" xfId="2451" xr:uid="{00000000-0005-0000-0000-00001D0A0000}"/>
    <cellStyle name="_TG-TH_1 109" xfId="2452" xr:uid="{00000000-0005-0000-0000-00001E0A0000}"/>
    <cellStyle name="_TG-TH_1 11" xfId="2453" xr:uid="{00000000-0005-0000-0000-00001F0A0000}"/>
    <cellStyle name="_TG-TH_1 110" xfId="2454" xr:uid="{00000000-0005-0000-0000-0000200A0000}"/>
    <cellStyle name="_TG-TH_1 111" xfId="2455" xr:uid="{00000000-0005-0000-0000-0000210A0000}"/>
    <cellStyle name="_TG-TH_1 12" xfId="2456" xr:uid="{00000000-0005-0000-0000-0000220A0000}"/>
    <cellStyle name="_TG-TH_1 13" xfId="2457" xr:uid="{00000000-0005-0000-0000-0000230A0000}"/>
    <cellStyle name="_TG-TH_1 14" xfId="2458" xr:uid="{00000000-0005-0000-0000-0000240A0000}"/>
    <cellStyle name="_TG-TH_1 15" xfId="2459" xr:uid="{00000000-0005-0000-0000-0000250A0000}"/>
    <cellStyle name="_TG-TH_1 16" xfId="2460" xr:uid="{00000000-0005-0000-0000-0000260A0000}"/>
    <cellStyle name="_TG-TH_1 17" xfId="2461" xr:uid="{00000000-0005-0000-0000-0000270A0000}"/>
    <cellStyle name="_TG-TH_1 18" xfId="2462" xr:uid="{00000000-0005-0000-0000-0000280A0000}"/>
    <cellStyle name="_TG-TH_1 19" xfId="2463" xr:uid="{00000000-0005-0000-0000-0000290A0000}"/>
    <cellStyle name="_TG-TH_1 2" xfId="2464" xr:uid="{00000000-0005-0000-0000-00002A0A0000}"/>
    <cellStyle name="_TG-TH_1 20" xfId="2465" xr:uid="{00000000-0005-0000-0000-00002B0A0000}"/>
    <cellStyle name="_TG-TH_1 21" xfId="2466" xr:uid="{00000000-0005-0000-0000-00002C0A0000}"/>
    <cellStyle name="_TG-TH_1 22" xfId="2467" xr:uid="{00000000-0005-0000-0000-00002D0A0000}"/>
    <cellStyle name="_TG-TH_1 23" xfId="2468" xr:uid="{00000000-0005-0000-0000-00002E0A0000}"/>
    <cellStyle name="_TG-TH_1 24" xfId="2469" xr:uid="{00000000-0005-0000-0000-00002F0A0000}"/>
    <cellStyle name="_TG-TH_1 25" xfId="2470" xr:uid="{00000000-0005-0000-0000-0000300A0000}"/>
    <cellStyle name="_TG-TH_1 26" xfId="2471" xr:uid="{00000000-0005-0000-0000-0000310A0000}"/>
    <cellStyle name="_TG-TH_1 27" xfId="2472" xr:uid="{00000000-0005-0000-0000-0000320A0000}"/>
    <cellStyle name="_TG-TH_1 28" xfId="2473" xr:uid="{00000000-0005-0000-0000-0000330A0000}"/>
    <cellStyle name="_TG-TH_1 29" xfId="2474" xr:uid="{00000000-0005-0000-0000-0000340A0000}"/>
    <cellStyle name="_TG-TH_1 3" xfId="2475" xr:uid="{00000000-0005-0000-0000-0000350A0000}"/>
    <cellStyle name="_TG-TH_1 30" xfId="2476" xr:uid="{00000000-0005-0000-0000-0000360A0000}"/>
    <cellStyle name="_TG-TH_1 31" xfId="2477" xr:uid="{00000000-0005-0000-0000-0000370A0000}"/>
    <cellStyle name="_TG-TH_1 32" xfId="2478" xr:uid="{00000000-0005-0000-0000-0000380A0000}"/>
    <cellStyle name="_TG-TH_1 33" xfId="2479" xr:uid="{00000000-0005-0000-0000-0000390A0000}"/>
    <cellStyle name="_TG-TH_1 34" xfId="2480" xr:uid="{00000000-0005-0000-0000-00003A0A0000}"/>
    <cellStyle name="_TG-TH_1 35" xfId="2481" xr:uid="{00000000-0005-0000-0000-00003B0A0000}"/>
    <cellStyle name="_TG-TH_1 36" xfId="2482" xr:uid="{00000000-0005-0000-0000-00003C0A0000}"/>
    <cellStyle name="_TG-TH_1 37" xfId="2483" xr:uid="{00000000-0005-0000-0000-00003D0A0000}"/>
    <cellStyle name="_TG-TH_1 38" xfId="2484" xr:uid="{00000000-0005-0000-0000-00003E0A0000}"/>
    <cellStyle name="_TG-TH_1 39" xfId="2485" xr:uid="{00000000-0005-0000-0000-00003F0A0000}"/>
    <cellStyle name="_TG-TH_1 4" xfId="2486" xr:uid="{00000000-0005-0000-0000-0000400A0000}"/>
    <cellStyle name="_TG-TH_1 40" xfId="2487" xr:uid="{00000000-0005-0000-0000-0000410A0000}"/>
    <cellStyle name="_TG-TH_1 41" xfId="2488" xr:uid="{00000000-0005-0000-0000-0000420A0000}"/>
    <cellStyle name="_TG-TH_1 42" xfId="2489" xr:uid="{00000000-0005-0000-0000-0000430A0000}"/>
    <cellStyle name="_TG-TH_1 43" xfId="2490" xr:uid="{00000000-0005-0000-0000-0000440A0000}"/>
    <cellStyle name="_TG-TH_1 44" xfId="2491" xr:uid="{00000000-0005-0000-0000-0000450A0000}"/>
    <cellStyle name="_TG-TH_1 45" xfId="2492" xr:uid="{00000000-0005-0000-0000-0000460A0000}"/>
    <cellStyle name="_TG-TH_1 46" xfId="2493" xr:uid="{00000000-0005-0000-0000-0000470A0000}"/>
    <cellStyle name="_TG-TH_1 47" xfId="2494" xr:uid="{00000000-0005-0000-0000-0000480A0000}"/>
    <cellStyle name="_TG-TH_1 48" xfId="2495" xr:uid="{00000000-0005-0000-0000-0000490A0000}"/>
    <cellStyle name="_TG-TH_1 49" xfId="2496" xr:uid="{00000000-0005-0000-0000-00004A0A0000}"/>
    <cellStyle name="_TG-TH_1 5" xfId="2497" xr:uid="{00000000-0005-0000-0000-00004B0A0000}"/>
    <cellStyle name="_TG-TH_1 50" xfId="2498" xr:uid="{00000000-0005-0000-0000-00004C0A0000}"/>
    <cellStyle name="_TG-TH_1 51" xfId="2499" xr:uid="{00000000-0005-0000-0000-00004D0A0000}"/>
    <cellStyle name="_TG-TH_1 52" xfId="2500" xr:uid="{00000000-0005-0000-0000-00004E0A0000}"/>
    <cellStyle name="_TG-TH_1 53" xfId="2501" xr:uid="{00000000-0005-0000-0000-00004F0A0000}"/>
    <cellStyle name="_TG-TH_1 54" xfId="2502" xr:uid="{00000000-0005-0000-0000-0000500A0000}"/>
    <cellStyle name="_TG-TH_1 55" xfId="2503" xr:uid="{00000000-0005-0000-0000-0000510A0000}"/>
    <cellStyle name="_TG-TH_1 56" xfId="2504" xr:uid="{00000000-0005-0000-0000-0000520A0000}"/>
    <cellStyle name="_TG-TH_1 57" xfId="2505" xr:uid="{00000000-0005-0000-0000-0000530A0000}"/>
    <cellStyle name="_TG-TH_1 58" xfId="2506" xr:uid="{00000000-0005-0000-0000-0000540A0000}"/>
    <cellStyle name="_TG-TH_1 59" xfId="2507" xr:uid="{00000000-0005-0000-0000-0000550A0000}"/>
    <cellStyle name="_TG-TH_1 6" xfId="2508" xr:uid="{00000000-0005-0000-0000-0000560A0000}"/>
    <cellStyle name="_TG-TH_1 60" xfId="2509" xr:uid="{00000000-0005-0000-0000-0000570A0000}"/>
    <cellStyle name="_TG-TH_1 61" xfId="2510" xr:uid="{00000000-0005-0000-0000-0000580A0000}"/>
    <cellStyle name="_TG-TH_1 62" xfId="2511" xr:uid="{00000000-0005-0000-0000-0000590A0000}"/>
    <cellStyle name="_TG-TH_1 63" xfId="2512" xr:uid="{00000000-0005-0000-0000-00005A0A0000}"/>
    <cellStyle name="_TG-TH_1 64" xfId="2513" xr:uid="{00000000-0005-0000-0000-00005B0A0000}"/>
    <cellStyle name="_TG-TH_1 65" xfId="2514" xr:uid="{00000000-0005-0000-0000-00005C0A0000}"/>
    <cellStyle name="_TG-TH_1 66" xfId="2515" xr:uid="{00000000-0005-0000-0000-00005D0A0000}"/>
    <cellStyle name="_TG-TH_1 67" xfId="2516" xr:uid="{00000000-0005-0000-0000-00005E0A0000}"/>
    <cellStyle name="_TG-TH_1 68" xfId="2517" xr:uid="{00000000-0005-0000-0000-00005F0A0000}"/>
    <cellStyle name="_TG-TH_1 69" xfId="2518" xr:uid="{00000000-0005-0000-0000-0000600A0000}"/>
    <cellStyle name="_TG-TH_1 7" xfId="2519" xr:uid="{00000000-0005-0000-0000-0000610A0000}"/>
    <cellStyle name="_TG-TH_1 70" xfId="2520" xr:uid="{00000000-0005-0000-0000-0000620A0000}"/>
    <cellStyle name="_TG-TH_1 71" xfId="2521" xr:uid="{00000000-0005-0000-0000-0000630A0000}"/>
    <cellStyle name="_TG-TH_1 72" xfId="2522" xr:uid="{00000000-0005-0000-0000-0000640A0000}"/>
    <cellStyle name="_TG-TH_1 73" xfId="2523" xr:uid="{00000000-0005-0000-0000-0000650A0000}"/>
    <cellStyle name="_TG-TH_1 74" xfId="2524" xr:uid="{00000000-0005-0000-0000-0000660A0000}"/>
    <cellStyle name="_TG-TH_1 75" xfId="2525" xr:uid="{00000000-0005-0000-0000-0000670A0000}"/>
    <cellStyle name="_TG-TH_1 76" xfId="2526" xr:uid="{00000000-0005-0000-0000-0000680A0000}"/>
    <cellStyle name="_TG-TH_1 77" xfId="2527" xr:uid="{00000000-0005-0000-0000-0000690A0000}"/>
    <cellStyle name="_TG-TH_1 78" xfId="2528" xr:uid="{00000000-0005-0000-0000-00006A0A0000}"/>
    <cellStyle name="_TG-TH_1 79" xfId="2529" xr:uid="{00000000-0005-0000-0000-00006B0A0000}"/>
    <cellStyle name="_TG-TH_1 8" xfId="2530" xr:uid="{00000000-0005-0000-0000-00006C0A0000}"/>
    <cellStyle name="_TG-TH_1 80" xfId="2531" xr:uid="{00000000-0005-0000-0000-00006D0A0000}"/>
    <cellStyle name="_TG-TH_1 81" xfId="2532" xr:uid="{00000000-0005-0000-0000-00006E0A0000}"/>
    <cellStyle name="_TG-TH_1 82" xfId="2533" xr:uid="{00000000-0005-0000-0000-00006F0A0000}"/>
    <cellStyle name="_TG-TH_1 83" xfId="2534" xr:uid="{00000000-0005-0000-0000-0000700A0000}"/>
    <cellStyle name="_TG-TH_1 84" xfId="2535" xr:uid="{00000000-0005-0000-0000-0000710A0000}"/>
    <cellStyle name="_TG-TH_1 85" xfId="2536" xr:uid="{00000000-0005-0000-0000-0000720A0000}"/>
    <cellStyle name="_TG-TH_1 86" xfId="2537" xr:uid="{00000000-0005-0000-0000-0000730A0000}"/>
    <cellStyle name="_TG-TH_1 87" xfId="2538" xr:uid="{00000000-0005-0000-0000-0000740A0000}"/>
    <cellStyle name="_TG-TH_1 88" xfId="2539" xr:uid="{00000000-0005-0000-0000-0000750A0000}"/>
    <cellStyle name="_TG-TH_1 89" xfId="2540" xr:uid="{00000000-0005-0000-0000-0000760A0000}"/>
    <cellStyle name="_TG-TH_1 9" xfId="2541" xr:uid="{00000000-0005-0000-0000-0000770A0000}"/>
    <cellStyle name="_TG-TH_1 90" xfId="2542" xr:uid="{00000000-0005-0000-0000-0000780A0000}"/>
    <cellStyle name="_TG-TH_1 91" xfId="2543" xr:uid="{00000000-0005-0000-0000-0000790A0000}"/>
    <cellStyle name="_TG-TH_1 92" xfId="2544" xr:uid="{00000000-0005-0000-0000-00007A0A0000}"/>
    <cellStyle name="_TG-TH_1 93" xfId="2545" xr:uid="{00000000-0005-0000-0000-00007B0A0000}"/>
    <cellStyle name="_TG-TH_1 94" xfId="2546" xr:uid="{00000000-0005-0000-0000-00007C0A0000}"/>
    <cellStyle name="_TG-TH_1 95" xfId="2547" xr:uid="{00000000-0005-0000-0000-00007D0A0000}"/>
    <cellStyle name="_TG-TH_1 96" xfId="2548" xr:uid="{00000000-0005-0000-0000-00007E0A0000}"/>
    <cellStyle name="_TG-TH_1 97" xfId="2549" xr:uid="{00000000-0005-0000-0000-00007F0A0000}"/>
    <cellStyle name="_TG-TH_1 98" xfId="2550" xr:uid="{00000000-0005-0000-0000-0000800A0000}"/>
    <cellStyle name="_TG-TH_1 99" xfId="2551" xr:uid="{00000000-0005-0000-0000-0000810A0000}"/>
    <cellStyle name="_TG-TH_1_04- Bang bieu khoi luong 20110531(2)" xfId="2552" xr:uid="{00000000-0005-0000-0000-0000820A0000}"/>
    <cellStyle name="_TG-TH_1_04-Bang bieu khoi luong 20110703(kiet)" xfId="2553" xr:uid="{00000000-0005-0000-0000-0000830A0000}"/>
    <cellStyle name="_TG-TH_1_20110627-TDP-MEP BOQ-R2" xfId="2554" xr:uid="{00000000-0005-0000-0000-0000840A0000}"/>
    <cellStyle name="_TG-TH_1_2---DATA_SAIN GOBAIN (THEP)_Option 1-British Standard" xfId="2555" xr:uid="{00000000-0005-0000-0000-0000850A0000}"/>
    <cellStyle name="_TG-TH_1_44611-MEP Estimate cost" xfId="2556" xr:uid="{00000000-0005-0000-0000-0000860A0000}"/>
    <cellStyle name="_TG-TH_1_BAO CAO KLCT PT2000" xfId="2557" xr:uid="{00000000-0005-0000-0000-0000870A0000}"/>
    <cellStyle name="_TG-TH_1_BAO CAO KLCT PT2000_2---DATA_SAIN GOBAIN (THEP)_Option 1-British Standard" xfId="2558" xr:uid="{00000000-0005-0000-0000-0000880A0000}"/>
    <cellStyle name="_TG-TH_1_BAO CAO PT2000" xfId="2559" xr:uid="{00000000-0005-0000-0000-0000890A0000}"/>
    <cellStyle name="_TG-TH_1_BAO CAO PT2000_2---DATA_SAIN GOBAIN (THEP)_Option 1-British Standard" xfId="2560" xr:uid="{00000000-0005-0000-0000-00008A0A0000}"/>
    <cellStyle name="_TG-TH_1_BAO CAO PT2000_Book1" xfId="2561" xr:uid="{00000000-0005-0000-0000-00008B0A0000}"/>
    <cellStyle name="_TG-TH_1_BAO CAO PT2000_Book1_2---DATA_SAIN GOBAIN (THEP)_Option 1-British Standard" xfId="2562" xr:uid="{00000000-0005-0000-0000-00008C0A0000}"/>
    <cellStyle name="_TG-TH_1_Bao cao XDCB 2001 - T11 KH dieu chinh 20-11-THAI" xfId="2563" xr:uid="{00000000-0005-0000-0000-00008D0A0000}"/>
    <cellStyle name="_TG-TH_1_Bao cao XDCB 2001 - T11 KH dieu chinh 20-11-THAI_2---DATA_SAIN GOBAIN (THEP)_Option 1-British Standard" xfId="2564" xr:uid="{00000000-0005-0000-0000-00008E0A0000}"/>
    <cellStyle name="_TG-TH_1_BCT - KITYCOTTAGE SS 1''x1'' ANGLE 22-00PET-026" xfId="2565" xr:uid="{00000000-0005-0000-0000-00008F0A0000}"/>
    <cellStyle name="_TG-TH_1_BCT - MID FLANGE LATCH RIGHT 22-00 PET-030" xfId="2566" xr:uid="{00000000-0005-0000-0000-0000900A0000}"/>
    <cellStyle name="_TG-TH_1_Book1" xfId="2567" xr:uid="{00000000-0005-0000-0000-0000910A0000}"/>
    <cellStyle name="_TG-TH_1_Book1 2" xfId="2568" xr:uid="{00000000-0005-0000-0000-0000920A0000}"/>
    <cellStyle name="_TG-TH_1_Book1_1" xfId="2569" xr:uid="{00000000-0005-0000-0000-0000930A0000}"/>
    <cellStyle name="_TG-TH_1_Book1_1 2" xfId="2570" xr:uid="{00000000-0005-0000-0000-0000940A0000}"/>
    <cellStyle name="_TG-TH_1_Book1_1_2---DATA_SAIN GOBAIN (THEP)_Option 1-British Standard" xfId="2571" xr:uid="{00000000-0005-0000-0000-0000950A0000}"/>
    <cellStyle name="_TG-TH_1_Book1_1_BCT - KITYCOTTAGE SS 1''x1'' ANGLE 22-00PET-026" xfId="2572" xr:uid="{00000000-0005-0000-0000-0000960A0000}"/>
    <cellStyle name="_TG-TH_1_Book1_1_Bill of quantity - cables tray FA - Paragon detail from Tai 011-07-2011" xfId="2573" xr:uid="{00000000-0005-0000-0000-0000970A0000}"/>
    <cellStyle name="_TG-TH_1_Book1_1_Book1" xfId="2574" xr:uid="{00000000-0005-0000-0000-0000980A0000}"/>
    <cellStyle name="_TG-TH_1_Book1_1_Book1_2---DATA_SAIN GOBAIN (THEP)_Option 1-British Standard" xfId="2575" xr:uid="{00000000-0005-0000-0000-0000990A0000}"/>
    <cellStyle name="_TG-TH_1_Book1_1_Book1_THAO DIEN PEARL  - CAP THOAT NUOC (5-9-2011)" xfId="2576" xr:uid="{00000000-0005-0000-0000-00009A0A0000}"/>
    <cellStyle name="_TG-TH_1_Book1_1_CACKHOANKHAUTRU" xfId="2577" xr:uid="{00000000-0005-0000-0000-00009B0A0000}"/>
    <cellStyle name="_TG-TH_1_Book1_1_CACKHOANKHAUTRU_2---DATA_SAIN GOBAIN (THEP)_Option 1-British Standard" xfId="2578" xr:uid="{00000000-0005-0000-0000-00009C0A0000}"/>
    <cellStyle name="_TG-TH_1_Book1_1_Danh sach nha cung cap ( Vendor List ) - Cap nhat 15-04-2011" xfId="2579" xr:uid="{00000000-0005-0000-0000-00009D0A0000}"/>
    <cellStyle name="_TG-TH_1_Book1_1_KLTT-PHUCHUNG" xfId="2580" xr:uid="{00000000-0005-0000-0000-00009E0A0000}"/>
    <cellStyle name="_TG-TH_1_Book1_1_KLTT-PHUCHUNG_2---DATA_SAIN GOBAIN (THEP)_Option 1-British Standard" xfId="2581" xr:uid="{00000000-0005-0000-0000-00009F0A0000}"/>
    <cellStyle name="_TG-TH_1_Book1_1_l" xfId="2582" xr:uid="{00000000-0005-0000-0000-0000A00A0000}"/>
    <cellStyle name="_TG-TH_1_Book1_1_Nha Khach Thanh Uy- Busway -LS- REV1-29-06" xfId="2583" xr:uid="{00000000-0005-0000-0000-0000A10A0000}"/>
    <cellStyle name="_TG-TH_1_Book1_1_Thanh toan (Du an Ca Mau)" xfId="2584" xr:uid="{00000000-0005-0000-0000-0000A20A0000}"/>
    <cellStyle name="_TG-TH_1_Book1_1_Thanh toan (Du an Ca Mau)_2---DATA_SAIN GOBAIN (THEP)_Option 1-British Standard" xfId="2585" xr:uid="{00000000-0005-0000-0000-0000A30A0000}"/>
    <cellStyle name="_TG-TH_1_Book1_1_THANHTOAN" xfId="2586" xr:uid="{00000000-0005-0000-0000-0000A40A0000}"/>
    <cellStyle name="_TG-TH_1_Book1_1_THANHTOAN A-B" xfId="2587" xr:uid="{00000000-0005-0000-0000-0000A50A0000}"/>
    <cellStyle name="_TG-TH_1_Book1_1_THANHTOAN A-B_2---DATA_SAIN GOBAIN (THEP)_Option 1-British Standard" xfId="2588" xr:uid="{00000000-0005-0000-0000-0000A60A0000}"/>
    <cellStyle name="_TG-TH_1_Book1_1_THANHTOAN_2---DATA_SAIN GOBAIN (THEP)_Option 1-British Standard" xfId="2589" xr:uid="{00000000-0005-0000-0000-0000A70A0000}"/>
    <cellStyle name="_TG-TH_1_Book1_1_THAO DIEN PEARL  - CAP THOAT NUOC (5-9-2011)" xfId="2590" xr:uid="{00000000-0005-0000-0000-0000A80A0000}"/>
    <cellStyle name="_TG-TH_1_Book1_2" xfId="2591" xr:uid="{00000000-0005-0000-0000-0000A90A0000}"/>
    <cellStyle name="_TG-TH_1_Book1_2 2" xfId="2592" xr:uid="{00000000-0005-0000-0000-0000AA0A0000}"/>
    <cellStyle name="_TG-TH_1_Book1_2_2---DATA_SAIN GOBAIN (THEP)_Option 1-British Standard" xfId="2593" xr:uid="{00000000-0005-0000-0000-0000AB0A0000}"/>
    <cellStyle name="_TG-TH_1_Book1_2_Bill of quantity - cables tray FA - Paragon detail from Tai 011-07-2011" xfId="2594" xr:uid="{00000000-0005-0000-0000-0000AC0A0000}"/>
    <cellStyle name="_TG-TH_1_Book1_2_Book1" xfId="2595" xr:uid="{00000000-0005-0000-0000-0000AD0A0000}"/>
    <cellStyle name="_TG-TH_1_Book1_2_Book1_2---DATA_SAIN GOBAIN (THEP)_Option 1-British Standard" xfId="2596" xr:uid="{00000000-0005-0000-0000-0000AE0A0000}"/>
    <cellStyle name="_TG-TH_1_Book1_2_CACKHOANKHAUTRU" xfId="2597" xr:uid="{00000000-0005-0000-0000-0000AF0A0000}"/>
    <cellStyle name="_TG-TH_1_Book1_2_CACKHOANKHAUTRU_2---DATA_SAIN GOBAIN (THEP)_Option 1-British Standard" xfId="2598" xr:uid="{00000000-0005-0000-0000-0000B00A0000}"/>
    <cellStyle name="_TG-TH_1_Book1_2_Danh sach nha cung cap ( Vendor List ) - Cap nhat 15-04-2011" xfId="2599" xr:uid="{00000000-0005-0000-0000-0000B10A0000}"/>
    <cellStyle name="_TG-TH_1_Book1_2_KLTT-PHUCHUNG" xfId="2600" xr:uid="{00000000-0005-0000-0000-0000B20A0000}"/>
    <cellStyle name="_TG-TH_1_Book1_2_KLTT-PHUCHUNG_2---DATA_SAIN GOBAIN (THEP)_Option 1-British Standard" xfId="2601" xr:uid="{00000000-0005-0000-0000-0000B30A0000}"/>
    <cellStyle name="_TG-TH_1_Book1_2_l" xfId="2602" xr:uid="{00000000-0005-0000-0000-0000B40A0000}"/>
    <cellStyle name="_TG-TH_1_Book1_2_Nha Khach Thanh Uy- Busway -LS- REV1-29-06" xfId="2603" xr:uid="{00000000-0005-0000-0000-0000B50A0000}"/>
    <cellStyle name="_TG-TH_1_Book1_2_Thanh toan (Du an Ca Mau)" xfId="2604" xr:uid="{00000000-0005-0000-0000-0000B60A0000}"/>
    <cellStyle name="_TG-TH_1_Book1_2_Thanh toan (Du an Ca Mau)_2---DATA_SAIN GOBAIN (THEP)_Option 1-British Standard" xfId="2605" xr:uid="{00000000-0005-0000-0000-0000B70A0000}"/>
    <cellStyle name="_TG-TH_1_Book1_2_THANHTOAN" xfId="2606" xr:uid="{00000000-0005-0000-0000-0000B80A0000}"/>
    <cellStyle name="_TG-TH_1_Book1_2_THANHTOAN A-B" xfId="2607" xr:uid="{00000000-0005-0000-0000-0000B90A0000}"/>
    <cellStyle name="_TG-TH_1_Book1_2_THANHTOAN A-B_2---DATA_SAIN GOBAIN (THEP)_Option 1-British Standard" xfId="2608" xr:uid="{00000000-0005-0000-0000-0000BA0A0000}"/>
    <cellStyle name="_TG-TH_1_Book1_2_THANHTOAN_2---DATA_SAIN GOBAIN (THEP)_Option 1-British Standard" xfId="2609" xr:uid="{00000000-0005-0000-0000-0000BB0A0000}"/>
    <cellStyle name="_TG-TH_1_Book1_2_THAO DIEN PEARL  - CAP THOAT NUOC (5-9-2011)" xfId="2610" xr:uid="{00000000-0005-0000-0000-0000BC0A0000}"/>
    <cellStyle name="_TG-TH_1_Book1_2---DATA_SAIN GOBAIN (THEP)_Option 1-British Standard" xfId="2611" xr:uid="{00000000-0005-0000-0000-0000BD0A0000}"/>
    <cellStyle name="_TG-TH_1_Book1_3" xfId="2612" xr:uid="{00000000-0005-0000-0000-0000BE0A0000}"/>
    <cellStyle name="_TG-TH_1_Book1_3_2---DATA_SAIN GOBAIN (THEP)_Option 1-British Standard" xfId="2613" xr:uid="{00000000-0005-0000-0000-0000BF0A0000}"/>
    <cellStyle name="_TG-TH_1_Book1_4" xfId="2614" xr:uid="{00000000-0005-0000-0000-0000C00A0000}"/>
    <cellStyle name="_TG-TH_1_Book1_4_2---DATA_SAIN GOBAIN (THEP)_Option 1-British Standard" xfId="2615" xr:uid="{00000000-0005-0000-0000-0000C10A0000}"/>
    <cellStyle name="_TG-TH_1_Book1_BC-QT-WB-dthao" xfId="2616" xr:uid="{00000000-0005-0000-0000-0000C20A0000}"/>
    <cellStyle name="_TG-TH_1_Book1_BC-QT-WB-dthao_2---DATA_SAIN GOBAIN (THEP)_Option 1-British Standard" xfId="2617" xr:uid="{00000000-0005-0000-0000-0000C30A0000}"/>
    <cellStyle name="_TG-TH_1_Book1_Book1" xfId="2618" xr:uid="{00000000-0005-0000-0000-0000C40A0000}"/>
    <cellStyle name="_TG-TH_1_Book1_Book1_2---DATA_SAIN GOBAIN (THEP)_Option 1-British Standard" xfId="2619" xr:uid="{00000000-0005-0000-0000-0000C50A0000}"/>
    <cellStyle name="_TG-TH_1_Book1_Book1_Book1" xfId="2620" xr:uid="{00000000-0005-0000-0000-0000C60A0000}"/>
    <cellStyle name="_TG-TH_1_Book1_Book1_Book1_2---DATA_SAIN GOBAIN (THEP)_Option 1-British Standard" xfId="2621" xr:uid="{00000000-0005-0000-0000-0000C70A0000}"/>
    <cellStyle name="_TG-TH_1_Book1_Book1_CACKHOANKHAUTRU" xfId="2622" xr:uid="{00000000-0005-0000-0000-0000C80A0000}"/>
    <cellStyle name="_TG-TH_1_Book1_Book1_CACKHOANKHAUTRU_2---DATA_SAIN GOBAIN (THEP)_Option 1-British Standard" xfId="2623" xr:uid="{00000000-0005-0000-0000-0000C90A0000}"/>
    <cellStyle name="_TG-TH_1_Book1_Book1_KLTT-PHUCHUNG" xfId="2624" xr:uid="{00000000-0005-0000-0000-0000CA0A0000}"/>
    <cellStyle name="_TG-TH_1_Book1_Book1_KLTT-PHUCHUNG_2---DATA_SAIN GOBAIN (THEP)_Option 1-British Standard" xfId="2625" xr:uid="{00000000-0005-0000-0000-0000CB0A0000}"/>
    <cellStyle name="_TG-TH_1_Book1_Book1_Thanh toan (Du an Ca Mau)" xfId="2626" xr:uid="{00000000-0005-0000-0000-0000CC0A0000}"/>
    <cellStyle name="_TG-TH_1_Book1_Book1_Thanh toan (Du an Ca Mau)_2---DATA_SAIN GOBAIN (THEP)_Option 1-British Standard" xfId="2627" xr:uid="{00000000-0005-0000-0000-0000CD0A0000}"/>
    <cellStyle name="_TG-TH_1_Book1_Book1_THANHTOAN" xfId="2628" xr:uid="{00000000-0005-0000-0000-0000CE0A0000}"/>
    <cellStyle name="_TG-TH_1_Book1_Book1_THANHTOAN A-B" xfId="2629" xr:uid="{00000000-0005-0000-0000-0000CF0A0000}"/>
    <cellStyle name="_TG-TH_1_Book1_Book1_THANHTOAN A-B_2---DATA_SAIN GOBAIN (THEP)_Option 1-British Standard" xfId="2630" xr:uid="{00000000-0005-0000-0000-0000D00A0000}"/>
    <cellStyle name="_TG-TH_1_Book1_Book1_THANHTOAN_2---DATA_SAIN GOBAIN (THEP)_Option 1-British Standard" xfId="2631" xr:uid="{00000000-0005-0000-0000-0000D10A0000}"/>
    <cellStyle name="_TG-TH_1_Book1_Book1_THAO DIEN PEARL  - CAP THOAT NUOC (5-9-2011)" xfId="2632" xr:uid="{00000000-0005-0000-0000-0000D20A0000}"/>
    <cellStyle name="_TG-TH_1_Book1_CACKHOANKHAUTRU" xfId="2633" xr:uid="{00000000-0005-0000-0000-0000D30A0000}"/>
    <cellStyle name="_TG-TH_1_Book1_CACKHOANKHAUTRU_2---DATA_SAIN GOBAIN (THEP)_Option 1-British Standard" xfId="2634" xr:uid="{00000000-0005-0000-0000-0000D40A0000}"/>
    <cellStyle name="_TG-TH_1_Book1_CV1-khoi luong va don gia" xfId="2635" xr:uid="{00000000-0005-0000-0000-0000D50A0000}"/>
    <cellStyle name="_TG-TH_1_Book1_CV1-khoi luong va don gia_2---DATA_SAIN GOBAIN (THEP)_Option 1-British Standard" xfId="2636" xr:uid="{00000000-0005-0000-0000-0000D60A0000}"/>
    <cellStyle name="_TG-TH_1_Book1_Danh sach nha cung cap ( Vendor List ) - Cap nhat 15-04-2011" xfId="2637" xr:uid="{00000000-0005-0000-0000-0000D70A0000}"/>
    <cellStyle name="_TG-TH_1_Book1_Du toan chi phi gia thau T12 (Dat Phuong)" xfId="2638" xr:uid="{00000000-0005-0000-0000-0000D80A0000}"/>
    <cellStyle name="_TG-TH_1_Book1_Du toan chi phi gia thau T12 (Dat Phuong)_2---DATA_SAIN GOBAIN (THEP)_Option 1-British Standard" xfId="2639" xr:uid="{00000000-0005-0000-0000-0000D90A0000}"/>
    <cellStyle name="_TG-TH_1_Book1_HD-CONGTACCHINH-THAUPHU" xfId="2640" xr:uid="{00000000-0005-0000-0000-0000DA0A0000}"/>
    <cellStyle name="_TG-TH_1_Book1_HD-CONGTACCHINH-THAUPHU_2---DATA_SAIN GOBAIN (THEP)_Option 1-British Standard" xfId="2641" xr:uid="{00000000-0005-0000-0000-0000DB0A0000}"/>
    <cellStyle name="_TG-TH_1_Book1_HOPDONG-NOIBO" xfId="2642" xr:uid="{00000000-0005-0000-0000-0000DC0A0000}"/>
    <cellStyle name="_TG-TH_1_Book1_HOPDONG-NOIBO_2---DATA_SAIN GOBAIN (THEP)_Option 1-British Standard" xfId="2643" xr:uid="{00000000-0005-0000-0000-0000DD0A0000}"/>
    <cellStyle name="_TG-TH_1_Book1_l" xfId="2644" xr:uid="{00000000-0005-0000-0000-0000DE0A0000}"/>
    <cellStyle name="_TG-TH_1_Book1_M_E Services _ Education" xfId="2645" xr:uid="{00000000-0005-0000-0000-0000DF0A0000}"/>
    <cellStyle name="_TG-TH_1_Book1_M_E Services _ Education_1" xfId="2646" xr:uid="{00000000-0005-0000-0000-0000E00A0000}"/>
    <cellStyle name="_TG-TH_1_Book1_M_E Services _ Education_1_submit DHND 5%" xfId="2647" xr:uid="{00000000-0005-0000-0000-0000E10A0000}"/>
    <cellStyle name="_TG-TH_1_Book1_M_E Services _ Education_submit DHND 5%" xfId="2648" xr:uid="{00000000-0005-0000-0000-0000E20A0000}"/>
    <cellStyle name="_TG-TH_1_Book1_Nha Khach Thanh Uy- Busway -LS- REV1-29-06" xfId="2649" xr:uid="{00000000-0005-0000-0000-0000E30A0000}"/>
    <cellStyle name="_TG-TH_1_Book1_submit DHND 5%" xfId="2650" xr:uid="{00000000-0005-0000-0000-0000E40A0000}"/>
    <cellStyle name="_TG-TH_1_Book1_THANH TOAN-CONGTACCHINH" xfId="2651" xr:uid="{00000000-0005-0000-0000-0000E50A0000}"/>
    <cellStyle name="_TG-TH_1_Book1_THANH TOAN-CONGTACCHINH_2---DATA_SAIN GOBAIN (THEP)_Option 1-British Standard" xfId="2652" xr:uid="{00000000-0005-0000-0000-0000E60A0000}"/>
    <cellStyle name="_TG-TH_1_Book1_THANHTOAN" xfId="2653" xr:uid="{00000000-0005-0000-0000-0000E70A0000}"/>
    <cellStyle name="_TG-TH_1_Book1_THANHTOAN_2---DATA_SAIN GOBAIN (THEP)_Option 1-British Standard" xfId="2654" xr:uid="{00000000-0005-0000-0000-0000E80A0000}"/>
    <cellStyle name="_TG-TH_1_CACKHOANKHAUTRU" xfId="2655" xr:uid="{00000000-0005-0000-0000-0000E90A0000}"/>
    <cellStyle name="_TG-TH_1_CACKHOANKHAUTRU_2---DATA_SAIN GOBAIN (THEP)_Option 1-British Standard" xfId="2656" xr:uid="{00000000-0005-0000-0000-0000EA0A0000}"/>
    <cellStyle name="_TG-TH_1_CV1-khoi luong va don gia" xfId="2657" xr:uid="{00000000-0005-0000-0000-0000EB0A0000}"/>
    <cellStyle name="_TG-TH_1_CV1-khoi luong va don gia_2---DATA_SAIN GOBAIN (THEP)_Option 1-British Standard" xfId="2658" xr:uid="{00000000-0005-0000-0000-0000EC0A0000}"/>
    <cellStyle name="_TG-TH_1_Danh sach nha cung cap ( Vendor List ) - Cap nhat 15-04-2011" xfId="2659" xr:uid="{00000000-0005-0000-0000-0000ED0A0000}"/>
    <cellStyle name="_TG-TH_1_DTCDT MR.2N110.HOCMON.TDTOAN.CCUNG" xfId="2661" xr:uid="{00000000-0005-0000-0000-0000EF0A0000}"/>
    <cellStyle name="_TG-TH_1_DTCDT MR.2N110.HOCMON.TDTOAN.CCUNG_2---DATA_SAIN GOBAIN (THEP)_Option 1-British Standard" xfId="2662" xr:uid="{00000000-0005-0000-0000-0000F00A0000}"/>
    <cellStyle name="_TG-TH_1_Du toan chi phi gia thau T12 (Dat Phuong)" xfId="2663" xr:uid="{00000000-0005-0000-0000-0000F10A0000}"/>
    <cellStyle name="_TG-TH_1_Du toan chi phi gia thau T12 (Dat Phuong)_2---DATA_SAIN GOBAIN (THEP)_Option 1-British Standard" xfId="2664" xr:uid="{00000000-0005-0000-0000-0000F20A0000}"/>
    <cellStyle name="_TG-TH_1_ĐỊNH MỨC KHOÁN 20-00PET -059" xfId="2660" xr:uid="{00000000-0005-0000-0000-0000EE0A0000}"/>
    <cellStyle name="_TG-TH_1_HD-CONGTACCHINH-THAUPHU" xfId="2665" xr:uid="{00000000-0005-0000-0000-0000F30A0000}"/>
    <cellStyle name="_TG-TH_1_HD-CONGTACCHINH-THAUPHU_2---DATA_SAIN GOBAIN (THEP)_Option 1-British Standard" xfId="2666" xr:uid="{00000000-0005-0000-0000-0000F40A0000}"/>
    <cellStyle name="_TG-TH_1_HOPDONG-NOIBO" xfId="2667" xr:uid="{00000000-0005-0000-0000-0000F50A0000}"/>
    <cellStyle name="_TG-TH_1_HOPDONG-NOIBO_2---DATA_SAIN GOBAIN (THEP)_Option 1-British Standard" xfId="2668" xr:uid="{00000000-0005-0000-0000-0000F60A0000}"/>
    <cellStyle name="_TG-TH_1_l" xfId="2669" xr:uid="{00000000-0005-0000-0000-0000F70A0000}"/>
    <cellStyle name="_TG-TH_1_Lora-tungchau" xfId="2670" xr:uid="{00000000-0005-0000-0000-0000F80A0000}"/>
    <cellStyle name="_TG-TH_1_Lora-tungchau_2---DATA_SAIN GOBAIN (THEP)_Option 1-British Standard" xfId="2671" xr:uid="{00000000-0005-0000-0000-0000F90A0000}"/>
    <cellStyle name="_TG-TH_1_M_E Services _ Education" xfId="2672" xr:uid="{00000000-0005-0000-0000-0000FA0A0000}"/>
    <cellStyle name="_TG-TH_1_M_E Services _ Education_1" xfId="2673" xr:uid="{00000000-0005-0000-0000-0000FB0A0000}"/>
    <cellStyle name="_TG-TH_1_M_E Services _ Education_1_submit DHND 5%" xfId="2674" xr:uid="{00000000-0005-0000-0000-0000FC0A0000}"/>
    <cellStyle name="_TG-TH_1_M_E Services _ Education_submit DHND 5%" xfId="2675" xr:uid="{00000000-0005-0000-0000-0000FD0A0000}"/>
    <cellStyle name="_TG-TH_1_Nha Khach Thanh Uy- Busway -LS- REV1-29-06" xfId="2676" xr:uid="{00000000-0005-0000-0000-0000FE0A0000}"/>
    <cellStyle name="_TG-TH_1_PGIA-phieu tham tra Kho bac" xfId="2677" xr:uid="{00000000-0005-0000-0000-0000FF0A0000}"/>
    <cellStyle name="_TG-TH_1_PGIA-phieu tham tra Kho bac_2---DATA_SAIN GOBAIN (THEP)_Option 1-British Standard" xfId="2678" xr:uid="{00000000-0005-0000-0000-0000000B0000}"/>
    <cellStyle name="_TG-TH_1_PT02-02" xfId="2679" xr:uid="{00000000-0005-0000-0000-0000010B0000}"/>
    <cellStyle name="_TG-TH_1_PT02-02_2---DATA_SAIN GOBAIN (THEP)_Option 1-British Standard" xfId="2680" xr:uid="{00000000-0005-0000-0000-0000020B0000}"/>
    <cellStyle name="_TG-TH_1_PT02-02_Book1" xfId="2681" xr:uid="{00000000-0005-0000-0000-0000030B0000}"/>
    <cellStyle name="_TG-TH_1_PT02-02_Book1_2---DATA_SAIN GOBAIN (THEP)_Option 1-British Standard" xfId="2682" xr:uid="{00000000-0005-0000-0000-0000040B0000}"/>
    <cellStyle name="_TG-TH_1_PT02-03" xfId="2683" xr:uid="{00000000-0005-0000-0000-0000050B0000}"/>
    <cellStyle name="_TG-TH_1_PT02-03_2---DATA_SAIN GOBAIN (THEP)_Option 1-British Standard" xfId="2684" xr:uid="{00000000-0005-0000-0000-0000060B0000}"/>
    <cellStyle name="_TG-TH_1_PT02-03_Book1" xfId="2685" xr:uid="{00000000-0005-0000-0000-0000070B0000}"/>
    <cellStyle name="_TG-TH_1_PT02-03_Book1_2---DATA_SAIN GOBAIN (THEP)_Option 1-British Standard" xfId="2686" xr:uid="{00000000-0005-0000-0000-0000080B0000}"/>
    <cellStyle name="_TG-TH_1_Qt-HT3PQ1(CauKho)" xfId="2687" xr:uid="{00000000-0005-0000-0000-0000090B0000}"/>
    <cellStyle name="_TG-TH_1_Qt-HT3PQ1(CauKho)_2---DATA_SAIN GOBAIN (THEP)_Option 1-British Standard" xfId="2688" xr:uid="{00000000-0005-0000-0000-00000A0B0000}"/>
    <cellStyle name="_TG-TH_1_submit DHND 5%" xfId="2689" xr:uid="{00000000-0005-0000-0000-00000B0B0000}"/>
    <cellStyle name="_TG-TH_1_TAM UNG VAT TU CHINH DOT 3 (REV2)" xfId="2690" xr:uid="{00000000-0005-0000-0000-00000C0B0000}"/>
    <cellStyle name="_TG-TH_1_TAM UNG VAT TU CHINH DOT 3 (REV2)_2---DATA_SAIN GOBAIN (THEP)_Option 1-British Standard" xfId="2691" xr:uid="{00000000-0005-0000-0000-00000D0B0000}"/>
    <cellStyle name="_TG-TH_1_Tong hop so luong cac muc" xfId="2696" xr:uid="{00000000-0005-0000-0000-0000120B0000}"/>
    <cellStyle name="_TG-TH_1_THANH TOAN-CONGTACCHINH" xfId="2692" xr:uid="{00000000-0005-0000-0000-00000E0B0000}"/>
    <cellStyle name="_TG-TH_1_THANH TOAN-CONGTACCHINH_2---DATA_SAIN GOBAIN (THEP)_Option 1-British Standard" xfId="2693" xr:uid="{00000000-0005-0000-0000-00000F0B0000}"/>
    <cellStyle name="_TG-TH_1_THANHTOAN" xfId="2694" xr:uid="{00000000-0005-0000-0000-0000100B0000}"/>
    <cellStyle name="_TG-TH_1_THANHTOAN_2---DATA_SAIN GOBAIN (THEP)_Option 1-British Standard" xfId="2695" xr:uid="{00000000-0005-0000-0000-0000110B0000}"/>
    <cellStyle name="_TG-TH_2" xfId="2697" xr:uid="{00000000-0005-0000-0000-0000130B0000}"/>
    <cellStyle name="_TG-TH_2 10" xfId="2698" xr:uid="{00000000-0005-0000-0000-0000140B0000}"/>
    <cellStyle name="_TG-TH_2 100" xfId="2699" xr:uid="{00000000-0005-0000-0000-0000150B0000}"/>
    <cellStyle name="_TG-TH_2 101" xfId="2700" xr:uid="{00000000-0005-0000-0000-0000160B0000}"/>
    <cellStyle name="_TG-TH_2 102" xfId="2701" xr:uid="{00000000-0005-0000-0000-0000170B0000}"/>
    <cellStyle name="_TG-TH_2 103" xfId="2702" xr:uid="{00000000-0005-0000-0000-0000180B0000}"/>
    <cellStyle name="_TG-TH_2 104" xfId="2703" xr:uid="{00000000-0005-0000-0000-0000190B0000}"/>
    <cellStyle name="_TG-TH_2 105" xfId="2704" xr:uid="{00000000-0005-0000-0000-00001A0B0000}"/>
    <cellStyle name="_TG-TH_2 106" xfId="2705" xr:uid="{00000000-0005-0000-0000-00001B0B0000}"/>
    <cellStyle name="_TG-TH_2 107" xfId="2706" xr:uid="{00000000-0005-0000-0000-00001C0B0000}"/>
    <cellStyle name="_TG-TH_2 108" xfId="2707" xr:uid="{00000000-0005-0000-0000-00001D0B0000}"/>
    <cellStyle name="_TG-TH_2 109" xfId="2708" xr:uid="{00000000-0005-0000-0000-00001E0B0000}"/>
    <cellStyle name="_TG-TH_2 11" xfId="2709" xr:uid="{00000000-0005-0000-0000-00001F0B0000}"/>
    <cellStyle name="_TG-TH_2 110" xfId="2710" xr:uid="{00000000-0005-0000-0000-0000200B0000}"/>
    <cellStyle name="_TG-TH_2 111" xfId="2711" xr:uid="{00000000-0005-0000-0000-0000210B0000}"/>
    <cellStyle name="_TG-TH_2 12" xfId="2712" xr:uid="{00000000-0005-0000-0000-0000220B0000}"/>
    <cellStyle name="_TG-TH_2 13" xfId="2713" xr:uid="{00000000-0005-0000-0000-0000230B0000}"/>
    <cellStyle name="_TG-TH_2 14" xfId="2714" xr:uid="{00000000-0005-0000-0000-0000240B0000}"/>
    <cellStyle name="_TG-TH_2 15" xfId="2715" xr:uid="{00000000-0005-0000-0000-0000250B0000}"/>
    <cellStyle name="_TG-TH_2 16" xfId="2716" xr:uid="{00000000-0005-0000-0000-0000260B0000}"/>
    <cellStyle name="_TG-TH_2 17" xfId="2717" xr:uid="{00000000-0005-0000-0000-0000270B0000}"/>
    <cellStyle name="_TG-TH_2 18" xfId="2718" xr:uid="{00000000-0005-0000-0000-0000280B0000}"/>
    <cellStyle name="_TG-TH_2 19" xfId="2719" xr:uid="{00000000-0005-0000-0000-0000290B0000}"/>
    <cellStyle name="_TG-TH_2 2" xfId="2720" xr:uid="{00000000-0005-0000-0000-00002A0B0000}"/>
    <cellStyle name="_TG-TH_2 20" xfId="2721" xr:uid="{00000000-0005-0000-0000-00002B0B0000}"/>
    <cellStyle name="_TG-TH_2 21" xfId="2722" xr:uid="{00000000-0005-0000-0000-00002C0B0000}"/>
    <cellStyle name="_TG-TH_2 22" xfId="2723" xr:uid="{00000000-0005-0000-0000-00002D0B0000}"/>
    <cellStyle name="_TG-TH_2 23" xfId="2724" xr:uid="{00000000-0005-0000-0000-00002E0B0000}"/>
    <cellStyle name="_TG-TH_2 24" xfId="2725" xr:uid="{00000000-0005-0000-0000-00002F0B0000}"/>
    <cellStyle name="_TG-TH_2 25" xfId="2726" xr:uid="{00000000-0005-0000-0000-0000300B0000}"/>
    <cellStyle name="_TG-TH_2 26" xfId="2727" xr:uid="{00000000-0005-0000-0000-0000310B0000}"/>
    <cellStyle name="_TG-TH_2 27" xfId="2728" xr:uid="{00000000-0005-0000-0000-0000320B0000}"/>
    <cellStyle name="_TG-TH_2 28" xfId="2729" xr:uid="{00000000-0005-0000-0000-0000330B0000}"/>
    <cellStyle name="_TG-TH_2 29" xfId="2730" xr:uid="{00000000-0005-0000-0000-0000340B0000}"/>
    <cellStyle name="_TG-TH_2 3" xfId="2731" xr:uid="{00000000-0005-0000-0000-0000350B0000}"/>
    <cellStyle name="_TG-TH_2 30" xfId="2732" xr:uid="{00000000-0005-0000-0000-0000360B0000}"/>
    <cellStyle name="_TG-TH_2 31" xfId="2733" xr:uid="{00000000-0005-0000-0000-0000370B0000}"/>
    <cellStyle name="_TG-TH_2 32" xfId="2734" xr:uid="{00000000-0005-0000-0000-0000380B0000}"/>
    <cellStyle name="_TG-TH_2 33" xfId="2735" xr:uid="{00000000-0005-0000-0000-0000390B0000}"/>
    <cellStyle name="_TG-TH_2 34" xfId="2736" xr:uid="{00000000-0005-0000-0000-00003A0B0000}"/>
    <cellStyle name="_TG-TH_2 35" xfId="2737" xr:uid="{00000000-0005-0000-0000-00003B0B0000}"/>
    <cellStyle name="_TG-TH_2 36" xfId="2738" xr:uid="{00000000-0005-0000-0000-00003C0B0000}"/>
    <cellStyle name="_TG-TH_2 37" xfId="2739" xr:uid="{00000000-0005-0000-0000-00003D0B0000}"/>
    <cellStyle name="_TG-TH_2 38" xfId="2740" xr:uid="{00000000-0005-0000-0000-00003E0B0000}"/>
    <cellStyle name="_TG-TH_2 39" xfId="2741" xr:uid="{00000000-0005-0000-0000-00003F0B0000}"/>
    <cellStyle name="_TG-TH_2 4" xfId="2742" xr:uid="{00000000-0005-0000-0000-0000400B0000}"/>
    <cellStyle name="_TG-TH_2 40" xfId="2743" xr:uid="{00000000-0005-0000-0000-0000410B0000}"/>
    <cellStyle name="_TG-TH_2 41" xfId="2744" xr:uid="{00000000-0005-0000-0000-0000420B0000}"/>
    <cellStyle name="_TG-TH_2 42" xfId="2745" xr:uid="{00000000-0005-0000-0000-0000430B0000}"/>
    <cellStyle name="_TG-TH_2 43" xfId="2746" xr:uid="{00000000-0005-0000-0000-0000440B0000}"/>
    <cellStyle name="_TG-TH_2 44" xfId="2747" xr:uid="{00000000-0005-0000-0000-0000450B0000}"/>
    <cellStyle name="_TG-TH_2 45" xfId="2748" xr:uid="{00000000-0005-0000-0000-0000460B0000}"/>
    <cellStyle name="_TG-TH_2 46" xfId="2749" xr:uid="{00000000-0005-0000-0000-0000470B0000}"/>
    <cellStyle name="_TG-TH_2 47" xfId="2750" xr:uid="{00000000-0005-0000-0000-0000480B0000}"/>
    <cellStyle name="_TG-TH_2 48" xfId="2751" xr:uid="{00000000-0005-0000-0000-0000490B0000}"/>
    <cellStyle name="_TG-TH_2 49" xfId="2752" xr:uid="{00000000-0005-0000-0000-00004A0B0000}"/>
    <cellStyle name="_TG-TH_2 5" xfId="2753" xr:uid="{00000000-0005-0000-0000-00004B0B0000}"/>
    <cellStyle name="_TG-TH_2 50" xfId="2754" xr:uid="{00000000-0005-0000-0000-00004C0B0000}"/>
    <cellStyle name="_TG-TH_2 51" xfId="2755" xr:uid="{00000000-0005-0000-0000-00004D0B0000}"/>
    <cellStyle name="_TG-TH_2 52" xfId="2756" xr:uid="{00000000-0005-0000-0000-00004E0B0000}"/>
    <cellStyle name="_TG-TH_2 53" xfId="2757" xr:uid="{00000000-0005-0000-0000-00004F0B0000}"/>
    <cellStyle name="_TG-TH_2 54" xfId="2758" xr:uid="{00000000-0005-0000-0000-0000500B0000}"/>
    <cellStyle name="_TG-TH_2 55" xfId="2759" xr:uid="{00000000-0005-0000-0000-0000510B0000}"/>
    <cellStyle name="_TG-TH_2 56" xfId="2760" xr:uid="{00000000-0005-0000-0000-0000520B0000}"/>
    <cellStyle name="_TG-TH_2 57" xfId="2761" xr:uid="{00000000-0005-0000-0000-0000530B0000}"/>
    <cellStyle name="_TG-TH_2 58" xfId="2762" xr:uid="{00000000-0005-0000-0000-0000540B0000}"/>
    <cellStyle name="_TG-TH_2 59" xfId="2763" xr:uid="{00000000-0005-0000-0000-0000550B0000}"/>
    <cellStyle name="_TG-TH_2 6" xfId="2764" xr:uid="{00000000-0005-0000-0000-0000560B0000}"/>
    <cellStyle name="_TG-TH_2 60" xfId="2765" xr:uid="{00000000-0005-0000-0000-0000570B0000}"/>
    <cellStyle name="_TG-TH_2 61" xfId="2766" xr:uid="{00000000-0005-0000-0000-0000580B0000}"/>
    <cellStyle name="_TG-TH_2 62" xfId="2767" xr:uid="{00000000-0005-0000-0000-0000590B0000}"/>
    <cellStyle name="_TG-TH_2 63" xfId="2768" xr:uid="{00000000-0005-0000-0000-00005A0B0000}"/>
    <cellStyle name="_TG-TH_2 64" xfId="2769" xr:uid="{00000000-0005-0000-0000-00005B0B0000}"/>
    <cellStyle name="_TG-TH_2 65" xfId="2770" xr:uid="{00000000-0005-0000-0000-00005C0B0000}"/>
    <cellStyle name="_TG-TH_2 66" xfId="2771" xr:uid="{00000000-0005-0000-0000-00005D0B0000}"/>
    <cellStyle name="_TG-TH_2 67" xfId="2772" xr:uid="{00000000-0005-0000-0000-00005E0B0000}"/>
    <cellStyle name="_TG-TH_2 68" xfId="2773" xr:uid="{00000000-0005-0000-0000-00005F0B0000}"/>
    <cellStyle name="_TG-TH_2 69" xfId="2774" xr:uid="{00000000-0005-0000-0000-0000600B0000}"/>
    <cellStyle name="_TG-TH_2 7" xfId="2775" xr:uid="{00000000-0005-0000-0000-0000610B0000}"/>
    <cellStyle name="_TG-TH_2 70" xfId="2776" xr:uid="{00000000-0005-0000-0000-0000620B0000}"/>
    <cellStyle name="_TG-TH_2 71" xfId="2777" xr:uid="{00000000-0005-0000-0000-0000630B0000}"/>
    <cellStyle name="_TG-TH_2 72" xfId="2778" xr:uid="{00000000-0005-0000-0000-0000640B0000}"/>
    <cellStyle name="_TG-TH_2 73" xfId="2779" xr:uid="{00000000-0005-0000-0000-0000650B0000}"/>
    <cellStyle name="_TG-TH_2 74" xfId="2780" xr:uid="{00000000-0005-0000-0000-0000660B0000}"/>
    <cellStyle name="_TG-TH_2 75" xfId="2781" xr:uid="{00000000-0005-0000-0000-0000670B0000}"/>
    <cellStyle name="_TG-TH_2 76" xfId="2782" xr:uid="{00000000-0005-0000-0000-0000680B0000}"/>
    <cellStyle name="_TG-TH_2 77" xfId="2783" xr:uid="{00000000-0005-0000-0000-0000690B0000}"/>
    <cellStyle name="_TG-TH_2 78" xfId="2784" xr:uid="{00000000-0005-0000-0000-00006A0B0000}"/>
    <cellStyle name="_TG-TH_2 79" xfId="2785" xr:uid="{00000000-0005-0000-0000-00006B0B0000}"/>
    <cellStyle name="_TG-TH_2 8" xfId="2786" xr:uid="{00000000-0005-0000-0000-00006C0B0000}"/>
    <cellStyle name="_TG-TH_2 80" xfId="2787" xr:uid="{00000000-0005-0000-0000-00006D0B0000}"/>
    <cellStyle name="_TG-TH_2 81" xfId="2788" xr:uid="{00000000-0005-0000-0000-00006E0B0000}"/>
    <cellStyle name="_TG-TH_2 82" xfId="2789" xr:uid="{00000000-0005-0000-0000-00006F0B0000}"/>
    <cellStyle name="_TG-TH_2 83" xfId="2790" xr:uid="{00000000-0005-0000-0000-0000700B0000}"/>
    <cellStyle name="_TG-TH_2 84" xfId="2791" xr:uid="{00000000-0005-0000-0000-0000710B0000}"/>
    <cellStyle name="_TG-TH_2 85" xfId="2792" xr:uid="{00000000-0005-0000-0000-0000720B0000}"/>
    <cellStyle name="_TG-TH_2 86" xfId="2793" xr:uid="{00000000-0005-0000-0000-0000730B0000}"/>
    <cellStyle name="_TG-TH_2 87" xfId="2794" xr:uid="{00000000-0005-0000-0000-0000740B0000}"/>
    <cellStyle name="_TG-TH_2 88" xfId="2795" xr:uid="{00000000-0005-0000-0000-0000750B0000}"/>
    <cellStyle name="_TG-TH_2 89" xfId="2796" xr:uid="{00000000-0005-0000-0000-0000760B0000}"/>
    <cellStyle name="_TG-TH_2 9" xfId="2797" xr:uid="{00000000-0005-0000-0000-0000770B0000}"/>
    <cellStyle name="_TG-TH_2 90" xfId="2798" xr:uid="{00000000-0005-0000-0000-0000780B0000}"/>
    <cellStyle name="_TG-TH_2 91" xfId="2799" xr:uid="{00000000-0005-0000-0000-0000790B0000}"/>
    <cellStyle name="_TG-TH_2 92" xfId="2800" xr:uid="{00000000-0005-0000-0000-00007A0B0000}"/>
    <cellStyle name="_TG-TH_2 93" xfId="2801" xr:uid="{00000000-0005-0000-0000-00007B0B0000}"/>
    <cellStyle name="_TG-TH_2 94" xfId="2802" xr:uid="{00000000-0005-0000-0000-00007C0B0000}"/>
    <cellStyle name="_TG-TH_2 95" xfId="2803" xr:uid="{00000000-0005-0000-0000-00007D0B0000}"/>
    <cellStyle name="_TG-TH_2 96" xfId="2804" xr:uid="{00000000-0005-0000-0000-00007E0B0000}"/>
    <cellStyle name="_TG-TH_2 97" xfId="2805" xr:uid="{00000000-0005-0000-0000-00007F0B0000}"/>
    <cellStyle name="_TG-TH_2 98" xfId="2806" xr:uid="{00000000-0005-0000-0000-0000800B0000}"/>
    <cellStyle name="_TG-TH_2 99" xfId="2807" xr:uid="{00000000-0005-0000-0000-0000810B0000}"/>
    <cellStyle name="_TG-TH_2_04- Bang bieu khoi luong 20110531(2)" xfId="2808" xr:uid="{00000000-0005-0000-0000-0000820B0000}"/>
    <cellStyle name="_TG-TH_2_04-Bang bieu khoi luong 20110703(kiet)" xfId="2809" xr:uid="{00000000-0005-0000-0000-0000830B0000}"/>
    <cellStyle name="_TG-TH_2_20110627-TDP-MEP BOQ-R2" xfId="2810" xr:uid="{00000000-0005-0000-0000-0000840B0000}"/>
    <cellStyle name="_TG-TH_2_2---DATA_SAIN GOBAIN (THEP)_Option 1-British Standard" xfId="2811" xr:uid="{00000000-0005-0000-0000-0000850B0000}"/>
    <cellStyle name="_TG-TH_2_44611-MEP Estimate cost" xfId="2812" xr:uid="{00000000-0005-0000-0000-0000860B0000}"/>
    <cellStyle name="_TG-TH_2_BAO CAO KLCT PT2000" xfId="2813" xr:uid="{00000000-0005-0000-0000-0000870B0000}"/>
    <cellStyle name="_TG-TH_2_BAO CAO KLCT PT2000_2---DATA_SAIN GOBAIN (THEP)_Option 1-British Standard" xfId="2814" xr:uid="{00000000-0005-0000-0000-0000880B0000}"/>
    <cellStyle name="_TG-TH_2_BAO CAO PT2000" xfId="2815" xr:uid="{00000000-0005-0000-0000-0000890B0000}"/>
    <cellStyle name="_TG-TH_2_BAO CAO PT2000_2---DATA_SAIN GOBAIN (THEP)_Option 1-British Standard" xfId="2816" xr:uid="{00000000-0005-0000-0000-00008A0B0000}"/>
    <cellStyle name="_TG-TH_2_BAO CAO PT2000_Book1" xfId="2817" xr:uid="{00000000-0005-0000-0000-00008B0B0000}"/>
    <cellStyle name="_TG-TH_2_BAO CAO PT2000_Book1_2---DATA_SAIN GOBAIN (THEP)_Option 1-British Standard" xfId="2818" xr:uid="{00000000-0005-0000-0000-00008C0B0000}"/>
    <cellStyle name="_TG-TH_2_Bao cao XDCB 2001 - T11 KH dieu chinh 20-11-THAI" xfId="2819" xr:uid="{00000000-0005-0000-0000-00008D0B0000}"/>
    <cellStyle name="_TG-TH_2_Bao cao XDCB 2001 - T11 KH dieu chinh 20-11-THAI_2---DATA_SAIN GOBAIN (THEP)_Option 1-British Standard" xfId="2820" xr:uid="{00000000-0005-0000-0000-00008E0B0000}"/>
    <cellStyle name="_TG-TH_2_BCT - KITYCOTTAGE SS 1''x1'' ANGLE 22-00PET-026" xfId="2821" xr:uid="{00000000-0005-0000-0000-00008F0B0000}"/>
    <cellStyle name="_TG-TH_2_BCT - MID FLANGE LATCH RIGHT 22-00 PET-030" xfId="2822" xr:uid="{00000000-0005-0000-0000-0000900B0000}"/>
    <cellStyle name="_TG-TH_2_Book1" xfId="2823" xr:uid="{00000000-0005-0000-0000-0000910B0000}"/>
    <cellStyle name="_TG-TH_2_Book1 2" xfId="2824" xr:uid="{00000000-0005-0000-0000-0000920B0000}"/>
    <cellStyle name="_TG-TH_2_Book1_1" xfId="2825" xr:uid="{00000000-0005-0000-0000-0000930B0000}"/>
    <cellStyle name="_TG-TH_2_Book1_1 2" xfId="2826" xr:uid="{00000000-0005-0000-0000-0000940B0000}"/>
    <cellStyle name="_TG-TH_2_Book1_1_2---DATA_SAIN GOBAIN (THEP)_Option 1-British Standard" xfId="2827" xr:uid="{00000000-0005-0000-0000-0000950B0000}"/>
    <cellStyle name="_TG-TH_2_Book1_1_BCT - KITYCOTTAGE SS 1''x1'' ANGLE 22-00PET-026" xfId="2828" xr:uid="{00000000-0005-0000-0000-0000960B0000}"/>
    <cellStyle name="_TG-TH_2_Book1_1_Bill of quantity - cables tray FA - Paragon detail from Tai 011-07-2011" xfId="2829" xr:uid="{00000000-0005-0000-0000-0000970B0000}"/>
    <cellStyle name="_TG-TH_2_Book1_1_Book1" xfId="2830" xr:uid="{00000000-0005-0000-0000-0000980B0000}"/>
    <cellStyle name="_TG-TH_2_Book1_1_Book1_2---DATA_SAIN GOBAIN (THEP)_Option 1-British Standard" xfId="2831" xr:uid="{00000000-0005-0000-0000-0000990B0000}"/>
    <cellStyle name="_TG-TH_2_Book1_1_Book1_THAO DIEN PEARL  - CAP THOAT NUOC (5-9-2011)" xfId="2832" xr:uid="{00000000-0005-0000-0000-00009A0B0000}"/>
    <cellStyle name="_TG-TH_2_Book1_1_CACKHOANKHAUTRU" xfId="2833" xr:uid="{00000000-0005-0000-0000-00009B0B0000}"/>
    <cellStyle name="_TG-TH_2_Book1_1_CACKHOANKHAUTRU_2---DATA_SAIN GOBAIN (THEP)_Option 1-British Standard" xfId="2834" xr:uid="{00000000-0005-0000-0000-00009C0B0000}"/>
    <cellStyle name="_TG-TH_2_Book1_1_Danh sach nha cung cap ( Vendor List ) - Cap nhat 15-04-2011" xfId="2835" xr:uid="{00000000-0005-0000-0000-00009D0B0000}"/>
    <cellStyle name="_TG-TH_2_Book1_1_KLTT-PHUCHUNG" xfId="2836" xr:uid="{00000000-0005-0000-0000-00009E0B0000}"/>
    <cellStyle name="_TG-TH_2_Book1_1_KLTT-PHUCHUNG_2---DATA_SAIN GOBAIN (THEP)_Option 1-British Standard" xfId="2837" xr:uid="{00000000-0005-0000-0000-00009F0B0000}"/>
    <cellStyle name="_TG-TH_2_Book1_1_l" xfId="2838" xr:uid="{00000000-0005-0000-0000-0000A00B0000}"/>
    <cellStyle name="_TG-TH_2_Book1_1_Nha Khach Thanh Uy- Busway -LS- REV1-29-06" xfId="2839" xr:uid="{00000000-0005-0000-0000-0000A10B0000}"/>
    <cellStyle name="_TG-TH_2_Book1_1_Thanh toan (Du an Ca Mau)" xfId="2840" xr:uid="{00000000-0005-0000-0000-0000A20B0000}"/>
    <cellStyle name="_TG-TH_2_Book1_1_Thanh toan (Du an Ca Mau)_2---DATA_SAIN GOBAIN (THEP)_Option 1-British Standard" xfId="2841" xr:uid="{00000000-0005-0000-0000-0000A30B0000}"/>
    <cellStyle name="_TG-TH_2_Book1_1_THANHTOAN" xfId="2842" xr:uid="{00000000-0005-0000-0000-0000A40B0000}"/>
    <cellStyle name="_TG-TH_2_Book1_1_THANHTOAN A-B" xfId="2843" xr:uid="{00000000-0005-0000-0000-0000A50B0000}"/>
    <cellStyle name="_TG-TH_2_Book1_1_THANHTOAN A-B_2---DATA_SAIN GOBAIN (THEP)_Option 1-British Standard" xfId="2844" xr:uid="{00000000-0005-0000-0000-0000A60B0000}"/>
    <cellStyle name="_TG-TH_2_Book1_1_THANHTOAN_2---DATA_SAIN GOBAIN (THEP)_Option 1-British Standard" xfId="2845" xr:uid="{00000000-0005-0000-0000-0000A70B0000}"/>
    <cellStyle name="_TG-TH_2_Book1_1_THAO DIEN PEARL  - CAP THOAT NUOC (5-9-2011)" xfId="2846" xr:uid="{00000000-0005-0000-0000-0000A80B0000}"/>
    <cellStyle name="_TG-TH_2_Book1_2" xfId="2847" xr:uid="{00000000-0005-0000-0000-0000A90B0000}"/>
    <cellStyle name="_TG-TH_2_Book1_2 2" xfId="2848" xr:uid="{00000000-0005-0000-0000-0000AA0B0000}"/>
    <cellStyle name="_TG-TH_2_Book1_2_2---DATA_SAIN GOBAIN (THEP)_Option 1-British Standard" xfId="2849" xr:uid="{00000000-0005-0000-0000-0000AB0B0000}"/>
    <cellStyle name="_TG-TH_2_Book1_2_Bill of quantity - cables tray FA - Paragon detail from Tai 011-07-2011" xfId="2850" xr:uid="{00000000-0005-0000-0000-0000AC0B0000}"/>
    <cellStyle name="_TG-TH_2_Book1_2_Book1" xfId="2851" xr:uid="{00000000-0005-0000-0000-0000AD0B0000}"/>
    <cellStyle name="_TG-TH_2_Book1_2_Book1_2---DATA_SAIN GOBAIN (THEP)_Option 1-British Standard" xfId="2852" xr:uid="{00000000-0005-0000-0000-0000AE0B0000}"/>
    <cellStyle name="_TG-TH_2_Book1_2_CACKHOANKHAUTRU" xfId="2853" xr:uid="{00000000-0005-0000-0000-0000AF0B0000}"/>
    <cellStyle name="_TG-TH_2_Book1_2_CACKHOANKHAUTRU_2---DATA_SAIN GOBAIN (THEP)_Option 1-British Standard" xfId="2854" xr:uid="{00000000-0005-0000-0000-0000B00B0000}"/>
    <cellStyle name="_TG-TH_2_Book1_2_Danh sach nha cung cap ( Vendor List ) - Cap nhat 15-04-2011" xfId="2855" xr:uid="{00000000-0005-0000-0000-0000B10B0000}"/>
    <cellStyle name="_TG-TH_2_Book1_2_KLTT-PHUCHUNG" xfId="2856" xr:uid="{00000000-0005-0000-0000-0000B20B0000}"/>
    <cellStyle name="_TG-TH_2_Book1_2_KLTT-PHUCHUNG_2---DATA_SAIN GOBAIN (THEP)_Option 1-British Standard" xfId="2857" xr:uid="{00000000-0005-0000-0000-0000B30B0000}"/>
    <cellStyle name="_TG-TH_2_Book1_2_l" xfId="2858" xr:uid="{00000000-0005-0000-0000-0000B40B0000}"/>
    <cellStyle name="_TG-TH_2_Book1_2_Nha Khach Thanh Uy- Busway -LS- REV1-29-06" xfId="2859" xr:uid="{00000000-0005-0000-0000-0000B50B0000}"/>
    <cellStyle name="_TG-TH_2_Book1_2_Thanh toan (Du an Ca Mau)" xfId="2860" xr:uid="{00000000-0005-0000-0000-0000B60B0000}"/>
    <cellStyle name="_TG-TH_2_Book1_2_Thanh toan (Du an Ca Mau)_2---DATA_SAIN GOBAIN (THEP)_Option 1-British Standard" xfId="2861" xr:uid="{00000000-0005-0000-0000-0000B70B0000}"/>
    <cellStyle name="_TG-TH_2_Book1_2_THANHTOAN" xfId="2862" xr:uid="{00000000-0005-0000-0000-0000B80B0000}"/>
    <cellStyle name="_TG-TH_2_Book1_2_THANHTOAN A-B" xfId="2863" xr:uid="{00000000-0005-0000-0000-0000B90B0000}"/>
    <cellStyle name="_TG-TH_2_Book1_2_THANHTOAN A-B_2---DATA_SAIN GOBAIN (THEP)_Option 1-British Standard" xfId="2864" xr:uid="{00000000-0005-0000-0000-0000BA0B0000}"/>
    <cellStyle name="_TG-TH_2_Book1_2_THANHTOAN_2---DATA_SAIN GOBAIN (THEP)_Option 1-British Standard" xfId="2865" xr:uid="{00000000-0005-0000-0000-0000BB0B0000}"/>
    <cellStyle name="_TG-TH_2_Book1_2_THAO DIEN PEARL  - CAP THOAT NUOC (5-9-2011)" xfId="2866" xr:uid="{00000000-0005-0000-0000-0000BC0B0000}"/>
    <cellStyle name="_TG-TH_2_Book1_2---DATA_SAIN GOBAIN (THEP)_Option 1-British Standard" xfId="2867" xr:uid="{00000000-0005-0000-0000-0000BD0B0000}"/>
    <cellStyle name="_TG-TH_2_Book1_3" xfId="2868" xr:uid="{00000000-0005-0000-0000-0000BE0B0000}"/>
    <cellStyle name="_TG-TH_2_Book1_3_2---DATA_SAIN GOBAIN (THEP)_Option 1-British Standard" xfId="2869" xr:uid="{00000000-0005-0000-0000-0000BF0B0000}"/>
    <cellStyle name="_TG-TH_2_Book1_3_Book1" xfId="2870" xr:uid="{00000000-0005-0000-0000-0000C00B0000}"/>
    <cellStyle name="_TG-TH_2_Book1_3_Book1_2---DATA_SAIN GOBAIN (THEP)_Option 1-British Standard" xfId="2871" xr:uid="{00000000-0005-0000-0000-0000C10B0000}"/>
    <cellStyle name="_TG-TH_2_Book1_3_CACKHOANKHAUTRU" xfId="2872" xr:uid="{00000000-0005-0000-0000-0000C20B0000}"/>
    <cellStyle name="_TG-TH_2_Book1_3_CACKHOANKHAUTRU_2---DATA_SAIN GOBAIN (THEP)_Option 1-British Standard" xfId="2873" xr:uid="{00000000-0005-0000-0000-0000C30B0000}"/>
    <cellStyle name="_TG-TH_2_Book1_3_KLTT-PHUCHUNG" xfId="2874" xr:uid="{00000000-0005-0000-0000-0000C40B0000}"/>
    <cellStyle name="_TG-TH_2_Book1_3_KLTT-PHUCHUNG_2---DATA_SAIN GOBAIN (THEP)_Option 1-British Standard" xfId="2875" xr:uid="{00000000-0005-0000-0000-0000C50B0000}"/>
    <cellStyle name="_TG-TH_2_Book1_3_Thanh toan (Du an Ca Mau)" xfId="2876" xr:uid="{00000000-0005-0000-0000-0000C60B0000}"/>
    <cellStyle name="_TG-TH_2_Book1_3_Thanh toan (Du an Ca Mau)_2---DATA_SAIN GOBAIN (THEP)_Option 1-British Standard" xfId="2877" xr:uid="{00000000-0005-0000-0000-0000C70B0000}"/>
    <cellStyle name="_TG-TH_2_Book1_3_THANHTOAN" xfId="2878" xr:uid="{00000000-0005-0000-0000-0000C80B0000}"/>
    <cellStyle name="_TG-TH_2_Book1_3_THANHTOAN A-B" xfId="2879" xr:uid="{00000000-0005-0000-0000-0000C90B0000}"/>
    <cellStyle name="_TG-TH_2_Book1_3_THANHTOAN A-B_2---DATA_SAIN GOBAIN (THEP)_Option 1-British Standard" xfId="2880" xr:uid="{00000000-0005-0000-0000-0000CA0B0000}"/>
    <cellStyle name="_TG-TH_2_Book1_3_THANHTOAN_2---DATA_SAIN GOBAIN (THEP)_Option 1-British Standard" xfId="2881" xr:uid="{00000000-0005-0000-0000-0000CB0B0000}"/>
    <cellStyle name="_TG-TH_2_Book1_4" xfId="2882" xr:uid="{00000000-0005-0000-0000-0000CC0B0000}"/>
    <cellStyle name="_TG-TH_2_Book1_4_2---DATA_SAIN GOBAIN (THEP)_Option 1-British Standard" xfId="2883" xr:uid="{00000000-0005-0000-0000-0000CD0B0000}"/>
    <cellStyle name="_TG-TH_2_Book1_4_CACKHOANKHAUTRU" xfId="2884" xr:uid="{00000000-0005-0000-0000-0000CE0B0000}"/>
    <cellStyle name="_TG-TH_2_Book1_4_CACKHOANKHAUTRU_2---DATA_SAIN GOBAIN (THEP)_Option 1-British Standard" xfId="2885" xr:uid="{00000000-0005-0000-0000-0000CF0B0000}"/>
    <cellStyle name="_TG-TH_2_Book1_4_KLTT-PHUCHUNG" xfId="2886" xr:uid="{00000000-0005-0000-0000-0000D00B0000}"/>
    <cellStyle name="_TG-TH_2_Book1_4_KLTT-PHUCHUNG_2---DATA_SAIN GOBAIN (THEP)_Option 1-British Standard" xfId="2887" xr:uid="{00000000-0005-0000-0000-0000D10B0000}"/>
    <cellStyle name="_TG-TH_2_Book1_4_Thanh toan (Du an Ca Mau)" xfId="2888" xr:uid="{00000000-0005-0000-0000-0000D20B0000}"/>
    <cellStyle name="_TG-TH_2_Book1_4_Thanh toan (Du an Ca Mau)_2---DATA_SAIN GOBAIN (THEP)_Option 1-British Standard" xfId="2889" xr:uid="{00000000-0005-0000-0000-0000D30B0000}"/>
    <cellStyle name="_TG-TH_2_Book1_4_THANHTOAN" xfId="2890" xr:uid="{00000000-0005-0000-0000-0000D40B0000}"/>
    <cellStyle name="_TG-TH_2_Book1_4_THANHTOAN A-B" xfId="2891" xr:uid="{00000000-0005-0000-0000-0000D50B0000}"/>
    <cellStyle name="_TG-TH_2_Book1_4_THANHTOAN A-B_2---DATA_SAIN GOBAIN (THEP)_Option 1-British Standard" xfId="2892" xr:uid="{00000000-0005-0000-0000-0000D60B0000}"/>
    <cellStyle name="_TG-TH_2_Book1_4_THANHTOAN_2---DATA_SAIN GOBAIN (THEP)_Option 1-British Standard" xfId="2893" xr:uid="{00000000-0005-0000-0000-0000D70B0000}"/>
    <cellStyle name="_TG-TH_2_Book1_Book1" xfId="2894" xr:uid="{00000000-0005-0000-0000-0000D80B0000}"/>
    <cellStyle name="_TG-TH_2_Book1_Book1_2---DATA_SAIN GOBAIN (THEP)_Option 1-British Standard" xfId="2895" xr:uid="{00000000-0005-0000-0000-0000D90B0000}"/>
    <cellStyle name="_TG-TH_2_Book1_Book1_Book1" xfId="2896" xr:uid="{00000000-0005-0000-0000-0000DA0B0000}"/>
    <cellStyle name="_TG-TH_2_Book1_Book1_Book1_2---DATA_SAIN GOBAIN (THEP)_Option 1-British Standard" xfId="2897" xr:uid="{00000000-0005-0000-0000-0000DB0B0000}"/>
    <cellStyle name="_TG-TH_2_Book1_Book1_CACKHOANKHAUTRU" xfId="2898" xr:uid="{00000000-0005-0000-0000-0000DC0B0000}"/>
    <cellStyle name="_TG-TH_2_Book1_Book1_CACKHOANKHAUTRU_2---DATA_SAIN GOBAIN (THEP)_Option 1-British Standard" xfId="2899" xr:uid="{00000000-0005-0000-0000-0000DD0B0000}"/>
    <cellStyle name="_TG-TH_2_Book1_Book1_KLTT-PHUCHUNG" xfId="2900" xr:uid="{00000000-0005-0000-0000-0000DE0B0000}"/>
    <cellStyle name="_TG-TH_2_Book1_Book1_KLTT-PHUCHUNG_2---DATA_SAIN GOBAIN (THEP)_Option 1-British Standard" xfId="2901" xr:uid="{00000000-0005-0000-0000-0000DF0B0000}"/>
    <cellStyle name="_TG-TH_2_Book1_Book1_Thanh toan (Du an Ca Mau)" xfId="2902" xr:uid="{00000000-0005-0000-0000-0000E00B0000}"/>
    <cellStyle name="_TG-TH_2_Book1_Book1_Thanh toan (Du an Ca Mau)_2---DATA_SAIN GOBAIN (THEP)_Option 1-British Standard" xfId="2903" xr:uid="{00000000-0005-0000-0000-0000E10B0000}"/>
    <cellStyle name="_TG-TH_2_Book1_Book1_THANHTOAN" xfId="2904" xr:uid="{00000000-0005-0000-0000-0000E20B0000}"/>
    <cellStyle name="_TG-TH_2_Book1_Book1_THANHTOAN A-B" xfId="2905" xr:uid="{00000000-0005-0000-0000-0000E30B0000}"/>
    <cellStyle name="_TG-TH_2_Book1_Book1_THANHTOAN A-B_2---DATA_SAIN GOBAIN (THEP)_Option 1-British Standard" xfId="2906" xr:uid="{00000000-0005-0000-0000-0000E40B0000}"/>
    <cellStyle name="_TG-TH_2_Book1_Book1_THANHTOAN_2---DATA_SAIN GOBAIN (THEP)_Option 1-British Standard" xfId="2907" xr:uid="{00000000-0005-0000-0000-0000E50B0000}"/>
    <cellStyle name="_TG-TH_2_Book1_Book1_THAO DIEN PEARL  - CAP THOAT NUOC (5-9-2011)" xfId="2908" xr:uid="{00000000-0005-0000-0000-0000E60B0000}"/>
    <cellStyle name="_TG-TH_2_Book1_CACKHOANKHAUTRU" xfId="2909" xr:uid="{00000000-0005-0000-0000-0000E70B0000}"/>
    <cellStyle name="_TG-TH_2_Book1_CACKHOANKHAUTRU_2---DATA_SAIN GOBAIN (THEP)_Option 1-British Standard" xfId="2910" xr:uid="{00000000-0005-0000-0000-0000E80B0000}"/>
    <cellStyle name="_TG-TH_2_Book1_CV1-khoi luong va don gia" xfId="2911" xr:uid="{00000000-0005-0000-0000-0000E90B0000}"/>
    <cellStyle name="_TG-TH_2_Book1_CV1-khoi luong va don gia_2---DATA_SAIN GOBAIN (THEP)_Option 1-British Standard" xfId="2912" xr:uid="{00000000-0005-0000-0000-0000EA0B0000}"/>
    <cellStyle name="_TG-TH_2_Book1_Danh sach nha cung cap ( Vendor List ) - Cap nhat 15-04-2011" xfId="2913" xr:uid="{00000000-0005-0000-0000-0000EB0B0000}"/>
    <cellStyle name="_TG-TH_2_Book1_Du toan chi phi gia thau T12 (Dat Phuong)" xfId="2914" xr:uid="{00000000-0005-0000-0000-0000EC0B0000}"/>
    <cellStyle name="_TG-TH_2_Book1_Du toan chi phi gia thau T12 (Dat Phuong)_2---DATA_SAIN GOBAIN (THEP)_Option 1-British Standard" xfId="2915" xr:uid="{00000000-0005-0000-0000-0000ED0B0000}"/>
    <cellStyle name="_TG-TH_2_Book1_HD-CONGTACCHINH-THAUPHU" xfId="2916" xr:uid="{00000000-0005-0000-0000-0000EE0B0000}"/>
    <cellStyle name="_TG-TH_2_Book1_HD-CONGTACCHINH-THAUPHU_2---DATA_SAIN GOBAIN (THEP)_Option 1-British Standard" xfId="2917" xr:uid="{00000000-0005-0000-0000-0000EF0B0000}"/>
    <cellStyle name="_TG-TH_2_Book1_HOPDONG-NOIBO" xfId="2918" xr:uid="{00000000-0005-0000-0000-0000F00B0000}"/>
    <cellStyle name="_TG-TH_2_Book1_HOPDONG-NOIBO_2---DATA_SAIN GOBAIN (THEP)_Option 1-British Standard" xfId="2919" xr:uid="{00000000-0005-0000-0000-0000F10B0000}"/>
    <cellStyle name="_TG-TH_2_Book1_l" xfId="2920" xr:uid="{00000000-0005-0000-0000-0000F20B0000}"/>
    <cellStyle name="_TG-TH_2_Book1_M_E Services _ Education" xfId="2921" xr:uid="{00000000-0005-0000-0000-0000F30B0000}"/>
    <cellStyle name="_TG-TH_2_Book1_M_E Services _ Education_1" xfId="2922" xr:uid="{00000000-0005-0000-0000-0000F40B0000}"/>
    <cellStyle name="_TG-TH_2_Book1_M_E Services _ Education_1_submit DHND 5%" xfId="2923" xr:uid="{00000000-0005-0000-0000-0000F50B0000}"/>
    <cellStyle name="_TG-TH_2_Book1_M_E Services _ Education_submit DHND 5%" xfId="2924" xr:uid="{00000000-0005-0000-0000-0000F60B0000}"/>
    <cellStyle name="_TG-TH_2_Book1_Nha Khach Thanh Uy- Busway -LS- REV1-29-06" xfId="2925" xr:uid="{00000000-0005-0000-0000-0000F70B0000}"/>
    <cellStyle name="_TG-TH_2_Book1_submit DHND 5%" xfId="2926" xr:uid="{00000000-0005-0000-0000-0000F80B0000}"/>
    <cellStyle name="_TG-TH_2_Book1_THANH TOAN-CONGTACCHINH" xfId="2927" xr:uid="{00000000-0005-0000-0000-0000F90B0000}"/>
    <cellStyle name="_TG-TH_2_Book1_THANH TOAN-CONGTACCHINH_2---DATA_SAIN GOBAIN (THEP)_Option 1-British Standard" xfId="2928" xr:uid="{00000000-0005-0000-0000-0000FA0B0000}"/>
    <cellStyle name="_TG-TH_2_Book1_THANHTOAN" xfId="2929" xr:uid="{00000000-0005-0000-0000-0000FB0B0000}"/>
    <cellStyle name="_TG-TH_2_Book1_THANHTOAN_2---DATA_SAIN GOBAIN (THEP)_Option 1-British Standard" xfId="2930" xr:uid="{00000000-0005-0000-0000-0000FC0B0000}"/>
    <cellStyle name="_TG-TH_2_CACKHOANKHAUTRU" xfId="2931" xr:uid="{00000000-0005-0000-0000-0000FD0B0000}"/>
    <cellStyle name="_TG-TH_2_CACKHOANKHAUTRU_2---DATA_SAIN GOBAIN (THEP)_Option 1-British Standard" xfId="2932" xr:uid="{00000000-0005-0000-0000-0000FE0B0000}"/>
    <cellStyle name="_TG-TH_2_CV1-khoi luong va don gia" xfId="2933" xr:uid="{00000000-0005-0000-0000-0000FF0B0000}"/>
    <cellStyle name="_TG-TH_2_CV1-khoi luong va don gia_2---DATA_SAIN GOBAIN (THEP)_Option 1-British Standard" xfId="2934" xr:uid="{00000000-0005-0000-0000-0000000C0000}"/>
    <cellStyle name="_TG-TH_2_Danh sach nha cung cap ( Vendor List ) - Cap nhat 15-04-2011" xfId="2935" xr:uid="{00000000-0005-0000-0000-0000010C0000}"/>
    <cellStyle name="_TG-TH_2_DTCDT MR.2N110.HOCMON.TDTOAN.CCUNG" xfId="2937" xr:uid="{00000000-0005-0000-0000-0000030C0000}"/>
    <cellStyle name="_TG-TH_2_DTCDT MR.2N110.HOCMON.TDTOAN.CCUNG_2---DATA_SAIN GOBAIN (THEP)_Option 1-British Standard" xfId="2938" xr:uid="{00000000-0005-0000-0000-0000040C0000}"/>
    <cellStyle name="_TG-TH_2_Du toan chi phi gia thau T12 (Dat Phuong)" xfId="2939" xr:uid="{00000000-0005-0000-0000-0000050C0000}"/>
    <cellStyle name="_TG-TH_2_Du toan chi phi gia thau T12 (Dat Phuong)_2---DATA_SAIN GOBAIN (THEP)_Option 1-British Standard" xfId="2940" xr:uid="{00000000-0005-0000-0000-0000060C0000}"/>
    <cellStyle name="_TG-TH_2_ĐỊNH MỨC KHOÁN 20-00PET -059" xfId="2936" xr:uid="{00000000-0005-0000-0000-0000020C0000}"/>
    <cellStyle name="_TG-TH_2_HD-CONGTACCHINH-THAUPHU" xfId="2941" xr:uid="{00000000-0005-0000-0000-0000070C0000}"/>
    <cellStyle name="_TG-TH_2_HD-CONGTACCHINH-THAUPHU_2---DATA_SAIN GOBAIN (THEP)_Option 1-British Standard" xfId="2942" xr:uid="{00000000-0005-0000-0000-0000080C0000}"/>
    <cellStyle name="_TG-TH_2_HOPDONG-NOIBO" xfId="2943" xr:uid="{00000000-0005-0000-0000-0000090C0000}"/>
    <cellStyle name="_TG-TH_2_HOPDONG-NOIBO_2---DATA_SAIN GOBAIN (THEP)_Option 1-British Standard" xfId="2944" xr:uid="{00000000-0005-0000-0000-00000A0C0000}"/>
    <cellStyle name="_TG-TH_2_l" xfId="2945" xr:uid="{00000000-0005-0000-0000-00000B0C0000}"/>
    <cellStyle name="_TG-TH_2_Lora-tungchau" xfId="2946" xr:uid="{00000000-0005-0000-0000-00000C0C0000}"/>
    <cellStyle name="_TG-TH_2_Lora-tungchau_2---DATA_SAIN GOBAIN (THEP)_Option 1-British Standard" xfId="2947" xr:uid="{00000000-0005-0000-0000-00000D0C0000}"/>
    <cellStyle name="_TG-TH_2_M_E Services _ Education" xfId="2948" xr:uid="{00000000-0005-0000-0000-00000E0C0000}"/>
    <cellStyle name="_TG-TH_2_M_E Services _ Education_1" xfId="2949" xr:uid="{00000000-0005-0000-0000-00000F0C0000}"/>
    <cellStyle name="_TG-TH_2_M_E Services _ Education_1_submit DHND 5%" xfId="2950" xr:uid="{00000000-0005-0000-0000-0000100C0000}"/>
    <cellStyle name="_TG-TH_2_M_E Services _ Education_submit DHND 5%" xfId="2951" xr:uid="{00000000-0005-0000-0000-0000110C0000}"/>
    <cellStyle name="_TG-TH_2_Nha Khach Thanh Uy- Busway -LS- REV1-29-06" xfId="2952" xr:uid="{00000000-0005-0000-0000-0000120C0000}"/>
    <cellStyle name="_TG-TH_2_PGIA-phieu tham tra Kho bac" xfId="2953" xr:uid="{00000000-0005-0000-0000-0000130C0000}"/>
    <cellStyle name="_TG-TH_2_PGIA-phieu tham tra Kho bac_2---DATA_SAIN GOBAIN (THEP)_Option 1-British Standard" xfId="2954" xr:uid="{00000000-0005-0000-0000-0000140C0000}"/>
    <cellStyle name="_TG-TH_2_PT02-02" xfId="2955" xr:uid="{00000000-0005-0000-0000-0000150C0000}"/>
    <cellStyle name="_TG-TH_2_PT02-02_2---DATA_SAIN GOBAIN (THEP)_Option 1-British Standard" xfId="2956" xr:uid="{00000000-0005-0000-0000-0000160C0000}"/>
    <cellStyle name="_TG-TH_2_PT02-02_Book1" xfId="2957" xr:uid="{00000000-0005-0000-0000-0000170C0000}"/>
    <cellStyle name="_TG-TH_2_PT02-02_Book1_2---DATA_SAIN GOBAIN (THEP)_Option 1-British Standard" xfId="2958" xr:uid="{00000000-0005-0000-0000-0000180C0000}"/>
    <cellStyle name="_TG-TH_2_PT02-03" xfId="2959" xr:uid="{00000000-0005-0000-0000-0000190C0000}"/>
    <cellStyle name="_TG-TH_2_PT02-03_2---DATA_SAIN GOBAIN (THEP)_Option 1-British Standard" xfId="2960" xr:uid="{00000000-0005-0000-0000-00001A0C0000}"/>
    <cellStyle name="_TG-TH_2_PT02-03_Book1" xfId="2961" xr:uid="{00000000-0005-0000-0000-00001B0C0000}"/>
    <cellStyle name="_TG-TH_2_PT02-03_Book1_2---DATA_SAIN GOBAIN (THEP)_Option 1-British Standard" xfId="2962" xr:uid="{00000000-0005-0000-0000-00001C0C0000}"/>
    <cellStyle name="_TG-TH_2_Qt-HT3PQ1(CauKho)" xfId="2963" xr:uid="{00000000-0005-0000-0000-00001D0C0000}"/>
    <cellStyle name="_TG-TH_2_Qt-HT3PQ1(CauKho)_2---DATA_SAIN GOBAIN (THEP)_Option 1-British Standard" xfId="2964" xr:uid="{00000000-0005-0000-0000-00001E0C0000}"/>
    <cellStyle name="_TG-TH_2_submit DHND 5%" xfId="2965" xr:uid="{00000000-0005-0000-0000-00001F0C0000}"/>
    <cellStyle name="_TG-TH_2_TAM UNG VAT TU CHINH DOT 3 (REV2)" xfId="2966" xr:uid="{00000000-0005-0000-0000-0000200C0000}"/>
    <cellStyle name="_TG-TH_2_TAM UNG VAT TU CHINH DOT 3 (REV2)_2---DATA_SAIN GOBAIN (THEP)_Option 1-British Standard" xfId="2967" xr:uid="{00000000-0005-0000-0000-0000210C0000}"/>
    <cellStyle name="_TG-TH_2_Tong hop so luong cac muc" xfId="2972" xr:uid="{00000000-0005-0000-0000-0000260C0000}"/>
    <cellStyle name="_TG-TH_2_THANH TOAN-CONGTACCHINH" xfId="2968" xr:uid="{00000000-0005-0000-0000-0000220C0000}"/>
    <cellStyle name="_TG-TH_2_THANH TOAN-CONGTACCHINH_2---DATA_SAIN GOBAIN (THEP)_Option 1-British Standard" xfId="2969" xr:uid="{00000000-0005-0000-0000-0000230C0000}"/>
    <cellStyle name="_TG-TH_2_THANHTOAN" xfId="2970" xr:uid="{00000000-0005-0000-0000-0000240C0000}"/>
    <cellStyle name="_TG-TH_2_THANHTOAN_2---DATA_SAIN GOBAIN (THEP)_Option 1-British Standard" xfId="2971" xr:uid="{00000000-0005-0000-0000-0000250C0000}"/>
    <cellStyle name="_TG-TH_2---DATA_SAIN GOBAIN (THEP)_Option 1-British Standard" xfId="2973" xr:uid="{00000000-0005-0000-0000-0000270C0000}"/>
    <cellStyle name="_TG-TH_3" xfId="2974" xr:uid="{00000000-0005-0000-0000-0000280C0000}"/>
    <cellStyle name="_TG-TH_3_2---DATA_SAIN GOBAIN (THEP)_Option 1-British Standard" xfId="2975" xr:uid="{00000000-0005-0000-0000-0000290C0000}"/>
    <cellStyle name="_TG-TH_3_BCT - KITYCOTTAGE SS 1''x1'' ANGLE 22-00PET-026" xfId="2976" xr:uid="{00000000-0005-0000-0000-00002A0C0000}"/>
    <cellStyle name="_TG-TH_3_BCT - MID FLANGE LATCH RIGHT 22-00 PET-030" xfId="2977" xr:uid="{00000000-0005-0000-0000-00002B0C0000}"/>
    <cellStyle name="_TG-TH_3_Book1" xfId="2978" xr:uid="{00000000-0005-0000-0000-00002C0C0000}"/>
    <cellStyle name="_TG-TH_3_ĐỊNH MỨC KHOÁN 20-00PET -059" xfId="2979" xr:uid="{00000000-0005-0000-0000-00002D0C0000}"/>
    <cellStyle name="_TG-TH_3_Lora-tungchau" xfId="2980" xr:uid="{00000000-0005-0000-0000-00002E0C0000}"/>
    <cellStyle name="_TG-TH_3_Lora-tungchau_2---DATA_SAIN GOBAIN (THEP)_Option 1-British Standard" xfId="2981" xr:uid="{00000000-0005-0000-0000-00002F0C0000}"/>
    <cellStyle name="_TG-TH_3_M_E Services _ Education" xfId="2982" xr:uid="{00000000-0005-0000-0000-0000300C0000}"/>
    <cellStyle name="_TG-TH_3_M_E Services _ Education_1" xfId="2983" xr:uid="{00000000-0005-0000-0000-0000310C0000}"/>
    <cellStyle name="_TG-TH_3_M_E Services _ Education_1_submit DHND 5%" xfId="2984" xr:uid="{00000000-0005-0000-0000-0000320C0000}"/>
    <cellStyle name="_TG-TH_3_M_E Services _ Education_submit DHND 5%" xfId="2985" xr:uid="{00000000-0005-0000-0000-0000330C0000}"/>
    <cellStyle name="_TG-TH_3_Qt-HT3PQ1(CauKho)" xfId="2986" xr:uid="{00000000-0005-0000-0000-0000340C0000}"/>
    <cellStyle name="_TG-TH_3_Qt-HT3PQ1(CauKho)_2---DATA_SAIN GOBAIN (THEP)_Option 1-British Standard" xfId="2987" xr:uid="{00000000-0005-0000-0000-0000350C0000}"/>
    <cellStyle name="_TG-TH_3_submit DHND 5%" xfId="2988" xr:uid="{00000000-0005-0000-0000-0000360C0000}"/>
    <cellStyle name="_TG-TH_3_TAM UNG VAT TU CHINH DOT 3 (REV2)" xfId="2989" xr:uid="{00000000-0005-0000-0000-0000370C0000}"/>
    <cellStyle name="_TG-TH_3_TAM UNG VAT TU CHINH DOT 3 (REV2)_2---DATA_SAIN GOBAIN (THEP)_Option 1-British Standard" xfId="2990" xr:uid="{00000000-0005-0000-0000-0000380C0000}"/>
    <cellStyle name="_TG-TH_4" xfId="2991" xr:uid="{00000000-0005-0000-0000-0000390C0000}"/>
    <cellStyle name="_TG-TH_4_2---DATA_SAIN GOBAIN (THEP)_Option 1-British Standard" xfId="2992" xr:uid="{00000000-0005-0000-0000-00003A0C0000}"/>
    <cellStyle name="_TG-TH_4_M_E Services _ Education" xfId="2993" xr:uid="{00000000-0005-0000-0000-00003B0C0000}"/>
    <cellStyle name="_TG-TH_4_M_E Services _ Education_1" xfId="2994" xr:uid="{00000000-0005-0000-0000-00003C0C0000}"/>
    <cellStyle name="_TG-TH_4_M_E Services _ Education_1_submit DHND 5%" xfId="2995" xr:uid="{00000000-0005-0000-0000-00003D0C0000}"/>
    <cellStyle name="_TG-TH_4_M_E Services _ Education_submit DHND 5%" xfId="2996" xr:uid="{00000000-0005-0000-0000-00003E0C0000}"/>
    <cellStyle name="_TG-TH_4_submit DHND 5%" xfId="2997" xr:uid="{00000000-0005-0000-0000-00003F0C0000}"/>
    <cellStyle name="_TG-TH_M_E Services _ Education" xfId="2998" xr:uid="{00000000-0005-0000-0000-0000400C0000}"/>
    <cellStyle name="_TG-TH_M_E Services _ Education_1" xfId="2999" xr:uid="{00000000-0005-0000-0000-0000410C0000}"/>
    <cellStyle name="_TG-TH_M_E Services _ Education_1_submit DHND 5%" xfId="3000" xr:uid="{00000000-0005-0000-0000-0000420C0000}"/>
    <cellStyle name="_TG-TH_M_E Services _ Education_submit DHND 5%" xfId="3001" xr:uid="{00000000-0005-0000-0000-0000430C0000}"/>
    <cellStyle name="_TG-TH_submit DHND 5%" xfId="3002" xr:uid="{00000000-0005-0000-0000-0000440C0000}"/>
    <cellStyle name="_TONG DU TOAN KHAO SAT 31-08-2007 _Giang" xfId="3007" xr:uid="{00000000-0005-0000-0000-0000490C0000}"/>
    <cellStyle name="_TONG DU TOAN KHAO SAT 31-08-2007 _Giang_2---DATA_SAIN GOBAIN (THEP)_Option 1-British Standard" xfId="3008" xr:uid="{00000000-0005-0000-0000-00004A0C0000}"/>
    <cellStyle name="_tong hop Mau Ngay 04.10.07" xfId="14507" xr:uid="{00000000-0005-0000-0000-00004B0C0000}"/>
    <cellStyle name="_Tong hop may cheu nganh 1" xfId="3009" xr:uid="{00000000-0005-0000-0000-00004C0C0000}"/>
    <cellStyle name="_tong kho 31.12.06" xfId="14508" xr:uid="{00000000-0005-0000-0000-00004D0C0000}"/>
    <cellStyle name="_Total bill" xfId="3010" xr:uid="{00000000-0005-0000-0000-00004E0C0000}"/>
    <cellStyle name="_Thanh toan (Du an Ca Mau)" xfId="3003" xr:uid="{00000000-0005-0000-0000-0000450C0000}"/>
    <cellStyle name="_THANH TOAN-CONGTACCHINH" xfId="3004" xr:uid="{00000000-0005-0000-0000-0000460C0000}"/>
    <cellStyle name="_THANH TOAN-CONGTACCHINH_2---DATA_SAIN GOBAIN (THEP)_Option 1-British Standard" xfId="3005" xr:uid="{00000000-0005-0000-0000-0000470C0000}"/>
    <cellStyle name="_x0001__THAO DIEN PEARL  - CAP THOAT NUOC (5-9-2011)" xfId="3006" xr:uid="{00000000-0005-0000-0000-0000480C0000}"/>
    <cellStyle name="_trade ratio wkng file_A9 UM FCBGA_CPU Comparison " xfId="3011" xr:uid="{00000000-0005-0000-0000-00004F0C0000}"/>
    <cellStyle name="_trade ratio wkng file_A9 UM FCBGA_CPU Comparison _bang chi tiet_ACMV 25-06-2011" xfId="3012" xr:uid="{00000000-0005-0000-0000-0000500C0000}"/>
    <cellStyle name="_trade ratio wkng file_A9 UM FCBGA_CPU Comparison _Bill of quantity - cables tray FA - Paragon detail from Tai 011-07-2011" xfId="3013" xr:uid="{00000000-0005-0000-0000-0000510C0000}"/>
    <cellStyle name="_trade ratio wkng file_A9 UM FCBGA_CPU Comparison _quotation QNT-REE-040411 (1)" xfId="3014" xr:uid="{00000000-0005-0000-0000-0000520C0000}"/>
    <cellStyle name="_Variation Register Pay Cert 15" xfId="3015" xr:uid="{00000000-0005-0000-0000-0000530C0000}"/>
    <cellStyle name="_Vat tu boc tach Goldola" xfId="3016" xr:uid="{00000000-0005-0000-0000-0000540C0000}"/>
    <cellStyle name="_VHUONG KO GIU 2%" xfId="14509" xr:uid="{00000000-0005-0000-0000-0000550C0000}"/>
    <cellStyle name="_VHUONG KO GIU 2%_tong hop" xfId="14510" xr:uid="{00000000-0005-0000-0000-0000560C0000}"/>
    <cellStyle name="_Villa A,B,C,D-Coteccons" xfId="3017" xr:uid="{00000000-0005-0000-0000-0000570C0000}"/>
    <cellStyle name="_VISTA PLUMB 投标文件 (version 1)-张1" xfId="3018" xr:uid="{00000000-0005-0000-0000-0000580C0000}"/>
    <cellStyle name="_Write off" xfId="14511" xr:uid="{00000000-0005-0000-0000-0000590C0000}"/>
    <cellStyle name="_Write off_CHI TIET 03" xfId="14512" xr:uid="{00000000-0005-0000-0000-00005A0C0000}"/>
    <cellStyle name="_WW10MTRX_3_Apr_CPA_PG8_Prescott_Trev1_A9 UM FCBGA_CPU Comparison " xfId="3019" xr:uid="{00000000-0005-0000-0000-00005B0C0000}"/>
    <cellStyle name="_WW10MTRX_3_Apr_CPA_PG8_Prescott_Trev1_A9 UM FCBGA_CPU Comparison  2" xfId="3020" xr:uid="{00000000-0005-0000-0000-00005C0C0000}"/>
    <cellStyle name="_WW10MTRX_3_Apr_CPA_PG8_Prescott_Trev1_A9 UM FCBGA_CPU Comparison  2 2" xfId="3021" xr:uid="{00000000-0005-0000-0000-00005D0C0000}"/>
    <cellStyle name="_WW10MTRX_3_Apr_CPA_PG8_Prescott_Trev1_A9 UM FCBGA_CPU Comparison _bang chi tiet_ACMV 25-06-2011" xfId="3022" xr:uid="{00000000-0005-0000-0000-00005E0C0000}"/>
    <cellStyle name="_WW10MTRX_3_Apr_CPA_PG8_Prescott_Trev1_A9 UM FCBGA_CPU Comparison _bang chi tiet_ACMV 25-06-2011 2" xfId="3023" xr:uid="{00000000-0005-0000-0000-00005F0C0000}"/>
    <cellStyle name="_WW10MTRX_3_Apr_CPA_PG8_Prescott_Trev1_A9 UM FCBGA_CPU Comparison _bang chi tiet_ACMV 25-06-2011 2 2" xfId="3024" xr:uid="{00000000-0005-0000-0000-0000600C0000}"/>
    <cellStyle name="_WW10MTRX_3_Apr_CPA_PG8_Prescott_Trev1_A9 UM FCBGA_CPU Comparison _Bill of quantity - cables tray FA - Paragon detail from Tai 011-07-2011" xfId="3025" xr:uid="{00000000-0005-0000-0000-0000610C0000}"/>
    <cellStyle name="_WW10MTRX_3_Apr_CPA_PG8_Prescott_Trev1_A9 UM FCBGA_CPU Comparison _Bill of quantity - cables tray FA - Paragon detail from Tai 011-07-2011 2" xfId="3026" xr:uid="{00000000-0005-0000-0000-0000620C0000}"/>
    <cellStyle name="_WW10MTRX_3_Apr_CPA_PG8_Prescott_Trev1_A9 UM FCBGA_CPU Comparison _Bill of quantity - cables tray FA - Paragon detail from Tai 011-07-2011 2 2" xfId="3027" xr:uid="{00000000-0005-0000-0000-0000630C0000}"/>
    <cellStyle name="_WW10MTRX_3_Apr_CPA_PG8_Prescott_Trev1_A9 UM FCBGA_CPU Comparison _BOQ-Multi Complex-Dien + P&amp;D-(Rev 0 2-7-2011)" xfId="3028" xr:uid="{00000000-0005-0000-0000-0000640C0000}"/>
    <cellStyle name="_WW10MTRX_3_Apr_CPA_PG8_Prescott_Trev1_A9 UM FCBGA_CPU Comparison _l" xfId="3029" xr:uid="{00000000-0005-0000-0000-0000650C0000}"/>
    <cellStyle name="_WW10MTRX_3_Apr_CPA_PG8_Prescott_Trev1_A9 UM FCBGA_CPU Comparison _l 2" xfId="10503" xr:uid="{00000000-0005-0000-0000-0000660C0000}"/>
    <cellStyle name="_WW10MTRX_3_Apr_CPA_PG8_Prescott_Trev1_A9 UM FCBGA_CPU Comparison _l 3" xfId="10504" xr:uid="{00000000-0005-0000-0000-0000670C0000}"/>
    <cellStyle name="_WW10MTRX_3_Apr_CPA_PG8_Prescott_Trev1_A9 UM FCBGA_CPU Comparison _Nha Khach Thanh Uy- Busway -LS- REV1-29-06" xfId="3030" xr:uid="{00000000-0005-0000-0000-0000680C0000}"/>
    <cellStyle name="_WW10MTRX_3_Apr_CPA_PG8_Prescott_Trev1_A9 UM FCBGA_CPU Comparison _quotation QNT-REE-040411 (1)" xfId="3031" xr:uid="{00000000-0005-0000-0000-0000690C0000}"/>
    <cellStyle name="_WW10MTRX_3_Apr_CPA_PG8_Prescott_Trev1_A9 UM FCBGA_CPU Comparison _quotation QNT-REE-040411 (1) 2" xfId="3032" xr:uid="{00000000-0005-0000-0000-00006A0C0000}"/>
    <cellStyle name="_WW10MTRX_3_Apr_CPA_PG8_Prescott_Trev1_A9 UM FCBGA_CPU Comparison _quotation QNT-REE-040411 (1) 2 2" xfId="3033" xr:uid="{00000000-0005-0000-0000-00006B0C0000}"/>
    <cellStyle name="_WW10MTRX_3_Jan CPA2_A9 UM FCBGA_CPU Comparison " xfId="3034" xr:uid="{00000000-0005-0000-0000-00006C0C0000}"/>
    <cellStyle name="_WW10MTRX_3_Jan CPA2_A9 UM FCBGA_CPU Comparison  2" xfId="3035" xr:uid="{00000000-0005-0000-0000-00006D0C0000}"/>
    <cellStyle name="_WW10MTRX_3_Jan CPA2_A9 UM FCBGA_CPU Comparison  2 2" xfId="3036" xr:uid="{00000000-0005-0000-0000-00006E0C0000}"/>
    <cellStyle name="_WW10MTRX_3_Jan CPA2_A9 UM FCBGA_CPU Comparison _bang chi tiet_ACMV 25-06-2011" xfId="3037" xr:uid="{00000000-0005-0000-0000-00006F0C0000}"/>
    <cellStyle name="_WW10MTRX_3_Jan CPA2_A9 UM FCBGA_CPU Comparison _bang chi tiet_ACMV 25-06-2011 2" xfId="3038" xr:uid="{00000000-0005-0000-0000-0000700C0000}"/>
    <cellStyle name="_WW10MTRX_3_Jan CPA2_A9 UM FCBGA_CPU Comparison _bang chi tiet_ACMV 25-06-2011 2 2" xfId="3039" xr:uid="{00000000-0005-0000-0000-0000710C0000}"/>
    <cellStyle name="_WW10MTRX_3_Jan CPA2_A9 UM FCBGA_CPU Comparison _Bill of quantity - cables tray FA - Paragon detail from Tai 011-07-2011" xfId="3040" xr:uid="{00000000-0005-0000-0000-0000720C0000}"/>
    <cellStyle name="_WW10MTRX_3_Jan CPA2_A9 UM FCBGA_CPU Comparison _Bill of quantity - cables tray FA - Paragon detail from Tai 011-07-2011 2" xfId="3041" xr:uid="{00000000-0005-0000-0000-0000730C0000}"/>
    <cellStyle name="_WW10MTRX_3_Jan CPA2_A9 UM FCBGA_CPU Comparison _Bill of quantity - cables tray FA - Paragon detail from Tai 011-07-2011 2 2" xfId="3042" xr:uid="{00000000-0005-0000-0000-0000740C0000}"/>
    <cellStyle name="_WW10MTRX_3_Jan CPA2_A9 UM FCBGA_CPU Comparison _BOQ-Multi Complex-Dien + P&amp;D-(Rev 0 2-7-2011)" xfId="3043" xr:uid="{00000000-0005-0000-0000-0000750C0000}"/>
    <cellStyle name="_WW10MTRX_3_Jan CPA2_A9 UM FCBGA_CPU Comparison _l" xfId="3044" xr:uid="{00000000-0005-0000-0000-0000760C0000}"/>
    <cellStyle name="_WW10MTRX_3_Jan CPA2_A9 UM FCBGA_CPU Comparison _l 2" xfId="10505" xr:uid="{00000000-0005-0000-0000-0000770C0000}"/>
    <cellStyle name="_WW10MTRX_3_Jan CPA2_A9 UM FCBGA_CPU Comparison _l 3" xfId="10506" xr:uid="{00000000-0005-0000-0000-0000780C0000}"/>
    <cellStyle name="_WW10MTRX_3_Jan CPA2_A9 UM FCBGA_CPU Comparison _Nha Khach Thanh Uy- Busway -LS- REV1-29-06" xfId="3045" xr:uid="{00000000-0005-0000-0000-0000790C0000}"/>
    <cellStyle name="_WW10MTRX_3_Jan CPA2_A9 UM FCBGA_CPU Comparison _quotation QNT-REE-040411 (1)" xfId="3046" xr:uid="{00000000-0005-0000-0000-00007A0C0000}"/>
    <cellStyle name="_WW10MTRX_3_Jan CPA2_A9 UM FCBGA_CPU Comparison _quotation QNT-REE-040411 (1) 2" xfId="3047" xr:uid="{00000000-0005-0000-0000-00007B0C0000}"/>
    <cellStyle name="_WW10MTRX_3_Jan CPA2_A9 UM FCBGA_CPU Comparison _quotation QNT-REE-040411 (1) 2 2" xfId="3048" xr:uid="{00000000-0005-0000-0000-00007C0C0000}"/>
    <cellStyle name="_WW10MTRX_3_Oct CPA Eqpt List approved_A9 UM FCBGA_CPU Comparison " xfId="3049" xr:uid="{00000000-0005-0000-0000-00007D0C0000}"/>
    <cellStyle name="_WW10MTRX_3_Oct CPA Eqpt List approved_A9 UM FCBGA_CPU Comparison  2" xfId="3050" xr:uid="{00000000-0005-0000-0000-00007E0C0000}"/>
    <cellStyle name="_WW10MTRX_3_Oct CPA Eqpt List approved_A9 UM FCBGA_CPU Comparison  2 2" xfId="3051" xr:uid="{00000000-0005-0000-0000-00007F0C0000}"/>
    <cellStyle name="_WW10MTRX_3_Oct CPA Eqpt List approved_A9 UM FCBGA_CPU Comparison _bang chi tiet_ACMV 25-06-2011" xfId="3052" xr:uid="{00000000-0005-0000-0000-0000800C0000}"/>
    <cellStyle name="_WW10MTRX_3_Oct CPA Eqpt List approved_A9 UM FCBGA_CPU Comparison _bang chi tiet_ACMV 25-06-2011 2" xfId="3053" xr:uid="{00000000-0005-0000-0000-0000810C0000}"/>
    <cellStyle name="_WW10MTRX_3_Oct CPA Eqpt List approved_A9 UM FCBGA_CPU Comparison _bang chi tiet_ACMV 25-06-2011 2 2" xfId="3054" xr:uid="{00000000-0005-0000-0000-0000820C0000}"/>
    <cellStyle name="_WW10MTRX_3_Oct CPA Eqpt List approved_A9 UM FCBGA_CPU Comparison _Bill of quantity - cables tray FA - Paragon detail from Tai 011-07-2011" xfId="3055" xr:uid="{00000000-0005-0000-0000-0000830C0000}"/>
    <cellStyle name="_WW10MTRX_3_Oct CPA Eqpt List approved_A9 UM FCBGA_CPU Comparison _Bill of quantity - cables tray FA - Paragon detail from Tai 011-07-2011 2" xfId="3056" xr:uid="{00000000-0005-0000-0000-0000840C0000}"/>
    <cellStyle name="_WW10MTRX_3_Oct CPA Eqpt List approved_A9 UM FCBGA_CPU Comparison _Bill of quantity - cables tray FA - Paragon detail from Tai 011-07-2011 2 2" xfId="3057" xr:uid="{00000000-0005-0000-0000-0000850C0000}"/>
    <cellStyle name="_WW10MTRX_3_Oct CPA Eqpt List approved_A9 UM FCBGA_CPU Comparison _BOQ-Multi Complex-Dien + P&amp;D-(Rev 0 2-7-2011)" xfId="3058" xr:uid="{00000000-0005-0000-0000-0000860C0000}"/>
    <cellStyle name="_WW10MTRX_3_Oct CPA Eqpt List approved_A9 UM FCBGA_CPU Comparison _l" xfId="3059" xr:uid="{00000000-0005-0000-0000-0000870C0000}"/>
    <cellStyle name="_WW10MTRX_3_Oct CPA Eqpt List approved_A9 UM FCBGA_CPU Comparison _l 2" xfId="10507" xr:uid="{00000000-0005-0000-0000-0000880C0000}"/>
    <cellStyle name="_WW10MTRX_3_Oct CPA Eqpt List approved_A9 UM FCBGA_CPU Comparison _l 3" xfId="10508" xr:uid="{00000000-0005-0000-0000-0000890C0000}"/>
    <cellStyle name="_WW10MTRX_3_Oct CPA Eqpt List approved_A9 UM FCBGA_CPU Comparison _Nha Khach Thanh Uy- Busway -LS- REV1-29-06" xfId="3060" xr:uid="{00000000-0005-0000-0000-00008A0C0000}"/>
    <cellStyle name="_WW10MTRX_3_Oct CPA Eqpt List approved_A9 UM FCBGA_CPU Comparison _quotation QNT-REE-040411 (1)" xfId="3061" xr:uid="{00000000-0005-0000-0000-00008B0C0000}"/>
    <cellStyle name="_WW10MTRX_3_Oct CPA Eqpt List approved_A9 UM FCBGA_CPU Comparison _quotation QNT-REE-040411 (1) 2" xfId="3062" xr:uid="{00000000-0005-0000-0000-00008C0C0000}"/>
    <cellStyle name="_WW10MTRX_3_Oct CPA Eqpt List approved_A9 UM FCBGA_CPU Comparison _quotation QNT-REE-040411 (1) 2 2" xfId="3063" xr:uid="{00000000-0005-0000-0000-00008D0C0000}"/>
    <cellStyle name="_WW10MTRX_3_trade ratio wkng file_A9 UM FCBGA_CPU Comparison " xfId="3064" xr:uid="{00000000-0005-0000-0000-00008E0C0000}"/>
    <cellStyle name="_WW10MTRX_3_trade ratio wkng file_A9 UM FCBGA_CPU Comparison  2" xfId="3065" xr:uid="{00000000-0005-0000-0000-00008F0C0000}"/>
    <cellStyle name="_WW10MTRX_3_trade ratio wkng file_A9 UM FCBGA_CPU Comparison  2 2" xfId="3066" xr:uid="{00000000-0005-0000-0000-0000900C0000}"/>
    <cellStyle name="_WW10MTRX_3_trade ratio wkng file_A9 UM FCBGA_CPU Comparison _bang chi tiet_ACMV 25-06-2011" xfId="3067" xr:uid="{00000000-0005-0000-0000-0000910C0000}"/>
    <cellStyle name="_WW10MTRX_3_trade ratio wkng file_A9 UM FCBGA_CPU Comparison _bang chi tiet_ACMV 25-06-2011 2" xfId="3068" xr:uid="{00000000-0005-0000-0000-0000920C0000}"/>
    <cellStyle name="_WW10MTRX_3_trade ratio wkng file_A9 UM FCBGA_CPU Comparison _bang chi tiet_ACMV 25-06-2011 2 2" xfId="3069" xr:uid="{00000000-0005-0000-0000-0000930C0000}"/>
    <cellStyle name="_WW10MTRX_3_trade ratio wkng file_A9 UM FCBGA_CPU Comparison _Bill of quantity - cables tray FA - Paragon detail from Tai 011-07-2011" xfId="3070" xr:uid="{00000000-0005-0000-0000-0000940C0000}"/>
    <cellStyle name="_WW10MTRX_3_trade ratio wkng file_A9 UM FCBGA_CPU Comparison _Bill of quantity - cables tray FA - Paragon detail from Tai 011-07-2011 2" xfId="3071" xr:uid="{00000000-0005-0000-0000-0000950C0000}"/>
    <cellStyle name="_WW10MTRX_3_trade ratio wkng file_A9 UM FCBGA_CPU Comparison _Bill of quantity - cables tray FA - Paragon detail from Tai 011-07-2011 2 2" xfId="3072" xr:uid="{00000000-0005-0000-0000-0000960C0000}"/>
    <cellStyle name="_WW10MTRX_3_trade ratio wkng file_A9 UM FCBGA_CPU Comparison _BOQ-Multi Complex-Dien + P&amp;D-(Rev 0 2-7-2011)" xfId="3073" xr:uid="{00000000-0005-0000-0000-0000970C0000}"/>
    <cellStyle name="_WW10MTRX_3_trade ratio wkng file_A9 UM FCBGA_CPU Comparison _l" xfId="3074" xr:uid="{00000000-0005-0000-0000-0000980C0000}"/>
    <cellStyle name="_WW10MTRX_3_trade ratio wkng file_A9 UM FCBGA_CPU Comparison _l 2" xfId="10509" xr:uid="{00000000-0005-0000-0000-0000990C0000}"/>
    <cellStyle name="_WW10MTRX_3_trade ratio wkng file_A9 UM FCBGA_CPU Comparison _l 3" xfId="10510" xr:uid="{00000000-0005-0000-0000-00009A0C0000}"/>
    <cellStyle name="_WW10MTRX_3_trade ratio wkng file_A9 UM FCBGA_CPU Comparison _Nha Khach Thanh Uy- Busway -LS- REV1-29-06" xfId="3075" xr:uid="{00000000-0005-0000-0000-00009B0C0000}"/>
    <cellStyle name="_WW10MTRX_3_trade ratio wkng file_A9 UM FCBGA_CPU Comparison _quotation QNT-REE-040411 (1)" xfId="3076" xr:uid="{00000000-0005-0000-0000-00009C0C0000}"/>
    <cellStyle name="_WW10MTRX_3_trade ratio wkng file_A9 UM FCBGA_CPU Comparison _quotation QNT-REE-040411 (1) 2" xfId="3077" xr:uid="{00000000-0005-0000-0000-00009D0C0000}"/>
    <cellStyle name="_WW10MTRX_3_trade ratio wkng file_A9 UM FCBGA_CPU Comparison _quotation QNT-REE-040411 (1) 2 2" xfId="3078" xr:uid="{00000000-0005-0000-0000-00009E0C0000}"/>
    <cellStyle name="_WW10MTRX_Apr_CPA_PG8_Prescott_Trev1_A9 UM FCBGA_CPU Comparison " xfId="3079" xr:uid="{00000000-0005-0000-0000-00009F0C0000}"/>
    <cellStyle name="_WW10MTRX_Apr_CPA_PG8_Prescott_Trev1_A9 UM FCBGA_CPU Comparison  2" xfId="3080" xr:uid="{00000000-0005-0000-0000-0000A00C0000}"/>
    <cellStyle name="_WW10MTRX_Apr_CPA_PG8_Prescott_Trev1_A9 UM FCBGA_CPU Comparison _bang chi tiet_ACMV 25-06-2011" xfId="3081" xr:uid="{00000000-0005-0000-0000-0000A10C0000}"/>
    <cellStyle name="_WW10MTRX_Apr_CPA_PG8_Prescott_Trev1_A9 UM FCBGA_CPU Comparison _Bill of quantity - cables tray FA - Paragon detail from Tai 011-07-2011" xfId="3082" xr:uid="{00000000-0005-0000-0000-0000A20C0000}"/>
    <cellStyle name="_WW10MTRX_Apr_CPA_PG8_Prescott_Trev1_A9 UM FCBGA_CPU Comparison _BOQ-Big C Hai Duong-Electrical-(Final  30-5-2011)-Gia ban HS" xfId="3083" xr:uid="{00000000-0005-0000-0000-0000A30C0000}"/>
    <cellStyle name="_WW10MTRX_Apr_CPA_PG8_Prescott_Trev1_A9 UM FCBGA_CPU Comparison _quotation QNT-REE-040411 (1)" xfId="3084" xr:uid="{00000000-0005-0000-0000-0000A40C0000}"/>
    <cellStyle name="_WW10MTRX_Jan CPA2_A9 UM FCBGA_CPU Comparison " xfId="3085" xr:uid="{00000000-0005-0000-0000-0000A50C0000}"/>
    <cellStyle name="_WW10MTRX_Jan CPA2_A9 UM FCBGA_CPU Comparison  2" xfId="3086" xr:uid="{00000000-0005-0000-0000-0000A60C0000}"/>
    <cellStyle name="_WW10MTRX_Jan CPA2_A9 UM FCBGA_CPU Comparison _bang chi tiet_ACMV 25-06-2011" xfId="3087" xr:uid="{00000000-0005-0000-0000-0000A70C0000}"/>
    <cellStyle name="_WW10MTRX_Jan CPA2_A9 UM FCBGA_CPU Comparison _Bill of quantity - cables tray FA - Paragon detail from Tai 011-07-2011" xfId="3088" xr:uid="{00000000-0005-0000-0000-0000A80C0000}"/>
    <cellStyle name="_WW10MTRX_Jan CPA2_A9 UM FCBGA_CPU Comparison _BOQ-Big C Hai Duong-Electrical-(Final  30-5-2011)-Gia ban HS" xfId="3089" xr:uid="{00000000-0005-0000-0000-0000A90C0000}"/>
    <cellStyle name="_WW10MTRX_Jan CPA2_A9 UM FCBGA_CPU Comparison _quotation QNT-REE-040411 (1)" xfId="3090" xr:uid="{00000000-0005-0000-0000-0000AA0C0000}"/>
    <cellStyle name="_WW10MTRX_NGBI Roll-uprev4_all data1_A9 UM FCBGA_CPU Comparison " xfId="3091" xr:uid="{00000000-0005-0000-0000-0000AB0C0000}"/>
    <cellStyle name="_WW10MTRX_NGBI Roll-uprev4_all data1_A9 UM FCBGA_CPU Comparison  2" xfId="3092" xr:uid="{00000000-0005-0000-0000-0000AC0C0000}"/>
    <cellStyle name="_WW10MTRX_NGBI Roll-uprev4_all data1_A9 UM FCBGA_CPU Comparison _bang chi tiet_ACMV 25-06-2011" xfId="3093" xr:uid="{00000000-0005-0000-0000-0000AD0C0000}"/>
    <cellStyle name="_WW10MTRX_NGBI Roll-uprev4_all data1_A9 UM FCBGA_CPU Comparison _Bill of quantity - cables tray FA - Paragon detail from Tai 011-07-2011" xfId="3094" xr:uid="{00000000-0005-0000-0000-0000AE0C0000}"/>
    <cellStyle name="_WW10MTRX_NGBI Roll-uprev4_all data1_A9 UM FCBGA_CPU Comparison _BOQ-Big C Hai Duong-Electrical-(Final  30-5-2011)-Gia ban HS" xfId="3095" xr:uid="{00000000-0005-0000-0000-0000AF0C0000}"/>
    <cellStyle name="_WW10MTRX_NGBI Roll-uprev4_all data1_A9 UM FCBGA_CPU Comparison _quotation QNT-REE-040411 (1)" xfId="3096" xr:uid="{00000000-0005-0000-0000-0000B00C0000}"/>
    <cellStyle name="_WW10MTRX_Oct CPA Eqpt List approved_A9 UM FCBGA_CPU Comparison " xfId="3097" xr:uid="{00000000-0005-0000-0000-0000B10C0000}"/>
    <cellStyle name="_WW10MTRX_Oct CPA Eqpt List approved_A9 UM FCBGA_CPU Comparison  2" xfId="3098" xr:uid="{00000000-0005-0000-0000-0000B20C0000}"/>
    <cellStyle name="_WW10MTRX_Oct CPA Eqpt List approved_A9 UM FCBGA_CPU Comparison _bang chi tiet_ACMV 25-06-2011" xfId="3099" xr:uid="{00000000-0005-0000-0000-0000B30C0000}"/>
    <cellStyle name="_WW10MTRX_Oct CPA Eqpt List approved_A9 UM FCBGA_CPU Comparison _Bill of quantity - cables tray FA - Paragon detail from Tai 011-07-2011" xfId="3100" xr:uid="{00000000-0005-0000-0000-0000B40C0000}"/>
    <cellStyle name="_WW10MTRX_Oct CPA Eqpt List approved_A9 UM FCBGA_CPU Comparison _BOQ-Big C Hai Duong-Electrical-(Final  30-5-2011)-Gia ban HS" xfId="3101" xr:uid="{00000000-0005-0000-0000-0000B50C0000}"/>
    <cellStyle name="_WW10MTRX_Oct CPA Eqpt List approved_A9 UM FCBGA_CPU Comparison _quotation QNT-REE-040411 (1)" xfId="3102" xr:uid="{00000000-0005-0000-0000-0000B60C0000}"/>
    <cellStyle name="_WW10MTRX_trade ratio wkng file_A9 UM FCBGA_CPU Comparison " xfId="3103" xr:uid="{00000000-0005-0000-0000-0000B70C0000}"/>
    <cellStyle name="_WW10MTRX_trade ratio wkng file_A9 UM FCBGA_CPU Comparison  2" xfId="3104" xr:uid="{00000000-0005-0000-0000-0000B80C0000}"/>
    <cellStyle name="_WW10MTRX_trade ratio wkng file_A9 UM FCBGA_CPU Comparison _bang chi tiet_ACMV 25-06-2011" xfId="3105" xr:uid="{00000000-0005-0000-0000-0000B90C0000}"/>
    <cellStyle name="_WW10MTRX_trade ratio wkng file_A9 UM FCBGA_CPU Comparison _Bill of quantity - cables tray FA - Paragon detail from Tai 011-07-2011" xfId="3106" xr:uid="{00000000-0005-0000-0000-0000BA0C0000}"/>
    <cellStyle name="_WW10MTRX_trade ratio wkng file_A9 UM FCBGA_CPU Comparison _BOQ-Big C Hai Duong-Electrical-(Final  30-5-2011)-Gia ban HS" xfId="3107" xr:uid="{00000000-0005-0000-0000-0000BB0C0000}"/>
    <cellStyle name="_WW10MTRX_trade ratio wkng file_A9 UM FCBGA_CPU Comparison _quotation QNT-REE-040411 (1)" xfId="3108" xr:uid="{00000000-0005-0000-0000-0000BC0C0000}"/>
    <cellStyle name="_WW50MTRX_2_Apr_CPA_PG8_Prescott_Trev1_A9 UM FCBGA_CPU Comparison " xfId="3109" xr:uid="{00000000-0005-0000-0000-0000BD0C0000}"/>
    <cellStyle name="_WW50MTRX_2_Apr_CPA_PG8_Prescott_Trev1_A9 UM FCBGA_CPU Comparison  2" xfId="3110" xr:uid="{00000000-0005-0000-0000-0000BE0C0000}"/>
    <cellStyle name="_WW50MTRX_2_Apr_CPA_PG8_Prescott_Trev1_A9 UM FCBGA_CPU Comparison  2 2" xfId="3111" xr:uid="{00000000-0005-0000-0000-0000BF0C0000}"/>
    <cellStyle name="_WW50MTRX_2_Apr_CPA_PG8_Prescott_Trev1_A9 UM FCBGA_CPU Comparison _bang chi tiet_ACMV 25-06-2011" xfId="3112" xr:uid="{00000000-0005-0000-0000-0000C00C0000}"/>
    <cellStyle name="_WW50MTRX_2_Apr_CPA_PG8_Prescott_Trev1_A9 UM FCBGA_CPU Comparison _bang chi tiet_ACMV 25-06-2011 2" xfId="3113" xr:uid="{00000000-0005-0000-0000-0000C10C0000}"/>
    <cellStyle name="_WW50MTRX_2_Apr_CPA_PG8_Prescott_Trev1_A9 UM FCBGA_CPU Comparison _bang chi tiet_ACMV 25-06-2011 2 2" xfId="3114" xr:uid="{00000000-0005-0000-0000-0000C20C0000}"/>
    <cellStyle name="_WW50MTRX_2_Apr_CPA_PG8_Prescott_Trev1_A9 UM FCBGA_CPU Comparison _Bill of quantity - cables tray FA - Paragon detail from Tai 011-07-2011" xfId="3115" xr:uid="{00000000-0005-0000-0000-0000C30C0000}"/>
    <cellStyle name="_WW50MTRX_2_Apr_CPA_PG8_Prescott_Trev1_A9 UM FCBGA_CPU Comparison _Bill of quantity - cables tray FA - Paragon detail from Tai 011-07-2011 2" xfId="3116" xr:uid="{00000000-0005-0000-0000-0000C40C0000}"/>
    <cellStyle name="_WW50MTRX_2_Apr_CPA_PG8_Prescott_Trev1_A9 UM FCBGA_CPU Comparison _Bill of quantity - cables tray FA - Paragon detail from Tai 011-07-2011 2 2" xfId="3117" xr:uid="{00000000-0005-0000-0000-0000C50C0000}"/>
    <cellStyle name="_WW50MTRX_2_Apr_CPA_PG8_Prescott_Trev1_A9 UM FCBGA_CPU Comparison _BOQ-Multi Complex-Dien + P&amp;D-(Rev 0 2-7-2011)" xfId="3118" xr:uid="{00000000-0005-0000-0000-0000C60C0000}"/>
    <cellStyle name="_WW50MTRX_2_Apr_CPA_PG8_Prescott_Trev1_A9 UM FCBGA_CPU Comparison _l" xfId="3119" xr:uid="{00000000-0005-0000-0000-0000C70C0000}"/>
    <cellStyle name="_WW50MTRX_2_Apr_CPA_PG8_Prescott_Trev1_A9 UM FCBGA_CPU Comparison _l 2" xfId="10511" xr:uid="{00000000-0005-0000-0000-0000C80C0000}"/>
    <cellStyle name="_WW50MTRX_2_Apr_CPA_PG8_Prescott_Trev1_A9 UM FCBGA_CPU Comparison _l 3" xfId="10512" xr:uid="{00000000-0005-0000-0000-0000C90C0000}"/>
    <cellStyle name="_WW50MTRX_2_Apr_CPA_PG8_Prescott_Trev1_A9 UM FCBGA_CPU Comparison _Nha Khach Thanh Uy- Busway -LS- REV1-29-06" xfId="3120" xr:uid="{00000000-0005-0000-0000-0000CA0C0000}"/>
    <cellStyle name="_WW50MTRX_2_Apr_CPA_PG8_Prescott_Trev1_A9 UM FCBGA_CPU Comparison _quotation QNT-REE-040411 (1)" xfId="3121" xr:uid="{00000000-0005-0000-0000-0000CB0C0000}"/>
    <cellStyle name="_WW50MTRX_2_Apr_CPA_PG8_Prescott_Trev1_A9 UM FCBGA_CPU Comparison _quotation QNT-REE-040411 (1) 2" xfId="3122" xr:uid="{00000000-0005-0000-0000-0000CC0C0000}"/>
    <cellStyle name="_WW50MTRX_2_Apr_CPA_PG8_Prescott_Trev1_A9 UM FCBGA_CPU Comparison _quotation QNT-REE-040411 (1) 2 2" xfId="3123" xr:uid="{00000000-0005-0000-0000-0000CD0C0000}"/>
    <cellStyle name="_WW50MTRX_2_Jan CPA2_A9 UM FCBGA_CPU Comparison " xfId="3124" xr:uid="{00000000-0005-0000-0000-0000CE0C0000}"/>
    <cellStyle name="_WW50MTRX_2_Jan CPA2_A9 UM FCBGA_CPU Comparison  2" xfId="3125" xr:uid="{00000000-0005-0000-0000-0000CF0C0000}"/>
    <cellStyle name="_WW50MTRX_2_Jan CPA2_A9 UM FCBGA_CPU Comparison  2 2" xfId="3126" xr:uid="{00000000-0005-0000-0000-0000D00C0000}"/>
    <cellStyle name="_WW50MTRX_2_Jan CPA2_A9 UM FCBGA_CPU Comparison _bang chi tiet_ACMV 25-06-2011" xfId="3127" xr:uid="{00000000-0005-0000-0000-0000D10C0000}"/>
    <cellStyle name="_WW50MTRX_2_Jan CPA2_A9 UM FCBGA_CPU Comparison _bang chi tiet_ACMV 25-06-2011 2" xfId="3128" xr:uid="{00000000-0005-0000-0000-0000D20C0000}"/>
    <cellStyle name="_WW50MTRX_2_Jan CPA2_A9 UM FCBGA_CPU Comparison _bang chi tiet_ACMV 25-06-2011 2 2" xfId="3129" xr:uid="{00000000-0005-0000-0000-0000D30C0000}"/>
    <cellStyle name="_WW50MTRX_2_Jan CPA2_A9 UM FCBGA_CPU Comparison _Bill of quantity - cables tray FA - Paragon detail from Tai 011-07-2011" xfId="3130" xr:uid="{00000000-0005-0000-0000-0000D40C0000}"/>
    <cellStyle name="_WW50MTRX_2_Jan CPA2_A9 UM FCBGA_CPU Comparison _Bill of quantity - cables tray FA - Paragon detail from Tai 011-07-2011 2" xfId="3131" xr:uid="{00000000-0005-0000-0000-0000D50C0000}"/>
    <cellStyle name="_WW50MTRX_2_Jan CPA2_A9 UM FCBGA_CPU Comparison _Bill of quantity - cables tray FA - Paragon detail from Tai 011-07-2011 2 2" xfId="3132" xr:uid="{00000000-0005-0000-0000-0000D60C0000}"/>
    <cellStyle name="_WW50MTRX_2_Jan CPA2_A9 UM FCBGA_CPU Comparison _BOQ-Multi Complex-Dien + P&amp;D-(Rev 0 2-7-2011)" xfId="3133" xr:uid="{00000000-0005-0000-0000-0000D70C0000}"/>
    <cellStyle name="_WW50MTRX_2_Jan CPA2_A9 UM FCBGA_CPU Comparison _l" xfId="3134" xr:uid="{00000000-0005-0000-0000-0000D80C0000}"/>
    <cellStyle name="_WW50MTRX_2_Jan CPA2_A9 UM FCBGA_CPU Comparison _l 2" xfId="10513" xr:uid="{00000000-0005-0000-0000-0000D90C0000}"/>
    <cellStyle name="_WW50MTRX_2_Jan CPA2_A9 UM FCBGA_CPU Comparison _l 3" xfId="10514" xr:uid="{00000000-0005-0000-0000-0000DA0C0000}"/>
    <cellStyle name="_WW50MTRX_2_Jan CPA2_A9 UM FCBGA_CPU Comparison _Nha Khach Thanh Uy- Busway -LS- REV1-29-06" xfId="3135" xr:uid="{00000000-0005-0000-0000-0000DB0C0000}"/>
    <cellStyle name="_WW50MTRX_2_Jan CPA2_A9 UM FCBGA_CPU Comparison _quotation QNT-REE-040411 (1)" xfId="3136" xr:uid="{00000000-0005-0000-0000-0000DC0C0000}"/>
    <cellStyle name="_WW50MTRX_2_Jan CPA2_A9 UM FCBGA_CPU Comparison _quotation QNT-REE-040411 (1) 2" xfId="3137" xr:uid="{00000000-0005-0000-0000-0000DD0C0000}"/>
    <cellStyle name="_WW50MTRX_2_Jan CPA2_A9 UM FCBGA_CPU Comparison _quotation QNT-REE-040411 (1) 2 2" xfId="3138" xr:uid="{00000000-0005-0000-0000-0000DE0C0000}"/>
    <cellStyle name="_WW50MTRX_2_Oct CPA Eqpt List approved_A9 UM FCBGA_CPU Comparison " xfId="3139" xr:uid="{00000000-0005-0000-0000-0000DF0C0000}"/>
    <cellStyle name="_WW50MTRX_2_Oct CPA Eqpt List approved_A9 UM FCBGA_CPU Comparison  2" xfId="3140" xr:uid="{00000000-0005-0000-0000-0000E00C0000}"/>
    <cellStyle name="_WW50MTRX_2_Oct CPA Eqpt List approved_A9 UM FCBGA_CPU Comparison  2 2" xfId="3141" xr:uid="{00000000-0005-0000-0000-0000E10C0000}"/>
    <cellStyle name="_WW50MTRX_2_Oct CPA Eqpt List approved_A9 UM FCBGA_CPU Comparison _bang chi tiet_ACMV 25-06-2011" xfId="3142" xr:uid="{00000000-0005-0000-0000-0000E20C0000}"/>
    <cellStyle name="_WW50MTRX_2_Oct CPA Eqpt List approved_A9 UM FCBGA_CPU Comparison _bang chi tiet_ACMV 25-06-2011 2" xfId="3143" xr:uid="{00000000-0005-0000-0000-0000E30C0000}"/>
    <cellStyle name="_WW50MTRX_2_Oct CPA Eqpt List approved_A9 UM FCBGA_CPU Comparison _bang chi tiet_ACMV 25-06-2011 2 2" xfId="3144" xr:uid="{00000000-0005-0000-0000-0000E40C0000}"/>
    <cellStyle name="_WW50MTRX_2_Oct CPA Eqpt List approved_A9 UM FCBGA_CPU Comparison _Bill of quantity - cables tray FA - Paragon detail from Tai 011-07-2011" xfId="3145" xr:uid="{00000000-0005-0000-0000-0000E50C0000}"/>
    <cellStyle name="_WW50MTRX_2_Oct CPA Eqpt List approved_A9 UM FCBGA_CPU Comparison _Bill of quantity - cables tray FA - Paragon detail from Tai 011-07-2011 2" xfId="3146" xr:uid="{00000000-0005-0000-0000-0000E60C0000}"/>
    <cellStyle name="_WW50MTRX_2_Oct CPA Eqpt List approved_A9 UM FCBGA_CPU Comparison _Bill of quantity - cables tray FA - Paragon detail from Tai 011-07-2011 2 2" xfId="3147" xr:uid="{00000000-0005-0000-0000-0000E70C0000}"/>
    <cellStyle name="_WW50MTRX_2_Oct CPA Eqpt List approved_A9 UM FCBGA_CPU Comparison _BOQ-Multi Complex-Dien + P&amp;D-(Rev 0 2-7-2011)" xfId="3148" xr:uid="{00000000-0005-0000-0000-0000E80C0000}"/>
    <cellStyle name="_WW50MTRX_2_Oct CPA Eqpt List approved_A9 UM FCBGA_CPU Comparison _l" xfId="3149" xr:uid="{00000000-0005-0000-0000-0000E90C0000}"/>
    <cellStyle name="_WW50MTRX_2_Oct CPA Eqpt List approved_A9 UM FCBGA_CPU Comparison _l 2" xfId="10515" xr:uid="{00000000-0005-0000-0000-0000EA0C0000}"/>
    <cellStyle name="_WW50MTRX_2_Oct CPA Eqpt List approved_A9 UM FCBGA_CPU Comparison _l 3" xfId="10516" xr:uid="{00000000-0005-0000-0000-0000EB0C0000}"/>
    <cellStyle name="_WW50MTRX_2_Oct CPA Eqpt List approved_A9 UM FCBGA_CPU Comparison _Nha Khach Thanh Uy- Busway -LS- REV1-29-06" xfId="3150" xr:uid="{00000000-0005-0000-0000-0000EC0C0000}"/>
    <cellStyle name="_WW50MTRX_2_Oct CPA Eqpt List approved_A9 UM FCBGA_CPU Comparison _quotation QNT-REE-040411 (1)" xfId="3151" xr:uid="{00000000-0005-0000-0000-0000ED0C0000}"/>
    <cellStyle name="_WW50MTRX_2_Oct CPA Eqpt List approved_A9 UM FCBGA_CPU Comparison _quotation QNT-REE-040411 (1) 2" xfId="3152" xr:uid="{00000000-0005-0000-0000-0000EE0C0000}"/>
    <cellStyle name="_WW50MTRX_2_Oct CPA Eqpt List approved_A9 UM FCBGA_CPU Comparison _quotation QNT-REE-040411 (1) 2 2" xfId="3153" xr:uid="{00000000-0005-0000-0000-0000EF0C0000}"/>
    <cellStyle name="_WW50MTRX_2_trade ratio wkng file_A9 UM FCBGA_CPU Comparison " xfId="3154" xr:uid="{00000000-0005-0000-0000-0000F00C0000}"/>
    <cellStyle name="_WW50MTRX_2_trade ratio wkng file_A9 UM FCBGA_CPU Comparison  2" xfId="3155" xr:uid="{00000000-0005-0000-0000-0000F10C0000}"/>
    <cellStyle name="_WW50MTRX_2_trade ratio wkng file_A9 UM FCBGA_CPU Comparison  2 2" xfId="3156" xr:uid="{00000000-0005-0000-0000-0000F20C0000}"/>
    <cellStyle name="_WW50MTRX_2_trade ratio wkng file_A9 UM FCBGA_CPU Comparison _bang chi tiet_ACMV 25-06-2011" xfId="3157" xr:uid="{00000000-0005-0000-0000-0000F30C0000}"/>
    <cellStyle name="_WW50MTRX_2_trade ratio wkng file_A9 UM FCBGA_CPU Comparison _bang chi tiet_ACMV 25-06-2011 2" xfId="3158" xr:uid="{00000000-0005-0000-0000-0000F40C0000}"/>
    <cellStyle name="_WW50MTRX_2_trade ratio wkng file_A9 UM FCBGA_CPU Comparison _bang chi tiet_ACMV 25-06-2011 2 2" xfId="3159" xr:uid="{00000000-0005-0000-0000-0000F50C0000}"/>
    <cellStyle name="_WW50MTRX_2_trade ratio wkng file_A9 UM FCBGA_CPU Comparison _Bill of quantity - cables tray FA - Paragon detail from Tai 011-07-2011" xfId="3160" xr:uid="{00000000-0005-0000-0000-0000F60C0000}"/>
    <cellStyle name="_WW50MTRX_2_trade ratio wkng file_A9 UM FCBGA_CPU Comparison _Bill of quantity - cables tray FA - Paragon detail from Tai 011-07-2011 2" xfId="3161" xr:uid="{00000000-0005-0000-0000-0000F70C0000}"/>
    <cellStyle name="_WW50MTRX_2_trade ratio wkng file_A9 UM FCBGA_CPU Comparison _Bill of quantity - cables tray FA - Paragon detail from Tai 011-07-2011 2 2" xfId="3162" xr:uid="{00000000-0005-0000-0000-0000F80C0000}"/>
    <cellStyle name="_WW50MTRX_2_trade ratio wkng file_A9 UM FCBGA_CPU Comparison _BOQ-Multi Complex-Dien + P&amp;D-(Rev 0 2-7-2011)" xfId="3163" xr:uid="{00000000-0005-0000-0000-0000F90C0000}"/>
    <cellStyle name="_WW50MTRX_2_trade ratio wkng file_A9 UM FCBGA_CPU Comparison _l" xfId="3164" xr:uid="{00000000-0005-0000-0000-0000FA0C0000}"/>
    <cellStyle name="_WW50MTRX_2_trade ratio wkng file_A9 UM FCBGA_CPU Comparison _l 2" xfId="10517" xr:uid="{00000000-0005-0000-0000-0000FB0C0000}"/>
    <cellStyle name="_WW50MTRX_2_trade ratio wkng file_A9 UM FCBGA_CPU Comparison _l 3" xfId="10518" xr:uid="{00000000-0005-0000-0000-0000FC0C0000}"/>
    <cellStyle name="_WW50MTRX_2_trade ratio wkng file_A9 UM FCBGA_CPU Comparison _Nha Khach Thanh Uy- Busway -LS- REV1-29-06" xfId="3165" xr:uid="{00000000-0005-0000-0000-0000FD0C0000}"/>
    <cellStyle name="_WW50MTRX_2_trade ratio wkng file_A9 UM FCBGA_CPU Comparison _quotation QNT-REE-040411 (1)" xfId="3166" xr:uid="{00000000-0005-0000-0000-0000FE0C0000}"/>
    <cellStyle name="_WW50MTRX_2_trade ratio wkng file_A9 UM FCBGA_CPU Comparison _quotation QNT-REE-040411 (1) 2" xfId="3167" xr:uid="{00000000-0005-0000-0000-0000FF0C0000}"/>
    <cellStyle name="_WW50MTRX_2_trade ratio wkng file_A9 UM FCBGA_CPU Comparison _quotation QNT-REE-040411 (1) 2 2" xfId="3168" xr:uid="{00000000-0005-0000-0000-0000000D0000}"/>
    <cellStyle name="_WW50MTRX_3_Apr_CPA_PG8_Prescott_Trev1_A9 UM FCBGA_CPU Comparison " xfId="3169" xr:uid="{00000000-0005-0000-0000-0000010D0000}"/>
    <cellStyle name="_WW50MTRX_3_Apr_CPA_PG8_Prescott_Trev1_A9 UM FCBGA_CPU Comparison  2" xfId="3170" xr:uid="{00000000-0005-0000-0000-0000020D0000}"/>
    <cellStyle name="_WW50MTRX_3_Apr_CPA_PG8_Prescott_Trev1_A9 UM FCBGA_CPU Comparison _bang chi tiet_ACMV 25-06-2011" xfId="3171" xr:uid="{00000000-0005-0000-0000-0000030D0000}"/>
    <cellStyle name="_WW50MTRX_3_Apr_CPA_PG8_Prescott_Trev1_A9 UM FCBGA_CPU Comparison _Bill of quantity - cables tray FA - Paragon detail from Tai 011-07-2011" xfId="3172" xr:uid="{00000000-0005-0000-0000-0000040D0000}"/>
    <cellStyle name="_WW50MTRX_3_Apr_CPA_PG8_Prescott_Trev1_A9 UM FCBGA_CPU Comparison _BOQ-Big C Hai Duong-Electrical-(Final  30-5-2011)-Gia ban HS" xfId="3173" xr:uid="{00000000-0005-0000-0000-0000050D0000}"/>
    <cellStyle name="_WW50MTRX_3_Apr_CPA_PG8_Prescott_Trev1_A9 UM FCBGA_CPU Comparison _quotation QNT-REE-040411 (1)" xfId="3174" xr:uid="{00000000-0005-0000-0000-0000060D0000}"/>
    <cellStyle name="_WW50MTRX_3_Jan CPA2_A9 UM FCBGA_CPU Comparison " xfId="3175" xr:uid="{00000000-0005-0000-0000-0000070D0000}"/>
    <cellStyle name="_WW50MTRX_3_Jan CPA2_A9 UM FCBGA_CPU Comparison  2" xfId="3176" xr:uid="{00000000-0005-0000-0000-0000080D0000}"/>
    <cellStyle name="_WW50MTRX_3_Jan CPA2_A9 UM FCBGA_CPU Comparison _bang chi tiet_ACMV 25-06-2011" xfId="3177" xr:uid="{00000000-0005-0000-0000-0000090D0000}"/>
    <cellStyle name="_WW50MTRX_3_Jan CPA2_A9 UM FCBGA_CPU Comparison _Bill of quantity - cables tray FA - Paragon detail from Tai 011-07-2011" xfId="3178" xr:uid="{00000000-0005-0000-0000-00000A0D0000}"/>
    <cellStyle name="_WW50MTRX_3_Jan CPA2_A9 UM FCBGA_CPU Comparison _BOQ-Big C Hai Duong-Electrical-(Final  30-5-2011)-Gia ban HS" xfId="3179" xr:uid="{00000000-0005-0000-0000-00000B0D0000}"/>
    <cellStyle name="_WW50MTRX_3_Jan CPA2_A9 UM FCBGA_CPU Comparison _quotation QNT-REE-040411 (1)" xfId="3180" xr:uid="{00000000-0005-0000-0000-00000C0D0000}"/>
    <cellStyle name="_WW50MTRX_3_NGBI Roll-uprev4_all data1_A9 UM FCBGA_CPU Comparison " xfId="3181" xr:uid="{00000000-0005-0000-0000-00000D0D0000}"/>
    <cellStyle name="_WW50MTRX_3_NGBI Roll-uprev4_all data1_A9 UM FCBGA_CPU Comparison  2" xfId="3182" xr:uid="{00000000-0005-0000-0000-00000E0D0000}"/>
    <cellStyle name="_WW50MTRX_3_NGBI Roll-uprev4_all data1_A9 UM FCBGA_CPU Comparison _bang chi tiet_ACMV 25-06-2011" xfId="3183" xr:uid="{00000000-0005-0000-0000-00000F0D0000}"/>
    <cellStyle name="_WW50MTRX_3_NGBI Roll-uprev4_all data1_A9 UM FCBGA_CPU Comparison _Bill of quantity - cables tray FA - Paragon detail from Tai 011-07-2011" xfId="3184" xr:uid="{00000000-0005-0000-0000-0000100D0000}"/>
    <cellStyle name="_WW50MTRX_3_NGBI Roll-uprev4_all data1_A9 UM FCBGA_CPU Comparison _BOQ-Big C Hai Duong-Electrical-(Final  30-5-2011)-Gia ban HS" xfId="3185" xr:uid="{00000000-0005-0000-0000-0000110D0000}"/>
    <cellStyle name="_WW50MTRX_3_NGBI Roll-uprev4_all data1_A9 UM FCBGA_CPU Comparison _quotation QNT-REE-040411 (1)" xfId="3186" xr:uid="{00000000-0005-0000-0000-0000120D0000}"/>
    <cellStyle name="_WW50MTRX_3_Oct CPA Eqpt List approved_A9 UM FCBGA_CPU Comparison " xfId="3187" xr:uid="{00000000-0005-0000-0000-0000130D0000}"/>
    <cellStyle name="_WW50MTRX_3_Oct CPA Eqpt List approved_A9 UM FCBGA_CPU Comparison  2" xfId="3188" xr:uid="{00000000-0005-0000-0000-0000140D0000}"/>
    <cellStyle name="_WW50MTRX_3_Oct CPA Eqpt List approved_A9 UM FCBGA_CPU Comparison _bang chi tiet_ACMV 25-06-2011" xfId="3189" xr:uid="{00000000-0005-0000-0000-0000150D0000}"/>
    <cellStyle name="_WW50MTRX_3_Oct CPA Eqpt List approved_A9 UM FCBGA_CPU Comparison _Bill of quantity - cables tray FA - Paragon detail from Tai 011-07-2011" xfId="3190" xr:uid="{00000000-0005-0000-0000-0000160D0000}"/>
    <cellStyle name="_WW50MTRX_3_Oct CPA Eqpt List approved_A9 UM FCBGA_CPU Comparison _BOQ-Big C Hai Duong-Electrical-(Final  30-5-2011)-Gia ban HS" xfId="3191" xr:uid="{00000000-0005-0000-0000-0000170D0000}"/>
    <cellStyle name="_WW50MTRX_3_Oct CPA Eqpt List approved_A9 UM FCBGA_CPU Comparison _quotation QNT-REE-040411 (1)" xfId="3192" xr:uid="{00000000-0005-0000-0000-0000180D0000}"/>
    <cellStyle name="_WW50MTRX_3_trade ratio wkng file_A9 UM FCBGA_CPU Comparison " xfId="3193" xr:uid="{00000000-0005-0000-0000-0000190D0000}"/>
    <cellStyle name="_WW50MTRX_3_trade ratio wkng file_A9 UM FCBGA_CPU Comparison  2" xfId="3194" xr:uid="{00000000-0005-0000-0000-00001A0D0000}"/>
    <cellStyle name="_WW50MTRX_3_trade ratio wkng file_A9 UM FCBGA_CPU Comparison _bang chi tiet_ACMV 25-06-2011" xfId="3195" xr:uid="{00000000-0005-0000-0000-00001B0D0000}"/>
    <cellStyle name="_WW50MTRX_3_trade ratio wkng file_A9 UM FCBGA_CPU Comparison _Bill of quantity - cables tray FA - Paragon detail from Tai 011-07-2011" xfId="3196" xr:uid="{00000000-0005-0000-0000-00001C0D0000}"/>
    <cellStyle name="_WW50MTRX_3_trade ratio wkng file_A9 UM FCBGA_CPU Comparison _BOQ-Big C Hai Duong-Electrical-(Final  30-5-2011)-Gia ban HS" xfId="3197" xr:uid="{00000000-0005-0000-0000-00001D0D0000}"/>
    <cellStyle name="_WW50MTRX_3_trade ratio wkng file_A9 UM FCBGA_CPU Comparison _quotation QNT-REE-040411 (1)" xfId="3198" xr:uid="{00000000-0005-0000-0000-00001E0D0000}"/>
    <cellStyle name="_ÿÿÿÿÿ" xfId="3199" xr:uid="{00000000-0005-0000-0000-00001F0D0000}"/>
    <cellStyle name="_단가표" xfId="3200" xr:uid="{00000000-0005-0000-0000-0000200D0000}"/>
    <cellStyle name="~1" xfId="3201" xr:uid="{00000000-0005-0000-0000-0000210D0000}"/>
    <cellStyle name="~1?_x000a_Comma [0]_I.1?b_x000a_Comma [0]_I.3?b_x000c_Comma [0]_II?_x0012_Comma [0]_larou" xfId="3202" xr:uid="{00000000-0005-0000-0000-0000220D0000}"/>
    <cellStyle name="~1?_x000d_Comma [0]_I.1?b_x000d_Comma [0]_I.3?b_x000c_Comma [0]_II?_x0012_Comma [0]_larou" xfId="3203" xr:uid="{00000000-0005-0000-0000-0000230D0000}"/>
    <cellStyle name="_x0001_¨c^ " xfId="3204" xr:uid="{00000000-0005-0000-0000-0000240D0000}"/>
    <cellStyle name="_x0001_¨c^[" xfId="3205" xr:uid="{00000000-0005-0000-0000-0000250D0000}"/>
    <cellStyle name="_x0001_¨c^_" xfId="3206" xr:uid="{00000000-0005-0000-0000-0000260D0000}"/>
    <cellStyle name="_x0001_¨Œc^ " xfId="3207" xr:uid="{00000000-0005-0000-0000-0000270D0000}"/>
    <cellStyle name="_x0001_¨Œc^[" xfId="3208" xr:uid="{00000000-0005-0000-0000-0000280D0000}"/>
    <cellStyle name="_x0001_¨Œc^_" xfId="3209" xr:uid="{00000000-0005-0000-0000-0000290D0000}"/>
    <cellStyle name="’Ê‰Ý [0.00]_laroux" xfId="14513" xr:uid="{00000000-0005-0000-0000-00002A0D0000}"/>
    <cellStyle name="’Ê‰Ý_laroux" xfId="14514" xr:uid="{00000000-0005-0000-0000-00002B0D0000}"/>
    <cellStyle name="_x0001_µÑTÖ " xfId="3210" xr:uid="{00000000-0005-0000-0000-00002C0D0000}"/>
    <cellStyle name="_x0001_µÑTÖ_" xfId="3211" xr:uid="{00000000-0005-0000-0000-00002D0D0000}"/>
    <cellStyle name="•W?_Format" xfId="3212" xr:uid="{00000000-0005-0000-0000-00002E0D0000}"/>
    <cellStyle name="•W€_¯–ì" xfId="14515" xr:uid="{00000000-0005-0000-0000-00002F0D0000}"/>
    <cellStyle name="•W_’·Šú‰p•¶" xfId="3213" xr:uid="{00000000-0005-0000-0000-0000300D0000}"/>
    <cellStyle name="\¦ÏÝÌnCp[N" xfId="3214" xr:uid="{00000000-0005-0000-0000-0000310D0000}"/>
    <cellStyle name="aOe [0.00]_s-ns-bq" xfId="3215" xr:uid="{00000000-0005-0000-0000-0000320D0000}"/>
    <cellStyle name="aOe_s-ns-bq" xfId="3216" xr:uid="{00000000-0005-0000-0000-0000330D0000}"/>
    <cellStyle name="EY [0.00]_CONDITION (2)" xfId="3217" xr:uid="{00000000-0005-0000-0000-0000340D0000}"/>
    <cellStyle name="EY_CONDITION (2)" xfId="3218" xr:uid="{00000000-0005-0000-0000-0000350D0000}"/>
    <cellStyle name="nCp[N" xfId="3219" xr:uid="{00000000-0005-0000-0000-0000360D0000}"/>
    <cellStyle name="W_D8" xfId="3220" xr:uid="{00000000-0005-0000-0000-0000370D0000}"/>
    <cellStyle name="0" xfId="3221" xr:uid="{00000000-0005-0000-0000-0000380D0000}"/>
    <cellStyle name="0%" xfId="14516" xr:uid="{00000000-0005-0000-0000-0000390D0000}"/>
    <cellStyle name="0,0" xfId="3222" xr:uid="{00000000-0005-0000-0000-00003A0D0000}"/>
    <cellStyle name="0,0_x000a__x000a_NA_x000a__x000a_" xfId="3223" xr:uid="{00000000-0005-0000-0000-00003B0D0000}"/>
    <cellStyle name="0,0_x000d__x000a_NA_x000d__x000a_" xfId="3224" xr:uid="{00000000-0005-0000-0000-00003C0D0000}"/>
    <cellStyle name="0,0_x000d__x000a_NA_x000d__x000a_ 2" xfId="3225" xr:uid="{00000000-0005-0000-0000-00003D0D0000}"/>
    <cellStyle name="0,0_x000d__x000a_NA_x000d__x000a_ 3" xfId="10478" xr:uid="{00000000-0005-0000-0000-00003E0D0000}"/>
    <cellStyle name="0.0" xfId="3226" xr:uid="{00000000-0005-0000-0000-00003F0D0000}"/>
    <cellStyle name="0.0 2" xfId="3227" xr:uid="{00000000-0005-0000-0000-0000400D0000}"/>
    <cellStyle name="0.0 2 2" xfId="10519" xr:uid="{00000000-0005-0000-0000-0000410D0000}"/>
    <cellStyle name="0.0 2 2 2" xfId="10520" xr:uid="{00000000-0005-0000-0000-0000420D0000}"/>
    <cellStyle name="0.0 2 3" xfId="10521" xr:uid="{00000000-0005-0000-0000-0000430D0000}"/>
    <cellStyle name="0.0 2 4" xfId="10522" xr:uid="{00000000-0005-0000-0000-0000440D0000}"/>
    <cellStyle name="0.0%" xfId="14517" xr:uid="{00000000-0005-0000-0000-0000450D0000}"/>
    <cellStyle name="0.00" xfId="3228" xr:uid="{00000000-0005-0000-0000-0000460D0000}"/>
    <cellStyle name="0.00 2" xfId="3229" xr:uid="{00000000-0005-0000-0000-0000470D0000}"/>
    <cellStyle name="0.00 2 2" xfId="10523" xr:uid="{00000000-0005-0000-0000-0000480D0000}"/>
    <cellStyle name="0.00 2 2 2" xfId="10524" xr:uid="{00000000-0005-0000-0000-0000490D0000}"/>
    <cellStyle name="0.00 2 3" xfId="10525" xr:uid="{00000000-0005-0000-0000-00004A0D0000}"/>
    <cellStyle name="0.00 2 4" xfId="10526" xr:uid="{00000000-0005-0000-0000-00004B0D0000}"/>
    <cellStyle name="0.00 3" xfId="10527" xr:uid="{00000000-0005-0000-0000-00004C0D0000}"/>
    <cellStyle name="0.00 3 2" xfId="10528" xr:uid="{00000000-0005-0000-0000-00004D0D0000}"/>
    <cellStyle name="0.00 4" xfId="10529" xr:uid="{00000000-0005-0000-0000-00004E0D0000}"/>
    <cellStyle name="0.00 5" xfId="10530" xr:uid="{00000000-0005-0000-0000-00004F0D0000}"/>
    <cellStyle name="0.00%" xfId="14518" xr:uid="{00000000-0005-0000-0000-0000500D0000}"/>
    <cellStyle name="0.000%" xfId="14519" xr:uid="{00000000-0005-0000-0000-0000510D0000}"/>
    <cellStyle name="0.0000%" xfId="14520" xr:uid="{00000000-0005-0000-0000-0000520D0000}"/>
    <cellStyle name="0_2---DATA_SAIN GOBAIN (THEP)_Option 1-British Standard" xfId="3230" xr:uid="{00000000-0005-0000-0000-0000530D0000}"/>
    <cellStyle name="0_Book1" xfId="3231" xr:uid="{00000000-0005-0000-0000-0000540D0000}"/>
    <cellStyle name="0_Book1_사직자이내역세대내역 견적요청서" xfId="3232" xr:uid="{00000000-0005-0000-0000-0000550D0000}"/>
    <cellStyle name="0_Book1_사직자이내역영역051114" xfId="3233" xr:uid="{00000000-0005-0000-0000-0000560D0000}"/>
    <cellStyle name="0_Book1_세대내역 견적요청서0501128" xfId="3234" xr:uid="{00000000-0005-0000-0000-0000570D0000}"/>
    <cellStyle name="1" xfId="3235" xr:uid="{00000000-0005-0000-0000-0000580D0000}"/>
    <cellStyle name="1?b_x000a_Comma [0]_CPK?b_x0011_Comma [0]_CP" xfId="3236" xr:uid="{00000000-0005-0000-0000-0000590D0000}"/>
    <cellStyle name="1?b_x000d_Comma [0]_CPK?b_x0011_Comma [0]_CP" xfId="3237" xr:uid="{00000000-0005-0000-0000-00005A0D0000}"/>
    <cellStyle name="1_2)Ten Clarification" xfId="3238" xr:uid="{00000000-0005-0000-0000-00005B0D0000}"/>
    <cellStyle name="1_2)Ten Clarification_M_E Services _ Education" xfId="3239" xr:uid="{00000000-0005-0000-0000-00005C0D0000}"/>
    <cellStyle name="1_2)Ten Clarification_M_E Services _ Education_1" xfId="3240" xr:uid="{00000000-0005-0000-0000-00005D0D0000}"/>
    <cellStyle name="1_2---DATA_SAIN GOBAIN (THEP)_Option 1-British Standard" xfId="3241" xr:uid="{00000000-0005-0000-0000-00005E0D0000}"/>
    <cellStyle name="1_7 noi 48 goi C5 9 vi na" xfId="3242" xr:uid="{00000000-0005-0000-0000-00005F0D0000}"/>
    <cellStyle name="1_Bill of quantity - cables tray FA - Paragon detail from Tai 011-07-2011" xfId="3243" xr:uid="{00000000-0005-0000-0000-0000600D0000}"/>
    <cellStyle name="1_Book1" xfId="3244" xr:uid="{00000000-0005-0000-0000-0000610D0000}"/>
    <cellStyle name="1_BOQ 3A Mk 27 June.06" xfId="3245" xr:uid="{00000000-0005-0000-0000-0000620D0000}"/>
    <cellStyle name="1_BOQ 3A Mk 27 June.06_M_E Services _ Education" xfId="3246" xr:uid="{00000000-0005-0000-0000-0000630D0000}"/>
    <cellStyle name="1_BOQ 3A Mk 27 June.06_M_E Services _ Education_1" xfId="3247" xr:uid="{00000000-0005-0000-0000-0000640D0000}"/>
    <cellStyle name="1_BOQ 3A Net&amp;Mk26 May.05" xfId="3248" xr:uid="{00000000-0005-0000-0000-0000650D0000}"/>
    <cellStyle name="1_BOQ 3A Net&amp;Mk26 May.05_M_E Services _ Education" xfId="3249" xr:uid="{00000000-0005-0000-0000-0000660D0000}"/>
    <cellStyle name="1_BOQ 3A Net&amp;Mk26 May.05_M_E Services _ Education_1" xfId="3250" xr:uid="{00000000-0005-0000-0000-0000670D0000}"/>
    <cellStyle name="1_BOQ MK&amp;NET" xfId="3251" xr:uid="{00000000-0005-0000-0000-0000680D0000}"/>
    <cellStyle name="1_BOQ MK&amp;NET_M_E Services _ Education" xfId="3252" xr:uid="{00000000-0005-0000-0000-0000690D0000}"/>
    <cellStyle name="1_BOQ MK&amp;NET_M_E Services _ Education_1" xfId="3253" xr:uid="{00000000-0005-0000-0000-00006A0D0000}"/>
    <cellStyle name="1_BOQ MK&amp;NET_M_E Services _ Education_1_submit DHND 5%" xfId="3254" xr:uid="{00000000-0005-0000-0000-00006B0D0000}"/>
    <cellStyle name="1_BOQ MK&amp;NET_M_E Services _ Education_submit DHND 5%" xfId="3255" xr:uid="{00000000-0005-0000-0000-00006C0D0000}"/>
    <cellStyle name="1_BOQ MK&amp;NET_submit DHND 5%" xfId="3256" xr:uid="{00000000-0005-0000-0000-00006D0D0000}"/>
    <cellStyle name="1_BOQ submit.Mechanical Kumho" xfId="3257" xr:uid="{00000000-0005-0000-0000-00006E0D0000}"/>
    <cellStyle name="1_BOQ submit.Mechanical Kumho_M_E Services _ Education" xfId="3258" xr:uid="{00000000-0005-0000-0000-00006F0D0000}"/>
    <cellStyle name="1_BOQ submit.Mechanical Kumho_M_E Services _ Education_1" xfId="3259" xr:uid="{00000000-0005-0000-0000-0000700D0000}"/>
    <cellStyle name="1_BQ busduct" xfId="3260" xr:uid="{00000000-0005-0000-0000-0000710D0000}"/>
    <cellStyle name="1_BQ busduct_M_E Services _ Education" xfId="3261" xr:uid="{00000000-0005-0000-0000-0000720D0000}"/>
    <cellStyle name="1_BQ busduct_M_E Services _ Education_1" xfId="3262" xr:uid="{00000000-0005-0000-0000-0000730D0000}"/>
    <cellStyle name="1_Busduct comparision Fr To" xfId="3263" xr:uid="{00000000-0005-0000-0000-0000740D0000}"/>
    <cellStyle name="1_Busduct comparision Fr To_M_E Services _ Education" xfId="3264" xr:uid="{00000000-0005-0000-0000-0000750D0000}"/>
    <cellStyle name="1_Busduct comparision Fr To_M_E Services _ Education_1" xfId="3265" xr:uid="{00000000-0005-0000-0000-0000760D0000}"/>
    <cellStyle name="1_Danh muc vat lieu - Nha_de_xe" xfId="3266" xr:uid="{00000000-0005-0000-0000-0000770D0000}"/>
    <cellStyle name="1_FidecoThaodien-Elect(Net)-16.June, 06" xfId="3267" xr:uid="{00000000-0005-0000-0000-0000780D0000}"/>
    <cellStyle name="1_FidecoThaodien-Elect(Net)-16.June, 06_M_E Services _ Education" xfId="3268" xr:uid="{00000000-0005-0000-0000-0000790D0000}"/>
    <cellStyle name="1_FidecoThaodien-Elect(Net)-16.June, 06_M_E Services _ Education_1" xfId="3269" xr:uid="{00000000-0005-0000-0000-00007A0D0000}"/>
    <cellStyle name="1_FLOOR BREAKDOWN" xfId="3270" xr:uid="{00000000-0005-0000-0000-00007B0D0000}"/>
    <cellStyle name="1_Form" xfId="3271" xr:uid="{00000000-0005-0000-0000-00007C0D0000}"/>
    <cellStyle name="1_Form_M_E Services _ Education" xfId="3272" xr:uid="{00000000-0005-0000-0000-00007D0D0000}"/>
    <cellStyle name="1_Form_M_E Services _ Education_1" xfId="3273" xr:uid="{00000000-0005-0000-0000-00007E0D0000}"/>
    <cellStyle name="1_M_E Services _ Education" xfId="3274" xr:uid="{00000000-0005-0000-0000-00007F0D0000}"/>
    <cellStyle name="1_M_E Services _ Education_1" xfId="3275" xr:uid="{00000000-0005-0000-0000-0000800D0000}"/>
    <cellStyle name="1_M_E Services _ Education_1_submit DHND 5%" xfId="3276" xr:uid="{00000000-0005-0000-0000-0000810D0000}"/>
    <cellStyle name="1_M_E Services _ Education_submit DHND 5%" xfId="3277" xr:uid="{00000000-0005-0000-0000-0000820D0000}"/>
    <cellStyle name="1_MIDEA-NET-COST" xfId="3278" xr:uid="{00000000-0005-0000-0000-0000830D0000}"/>
    <cellStyle name="1_MIDEA-NET-COST_M_E Services _ Education" xfId="3279" xr:uid="{00000000-0005-0000-0000-0000840D0000}"/>
    <cellStyle name="1_MIDEA-NET-COST_M_E Services _ Education_1" xfId="3280" xr:uid="{00000000-0005-0000-0000-0000850D0000}"/>
    <cellStyle name="1_RFI" xfId="3281" xr:uid="{00000000-0005-0000-0000-0000860D0000}"/>
    <cellStyle name="1_RFI_M_E Services _ Education" xfId="3282" xr:uid="{00000000-0005-0000-0000-0000870D0000}"/>
    <cellStyle name="1_RFI_M_E Services _ Education_1" xfId="3283" xr:uid="{00000000-0005-0000-0000-0000880D0000}"/>
    <cellStyle name="1_RFI-1" xfId="3284" xr:uid="{00000000-0005-0000-0000-0000890D0000}"/>
    <cellStyle name="1_RFI-1_M_E Services _ Education" xfId="3285" xr:uid="{00000000-0005-0000-0000-00008A0D0000}"/>
    <cellStyle name="1_RFI-1_M_E Services _ Education_1" xfId="3286" xr:uid="{00000000-0005-0000-0000-00008B0D0000}"/>
    <cellStyle name="1_SHORING QUANTITY( TAN DA)" xfId="3287" xr:uid="{00000000-0005-0000-0000-00008C0D0000}"/>
    <cellStyle name="1_submit DHND 5%" xfId="3288" xr:uid="{00000000-0005-0000-0000-00008D0D0000}"/>
    <cellStyle name="1_TanDaPhanThan" xfId="3289" xr:uid="{00000000-0005-0000-0000-00008E0D0000}"/>
    <cellStyle name="_x0001_1¼„½(" xfId="3290" xr:uid="{00000000-0005-0000-0000-00008F0D0000}"/>
    <cellStyle name="_x0001_1¼½(" xfId="3291" xr:uid="{00000000-0005-0000-0000-0000900D0000}"/>
    <cellStyle name="15" xfId="3292" xr:uid="{00000000-0005-0000-0000-0000910D0000}"/>
    <cellStyle name="18" xfId="3293" xr:uid="{00000000-0005-0000-0000-0000920D0000}"/>
    <cellStyle name="18 2" xfId="3294" xr:uid="{00000000-0005-0000-0000-0000930D0000}"/>
    <cellStyle name="18 2 2" xfId="10078" xr:uid="{00000000-0005-0000-0000-0000940D0000}"/>
    <cellStyle name="18 2 2 2" xfId="10531" xr:uid="{00000000-0005-0000-0000-0000950D0000}"/>
    <cellStyle name="18 2 3" xfId="10532" xr:uid="{00000000-0005-0000-0000-0000960D0000}"/>
    <cellStyle name="18 3" xfId="10079" xr:uid="{00000000-0005-0000-0000-0000970D0000}"/>
    <cellStyle name="18 3 2" xfId="10533" xr:uid="{00000000-0005-0000-0000-0000980D0000}"/>
    <cellStyle name="18 4" xfId="10534" xr:uid="{00000000-0005-0000-0000-0000990D0000}"/>
    <cellStyle name="¹eºÐA² [0]" xfId="14521" xr:uid="{00000000-0005-0000-0000-00009A0D0000}"/>
    <cellStyle name="¹eºÐA² [2]" xfId="14522" xr:uid="{00000000-0005-0000-0000-00009B0D0000}"/>
    <cellStyle name="¹éºÐÀ²_      " xfId="3295" xr:uid="{00000000-0005-0000-0000-00009C0D0000}"/>
    <cellStyle name="2" xfId="3296" xr:uid="{00000000-0005-0000-0000-00009D0D0000}"/>
    <cellStyle name="2_2---DATA_SAIN GOBAIN (THEP)_Option 1-British Standard" xfId="3297" xr:uid="{00000000-0005-0000-0000-00009E0D0000}"/>
    <cellStyle name="2_7 noi 48 goi C5 9 vi na" xfId="3298" xr:uid="{00000000-0005-0000-0000-00009F0D0000}"/>
    <cellStyle name="2_M_E Services _ Education" xfId="3299" xr:uid="{00000000-0005-0000-0000-0000A00D0000}"/>
    <cellStyle name="2_M_E Services _ Education_1" xfId="3300" xr:uid="{00000000-0005-0000-0000-0000A10D0000}"/>
    <cellStyle name="20" xfId="3301" xr:uid="{00000000-0005-0000-0000-0000A20D0000}"/>
    <cellStyle name="20% - Accent1 10" xfId="3302" xr:uid="{00000000-0005-0000-0000-0000A30D0000}"/>
    <cellStyle name="20% - Accent1 10 2" xfId="3303" xr:uid="{00000000-0005-0000-0000-0000A40D0000}"/>
    <cellStyle name="20% - Accent1 10_M_E Services _ Education" xfId="3304" xr:uid="{00000000-0005-0000-0000-0000A50D0000}"/>
    <cellStyle name="20% - Accent1 11" xfId="3305" xr:uid="{00000000-0005-0000-0000-0000A60D0000}"/>
    <cellStyle name="20% - Accent1 11 2" xfId="3306" xr:uid="{00000000-0005-0000-0000-0000A70D0000}"/>
    <cellStyle name="20% - Accent1 11_M_E Services _ Education" xfId="3307" xr:uid="{00000000-0005-0000-0000-0000A80D0000}"/>
    <cellStyle name="20% - Accent1 12" xfId="3308" xr:uid="{00000000-0005-0000-0000-0000A90D0000}"/>
    <cellStyle name="20% - Accent1 12 2" xfId="3309" xr:uid="{00000000-0005-0000-0000-0000AA0D0000}"/>
    <cellStyle name="20% - Accent1 12_M_E Services _ Education" xfId="3310" xr:uid="{00000000-0005-0000-0000-0000AB0D0000}"/>
    <cellStyle name="20% - Accent1 13" xfId="3311" xr:uid="{00000000-0005-0000-0000-0000AC0D0000}"/>
    <cellStyle name="20% - Accent1 13 2" xfId="3312" xr:uid="{00000000-0005-0000-0000-0000AD0D0000}"/>
    <cellStyle name="20% - Accent1 13_M_E Services _ Education" xfId="3313" xr:uid="{00000000-0005-0000-0000-0000AE0D0000}"/>
    <cellStyle name="20% - Accent1 14" xfId="3314" xr:uid="{00000000-0005-0000-0000-0000AF0D0000}"/>
    <cellStyle name="20% - Accent1 14 2" xfId="3315" xr:uid="{00000000-0005-0000-0000-0000B00D0000}"/>
    <cellStyle name="20% - Accent1 15" xfId="3316" xr:uid="{00000000-0005-0000-0000-0000B10D0000}"/>
    <cellStyle name="20% - Accent1 15 2" xfId="3317" xr:uid="{00000000-0005-0000-0000-0000B20D0000}"/>
    <cellStyle name="20% - Accent1 16" xfId="3318" xr:uid="{00000000-0005-0000-0000-0000B30D0000}"/>
    <cellStyle name="20% - Accent1 16 2" xfId="3319" xr:uid="{00000000-0005-0000-0000-0000B40D0000}"/>
    <cellStyle name="20% - Accent1 17" xfId="3320" xr:uid="{00000000-0005-0000-0000-0000B50D0000}"/>
    <cellStyle name="20% - Accent1 17 2" xfId="3321" xr:uid="{00000000-0005-0000-0000-0000B60D0000}"/>
    <cellStyle name="20% - Accent1 18" xfId="3322" xr:uid="{00000000-0005-0000-0000-0000B70D0000}"/>
    <cellStyle name="20% - Accent1 18 2" xfId="3323" xr:uid="{00000000-0005-0000-0000-0000B80D0000}"/>
    <cellStyle name="20% - Accent1 19" xfId="3324" xr:uid="{00000000-0005-0000-0000-0000B90D0000}"/>
    <cellStyle name="20% - Accent1 19 2" xfId="3325" xr:uid="{00000000-0005-0000-0000-0000BA0D0000}"/>
    <cellStyle name="20% - Accent1 2" xfId="3326" xr:uid="{00000000-0005-0000-0000-0000BB0D0000}"/>
    <cellStyle name="20% - Accent1 2 2" xfId="3327" xr:uid="{00000000-0005-0000-0000-0000BC0D0000}"/>
    <cellStyle name="20% - Accent1 2_M_E Services _ Education" xfId="3328" xr:uid="{00000000-0005-0000-0000-0000BD0D0000}"/>
    <cellStyle name="20% - Accent1 20" xfId="3329" xr:uid="{00000000-0005-0000-0000-0000BE0D0000}"/>
    <cellStyle name="20% - Accent1 20 2" xfId="3330" xr:uid="{00000000-0005-0000-0000-0000BF0D0000}"/>
    <cellStyle name="20% - Accent1 21" xfId="3331" xr:uid="{00000000-0005-0000-0000-0000C00D0000}"/>
    <cellStyle name="20% - Accent1 21 2" xfId="3332" xr:uid="{00000000-0005-0000-0000-0000C10D0000}"/>
    <cellStyle name="20% - Accent1 22" xfId="3333" xr:uid="{00000000-0005-0000-0000-0000C20D0000}"/>
    <cellStyle name="20% - Accent1 22 2" xfId="3334" xr:uid="{00000000-0005-0000-0000-0000C30D0000}"/>
    <cellStyle name="20% - Accent1 23" xfId="3335" xr:uid="{00000000-0005-0000-0000-0000C40D0000}"/>
    <cellStyle name="20% - Accent1 24" xfId="3336" xr:uid="{00000000-0005-0000-0000-0000C50D0000}"/>
    <cellStyle name="20% - Accent1 25" xfId="3337" xr:uid="{00000000-0005-0000-0000-0000C60D0000}"/>
    <cellStyle name="20% - Accent1 26" xfId="3338" xr:uid="{00000000-0005-0000-0000-0000C70D0000}"/>
    <cellStyle name="20% - Accent1 27" xfId="3339" xr:uid="{00000000-0005-0000-0000-0000C80D0000}"/>
    <cellStyle name="20% - Accent1 28" xfId="3340" xr:uid="{00000000-0005-0000-0000-0000C90D0000}"/>
    <cellStyle name="20% - Accent1 29" xfId="3341" xr:uid="{00000000-0005-0000-0000-0000CA0D0000}"/>
    <cellStyle name="20% - Accent1 3" xfId="3342" xr:uid="{00000000-0005-0000-0000-0000CB0D0000}"/>
    <cellStyle name="20% - Accent1 3 2" xfId="3343" xr:uid="{00000000-0005-0000-0000-0000CC0D0000}"/>
    <cellStyle name="20% - Accent1 3_M_E Services _ Education" xfId="3344" xr:uid="{00000000-0005-0000-0000-0000CD0D0000}"/>
    <cellStyle name="20% - Accent1 30" xfId="3345" xr:uid="{00000000-0005-0000-0000-0000CE0D0000}"/>
    <cellStyle name="20% - Accent1 31" xfId="3346" xr:uid="{00000000-0005-0000-0000-0000CF0D0000}"/>
    <cellStyle name="20% - Accent1 32" xfId="3347" xr:uid="{00000000-0005-0000-0000-0000D00D0000}"/>
    <cellStyle name="20% - Accent1 4" xfId="3348" xr:uid="{00000000-0005-0000-0000-0000D10D0000}"/>
    <cellStyle name="20% - Accent1 4 2" xfId="3349" xr:uid="{00000000-0005-0000-0000-0000D20D0000}"/>
    <cellStyle name="20% - Accent1 4_M_E Services _ Education" xfId="3350" xr:uid="{00000000-0005-0000-0000-0000D30D0000}"/>
    <cellStyle name="20% - Accent1 5" xfId="3351" xr:uid="{00000000-0005-0000-0000-0000D40D0000}"/>
    <cellStyle name="20% - Accent1 5 2" xfId="3352" xr:uid="{00000000-0005-0000-0000-0000D50D0000}"/>
    <cellStyle name="20% - Accent1 5_M_E Services _ Education" xfId="3353" xr:uid="{00000000-0005-0000-0000-0000D60D0000}"/>
    <cellStyle name="20% - Accent1 6" xfId="3354" xr:uid="{00000000-0005-0000-0000-0000D70D0000}"/>
    <cellStyle name="20% - Accent1 6 2" xfId="3355" xr:uid="{00000000-0005-0000-0000-0000D80D0000}"/>
    <cellStyle name="20% - Accent1 6_M_E Services _ Education" xfId="3356" xr:uid="{00000000-0005-0000-0000-0000D90D0000}"/>
    <cellStyle name="20% - Accent1 7" xfId="3357" xr:uid="{00000000-0005-0000-0000-0000DA0D0000}"/>
    <cellStyle name="20% - Accent1 7 2" xfId="3358" xr:uid="{00000000-0005-0000-0000-0000DB0D0000}"/>
    <cellStyle name="20% - Accent1 7_M_E Services _ Education" xfId="3359" xr:uid="{00000000-0005-0000-0000-0000DC0D0000}"/>
    <cellStyle name="20% - Accent1 8" xfId="3360" xr:uid="{00000000-0005-0000-0000-0000DD0D0000}"/>
    <cellStyle name="20% - Accent1 8 2" xfId="3361" xr:uid="{00000000-0005-0000-0000-0000DE0D0000}"/>
    <cellStyle name="20% - Accent1 8_M_E Services _ Education" xfId="3362" xr:uid="{00000000-0005-0000-0000-0000DF0D0000}"/>
    <cellStyle name="20% - Accent1 9" xfId="3363" xr:uid="{00000000-0005-0000-0000-0000E00D0000}"/>
    <cellStyle name="20% - Accent1 9 2" xfId="3364" xr:uid="{00000000-0005-0000-0000-0000E10D0000}"/>
    <cellStyle name="20% - Accent1 9_M_E Services _ Education" xfId="3365" xr:uid="{00000000-0005-0000-0000-0000E20D0000}"/>
    <cellStyle name="20% - Accent2 10" xfId="3366" xr:uid="{00000000-0005-0000-0000-0000E30D0000}"/>
    <cellStyle name="20% - Accent2 10 2" xfId="3367" xr:uid="{00000000-0005-0000-0000-0000E40D0000}"/>
    <cellStyle name="20% - Accent2 11" xfId="3368" xr:uid="{00000000-0005-0000-0000-0000E50D0000}"/>
    <cellStyle name="20% - Accent2 11 2" xfId="3369" xr:uid="{00000000-0005-0000-0000-0000E60D0000}"/>
    <cellStyle name="20% - Accent2 12" xfId="3370" xr:uid="{00000000-0005-0000-0000-0000E70D0000}"/>
    <cellStyle name="20% - Accent2 12 2" xfId="3371" xr:uid="{00000000-0005-0000-0000-0000E80D0000}"/>
    <cellStyle name="20% - Accent2 13" xfId="3372" xr:uid="{00000000-0005-0000-0000-0000E90D0000}"/>
    <cellStyle name="20% - Accent2 13 2" xfId="3373" xr:uid="{00000000-0005-0000-0000-0000EA0D0000}"/>
    <cellStyle name="20% - Accent2 14" xfId="3374" xr:uid="{00000000-0005-0000-0000-0000EB0D0000}"/>
    <cellStyle name="20% - Accent2 14 2" xfId="3375" xr:uid="{00000000-0005-0000-0000-0000EC0D0000}"/>
    <cellStyle name="20% - Accent2 15" xfId="3376" xr:uid="{00000000-0005-0000-0000-0000ED0D0000}"/>
    <cellStyle name="20% - Accent2 15 2" xfId="3377" xr:uid="{00000000-0005-0000-0000-0000EE0D0000}"/>
    <cellStyle name="20% - Accent2 16" xfId="3378" xr:uid="{00000000-0005-0000-0000-0000EF0D0000}"/>
    <cellStyle name="20% - Accent2 16 2" xfId="3379" xr:uid="{00000000-0005-0000-0000-0000F00D0000}"/>
    <cellStyle name="20% - Accent2 17" xfId="3380" xr:uid="{00000000-0005-0000-0000-0000F10D0000}"/>
    <cellStyle name="20% - Accent2 17 2" xfId="3381" xr:uid="{00000000-0005-0000-0000-0000F20D0000}"/>
    <cellStyle name="20% - Accent2 18" xfId="3382" xr:uid="{00000000-0005-0000-0000-0000F30D0000}"/>
    <cellStyle name="20% - Accent2 18 2" xfId="3383" xr:uid="{00000000-0005-0000-0000-0000F40D0000}"/>
    <cellStyle name="20% - Accent2 19" xfId="3384" xr:uid="{00000000-0005-0000-0000-0000F50D0000}"/>
    <cellStyle name="20% - Accent2 19 2" xfId="3385" xr:uid="{00000000-0005-0000-0000-0000F60D0000}"/>
    <cellStyle name="20% - Accent2 2" xfId="3386" xr:uid="{00000000-0005-0000-0000-0000F70D0000}"/>
    <cellStyle name="20% - Accent2 2 2" xfId="3387" xr:uid="{00000000-0005-0000-0000-0000F80D0000}"/>
    <cellStyle name="20% - Accent2 20" xfId="3388" xr:uid="{00000000-0005-0000-0000-0000F90D0000}"/>
    <cellStyle name="20% - Accent2 20 2" xfId="3389" xr:uid="{00000000-0005-0000-0000-0000FA0D0000}"/>
    <cellStyle name="20% - Accent2 21" xfId="3390" xr:uid="{00000000-0005-0000-0000-0000FB0D0000}"/>
    <cellStyle name="20% - Accent2 21 2" xfId="3391" xr:uid="{00000000-0005-0000-0000-0000FC0D0000}"/>
    <cellStyle name="20% - Accent2 22" xfId="3392" xr:uid="{00000000-0005-0000-0000-0000FD0D0000}"/>
    <cellStyle name="20% - Accent2 22 2" xfId="3393" xr:uid="{00000000-0005-0000-0000-0000FE0D0000}"/>
    <cellStyle name="20% - Accent2 23" xfId="3394" xr:uid="{00000000-0005-0000-0000-0000FF0D0000}"/>
    <cellStyle name="20% - Accent2 3" xfId="3395" xr:uid="{00000000-0005-0000-0000-0000000E0000}"/>
    <cellStyle name="20% - Accent2 3 2" xfId="3396" xr:uid="{00000000-0005-0000-0000-0000010E0000}"/>
    <cellStyle name="20% - Accent2 4" xfId="3397" xr:uid="{00000000-0005-0000-0000-0000020E0000}"/>
    <cellStyle name="20% - Accent2 4 2" xfId="3398" xr:uid="{00000000-0005-0000-0000-0000030E0000}"/>
    <cellStyle name="20% - Accent2 5" xfId="3399" xr:uid="{00000000-0005-0000-0000-0000040E0000}"/>
    <cellStyle name="20% - Accent2 5 2" xfId="3400" xr:uid="{00000000-0005-0000-0000-0000050E0000}"/>
    <cellStyle name="20% - Accent2 6" xfId="3401" xr:uid="{00000000-0005-0000-0000-0000060E0000}"/>
    <cellStyle name="20% - Accent2 6 2" xfId="3402" xr:uid="{00000000-0005-0000-0000-0000070E0000}"/>
    <cellStyle name="20% - Accent2 7" xfId="3403" xr:uid="{00000000-0005-0000-0000-0000080E0000}"/>
    <cellStyle name="20% - Accent2 7 2" xfId="3404" xr:uid="{00000000-0005-0000-0000-0000090E0000}"/>
    <cellStyle name="20% - Accent2 8" xfId="3405" xr:uid="{00000000-0005-0000-0000-00000A0E0000}"/>
    <cellStyle name="20% - Accent2 8 2" xfId="3406" xr:uid="{00000000-0005-0000-0000-00000B0E0000}"/>
    <cellStyle name="20% - Accent2 9" xfId="3407" xr:uid="{00000000-0005-0000-0000-00000C0E0000}"/>
    <cellStyle name="20% - Accent2 9 2" xfId="3408" xr:uid="{00000000-0005-0000-0000-00000D0E0000}"/>
    <cellStyle name="20% - Accent3 10" xfId="3409" xr:uid="{00000000-0005-0000-0000-00000E0E0000}"/>
    <cellStyle name="20% - Accent3 10 2" xfId="3410" xr:uid="{00000000-0005-0000-0000-00000F0E0000}"/>
    <cellStyle name="20% - Accent3 11" xfId="3411" xr:uid="{00000000-0005-0000-0000-0000100E0000}"/>
    <cellStyle name="20% - Accent3 11 2" xfId="3412" xr:uid="{00000000-0005-0000-0000-0000110E0000}"/>
    <cellStyle name="20% - Accent3 12" xfId="3413" xr:uid="{00000000-0005-0000-0000-0000120E0000}"/>
    <cellStyle name="20% - Accent3 12 2" xfId="3414" xr:uid="{00000000-0005-0000-0000-0000130E0000}"/>
    <cellStyle name="20% - Accent3 13" xfId="3415" xr:uid="{00000000-0005-0000-0000-0000140E0000}"/>
    <cellStyle name="20% - Accent3 13 2" xfId="3416" xr:uid="{00000000-0005-0000-0000-0000150E0000}"/>
    <cellStyle name="20% - Accent3 14" xfId="3417" xr:uid="{00000000-0005-0000-0000-0000160E0000}"/>
    <cellStyle name="20% - Accent3 14 2" xfId="3418" xr:uid="{00000000-0005-0000-0000-0000170E0000}"/>
    <cellStyle name="20% - Accent3 15" xfId="3419" xr:uid="{00000000-0005-0000-0000-0000180E0000}"/>
    <cellStyle name="20% - Accent3 15 2" xfId="3420" xr:uid="{00000000-0005-0000-0000-0000190E0000}"/>
    <cellStyle name="20% - Accent3 16" xfId="3421" xr:uid="{00000000-0005-0000-0000-00001A0E0000}"/>
    <cellStyle name="20% - Accent3 16 2" xfId="3422" xr:uid="{00000000-0005-0000-0000-00001B0E0000}"/>
    <cellStyle name="20% - Accent3 17" xfId="3423" xr:uid="{00000000-0005-0000-0000-00001C0E0000}"/>
    <cellStyle name="20% - Accent3 17 2" xfId="3424" xr:uid="{00000000-0005-0000-0000-00001D0E0000}"/>
    <cellStyle name="20% - Accent3 18" xfId="3425" xr:uid="{00000000-0005-0000-0000-00001E0E0000}"/>
    <cellStyle name="20% - Accent3 18 2" xfId="3426" xr:uid="{00000000-0005-0000-0000-00001F0E0000}"/>
    <cellStyle name="20% - Accent3 19" xfId="3427" xr:uid="{00000000-0005-0000-0000-0000200E0000}"/>
    <cellStyle name="20% - Accent3 19 2" xfId="3428" xr:uid="{00000000-0005-0000-0000-0000210E0000}"/>
    <cellStyle name="20% - Accent3 2" xfId="3429" xr:uid="{00000000-0005-0000-0000-0000220E0000}"/>
    <cellStyle name="20% - Accent3 2 2" xfId="3430" xr:uid="{00000000-0005-0000-0000-0000230E0000}"/>
    <cellStyle name="20% - Accent3 20" xfId="3431" xr:uid="{00000000-0005-0000-0000-0000240E0000}"/>
    <cellStyle name="20% - Accent3 20 2" xfId="3432" xr:uid="{00000000-0005-0000-0000-0000250E0000}"/>
    <cellStyle name="20% - Accent3 21" xfId="3433" xr:uid="{00000000-0005-0000-0000-0000260E0000}"/>
    <cellStyle name="20% - Accent3 21 2" xfId="3434" xr:uid="{00000000-0005-0000-0000-0000270E0000}"/>
    <cellStyle name="20% - Accent3 22" xfId="3435" xr:uid="{00000000-0005-0000-0000-0000280E0000}"/>
    <cellStyle name="20% - Accent3 22 2" xfId="3436" xr:uid="{00000000-0005-0000-0000-0000290E0000}"/>
    <cellStyle name="20% - Accent3 23" xfId="3437" xr:uid="{00000000-0005-0000-0000-00002A0E0000}"/>
    <cellStyle name="20% - Accent3 3" xfId="3438" xr:uid="{00000000-0005-0000-0000-00002B0E0000}"/>
    <cellStyle name="20% - Accent3 3 2" xfId="3439" xr:uid="{00000000-0005-0000-0000-00002C0E0000}"/>
    <cellStyle name="20% - Accent3 4" xfId="3440" xr:uid="{00000000-0005-0000-0000-00002D0E0000}"/>
    <cellStyle name="20% - Accent3 4 2" xfId="3441" xr:uid="{00000000-0005-0000-0000-00002E0E0000}"/>
    <cellStyle name="20% - Accent3 5" xfId="3442" xr:uid="{00000000-0005-0000-0000-00002F0E0000}"/>
    <cellStyle name="20% - Accent3 5 2" xfId="3443" xr:uid="{00000000-0005-0000-0000-0000300E0000}"/>
    <cellStyle name="20% - Accent3 6" xfId="3444" xr:uid="{00000000-0005-0000-0000-0000310E0000}"/>
    <cellStyle name="20% - Accent3 6 2" xfId="3445" xr:uid="{00000000-0005-0000-0000-0000320E0000}"/>
    <cellStyle name="20% - Accent3 7" xfId="3446" xr:uid="{00000000-0005-0000-0000-0000330E0000}"/>
    <cellStyle name="20% - Accent3 7 2" xfId="3447" xr:uid="{00000000-0005-0000-0000-0000340E0000}"/>
    <cellStyle name="20% - Accent3 8" xfId="3448" xr:uid="{00000000-0005-0000-0000-0000350E0000}"/>
    <cellStyle name="20% - Accent3 8 2" xfId="3449" xr:uid="{00000000-0005-0000-0000-0000360E0000}"/>
    <cellStyle name="20% - Accent3 9" xfId="3450" xr:uid="{00000000-0005-0000-0000-0000370E0000}"/>
    <cellStyle name="20% - Accent3 9 2" xfId="3451" xr:uid="{00000000-0005-0000-0000-0000380E0000}"/>
    <cellStyle name="20% - Accent4 10" xfId="3452" xr:uid="{00000000-0005-0000-0000-0000390E0000}"/>
    <cellStyle name="20% - Accent4 10 2" xfId="3453" xr:uid="{00000000-0005-0000-0000-00003A0E0000}"/>
    <cellStyle name="20% - Accent4 10_M_E Services _ Education" xfId="3454" xr:uid="{00000000-0005-0000-0000-00003B0E0000}"/>
    <cellStyle name="20% - Accent4 11" xfId="3455" xr:uid="{00000000-0005-0000-0000-00003C0E0000}"/>
    <cellStyle name="20% - Accent4 11 2" xfId="3456" xr:uid="{00000000-0005-0000-0000-00003D0E0000}"/>
    <cellStyle name="20% - Accent4 11_M_E Services _ Education" xfId="3457" xr:uid="{00000000-0005-0000-0000-00003E0E0000}"/>
    <cellStyle name="20% - Accent4 12" xfId="3458" xr:uid="{00000000-0005-0000-0000-00003F0E0000}"/>
    <cellStyle name="20% - Accent4 12 2" xfId="3459" xr:uid="{00000000-0005-0000-0000-0000400E0000}"/>
    <cellStyle name="20% - Accent4 12_M_E Services _ Education" xfId="3460" xr:uid="{00000000-0005-0000-0000-0000410E0000}"/>
    <cellStyle name="20% - Accent4 13" xfId="3461" xr:uid="{00000000-0005-0000-0000-0000420E0000}"/>
    <cellStyle name="20% - Accent4 13 2" xfId="3462" xr:uid="{00000000-0005-0000-0000-0000430E0000}"/>
    <cellStyle name="20% - Accent4 13_M_E Services _ Education" xfId="3463" xr:uid="{00000000-0005-0000-0000-0000440E0000}"/>
    <cellStyle name="20% - Accent4 14" xfId="3464" xr:uid="{00000000-0005-0000-0000-0000450E0000}"/>
    <cellStyle name="20% - Accent4 14 2" xfId="3465" xr:uid="{00000000-0005-0000-0000-0000460E0000}"/>
    <cellStyle name="20% - Accent4 15" xfId="3466" xr:uid="{00000000-0005-0000-0000-0000470E0000}"/>
    <cellStyle name="20% - Accent4 15 2" xfId="3467" xr:uid="{00000000-0005-0000-0000-0000480E0000}"/>
    <cellStyle name="20% - Accent4 16" xfId="3468" xr:uid="{00000000-0005-0000-0000-0000490E0000}"/>
    <cellStyle name="20% - Accent4 16 2" xfId="3469" xr:uid="{00000000-0005-0000-0000-00004A0E0000}"/>
    <cellStyle name="20% - Accent4 17" xfId="3470" xr:uid="{00000000-0005-0000-0000-00004B0E0000}"/>
    <cellStyle name="20% - Accent4 17 2" xfId="3471" xr:uid="{00000000-0005-0000-0000-00004C0E0000}"/>
    <cellStyle name="20% - Accent4 18" xfId="3472" xr:uid="{00000000-0005-0000-0000-00004D0E0000}"/>
    <cellStyle name="20% - Accent4 18 2" xfId="3473" xr:uid="{00000000-0005-0000-0000-00004E0E0000}"/>
    <cellStyle name="20% - Accent4 19" xfId="3474" xr:uid="{00000000-0005-0000-0000-00004F0E0000}"/>
    <cellStyle name="20% - Accent4 19 2" xfId="3475" xr:uid="{00000000-0005-0000-0000-0000500E0000}"/>
    <cellStyle name="20% - Accent4 2" xfId="3476" xr:uid="{00000000-0005-0000-0000-0000510E0000}"/>
    <cellStyle name="20% - Accent4 2 2" xfId="3477" xr:uid="{00000000-0005-0000-0000-0000520E0000}"/>
    <cellStyle name="20% - Accent4 2_M_E Services _ Education" xfId="3478" xr:uid="{00000000-0005-0000-0000-0000530E0000}"/>
    <cellStyle name="20% - Accent4 20" xfId="3479" xr:uid="{00000000-0005-0000-0000-0000540E0000}"/>
    <cellStyle name="20% - Accent4 20 2" xfId="3480" xr:uid="{00000000-0005-0000-0000-0000550E0000}"/>
    <cellStyle name="20% - Accent4 21" xfId="3481" xr:uid="{00000000-0005-0000-0000-0000560E0000}"/>
    <cellStyle name="20% - Accent4 21 2" xfId="3482" xr:uid="{00000000-0005-0000-0000-0000570E0000}"/>
    <cellStyle name="20% - Accent4 22" xfId="3483" xr:uid="{00000000-0005-0000-0000-0000580E0000}"/>
    <cellStyle name="20% - Accent4 22 2" xfId="3484" xr:uid="{00000000-0005-0000-0000-0000590E0000}"/>
    <cellStyle name="20% - Accent4 23" xfId="3485" xr:uid="{00000000-0005-0000-0000-00005A0E0000}"/>
    <cellStyle name="20% - Accent4 24" xfId="3486" xr:uid="{00000000-0005-0000-0000-00005B0E0000}"/>
    <cellStyle name="20% - Accent4 25" xfId="3487" xr:uid="{00000000-0005-0000-0000-00005C0E0000}"/>
    <cellStyle name="20% - Accent4 26" xfId="3488" xr:uid="{00000000-0005-0000-0000-00005D0E0000}"/>
    <cellStyle name="20% - Accent4 27" xfId="3489" xr:uid="{00000000-0005-0000-0000-00005E0E0000}"/>
    <cellStyle name="20% - Accent4 28" xfId="3490" xr:uid="{00000000-0005-0000-0000-00005F0E0000}"/>
    <cellStyle name="20% - Accent4 29" xfId="3491" xr:uid="{00000000-0005-0000-0000-0000600E0000}"/>
    <cellStyle name="20% - Accent4 3" xfId="3492" xr:uid="{00000000-0005-0000-0000-0000610E0000}"/>
    <cellStyle name="20% - Accent4 3 2" xfId="3493" xr:uid="{00000000-0005-0000-0000-0000620E0000}"/>
    <cellStyle name="20% - Accent4 3_M_E Services _ Education" xfId="3494" xr:uid="{00000000-0005-0000-0000-0000630E0000}"/>
    <cellStyle name="20% - Accent4 30" xfId="3495" xr:uid="{00000000-0005-0000-0000-0000640E0000}"/>
    <cellStyle name="20% - Accent4 31" xfId="3496" xr:uid="{00000000-0005-0000-0000-0000650E0000}"/>
    <cellStyle name="20% - Accent4 32" xfId="3497" xr:uid="{00000000-0005-0000-0000-0000660E0000}"/>
    <cellStyle name="20% - Accent4 4" xfId="3498" xr:uid="{00000000-0005-0000-0000-0000670E0000}"/>
    <cellStyle name="20% - Accent4 4 2" xfId="3499" xr:uid="{00000000-0005-0000-0000-0000680E0000}"/>
    <cellStyle name="20% - Accent4 4_M_E Services _ Education" xfId="3500" xr:uid="{00000000-0005-0000-0000-0000690E0000}"/>
    <cellStyle name="20% - Accent4 5" xfId="3501" xr:uid="{00000000-0005-0000-0000-00006A0E0000}"/>
    <cellStyle name="20% - Accent4 5 2" xfId="3502" xr:uid="{00000000-0005-0000-0000-00006B0E0000}"/>
    <cellStyle name="20% - Accent4 5_M_E Services _ Education" xfId="3503" xr:uid="{00000000-0005-0000-0000-00006C0E0000}"/>
    <cellStyle name="20% - Accent4 6" xfId="3504" xr:uid="{00000000-0005-0000-0000-00006D0E0000}"/>
    <cellStyle name="20% - Accent4 6 2" xfId="3505" xr:uid="{00000000-0005-0000-0000-00006E0E0000}"/>
    <cellStyle name="20% - Accent4 6_M_E Services _ Education" xfId="3506" xr:uid="{00000000-0005-0000-0000-00006F0E0000}"/>
    <cellStyle name="20% - Accent4 7" xfId="3507" xr:uid="{00000000-0005-0000-0000-0000700E0000}"/>
    <cellStyle name="20% - Accent4 7 2" xfId="3508" xr:uid="{00000000-0005-0000-0000-0000710E0000}"/>
    <cellStyle name="20% - Accent4 7_M_E Services _ Education" xfId="3509" xr:uid="{00000000-0005-0000-0000-0000720E0000}"/>
    <cellStyle name="20% - Accent4 8" xfId="3510" xr:uid="{00000000-0005-0000-0000-0000730E0000}"/>
    <cellStyle name="20% - Accent4 8 2" xfId="3511" xr:uid="{00000000-0005-0000-0000-0000740E0000}"/>
    <cellStyle name="20% - Accent4 8_M_E Services _ Education" xfId="3512" xr:uid="{00000000-0005-0000-0000-0000750E0000}"/>
    <cellStyle name="20% - Accent4 9" xfId="3513" xr:uid="{00000000-0005-0000-0000-0000760E0000}"/>
    <cellStyle name="20% - Accent4 9 2" xfId="3514" xr:uid="{00000000-0005-0000-0000-0000770E0000}"/>
    <cellStyle name="20% - Accent4 9_M_E Services _ Education" xfId="3515" xr:uid="{00000000-0005-0000-0000-0000780E0000}"/>
    <cellStyle name="20% - Accent5 10" xfId="3516" xr:uid="{00000000-0005-0000-0000-0000790E0000}"/>
    <cellStyle name="20% - Accent5 11" xfId="3517" xr:uid="{00000000-0005-0000-0000-00007A0E0000}"/>
    <cellStyle name="20% - Accent5 12" xfId="3518" xr:uid="{00000000-0005-0000-0000-00007B0E0000}"/>
    <cellStyle name="20% - Accent5 13" xfId="3519" xr:uid="{00000000-0005-0000-0000-00007C0E0000}"/>
    <cellStyle name="20% - Accent5 14" xfId="3520" xr:uid="{00000000-0005-0000-0000-00007D0E0000}"/>
    <cellStyle name="20% - Accent5 2" xfId="3521" xr:uid="{00000000-0005-0000-0000-00007E0E0000}"/>
    <cellStyle name="20% - Accent5 3" xfId="3522" xr:uid="{00000000-0005-0000-0000-00007F0E0000}"/>
    <cellStyle name="20% - Accent5 4" xfId="3523" xr:uid="{00000000-0005-0000-0000-0000800E0000}"/>
    <cellStyle name="20% - Accent5 5" xfId="3524" xr:uid="{00000000-0005-0000-0000-0000810E0000}"/>
    <cellStyle name="20% - Accent5 6" xfId="3525" xr:uid="{00000000-0005-0000-0000-0000820E0000}"/>
    <cellStyle name="20% - Accent5 7" xfId="3526" xr:uid="{00000000-0005-0000-0000-0000830E0000}"/>
    <cellStyle name="20% - Accent5 8" xfId="3527" xr:uid="{00000000-0005-0000-0000-0000840E0000}"/>
    <cellStyle name="20% - Accent5 9" xfId="3528" xr:uid="{00000000-0005-0000-0000-0000850E0000}"/>
    <cellStyle name="20% - Accent6 10" xfId="3529" xr:uid="{00000000-0005-0000-0000-0000860E0000}"/>
    <cellStyle name="20% - Accent6 10 2" xfId="3530" xr:uid="{00000000-0005-0000-0000-0000870E0000}"/>
    <cellStyle name="20% - Accent6 11" xfId="3531" xr:uid="{00000000-0005-0000-0000-0000880E0000}"/>
    <cellStyle name="20% - Accent6 11 2" xfId="3532" xr:uid="{00000000-0005-0000-0000-0000890E0000}"/>
    <cellStyle name="20% - Accent6 12" xfId="3533" xr:uid="{00000000-0005-0000-0000-00008A0E0000}"/>
    <cellStyle name="20% - Accent6 12 2" xfId="3534" xr:uid="{00000000-0005-0000-0000-00008B0E0000}"/>
    <cellStyle name="20% - Accent6 13" xfId="3535" xr:uid="{00000000-0005-0000-0000-00008C0E0000}"/>
    <cellStyle name="20% - Accent6 13 2" xfId="3536" xr:uid="{00000000-0005-0000-0000-00008D0E0000}"/>
    <cellStyle name="20% - Accent6 14" xfId="3537" xr:uid="{00000000-0005-0000-0000-00008E0E0000}"/>
    <cellStyle name="20% - Accent6 14 2" xfId="3538" xr:uid="{00000000-0005-0000-0000-00008F0E0000}"/>
    <cellStyle name="20% - Accent6 15" xfId="3539" xr:uid="{00000000-0005-0000-0000-0000900E0000}"/>
    <cellStyle name="20% - Accent6 15 2" xfId="3540" xr:uid="{00000000-0005-0000-0000-0000910E0000}"/>
    <cellStyle name="20% - Accent6 16" xfId="3541" xr:uid="{00000000-0005-0000-0000-0000920E0000}"/>
    <cellStyle name="20% - Accent6 16 2" xfId="3542" xr:uid="{00000000-0005-0000-0000-0000930E0000}"/>
    <cellStyle name="20% - Accent6 17" xfId="3543" xr:uid="{00000000-0005-0000-0000-0000940E0000}"/>
    <cellStyle name="20% - Accent6 17 2" xfId="3544" xr:uid="{00000000-0005-0000-0000-0000950E0000}"/>
    <cellStyle name="20% - Accent6 18" xfId="3545" xr:uid="{00000000-0005-0000-0000-0000960E0000}"/>
    <cellStyle name="20% - Accent6 18 2" xfId="3546" xr:uid="{00000000-0005-0000-0000-0000970E0000}"/>
    <cellStyle name="20% - Accent6 19" xfId="3547" xr:uid="{00000000-0005-0000-0000-0000980E0000}"/>
    <cellStyle name="20% - Accent6 19 2" xfId="3548" xr:uid="{00000000-0005-0000-0000-0000990E0000}"/>
    <cellStyle name="20% - Accent6 2" xfId="3549" xr:uid="{00000000-0005-0000-0000-00009A0E0000}"/>
    <cellStyle name="20% - Accent6 2 2" xfId="3550" xr:uid="{00000000-0005-0000-0000-00009B0E0000}"/>
    <cellStyle name="20% - Accent6 20" xfId="3551" xr:uid="{00000000-0005-0000-0000-00009C0E0000}"/>
    <cellStyle name="20% - Accent6 20 2" xfId="3552" xr:uid="{00000000-0005-0000-0000-00009D0E0000}"/>
    <cellStyle name="20% - Accent6 21" xfId="3553" xr:uid="{00000000-0005-0000-0000-00009E0E0000}"/>
    <cellStyle name="20% - Accent6 21 2" xfId="3554" xr:uid="{00000000-0005-0000-0000-00009F0E0000}"/>
    <cellStyle name="20% - Accent6 22" xfId="3555" xr:uid="{00000000-0005-0000-0000-0000A00E0000}"/>
    <cellStyle name="20% - Accent6 22 2" xfId="3556" xr:uid="{00000000-0005-0000-0000-0000A10E0000}"/>
    <cellStyle name="20% - Accent6 23" xfId="3557" xr:uid="{00000000-0005-0000-0000-0000A20E0000}"/>
    <cellStyle name="20% - Accent6 3" xfId="3558" xr:uid="{00000000-0005-0000-0000-0000A30E0000}"/>
    <cellStyle name="20% - Accent6 3 2" xfId="3559" xr:uid="{00000000-0005-0000-0000-0000A40E0000}"/>
    <cellStyle name="20% - Accent6 4" xfId="3560" xr:uid="{00000000-0005-0000-0000-0000A50E0000}"/>
    <cellStyle name="20% - Accent6 4 2" xfId="3561" xr:uid="{00000000-0005-0000-0000-0000A60E0000}"/>
    <cellStyle name="20% - Accent6 5" xfId="3562" xr:uid="{00000000-0005-0000-0000-0000A70E0000}"/>
    <cellStyle name="20% - Accent6 5 2" xfId="3563" xr:uid="{00000000-0005-0000-0000-0000A80E0000}"/>
    <cellStyle name="20% - Accent6 6" xfId="3564" xr:uid="{00000000-0005-0000-0000-0000A90E0000}"/>
    <cellStyle name="20% - Accent6 6 2" xfId="3565" xr:uid="{00000000-0005-0000-0000-0000AA0E0000}"/>
    <cellStyle name="20% - Accent6 7" xfId="3566" xr:uid="{00000000-0005-0000-0000-0000AB0E0000}"/>
    <cellStyle name="20% - Accent6 7 2" xfId="3567" xr:uid="{00000000-0005-0000-0000-0000AC0E0000}"/>
    <cellStyle name="20% - Accent6 8" xfId="3568" xr:uid="{00000000-0005-0000-0000-0000AD0E0000}"/>
    <cellStyle name="20% - Accent6 8 2" xfId="3569" xr:uid="{00000000-0005-0000-0000-0000AE0E0000}"/>
    <cellStyle name="20% - Accent6 9" xfId="3570" xr:uid="{00000000-0005-0000-0000-0000AF0E0000}"/>
    <cellStyle name="20% - Accent6 9 2" xfId="3571" xr:uid="{00000000-0005-0000-0000-0000B00E0000}"/>
    <cellStyle name="20% - Nhấn1" xfId="3572" xr:uid="{00000000-0005-0000-0000-0000B10E0000}"/>
    <cellStyle name="20% - Nhấn2" xfId="3573" xr:uid="{00000000-0005-0000-0000-0000B20E0000}"/>
    <cellStyle name="20% - Nhấn3" xfId="3574" xr:uid="{00000000-0005-0000-0000-0000B30E0000}"/>
    <cellStyle name="20% - Nhấn4" xfId="3575" xr:uid="{00000000-0005-0000-0000-0000B40E0000}"/>
    <cellStyle name="20% - Nhấn5" xfId="3576" xr:uid="{00000000-0005-0000-0000-0000B50E0000}"/>
    <cellStyle name="20% - Nhấn6" xfId="3577" xr:uid="{00000000-0005-0000-0000-0000B60E0000}"/>
    <cellStyle name="20% - アクセント 1" xfId="3578" xr:uid="{00000000-0005-0000-0000-0000B70E0000}"/>
    <cellStyle name="20% - アクセント 2" xfId="3579" xr:uid="{00000000-0005-0000-0000-0000B80E0000}"/>
    <cellStyle name="20% - アクセント 3" xfId="3580" xr:uid="{00000000-0005-0000-0000-0000B90E0000}"/>
    <cellStyle name="20% - アクセント 4" xfId="3581" xr:uid="{00000000-0005-0000-0000-0000BA0E0000}"/>
    <cellStyle name="20% - アクセント 5" xfId="3582" xr:uid="{00000000-0005-0000-0000-0000BB0E0000}"/>
    <cellStyle name="20% - アクセント 6" xfId="3583" xr:uid="{00000000-0005-0000-0000-0000BC0E0000}"/>
    <cellStyle name="20% - 强调文字颜色 1" xfId="3584" xr:uid="{00000000-0005-0000-0000-0000BD0E0000}"/>
    <cellStyle name="20% - 强调文字颜色 2" xfId="3585" xr:uid="{00000000-0005-0000-0000-0000BE0E0000}"/>
    <cellStyle name="20% - 强调文字颜色 3" xfId="3586" xr:uid="{00000000-0005-0000-0000-0000BF0E0000}"/>
    <cellStyle name="20% - 强调文字颜色 4" xfId="3587" xr:uid="{00000000-0005-0000-0000-0000C00E0000}"/>
    <cellStyle name="20% - 强调文字颜色 5" xfId="3588" xr:uid="{00000000-0005-0000-0000-0000C10E0000}"/>
    <cellStyle name="20% - 强调文字颜色 6" xfId="3589" xr:uid="{00000000-0005-0000-0000-0000C20E0000}"/>
    <cellStyle name="3" xfId="3590" xr:uid="{00000000-0005-0000-0000-0000C30E0000}"/>
    <cellStyle name="3_2---DATA_SAIN GOBAIN (THEP)_Option 1-British Standard" xfId="3591" xr:uid="{00000000-0005-0000-0000-0000C40E0000}"/>
    <cellStyle name="3_7 noi 48 goi C5 9 vi na" xfId="3592" xr:uid="{00000000-0005-0000-0000-0000C50E0000}"/>
    <cellStyle name="3_M_E Services _ Education" xfId="3593" xr:uid="{00000000-0005-0000-0000-0000C60E0000}"/>
    <cellStyle name="3_M_E Services _ Education_1" xfId="3594" xr:uid="{00000000-0005-0000-0000-0000C70E0000}"/>
    <cellStyle name="32B12" xfId="14523" xr:uid="{00000000-0005-0000-0000-0000C80E0000}"/>
    <cellStyle name="4" xfId="3595" xr:uid="{00000000-0005-0000-0000-0000C90E0000}"/>
    <cellStyle name="4_7 noi 48 goi C5 9 vi na" xfId="3596" xr:uid="{00000000-0005-0000-0000-0000CA0E0000}"/>
    <cellStyle name="40% - Accent1 10" xfId="3597" xr:uid="{00000000-0005-0000-0000-0000CB0E0000}"/>
    <cellStyle name="40% - Accent1 10 2" xfId="3598" xr:uid="{00000000-0005-0000-0000-0000CC0E0000}"/>
    <cellStyle name="40% - Accent1 11" xfId="3599" xr:uid="{00000000-0005-0000-0000-0000CD0E0000}"/>
    <cellStyle name="40% - Accent1 11 2" xfId="3600" xr:uid="{00000000-0005-0000-0000-0000CE0E0000}"/>
    <cellStyle name="40% - Accent1 12" xfId="3601" xr:uid="{00000000-0005-0000-0000-0000CF0E0000}"/>
    <cellStyle name="40% - Accent1 12 2" xfId="3602" xr:uid="{00000000-0005-0000-0000-0000D00E0000}"/>
    <cellStyle name="40% - Accent1 13" xfId="3603" xr:uid="{00000000-0005-0000-0000-0000D10E0000}"/>
    <cellStyle name="40% - Accent1 13 2" xfId="3604" xr:uid="{00000000-0005-0000-0000-0000D20E0000}"/>
    <cellStyle name="40% - Accent1 14" xfId="3605" xr:uid="{00000000-0005-0000-0000-0000D30E0000}"/>
    <cellStyle name="40% - Accent1 14 2" xfId="3606" xr:uid="{00000000-0005-0000-0000-0000D40E0000}"/>
    <cellStyle name="40% - Accent1 15" xfId="3607" xr:uid="{00000000-0005-0000-0000-0000D50E0000}"/>
    <cellStyle name="40% - Accent1 15 2" xfId="3608" xr:uid="{00000000-0005-0000-0000-0000D60E0000}"/>
    <cellStyle name="40% - Accent1 16" xfId="3609" xr:uid="{00000000-0005-0000-0000-0000D70E0000}"/>
    <cellStyle name="40% - Accent1 16 2" xfId="3610" xr:uid="{00000000-0005-0000-0000-0000D80E0000}"/>
    <cellStyle name="40% - Accent1 17" xfId="3611" xr:uid="{00000000-0005-0000-0000-0000D90E0000}"/>
    <cellStyle name="40% - Accent1 17 2" xfId="3612" xr:uid="{00000000-0005-0000-0000-0000DA0E0000}"/>
    <cellStyle name="40% - Accent1 18" xfId="3613" xr:uid="{00000000-0005-0000-0000-0000DB0E0000}"/>
    <cellStyle name="40% - Accent1 18 2" xfId="3614" xr:uid="{00000000-0005-0000-0000-0000DC0E0000}"/>
    <cellStyle name="40% - Accent1 19" xfId="3615" xr:uid="{00000000-0005-0000-0000-0000DD0E0000}"/>
    <cellStyle name="40% - Accent1 19 2" xfId="3616" xr:uid="{00000000-0005-0000-0000-0000DE0E0000}"/>
    <cellStyle name="40% - Accent1 2" xfId="3617" xr:uid="{00000000-0005-0000-0000-0000DF0E0000}"/>
    <cellStyle name="40% - Accent1 2 2" xfId="3618" xr:uid="{00000000-0005-0000-0000-0000E00E0000}"/>
    <cellStyle name="40% - Accent1 20" xfId="3619" xr:uid="{00000000-0005-0000-0000-0000E10E0000}"/>
    <cellStyle name="40% - Accent1 20 2" xfId="3620" xr:uid="{00000000-0005-0000-0000-0000E20E0000}"/>
    <cellStyle name="40% - Accent1 21" xfId="3621" xr:uid="{00000000-0005-0000-0000-0000E30E0000}"/>
    <cellStyle name="40% - Accent1 21 2" xfId="3622" xr:uid="{00000000-0005-0000-0000-0000E40E0000}"/>
    <cellStyle name="40% - Accent1 22" xfId="3623" xr:uid="{00000000-0005-0000-0000-0000E50E0000}"/>
    <cellStyle name="40% - Accent1 22 2" xfId="3624" xr:uid="{00000000-0005-0000-0000-0000E60E0000}"/>
    <cellStyle name="40% - Accent1 23" xfId="3625" xr:uid="{00000000-0005-0000-0000-0000E70E0000}"/>
    <cellStyle name="40% - Accent1 3" xfId="3626" xr:uid="{00000000-0005-0000-0000-0000E80E0000}"/>
    <cellStyle name="40% - Accent1 3 2" xfId="3627" xr:uid="{00000000-0005-0000-0000-0000E90E0000}"/>
    <cellStyle name="40% - Accent1 4" xfId="3628" xr:uid="{00000000-0005-0000-0000-0000EA0E0000}"/>
    <cellStyle name="40% - Accent1 4 2" xfId="3629" xr:uid="{00000000-0005-0000-0000-0000EB0E0000}"/>
    <cellStyle name="40% - Accent1 5" xfId="3630" xr:uid="{00000000-0005-0000-0000-0000EC0E0000}"/>
    <cellStyle name="40% - Accent1 5 2" xfId="3631" xr:uid="{00000000-0005-0000-0000-0000ED0E0000}"/>
    <cellStyle name="40% - Accent1 6" xfId="3632" xr:uid="{00000000-0005-0000-0000-0000EE0E0000}"/>
    <cellStyle name="40% - Accent1 6 2" xfId="3633" xr:uid="{00000000-0005-0000-0000-0000EF0E0000}"/>
    <cellStyle name="40% - Accent1 7" xfId="3634" xr:uid="{00000000-0005-0000-0000-0000F00E0000}"/>
    <cellStyle name="40% - Accent1 7 2" xfId="3635" xr:uid="{00000000-0005-0000-0000-0000F10E0000}"/>
    <cellStyle name="40% - Accent1 8" xfId="3636" xr:uid="{00000000-0005-0000-0000-0000F20E0000}"/>
    <cellStyle name="40% - Accent1 8 2" xfId="3637" xr:uid="{00000000-0005-0000-0000-0000F30E0000}"/>
    <cellStyle name="40% - Accent1 9" xfId="3638" xr:uid="{00000000-0005-0000-0000-0000F40E0000}"/>
    <cellStyle name="40% - Accent1 9 2" xfId="3639" xr:uid="{00000000-0005-0000-0000-0000F50E0000}"/>
    <cellStyle name="40% - Accent2 1" xfId="3640" xr:uid="{00000000-0005-0000-0000-0000F60E0000}"/>
    <cellStyle name="40% - Accent2 10" xfId="3641" xr:uid="{00000000-0005-0000-0000-0000F70E0000}"/>
    <cellStyle name="40% - Accent2 11" xfId="3642" xr:uid="{00000000-0005-0000-0000-0000F80E0000}"/>
    <cellStyle name="40% - Accent2 12" xfId="3643" xr:uid="{00000000-0005-0000-0000-0000F90E0000}"/>
    <cellStyle name="40% - Accent2 13" xfId="3644" xr:uid="{00000000-0005-0000-0000-0000FA0E0000}"/>
    <cellStyle name="40% - Accent2 14" xfId="3645" xr:uid="{00000000-0005-0000-0000-0000FB0E0000}"/>
    <cellStyle name="40% - Accent2 2" xfId="3646" xr:uid="{00000000-0005-0000-0000-0000FC0E0000}"/>
    <cellStyle name="40% - Accent2 3" xfId="3647" xr:uid="{00000000-0005-0000-0000-0000FD0E0000}"/>
    <cellStyle name="40% - Accent2 4" xfId="3648" xr:uid="{00000000-0005-0000-0000-0000FE0E0000}"/>
    <cellStyle name="40% - Accent2 5" xfId="3649" xr:uid="{00000000-0005-0000-0000-0000FF0E0000}"/>
    <cellStyle name="40% - Accent2 6" xfId="3650" xr:uid="{00000000-0005-0000-0000-0000000F0000}"/>
    <cellStyle name="40% - Accent2 7" xfId="3651" xr:uid="{00000000-0005-0000-0000-0000010F0000}"/>
    <cellStyle name="40% - Accent2 8" xfId="3652" xr:uid="{00000000-0005-0000-0000-0000020F0000}"/>
    <cellStyle name="40% - Accent2 9" xfId="3653" xr:uid="{00000000-0005-0000-0000-0000030F0000}"/>
    <cellStyle name="40% - Accent3 10" xfId="3654" xr:uid="{00000000-0005-0000-0000-0000040F0000}"/>
    <cellStyle name="40% - Accent3 10 2" xfId="3655" xr:uid="{00000000-0005-0000-0000-0000050F0000}"/>
    <cellStyle name="40% - Accent3 11" xfId="3656" xr:uid="{00000000-0005-0000-0000-0000060F0000}"/>
    <cellStyle name="40% - Accent3 11 2" xfId="3657" xr:uid="{00000000-0005-0000-0000-0000070F0000}"/>
    <cellStyle name="40% - Accent3 12" xfId="3658" xr:uid="{00000000-0005-0000-0000-0000080F0000}"/>
    <cellStyle name="40% - Accent3 12 2" xfId="3659" xr:uid="{00000000-0005-0000-0000-0000090F0000}"/>
    <cellStyle name="40% - Accent3 13" xfId="3660" xr:uid="{00000000-0005-0000-0000-00000A0F0000}"/>
    <cellStyle name="40% - Accent3 13 2" xfId="3661" xr:uid="{00000000-0005-0000-0000-00000B0F0000}"/>
    <cellStyle name="40% - Accent3 14" xfId="3662" xr:uid="{00000000-0005-0000-0000-00000C0F0000}"/>
    <cellStyle name="40% - Accent3 14 2" xfId="3663" xr:uid="{00000000-0005-0000-0000-00000D0F0000}"/>
    <cellStyle name="40% - Accent3 15" xfId="3664" xr:uid="{00000000-0005-0000-0000-00000E0F0000}"/>
    <cellStyle name="40% - Accent3 15 2" xfId="3665" xr:uid="{00000000-0005-0000-0000-00000F0F0000}"/>
    <cellStyle name="40% - Accent3 16" xfId="3666" xr:uid="{00000000-0005-0000-0000-0000100F0000}"/>
    <cellStyle name="40% - Accent3 16 2" xfId="3667" xr:uid="{00000000-0005-0000-0000-0000110F0000}"/>
    <cellStyle name="40% - Accent3 17" xfId="3668" xr:uid="{00000000-0005-0000-0000-0000120F0000}"/>
    <cellStyle name="40% - Accent3 17 2" xfId="3669" xr:uid="{00000000-0005-0000-0000-0000130F0000}"/>
    <cellStyle name="40% - Accent3 18" xfId="3670" xr:uid="{00000000-0005-0000-0000-0000140F0000}"/>
    <cellStyle name="40% - Accent3 18 2" xfId="3671" xr:uid="{00000000-0005-0000-0000-0000150F0000}"/>
    <cellStyle name="40% - Accent3 19" xfId="3672" xr:uid="{00000000-0005-0000-0000-0000160F0000}"/>
    <cellStyle name="40% - Accent3 19 2" xfId="3673" xr:uid="{00000000-0005-0000-0000-0000170F0000}"/>
    <cellStyle name="40% - Accent3 2" xfId="3674" xr:uid="{00000000-0005-0000-0000-0000180F0000}"/>
    <cellStyle name="40% - Accent3 2 2" xfId="3675" xr:uid="{00000000-0005-0000-0000-0000190F0000}"/>
    <cellStyle name="40% - Accent3 20" xfId="3676" xr:uid="{00000000-0005-0000-0000-00001A0F0000}"/>
    <cellStyle name="40% - Accent3 20 2" xfId="3677" xr:uid="{00000000-0005-0000-0000-00001B0F0000}"/>
    <cellStyle name="40% - Accent3 21" xfId="3678" xr:uid="{00000000-0005-0000-0000-00001C0F0000}"/>
    <cellStyle name="40% - Accent3 21 2" xfId="3679" xr:uid="{00000000-0005-0000-0000-00001D0F0000}"/>
    <cellStyle name="40% - Accent3 22" xfId="3680" xr:uid="{00000000-0005-0000-0000-00001E0F0000}"/>
    <cellStyle name="40% - Accent3 22 2" xfId="3681" xr:uid="{00000000-0005-0000-0000-00001F0F0000}"/>
    <cellStyle name="40% - Accent3 23" xfId="3682" xr:uid="{00000000-0005-0000-0000-0000200F0000}"/>
    <cellStyle name="40% - Accent3 3" xfId="3683" xr:uid="{00000000-0005-0000-0000-0000210F0000}"/>
    <cellStyle name="40% - Accent3 3 2" xfId="3684" xr:uid="{00000000-0005-0000-0000-0000220F0000}"/>
    <cellStyle name="40% - Accent3 4" xfId="3685" xr:uid="{00000000-0005-0000-0000-0000230F0000}"/>
    <cellStyle name="40% - Accent3 4 2" xfId="3686" xr:uid="{00000000-0005-0000-0000-0000240F0000}"/>
    <cellStyle name="40% - Accent3 5" xfId="3687" xr:uid="{00000000-0005-0000-0000-0000250F0000}"/>
    <cellStyle name="40% - Accent3 5 2" xfId="3688" xr:uid="{00000000-0005-0000-0000-0000260F0000}"/>
    <cellStyle name="40% - Accent3 6" xfId="3689" xr:uid="{00000000-0005-0000-0000-0000270F0000}"/>
    <cellStyle name="40% - Accent3 6 2" xfId="3690" xr:uid="{00000000-0005-0000-0000-0000280F0000}"/>
    <cellStyle name="40% - Accent3 7" xfId="3691" xr:uid="{00000000-0005-0000-0000-0000290F0000}"/>
    <cellStyle name="40% - Accent3 7 2" xfId="3692" xr:uid="{00000000-0005-0000-0000-00002A0F0000}"/>
    <cellStyle name="40% - Accent3 8" xfId="3693" xr:uid="{00000000-0005-0000-0000-00002B0F0000}"/>
    <cellStyle name="40% - Accent3 8 2" xfId="3694" xr:uid="{00000000-0005-0000-0000-00002C0F0000}"/>
    <cellStyle name="40% - Accent3 9" xfId="3695" xr:uid="{00000000-0005-0000-0000-00002D0F0000}"/>
    <cellStyle name="40% - Accent3 9 2" xfId="3696" xr:uid="{00000000-0005-0000-0000-00002E0F0000}"/>
    <cellStyle name="40% - Accent4 10" xfId="3697" xr:uid="{00000000-0005-0000-0000-00002F0F0000}"/>
    <cellStyle name="40% - Accent4 10 2" xfId="3698" xr:uid="{00000000-0005-0000-0000-0000300F0000}"/>
    <cellStyle name="40% - Accent4 11" xfId="3699" xr:uid="{00000000-0005-0000-0000-0000310F0000}"/>
    <cellStyle name="40% - Accent4 11 2" xfId="3700" xr:uid="{00000000-0005-0000-0000-0000320F0000}"/>
    <cellStyle name="40% - Accent4 12" xfId="3701" xr:uid="{00000000-0005-0000-0000-0000330F0000}"/>
    <cellStyle name="40% - Accent4 12 2" xfId="3702" xr:uid="{00000000-0005-0000-0000-0000340F0000}"/>
    <cellStyle name="40% - Accent4 13" xfId="3703" xr:uid="{00000000-0005-0000-0000-0000350F0000}"/>
    <cellStyle name="40% - Accent4 13 2" xfId="3704" xr:uid="{00000000-0005-0000-0000-0000360F0000}"/>
    <cellStyle name="40% - Accent4 14" xfId="3705" xr:uid="{00000000-0005-0000-0000-0000370F0000}"/>
    <cellStyle name="40% - Accent4 14 2" xfId="3706" xr:uid="{00000000-0005-0000-0000-0000380F0000}"/>
    <cellStyle name="40% - Accent4 15" xfId="3707" xr:uid="{00000000-0005-0000-0000-0000390F0000}"/>
    <cellStyle name="40% - Accent4 15 2" xfId="3708" xr:uid="{00000000-0005-0000-0000-00003A0F0000}"/>
    <cellStyle name="40% - Accent4 16" xfId="3709" xr:uid="{00000000-0005-0000-0000-00003B0F0000}"/>
    <cellStyle name="40% - Accent4 16 2" xfId="3710" xr:uid="{00000000-0005-0000-0000-00003C0F0000}"/>
    <cellStyle name="40% - Accent4 17" xfId="3711" xr:uid="{00000000-0005-0000-0000-00003D0F0000}"/>
    <cellStyle name="40% - Accent4 17 2" xfId="3712" xr:uid="{00000000-0005-0000-0000-00003E0F0000}"/>
    <cellStyle name="40% - Accent4 18" xfId="3713" xr:uid="{00000000-0005-0000-0000-00003F0F0000}"/>
    <cellStyle name="40% - Accent4 18 2" xfId="3714" xr:uid="{00000000-0005-0000-0000-0000400F0000}"/>
    <cellStyle name="40% - Accent4 19" xfId="3715" xr:uid="{00000000-0005-0000-0000-0000410F0000}"/>
    <cellStyle name="40% - Accent4 19 2" xfId="3716" xr:uid="{00000000-0005-0000-0000-0000420F0000}"/>
    <cellStyle name="40% - Accent4 2" xfId="3717" xr:uid="{00000000-0005-0000-0000-0000430F0000}"/>
    <cellStyle name="40% - Accent4 2 2" xfId="3718" xr:uid="{00000000-0005-0000-0000-0000440F0000}"/>
    <cellStyle name="40% - Accent4 20" xfId="3719" xr:uid="{00000000-0005-0000-0000-0000450F0000}"/>
    <cellStyle name="40% - Accent4 20 2" xfId="3720" xr:uid="{00000000-0005-0000-0000-0000460F0000}"/>
    <cellStyle name="40% - Accent4 21" xfId="3721" xr:uid="{00000000-0005-0000-0000-0000470F0000}"/>
    <cellStyle name="40% - Accent4 21 2" xfId="3722" xr:uid="{00000000-0005-0000-0000-0000480F0000}"/>
    <cellStyle name="40% - Accent4 22" xfId="3723" xr:uid="{00000000-0005-0000-0000-0000490F0000}"/>
    <cellStyle name="40% - Accent4 22 2" xfId="3724" xr:uid="{00000000-0005-0000-0000-00004A0F0000}"/>
    <cellStyle name="40% - Accent4 23" xfId="3725" xr:uid="{00000000-0005-0000-0000-00004B0F0000}"/>
    <cellStyle name="40% - Accent4 3" xfId="3726" xr:uid="{00000000-0005-0000-0000-00004C0F0000}"/>
    <cellStyle name="40% - Accent4 3 2" xfId="3727" xr:uid="{00000000-0005-0000-0000-00004D0F0000}"/>
    <cellStyle name="40% - Accent4 4" xfId="3728" xr:uid="{00000000-0005-0000-0000-00004E0F0000}"/>
    <cellStyle name="40% - Accent4 4 2" xfId="3729" xr:uid="{00000000-0005-0000-0000-00004F0F0000}"/>
    <cellStyle name="40% - Accent4 5" xfId="3730" xr:uid="{00000000-0005-0000-0000-0000500F0000}"/>
    <cellStyle name="40% - Accent4 5 2" xfId="3731" xr:uid="{00000000-0005-0000-0000-0000510F0000}"/>
    <cellStyle name="40% - Accent4 5 6" xfId="14552" xr:uid="{1BA56173-AA06-43E9-B6A6-3A8D81903FD2}"/>
    <cellStyle name="40% - Accent4 6" xfId="3732" xr:uid="{00000000-0005-0000-0000-0000520F0000}"/>
    <cellStyle name="40% - Accent4 6 2" xfId="3733" xr:uid="{00000000-0005-0000-0000-0000530F0000}"/>
    <cellStyle name="40% - Accent4 7" xfId="3734" xr:uid="{00000000-0005-0000-0000-0000540F0000}"/>
    <cellStyle name="40% - Accent4 7 2" xfId="3735" xr:uid="{00000000-0005-0000-0000-0000550F0000}"/>
    <cellStyle name="40% - Accent4 8" xfId="3736" xr:uid="{00000000-0005-0000-0000-0000560F0000}"/>
    <cellStyle name="40% - Accent4 8 2" xfId="3737" xr:uid="{00000000-0005-0000-0000-0000570F0000}"/>
    <cellStyle name="40% - Accent4 9" xfId="3738" xr:uid="{00000000-0005-0000-0000-0000580F0000}"/>
    <cellStyle name="40% - Accent4 9 2" xfId="3739" xr:uid="{00000000-0005-0000-0000-0000590F0000}"/>
    <cellStyle name="40% - Accent5 10" xfId="3740" xr:uid="{00000000-0005-0000-0000-00005A0F0000}"/>
    <cellStyle name="40% - Accent5 10 2" xfId="3741" xr:uid="{00000000-0005-0000-0000-00005B0F0000}"/>
    <cellStyle name="40% - Accent5 11" xfId="3742" xr:uid="{00000000-0005-0000-0000-00005C0F0000}"/>
    <cellStyle name="40% - Accent5 11 2" xfId="3743" xr:uid="{00000000-0005-0000-0000-00005D0F0000}"/>
    <cellStyle name="40% - Accent5 12" xfId="3744" xr:uid="{00000000-0005-0000-0000-00005E0F0000}"/>
    <cellStyle name="40% - Accent5 12 2" xfId="3745" xr:uid="{00000000-0005-0000-0000-00005F0F0000}"/>
    <cellStyle name="40% - Accent5 13" xfId="3746" xr:uid="{00000000-0005-0000-0000-0000600F0000}"/>
    <cellStyle name="40% - Accent5 13 2" xfId="3747" xr:uid="{00000000-0005-0000-0000-0000610F0000}"/>
    <cellStyle name="40% - Accent5 14" xfId="3748" xr:uid="{00000000-0005-0000-0000-0000620F0000}"/>
    <cellStyle name="40% - Accent5 14 2" xfId="3749" xr:uid="{00000000-0005-0000-0000-0000630F0000}"/>
    <cellStyle name="40% - Accent5 15" xfId="3750" xr:uid="{00000000-0005-0000-0000-0000640F0000}"/>
    <cellStyle name="40% - Accent5 15 2" xfId="3751" xr:uid="{00000000-0005-0000-0000-0000650F0000}"/>
    <cellStyle name="40% - Accent5 16" xfId="3752" xr:uid="{00000000-0005-0000-0000-0000660F0000}"/>
    <cellStyle name="40% - Accent5 16 2" xfId="3753" xr:uid="{00000000-0005-0000-0000-0000670F0000}"/>
    <cellStyle name="40% - Accent5 17" xfId="3754" xr:uid="{00000000-0005-0000-0000-0000680F0000}"/>
    <cellStyle name="40% - Accent5 17 2" xfId="3755" xr:uid="{00000000-0005-0000-0000-0000690F0000}"/>
    <cellStyle name="40% - Accent5 18" xfId="3756" xr:uid="{00000000-0005-0000-0000-00006A0F0000}"/>
    <cellStyle name="40% - Accent5 18 2" xfId="3757" xr:uid="{00000000-0005-0000-0000-00006B0F0000}"/>
    <cellStyle name="40% - Accent5 19" xfId="3758" xr:uid="{00000000-0005-0000-0000-00006C0F0000}"/>
    <cellStyle name="40% - Accent5 19 2" xfId="3759" xr:uid="{00000000-0005-0000-0000-00006D0F0000}"/>
    <cellStyle name="40% - Accent5 2" xfId="3760" xr:uid="{00000000-0005-0000-0000-00006E0F0000}"/>
    <cellStyle name="40% - Accent5 2 2" xfId="3761" xr:uid="{00000000-0005-0000-0000-00006F0F0000}"/>
    <cellStyle name="40% - Accent5 20" xfId="3762" xr:uid="{00000000-0005-0000-0000-0000700F0000}"/>
    <cellStyle name="40% - Accent5 20 2" xfId="3763" xr:uid="{00000000-0005-0000-0000-0000710F0000}"/>
    <cellStyle name="40% - Accent5 21" xfId="3764" xr:uid="{00000000-0005-0000-0000-0000720F0000}"/>
    <cellStyle name="40% - Accent5 21 2" xfId="3765" xr:uid="{00000000-0005-0000-0000-0000730F0000}"/>
    <cellStyle name="40% - Accent5 22" xfId="3766" xr:uid="{00000000-0005-0000-0000-0000740F0000}"/>
    <cellStyle name="40% - Accent5 22 2" xfId="3767" xr:uid="{00000000-0005-0000-0000-0000750F0000}"/>
    <cellStyle name="40% - Accent5 23" xfId="3768" xr:uid="{00000000-0005-0000-0000-0000760F0000}"/>
    <cellStyle name="40% - Accent5 3" xfId="3769" xr:uid="{00000000-0005-0000-0000-0000770F0000}"/>
    <cellStyle name="40% - Accent5 3 2" xfId="3770" xr:uid="{00000000-0005-0000-0000-0000780F0000}"/>
    <cellStyle name="40% - Accent5 4" xfId="3771" xr:uid="{00000000-0005-0000-0000-0000790F0000}"/>
    <cellStyle name="40% - Accent5 4 2" xfId="3772" xr:uid="{00000000-0005-0000-0000-00007A0F0000}"/>
    <cellStyle name="40% - Accent5 5" xfId="3773" xr:uid="{00000000-0005-0000-0000-00007B0F0000}"/>
    <cellStyle name="40% - Accent5 5 2" xfId="3774" xr:uid="{00000000-0005-0000-0000-00007C0F0000}"/>
    <cellStyle name="40% - Accent5 6" xfId="3775" xr:uid="{00000000-0005-0000-0000-00007D0F0000}"/>
    <cellStyle name="40% - Accent5 6 2" xfId="3776" xr:uid="{00000000-0005-0000-0000-00007E0F0000}"/>
    <cellStyle name="40% - Accent5 7" xfId="3777" xr:uid="{00000000-0005-0000-0000-00007F0F0000}"/>
    <cellStyle name="40% - Accent5 7 2" xfId="3778" xr:uid="{00000000-0005-0000-0000-0000800F0000}"/>
    <cellStyle name="40% - Accent5 8" xfId="3779" xr:uid="{00000000-0005-0000-0000-0000810F0000}"/>
    <cellStyle name="40% - Accent5 8 2" xfId="3780" xr:uid="{00000000-0005-0000-0000-0000820F0000}"/>
    <cellStyle name="40% - Accent5 9" xfId="3781" xr:uid="{00000000-0005-0000-0000-0000830F0000}"/>
    <cellStyle name="40% - Accent5 9 2" xfId="3782" xr:uid="{00000000-0005-0000-0000-0000840F0000}"/>
    <cellStyle name="40% - Accent6 10" xfId="3783" xr:uid="{00000000-0005-0000-0000-0000850F0000}"/>
    <cellStyle name="40% - Accent6 10 2" xfId="3784" xr:uid="{00000000-0005-0000-0000-0000860F0000}"/>
    <cellStyle name="40% - Accent6 11" xfId="3785" xr:uid="{00000000-0005-0000-0000-0000870F0000}"/>
    <cellStyle name="40% - Accent6 11 2" xfId="3786" xr:uid="{00000000-0005-0000-0000-0000880F0000}"/>
    <cellStyle name="40% - Accent6 12" xfId="3787" xr:uid="{00000000-0005-0000-0000-0000890F0000}"/>
    <cellStyle name="40% - Accent6 12 2" xfId="3788" xr:uid="{00000000-0005-0000-0000-00008A0F0000}"/>
    <cellStyle name="40% - Accent6 13" xfId="3789" xr:uid="{00000000-0005-0000-0000-00008B0F0000}"/>
    <cellStyle name="40% - Accent6 13 2" xfId="3790" xr:uid="{00000000-0005-0000-0000-00008C0F0000}"/>
    <cellStyle name="40% - Accent6 14" xfId="3791" xr:uid="{00000000-0005-0000-0000-00008D0F0000}"/>
    <cellStyle name="40% - Accent6 14 2" xfId="3792" xr:uid="{00000000-0005-0000-0000-00008E0F0000}"/>
    <cellStyle name="40% - Accent6 15" xfId="3793" xr:uid="{00000000-0005-0000-0000-00008F0F0000}"/>
    <cellStyle name="40% - Accent6 15 2" xfId="3794" xr:uid="{00000000-0005-0000-0000-0000900F0000}"/>
    <cellStyle name="40% - Accent6 16" xfId="3795" xr:uid="{00000000-0005-0000-0000-0000910F0000}"/>
    <cellStyle name="40% - Accent6 16 2" xfId="3796" xr:uid="{00000000-0005-0000-0000-0000920F0000}"/>
    <cellStyle name="40% - Accent6 17" xfId="3797" xr:uid="{00000000-0005-0000-0000-0000930F0000}"/>
    <cellStyle name="40% - Accent6 17 2" xfId="3798" xr:uid="{00000000-0005-0000-0000-0000940F0000}"/>
    <cellStyle name="40% - Accent6 18" xfId="3799" xr:uid="{00000000-0005-0000-0000-0000950F0000}"/>
    <cellStyle name="40% - Accent6 18 2" xfId="3800" xr:uid="{00000000-0005-0000-0000-0000960F0000}"/>
    <cellStyle name="40% - Accent6 19" xfId="3801" xr:uid="{00000000-0005-0000-0000-0000970F0000}"/>
    <cellStyle name="40% - Accent6 19 2" xfId="3802" xr:uid="{00000000-0005-0000-0000-0000980F0000}"/>
    <cellStyle name="40% - Accent6 2" xfId="3803" xr:uid="{00000000-0005-0000-0000-0000990F0000}"/>
    <cellStyle name="40% - Accent6 2 2" xfId="3804" xr:uid="{00000000-0005-0000-0000-00009A0F0000}"/>
    <cellStyle name="40% - Accent6 20" xfId="3805" xr:uid="{00000000-0005-0000-0000-00009B0F0000}"/>
    <cellStyle name="40% - Accent6 20 2" xfId="3806" xr:uid="{00000000-0005-0000-0000-00009C0F0000}"/>
    <cellStyle name="40% - Accent6 21" xfId="3807" xr:uid="{00000000-0005-0000-0000-00009D0F0000}"/>
    <cellStyle name="40% - Accent6 21 2" xfId="3808" xr:uid="{00000000-0005-0000-0000-00009E0F0000}"/>
    <cellStyle name="40% - Accent6 22" xfId="3809" xr:uid="{00000000-0005-0000-0000-00009F0F0000}"/>
    <cellStyle name="40% - Accent6 22 2" xfId="3810" xr:uid="{00000000-0005-0000-0000-0000A00F0000}"/>
    <cellStyle name="40% - Accent6 23" xfId="3811" xr:uid="{00000000-0005-0000-0000-0000A10F0000}"/>
    <cellStyle name="40% - Accent6 3" xfId="3812" xr:uid="{00000000-0005-0000-0000-0000A20F0000}"/>
    <cellStyle name="40% - Accent6 3 2" xfId="3813" xr:uid="{00000000-0005-0000-0000-0000A30F0000}"/>
    <cellStyle name="40% - Accent6 4" xfId="3814" xr:uid="{00000000-0005-0000-0000-0000A40F0000}"/>
    <cellStyle name="40% - Accent6 4 2" xfId="3815" xr:uid="{00000000-0005-0000-0000-0000A50F0000}"/>
    <cellStyle name="40% - Accent6 5" xfId="3816" xr:uid="{00000000-0005-0000-0000-0000A60F0000}"/>
    <cellStyle name="40% - Accent6 5 2" xfId="3817" xr:uid="{00000000-0005-0000-0000-0000A70F0000}"/>
    <cellStyle name="40% - Accent6 6" xfId="3818" xr:uid="{00000000-0005-0000-0000-0000A80F0000}"/>
    <cellStyle name="40% - Accent6 6 2" xfId="3819" xr:uid="{00000000-0005-0000-0000-0000A90F0000}"/>
    <cellStyle name="40% - Accent6 7" xfId="3820" xr:uid="{00000000-0005-0000-0000-0000AA0F0000}"/>
    <cellStyle name="40% - Accent6 7 2" xfId="3821" xr:uid="{00000000-0005-0000-0000-0000AB0F0000}"/>
    <cellStyle name="40% - Accent6 8" xfId="3822" xr:uid="{00000000-0005-0000-0000-0000AC0F0000}"/>
    <cellStyle name="40% - Accent6 8 2" xfId="3823" xr:uid="{00000000-0005-0000-0000-0000AD0F0000}"/>
    <cellStyle name="40% - Accent6 9" xfId="3824" xr:uid="{00000000-0005-0000-0000-0000AE0F0000}"/>
    <cellStyle name="40% - Accent6 9 2" xfId="3825" xr:uid="{00000000-0005-0000-0000-0000AF0F0000}"/>
    <cellStyle name="40% - Nhấn1" xfId="3826" xr:uid="{00000000-0005-0000-0000-0000B00F0000}"/>
    <cellStyle name="40% - Nhấn2" xfId="3827" xr:uid="{00000000-0005-0000-0000-0000B10F0000}"/>
    <cellStyle name="40% - Nhấn3" xfId="3828" xr:uid="{00000000-0005-0000-0000-0000B20F0000}"/>
    <cellStyle name="40% - Nhấn4" xfId="3829" xr:uid="{00000000-0005-0000-0000-0000B30F0000}"/>
    <cellStyle name="40% - Nhấn5" xfId="3830" xr:uid="{00000000-0005-0000-0000-0000B40F0000}"/>
    <cellStyle name="40% - Nhấn6" xfId="3831" xr:uid="{00000000-0005-0000-0000-0000B50F0000}"/>
    <cellStyle name="40% - アクセント 1" xfId="3832" xr:uid="{00000000-0005-0000-0000-0000B60F0000}"/>
    <cellStyle name="40% - アクセント 2" xfId="3833" xr:uid="{00000000-0005-0000-0000-0000B70F0000}"/>
    <cellStyle name="40% - アクセント 3" xfId="3834" xr:uid="{00000000-0005-0000-0000-0000B80F0000}"/>
    <cellStyle name="40% - アクセント 4" xfId="3835" xr:uid="{00000000-0005-0000-0000-0000B90F0000}"/>
    <cellStyle name="40% - アクセント 5" xfId="3836" xr:uid="{00000000-0005-0000-0000-0000BA0F0000}"/>
    <cellStyle name="40% - アクセント 6" xfId="3837" xr:uid="{00000000-0005-0000-0000-0000BB0F0000}"/>
    <cellStyle name="40% - 强调文字颜色 1" xfId="3838" xr:uid="{00000000-0005-0000-0000-0000BC0F0000}"/>
    <cellStyle name="40% - 强调文字颜色 2" xfId="3839" xr:uid="{00000000-0005-0000-0000-0000BD0F0000}"/>
    <cellStyle name="40% - 强调文字颜色 3" xfId="3840" xr:uid="{00000000-0005-0000-0000-0000BE0F0000}"/>
    <cellStyle name="40% - 强调文字颜色 4" xfId="3841" xr:uid="{00000000-0005-0000-0000-0000BF0F0000}"/>
    <cellStyle name="40% - 强调文字颜色 5" xfId="3842" xr:uid="{00000000-0005-0000-0000-0000C00F0000}"/>
    <cellStyle name="40% - 强调文字颜色 6" xfId="3843" xr:uid="{00000000-0005-0000-0000-0000C10F0000}"/>
    <cellStyle name="6" xfId="3844" xr:uid="{00000000-0005-0000-0000-0000C20F0000}"/>
    <cellStyle name="6???_x0002_¯ög6hÅ‡6???_x0002_¹?ß_x0008_,Ñ‡6???_x0002_…#×&gt;Ò ‡6???_x0002_é_x0007_ß_x0008__x001c__x000b__x001e_?????_x000a_?_x0001_???????_x0014_?_x0001_???????_x001e_?fB_x000f_c????_x0018_I¿_x0008_v_x0010_‡6Ö_x0002_Ÿ6????ía??_x0012_c??????????????_x0001_?????????_x0001_?_x0001_?_x0001_?" xfId="3845" xr:uid="{00000000-0005-0000-0000-0000C30F0000}"/>
    <cellStyle name="6???_x0002_¯ög6hÅ‡6???_x0002_¹?ß_x0008_,Ñ‡6???_x0002_…#×&gt;Ò ‡6???_x0002_é_x0007_ß_x0008__x001c__x000b__x001e_?????_x000a_?_x0001_???????_x0014_?_x0001_???????_x001e_?fB_x000f_c????_x0018_I¿_x0008_v_x0010_‡6Ö_x0002_Ÿ6????_x0015_l??Õm??????????????_x0001_?????????_x0001_?_x0001_?_x0001_?" xfId="3846" xr:uid="{00000000-0005-0000-0000-0000C40F0000}"/>
    <cellStyle name="6_Du toan" xfId="3847" xr:uid="{00000000-0005-0000-0000-0000C50F0000}"/>
    <cellStyle name="6_TB" xfId="3848" xr:uid="{00000000-0005-0000-0000-0000C60F0000}"/>
    <cellStyle name="60% - Accent1 10" xfId="3849" xr:uid="{00000000-0005-0000-0000-0000C70F0000}"/>
    <cellStyle name="60% - Accent1 10 2" xfId="3850" xr:uid="{00000000-0005-0000-0000-0000C80F0000}"/>
    <cellStyle name="60% - Accent1 11" xfId="3851" xr:uid="{00000000-0005-0000-0000-0000C90F0000}"/>
    <cellStyle name="60% - Accent1 11 2" xfId="3852" xr:uid="{00000000-0005-0000-0000-0000CA0F0000}"/>
    <cellStyle name="60% - Accent1 12" xfId="3853" xr:uid="{00000000-0005-0000-0000-0000CB0F0000}"/>
    <cellStyle name="60% - Accent1 12 2" xfId="3854" xr:uid="{00000000-0005-0000-0000-0000CC0F0000}"/>
    <cellStyle name="60% - Accent1 13" xfId="3855" xr:uid="{00000000-0005-0000-0000-0000CD0F0000}"/>
    <cellStyle name="60% - Accent1 13 2" xfId="3856" xr:uid="{00000000-0005-0000-0000-0000CE0F0000}"/>
    <cellStyle name="60% - Accent1 14" xfId="3857" xr:uid="{00000000-0005-0000-0000-0000CF0F0000}"/>
    <cellStyle name="60% - Accent1 14 2" xfId="3858" xr:uid="{00000000-0005-0000-0000-0000D00F0000}"/>
    <cellStyle name="60% - Accent1 15" xfId="3859" xr:uid="{00000000-0005-0000-0000-0000D10F0000}"/>
    <cellStyle name="60% - Accent1 15 2" xfId="3860" xr:uid="{00000000-0005-0000-0000-0000D20F0000}"/>
    <cellStyle name="60% - Accent1 16" xfId="3861" xr:uid="{00000000-0005-0000-0000-0000D30F0000}"/>
    <cellStyle name="60% - Accent1 16 2" xfId="3862" xr:uid="{00000000-0005-0000-0000-0000D40F0000}"/>
    <cellStyle name="60% - Accent1 17" xfId="3863" xr:uid="{00000000-0005-0000-0000-0000D50F0000}"/>
    <cellStyle name="60% - Accent1 17 2" xfId="3864" xr:uid="{00000000-0005-0000-0000-0000D60F0000}"/>
    <cellStyle name="60% - Accent1 18" xfId="3865" xr:uid="{00000000-0005-0000-0000-0000D70F0000}"/>
    <cellStyle name="60% - Accent1 18 2" xfId="3866" xr:uid="{00000000-0005-0000-0000-0000D80F0000}"/>
    <cellStyle name="60% - Accent1 19" xfId="3867" xr:uid="{00000000-0005-0000-0000-0000D90F0000}"/>
    <cellStyle name="60% - Accent1 19 2" xfId="3868" xr:uid="{00000000-0005-0000-0000-0000DA0F0000}"/>
    <cellStyle name="60% - Accent1 2" xfId="3869" xr:uid="{00000000-0005-0000-0000-0000DB0F0000}"/>
    <cellStyle name="60% - Accent1 2 2" xfId="3870" xr:uid="{00000000-0005-0000-0000-0000DC0F0000}"/>
    <cellStyle name="60% - Accent1 20" xfId="3871" xr:uid="{00000000-0005-0000-0000-0000DD0F0000}"/>
    <cellStyle name="60% - Accent1 20 2" xfId="3872" xr:uid="{00000000-0005-0000-0000-0000DE0F0000}"/>
    <cellStyle name="60% - Accent1 21" xfId="3873" xr:uid="{00000000-0005-0000-0000-0000DF0F0000}"/>
    <cellStyle name="60% - Accent1 21 2" xfId="3874" xr:uid="{00000000-0005-0000-0000-0000E00F0000}"/>
    <cellStyle name="60% - Accent1 22" xfId="3875" xr:uid="{00000000-0005-0000-0000-0000E10F0000}"/>
    <cellStyle name="60% - Accent1 22 2" xfId="3876" xr:uid="{00000000-0005-0000-0000-0000E20F0000}"/>
    <cellStyle name="60% - Accent1 23" xfId="3877" xr:uid="{00000000-0005-0000-0000-0000E30F0000}"/>
    <cellStyle name="60% - Accent1 3" xfId="3878" xr:uid="{00000000-0005-0000-0000-0000E40F0000}"/>
    <cellStyle name="60% - Accent1 3 2" xfId="3879" xr:uid="{00000000-0005-0000-0000-0000E50F0000}"/>
    <cellStyle name="60% - Accent1 4" xfId="3880" xr:uid="{00000000-0005-0000-0000-0000E60F0000}"/>
    <cellStyle name="60% - Accent1 4 2" xfId="3881" xr:uid="{00000000-0005-0000-0000-0000E70F0000}"/>
    <cellStyle name="60% - Accent1 5" xfId="3882" xr:uid="{00000000-0005-0000-0000-0000E80F0000}"/>
    <cellStyle name="60% - Accent1 5 2" xfId="3883" xr:uid="{00000000-0005-0000-0000-0000E90F0000}"/>
    <cellStyle name="60% - Accent1 6" xfId="3884" xr:uid="{00000000-0005-0000-0000-0000EA0F0000}"/>
    <cellStyle name="60% - Accent1 6 2" xfId="3885" xr:uid="{00000000-0005-0000-0000-0000EB0F0000}"/>
    <cellStyle name="60% - Accent1 7" xfId="3886" xr:uid="{00000000-0005-0000-0000-0000EC0F0000}"/>
    <cellStyle name="60% - Accent1 7 2" xfId="3887" xr:uid="{00000000-0005-0000-0000-0000ED0F0000}"/>
    <cellStyle name="60% - Accent1 8" xfId="3888" xr:uid="{00000000-0005-0000-0000-0000EE0F0000}"/>
    <cellStyle name="60% - Accent1 8 2" xfId="3889" xr:uid="{00000000-0005-0000-0000-0000EF0F0000}"/>
    <cellStyle name="60% - Accent1 9" xfId="3890" xr:uid="{00000000-0005-0000-0000-0000F00F0000}"/>
    <cellStyle name="60% - Accent1 9 2" xfId="3891" xr:uid="{00000000-0005-0000-0000-0000F10F0000}"/>
    <cellStyle name="60% - Accent2 2" xfId="3892" xr:uid="{00000000-0005-0000-0000-0000F20F0000}"/>
    <cellStyle name="60% - Accent3 10" xfId="3893" xr:uid="{00000000-0005-0000-0000-0000F30F0000}"/>
    <cellStyle name="60% - Accent3 10 2" xfId="3894" xr:uid="{00000000-0005-0000-0000-0000F40F0000}"/>
    <cellStyle name="60% - Accent3 11" xfId="3895" xr:uid="{00000000-0005-0000-0000-0000F50F0000}"/>
    <cellStyle name="60% - Accent3 11 2" xfId="3896" xr:uid="{00000000-0005-0000-0000-0000F60F0000}"/>
    <cellStyle name="60% - Accent3 12" xfId="3897" xr:uid="{00000000-0005-0000-0000-0000F70F0000}"/>
    <cellStyle name="60% - Accent3 12 2" xfId="3898" xr:uid="{00000000-0005-0000-0000-0000F80F0000}"/>
    <cellStyle name="60% - Accent3 13" xfId="3899" xr:uid="{00000000-0005-0000-0000-0000F90F0000}"/>
    <cellStyle name="60% - Accent3 13 2" xfId="3900" xr:uid="{00000000-0005-0000-0000-0000FA0F0000}"/>
    <cellStyle name="60% - Accent3 14" xfId="3901" xr:uid="{00000000-0005-0000-0000-0000FB0F0000}"/>
    <cellStyle name="60% - Accent3 14 2" xfId="3902" xr:uid="{00000000-0005-0000-0000-0000FC0F0000}"/>
    <cellStyle name="60% - Accent3 15" xfId="3903" xr:uid="{00000000-0005-0000-0000-0000FD0F0000}"/>
    <cellStyle name="60% - Accent3 15 2" xfId="3904" xr:uid="{00000000-0005-0000-0000-0000FE0F0000}"/>
    <cellStyle name="60% - Accent3 16" xfId="3905" xr:uid="{00000000-0005-0000-0000-0000FF0F0000}"/>
    <cellStyle name="60% - Accent3 16 2" xfId="3906" xr:uid="{00000000-0005-0000-0000-000000100000}"/>
    <cellStyle name="60% - Accent3 17" xfId="3907" xr:uid="{00000000-0005-0000-0000-000001100000}"/>
    <cellStyle name="60% - Accent3 17 2" xfId="3908" xr:uid="{00000000-0005-0000-0000-000002100000}"/>
    <cellStyle name="60% - Accent3 18" xfId="3909" xr:uid="{00000000-0005-0000-0000-000003100000}"/>
    <cellStyle name="60% - Accent3 18 2" xfId="3910" xr:uid="{00000000-0005-0000-0000-000004100000}"/>
    <cellStyle name="60% - Accent3 19" xfId="3911" xr:uid="{00000000-0005-0000-0000-000005100000}"/>
    <cellStyle name="60% - Accent3 19 2" xfId="3912" xr:uid="{00000000-0005-0000-0000-000006100000}"/>
    <cellStyle name="60% - Accent3 2" xfId="3913" xr:uid="{00000000-0005-0000-0000-000007100000}"/>
    <cellStyle name="60% - Accent3 2 2" xfId="3914" xr:uid="{00000000-0005-0000-0000-000008100000}"/>
    <cellStyle name="60% - Accent3 20" xfId="3915" xr:uid="{00000000-0005-0000-0000-000009100000}"/>
    <cellStyle name="60% - Accent3 20 2" xfId="3916" xr:uid="{00000000-0005-0000-0000-00000A100000}"/>
    <cellStyle name="60% - Accent3 21" xfId="3917" xr:uid="{00000000-0005-0000-0000-00000B100000}"/>
    <cellStyle name="60% - Accent3 21 2" xfId="3918" xr:uid="{00000000-0005-0000-0000-00000C100000}"/>
    <cellStyle name="60% - Accent3 22" xfId="3919" xr:uid="{00000000-0005-0000-0000-00000D100000}"/>
    <cellStyle name="60% - Accent3 22 2" xfId="3920" xr:uid="{00000000-0005-0000-0000-00000E100000}"/>
    <cellStyle name="60% - Accent3 23" xfId="3921" xr:uid="{00000000-0005-0000-0000-00000F100000}"/>
    <cellStyle name="60% - Accent3 3" xfId="3922" xr:uid="{00000000-0005-0000-0000-000010100000}"/>
    <cellStyle name="60% - Accent3 3 2" xfId="3923" xr:uid="{00000000-0005-0000-0000-000011100000}"/>
    <cellStyle name="60% - Accent3 4" xfId="3924" xr:uid="{00000000-0005-0000-0000-000012100000}"/>
    <cellStyle name="60% - Accent3 4 2" xfId="3925" xr:uid="{00000000-0005-0000-0000-000013100000}"/>
    <cellStyle name="60% - Accent3 5" xfId="3926" xr:uid="{00000000-0005-0000-0000-000014100000}"/>
    <cellStyle name="60% - Accent3 5 2" xfId="3927" xr:uid="{00000000-0005-0000-0000-000015100000}"/>
    <cellStyle name="60% - Accent3 6" xfId="3928" xr:uid="{00000000-0005-0000-0000-000016100000}"/>
    <cellStyle name="60% - Accent3 6 2" xfId="3929" xr:uid="{00000000-0005-0000-0000-000017100000}"/>
    <cellStyle name="60% - Accent3 7" xfId="3930" xr:uid="{00000000-0005-0000-0000-000018100000}"/>
    <cellStyle name="60% - Accent3 7 2" xfId="3931" xr:uid="{00000000-0005-0000-0000-000019100000}"/>
    <cellStyle name="60% - Accent3 8" xfId="3932" xr:uid="{00000000-0005-0000-0000-00001A100000}"/>
    <cellStyle name="60% - Accent3 8 2" xfId="3933" xr:uid="{00000000-0005-0000-0000-00001B100000}"/>
    <cellStyle name="60% - Accent3 9" xfId="3934" xr:uid="{00000000-0005-0000-0000-00001C100000}"/>
    <cellStyle name="60% - Accent3 9 2" xfId="3935" xr:uid="{00000000-0005-0000-0000-00001D100000}"/>
    <cellStyle name="60% - Accent4 10" xfId="3936" xr:uid="{00000000-0005-0000-0000-00001E100000}"/>
    <cellStyle name="60% - Accent4 10 2" xfId="3937" xr:uid="{00000000-0005-0000-0000-00001F100000}"/>
    <cellStyle name="60% - Accent4 11" xfId="3938" xr:uid="{00000000-0005-0000-0000-000020100000}"/>
    <cellStyle name="60% - Accent4 11 2" xfId="3939" xr:uid="{00000000-0005-0000-0000-000021100000}"/>
    <cellStyle name="60% - Accent4 12" xfId="3940" xr:uid="{00000000-0005-0000-0000-000022100000}"/>
    <cellStyle name="60% - Accent4 12 2" xfId="3941" xr:uid="{00000000-0005-0000-0000-000023100000}"/>
    <cellStyle name="60% - Accent4 13" xfId="3942" xr:uid="{00000000-0005-0000-0000-000024100000}"/>
    <cellStyle name="60% - Accent4 13 2" xfId="3943" xr:uid="{00000000-0005-0000-0000-000025100000}"/>
    <cellStyle name="60% - Accent4 14" xfId="3944" xr:uid="{00000000-0005-0000-0000-000026100000}"/>
    <cellStyle name="60% - Accent4 14 2" xfId="3945" xr:uid="{00000000-0005-0000-0000-000027100000}"/>
    <cellStyle name="60% - Accent4 15" xfId="3946" xr:uid="{00000000-0005-0000-0000-000028100000}"/>
    <cellStyle name="60% - Accent4 15 2" xfId="3947" xr:uid="{00000000-0005-0000-0000-000029100000}"/>
    <cellStyle name="60% - Accent4 16" xfId="3948" xr:uid="{00000000-0005-0000-0000-00002A100000}"/>
    <cellStyle name="60% - Accent4 16 2" xfId="3949" xr:uid="{00000000-0005-0000-0000-00002B100000}"/>
    <cellStyle name="60% - Accent4 17" xfId="3950" xr:uid="{00000000-0005-0000-0000-00002C100000}"/>
    <cellStyle name="60% - Accent4 17 2" xfId="3951" xr:uid="{00000000-0005-0000-0000-00002D100000}"/>
    <cellStyle name="60% - Accent4 18" xfId="3952" xr:uid="{00000000-0005-0000-0000-00002E100000}"/>
    <cellStyle name="60% - Accent4 18 2" xfId="3953" xr:uid="{00000000-0005-0000-0000-00002F100000}"/>
    <cellStyle name="60% - Accent4 19" xfId="3954" xr:uid="{00000000-0005-0000-0000-000030100000}"/>
    <cellStyle name="60% - Accent4 19 2" xfId="3955" xr:uid="{00000000-0005-0000-0000-000031100000}"/>
    <cellStyle name="60% - Accent4 2" xfId="3956" xr:uid="{00000000-0005-0000-0000-000032100000}"/>
    <cellStyle name="60% - Accent4 2 2" xfId="3957" xr:uid="{00000000-0005-0000-0000-000033100000}"/>
    <cellStyle name="60% - Accent4 20" xfId="3958" xr:uid="{00000000-0005-0000-0000-000034100000}"/>
    <cellStyle name="60% - Accent4 20 2" xfId="3959" xr:uid="{00000000-0005-0000-0000-000035100000}"/>
    <cellStyle name="60% - Accent4 21" xfId="3960" xr:uid="{00000000-0005-0000-0000-000036100000}"/>
    <cellStyle name="60% - Accent4 21 2" xfId="3961" xr:uid="{00000000-0005-0000-0000-000037100000}"/>
    <cellStyle name="60% - Accent4 22" xfId="3962" xr:uid="{00000000-0005-0000-0000-000038100000}"/>
    <cellStyle name="60% - Accent4 22 2" xfId="3963" xr:uid="{00000000-0005-0000-0000-000039100000}"/>
    <cellStyle name="60% - Accent4 23" xfId="3964" xr:uid="{00000000-0005-0000-0000-00003A100000}"/>
    <cellStyle name="60% - Accent4 3" xfId="3965" xr:uid="{00000000-0005-0000-0000-00003B100000}"/>
    <cellStyle name="60% - Accent4 3 2" xfId="3966" xr:uid="{00000000-0005-0000-0000-00003C100000}"/>
    <cellStyle name="60% - Accent4 4" xfId="3967" xr:uid="{00000000-0005-0000-0000-00003D100000}"/>
    <cellStyle name="60% - Accent4 4 2" xfId="3968" xr:uid="{00000000-0005-0000-0000-00003E100000}"/>
    <cellStyle name="60% - Accent4 5" xfId="3969" xr:uid="{00000000-0005-0000-0000-00003F100000}"/>
    <cellStyle name="60% - Accent4 5 2" xfId="3970" xr:uid="{00000000-0005-0000-0000-000040100000}"/>
    <cellStyle name="60% - Accent4 6" xfId="3971" xr:uid="{00000000-0005-0000-0000-000041100000}"/>
    <cellStyle name="60% - Accent4 6 2" xfId="3972" xr:uid="{00000000-0005-0000-0000-000042100000}"/>
    <cellStyle name="60% - Accent4 7" xfId="3973" xr:uid="{00000000-0005-0000-0000-000043100000}"/>
    <cellStyle name="60% - Accent4 7 2" xfId="3974" xr:uid="{00000000-0005-0000-0000-000044100000}"/>
    <cellStyle name="60% - Accent4 8" xfId="3975" xr:uid="{00000000-0005-0000-0000-000045100000}"/>
    <cellStyle name="60% - Accent4 8 2" xfId="3976" xr:uid="{00000000-0005-0000-0000-000046100000}"/>
    <cellStyle name="60% - Accent4 9" xfId="3977" xr:uid="{00000000-0005-0000-0000-000047100000}"/>
    <cellStyle name="60% - Accent4 9 2" xfId="3978" xr:uid="{00000000-0005-0000-0000-000048100000}"/>
    <cellStyle name="60% - Accent5 2" xfId="3979" xr:uid="{00000000-0005-0000-0000-000049100000}"/>
    <cellStyle name="60% - Accent6 10" xfId="3980" xr:uid="{00000000-0005-0000-0000-00004A100000}"/>
    <cellStyle name="60% - Accent6 10 2" xfId="3981" xr:uid="{00000000-0005-0000-0000-00004B100000}"/>
    <cellStyle name="60% - Accent6 11" xfId="3982" xr:uid="{00000000-0005-0000-0000-00004C100000}"/>
    <cellStyle name="60% - Accent6 11 2" xfId="3983" xr:uid="{00000000-0005-0000-0000-00004D100000}"/>
    <cellStyle name="60% - Accent6 12" xfId="3984" xr:uid="{00000000-0005-0000-0000-00004E100000}"/>
    <cellStyle name="60% - Accent6 12 2" xfId="3985" xr:uid="{00000000-0005-0000-0000-00004F100000}"/>
    <cellStyle name="60% - Accent6 13" xfId="3986" xr:uid="{00000000-0005-0000-0000-000050100000}"/>
    <cellStyle name="60% - Accent6 13 2" xfId="3987" xr:uid="{00000000-0005-0000-0000-000051100000}"/>
    <cellStyle name="60% - Accent6 14" xfId="3988" xr:uid="{00000000-0005-0000-0000-000052100000}"/>
    <cellStyle name="60% - Accent6 14 2" xfId="3989" xr:uid="{00000000-0005-0000-0000-000053100000}"/>
    <cellStyle name="60% - Accent6 15" xfId="3990" xr:uid="{00000000-0005-0000-0000-000054100000}"/>
    <cellStyle name="60% - Accent6 15 2" xfId="3991" xr:uid="{00000000-0005-0000-0000-000055100000}"/>
    <cellStyle name="60% - Accent6 16" xfId="3992" xr:uid="{00000000-0005-0000-0000-000056100000}"/>
    <cellStyle name="60% - Accent6 16 2" xfId="3993" xr:uid="{00000000-0005-0000-0000-000057100000}"/>
    <cellStyle name="60% - Accent6 17" xfId="3994" xr:uid="{00000000-0005-0000-0000-000058100000}"/>
    <cellStyle name="60% - Accent6 17 2" xfId="3995" xr:uid="{00000000-0005-0000-0000-000059100000}"/>
    <cellStyle name="60% - Accent6 18" xfId="3996" xr:uid="{00000000-0005-0000-0000-00005A100000}"/>
    <cellStyle name="60% - Accent6 18 2" xfId="3997" xr:uid="{00000000-0005-0000-0000-00005B100000}"/>
    <cellStyle name="60% - Accent6 19" xfId="3998" xr:uid="{00000000-0005-0000-0000-00005C100000}"/>
    <cellStyle name="60% - Accent6 19 2" xfId="3999" xr:uid="{00000000-0005-0000-0000-00005D100000}"/>
    <cellStyle name="60% - Accent6 2" xfId="4000" xr:uid="{00000000-0005-0000-0000-00005E100000}"/>
    <cellStyle name="60% - Accent6 2 2" xfId="4001" xr:uid="{00000000-0005-0000-0000-00005F100000}"/>
    <cellStyle name="60% - Accent6 20" xfId="4002" xr:uid="{00000000-0005-0000-0000-000060100000}"/>
    <cellStyle name="60% - Accent6 20 2" xfId="4003" xr:uid="{00000000-0005-0000-0000-000061100000}"/>
    <cellStyle name="60% - Accent6 21" xfId="4004" xr:uid="{00000000-0005-0000-0000-000062100000}"/>
    <cellStyle name="60% - Accent6 21 2" xfId="4005" xr:uid="{00000000-0005-0000-0000-000063100000}"/>
    <cellStyle name="60% - Accent6 22" xfId="4006" xr:uid="{00000000-0005-0000-0000-000064100000}"/>
    <cellStyle name="60% - Accent6 22 2" xfId="4007" xr:uid="{00000000-0005-0000-0000-000065100000}"/>
    <cellStyle name="60% - Accent6 23" xfId="4008" xr:uid="{00000000-0005-0000-0000-000066100000}"/>
    <cellStyle name="60% - Accent6 3" xfId="4009" xr:uid="{00000000-0005-0000-0000-000067100000}"/>
    <cellStyle name="60% - Accent6 3 2" xfId="4010" xr:uid="{00000000-0005-0000-0000-000068100000}"/>
    <cellStyle name="60% - Accent6 4" xfId="4011" xr:uid="{00000000-0005-0000-0000-000069100000}"/>
    <cellStyle name="60% - Accent6 4 2" xfId="4012" xr:uid="{00000000-0005-0000-0000-00006A100000}"/>
    <cellStyle name="60% - Accent6 5" xfId="4013" xr:uid="{00000000-0005-0000-0000-00006B100000}"/>
    <cellStyle name="60% - Accent6 5 2" xfId="4014" xr:uid="{00000000-0005-0000-0000-00006C100000}"/>
    <cellStyle name="60% - Accent6 6" xfId="4015" xr:uid="{00000000-0005-0000-0000-00006D100000}"/>
    <cellStyle name="60% - Accent6 6 2" xfId="4016" xr:uid="{00000000-0005-0000-0000-00006E100000}"/>
    <cellStyle name="60% - Accent6 7" xfId="4017" xr:uid="{00000000-0005-0000-0000-00006F100000}"/>
    <cellStyle name="60% - Accent6 7 2" xfId="4018" xr:uid="{00000000-0005-0000-0000-000070100000}"/>
    <cellStyle name="60% - Accent6 8" xfId="4019" xr:uid="{00000000-0005-0000-0000-000071100000}"/>
    <cellStyle name="60% - Accent6 8 2" xfId="4020" xr:uid="{00000000-0005-0000-0000-000072100000}"/>
    <cellStyle name="60% - Accent6 9" xfId="4021" xr:uid="{00000000-0005-0000-0000-000073100000}"/>
    <cellStyle name="60% - Accent6 9 2" xfId="4022" xr:uid="{00000000-0005-0000-0000-000074100000}"/>
    <cellStyle name="60% - Nhấn1" xfId="4023" xr:uid="{00000000-0005-0000-0000-000075100000}"/>
    <cellStyle name="60% - Nhấn2" xfId="4024" xr:uid="{00000000-0005-0000-0000-000076100000}"/>
    <cellStyle name="60% - Nhấn3" xfId="4025" xr:uid="{00000000-0005-0000-0000-000077100000}"/>
    <cellStyle name="60% - Nhấn4" xfId="4026" xr:uid="{00000000-0005-0000-0000-000078100000}"/>
    <cellStyle name="60% - Nhấn5" xfId="4027" xr:uid="{00000000-0005-0000-0000-000079100000}"/>
    <cellStyle name="60% - Nhấn6" xfId="4028" xr:uid="{00000000-0005-0000-0000-00007A100000}"/>
    <cellStyle name="60% - アクセント 1" xfId="4029" xr:uid="{00000000-0005-0000-0000-00007B100000}"/>
    <cellStyle name="60% - アクセント 2" xfId="4030" xr:uid="{00000000-0005-0000-0000-00007C100000}"/>
    <cellStyle name="60% - アクセント 3" xfId="4031" xr:uid="{00000000-0005-0000-0000-00007D100000}"/>
    <cellStyle name="60% - アクセント 4" xfId="4032" xr:uid="{00000000-0005-0000-0000-00007E100000}"/>
    <cellStyle name="60% - アクセント 5" xfId="4033" xr:uid="{00000000-0005-0000-0000-00007F100000}"/>
    <cellStyle name="60% - アクセント 6" xfId="4034" xr:uid="{00000000-0005-0000-0000-000080100000}"/>
    <cellStyle name="60% - 强调文字颜色 1" xfId="4035" xr:uid="{00000000-0005-0000-0000-000081100000}"/>
    <cellStyle name="60% - 强调文字颜色 2" xfId="4036" xr:uid="{00000000-0005-0000-0000-000082100000}"/>
    <cellStyle name="60% - 强调文字颜色 3" xfId="4037" xr:uid="{00000000-0005-0000-0000-000083100000}"/>
    <cellStyle name="60% - 强调文字颜色 4" xfId="4038" xr:uid="{00000000-0005-0000-0000-000084100000}"/>
    <cellStyle name="60% - 强调文字颜色 5" xfId="4039" xr:uid="{00000000-0005-0000-0000-000085100000}"/>
    <cellStyle name="60% - 强调文字颜色 6" xfId="4040" xr:uid="{00000000-0005-0000-0000-000086100000}"/>
    <cellStyle name="a" xfId="4041" xr:uid="{00000000-0005-0000-0000-000087100000}"/>
    <cellStyle name="A¨????? [0]_??aA??" xfId="4042" xr:uid="{00000000-0005-0000-0000-000088100000}"/>
    <cellStyle name="A¨?????_??aA??" xfId="4043" xr:uid="{00000000-0005-0000-0000-000089100000}"/>
    <cellStyle name="_x0001_Å»_x001e_´ " xfId="4044" xr:uid="{00000000-0005-0000-0000-00008A100000}"/>
    <cellStyle name="_x0001_Å»_x001e_´_" xfId="4045" xr:uid="{00000000-0005-0000-0000-00008B100000}"/>
    <cellStyle name="A4 Small 210 x 297 mm" xfId="4046" xr:uid="{00000000-0005-0000-0000-00008C100000}"/>
    <cellStyle name="Accent1 - 20%" xfId="4047" xr:uid="{00000000-0005-0000-0000-00008D100000}"/>
    <cellStyle name="Accent1 - 40%" xfId="4048" xr:uid="{00000000-0005-0000-0000-00008E100000}"/>
    <cellStyle name="Accent1 - 60%" xfId="4049" xr:uid="{00000000-0005-0000-0000-00008F100000}"/>
    <cellStyle name="Accent1 10" xfId="4050" xr:uid="{00000000-0005-0000-0000-000090100000}"/>
    <cellStyle name="Accent1 10 2" xfId="4051" xr:uid="{00000000-0005-0000-0000-000091100000}"/>
    <cellStyle name="Accent1 11" xfId="4052" xr:uid="{00000000-0005-0000-0000-000092100000}"/>
    <cellStyle name="Accent1 11 2" xfId="4053" xr:uid="{00000000-0005-0000-0000-000093100000}"/>
    <cellStyle name="Accent1 12" xfId="4054" xr:uid="{00000000-0005-0000-0000-000094100000}"/>
    <cellStyle name="Accent1 12 2" xfId="4055" xr:uid="{00000000-0005-0000-0000-000095100000}"/>
    <cellStyle name="Accent1 13" xfId="4056" xr:uid="{00000000-0005-0000-0000-000096100000}"/>
    <cellStyle name="Accent1 13 2" xfId="4057" xr:uid="{00000000-0005-0000-0000-000097100000}"/>
    <cellStyle name="Accent1 14" xfId="4058" xr:uid="{00000000-0005-0000-0000-000098100000}"/>
    <cellStyle name="Accent1 14 2" xfId="4059" xr:uid="{00000000-0005-0000-0000-000099100000}"/>
    <cellStyle name="Accent1 15" xfId="4060" xr:uid="{00000000-0005-0000-0000-00009A100000}"/>
    <cellStyle name="Accent1 15 2" xfId="4061" xr:uid="{00000000-0005-0000-0000-00009B100000}"/>
    <cellStyle name="Accent1 16" xfId="4062" xr:uid="{00000000-0005-0000-0000-00009C100000}"/>
    <cellStyle name="Accent1 16 2" xfId="4063" xr:uid="{00000000-0005-0000-0000-00009D100000}"/>
    <cellStyle name="Accent1 17" xfId="4064" xr:uid="{00000000-0005-0000-0000-00009E100000}"/>
    <cellStyle name="Accent1 17 2" xfId="4065" xr:uid="{00000000-0005-0000-0000-00009F100000}"/>
    <cellStyle name="Accent1 18" xfId="4066" xr:uid="{00000000-0005-0000-0000-0000A0100000}"/>
    <cellStyle name="Accent1 18 2" xfId="4067" xr:uid="{00000000-0005-0000-0000-0000A1100000}"/>
    <cellStyle name="Accent1 19" xfId="4068" xr:uid="{00000000-0005-0000-0000-0000A2100000}"/>
    <cellStyle name="Accent1 19 2" xfId="4069" xr:uid="{00000000-0005-0000-0000-0000A3100000}"/>
    <cellStyle name="Accent1 2" xfId="4070" xr:uid="{00000000-0005-0000-0000-0000A4100000}"/>
    <cellStyle name="Accent1 2 2" xfId="4071" xr:uid="{00000000-0005-0000-0000-0000A5100000}"/>
    <cellStyle name="Accent1 20" xfId="4072" xr:uid="{00000000-0005-0000-0000-0000A6100000}"/>
    <cellStyle name="Accent1 20 2" xfId="4073" xr:uid="{00000000-0005-0000-0000-0000A7100000}"/>
    <cellStyle name="Accent1 21" xfId="4074" xr:uid="{00000000-0005-0000-0000-0000A8100000}"/>
    <cellStyle name="Accent1 21 2" xfId="4075" xr:uid="{00000000-0005-0000-0000-0000A9100000}"/>
    <cellStyle name="Accent1 22" xfId="4076" xr:uid="{00000000-0005-0000-0000-0000AA100000}"/>
    <cellStyle name="Accent1 22 2" xfId="4077" xr:uid="{00000000-0005-0000-0000-0000AB100000}"/>
    <cellStyle name="Accent1 23" xfId="4078" xr:uid="{00000000-0005-0000-0000-0000AC100000}"/>
    <cellStyle name="Accent1 24" xfId="4079" xr:uid="{00000000-0005-0000-0000-0000AD100000}"/>
    <cellStyle name="Accent1 25" xfId="4080" xr:uid="{00000000-0005-0000-0000-0000AE100000}"/>
    <cellStyle name="Accent1 26" xfId="4081" xr:uid="{00000000-0005-0000-0000-0000AF100000}"/>
    <cellStyle name="Accent1 27" xfId="4082" xr:uid="{00000000-0005-0000-0000-0000B0100000}"/>
    <cellStyle name="Accent1 28" xfId="4083" xr:uid="{00000000-0005-0000-0000-0000B1100000}"/>
    <cellStyle name="Accent1 29" xfId="4084" xr:uid="{00000000-0005-0000-0000-0000B2100000}"/>
    <cellStyle name="Accent1 3" xfId="4085" xr:uid="{00000000-0005-0000-0000-0000B3100000}"/>
    <cellStyle name="Accent1 3 2" xfId="4086" xr:uid="{00000000-0005-0000-0000-0000B4100000}"/>
    <cellStyle name="Accent1 30" xfId="4087" xr:uid="{00000000-0005-0000-0000-0000B5100000}"/>
    <cellStyle name="Accent1 31" xfId="4088" xr:uid="{00000000-0005-0000-0000-0000B6100000}"/>
    <cellStyle name="Accent1 32" xfId="4089" xr:uid="{00000000-0005-0000-0000-0000B7100000}"/>
    <cellStyle name="Accent1 4" xfId="4090" xr:uid="{00000000-0005-0000-0000-0000B8100000}"/>
    <cellStyle name="Accent1 4 2" xfId="4091" xr:uid="{00000000-0005-0000-0000-0000B9100000}"/>
    <cellStyle name="Accent1 5" xfId="4092" xr:uid="{00000000-0005-0000-0000-0000BA100000}"/>
    <cellStyle name="Accent1 5 2" xfId="4093" xr:uid="{00000000-0005-0000-0000-0000BB100000}"/>
    <cellStyle name="Accent1 6" xfId="4094" xr:uid="{00000000-0005-0000-0000-0000BC100000}"/>
    <cellStyle name="Accent1 6 2" xfId="4095" xr:uid="{00000000-0005-0000-0000-0000BD100000}"/>
    <cellStyle name="Accent1 7" xfId="4096" xr:uid="{00000000-0005-0000-0000-0000BE100000}"/>
    <cellStyle name="Accent1 7 2" xfId="4097" xr:uid="{00000000-0005-0000-0000-0000BF100000}"/>
    <cellStyle name="Accent1 8" xfId="4098" xr:uid="{00000000-0005-0000-0000-0000C0100000}"/>
    <cellStyle name="Accent1 8 2" xfId="4099" xr:uid="{00000000-0005-0000-0000-0000C1100000}"/>
    <cellStyle name="Accent1 9" xfId="4100" xr:uid="{00000000-0005-0000-0000-0000C2100000}"/>
    <cellStyle name="Accent1 9 2" xfId="4101" xr:uid="{00000000-0005-0000-0000-0000C3100000}"/>
    <cellStyle name="Accent2 - 20%" xfId="4102" xr:uid="{00000000-0005-0000-0000-0000C4100000}"/>
    <cellStyle name="Accent2 - 40%" xfId="4103" xr:uid="{00000000-0005-0000-0000-0000C5100000}"/>
    <cellStyle name="Accent2 - 60%" xfId="4104" xr:uid="{00000000-0005-0000-0000-0000C6100000}"/>
    <cellStyle name="Accent2 10" xfId="4105" xr:uid="{00000000-0005-0000-0000-0000C7100000}"/>
    <cellStyle name="Accent2 11" xfId="4106" xr:uid="{00000000-0005-0000-0000-0000C8100000}"/>
    <cellStyle name="Accent2 2" xfId="4107" xr:uid="{00000000-0005-0000-0000-0000C9100000}"/>
    <cellStyle name="Accent2 3" xfId="4108" xr:uid="{00000000-0005-0000-0000-0000CA100000}"/>
    <cellStyle name="Accent2 4" xfId="4109" xr:uid="{00000000-0005-0000-0000-0000CB100000}"/>
    <cellStyle name="Accent2 5" xfId="4110" xr:uid="{00000000-0005-0000-0000-0000CC100000}"/>
    <cellStyle name="Accent2 6" xfId="4111" xr:uid="{00000000-0005-0000-0000-0000CD100000}"/>
    <cellStyle name="Accent2 7" xfId="4112" xr:uid="{00000000-0005-0000-0000-0000CE100000}"/>
    <cellStyle name="Accent2 8" xfId="4113" xr:uid="{00000000-0005-0000-0000-0000CF100000}"/>
    <cellStyle name="Accent2 9" xfId="4114" xr:uid="{00000000-0005-0000-0000-0000D0100000}"/>
    <cellStyle name="Accent3 - 20%" xfId="4115" xr:uid="{00000000-0005-0000-0000-0000D1100000}"/>
    <cellStyle name="Accent3 - 40%" xfId="4116" xr:uid="{00000000-0005-0000-0000-0000D2100000}"/>
    <cellStyle name="Accent3 - 60%" xfId="4117" xr:uid="{00000000-0005-0000-0000-0000D3100000}"/>
    <cellStyle name="Accent3 10" xfId="4118" xr:uid="{00000000-0005-0000-0000-0000D4100000}"/>
    <cellStyle name="Accent3 11" xfId="4119" xr:uid="{00000000-0005-0000-0000-0000D5100000}"/>
    <cellStyle name="Accent3 2" xfId="4120" xr:uid="{00000000-0005-0000-0000-0000D6100000}"/>
    <cellStyle name="Accent3 3" xfId="4121" xr:uid="{00000000-0005-0000-0000-0000D7100000}"/>
    <cellStyle name="Accent3 4" xfId="4122" xr:uid="{00000000-0005-0000-0000-0000D8100000}"/>
    <cellStyle name="Accent3 5" xfId="4123" xr:uid="{00000000-0005-0000-0000-0000D9100000}"/>
    <cellStyle name="Accent3 6" xfId="4124" xr:uid="{00000000-0005-0000-0000-0000DA100000}"/>
    <cellStyle name="Accent3 7" xfId="4125" xr:uid="{00000000-0005-0000-0000-0000DB100000}"/>
    <cellStyle name="Accent3 8" xfId="4126" xr:uid="{00000000-0005-0000-0000-0000DC100000}"/>
    <cellStyle name="Accent3 9" xfId="4127" xr:uid="{00000000-0005-0000-0000-0000DD100000}"/>
    <cellStyle name="Accent4 - 20%" xfId="4128" xr:uid="{00000000-0005-0000-0000-0000DE100000}"/>
    <cellStyle name="Accent4 - 40%" xfId="4129" xr:uid="{00000000-0005-0000-0000-0000DF100000}"/>
    <cellStyle name="Accent4 - 60%" xfId="4130" xr:uid="{00000000-0005-0000-0000-0000E0100000}"/>
    <cellStyle name="Accent4 10" xfId="4131" xr:uid="{00000000-0005-0000-0000-0000E1100000}"/>
    <cellStyle name="Accent4 10 2" xfId="4132" xr:uid="{00000000-0005-0000-0000-0000E2100000}"/>
    <cellStyle name="Accent4 11" xfId="4133" xr:uid="{00000000-0005-0000-0000-0000E3100000}"/>
    <cellStyle name="Accent4 11 2" xfId="4134" xr:uid="{00000000-0005-0000-0000-0000E4100000}"/>
    <cellStyle name="Accent4 12" xfId="4135" xr:uid="{00000000-0005-0000-0000-0000E5100000}"/>
    <cellStyle name="Accent4 12 2" xfId="4136" xr:uid="{00000000-0005-0000-0000-0000E6100000}"/>
    <cellStyle name="Accent4 13" xfId="4137" xr:uid="{00000000-0005-0000-0000-0000E7100000}"/>
    <cellStyle name="Accent4 13 2" xfId="4138" xr:uid="{00000000-0005-0000-0000-0000E8100000}"/>
    <cellStyle name="Accent4 14" xfId="4139" xr:uid="{00000000-0005-0000-0000-0000E9100000}"/>
    <cellStyle name="Accent4 14 2" xfId="4140" xr:uid="{00000000-0005-0000-0000-0000EA100000}"/>
    <cellStyle name="Accent4 15" xfId="4141" xr:uid="{00000000-0005-0000-0000-0000EB100000}"/>
    <cellStyle name="Accent4 15 2" xfId="4142" xr:uid="{00000000-0005-0000-0000-0000EC100000}"/>
    <cellStyle name="Accent4 16" xfId="4143" xr:uid="{00000000-0005-0000-0000-0000ED100000}"/>
    <cellStyle name="Accent4 16 2" xfId="4144" xr:uid="{00000000-0005-0000-0000-0000EE100000}"/>
    <cellStyle name="Accent4 17" xfId="4145" xr:uid="{00000000-0005-0000-0000-0000EF100000}"/>
    <cellStyle name="Accent4 17 2" xfId="4146" xr:uid="{00000000-0005-0000-0000-0000F0100000}"/>
    <cellStyle name="Accent4 18" xfId="4147" xr:uid="{00000000-0005-0000-0000-0000F1100000}"/>
    <cellStyle name="Accent4 18 2" xfId="4148" xr:uid="{00000000-0005-0000-0000-0000F2100000}"/>
    <cellStyle name="Accent4 19" xfId="4149" xr:uid="{00000000-0005-0000-0000-0000F3100000}"/>
    <cellStyle name="Accent4 19 2" xfId="4150" xr:uid="{00000000-0005-0000-0000-0000F4100000}"/>
    <cellStyle name="Accent4 2" xfId="4151" xr:uid="{00000000-0005-0000-0000-0000F5100000}"/>
    <cellStyle name="Accent4 2 2" xfId="4152" xr:uid="{00000000-0005-0000-0000-0000F6100000}"/>
    <cellStyle name="Accent4 20" xfId="4153" xr:uid="{00000000-0005-0000-0000-0000F7100000}"/>
    <cellStyle name="Accent4 20 2" xfId="4154" xr:uid="{00000000-0005-0000-0000-0000F8100000}"/>
    <cellStyle name="Accent4 21" xfId="4155" xr:uid="{00000000-0005-0000-0000-0000F9100000}"/>
    <cellStyle name="Accent4 21 2" xfId="4156" xr:uid="{00000000-0005-0000-0000-0000FA100000}"/>
    <cellStyle name="Accent4 22" xfId="4157" xr:uid="{00000000-0005-0000-0000-0000FB100000}"/>
    <cellStyle name="Accent4 22 2" xfId="4158" xr:uid="{00000000-0005-0000-0000-0000FC100000}"/>
    <cellStyle name="Accent4 23" xfId="4159" xr:uid="{00000000-0005-0000-0000-0000FD100000}"/>
    <cellStyle name="Accent4 24" xfId="4160" xr:uid="{00000000-0005-0000-0000-0000FE100000}"/>
    <cellStyle name="Accent4 25" xfId="4161" xr:uid="{00000000-0005-0000-0000-0000FF100000}"/>
    <cellStyle name="Accent4 26" xfId="4162" xr:uid="{00000000-0005-0000-0000-000000110000}"/>
    <cellStyle name="Accent4 27" xfId="4163" xr:uid="{00000000-0005-0000-0000-000001110000}"/>
    <cellStyle name="Accent4 28" xfId="4164" xr:uid="{00000000-0005-0000-0000-000002110000}"/>
    <cellStyle name="Accent4 29" xfId="4165" xr:uid="{00000000-0005-0000-0000-000003110000}"/>
    <cellStyle name="Accent4 3" xfId="4166" xr:uid="{00000000-0005-0000-0000-000004110000}"/>
    <cellStyle name="Accent4 3 2" xfId="4167" xr:uid="{00000000-0005-0000-0000-000005110000}"/>
    <cellStyle name="Accent4 30" xfId="4168" xr:uid="{00000000-0005-0000-0000-000006110000}"/>
    <cellStyle name="Accent4 31" xfId="4169" xr:uid="{00000000-0005-0000-0000-000007110000}"/>
    <cellStyle name="Accent4 32" xfId="4170" xr:uid="{00000000-0005-0000-0000-000008110000}"/>
    <cellStyle name="Accent4 4" xfId="4171" xr:uid="{00000000-0005-0000-0000-000009110000}"/>
    <cellStyle name="Accent4 4 2" xfId="4172" xr:uid="{00000000-0005-0000-0000-00000A110000}"/>
    <cellStyle name="Accent4 5" xfId="4173" xr:uid="{00000000-0005-0000-0000-00000B110000}"/>
    <cellStyle name="Accent4 5 2" xfId="4174" xr:uid="{00000000-0005-0000-0000-00000C110000}"/>
    <cellStyle name="Accent4 6" xfId="4175" xr:uid="{00000000-0005-0000-0000-00000D110000}"/>
    <cellStyle name="Accent4 6 2" xfId="4176" xr:uid="{00000000-0005-0000-0000-00000E110000}"/>
    <cellStyle name="Accent4 7" xfId="4177" xr:uid="{00000000-0005-0000-0000-00000F110000}"/>
    <cellStyle name="Accent4 7 2" xfId="4178" xr:uid="{00000000-0005-0000-0000-000010110000}"/>
    <cellStyle name="Accent4 8" xfId="4179" xr:uid="{00000000-0005-0000-0000-000011110000}"/>
    <cellStyle name="Accent4 8 2" xfId="4180" xr:uid="{00000000-0005-0000-0000-000012110000}"/>
    <cellStyle name="Accent4 9" xfId="4181" xr:uid="{00000000-0005-0000-0000-000013110000}"/>
    <cellStyle name="Accent4 9 2" xfId="4182" xr:uid="{00000000-0005-0000-0000-000014110000}"/>
    <cellStyle name="Accent5 - 20%" xfId="4183" xr:uid="{00000000-0005-0000-0000-000015110000}"/>
    <cellStyle name="Accent5 - 40%" xfId="4184" xr:uid="{00000000-0005-0000-0000-000016110000}"/>
    <cellStyle name="Accent5 - 60%" xfId="4185" xr:uid="{00000000-0005-0000-0000-000017110000}"/>
    <cellStyle name="Accent5 10" xfId="4186" xr:uid="{00000000-0005-0000-0000-000018110000}"/>
    <cellStyle name="Accent5 11" xfId="4187" xr:uid="{00000000-0005-0000-0000-000019110000}"/>
    <cellStyle name="Accent5 2" xfId="4188" xr:uid="{00000000-0005-0000-0000-00001A110000}"/>
    <cellStyle name="Accent5 3" xfId="4189" xr:uid="{00000000-0005-0000-0000-00001B110000}"/>
    <cellStyle name="Accent5 4" xfId="4190" xr:uid="{00000000-0005-0000-0000-00001C110000}"/>
    <cellStyle name="Accent5 5" xfId="4191" xr:uid="{00000000-0005-0000-0000-00001D110000}"/>
    <cellStyle name="Accent5 6" xfId="4192" xr:uid="{00000000-0005-0000-0000-00001E110000}"/>
    <cellStyle name="Accent5 7" xfId="4193" xr:uid="{00000000-0005-0000-0000-00001F110000}"/>
    <cellStyle name="Accent5 8" xfId="4194" xr:uid="{00000000-0005-0000-0000-000020110000}"/>
    <cellStyle name="Accent5 9" xfId="4195" xr:uid="{00000000-0005-0000-0000-000021110000}"/>
    <cellStyle name="Accent6 - 20%" xfId="4196" xr:uid="{00000000-0005-0000-0000-000022110000}"/>
    <cellStyle name="Accent6 - 40%" xfId="4197" xr:uid="{00000000-0005-0000-0000-000023110000}"/>
    <cellStyle name="Accent6 - 60%" xfId="4198" xr:uid="{00000000-0005-0000-0000-000024110000}"/>
    <cellStyle name="Accent6 10" xfId="4199" xr:uid="{00000000-0005-0000-0000-000025110000}"/>
    <cellStyle name="Accent6 11" xfId="4200" xr:uid="{00000000-0005-0000-0000-000026110000}"/>
    <cellStyle name="Accent6 2" xfId="4201" xr:uid="{00000000-0005-0000-0000-000027110000}"/>
    <cellStyle name="Accent6 3" xfId="4202" xr:uid="{00000000-0005-0000-0000-000028110000}"/>
    <cellStyle name="Accent6 4" xfId="4203" xr:uid="{00000000-0005-0000-0000-000029110000}"/>
    <cellStyle name="Accent6 5" xfId="4204" xr:uid="{00000000-0005-0000-0000-00002A110000}"/>
    <cellStyle name="Accent6 6" xfId="4205" xr:uid="{00000000-0005-0000-0000-00002B110000}"/>
    <cellStyle name="Accent6 7" xfId="4206" xr:uid="{00000000-0005-0000-0000-00002C110000}"/>
    <cellStyle name="Accent6 8" xfId="4207" xr:uid="{00000000-0005-0000-0000-00002D110000}"/>
    <cellStyle name="Accent6 9" xfId="4208" xr:uid="{00000000-0005-0000-0000-00002E110000}"/>
    <cellStyle name="Account" xfId="14524" xr:uid="{00000000-0005-0000-0000-00002F110000}"/>
    <cellStyle name="Actual Date" xfId="4209" xr:uid="{00000000-0005-0000-0000-000030110000}"/>
    <cellStyle name="ÅëÈ­ [0]_      " xfId="4210" xr:uid="{00000000-0005-0000-0000-000031110000}"/>
    <cellStyle name="AeE­ [0]_´eAN°yC￥ " xfId="4211" xr:uid="{00000000-0005-0000-0000-000032110000}"/>
    <cellStyle name="ÅëÈ­ [0]_L601CPT" xfId="4212" xr:uid="{00000000-0005-0000-0000-000033110000}"/>
    <cellStyle name="AeE?? [0]_??aA??" xfId="4213" xr:uid="{00000000-0005-0000-0000-000034110000}"/>
    <cellStyle name="AeE??_??aA??" xfId="4214" xr:uid="{00000000-0005-0000-0000-000035110000}"/>
    <cellStyle name="ÅëÈ­_      " xfId="4215" xr:uid="{00000000-0005-0000-0000-000036110000}"/>
    <cellStyle name="AeE­_´eAN°yC￥ " xfId="4216" xr:uid="{00000000-0005-0000-0000-000037110000}"/>
    <cellStyle name="ÅëÈ­_L601CPT" xfId="4217" xr:uid="{00000000-0005-0000-0000-000038110000}"/>
    <cellStyle name="Amps(0)" xfId="4218" xr:uid="{00000000-0005-0000-0000-000039110000}"/>
    <cellStyle name="Amps(2)" xfId="4219" xr:uid="{00000000-0005-0000-0000-00003A110000}"/>
    <cellStyle name="APPEAR" xfId="4220" xr:uid="{00000000-0005-0000-0000-00003B110000}"/>
    <cellStyle name="args.style" xfId="4221" xr:uid="{00000000-0005-0000-0000-00003C110000}"/>
    <cellStyle name="Arial10" xfId="4222" xr:uid="{00000000-0005-0000-0000-00003D110000}"/>
    <cellStyle name="ÄÞ¸¶ [0]_      " xfId="4223" xr:uid="{00000000-0005-0000-0000-00003E110000}"/>
    <cellStyle name="AÞ¸¶ [0]_´eAN°yC￥ " xfId="4224" xr:uid="{00000000-0005-0000-0000-00003F110000}"/>
    <cellStyle name="ÄÞ¸¶ [0]_L601CPT" xfId="4225" xr:uid="{00000000-0005-0000-0000-000040110000}"/>
    <cellStyle name="ÄÞ¸¶_      " xfId="4226" xr:uid="{00000000-0005-0000-0000-000041110000}"/>
    <cellStyle name="AÞ¸¶_´eAN°yC￥ " xfId="4227" xr:uid="{00000000-0005-0000-0000-000042110000}"/>
    <cellStyle name="ÄÞ¸¶_L601CPT" xfId="4228" xr:uid="{00000000-0005-0000-0000-000043110000}"/>
    <cellStyle name="AutoFormat Options" xfId="4229" xr:uid="{00000000-0005-0000-0000-000044110000}"/>
    <cellStyle name="Bad 2" xfId="4230" xr:uid="{00000000-0005-0000-0000-000045110000}"/>
    <cellStyle name="Bangchu" xfId="4231" xr:uid="{00000000-0005-0000-0000-000046110000}"/>
    <cellStyle name="Body" xfId="4232" xr:uid="{00000000-0005-0000-0000-000047110000}"/>
    <cellStyle name="C??A¨?_??eE??" xfId="4233" xr:uid="{00000000-0005-0000-0000-000048110000}"/>
    <cellStyle name="C?AØ_¿?¾÷CoE² " xfId="4234" xr:uid="{00000000-0005-0000-0000-000049110000}"/>
    <cellStyle name="Ç¥ÁØ_      " xfId="4235" xr:uid="{00000000-0005-0000-0000-00004A110000}"/>
    <cellStyle name="C￥AØ_´eAN°yC￥ " xfId="4236" xr:uid="{00000000-0005-0000-0000-00004B110000}"/>
    <cellStyle name="Ç¥ÁØ_°èÈ¹" xfId="4237" xr:uid="{00000000-0005-0000-0000-00004C110000}"/>
    <cellStyle name="Calc Currency (0)" xfId="4238" xr:uid="{00000000-0005-0000-0000-00004D110000}"/>
    <cellStyle name="Calc Currency (0) 2" xfId="4239" xr:uid="{00000000-0005-0000-0000-00004E110000}"/>
    <cellStyle name="Calc Currency (2)" xfId="4240" xr:uid="{00000000-0005-0000-0000-00004F110000}"/>
    <cellStyle name="Calc Percent (0)" xfId="4241" xr:uid="{00000000-0005-0000-0000-000050110000}"/>
    <cellStyle name="Calc Percent (1)" xfId="4242" xr:uid="{00000000-0005-0000-0000-000051110000}"/>
    <cellStyle name="Calc Percent (2)" xfId="4243" xr:uid="{00000000-0005-0000-0000-000052110000}"/>
    <cellStyle name="Calc Units (0)" xfId="4244" xr:uid="{00000000-0005-0000-0000-000053110000}"/>
    <cellStyle name="Calc Units (1)" xfId="4245" xr:uid="{00000000-0005-0000-0000-000054110000}"/>
    <cellStyle name="Calc Units (2)" xfId="4246" xr:uid="{00000000-0005-0000-0000-000055110000}"/>
    <cellStyle name="Calculation 10" xfId="4247" xr:uid="{00000000-0005-0000-0000-000056110000}"/>
    <cellStyle name="Calculation 10 2" xfId="4248" xr:uid="{00000000-0005-0000-0000-000057110000}"/>
    <cellStyle name="Calculation 10 2 2" xfId="4249" xr:uid="{00000000-0005-0000-0000-000058110000}"/>
    <cellStyle name="Calculation 10 2 2 2" xfId="10535" xr:uid="{00000000-0005-0000-0000-000059110000}"/>
    <cellStyle name="Calculation 10 2 2 2 2" xfId="10536" xr:uid="{00000000-0005-0000-0000-00005A110000}"/>
    <cellStyle name="Calculation 10 2 2 3" xfId="10537" xr:uid="{00000000-0005-0000-0000-00005B110000}"/>
    <cellStyle name="Calculation 10 2 3" xfId="10538" xr:uid="{00000000-0005-0000-0000-00005C110000}"/>
    <cellStyle name="Calculation 10 2 3 2" xfId="10539" xr:uid="{00000000-0005-0000-0000-00005D110000}"/>
    <cellStyle name="Calculation 10 2 4" xfId="10540" xr:uid="{00000000-0005-0000-0000-00005E110000}"/>
    <cellStyle name="Calculation 10 3" xfId="4250" xr:uid="{00000000-0005-0000-0000-00005F110000}"/>
    <cellStyle name="Calculation 10 3 2" xfId="10541" xr:uid="{00000000-0005-0000-0000-000060110000}"/>
    <cellStyle name="Calculation 10 3 2 2" xfId="10542" xr:uid="{00000000-0005-0000-0000-000061110000}"/>
    <cellStyle name="Calculation 10 3 3" xfId="10543" xr:uid="{00000000-0005-0000-0000-000062110000}"/>
    <cellStyle name="Calculation 10 4" xfId="10544" xr:uid="{00000000-0005-0000-0000-000063110000}"/>
    <cellStyle name="Calculation 10 4 2" xfId="10545" xr:uid="{00000000-0005-0000-0000-000064110000}"/>
    <cellStyle name="Calculation 10 5" xfId="10546" xr:uid="{00000000-0005-0000-0000-000065110000}"/>
    <cellStyle name="Calculation 11" xfId="4251" xr:uid="{00000000-0005-0000-0000-000066110000}"/>
    <cellStyle name="Calculation 11 2" xfId="4252" xr:uid="{00000000-0005-0000-0000-000067110000}"/>
    <cellStyle name="Calculation 11 2 2" xfId="4253" xr:uid="{00000000-0005-0000-0000-000068110000}"/>
    <cellStyle name="Calculation 11 2 2 2" xfId="10547" xr:uid="{00000000-0005-0000-0000-000069110000}"/>
    <cellStyle name="Calculation 11 2 2 2 2" xfId="10548" xr:uid="{00000000-0005-0000-0000-00006A110000}"/>
    <cellStyle name="Calculation 11 2 2 3" xfId="10549" xr:uid="{00000000-0005-0000-0000-00006B110000}"/>
    <cellStyle name="Calculation 11 2 3" xfId="10550" xr:uid="{00000000-0005-0000-0000-00006C110000}"/>
    <cellStyle name="Calculation 11 2 3 2" xfId="10551" xr:uid="{00000000-0005-0000-0000-00006D110000}"/>
    <cellStyle name="Calculation 11 2 4" xfId="10552" xr:uid="{00000000-0005-0000-0000-00006E110000}"/>
    <cellStyle name="Calculation 11 3" xfId="4254" xr:uid="{00000000-0005-0000-0000-00006F110000}"/>
    <cellStyle name="Calculation 11 3 2" xfId="10553" xr:uid="{00000000-0005-0000-0000-000070110000}"/>
    <cellStyle name="Calculation 11 3 2 2" xfId="10554" xr:uid="{00000000-0005-0000-0000-000071110000}"/>
    <cellStyle name="Calculation 11 3 3" xfId="10555" xr:uid="{00000000-0005-0000-0000-000072110000}"/>
    <cellStyle name="Calculation 11 4" xfId="10556" xr:uid="{00000000-0005-0000-0000-000073110000}"/>
    <cellStyle name="Calculation 11 4 2" xfId="10557" xr:uid="{00000000-0005-0000-0000-000074110000}"/>
    <cellStyle name="Calculation 11 5" xfId="10558" xr:uid="{00000000-0005-0000-0000-000075110000}"/>
    <cellStyle name="Calculation 12" xfId="4255" xr:uid="{00000000-0005-0000-0000-000076110000}"/>
    <cellStyle name="Calculation 12 2" xfId="4256" xr:uid="{00000000-0005-0000-0000-000077110000}"/>
    <cellStyle name="Calculation 12 2 2" xfId="4257" xr:uid="{00000000-0005-0000-0000-000078110000}"/>
    <cellStyle name="Calculation 12 2 2 2" xfId="10559" xr:uid="{00000000-0005-0000-0000-000079110000}"/>
    <cellStyle name="Calculation 12 2 2 2 2" xfId="10560" xr:uid="{00000000-0005-0000-0000-00007A110000}"/>
    <cellStyle name="Calculation 12 2 2 3" xfId="10561" xr:uid="{00000000-0005-0000-0000-00007B110000}"/>
    <cellStyle name="Calculation 12 2 3" xfId="10562" xr:uid="{00000000-0005-0000-0000-00007C110000}"/>
    <cellStyle name="Calculation 12 2 3 2" xfId="10563" xr:uid="{00000000-0005-0000-0000-00007D110000}"/>
    <cellStyle name="Calculation 12 2 4" xfId="10564" xr:uid="{00000000-0005-0000-0000-00007E110000}"/>
    <cellStyle name="Calculation 12 3" xfId="4258" xr:uid="{00000000-0005-0000-0000-00007F110000}"/>
    <cellStyle name="Calculation 12 3 2" xfId="10565" xr:uid="{00000000-0005-0000-0000-000080110000}"/>
    <cellStyle name="Calculation 12 3 2 2" xfId="10566" xr:uid="{00000000-0005-0000-0000-000081110000}"/>
    <cellStyle name="Calculation 12 3 3" xfId="10567" xr:uid="{00000000-0005-0000-0000-000082110000}"/>
    <cellStyle name="Calculation 12 4" xfId="10568" xr:uid="{00000000-0005-0000-0000-000083110000}"/>
    <cellStyle name="Calculation 12 4 2" xfId="10569" xr:uid="{00000000-0005-0000-0000-000084110000}"/>
    <cellStyle name="Calculation 12 5" xfId="10570" xr:uid="{00000000-0005-0000-0000-000085110000}"/>
    <cellStyle name="Calculation 13" xfId="4259" xr:uid="{00000000-0005-0000-0000-000086110000}"/>
    <cellStyle name="Calculation 13 2" xfId="4260" xr:uid="{00000000-0005-0000-0000-000087110000}"/>
    <cellStyle name="Calculation 13 2 2" xfId="4261" xr:uid="{00000000-0005-0000-0000-000088110000}"/>
    <cellStyle name="Calculation 13 2 2 2" xfId="10571" xr:uid="{00000000-0005-0000-0000-000089110000}"/>
    <cellStyle name="Calculation 13 2 2 2 2" xfId="10572" xr:uid="{00000000-0005-0000-0000-00008A110000}"/>
    <cellStyle name="Calculation 13 2 2 3" xfId="10573" xr:uid="{00000000-0005-0000-0000-00008B110000}"/>
    <cellStyle name="Calculation 13 2 3" xfId="10574" xr:uid="{00000000-0005-0000-0000-00008C110000}"/>
    <cellStyle name="Calculation 13 2 3 2" xfId="10575" xr:uid="{00000000-0005-0000-0000-00008D110000}"/>
    <cellStyle name="Calculation 13 2 4" xfId="10576" xr:uid="{00000000-0005-0000-0000-00008E110000}"/>
    <cellStyle name="Calculation 13 3" xfId="4262" xr:uid="{00000000-0005-0000-0000-00008F110000}"/>
    <cellStyle name="Calculation 13 3 2" xfId="10577" xr:uid="{00000000-0005-0000-0000-000090110000}"/>
    <cellStyle name="Calculation 13 3 2 2" xfId="10578" xr:uid="{00000000-0005-0000-0000-000091110000}"/>
    <cellStyle name="Calculation 13 3 3" xfId="10579" xr:uid="{00000000-0005-0000-0000-000092110000}"/>
    <cellStyle name="Calculation 13 4" xfId="10580" xr:uid="{00000000-0005-0000-0000-000093110000}"/>
    <cellStyle name="Calculation 13 4 2" xfId="10581" xr:uid="{00000000-0005-0000-0000-000094110000}"/>
    <cellStyle name="Calculation 13 5" xfId="10582" xr:uid="{00000000-0005-0000-0000-000095110000}"/>
    <cellStyle name="Calculation 14" xfId="4263" xr:uid="{00000000-0005-0000-0000-000096110000}"/>
    <cellStyle name="Calculation 14 2" xfId="4264" xr:uid="{00000000-0005-0000-0000-000097110000}"/>
    <cellStyle name="Calculation 14 2 2" xfId="4265" xr:uid="{00000000-0005-0000-0000-000098110000}"/>
    <cellStyle name="Calculation 14 2 2 2" xfId="10583" xr:uid="{00000000-0005-0000-0000-000099110000}"/>
    <cellStyle name="Calculation 14 2 2 2 2" xfId="10584" xr:uid="{00000000-0005-0000-0000-00009A110000}"/>
    <cellStyle name="Calculation 14 2 2 3" xfId="10585" xr:uid="{00000000-0005-0000-0000-00009B110000}"/>
    <cellStyle name="Calculation 14 2 3" xfId="10586" xr:uid="{00000000-0005-0000-0000-00009C110000}"/>
    <cellStyle name="Calculation 14 2 3 2" xfId="10587" xr:uid="{00000000-0005-0000-0000-00009D110000}"/>
    <cellStyle name="Calculation 14 2 4" xfId="10588" xr:uid="{00000000-0005-0000-0000-00009E110000}"/>
    <cellStyle name="Calculation 14 3" xfId="4266" xr:uid="{00000000-0005-0000-0000-00009F110000}"/>
    <cellStyle name="Calculation 14 3 2" xfId="10589" xr:uid="{00000000-0005-0000-0000-0000A0110000}"/>
    <cellStyle name="Calculation 14 3 2 2" xfId="10590" xr:uid="{00000000-0005-0000-0000-0000A1110000}"/>
    <cellStyle name="Calculation 14 3 3" xfId="10591" xr:uid="{00000000-0005-0000-0000-0000A2110000}"/>
    <cellStyle name="Calculation 14 4" xfId="10592" xr:uid="{00000000-0005-0000-0000-0000A3110000}"/>
    <cellStyle name="Calculation 14 4 2" xfId="10593" xr:uid="{00000000-0005-0000-0000-0000A4110000}"/>
    <cellStyle name="Calculation 14 5" xfId="10594" xr:uid="{00000000-0005-0000-0000-0000A5110000}"/>
    <cellStyle name="Calculation 15" xfId="4267" xr:uid="{00000000-0005-0000-0000-0000A6110000}"/>
    <cellStyle name="Calculation 15 2" xfId="4268" xr:uid="{00000000-0005-0000-0000-0000A7110000}"/>
    <cellStyle name="Calculation 15 2 2" xfId="4269" xr:uid="{00000000-0005-0000-0000-0000A8110000}"/>
    <cellStyle name="Calculation 15 2 2 2" xfId="10595" xr:uid="{00000000-0005-0000-0000-0000A9110000}"/>
    <cellStyle name="Calculation 15 2 2 2 2" xfId="10596" xr:uid="{00000000-0005-0000-0000-0000AA110000}"/>
    <cellStyle name="Calculation 15 2 2 3" xfId="10597" xr:uid="{00000000-0005-0000-0000-0000AB110000}"/>
    <cellStyle name="Calculation 15 2 3" xfId="10598" xr:uid="{00000000-0005-0000-0000-0000AC110000}"/>
    <cellStyle name="Calculation 15 2 3 2" xfId="10599" xr:uid="{00000000-0005-0000-0000-0000AD110000}"/>
    <cellStyle name="Calculation 15 2 4" xfId="10600" xr:uid="{00000000-0005-0000-0000-0000AE110000}"/>
    <cellStyle name="Calculation 15 3" xfId="4270" xr:uid="{00000000-0005-0000-0000-0000AF110000}"/>
    <cellStyle name="Calculation 15 3 2" xfId="10601" xr:uid="{00000000-0005-0000-0000-0000B0110000}"/>
    <cellStyle name="Calculation 15 3 2 2" xfId="10602" xr:uid="{00000000-0005-0000-0000-0000B1110000}"/>
    <cellStyle name="Calculation 15 3 3" xfId="10603" xr:uid="{00000000-0005-0000-0000-0000B2110000}"/>
    <cellStyle name="Calculation 15 4" xfId="10604" xr:uid="{00000000-0005-0000-0000-0000B3110000}"/>
    <cellStyle name="Calculation 15 4 2" xfId="10605" xr:uid="{00000000-0005-0000-0000-0000B4110000}"/>
    <cellStyle name="Calculation 15 5" xfId="10606" xr:uid="{00000000-0005-0000-0000-0000B5110000}"/>
    <cellStyle name="Calculation 16" xfId="4271" xr:uid="{00000000-0005-0000-0000-0000B6110000}"/>
    <cellStyle name="Calculation 16 2" xfId="4272" xr:uid="{00000000-0005-0000-0000-0000B7110000}"/>
    <cellStyle name="Calculation 16 2 2" xfId="4273" xr:uid="{00000000-0005-0000-0000-0000B8110000}"/>
    <cellStyle name="Calculation 16 2 2 2" xfId="10607" xr:uid="{00000000-0005-0000-0000-0000B9110000}"/>
    <cellStyle name="Calculation 16 2 2 2 2" xfId="10608" xr:uid="{00000000-0005-0000-0000-0000BA110000}"/>
    <cellStyle name="Calculation 16 2 2 3" xfId="10609" xr:uid="{00000000-0005-0000-0000-0000BB110000}"/>
    <cellStyle name="Calculation 16 2 3" xfId="10610" xr:uid="{00000000-0005-0000-0000-0000BC110000}"/>
    <cellStyle name="Calculation 16 2 3 2" xfId="10611" xr:uid="{00000000-0005-0000-0000-0000BD110000}"/>
    <cellStyle name="Calculation 16 2 4" xfId="10612" xr:uid="{00000000-0005-0000-0000-0000BE110000}"/>
    <cellStyle name="Calculation 16 3" xfId="4274" xr:uid="{00000000-0005-0000-0000-0000BF110000}"/>
    <cellStyle name="Calculation 16 3 2" xfId="10613" xr:uid="{00000000-0005-0000-0000-0000C0110000}"/>
    <cellStyle name="Calculation 16 3 2 2" xfId="10614" xr:uid="{00000000-0005-0000-0000-0000C1110000}"/>
    <cellStyle name="Calculation 16 3 3" xfId="10615" xr:uid="{00000000-0005-0000-0000-0000C2110000}"/>
    <cellStyle name="Calculation 16 4" xfId="10616" xr:uid="{00000000-0005-0000-0000-0000C3110000}"/>
    <cellStyle name="Calculation 16 4 2" xfId="10617" xr:uid="{00000000-0005-0000-0000-0000C4110000}"/>
    <cellStyle name="Calculation 16 5" xfId="10618" xr:uid="{00000000-0005-0000-0000-0000C5110000}"/>
    <cellStyle name="Calculation 17" xfId="4275" xr:uid="{00000000-0005-0000-0000-0000C6110000}"/>
    <cellStyle name="Calculation 17 2" xfId="4276" xr:uid="{00000000-0005-0000-0000-0000C7110000}"/>
    <cellStyle name="Calculation 17 2 2" xfId="4277" xr:uid="{00000000-0005-0000-0000-0000C8110000}"/>
    <cellStyle name="Calculation 17 2 2 2" xfId="10619" xr:uid="{00000000-0005-0000-0000-0000C9110000}"/>
    <cellStyle name="Calculation 17 2 2 2 2" xfId="10620" xr:uid="{00000000-0005-0000-0000-0000CA110000}"/>
    <cellStyle name="Calculation 17 2 2 3" xfId="10621" xr:uid="{00000000-0005-0000-0000-0000CB110000}"/>
    <cellStyle name="Calculation 17 2 3" xfId="10622" xr:uid="{00000000-0005-0000-0000-0000CC110000}"/>
    <cellStyle name="Calculation 17 2 3 2" xfId="10623" xr:uid="{00000000-0005-0000-0000-0000CD110000}"/>
    <cellStyle name="Calculation 17 2 4" xfId="10624" xr:uid="{00000000-0005-0000-0000-0000CE110000}"/>
    <cellStyle name="Calculation 17 3" xfId="4278" xr:uid="{00000000-0005-0000-0000-0000CF110000}"/>
    <cellStyle name="Calculation 17 3 2" xfId="10625" xr:uid="{00000000-0005-0000-0000-0000D0110000}"/>
    <cellStyle name="Calculation 17 3 2 2" xfId="10626" xr:uid="{00000000-0005-0000-0000-0000D1110000}"/>
    <cellStyle name="Calculation 17 3 3" xfId="10627" xr:uid="{00000000-0005-0000-0000-0000D2110000}"/>
    <cellStyle name="Calculation 17 4" xfId="10628" xr:uid="{00000000-0005-0000-0000-0000D3110000}"/>
    <cellStyle name="Calculation 17 4 2" xfId="10629" xr:uid="{00000000-0005-0000-0000-0000D4110000}"/>
    <cellStyle name="Calculation 17 5" xfId="10630" xr:uid="{00000000-0005-0000-0000-0000D5110000}"/>
    <cellStyle name="Calculation 18" xfId="4279" xr:uid="{00000000-0005-0000-0000-0000D6110000}"/>
    <cellStyle name="Calculation 18 2" xfId="4280" xr:uid="{00000000-0005-0000-0000-0000D7110000}"/>
    <cellStyle name="Calculation 18 2 2" xfId="4281" xr:uid="{00000000-0005-0000-0000-0000D8110000}"/>
    <cellStyle name="Calculation 18 2 2 2" xfId="10631" xr:uid="{00000000-0005-0000-0000-0000D9110000}"/>
    <cellStyle name="Calculation 18 2 2 2 2" xfId="10632" xr:uid="{00000000-0005-0000-0000-0000DA110000}"/>
    <cellStyle name="Calculation 18 2 2 3" xfId="10633" xr:uid="{00000000-0005-0000-0000-0000DB110000}"/>
    <cellStyle name="Calculation 18 2 3" xfId="10634" xr:uid="{00000000-0005-0000-0000-0000DC110000}"/>
    <cellStyle name="Calculation 18 2 3 2" xfId="10635" xr:uid="{00000000-0005-0000-0000-0000DD110000}"/>
    <cellStyle name="Calculation 18 2 4" xfId="10636" xr:uid="{00000000-0005-0000-0000-0000DE110000}"/>
    <cellStyle name="Calculation 18 3" xfId="4282" xr:uid="{00000000-0005-0000-0000-0000DF110000}"/>
    <cellStyle name="Calculation 18 3 2" xfId="10637" xr:uid="{00000000-0005-0000-0000-0000E0110000}"/>
    <cellStyle name="Calculation 18 3 2 2" xfId="10638" xr:uid="{00000000-0005-0000-0000-0000E1110000}"/>
    <cellStyle name="Calculation 18 3 3" xfId="10639" xr:uid="{00000000-0005-0000-0000-0000E2110000}"/>
    <cellStyle name="Calculation 18 4" xfId="10640" xr:uid="{00000000-0005-0000-0000-0000E3110000}"/>
    <cellStyle name="Calculation 18 4 2" xfId="10641" xr:uid="{00000000-0005-0000-0000-0000E4110000}"/>
    <cellStyle name="Calculation 18 5" xfId="10642" xr:uid="{00000000-0005-0000-0000-0000E5110000}"/>
    <cellStyle name="Calculation 19" xfId="4283" xr:uid="{00000000-0005-0000-0000-0000E6110000}"/>
    <cellStyle name="Calculation 19 2" xfId="4284" xr:uid="{00000000-0005-0000-0000-0000E7110000}"/>
    <cellStyle name="Calculation 19 2 2" xfId="4285" xr:uid="{00000000-0005-0000-0000-0000E8110000}"/>
    <cellStyle name="Calculation 19 2 2 2" xfId="10643" xr:uid="{00000000-0005-0000-0000-0000E9110000}"/>
    <cellStyle name="Calculation 19 2 2 2 2" xfId="10644" xr:uid="{00000000-0005-0000-0000-0000EA110000}"/>
    <cellStyle name="Calculation 19 2 2 3" xfId="10645" xr:uid="{00000000-0005-0000-0000-0000EB110000}"/>
    <cellStyle name="Calculation 19 2 3" xfId="10646" xr:uid="{00000000-0005-0000-0000-0000EC110000}"/>
    <cellStyle name="Calculation 19 2 3 2" xfId="10647" xr:uid="{00000000-0005-0000-0000-0000ED110000}"/>
    <cellStyle name="Calculation 19 2 4" xfId="10648" xr:uid="{00000000-0005-0000-0000-0000EE110000}"/>
    <cellStyle name="Calculation 19 3" xfId="4286" xr:uid="{00000000-0005-0000-0000-0000EF110000}"/>
    <cellStyle name="Calculation 19 3 2" xfId="10649" xr:uid="{00000000-0005-0000-0000-0000F0110000}"/>
    <cellStyle name="Calculation 19 3 2 2" xfId="10650" xr:uid="{00000000-0005-0000-0000-0000F1110000}"/>
    <cellStyle name="Calculation 19 3 3" xfId="10651" xr:uid="{00000000-0005-0000-0000-0000F2110000}"/>
    <cellStyle name="Calculation 19 4" xfId="10652" xr:uid="{00000000-0005-0000-0000-0000F3110000}"/>
    <cellStyle name="Calculation 19 4 2" xfId="10653" xr:uid="{00000000-0005-0000-0000-0000F4110000}"/>
    <cellStyle name="Calculation 19 5" xfId="10654" xr:uid="{00000000-0005-0000-0000-0000F5110000}"/>
    <cellStyle name="Calculation 2" xfId="4287" xr:uid="{00000000-0005-0000-0000-0000F6110000}"/>
    <cellStyle name="Calculation 2 2" xfId="4288" xr:uid="{00000000-0005-0000-0000-0000F7110000}"/>
    <cellStyle name="Calculation 2 2 2" xfId="4289" xr:uid="{00000000-0005-0000-0000-0000F8110000}"/>
    <cellStyle name="Calculation 2 2 2 2" xfId="10655" xr:uid="{00000000-0005-0000-0000-0000F9110000}"/>
    <cellStyle name="Calculation 2 2 2 2 2" xfId="10656" xr:uid="{00000000-0005-0000-0000-0000FA110000}"/>
    <cellStyle name="Calculation 2 2 2 3" xfId="10657" xr:uid="{00000000-0005-0000-0000-0000FB110000}"/>
    <cellStyle name="Calculation 2 2 3" xfId="10658" xr:uid="{00000000-0005-0000-0000-0000FC110000}"/>
    <cellStyle name="Calculation 2 2 3 2" xfId="10659" xr:uid="{00000000-0005-0000-0000-0000FD110000}"/>
    <cellStyle name="Calculation 2 2 4" xfId="10660" xr:uid="{00000000-0005-0000-0000-0000FE110000}"/>
    <cellStyle name="Calculation 2 3" xfId="4290" xr:uid="{00000000-0005-0000-0000-0000FF110000}"/>
    <cellStyle name="Calculation 2 3 2" xfId="10661" xr:uid="{00000000-0005-0000-0000-000000120000}"/>
    <cellStyle name="Calculation 2 3 2 2" xfId="10662" xr:uid="{00000000-0005-0000-0000-000001120000}"/>
    <cellStyle name="Calculation 2 3 3" xfId="10663" xr:uid="{00000000-0005-0000-0000-000002120000}"/>
    <cellStyle name="Calculation 2 4" xfId="10664" xr:uid="{00000000-0005-0000-0000-000003120000}"/>
    <cellStyle name="Calculation 2 4 2" xfId="10665" xr:uid="{00000000-0005-0000-0000-000004120000}"/>
    <cellStyle name="Calculation 2 5" xfId="10666" xr:uid="{00000000-0005-0000-0000-000005120000}"/>
    <cellStyle name="Calculation 20" xfId="4291" xr:uid="{00000000-0005-0000-0000-000006120000}"/>
    <cellStyle name="Calculation 20 2" xfId="4292" xr:uid="{00000000-0005-0000-0000-000007120000}"/>
    <cellStyle name="Calculation 20 2 2" xfId="4293" xr:uid="{00000000-0005-0000-0000-000008120000}"/>
    <cellStyle name="Calculation 20 2 2 2" xfId="10667" xr:uid="{00000000-0005-0000-0000-000009120000}"/>
    <cellStyle name="Calculation 20 2 2 2 2" xfId="10668" xr:uid="{00000000-0005-0000-0000-00000A120000}"/>
    <cellStyle name="Calculation 20 2 2 3" xfId="10669" xr:uid="{00000000-0005-0000-0000-00000B120000}"/>
    <cellStyle name="Calculation 20 2 3" xfId="10670" xr:uid="{00000000-0005-0000-0000-00000C120000}"/>
    <cellStyle name="Calculation 20 2 3 2" xfId="10671" xr:uid="{00000000-0005-0000-0000-00000D120000}"/>
    <cellStyle name="Calculation 20 2 4" xfId="10672" xr:uid="{00000000-0005-0000-0000-00000E120000}"/>
    <cellStyle name="Calculation 20 3" xfId="4294" xr:uid="{00000000-0005-0000-0000-00000F120000}"/>
    <cellStyle name="Calculation 20 3 2" xfId="10673" xr:uid="{00000000-0005-0000-0000-000010120000}"/>
    <cellStyle name="Calculation 20 3 2 2" xfId="10674" xr:uid="{00000000-0005-0000-0000-000011120000}"/>
    <cellStyle name="Calculation 20 3 3" xfId="10675" xr:uid="{00000000-0005-0000-0000-000012120000}"/>
    <cellStyle name="Calculation 20 4" xfId="10676" xr:uid="{00000000-0005-0000-0000-000013120000}"/>
    <cellStyle name="Calculation 20 4 2" xfId="10677" xr:uid="{00000000-0005-0000-0000-000014120000}"/>
    <cellStyle name="Calculation 20 5" xfId="10678" xr:uid="{00000000-0005-0000-0000-000015120000}"/>
    <cellStyle name="Calculation 21" xfId="4295" xr:uid="{00000000-0005-0000-0000-000016120000}"/>
    <cellStyle name="Calculation 21 2" xfId="4296" xr:uid="{00000000-0005-0000-0000-000017120000}"/>
    <cellStyle name="Calculation 21 2 2" xfId="4297" xr:uid="{00000000-0005-0000-0000-000018120000}"/>
    <cellStyle name="Calculation 21 2 2 2" xfId="10679" xr:uid="{00000000-0005-0000-0000-000019120000}"/>
    <cellStyle name="Calculation 21 2 2 2 2" xfId="10680" xr:uid="{00000000-0005-0000-0000-00001A120000}"/>
    <cellStyle name="Calculation 21 2 2 3" xfId="10681" xr:uid="{00000000-0005-0000-0000-00001B120000}"/>
    <cellStyle name="Calculation 21 2 3" xfId="10682" xr:uid="{00000000-0005-0000-0000-00001C120000}"/>
    <cellStyle name="Calculation 21 2 3 2" xfId="10683" xr:uid="{00000000-0005-0000-0000-00001D120000}"/>
    <cellStyle name="Calculation 21 2 4" xfId="10684" xr:uid="{00000000-0005-0000-0000-00001E120000}"/>
    <cellStyle name="Calculation 21 3" xfId="4298" xr:uid="{00000000-0005-0000-0000-00001F120000}"/>
    <cellStyle name="Calculation 21 3 2" xfId="10685" xr:uid="{00000000-0005-0000-0000-000020120000}"/>
    <cellStyle name="Calculation 21 3 2 2" xfId="10686" xr:uid="{00000000-0005-0000-0000-000021120000}"/>
    <cellStyle name="Calculation 21 3 3" xfId="10687" xr:uid="{00000000-0005-0000-0000-000022120000}"/>
    <cellStyle name="Calculation 21 4" xfId="10688" xr:uid="{00000000-0005-0000-0000-000023120000}"/>
    <cellStyle name="Calculation 21 4 2" xfId="10689" xr:uid="{00000000-0005-0000-0000-000024120000}"/>
    <cellStyle name="Calculation 21 5" xfId="10690" xr:uid="{00000000-0005-0000-0000-000025120000}"/>
    <cellStyle name="Calculation 22" xfId="4299" xr:uid="{00000000-0005-0000-0000-000026120000}"/>
    <cellStyle name="Calculation 22 2" xfId="4300" xr:uid="{00000000-0005-0000-0000-000027120000}"/>
    <cellStyle name="Calculation 22 2 2" xfId="4301" xr:uid="{00000000-0005-0000-0000-000028120000}"/>
    <cellStyle name="Calculation 22 2 2 2" xfId="10691" xr:uid="{00000000-0005-0000-0000-000029120000}"/>
    <cellStyle name="Calculation 22 2 2 2 2" xfId="10692" xr:uid="{00000000-0005-0000-0000-00002A120000}"/>
    <cellStyle name="Calculation 22 2 2 3" xfId="10693" xr:uid="{00000000-0005-0000-0000-00002B120000}"/>
    <cellStyle name="Calculation 22 2 3" xfId="10694" xr:uid="{00000000-0005-0000-0000-00002C120000}"/>
    <cellStyle name="Calculation 22 2 3 2" xfId="10695" xr:uid="{00000000-0005-0000-0000-00002D120000}"/>
    <cellStyle name="Calculation 22 2 4" xfId="10696" xr:uid="{00000000-0005-0000-0000-00002E120000}"/>
    <cellStyle name="Calculation 22 3" xfId="4302" xr:uid="{00000000-0005-0000-0000-00002F120000}"/>
    <cellStyle name="Calculation 22 3 2" xfId="10697" xr:uid="{00000000-0005-0000-0000-000030120000}"/>
    <cellStyle name="Calculation 22 3 2 2" xfId="10698" xr:uid="{00000000-0005-0000-0000-000031120000}"/>
    <cellStyle name="Calculation 22 3 3" xfId="10699" xr:uid="{00000000-0005-0000-0000-000032120000}"/>
    <cellStyle name="Calculation 22 4" xfId="10700" xr:uid="{00000000-0005-0000-0000-000033120000}"/>
    <cellStyle name="Calculation 22 4 2" xfId="10701" xr:uid="{00000000-0005-0000-0000-000034120000}"/>
    <cellStyle name="Calculation 22 5" xfId="10702" xr:uid="{00000000-0005-0000-0000-000035120000}"/>
    <cellStyle name="Calculation 23" xfId="4303" xr:uid="{00000000-0005-0000-0000-000036120000}"/>
    <cellStyle name="Calculation 23 2" xfId="10703" xr:uid="{00000000-0005-0000-0000-000037120000}"/>
    <cellStyle name="Calculation 23 2 2" xfId="10704" xr:uid="{00000000-0005-0000-0000-000038120000}"/>
    <cellStyle name="Calculation 23 3" xfId="10705" xr:uid="{00000000-0005-0000-0000-000039120000}"/>
    <cellStyle name="Calculation 24" xfId="4304" xr:uid="{00000000-0005-0000-0000-00003A120000}"/>
    <cellStyle name="Calculation 24 2" xfId="10706" xr:uid="{00000000-0005-0000-0000-00003B120000}"/>
    <cellStyle name="Calculation 24 2 2" xfId="10707" xr:uid="{00000000-0005-0000-0000-00003C120000}"/>
    <cellStyle name="Calculation 24 3" xfId="10708" xr:uid="{00000000-0005-0000-0000-00003D120000}"/>
    <cellStyle name="Calculation 3" xfId="4305" xr:uid="{00000000-0005-0000-0000-00003E120000}"/>
    <cellStyle name="Calculation 3 2" xfId="4306" xr:uid="{00000000-0005-0000-0000-00003F120000}"/>
    <cellStyle name="Calculation 3 2 2" xfId="4307" xr:uid="{00000000-0005-0000-0000-000040120000}"/>
    <cellStyle name="Calculation 3 2 2 2" xfId="10709" xr:uid="{00000000-0005-0000-0000-000041120000}"/>
    <cellStyle name="Calculation 3 2 2 2 2" xfId="10710" xr:uid="{00000000-0005-0000-0000-000042120000}"/>
    <cellStyle name="Calculation 3 2 2 3" xfId="10711" xr:uid="{00000000-0005-0000-0000-000043120000}"/>
    <cellStyle name="Calculation 3 2 3" xfId="10712" xr:uid="{00000000-0005-0000-0000-000044120000}"/>
    <cellStyle name="Calculation 3 2 3 2" xfId="10713" xr:uid="{00000000-0005-0000-0000-000045120000}"/>
    <cellStyle name="Calculation 3 2 4" xfId="10714" xr:uid="{00000000-0005-0000-0000-000046120000}"/>
    <cellStyle name="Calculation 3 3" xfId="4308" xr:uid="{00000000-0005-0000-0000-000047120000}"/>
    <cellStyle name="Calculation 3 3 2" xfId="10715" xr:uid="{00000000-0005-0000-0000-000048120000}"/>
    <cellStyle name="Calculation 3 3 2 2" xfId="10716" xr:uid="{00000000-0005-0000-0000-000049120000}"/>
    <cellStyle name="Calculation 3 3 3" xfId="10717" xr:uid="{00000000-0005-0000-0000-00004A120000}"/>
    <cellStyle name="Calculation 3 4" xfId="10718" xr:uid="{00000000-0005-0000-0000-00004B120000}"/>
    <cellStyle name="Calculation 3 4 2" xfId="10719" xr:uid="{00000000-0005-0000-0000-00004C120000}"/>
    <cellStyle name="Calculation 3 5" xfId="10720" xr:uid="{00000000-0005-0000-0000-00004D120000}"/>
    <cellStyle name="Calculation 4" xfId="4309" xr:uid="{00000000-0005-0000-0000-00004E120000}"/>
    <cellStyle name="Calculation 4 2" xfId="4310" xr:uid="{00000000-0005-0000-0000-00004F120000}"/>
    <cellStyle name="Calculation 4 2 2" xfId="4311" xr:uid="{00000000-0005-0000-0000-000050120000}"/>
    <cellStyle name="Calculation 4 2 2 2" xfId="10721" xr:uid="{00000000-0005-0000-0000-000051120000}"/>
    <cellStyle name="Calculation 4 2 2 2 2" xfId="10722" xr:uid="{00000000-0005-0000-0000-000052120000}"/>
    <cellStyle name="Calculation 4 2 2 3" xfId="10723" xr:uid="{00000000-0005-0000-0000-000053120000}"/>
    <cellStyle name="Calculation 4 2 3" xfId="10724" xr:uid="{00000000-0005-0000-0000-000054120000}"/>
    <cellStyle name="Calculation 4 2 3 2" xfId="10725" xr:uid="{00000000-0005-0000-0000-000055120000}"/>
    <cellStyle name="Calculation 4 2 4" xfId="10726" xr:uid="{00000000-0005-0000-0000-000056120000}"/>
    <cellStyle name="Calculation 4 3" xfId="4312" xr:uid="{00000000-0005-0000-0000-000057120000}"/>
    <cellStyle name="Calculation 4 3 2" xfId="10727" xr:uid="{00000000-0005-0000-0000-000058120000}"/>
    <cellStyle name="Calculation 4 3 2 2" xfId="10728" xr:uid="{00000000-0005-0000-0000-000059120000}"/>
    <cellStyle name="Calculation 4 3 3" xfId="10729" xr:uid="{00000000-0005-0000-0000-00005A120000}"/>
    <cellStyle name="Calculation 4 4" xfId="10730" xr:uid="{00000000-0005-0000-0000-00005B120000}"/>
    <cellStyle name="Calculation 4 4 2" xfId="10731" xr:uid="{00000000-0005-0000-0000-00005C120000}"/>
    <cellStyle name="Calculation 4 5" xfId="10732" xr:uid="{00000000-0005-0000-0000-00005D120000}"/>
    <cellStyle name="Calculation 5" xfId="4313" xr:uid="{00000000-0005-0000-0000-00005E120000}"/>
    <cellStyle name="Calculation 5 2" xfId="4314" xr:uid="{00000000-0005-0000-0000-00005F120000}"/>
    <cellStyle name="Calculation 5 2 2" xfId="4315" xr:uid="{00000000-0005-0000-0000-000060120000}"/>
    <cellStyle name="Calculation 5 2 2 2" xfId="10733" xr:uid="{00000000-0005-0000-0000-000061120000}"/>
    <cellStyle name="Calculation 5 2 2 2 2" xfId="10734" xr:uid="{00000000-0005-0000-0000-000062120000}"/>
    <cellStyle name="Calculation 5 2 2 3" xfId="10735" xr:uid="{00000000-0005-0000-0000-000063120000}"/>
    <cellStyle name="Calculation 5 2 3" xfId="10736" xr:uid="{00000000-0005-0000-0000-000064120000}"/>
    <cellStyle name="Calculation 5 2 3 2" xfId="10737" xr:uid="{00000000-0005-0000-0000-000065120000}"/>
    <cellStyle name="Calculation 5 2 4" xfId="10738" xr:uid="{00000000-0005-0000-0000-000066120000}"/>
    <cellStyle name="Calculation 5 3" xfId="4316" xr:uid="{00000000-0005-0000-0000-000067120000}"/>
    <cellStyle name="Calculation 5 3 2" xfId="10739" xr:uid="{00000000-0005-0000-0000-000068120000}"/>
    <cellStyle name="Calculation 5 3 2 2" xfId="10740" xr:uid="{00000000-0005-0000-0000-000069120000}"/>
    <cellStyle name="Calculation 5 3 3" xfId="10741" xr:uid="{00000000-0005-0000-0000-00006A120000}"/>
    <cellStyle name="Calculation 5 4" xfId="10742" xr:uid="{00000000-0005-0000-0000-00006B120000}"/>
    <cellStyle name="Calculation 5 4 2" xfId="10743" xr:uid="{00000000-0005-0000-0000-00006C120000}"/>
    <cellStyle name="Calculation 5 5" xfId="10744" xr:uid="{00000000-0005-0000-0000-00006D120000}"/>
    <cellStyle name="Calculation 6" xfId="4317" xr:uid="{00000000-0005-0000-0000-00006E120000}"/>
    <cellStyle name="Calculation 6 2" xfId="4318" xr:uid="{00000000-0005-0000-0000-00006F120000}"/>
    <cellStyle name="Calculation 6 2 2" xfId="4319" xr:uid="{00000000-0005-0000-0000-000070120000}"/>
    <cellStyle name="Calculation 6 2 2 2" xfId="10745" xr:uid="{00000000-0005-0000-0000-000071120000}"/>
    <cellStyle name="Calculation 6 2 2 2 2" xfId="10746" xr:uid="{00000000-0005-0000-0000-000072120000}"/>
    <cellStyle name="Calculation 6 2 2 3" xfId="10747" xr:uid="{00000000-0005-0000-0000-000073120000}"/>
    <cellStyle name="Calculation 6 2 3" xfId="10748" xr:uid="{00000000-0005-0000-0000-000074120000}"/>
    <cellStyle name="Calculation 6 2 3 2" xfId="10749" xr:uid="{00000000-0005-0000-0000-000075120000}"/>
    <cellStyle name="Calculation 6 2 4" xfId="10750" xr:uid="{00000000-0005-0000-0000-000076120000}"/>
    <cellStyle name="Calculation 6 3" xfId="4320" xr:uid="{00000000-0005-0000-0000-000077120000}"/>
    <cellStyle name="Calculation 6 3 2" xfId="10751" xr:uid="{00000000-0005-0000-0000-000078120000}"/>
    <cellStyle name="Calculation 6 3 2 2" xfId="10752" xr:uid="{00000000-0005-0000-0000-000079120000}"/>
    <cellStyle name="Calculation 6 3 3" xfId="10753" xr:uid="{00000000-0005-0000-0000-00007A120000}"/>
    <cellStyle name="Calculation 6 4" xfId="10754" xr:uid="{00000000-0005-0000-0000-00007B120000}"/>
    <cellStyle name="Calculation 6 4 2" xfId="10755" xr:uid="{00000000-0005-0000-0000-00007C120000}"/>
    <cellStyle name="Calculation 6 5" xfId="10756" xr:uid="{00000000-0005-0000-0000-00007D120000}"/>
    <cellStyle name="Calculation 7" xfId="4321" xr:uid="{00000000-0005-0000-0000-00007E120000}"/>
    <cellStyle name="Calculation 7 2" xfId="4322" xr:uid="{00000000-0005-0000-0000-00007F120000}"/>
    <cellStyle name="Calculation 7 2 2" xfId="4323" xr:uid="{00000000-0005-0000-0000-000080120000}"/>
    <cellStyle name="Calculation 7 2 2 2" xfId="10757" xr:uid="{00000000-0005-0000-0000-000081120000}"/>
    <cellStyle name="Calculation 7 2 2 2 2" xfId="10758" xr:uid="{00000000-0005-0000-0000-000082120000}"/>
    <cellStyle name="Calculation 7 2 2 3" xfId="10759" xr:uid="{00000000-0005-0000-0000-000083120000}"/>
    <cellStyle name="Calculation 7 2 3" xfId="10760" xr:uid="{00000000-0005-0000-0000-000084120000}"/>
    <cellStyle name="Calculation 7 2 3 2" xfId="10761" xr:uid="{00000000-0005-0000-0000-000085120000}"/>
    <cellStyle name="Calculation 7 2 4" xfId="10762" xr:uid="{00000000-0005-0000-0000-000086120000}"/>
    <cellStyle name="Calculation 7 3" xfId="4324" xr:uid="{00000000-0005-0000-0000-000087120000}"/>
    <cellStyle name="Calculation 7 3 2" xfId="10763" xr:uid="{00000000-0005-0000-0000-000088120000}"/>
    <cellStyle name="Calculation 7 3 2 2" xfId="10764" xr:uid="{00000000-0005-0000-0000-000089120000}"/>
    <cellStyle name="Calculation 7 3 3" xfId="10765" xr:uid="{00000000-0005-0000-0000-00008A120000}"/>
    <cellStyle name="Calculation 7 4" xfId="10766" xr:uid="{00000000-0005-0000-0000-00008B120000}"/>
    <cellStyle name="Calculation 7 4 2" xfId="10767" xr:uid="{00000000-0005-0000-0000-00008C120000}"/>
    <cellStyle name="Calculation 7 5" xfId="10768" xr:uid="{00000000-0005-0000-0000-00008D120000}"/>
    <cellStyle name="Calculation 8" xfId="4325" xr:uid="{00000000-0005-0000-0000-00008E120000}"/>
    <cellStyle name="Calculation 8 2" xfId="4326" xr:uid="{00000000-0005-0000-0000-00008F120000}"/>
    <cellStyle name="Calculation 8 2 2" xfId="4327" xr:uid="{00000000-0005-0000-0000-000090120000}"/>
    <cellStyle name="Calculation 8 2 2 2" xfId="10769" xr:uid="{00000000-0005-0000-0000-000091120000}"/>
    <cellStyle name="Calculation 8 2 2 2 2" xfId="10770" xr:uid="{00000000-0005-0000-0000-000092120000}"/>
    <cellStyle name="Calculation 8 2 2 3" xfId="10771" xr:uid="{00000000-0005-0000-0000-000093120000}"/>
    <cellStyle name="Calculation 8 2 3" xfId="10772" xr:uid="{00000000-0005-0000-0000-000094120000}"/>
    <cellStyle name="Calculation 8 2 3 2" xfId="10773" xr:uid="{00000000-0005-0000-0000-000095120000}"/>
    <cellStyle name="Calculation 8 2 4" xfId="10774" xr:uid="{00000000-0005-0000-0000-000096120000}"/>
    <cellStyle name="Calculation 8 3" xfId="4328" xr:uid="{00000000-0005-0000-0000-000097120000}"/>
    <cellStyle name="Calculation 8 3 2" xfId="10775" xr:uid="{00000000-0005-0000-0000-000098120000}"/>
    <cellStyle name="Calculation 8 3 2 2" xfId="10776" xr:uid="{00000000-0005-0000-0000-000099120000}"/>
    <cellStyle name="Calculation 8 3 3" xfId="10777" xr:uid="{00000000-0005-0000-0000-00009A120000}"/>
    <cellStyle name="Calculation 8 4" xfId="10778" xr:uid="{00000000-0005-0000-0000-00009B120000}"/>
    <cellStyle name="Calculation 8 4 2" xfId="10779" xr:uid="{00000000-0005-0000-0000-00009C120000}"/>
    <cellStyle name="Calculation 8 5" xfId="10780" xr:uid="{00000000-0005-0000-0000-00009D120000}"/>
    <cellStyle name="Calculation 9" xfId="4329" xr:uid="{00000000-0005-0000-0000-00009E120000}"/>
    <cellStyle name="Calculation 9 2" xfId="4330" xr:uid="{00000000-0005-0000-0000-00009F120000}"/>
    <cellStyle name="Calculation 9 2 2" xfId="4331" xr:uid="{00000000-0005-0000-0000-0000A0120000}"/>
    <cellStyle name="Calculation 9 2 2 2" xfId="10781" xr:uid="{00000000-0005-0000-0000-0000A1120000}"/>
    <cellStyle name="Calculation 9 2 2 2 2" xfId="10782" xr:uid="{00000000-0005-0000-0000-0000A2120000}"/>
    <cellStyle name="Calculation 9 2 2 3" xfId="10783" xr:uid="{00000000-0005-0000-0000-0000A3120000}"/>
    <cellStyle name="Calculation 9 2 3" xfId="10784" xr:uid="{00000000-0005-0000-0000-0000A4120000}"/>
    <cellStyle name="Calculation 9 2 3 2" xfId="10785" xr:uid="{00000000-0005-0000-0000-0000A5120000}"/>
    <cellStyle name="Calculation 9 2 4" xfId="10786" xr:uid="{00000000-0005-0000-0000-0000A6120000}"/>
    <cellStyle name="Calculation 9 3" xfId="4332" xr:uid="{00000000-0005-0000-0000-0000A7120000}"/>
    <cellStyle name="Calculation 9 3 2" xfId="10787" xr:uid="{00000000-0005-0000-0000-0000A8120000}"/>
    <cellStyle name="Calculation 9 3 2 2" xfId="10788" xr:uid="{00000000-0005-0000-0000-0000A9120000}"/>
    <cellStyle name="Calculation 9 3 3" xfId="10789" xr:uid="{00000000-0005-0000-0000-0000AA120000}"/>
    <cellStyle name="Calculation 9 4" xfId="10790" xr:uid="{00000000-0005-0000-0000-0000AB120000}"/>
    <cellStyle name="Calculation 9 4 2" xfId="10791" xr:uid="{00000000-0005-0000-0000-0000AC120000}"/>
    <cellStyle name="Calculation 9 5" xfId="10792" xr:uid="{00000000-0005-0000-0000-0000AD120000}"/>
    <cellStyle name="category" xfId="4333" xr:uid="{00000000-0005-0000-0000-0000AE120000}"/>
    <cellStyle name="category 2" xfId="4334" xr:uid="{00000000-0005-0000-0000-0000AF120000}"/>
    <cellStyle name="CC1" xfId="4335" xr:uid="{00000000-0005-0000-0000-0000B0120000}"/>
    <cellStyle name="CC2" xfId="4336" xr:uid="{00000000-0005-0000-0000-0000B1120000}"/>
    <cellStyle name="CC2 2" xfId="4337" xr:uid="{00000000-0005-0000-0000-0000B2120000}"/>
    <cellStyle name="CC2 2 2" xfId="10080" xr:uid="{00000000-0005-0000-0000-0000B3120000}"/>
    <cellStyle name="CC2 2 2 2" xfId="10793" xr:uid="{00000000-0005-0000-0000-0000B4120000}"/>
    <cellStyle name="CC2 2 3" xfId="10794" xr:uid="{00000000-0005-0000-0000-0000B5120000}"/>
    <cellStyle name="CC2 3" xfId="10081" xr:uid="{00000000-0005-0000-0000-0000B6120000}"/>
    <cellStyle name="CC2 3 2" xfId="10795" xr:uid="{00000000-0005-0000-0000-0000B7120000}"/>
    <cellStyle name="CC2 4" xfId="10796" xr:uid="{00000000-0005-0000-0000-0000B8120000}"/>
    <cellStyle name="Cerrency_Sheet2_XANGDAU" xfId="4338" xr:uid="{00000000-0005-0000-0000-0000B9120000}"/>
    <cellStyle name="cindy" xfId="4349" xr:uid="{00000000-0005-0000-0000-0000CC120000}"/>
    <cellStyle name="collection" xfId="4350" xr:uid="{00000000-0005-0000-0000-0000CD120000}"/>
    <cellStyle name="collection 2" xfId="4351" xr:uid="{00000000-0005-0000-0000-0000CE120000}"/>
    <cellStyle name="collection 2 2" xfId="10801" xr:uid="{00000000-0005-0000-0000-0000CF120000}"/>
    <cellStyle name="collection 2 2 2" xfId="10802" xr:uid="{00000000-0005-0000-0000-0000D0120000}"/>
    <cellStyle name="collection 2 3" xfId="10803" xr:uid="{00000000-0005-0000-0000-0000D1120000}"/>
    <cellStyle name="collection 3" xfId="10804" xr:uid="{00000000-0005-0000-0000-0000D2120000}"/>
    <cellStyle name="collection 3 2" xfId="10805" xr:uid="{00000000-0005-0000-0000-0000D3120000}"/>
    <cellStyle name="collection 4" xfId="10806" xr:uid="{00000000-0005-0000-0000-0000D4120000}"/>
    <cellStyle name="ColLevel_1 2" xfId="10472" xr:uid="{00000000-0005-0000-0000-0000D5120000}"/>
    <cellStyle name="Comma" xfId="10067" builtinId="3"/>
    <cellStyle name="Comma  - Style1" xfId="4352" xr:uid="{00000000-0005-0000-0000-0000D7120000}"/>
    <cellStyle name="Comma  - Style2" xfId="4353" xr:uid="{00000000-0005-0000-0000-0000D8120000}"/>
    <cellStyle name="Comma  - Style3" xfId="4354" xr:uid="{00000000-0005-0000-0000-0000D9120000}"/>
    <cellStyle name="Comma  - Style4" xfId="4355" xr:uid="{00000000-0005-0000-0000-0000DA120000}"/>
    <cellStyle name="Comma  - Style5" xfId="4356" xr:uid="{00000000-0005-0000-0000-0000DB120000}"/>
    <cellStyle name="Comma  - Style6" xfId="4357" xr:uid="{00000000-0005-0000-0000-0000DC120000}"/>
    <cellStyle name="Comma  - Style7" xfId="4358" xr:uid="{00000000-0005-0000-0000-0000DD120000}"/>
    <cellStyle name="Comma  - Style8" xfId="4359" xr:uid="{00000000-0005-0000-0000-0000DE120000}"/>
    <cellStyle name="Comma [0] 10" xfId="4360" xr:uid="{00000000-0005-0000-0000-0000DF120000}"/>
    <cellStyle name="Comma [0] 10 2" xfId="4361" xr:uid="{00000000-0005-0000-0000-0000E0120000}"/>
    <cellStyle name="Comma [0] 2" xfId="8" xr:uid="{00000000-0005-0000-0000-0000E1120000}"/>
    <cellStyle name="Comma [0] 2 2" xfId="10" xr:uid="{00000000-0005-0000-0000-0000E2120000}"/>
    <cellStyle name="Comma [0] 2 2 2" xfId="9684" xr:uid="{00000000-0005-0000-0000-0000E3120000}"/>
    <cellStyle name="Comma [0] 2 20" xfId="4362" xr:uid="{00000000-0005-0000-0000-0000E4120000}"/>
    <cellStyle name="Comma [0] 2 3" xfId="4363" xr:uid="{00000000-0005-0000-0000-0000E5120000}"/>
    <cellStyle name="Comma [0] 2 4" xfId="9764" xr:uid="{00000000-0005-0000-0000-0000E6120000}"/>
    <cellStyle name="Comma [0] 3" xfId="4364" xr:uid="{00000000-0005-0000-0000-0000E7120000}"/>
    <cellStyle name="Comma [0] 3 2" xfId="4365" xr:uid="{00000000-0005-0000-0000-0000E8120000}"/>
    <cellStyle name="Comma [0] 4" xfId="4366" xr:uid="{00000000-0005-0000-0000-0000E9120000}"/>
    <cellStyle name="Comma [00]" xfId="4367" xr:uid="{00000000-0005-0000-0000-0000EA120000}"/>
    <cellStyle name="Comma 10" xfId="1" xr:uid="{00000000-0005-0000-0000-0000EB120000}"/>
    <cellStyle name="Comma 10 10" xfId="17" xr:uid="{00000000-0005-0000-0000-0000EC120000}"/>
    <cellStyle name="Comma 10 10 2" xfId="14653" xr:uid="{3543B8D7-08B3-4A97-B148-64ED8FF0DB97}"/>
    <cellStyle name="Comma 10 2" xfId="7" xr:uid="{00000000-0005-0000-0000-0000ED120000}"/>
    <cellStyle name="Comma 10 2 10" xfId="10076" xr:uid="{00000000-0005-0000-0000-0000EE120000}"/>
    <cellStyle name="Comma 10 2 2" xfId="14530" xr:uid="{00000000-0005-0000-0000-0000EF120000}"/>
    <cellStyle name="Comma 10 2 3" xfId="14592" xr:uid="{00288B23-A409-434D-9109-79765E36005E}"/>
    <cellStyle name="Comma 10 3" xfId="4368" xr:uid="{00000000-0005-0000-0000-0000F0120000}"/>
    <cellStyle name="Comma 10 3 2" xfId="14584" xr:uid="{DDFAC949-F32C-4A51-947E-DB1147B5EDE9}"/>
    <cellStyle name="Comma 10 4" xfId="4369" xr:uid="{00000000-0005-0000-0000-0000F1120000}"/>
    <cellStyle name="Comma 10 5" xfId="14555" xr:uid="{A01AAC99-8175-4CD9-973B-A8CF4CB2AD5F}"/>
    <cellStyle name="Comma 10 5 2 2 2 2" xfId="14593" xr:uid="{456134C0-DDCD-4EE8-9F74-E9CDB8F91065}"/>
    <cellStyle name="Comma 10 5 2 2 3" xfId="14589" xr:uid="{9CE92943-B5C3-4863-A2E2-B8635A7528C1}"/>
    <cellStyle name="Comma 10 5 2 2 3 2 2 2 2 2 2" xfId="14621" xr:uid="{A910B2FB-2029-48D0-AA02-3A731D80F8DC}"/>
    <cellStyle name="Comma 10 5 2 2 3 2 2 2 2 3 3" xfId="14623" xr:uid="{BF42768B-33C7-4C1D-900B-5F125E72B3F7}"/>
    <cellStyle name="Comma 10 5 2 2 3 2 2 3 3 2 2 3 2" xfId="14640" xr:uid="{2073CFFE-42A8-4656-A0FC-AD9F65A2E627}"/>
    <cellStyle name="Comma 100" xfId="4370" xr:uid="{00000000-0005-0000-0000-0000F2120000}"/>
    <cellStyle name="Comma 103" xfId="9686" xr:uid="{00000000-0005-0000-0000-0000F3120000}"/>
    <cellStyle name="Comma 109" xfId="4371" xr:uid="{00000000-0005-0000-0000-0000F4120000}"/>
    <cellStyle name="Comma 11" xfId="4372" xr:uid="{00000000-0005-0000-0000-0000F5120000}"/>
    <cellStyle name="Comma 11 2" xfId="4373" xr:uid="{00000000-0005-0000-0000-0000F6120000}"/>
    <cellStyle name="Comma 11 3" xfId="4374" xr:uid="{00000000-0005-0000-0000-0000F7120000}"/>
    <cellStyle name="Comma 111" xfId="4375" xr:uid="{00000000-0005-0000-0000-0000F8120000}"/>
    <cellStyle name="Comma 112" xfId="4376" xr:uid="{00000000-0005-0000-0000-0000F9120000}"/>
    <cellStyle name="Comma 113" xfId="4377" xr:uid="{00000000-0005-0000-0000-0000FA120000}"/>
    <cellStyle name="Comma 114" xfId="4378" xr:uid="{00000000-0005-0000-0000-0000FB120000}"/>
    <cellStyle name="Comma 115" xfId="4379" xr:uid="{00000000-0005-0000-0000-0000FC120000}"/>
    <cellStyle name="Comma 116" xfId="4380" xr:uid="{00000000-0005-0000-0000-0000FD120000}"/>
    <cellStyle name="Comma 117" xfId="4381" xr:uid="{00000000-0005-0000-0000-0000FE120000}"/>
    <cellStyle name="Comma 12" xfId="4382" xr:uid="{00000000-0005-0000-0000-0000FF120000}"/>
    <cellStyle name="Comma 12 2" xfId="4383" xr:uid="{00000000-0005-0000-0000-000000130000}"/>
    <cellStyle name="Comma 12 2 5 2" xfId="14628" xr:uid="{0C154D86-9753-45EE-B4E9-05C8A4A7B6E8}"/>
    <cellStyle name="Comma 12 3" xfId="4384" xr:uid="{00000000-0005-0000-0000-000001130000}"/>
    <cellStyle name="Comma 122 3 3" xfId="10084" xr:uid="{00000000-0005-0000-0000-000002130000}"/>
    <cellStyle name="Comma 13" xfId="4385" xr:uid="{00000000-0005-0000-0000-000003130000}"/>
    <cellStyle name="Comma 13 2" xfId="4386" xr:uid="{00000000-0005-0000-0000-000004130000}"/>
    <cellStyle name="Comma 13 3" xfId="4387" xr:uid="{00000000-0005-0000-0000-000005130000}"/>
    <cellStyle name="Comma 134 3 2" xfId="14599" xr:uid="{ACBE5B42-6123-4863-B387-53C7A904C590}"/>
    <cellStyle name="Comma 134 3 2 2 2 2" xfId="14607" xr:uid="{975BD665-BB26-499A-A31C-45344D793846}"/>
    <cellStyle name="Comma 14" xfId="4388" xr:uid="{00000000-0005-0000-0000-000006130000}"/>
    <cellStyle name="Comma 14 2" xfId="4389" xr:uid="{00000000-0005-0000-0000-000007130000}"/>
    <cellStyle name="Comma 14 2 2" xfId="4390" xr:uid="{00000000-0005-0000-0000-000008130000}"/>
    <cellStyle name="Comma 14 2 3" xfId="10457" xr:uid="{00000000-0005-0000-0000-000009130000}"/>
    <cellStyle name="Comma 14 2 4" xfId="14541" xr:uid="{00000000-0005-0000-0000-00000A130000}"/>
    <cellStyle name="Comma 14 3" xfId="4391" xr:uid="{00000000-0005-0000-0000-00000B130000}"/>
    <cellStyle name="Comma 15" xfId="4392" xr:uid="{00000000-0005-0000-0000-00000C130000}"/>
    <cellStyle name="Comma 15 2" xfId="4393" xr:uid="{00000000-0005-0000-0000-00000D130000}"/>
    <cellStyle name="Comma 15 3" xfId="4394" xr:uid="{00000000-0005-0000-0000-00000E130000}"/>
    <cellStyle name="Comma 16" xfId="4395" xr:uid="{00000000-0005-0000-0000-00000F130000}"/>
    <cellStyle name="Comma 16 2" xfId="9" xr:uid="{00000000-0005-0000-0000-000010130000}"/>
    <cellStyle name="Comma 16 2 15" xfId="10481" xr:uid="{00000000-0005-0000-0000-000011130000}"/>
    <cellStyle name="Comma 16 2 2" xfId="4396" xr:uid="{00000000-0005-0000-0000-000012130000}"/>
    <cellStyle name="Comma 16 2 2 2" xfId="4397" xr:uid="{00000000-0005-0000-0000-000013130000}"/>
    <cellStyle name="Comma 16 2 2 2 2" xfId="4398" xr:uid="{00000000-0005-0000-0000-000014130000}"/>
    <cellStyle name="Comma 16 2 2 2 2 2" xfId="4399" xr:uid="{00000000-0005-0000-0000-000015130000}"/>
    <cellStyle name="Comma 16 2 2 2 3" xfId="4400" xr:uid="{00000000-0005-0000-0000-000016130000}"/>
    <cellStyle name="Comma 16 2 2 3" xfId="4401" xr:uid="{00000000-0005-0000-0000-000017130000}"/>
    <cellStyle name="Comma 16 2 2 3 2" xfId="4402" xr:uid="{00000000-0005-0000-0000-000018130000}"/>
    <cellStyle name="Comma 16 2 2 4" xfId="4403" xr:uid="{00000000-0005-0000-0000-000019130000}"/>
    <cellStyle name="Comma 16 2 3" xfId="4404" xr:uid="{00000000-0005-0000-0000-00001A130000}"/>
    <cellStyle name="Comma 16 2 3 2" xfId="4405" xr:uid="{00000000-0005-0000-0000-00001B130000}"/>
    <cellStyle name="Comma 16 2 3 2 2" xfId="4406" xr:uid="{00000000-0005-0000-0000-00001C130000}"/>
    <cellStyle name="Comma 16 2 3 3" xfId="4407" xr:uid="{00000000-0005-0000-0000-00001D130000}"/>
    <cellStyle name="Comma 16 2 4" xfId="4408" xr:uid="{00000000-0005-0000-0000-00001E130000}"/>
    <cellStyle name="Comma 16 2 4 2" xfId="4409" xr:uid="{00000000-0005-0000-0000-00001F130000}"/>
    <cellStyle name="Comma 16 2 5" xfId="4410" xr:uid="{00000000-0005-0000-0000-000020130000}"/>
    <cellStyle name="Comma 16 3" xfId="4411" xr:uid="{00000000-0005-0000-0000-000021130000}"/>
    <cellStyle name="Comma 16 3 2" xfId="4412" xr:uid="{00000000-0005-0000-0000-000022130000}"/>
    <cellStyle name="Comma 16 3 2 2" xfId="4413" xr:uid="{00000000-0005-0000-0000-000023130000}"/>
    <cellStyle name="Comma 16 3 3" xfId="4414" xr:uid="{00000000-0005-0000-0000-000024130000}"/>
    <cellStyle name="Comma 16 4" xfId="4415" xr:uid="{00000000-0005-0000-0000-000025130000}"/>
    <cellStyle name="Comma 16 4 2" xfId="4416" xr:uid="{00000000-0005-0000-0000-000026130000}"/>
    <cellStyle name="Comma 16 5" xfId="4417" xr:uid="{00000000-0005-0000-0000-000027130000}"/>
    <cellStyle name="Comma 17" xfId="4418" xr:uid="{00000000-0005-0000-0000-000028130000}"/>
    <cellStyle name="Comma 17 2" xfId="4419" xr:uid="{00000000-0005-0000-0000-000029130000}"/>
    <cellStyle name="Comma 17 2 2" xfId="4420" xr:uid="{00000000-0005-0000-0000-00002A130000}"/>
    <cellStyle name="Comma 17 2 2 2" xfId="4421" xr:uid="{00000000-0005-0000-0000-00002B130000}"/>
    <cellStyle name="Comma 17 2 3" xfId="4422" xr:uid="{00000000-0005-0000-0000-00002C130000}"/>
    <cellStyle name="Comma 17 3" xfId="4423" xr:uid="{00000000-0005-0000-0000-00002D130000}"/>
    <cellStyle name="Comma 17 3 2" xfId="4424" xr:uid="{00000000-0005-0000-0000-00002E130000}"/>
    <cellStyle name="Comma 17 4" xfId="4425" xr:uid="{00000000-0005-0000-0000-00002F130000}"/>
    <cellStyle name="Comma 18" xfId="4426" xr:uid="{00000000-0005-0000-0000-000030130000}"/>
    <cellStyle name="Comma 18 2" xfId="4427" xr:uid="{00000000-0005-0000-0000-000031130000}"/>
    <cellStyle name="Comma 18 2 2" xfId="14540" xr:uid="{00000000-0005-0000-0000-000032130000}"/>
    <cellStyle name="Comma 18 2 3 2 2" xfId="14533" xr:uid="{00000000-0005-0000-0000-000033130000}"/>
    <cellStyle name="Comma 18 3" xfId="4428" xr:uid="{00000000-0005-0000-0000-000034130000}"/>
    <cellStyle name="Comma 19" xfId="4429" xr:uid="{00000000-0005-0000-0000-000035130000}"/>
    <cellStyle name="Comma 19 2" xfId="4430" xr:uid="{00000000-0005-0000-0000-000036130000}"/>
    <cellStyle name="Comma 19 3" xfId="4431" xr:uid="{00000000-0005-0000-0000-000037130000}"/>
    <cellStyle name="Comma 2" xfId="4432" xr:uid="{00000000-0005-0000-0000-000038130000}"/>
    <cellStyle name="Comma 2 10" xfId="4433" xr:uid="{00000000-0005-0000-0000-000039130000}"/>
    <cellStyle name="Comma 2 100" xfId="4434" xr:uid="{00000000-0005-0000-0000-00003A130000}"/>
    <cellStyle name="Comma 2 101" xfId="4435" xr:uid="{00000000-0005-0000-0000-00003B130000}"/>
    <cellStyle name="Comma 2 102" xfId="4436" xr:uid="{00000000-0005-0000-0000-00003C130000}"/>
    <cellStyle name="Comma 2 103" xfId="4437" xr:uid="{00000000-0005-0000-0000-00003D130000}"/>
    <cellStyle name="Comma 2 104" xfId="14649" xr:uid="{D6B0ED90-4BA3-4B8C-9986-1B49C181610C}"/>
    <cellStyle name="Comma 2 11" xfId="4438" xr:uid="{00000000-0005-0000-0000-00003E130000}"/>
    <cellStyle name="Comma 2 12" xfId="4439" xr:uid="{00000000-0005-0000-0000-00003F130000}"/>
    <cellStyle name="Comma 2 13" xfId="4440" xr:uid="{00000000-0005-0000-0000-000040130000}"/>
    <cellStyle name="Comma 2 14" xfId="4441" xr:uid="{00000000-0005-0000-0000-000041130000}"/>
    <cellStyle name="Comma 2 15" xfId="4442" xr:uid="{00000000-0005-0000-0000-000042130000}"/>
    <cellStyle name="Comma 2 16" xfId="4443" xr:uid="{00000000-0005-0000-0000-000043130000}"/>
    <cellStyle name="Comma 2 17" xfId="4444" xr:uid="{00000000-0005-0000-0000-000044130000}"/>
    <cellStyle name="Comma 2 18" xfId="4445" xr:uid="{00000000-0005-0000-0000-000045130000}"/>
    <cellStyle name="Comma 2 19" xfId="4446" xr:uid="{00000000-0005-0000-0000-000046130000}"/>
    <cellStyle name="Comma 2 2" xfId="4447" xr:uid="{00000000-0005-0000-0000-000047130000}"/>
    <cellStyle name="Comma 2 2 10" xfId="4448" xr:uid="{00000000-0005-0000-0000-000048130000}"/>
    <cellStyle name="Comma 2 2 100" xfId="4449" xr:uid="{00000000-0005-0000-0000-000049130000}"/>
    <cellStyle name="Comma 2 2 11" xfId="4450" xr:uid="{00000000-0005-0000-0000-00004A130000}"/>
    <cellStyle name="Comma 2 2 11 2" xfId="14615" xr:uid="{785C2F5A-45DF-4C4F-975B-921261FCC351}"/>
    <cellStyle name="Comma 2 2 12" xfId="4451" xr:uid="{00000000-0005-0000-0000-00004B130000}"/>
    <cellStyle name="Comma 2 2 13" xfId="4452" xr:uid="{00000000-0005-0000-0000-00004C130000}"/>
    <cellStyle name="Comma 2 2 14" xfId="4453" xr:uid="{00000000-0005-0000-0000-00004D130000}"/>
    <cellStyle name="Comma 2 2 15" xfId="4454" xr:uid="{00000000-0005-0000-0000-00004E130000}"/>
    <cellStyle name="Comma 2 2 16" xfId="4455" xr:uid="{00000000-0005-0000-0000-00004F130000}"/>
    <cellStyle name="Comma 2 2 17" xfId="4456" xr:uid="{00000000-0005-0000-0000-000050130000}"/>
    <cellStyle name="Comma 2 2 18" xfId="4457" xr:uid="{00000000-0005-0000-0000-000051130000}"/>
    <cellStyle name="Comma 2 2 19" xfId="4458" xr:uid="{00000000-0005-0000-0000-000052130000}"/>
    <cellStyle name="Comma 2 2 2" xfId="4459" xr:uid="{00000000-0005-0000-0000-000053130000}"/>
    <cellStyle name="Comma 2 2 2 11" xfId="14605" xr:uid="{919894F8-BA93-4ECC-B8DD-1788B1B45795}"/>
    <cellStyle name="Comma 2 2 2 2" xfId="4460" xr:uid="{00000000-0005-0000-0000-000054130000}"/>
    <cellStyle name="Comma 2 2 2 2 2" xfId="14567" xr:uid="{CE8E4E4D-D138-46A1-9600-BE9541F03AE1}"/>
    <cellStyle name="Comma 2 2 2 2 3" xfId="14619" xr:uid="{32DE1369-7A43-4B1C-B448-6B4367C22E95}"/>
    <cellStyle name="Comma 2 2 2 3" xfId="4461" xr:uid="{00000000-0005-0000-0000-000055130000}"/>
    <cellStyle name="Comma 2 2 2 3 2" xfId="14537" xr:uid="{00000000-0005-0000-0000-000056130000}"/>
    <cellStyle name="Comma 2 2 2 4" xfId="4462" xr:uid="{00000000-0005-0000-0000-000057130000}"/>
    <cellStyle name="Comma 2 2 2 5" xfId="14598" xr:uid="{1CF7BF42-64A3-4126-9E03-B4F2C6A9AEF2}"/>
    <cellStyle name="Comma 2 2 20" xfId="4463" xr:uid="{00000000-0005-0000-0000-000058130000}"/>
    <cellStyle name="Comma 2 2 21" xfId="4464" xr:uid="{00000000-0005-0000-0000-000059130000}"/>
    <cellStyle name="Comma 2 2 22" xfId="4465" xr:uid="{00000000-0005-0000-0000-00005A130000}"/>
    <cellStyle name="Comma 2 2 23" xfId="4466" xr:uid="{00000000-0005-0000-0000-00005B130000}"/>
    <cellStyle name="Comma 2 2 24" xfId="4467" xr:uid="{00000000-0005-0000-0000-00005C130000}"/>
    <cellStyle name="Comma 2 2 25" xfId="4468" xr:uid="{00000000-0005-0000-0000-00005D130000}"/>
    <cellStyle name="Comma 2 2 26" xfId="4469" xr:uid="{00000000-0005-0000-0000-00005E130000}"/>
    <cellStyle name="Comma 2 2 27" xfId="4470" xr:uid="{00000000-0005-0000-0000-00005F130000}"/>
    <cellStyle name="Comma 2 2 28" xfId="4471" xr:uid="{00000000-0005-0000-0000-000060130000}"/>
    <cellStyle name="Comma 2 2 29" xfId="4472" xr:uid="{00000000-0005-0000-0000-000061130000}"/>
    <cellStyle name="Comma 2 2 3" xfId="4473" xr:uid="{00000000-0005-0000-0000-000062130000}"/>
    <cellStyle name="Comma 2 2 3 2" xfId="4474" xr:uid="{00000000-0005-0000-0000-000063130000}"/>
    <cellStyle name="Comma 2 2 3 2 2" xfId="14566" xr:uid="{90DB8F00-4F64-4471-8FE5-8EE21AE1881E}"/>
    <cellStyle name="Comma 2 2 30" xfId="4475" xr:uid="{00000000-0005-0000-0000-000064130000}"/>
    <cellStyle name="Comma 2 2 31" xfId="4476" xr:uid="{00000000-0005-0000-0000-000065130000}"/>
    <cellStyle name="Comma 2 2 32" xfId="4477" xr:uid="{00000000-0005-0000-0000-000066130000}"/>
    <cellStyle name="Comma 2 2 33" xfId="4478" xr:uid="{00000000-0005-0000-0000-000067130000}"/>
    <cellStyle name="Comma 2 2 34" xfId="4479" xr:uid="{00000000-0005-0000-0000-000068130000}"/>
    <cellStyle name="Comma 2 2 35" xfId="4480" xr:uid="{00000000-0005-0000-0000-000069130000}"/>
    <cellStyle name="Comma 2 2 36" xfId="4481" xr:uid="{00000000-0005-0000-0000-00006A130000}"/>
    <cellStyle name="Comma 2 2 37" xfId="4482" xr:uid="{00000000-0005-0000-0000-00006B130000}"/>
    <cellStyle name="Comma 2 2 38" xfId="4483" xr:uid="{00000000-0005-0000-0000-00006C130000}"/>
    <cellStyle name="Comma 2 2 39" xfId="4484" xr:uid="{00000000-0005-0000-0000-00006D130000}"/>
    <cellStyle name="Comma 2 2 4" xfId="4485" xr:uid="{00000000-0005-0000-0000-00006E130000}"/>
    <cellStyle name="Comma 2 2 40" xfId="4486" xr:uid="{00000000-0005-0000-0000-00006F130000}"/>
    <cellStyle name="Comma 2 2 41" xfId="4487" xr:uid="{00000000-0005-0000-0000-000070130000}"/>
    <cellStyle name="Comma 2 2 42" xfId="4488" xr:uid="{00000000-0005-0000-0000-000071130000}"/>
    <cellStyle name="Comma 2 2 43" xfId="4489" xr:uid="{00000000-0005-0000-0000-000072130000}"/>
    <cellStyle name="Comma 2 2 44" xfId="4490" xr:uid="{00000000-0005-0000-0000-000073130000}"/>
    <cellStyle name="Comma 2 2 45" xfId="4491" xr:uid="{00000000-0005-0000-0000-000074130000}"/>
    <cellStyle name="Comma 2 2 46" xfId="4492" xr:uid="{00000000-0005-0000-0000-000075130000}"/>
    <cellStyle name="Comma 2 2 47" xfId="4493" xr:uid="{00000000-0005-0000-0000-000076130000}"/>
    <cellStyle name="Comma 2 2 48" xfId="4494" xr:uid="{00000000-0005-0000-0000-000077130000}"/>
    <cellStyle name="Comma 2 2 49" xfId="4495" xr:uid="{00000000-0005-0000-0000-000078130000}"/>
    <cellStyle name="Comma 2 2 5" xfId="4496" xr:uid="{00000000-0005-0000-0000-000079130000}"/>
    <cellStyle name="Comma 2 2 50" xfId="4497" xr:uid="{00000000-0005-0000-0000-00007A130000}"/>
    <cellStyle name="Comma 2 2 51" xfId="4498" xr:uid="{00000000-0005-0000-0000-00007B130000}"/>
    <cellStyle name="Comma 2 2 52" xfId="4499" xr:uid="{00000000-0005-0000-0000-00007C130000}"/>
    <cellStyle name="Comma 2 2 53" xfId="4500" xr:uid="{00000000-0005-0000-0000-00007D130000}"/>
    <cellStyle name="Comma 2 2 54" xfId="4501" xr:uid="{00000000-0005-0000-0000-00007E130000}"/>
    <cellStyle name="Comma 2 2 55" xfId="4502" xr:uid="{00000000-0005-0000-0000-00007F130000}"/>
    <cellStyle name="Comma 2 2 56" xfId="4503" xr:uid="{00000000-0005-0000-0000-000080130000}"/>
    <cellStyle name="Comma 2 2 57" xfId="4504" xr:uid="{00000000-0005-0000-0000-000081130000}"/>
    <cellStyle name="Comma 2 2 58" xfId="4505" xr:uid="{00000000-0005-0000-0000-000082130000}"/>
    <cellStyle name="Comma 2 2 59" xfId="4506" xr:uid="{00000000-0005-0000-0000-000083130000}"/>
    <cellStyle name="Comma 2 2 6" xfId="4507" xr:uid="{00000000-0005-0000-0000-000084130000}"/>
    <cellStyle name="Comma 2 2 60" xfId="4508" xr:uid="{00000000-0005-0000-0000-000085130000}"/>
    <cellStyle name="Comma 2 2 61" xfId="4509" xr:uid="{00000000-0005-0000-0000-000086130000}"/>
    <cellStyle name="Comma 2 2 62" xfId="4510" xr:uid="{00000000-0005-0000-0000-000087130000}"/>
    <cellStyle name="Comma 2 2 63" xfId="4511" xr:uid="{00000000-0005-0000-0000-000088130000}"/>
    <cellStyle name="Comma 2 2 64" xfId="4512" xr:uid="{00000000-0005-0000-0000-000089130000}"/>
    <cellStyle name="Comma 2 2 65" xfId="4513" xr:uid="{00000000-0005-0000-0000-00008A130000}"/>
    <cellStyle name="Comma 2 2 66" xfId="4514" xr:uid="{00000000-0005-0000-0000-00008B130000}"/>
    <cellStyle name="Comma 2 2 67" xfId="4515" xr:uid="{00000000-0005-0000-0000-00008C130000}"/>
    <cellStyle name="Comma 2 2 68" xfId="4516" xr:uid="{00000000-0005-0000-0000-00008D130000}"/>
    <cellStyle name="Comma 2 2 69" xfId="4517" xr:uid="{00000000-0005-0000-0000-00008E130000}"/>
    <cellStyle name="Comma 2 2 7" xfId="4518" xr:uid="{00000000-0005-0000-0000-00008F130000}"/>
    <cellStyle name="Comma 2 2 70" xfId="4519" xr:uid="{00000000-0005-0000-0000-000090130000}"/>
    <cellStyle name="Comma 2 2 71" xfId="4520" xr:uid="{00000000-0005-0000-0000-000091130000}"/>
    <cellStyle name="Comma 2 2 72" xfId="4521" xr:uid="{00000000-0005-0000-0000-000092130000}"/>
    <cellStyle name="Comma 2 2 73" xfId="4522" xr:uid="{00000000-0005-0000-0000-000093130000}"/>
    <cellStyle name="Comma 2 2 74" xfId="4523" xr:uid="{00000000-0005-0000-0000-000094130000}"/>
    <cellStyle name="Comma 2 2 75" xfId="4524" xr:uid="{00000000-0005-0000-0000-000095130000}"/>
    <cellStyle name="Comma 2 2 76" xfId="4525" xr:uid="{00000000-0005-0000-0000-000096130000}"/>
    <cellStyle name="Comma 2 2 77" xfId="4526" xr:uid="{00000000-0005-0000-0000-000097130000}"/>
    <cellStyle name="Comma 2 2 78" xfId="4527" xr:uid="{00000000-0005-0000-0000-000098130000}"/>
    <cellStyle name="Comma 2 2 79" xfId="4528" xr:uid="{00000000-0005-0000-0000-000099130000}"/>
    <cellStyle name="Comma 2 2 8" xfId="4529" xr:uid="{00000000-0005-0000-0000-00009A130000}"/>
    <cellStyle name="Comma 2 2 80" xfId="4530" xr:uid="{00000000-0005-0000-0000-00009B130000}"/>
    <cellStyle name="Comma 2 2 81" xfId="4531" xr:uid="{00000000-0005-0000-0000-00009C130000}"/>
    <cellStyle name="Comma 2 2 82" xfId="4532" xr:uid="{00000000-0005-0000-0000-00009D130000}"/>
    <cellStyle name="Comma 2 2 83" xfId="4533" xr:uid="{00000000-0005-0000-0000-00009E130000}"/>
    <cellStyle name="Comma 2 2 84" xfId="4534" xr:uid="{00000000-0005-0000-0000-00009F130000}"/>
    <cellStyle name="Comma 2 2 85" xfId="4535" xr:uid="{00000000-0005-0000-0000-0000A0130000}"/>
    <cellStyle name="Comma 2 2 86" xfId="4536" xr:uid="{00000000-0005-0000-0000-0000A1130000}"/>
    <cellStyle name="Comma 2 2 87" xfId="4537" xr:uid="{00000000-0005-0000-0000-0000A2130000}"/>
    <cellStyle name="Comma 2 2 88" xfId="4538" xr:uid="{00000000-0005-0000-0000-0000A3130000}"/>
    <cellStyle name="Comma 2 2 89" xfId="4539" xr:uid="{00000000-0005-0000-0000-0000A4130000}"/>
    <cellStyle name="Comma 2 2 9" xfId="4540" xr:uid="{00000000-0005-0000-0000-0000A5130000}"/>
    <cellStyle name="Comma 2 2 90" xfId="4541" xr:uid="{00000000-0005-0000-0000-0000A6130000}"/>
    <cellStyle name="Comma 2 2 91" xfId="4542" xr:uid="{00000000-0005-0000-0000-0000A7130000}"/>
    <cellStyle name="Comma 2 2 92" xfId="4543" xr:uid="{00000000-0005-0000-0000-0000A8130000}"/>
    <cellStyle name="Comma 2 2 93" xfId="4544" xr:uid="{00000000-0005-0000-0000-0000A9130000}"/>
    <cellStyle name="Comma 2 2 94" xfId="4545" xr:uid="{00000000-0005-0000-0000-0000AA130000}"/>
    <cellStyle name="Comma 2 2 95" xfId="4546" xr:uid="{00000000-0005-0000-0000-0000AB130000}"/>
    <cellStyle name="Comma 2 2 96" xfId="4547" xr:uid="{00000000-0005-0000-0000-0000AC130000}"/>
    <cellStyle name="Comma 2 2 97" xfId="4548" xr:uid="{00000000-0005-0000-0000-0000AD130000}"/>
    <cellStyle name="Comma 2 2 98" xfId="4549" xr:uid="{00000000-0005-0000-0000-0000AE130000}"/>
    <cellStyle name="Comma 2 2 99" xfId="4550" xr:uid="{00000000-0005-0000-0000-0000AF130000}"/>
    <cellStyle name="Comma 2 20" xfId="4551" xr:uid="{00000000-0005-0000-0000-0000B0130000}"/>
    <cellStyle name="Comma 2 21" xfId="4552" xr:uid="{00000000-0005-0000-0000-0000B1130000}"/>
    <cellStyle name="Comma 2 22" xfId="4553" xr:uid="{00000000-0005-0000-0000-0000B2130000}"/>
    <cellStyle name="Comma 2 23" xfId="4554" xr:uid="{00000000-0005-0000-0000-0000B3130000}"/>
    <cellStyle name="Comma 2 24" xfId="4555" xr:uid="{00000000-0005-0000-0000-0000B4130000}"/>
    <cellStyle name="Comma 2 25" xfId="4556" xr:uid="{00000000-0005-0000-0000-0000B5130000}"/>
    <cellStyle name="Comma 2 26" xfId="4557" xr:uid="{00000000-0005-0000-0000-0000B6130000}"/>
    <cellStyle name="Comma 2 27" xfId="4558" xr:uid="{00000000-0005-0000-0000-0000B7130000}"/>
    <cellStyle name="Comma 2 28" xfId="4559" xr:uid="{00000000-0005-0000-0000-0000B8130000}"/>
    <cellStyle name="Comma 2 29" xfId="4560" xr:uid="{00000000-0005-0000-0000-0000B9130000}"/>
    <cellStyle name="Comma 2 3" xfId="4561" xr:uid="{00000000-0005-0000-0000-0000BA130000}"/>
    <cellStyle name="Comma 2 3 2" xfId="4562" xr:uid="{00000000-0005-0000-0000-0000BB130000}"/>
    <cellStyle name="Comma 2 3 2 2" xfId="14578" xr:uid="{34FDEA2E-0B00-4A31-8EAF-9A0B958A1207}"/>
    <cellStyle name="Comma 2 3 2 2 2" xfId="14595" xr:uid="{96094FA0-5C29-4608-A9CC-8CAE4AC36221}"/>
    <cellStyle name="Comma 2 3 2 3" xfId="14617" xr:uid="{A1E44039-9050-4583-83CC-2B96A83DEA8F}"/>
    <cellStyle name="Comma 2 3 3" xfId="10085" xr:uid="{00000000-0005-0000-0000-0000BC130000}"/>
    <cellStyle name="Comma 2 30" xfId="4563" xr:uid="{00000000-0005-0000-0000-0000BD130000}"/>
    <cellStyle name="Comma 2 31" xfId="4564" xr:uid="{00000000-0005-0000-0000-0000BE130000}"/>
    <cellStyle name="Comma 2 32" xfId="4565" xr:uid="{00000000-0005-0000-0000-0000BF130000}"/>
    <cellStyle name="Comma 2 33" xfId="4566" xr:uid="{00000000-0005-0000-0000-0000C0130000}"/>
    <cellStyle name="Comma 2 34" xfId="4567" xr:uid="{00000000-0005-0000-0000-0000C1130000}"/>
    <cellStyle name="Comma 2 35" xfId="4568" xr:uid="{00000000-0005-0000-0000-0000C2130000}"/>
    <cellStyle name="Comma 2 36" xfId="4569" xr:uid="{00000000-0005-0000-0000-0000C3130000}"/>
    <cellStyle name="Comma 2 37" xfId="4570" xr:uid="{00000000-0005-0000-0000-0000C4130000}"/>
    <cellStyle name="Comma 2 38" xfId="4571" xr:uid="{00000000-0005-0000-0000-0000C5130000}"/>
    <cellStyle name="Comma 2 39" xfId="4572" xr:uid="{00000000-0005-0000-0000-0000C6130000}"/>
    <cellStyle name="Comma 2 4" xfId="4573" xr:uid="{00000000-0005-0000-0000-0000C7130000}"/>
    <cellStyle name="Comma 2 4 2" xfId="4574" xr:uid="{00000000-0005-0000-0000-0000C8130000}"/>
    <cellStyle name="Comma 2 4 2 2 2" xfId="14560" xr:uid="{02AD60FC-9AA9-4FAC-9812-67652E64448E}"/>
    <cellStyle name="Comma 2 4 2 2 2 2" xfId="14604" xr:uid="{97ED7D41-117C-4B0E-A21B-88444AE5B1B9}"/>
    <cellStyle name="Comma 2 4 2 2 2 3 2 2 2 3" xfId="14582" xr:uid="{C36C4059-C37C-4C94-B4C6-3121463F2864}"/>
    <cellStyle name="Comma 2 40" xfId="4575" xr:uid="{00000000-0005-0000-0000-0000C9130000}"/>
    <cellStyle name="Comma 2 41" xfId="4576" xr:uid="{00000000-0005-0000-0000-0000CA130000}"/>
    <cellStyle name="Comma 2 42" xfId="4577" xr:uid="{00000000-0005-0000-0000-0000CB130000}"/>
    <cellStyle name="Comma 2 43" xfId="4578" xr:uid="{00000000-0005-0000-0000-0000CC130000}"/>
    <cellStyle name="Comma 2 44" xfId="4579" xr:uid="{00000000-0005-0000-0000-0000CD130000}"/>
    <cellStyle name="Comma 2 45" xfId="4580" xr:uid="{00000000-0005-0000-0000-0000CE130000}"/>
    <cellStyle name="Comma 2 46" xfId="4581" xr:uid="{00000000-0005-0000-0000-0000CF130000}"/>
    <cellStyle name="Comma 2 47" xfId="4582" xr:uid="{00000000-0005-0000-0000-0000D0130000}"/>
    <cellStyle name="Comma 2 48" xfId="4583" xr:uid="{00000000-0005-0000-0000-0000D1130000}"/>
    <cellStyle name="Comma 2 49" xfId="4584" xr:uid="{00000000-0005-0000-0000-0000D2130000}"/>
    <cellStyle name="Comma 2 5" xfId="4585" xr:uid="{00000000-0005-0000-0000-0000D3130000}"/>
    <cellStyle name="Comma 2 50" xfId="4586" xr:uid="{00000000-0005-0000-0000-0000D4130000}"/>
    <cellStyle name="Comma 2 51" xfId="4587" xr:uid="{00000000-0005-0000-0000-0000D5130000}"/>
    <cellStyle name="Comma 2 52" xfId="4588" xr:uid="{00000000-0005-0000-0000-0000D6130000}"/>
    <cellStyle name="Comma 2 53" xfId="4589" xr:uid="{00000000-0005-0000-0000-0000D7130000}"/>
    <cellStyle name="Comma 2 54" xfId="4590" xr:uid="{00000000-0005-0000-0000-0000D8130000}"/>
    <cellStyle name="Comma 2 55" xfId="4591" xr:uid="{00000000-0005-0000-0000-0000D9130000}"/>
    <cellStyle name="Comma 2 56" xfId="4592" xr:uid="{00000000-0005-0000-0000-0000DA130000}"/>
    <cellStyle name="Comma 2 57" xfId="4593" xr:uid="{00000000-0005-0000-0000-0000DB130000}"/>
    <cellStyle name="Comma 2 58" xfId="4594" xr:uid="{00000000-0005-0000-0000-0000DC130000}"/>
    <cellStyle name="Comma 2 59" xfId="4595" xr:uid="{00000000-0005-0000-0000-0000DD130000}"/>
    <cellStyle name="Comma 2 6" xfId="4596" xr:uid="{00000000-0005-0000-0000-0000DE130000}"/>
    <cellStyle name="Comma 2 6 2" xfId="14544" xr:uid="{00000000-0005-0000-0000-0000DF130000}"/>
    <cellStyle name="Comma 2 60" xfId="4597" xr:uid="{00000000-0005-0000-0000-0000E0130000}"/>
    <cellStyle name="Comma 2 61" xfId="4598" xr:uid="{00000000-0005-0000-0000-0000E1130000}"/>
    <cellStyle name="Comma 2 62" xfId="4599" xr:uid="{00000000-0005-0000-0000-0000E2130000}"/>
    <cellStyle name="Comma 2 63" xfId="4600" xr:uid="{00000000-0005-0000-0000-0000E3130000}"/>
    <cellStyle name="Comma 2 64" xfId="4601" xr:uid="{00000000-0005-0000-0000-0000E4130000}"/>
    <cellStyle name="Comma 2 65" xfId="4602" xr:uid="{00000000-0005-0000-0000-0000E5130000}"/>
    <cellStyle name="Comma 2 66" xfId="4603" xr:uid="{00000000-0005-0000-0000-0000E6130000}"/>
    <cellStyle name="Comma 2 67" xfId="4604" xr:uid="{00000000-0005-0000-0000-0000E7130000}"/>
    <cellStyle name="Comma 2 68" xfId="4605" xr:uid="{00000000-0005-0000-0000-0000E8130000}"/>
    <cellStyle name="Comma 2 69" xfId="4606" xr:uid="{00000000-0005-0000-0000-0000E9130000}"/>
    <cellStyle name="Comma 2 7" xfId="4607" xr:uid="{00000000-0005-0000-0000-0000EA130000}"/>
    <cellStyle name="Comma 2 70" xfId="4608" xr:uid="{00000000-0005-0000-0000-0000EB130000}"/>
    <cellStyle name="Comma 2 71" xfId="4609" xr:uid="{00000000-0005-0000-0000-0000EC130000}"/>
    <cellStyle name="Comma 2 72" xfId="4610" xr:uid="{00000000-0005-0000-0000-0000ED130000}"/>
    <cellStyle name="Comma 2 73" xfId="4611" xr:uid="{00000000-0005-0000-0000-0000EE130000}"/>
    <cellStyle name="Comma 2 74" xfId="4612" xr:uid="{00000000-0005-0000-0000-0000EF130000}"/>
    <cellStyle name="Comma 2 75" xfId="4613" xr:uid="{00000000-0005-0000-0000-0000F0130000}"/>
    <cellStyle name="Comma 2 76" xfId="4614" xr:uid="{00000000-0005-0000-0000-0000F1130000}"/>
    <cellStyle name="Comma 2 77" xfId="4615" xr:uid="{00000000-0005-0000-0000-0000F2130000}"/>
    <cellStyle name="Comma 2 78" xfId="4616" xr:uid="{00000000-0005-0000-0000-0000F3130000}"/>
    <cellStyle name="Comma 2 79" xfId="4617" xr:uid="{00000000-0005-0000-0000-0000F4130000}"/>
    <cellStyle name="Comma 2 8" xfId="4618" xr:uid="{00000000-0005-0000-0000-0000F5130000}"/>
    <cellStyle name="Comma 2 80" xfId="4619" xr:uid="{00000000-0005-0000-0000-0000F6130000}"/>
    <cellStyle name="Comma 2 81" xfId="4620" xr:uid="{00000000-0005-0000-0000-0000F7130000}"/>
    <cellStyle name="Comma 2 82" xfId="4621" xr:uid="{00000000-0005-0000-0000-0000F8130000}"/>
    <cellStyle name="Comma 2 83" xfId="4622" xr:uid="{00000000-0005-0000-0000-0000F9130000}"/>
    <cellStyle name="Comma 2 84" xfId="4623" xr:uid="{00000000-0005-0000-0000-0000FA130000}"/>
    <cellStyle name="Comma 2 85" xfId="4624" xr:uid="{00000000-0005-0000-0000-0000FB130000}"/>
    <cellStyle name="Comma 2 86" xfId="4625" xr:uid="{00000000-0005-0000-0000-0000FC130000}"/>
    <cellStyle name="Comma 2 87" xfId="4626" xr:uid="{00000000-0005-0000-0000-0000FD130000}"/>
    <cellStyle name="Comma 2 88" xfId="4627" xr:uid="{00000000-0005-0000-0000-0000FE130000}"/>
    <cellStyle name="Comma 2 89" xfId="4628" xr:uid="{00000000-0005-0000-0000-0000FF130000}"/>
    <cellStyle name="Comma 2 9" xfId="4629" xr:uid="{00000000-0005-0000-0000-000000140000}"/>
    <cellStyle name="Comma 2 9 2 2" xfId="14564" xr:uid="{C64C2E15-36B8-41F7-B36A-3C2711557106}"/>
    <cellStyle name="Comma 2 90" xfId="4630" xr:uid="{00000000-0005-0000-0000-000001140000}"/>
    <cellStyle name="Comma 2 91" xfId="4631" xr:uid="{00000000-0005-0000-0000-000002140000}"/>
    <cellStyle name="Comma 2 92" xfId="4632" xr:uid="{00000000-0005-0000-0000-000003140000}"/>
    <cellStyle name="Comma 2 93" xfId="4633" xr:uid="{00000000-0005-0000-0000-000004140000}"/>
    <cellStyle name="Comma 2 94" xfId="4634" xr:uid="{00000000-0005-0000-0000-000005140000}"/>
    <cellStyle name="Comma 2 95" xfId="4635" xr:uid="{00000000-0005-0000-0000-000006140000}"/>
    <cellStyle name="Comma 2 96" xfId="4636" xr:uid="{00000000-0005-0000-0000-000007140000}"/>
    <cellStyle name="Comma 2 97" xfId="4637" xr:uid="{00000000-0005-0000-0000-000008140000}"/>
    <cellStyle name="Comma 2 98" xfId="4638" xr:uid="{00000000-0005-0000-0000-000009140000}"/>
    <cellStyle name="Comma 2 99" xfId="4639" xr:uid="{00000000-0005-0000-0000-00000A140000}"/>
    <cellStyle name="Comma 2_29AUG09-Cost Estimation" xfId="4640" xr:uid="{00000000-0005-0000-0000-00000B140000}"/>
    <cellStyle name="Comma 20" xfId="4641" xr:uid="{00000000-0005-0000-0000-00000C140000}"/>
    <cellStyle name="Comma 21" xfId="4642" xr:uid="{00000000-0005-0000-0000-00000D140000}"/>
    <cellStyle name="Comma 21 2" xfId="4643" xr:uid="{00000000-0005-0000-0000-00000E140000}"/>
    <cellStyle name="Comma 21 3" xfId="4644" xr:uid="{00000000-0005-0000-0000-00000F140000}"/>
    <cellStyle name="Comma 22" xfId="4645" xr:uid="{00000000-0005-0000-0000-000010140000}"/>
    <cellStyle name="Comma 22 2" xfId="11" xr:uid="{00000000-0005-0000-0000-000011140000}"/>
    <cellStyle name="Comma 22 3" xfId="4646" xr:uid="{00000000-0005-0000-0000-000012140000}"/>
    <cellStyle name="Comma 23" xfId="4647" xr:uid="{00000000-0005-0000-0000-000013140000}"/>
    <cellStyle name="Comma 23 2" xfId="4648" xr:uid="{00000000-0005-0000-0000-000014140000}"/>
    <cellStyle name="Comma 23 3" xfId="4649" xr:uid="{00000000-0005-0000-0000-000015140000}"/>
    <cellStyle name="Comma 24" xfId="4650" xr:uid="{00000000-0005-0000-0000-000016140000}"/>
    <cellStyle name="Comma 24 2" xfId="4651" xr:uid="{00000000-0005-0000-0000-000017140000}"/>
    <cellStyle name="Comma 24 3" xfId="4652" xr:uid="{00000000-0005-0000-0000-000018140000}"/>
    <cellStyle name="Comma 25" xfId="4653" xr:uid="{00000000-0005-0000-0000-000019140000}"/>
    <cellStyle name="Comma 25 2" xfId="4654" xr:uid="{00000000-0005-0000-0000-00001A140000}"/>
    <cellStyle name="Comma 25 3" xfId="4655" xr:uid="{00000000-0005-0000-0000-00001B140000}"/>
    <cellStyle name="Comma 26" xfId="4656" xr:uid="{00000000-0005-0000-0000-00001C140000}"/>
    <cellStyle name="Comma 27" xfId="4657" xr:uid="{00000000-0005-0000-0000-00001D140000}"/>
    <cellStyle name="Comma 27 2" xfId="4658" xr:uid="{00000000-0005-0000-0000-00001E140000}"/>
    <cellStyle name="Comma 27 3" xfId="4659" xr:uid="{00000000-0005-0000-0000-00001F140000}"/>
    <cellStyle name="Comma 28" xfId="4660" xr:uid="{00000000-0005-0000-0000-000020140000}"/>
    <cellStyle name="Comma 28 2" xfId="4661" xr:uid="{00000000-0005-0000-0000-000021140000}"/>
    <cellStyle name="Comma 28 3" xfId="4662" xr:uid="{00000000-0005-0000-0000-000022140000}"/>
    <cellStyle name="Comma 29" xfId="4663" xr:uid="{00000000-0005-0000-0000-000023140000}"/>
    <cellStyle name="Comma 29 2" xfId="4664" xr:uid="{00000000-0005-0000-0000-000024140000}"/>
    <cellStyle name="Comma 29 3" xfId="4665" xr:uid="{00000000-0005-0000-0000-000025140000}"/>
    <cellStyle name="Comma 3" xfId="4666" xr:uid="{00000000-0005-0000-0000-000026140000}"/>
    <cellStyle name="Comma 3 10" xfId="4667" xr:uid="{00000000-0005-0000-0000-000027140000}"/>
    <cellStyle name="Comma 3 100" xfId="4668" xr:uid="{00000000-0005-0000-0000-000028140000}"/>
    <cellStyle name="Comma 3 101" xfId="4669" xr:uid="{00000000-0005-0000-0000-000029140000}"/>
    <cellStyle name="Comma 3 11" xfId="4670" xr:uid="{00000000-0005-0000-0000-00002A140000}"/>
    <cellStyle name="Comma 3 12" xfId="4671" xr:uid="{00000000-0005-0000-0000-00002B140000}"/>
    <cellStyle name="Comma 3 13" xfId="4672" xr:uid="{00000000-0005-0000-0000-00002C140000}"/>
    <cellStyle name="Comma 3 14" xfId="4673" xr:uid="{00000000-0005-0000-0000-00002D140000}"/>
    <cellStyle name="Comma 3 15" xfId="4674" xr:uid="{00000000-0005-0000-0000-00002E140000}"/>
    <cellStyle name="Comma 3 16" xfId="4675" xr:uid="{00000000-0005-0000-0000-00002F140000}"/>
    <cellStyle name="Comma 3 17" xfId="4676" xr:uid="{00000000-0005-0000-0000-000030140000}"/>
    <cellStyle name="Comma 3 18" xfId="4677" xr:uid="{00000000-0005-0000-0000-000031140000}"/>
    <cellStyle name="Comma 3 19" xfId="4678" xr:uid="{00000000-0005-0000-0000-000032140000}"/>
    <cellStyle name="Comma 3 2" xfId="5" xr:uid="{00000000-0005-0000-0000-000033140000}"/>
    <cellStyle name="Comma 3 2 2" xfId="4" xr:uid="{00000000-0005-0000-0000-000034140000}"/>
    <cellStyle name="Comma 3 2 3" xfId="4679" xr:uid="{00000000-0005-0000-0000-000035140000}"/>
    <cellStyle name="Comma 3 2 4" xfId="14634" xr:uid="{584174AC-DB4B-40AF-A6A5-A6BAAC5E0EEF}"/>
    <cellStyle name="Comma 3 20" xfId="4680" xr:uid="{00000000-0005-0000-0000-000036140000}"/>
    <cellStyle name="Comma 3 21" xfId="4681" xr:uid="{00000000-0005-0000-0000-000037140000}"/>
    <cellStyle name="Comma 3 22" xfId="4682" xr:uid="{00000000-0005-0000-0000-000038140000}"/>
    <cellStyle name="Comma 3 23" xfId="4683" xr:uid="{00000000-0005-0000-0000-000039140000}"/>
    <cellStyle name="Comma 3 24" xfId="4684" xr:uid="{00000000-0005-0000-0000-00003A140000}"/>
    <cellStyle name="Comma 3 25" xfId="4685" xr:uid="{00000000-0005-0000-0000-00003B140000}"/>
    <cellStyle name="Comma 3 26" xfId="4686" xr:uid="{00000000-0005-0000-0000-00003C140000}"/>
    <cellStyle name="Comma 3 27" xfId="4687" xr:uid="{00000000-0005-0000-0000-00003D140000}"/>
    <cellStyle name="Comma 3 28" xfId="4688" xr:uid="{00000000-0005-0000-0000-00003E140000}"/>
    <cellStyle name="Comma 3 29" xfId="4689" xr:uid="{00000000-0005-0000-0000-00003F140000}"/>
    <cellStyle name="Comma 3 3" xfId="4690" xr:uid="{00000000-0005-0000-0000-000040140000}"/>
    <cellStyle name="Comma 3 3 2" xfId="4691" xr:uid="{00000000-0005-0000-0000-000041140000}"/>
    <cellStyle name="Comma 3 30" xfId="4692" xr:uid="{00000000-0005-0000-0000-000042140000}"/>
    <cellStyle name="Comma 3 31" xfId="4693" xr:uid="{00000000-0005-0000-0000-000043140000}"/>
    <cellStyle name="Comma 3 32" xfId="4694" xr:uid="{00000000-0005-0000-0000-000044140000}"/>
    <cellStyle name="Comma 3 33" xfId="4695" xr:uid="{00000000-0005-0000-0000-000045140000}"/>
    <cellStyle name="Comma 3 34" xfId="4696" xr:uid="{00000000-0005-0000-0000-000046140000}"/>
    <cellStyle name="Comma 3 35" xfId="4697" xr:uid="{00000000-0005-0000-0000-000047140000}"/>
    <cellStyle name="Comma 3 36" xfId="4698" xr:uid="{00000000-0005-0000-0000-000048140000}"/>
    <cellStyle name="Comma 3 37" xfId="4699" xr:uid="{00000000-0005-0000-0000-000049140000}"/>
    <cellStyle name="Comma 3 38" xfId="4700" xr:uid="{00000000-0005-0000-0000-00004A140000}"/>
    <cellStyle name="Comma 3 39" xfId="4701" xr:uid="{00000000-0005-0000-0000-00004B140000}"/>
    <cellStyle name="Comma 3 4" xfId="4702" xr:uid="{00000000-0005-0000-0000-00004C140000}"/>
    <cellStyle name="Comma 3 4 2" xfId="4703" xr:uid="{00000000-0005-0000-0000-00004D140000}"/>
    <cellStyle name="Comma 3 40" xfId="4704" xr:uid="{00000000-0005-0000-0000-00004E140000}"/>
    <cellStyle name="Comma 3 41" xfId="4705" xr:uid="{00000000-0005-0000-0000-00004F140000}"/>
    <cellStyle name="Comma 3 42" xfId="4706" xr:uid="{00000000-0005-0000-0000-000050140000}"/>
    <cellStyle name="Comma 3 43" xfId="4707" xr:uid="{00000000-0005-0000-0000-000051140000}"/>
    <cellStyle name="Comma 3 44" xfId="4708" xr:uid="{00000000-0005-0000-0000-000052140000}"/>
    <cellStyle name="Comma 3 45" xfId="4709" xr:uid="{00000000-0005-0000-0000-000053140000}"/>
    <cellStyle name="Comma 3 46" xfId="4710" xr:uid="{00000000-0005-0000-0000-000054140000}"/>
    <cellStyle name="Comma 3 47" xfId="4711" xr:uid="{00000000-0005-0000-0000-000055140000}"/>
    <cellStyle name="Comma 3 48" xfId="4712" xr:uid="{00000000-0005-0000-0000-000056140000}"/>
    <cellStyle name="Comma 3 49" xfId="4713" xr:uid="{00000000-0005-0000-0000-000057140000}"/>
    <cellStyle name="Comma 3 5" xfId="4714" xr:uid="{00000000-0005-0000-0000-000058140000}"/>
    <cellStyle name="Comma 3 50" xfId="4715" xr:uid="{00000000-0005-0000-0000-000059140000}"/>
    <cellStyle name="Comma 3 51" xfId="4716" xr:uid="{00000000-0005-0000-0000-00005A140000}"/>
    <cellStyle name="Comma 3 52" xfId="4717" xr:uid="{00000000-0005-0000-0000-00005B140000}"/>
    <cellStyle name="Comma 3 53" xfId="4718" xr:uid="{00000000-0005-0000-0000-00005C140000}"/>
    <cellStyle name="Comma 3 54" xfId="4719" xr:uid="{00000000-0005-0000-0000-00005D140000}"/>
    <cellStyle name="Comma 3 55" xfId="4720" xr:uid="{00000000-0005-0000-0000-00005E140000}"/>
    <cellStyle name="Comma 3 56" xfId="4721" xr:uid="{00000000-0005-0000-0000-00005F140000}"/>
    <cellStyle name="Comma 3 57" xfId="4722" xr:uid="{00000000-0005-0000-0000-000060140000}"/>
    <cellStyle name="Comma 3 58" xfId="4723" xr:uid="{00000000-0005-0000-0000-000061140000}"/>
    <cellStyle name="Comma 3 59" xfId="4724" xr:uid="{00000000-0005-0000-0000-000062140000}"/>
    <cellStyle name="Comma 3 6" xfId="4725" xr:uid="{00000000-0005-0000-0000-000063140000}"/>
    <cellStyle name="Comma 3 60" xfId="4726" xr:uid="{00000000-0005-0000-0000-000064140000}"/>
    <cellStyle name="Comma 3 61" xfId="4727" xr:uid="{00000000-0005-0000-0000-000065140000}"/>
    <cellStyle name="Comma 3 62" xfId="4728" xr:uid="{00000000-0005-0000-0000-000066140000}"/>
    <cellStyle name="Comma 3 63" xfId="4729" xr:uid="{00000000-0005-0000-0000-000067140000}"/>
    <cellStyle name="Comma 3 64" xfId="4730" xr:uid="{00000000-0005-0000-0000-000068140000}"/>
    <cellStyle name="Comma 3 65" xfId="4731" xr:uid="{00000000-0005-0000-0000-000069140000}"/>
    <cellStyle name="Comma 3 66" xfId="4732" xr:uid="{00000000-0005-0000-0000-00006A140000}"/>
    <cellStyle name="Comma 3 67" xfId="4733" xr:uid="{00000000-0005-0000-0000-00006B140000}"/>
    <cellStyle name="Comma 3 68" xfId="4734" xr:uid="{00000000-0005-0000-0000-00006C140000}"/>
    <cellStyle name="Comma 3 69" xfId="4735" xr:uid="{00000000-0005-0000-0000-00006D140000}"/>
    <cellStyle name="Comma 3 7" xfId="4736" xr:uid="{00000000-0005-0000-0000-00006E140000}"/>
    <cellStyle name="Comma 3 70" xfId="4737" xr:uid="{00000000-0005-0000-0000-00006F140000}"/>
    <cellStyle name="Comma 3 71" xfId="4738" xr:uid="{00000000-0005-0000-0000-000070140000}"/>
    <cellStyle name="Comma 3 72" xfId="4739" xr:uid="{00000000-0005-0000-0000-000071140000}"/>
    <cellStyle name="Comma 3 73" xfId="4740" xr:uid="{00000000-0005-0000-0000-000072140000}"/>
    <cellStyle name="Comma 3 74" xfId="4741" xr:uid="{00000000-0005-0000-0000-000073140000}"/>
    <cellStyle name="Comma 3 75" xfId="4742" xr:uid="{00000000-0005-0000-0000-000074140000}"/>
    <cellStyle name="Comma 3 76" xfId="4743" xr:uid="{00000000-0005-0000-0000-000075140000}"/>
    <cellStyle name="Comma 3 77" xfId="4744" xr:uid="{00000000-0005-0000-0000-000076140000}"/>
    <cellStyle name="Comma 3 78" xfId="4745" xr:uid="{00000000-0005-0000-0000-000077140000}"/>
    <cellStyle name="Comma 3 79" xfId="4746" xr:uid="{00000000-0005-0000-0000-000078140000}"/>
    <cellStyle name="Comma 3 8" xfId="4747" xr:uid="{00000000-0005-0000-0000-000079140000}"/>
    <cellStyle name="Comma 3 80" xfId="4748" xr:uid="{00000000-0005-0000-0000-00007A140000}"/>
    <cellStyle name="Comma 3 81" xfId="4749" xr:uid="{00000000-0005-0000-0000-00007B140000}"/>
    <cellStyle name="Comma 3 82" xfId="4750" xr:uid="{00000000-0005-0000-0000-00007C140000}"/>
    <cellStyle name="Comma 3 83" xfId="4751" xr:uid="{00000000-0005-0000-0000-00007D140000}"/>
    <cellStyle name="Comma 3 84" xfId="4752" xr:uid="{00000000-0005-0000-0000-00007E140000}"/>
    <cellStyle name="Comma 3 85" xfId="4753" xr:uid="{00000000-0005-0000-0000-00007F140000}"/>
    <cellStyle name="Comma 3 86" xfId="4754" xr:uid="{00000000-0005-0000-0000-000080140000}"/>
    <cellStyle name="Comma 3 87" xfId="4755" xr:uid="{00000000-0005-0000-0000-000081140000}"/>
    <cellStyle name="Comma 3 88" xfId="4756" xr:uid="{00000000-0005-0000-0000-000082140000}"/>
    <cellStyle name="Comma 3 89" xfId="4757" xr:uid="{00000000-0005-0000-0000-000083140000}"/>
    <cellStyle name="Comma 3 9" xfId="4758" xr:uid="{00000000-0005-0000-0000-000084140000}"/>
    <cellStyle name="Comma 3 90" xfId="4759" xr:uid="{00000000-0005-0000-0000-000085140000}"/>
    <cellStyle name="Comma 3 91" xfId="4760" xr:uid="{00000000-0005-0000-0000-000086140000}"/>
    <cellStyle name="Comma 3 92" xfId="4761" xr:uid="{00000000-0005-0000-0000-000087140000}"/>
    <cellStyle name="Comma 3 93" xfId="4762" xr:uid="{00000000-0005-0000-0000-000088140000}"/>
    <cellStyle name="Comma 3 94" xfId="4763" xr:uid="{00000000-0005-0000-0000-000089140000}"/>
    <cellStyle name="Comma 3 95" xfId="4764" xr:uid="{00000000-0005-0000-0000-00008A140000}"/>
    <cellStyle name="Comma 3 96" xfId="4765" xr:uid="{00000000-0005-0000-0000-00008B140000}"/>
    <cellStyle name="Comma 3 97" xfId="4766" xr:uid="{00000000-0005-0000-0000-00008C140000}"/>
    <cellStyle name="Comma 3 98" xfId="4767" xr:uid="{00000000-0005-0000-0000-00008D140000}"/>
    <cellStyle name="Comma 3 99" xfId="4768" xr:uid="{00000000-0005-0000-0000-00008E140000}"/>
    <cellStyle name="Comma 3_BOQ-IPH-ME-(REV 2-06-05-2010) Final Rev2" xfId="4769" xr:uid="{00000000-0005-0000-0000-00008F140000}"/>
    <cellStyle name="Comma 30" xfId="4770" xr:uid="{00000000-0005-0000-0000-000090140000}"/>
    <cellStyle name="Comma 30 2" xfId="4771" xr:uid="{00000000-0005-0000-0000-000091140000}"/>
    <cellStyle name="Comma 30 2 11" xfId="14569" xr:uid="{2008DC66-2C77-47EE-92E9-E60197A68A83}"/>
    <cellStyle name="Comma 30 3" xfId="4772" xr:uid="{00000000-0005-0000-0000-000092140000}"/>
    <cellStyle name="Comma 31" xfId="4773" xr:uid="{00000000-0005-0000-0000-000093140000}"/>
    <cellStyle name="Comma 32" xfId="4774" xr:uid="{00000000-0005-0000-0000-000094140000}"/>
    <cellStyle name="Comma 33" xfId="4775" xr:uid="{00000000-0005-0000-0000-000095140000}"/>
    <cellStyle name="Comma 34" xfId="4776" xr:uid="{00000000-0005-0000-0000-000096140000}"/>
    <cellStyle name="Comma 35" xfId="4777" xr:uid="{00000000-0005-0000-0000-000097140000}"/>
    <cellStyle name="Comma 355" xfId="10454" xr:uid="{00000000-0005-0000-0000-000098140000}"/>
    <cellStyle name="Comma 36" xfId="4778" xr:uid="{00000000-0005-0000-0000-000099140000}"/>
    <cellStyle name="Comma 36 2" xfId="14561" xr:uid="{D9510435-15DB-4164-835C-44BA71C656DF}"/>
    <cellStyle name="Comma 362" xfId="14629" xr:uid="{59ECDA28-03B5-48B8-87AA-56C2E6A3571D}"/>
    <cellStyle name="Comma 37" xfId="4779" xr:uid="{00000000-0005-0000-0000-00009A140000}"/>
    <cellStyle name="Comma 38" xfId="4780" xr:uid="{00000000-0005-0000-0000-00009B140000}"/>
    <cellStyle name="Comma 39" xfId="4781" xr:uid="{00000000-0005-0000-0000-00009C140000}"/>
    <cellStyle name="Comma 4" xfId="4782" xr:uid="{00000000-0005-0000-0000-00009D140000}"/>
    <cellStyle name="Comma 4 2" xfId="4783" xr:uid="{00000000-0005-0000-0000-00009E140000}"/>
    <cellStyle name="Comma 4 2 2" xfId="4784" xr:uid="{00000000-0005-0000-0000-00009F140000}"/>
    <cellStyle name="Comma 4 2 3" xfId="14583" xr:uid="{4688969E-8D55-4FE9-ABC5-07493BA65703}"/>
    <cellStyle name="Comma 4 3" xfId="4785" xr:uid="{00000000-0005-0000-0000-0000A0140000}"/>
    <cellStyle name="Comma 4 3 2" xfId="14637" xr:uid="{B60934E1-7DA4-46AB-B195-80C95F1D9A33}"/>
    <cellStyle name="Comma 4 4" xfId="4786" xr:uid="{00000000-0005-0000-0000-0000A1140000}"/>
    <cellStyle name="Comma 4 4 2" xfId="4787" xr:uid="{00000000-0005-0000-0000-0000A2140000}"/>
    <cellStyle name="Comma 4 5" xfId="4788" xr:uid="{00000000-0005-0000-0000-0000A3140000}"/>
    <cellStyle name="Comma 4 6" xfId="4789" xr:uid="{00000000-0005-0000-0000-0000A4140000}"/>
    <cellStyle name="Comma 4 7" xfId="14600" xr:uid="{64383D2D-6E01-4E3C-9D3E-D364ECFB1B0F}"/>
    <cellStyle name="Comma 4_BOQ-IPH-ME-(REV 2-06-05-2010) Final Rev2" xfId="4790" xr:uid="{00000000-0005-0000-0000-0000A5140000}"/>
    <cellStyle name="Comma 40" xfId="4791" xr:uid="{00000000-0005-0000-0000-0000A6140000}"/>
    <cellStyle name="Comma 41" xfId="4792" xr:uid="{00000000-0005-0000-0000-0000A7140000}"/>
    <cellStyle name="Comma 42" xfId="4793" xr:uid="{00000000-0005-0000-0000-0000A8140000}"/>
    <cellStyle name="Comma 42 2" xfId="20" xr:uid="{00000000-0005-0000-0000-0000A9140000}"/>
    <cellStyle name="Comma 42 3" xfId="9765" xr:uid="{00000000-0005-0000-0000-0000AA140000}"/>
    <cellStyle name="Comma 43" xfId="4794" xr:uid="{00000000-0005-0000-0000-0000AB140000}"/>
    <cellStyle name="Comma 44" xfId="4795" xr:uid="{00000000-0005-0000-0000-0000AC140000}"/>
    <cellStyle name="Comma 45" xfId="4796" xr:uid="{00000000-0005-0000-0000-0000AD140000}"/>
    <cellStyle name="Comma 46" xfId="4797" xr:uid="{00000000-0005-0000-0000-0000AE140000}"/>
    <cellStyle name="Comma 46 2" xfId="4798" xr:uid="{00000000-0005-0000-0000-0000AF140000}"/>
    <cellStyle name="Comma 46 2 2" xfId="4799" xr:uid="{00000000-0005-0000-0000-0000B0140000}"/>
    <cellStyle name="Comma 46 2 2 2" xfId="4800" xr:uid="{00000000-0005-0000-0000-0000B1140000}"/>
    <cellStyle name="Comma 46 2 3" xfId="4801" xr:uid="{00000000-0005-0000-0000-0000B2140000}"/>
    <cellStyle name="Comma 46 3" xfId="4802" xr:uid="{00000000-0005-0000-0000-0000B3140000}"/>
    <cellStyle name="Comma 46 3 2" xfId="4803" xr:uid="{00000000-0005-0000-0000-0000B4140000}"/>
    <cellStyle name="Comma 46 4" xfId="4804" xr:uid="{00000000-0005-0000-0000-0000B5140000}"/>
    <cellStyle name="Comma 47" xfId="4805" xr:uid="{00000000-0005-0000-0000-0000B6140000}"/>
    <cellStyle name="Comma 48" xfId="4806" xr:uid="{00000000-0005-0000-0000-0000B7140000}"/>
    <cellStyle name="Comma 49" xfId="4807" xr:uid="{00000000-0005-0000-0000-0000B8140000}"/>
    <cellStyle name="Comma 5" xfId="4808" xr:uid="{00000000-0005-0000-0000-0000B9140000}"/>
    <cellStyle name="Comma 5 10" xfId="4809" xr:uid="{00000000-0005-0000-0000-0000BA140000}"/>
    <cellStyle name="Comma 5 11" xfId="4810" xr:uid="{00000000-0005-0000-0000-0000BB140000}"/>
    <cellStyle name="Comma 5 12" xfId="4811" xr:uid="{00000000-0005-0000-0000-0000BC140000}"/>
    <cellStyle name="Comma 5 13" xfId="4812" xr:uid="{00000000-0005-0000-0000-0000BD140000}"/>
    <cellStyle name="Comma 5 14" xfId="4813" xr:uid="{00000000-0005-0000-0000-0000BE140000}"/>
    <cellStyle name="Comma 5 15" xfId="4814" xr:uid="{00000000-0005-0000-0000-0000BF140000}"/>
    <cellStyle name="Comma 5 16" xfId="4815" xr:uid="{00000000-0005-0000-0000-0000C0140000}"/>
    <cellStyle name="Comma 5 17" xfId="4816" xr:uid="{00000000-0005-0000-0000-0000C1140000}"/>
    <cellStyle name="Comma 5 18" xfId="4817" xr:uid="{00000000-0005-0000-0000-0000C2140000}"/>
    <cellStyle name="Comma 5 19" xfId="4818" xr:uid="{00000000-0005-0000-0000-0000C3140000}"/>
    <cellStyle name="Comma 5 2" xfId="4819" xr:uid="{00000000-0005-0000-0000-0000C4140000}"/>
    <cellStyle name="Comma 5 20" xfId="4820" xr:uid="{00000000-0005-0000-0000-0000C5140000}"/>
    <cellStyle name="Comma 5 21" xfId="4821" xr:uid="{00000000-0005-0000-0000-0000C6140000}"/>
    <cellStyle name="Comma 5 22" xfId="4822" xr:uid="{00000000-0005-0000-0000-0000C7140000}"/>
    <cellStyle name="Comma 5 23" xfId="4823" xr:uid="{00000000-0005-0000-0000-0000C8140000}"/>
    <cellStyle name="Comma 5 24" xfId="4824" xr:uid="{00000000-0005-0000-0000-0000C9140000}"/>
    <cellStyle name="Comma 5 25" xfId="4825" xr:uid="{00000000-0005-0000-0000-0000CA140000}"/>
    <cellStyle name="Comma 5 26" xfId="4826" xr:uid="{00000000-0005-0000-0000-0000CB140000}"/>
    <cellStyle name="Comma 5 27" xfId="4827" xr:uid="{00000000-0005-0000-0000-0000CC140000}"/>
    <cellStyle name="Comma 5 28" xfId="4828" xr:uid="{00000000-0005-0000-0000-0000CD140000}"/>
    <cellStyle name="Comma 5 29" xfId="4829" xr:uid="{00000000-0005-0000-0000-0000CE140000}"/>
    <cellStyle name="Comma 5 3" xfId="4830" xr:uid="{00000000-0005-0000-0000-0000CF140000}"/>
    <cellStyle name="Comma 5 3 2" xfId="4831" xr:uid="{00000000-0005-0000-0000-0000D0140000}"/>
    <cellStyle name="Comma 5 3 3" xfId="4832" xr:uid="{00000000-0005-0000-0000-0000D1140000}"/>
    <cellStyle name="Comma 5 3 4" xfId="4833" xr:uid="{00000000-0005-0000-0000-0000D2140000}"/>
    <cellStyle name="Comma 5 3 5" xfId="4834" xr:uid="{00000000-0005-0000-0000-0000D3140000}"/>
    <cellStyle name="Comma 5 3 6" xfId="4835" xr:uid="{00000000-0005-0000-0000-0000D4140000}"/>
    <cellStyle name="Comma 5 30" xfId="4836" xr:uid="{00000000-0005-0000-0000-0000D5140000}"/>
    <cellStyle name="Comma 5 31" xfId="4837" xr:uid="{00000000-0005-0000-0000-0000D6140000}"/>
    <cellStyle name="Comma 5 32" xfId="4838" xr:uid="{00000000-0005-0000-0000-0000D7140000}"/>
    <cellStyle name="Comma 5 33" xfId="4839" xr:uid="{00000000-0005-0000-0000-0000D8140000}"/>
    <cellStyle name="Comma 5 34" xfId="4840" xr:uid="{00000000-0005-0000-0000-0000D9140000}"/>
    <cellStyle name="Comma 5 35" xfId="4841" xr:uid="{00000000-0005-0000-0000-0000DA140000}"/>
    <cellStyle name="Comma 5 36" xfId="4842" xr:uid="{00000000-0005-0000-0000-0000DB140000}"/>
    <cellStyle name="Comma 5 37" xfId="4843" xr:uid="{00000000-0005-0000-0000-0000DC140000}"/>
    <cellStyle name="Comma 5 38" xfId="4844" xr:uid="{00000000-0005-0000-0000-0000DD140000}"/>
    <cellStyle name="Comma 5 39" xfId="4845" xr:uid="{00000000-0005-0000-0000-0000DE140000}"/>
    <cellStyle name="Comma 5 4" xfId="4846" xr:uid="{00000000-0005-0000-0000-0000DF140000}"/>
    <cellStyle name="Comma 5 4 2" xfId="4847" xr:uid="{00000000-0005-0000-0000-0000E0140000}"/>
    <cellStyle name="Comma 5 4 3" xfId="4848" xr:uid="{00000000-0005-0000-0000-0000E1140000}"/>
    <cellStyle name="Comma 5 4 4" xfId="4849" xr:uid="{00000000-0005-0000-0000-0000E2140000}"/>
    <cellStyle name="Comma 5 4 5" xfId="4850" xr:uid="{00000000-0005-0000-0000-0000E3140000}"/>
    <cellStyle name="Comma 5 4 6" xfId="4851" xr:uid="{00000000-0005-0000-0000-0000E4140000}"/>
    <cellStyle name="Comma 5 40" xfId="4852" xr:uid="{00000000-0005-0000-0000-0000E5140000}"/>
    <cellStyle name="Comma 5 41" xfId="4853" xr:uid="{00000000-0005-0000-0000-0000E6140000}"/>
    <cellStyle name="Comma 5 42" xfId="4854" xr:uid="{00000000-0005-0000-0000-0000E7140000}"/>
    <cellStyle name="Comma 5 43" xfId="4855" xr:uid="{00000000-0005-0000-0000-0000E8140000}"/>
    <cellStyle name="Comma 5 44" xfId="4856" xr:uid="{00000000-0005-0000-0000-0000E9140000}"/>
    <cellStyle name="Comma 5 45" xfId="4857" xr:uid="{00000000-0005-0000-0000-0000EA140000}"/>
    <cellStyle name="Comma 5 46" xfId="4858" xr:uid="{00000000-0005-0000-0000-0000EB140000}"/>
    <cellStyle name="Comma 5 47" xfId="4859" xr:uid="{00000000-0005-0000-0000-0000EC140000}"/>
    <cellStyle name="Comma 5 48" xfId="4860" xr:uid="{00000000-0005-0000-0000-0000ED140000}"/>
    <cellStyle name="Comma 5 49" xfId="4861" xr:uid="{00000000-0005-0000-0000-0000EE140000}"/>
    <cellStyle name="Comma 5 5" xfId="4862" xr:uid="{00000000-0005-0000-0000-0000EF140000}"/>
    <cellStyle name="Comma 5 50" xfId="4863" xr:uid="{00000000-0005-0000-0000-0000F0140000}"/>
    <cellStyle name="Comma 5 51" xfId="4864" xr:uid="{00000000-0005-0000-0000-0000F1140000}"/>
    <cellStyle name="Comma 5 52" xfId="4865" xr:uid="{00000000-0005-0000-0000-0000F2140000}"/>
    <cellStyle name="Comma 5 53" xfId="4866" xr:uid="{00000000-0005-0000-0000-0000F3140000}"/>
    <cellStyle name="Comma 5 54" xfId="4867" xr:uid="{00000000-0005-0000-0000-0000F4140000}"/>
    <cellStyle name="Comma 5 55" xfId="4868" xr:uid="{00000000-0005-0000-0000-0000F5140000}"/>
    <cellStyle name="Comma 5 56" xfId="4869" xr:uid="{00000000-0005-0000-0000-0000F6140000}"/>
    <cellStyle name="Comma 5 57" xfId="4870" xr:uid="{00000000-0005-0000-0000-0000F7140000}"/>
    <cellStyle name="Comma 5 58" xfId="4871" xr:uid="{00000000-0005-0000-0000-0000F8140000}"/>
    <cellStyle name="Comma 5 59" xfId="4872" xr:uid="{00000000-0005-0000-0000-0000F9140000}"/>
    <cellStyle name="Comma 5 6" xfId="4873" xr:uid="{00000000-0005-0000-0000-0000FA140000}"/>
    <cellStyle name="Comma 5 60" xfId="4874" xr:uid="{00000000-0005-0000-0000-0000FB140000}"/>
    <cellStyle name="Comma 5 61" xfId="4875" xr:uid="{00000000-0005-0000-0000-0000FC140000}"/>
    <cellStyle name="Comma 5 62" xfId="4876" xr:uid="{00000000-0005-0000-0000-0000FD140000}"/>
    <cellStyle name="Comma 5 63" xfId="4877" xr:uid="{00000000-0005-0000-0000-0000FE140000}"/>
    <cellStyle name="Comma 5 64" xfId="4878" xr:uid="{00000000-0005-0000-0000-0000FF140000}"/>
    <cellStyle name="Comma 5 65" xfId="4879" xr:uid="{00000000-0005-0000-0000-000000150000}"/>
    <cellStyle name="Comma 5 66" xfId="4880" xr:uid="{00000000-0005-0000-0000-000001150000}"/>
    <cellStyle name="Comma 5 67" xfId="4881" xr:uid="{00000000-0005-0000-0000-000002150000}"/>
    <cellStyle name="Comma 5 68" xfId="4882" xr:uid="{00000000-0005-0000-0000-000003150000}"/>
    <cellStyle name="Comma 5 69" xfId="4883" xr:uid="{00000000-0005-0000-0000-000004150000}"/>
    <cellStyle name="Comma 5 7" xfId="4884" xr:uid="{00000000-0005-0000-0000-000005150000}"/>
    <cellStyle name="Comma 5 70" xfId="4885" xr:uid="{00000000-0005-0000-0000-000006150000}"/>
    <cellStyle name="Comma 5 71" xfId="4886" xr:uid="{00000000-0005-0000-0000-000007150000}"/>
    <cellStyle name="Comma 5 72" xfId="4887" xr:uid="{00000000-0005-0000-0000-000008150000}"/>
    <cellStyle name="Comma 5 73" xfId="4888" xr:uid="{00000000-0005-0000-0000-000009150000}"/>
    <cellStyle name="Comma 5 74" xfId="4889" xr:uid="{00000000-0005-0000-0000-00000A150000}"/>
    <cellStyle name="Comma 5 75" xfId="4890" xr:uid="{00000000-0005-0000-0000-00000B150000}"/>
    <cellStyle name="Comma 5 76" xfId="4891" xr:uid="{00000000-0005-0000-0000-00000C150000}"/>
    <cellStyle name="Comma 5 77" xfId="4892" xr:uid="{00000000-0005-0000-0000-00000D150000}"/>
    <cellStyle name="Comma 5 78" xfId="4893" xr:uid="{00000000-0005-0000-0000-00000E150000}"/>
    <cellStyle name="Comma 5 79" xfId="4894" xr:uid="{00000000-0005-0000-0000-00000F150000}"/>
    <cellStyle name="Comma 5 8" xfId="4895" xr:uid="{00000000-0005-0000-0000-000010150000}"/>
    <cellStyle name="Comma 5 80" xfId="4896" xr:uid="{00000000-0005-0000-0000-000011150000}"/>
    <cellStyle name="Comma 5 81" xfId="4897" xr:uid="{00000000-0005-0000-0000-000012150000}"/>
    <cellStyle name="Comma 5 82" xfId="4898" xr:uid="{00000000-0005-0000-0000-000013150000}"/>
    <cellStyle name="Comma 5 83" xfId="4899" xr:uid="{00000000-0005-0000-0000-000014150000}"/>
    <cellStyle name="Comma 5 84" xfId="4900" xr:uid="{00000000-0005-0000-0000-000015150000}"/>
    <cellStyle name="Comma 5 85" xfId="4901" xr:uid="{00000000-0005-0000-0000-000016150000}"/>
    <cellStyle name="Comma 5 86" xfId="4902" xr:uid="{00000000-0005-0000-0000-000017150000}"/>
    <cellStyle name="Comma 5 87" xfId="4903" xr:uid="{00000000-0005-0000-0000-000018150000}"/>
    <cellStyle name="Comma 5 88" xfId="4904" xr:uid="{00000000-0005-0000-0000-000019150000}"/>
    <cellStyle name="Comma 5 89" xfId="4905" xr:uid="{00000000-0005-0000-0000-00001A150000}"/>
    <cellStyle name="Comma 5 9" xfId="4906" xr:uid="{00000000-0005-0000-0000-00001B150000}"/>
    <cellStyle name="Comma 5 90" xfId="4907" xr:uid="{00000000-0005-0000-0000-00001C150000}"/>
    <cellStyle name="Comma 5 91" xfId="4908" xr:uid="{00000000-0005-0000-0000-00001D150000}"/>
    <cellStyle name="Comma 5 92" xfId="4909" xr:uid="{00000000-0005-0000-0000-00001E150000}"/>
    <cellStyle name="Comma 5 93" xfId="4910" xr:uid="{00000000-0005-0000-0000-00001F150000}"/>
    <cellStyle name="Comma 5 94" xfId="4911" xr:uid="{00000000-0005-0000-0000-000020150000}"/>
    <cellStyle name="Comma 5 95" xfId="4912" xr:uid="{00000000-0005-0000-0000-000021150000}"/>
    <cellStyle name="Comma 5 96" xfId="4913" xr:uid="{00000000-0005-0000-0000-000022150000}"/>
    <cellStyle name="Comma 5 97" xfId="4914" xr:uid="{00000000-0005-0000-0000-000023150000}"/>
    <cellStyle name="Comma 5 98" xfId="10086" xr:uid="{00000000-0005-0000-0000-000024150000}"/>
    <cellStyle name="Comma 5 99" xfId="14577" xr:uid="{4EBE1A66-76DF-4382-B6C1-47FBE7569899}"/>
    <cellStyle name="Comma 5_BOQ-IPH-ME-(REV 2-06-05-2010) Final Rev2" xfId="4915" xr:uid="{00000000-0005-0000-0000-000025150000}"/>
    <cellStyle name="Comma 50" xfId="4916" xr:uid="{00000000-0005-0000-0000-000026150000}"/>
    <cellStyle name="Comma 51" xfId="4917" xr:uid="{00000000-0005-0000-0000-000027150000}"/>
    <cellStyle name="Comma 52" xfId="4918" xr:uid="{00000000-0005-0000-0000-000028150000}"/>
    <cellStyle name="Comma 53" xfId="4919" xr:uid="{00000000-0005-0000-0000-000029150000}"/>
    <cellStyle name="Comma 53 2" xfId="4920" xr:uid="{00000000-0005-0000-0000-00002A150000}"/>
    <cellStyle name="Comma 54" xfId="4921" xr:uid="{00000000-0005-0000-0000-00002B150000}"/>
    <cellStyle name="Comma 55" xfId="4922" xr:uid="{00000000-0005-0000-0000-00002C150000}"/>
    <cellStyle name="Comma 56" xfId="4923" xr:uid="{00000000-0005-0000-0000-00002D150000}"/>
    <cellStyle name="Comma 57" xfId="4924" xr:uid="{00000000-0005-0000-0000-00002E150000}"/>
    <cellStyle name="Comma 58" xfId="4925" xr:uid="{00000000-0005-0000-0000-00002F150000}"/>
    <cellStyle name="Comma 59" xfId="4926" xr:uid="{00000000-0005-0000-0000-000030150000}"/>
    <cellStyle name="Comma 6" xfId="4927" xr:uid="{00000000-0005-0000-0000-000031150000}"/>
    <cellStyle name="Comma 6 10" xfId="4928" xr:uid="{00000000-0005-0000-0000-000032150000}"/>
    <cellStyle name="Comma 6 11" xfId="4929" xr:uid="{00000000-0005-0000-0000-000033150000}"/>
    <cellStyle name="Comma 6 12" xfId="4930" xr:uid="{00000000-0005-0000-0000-000034150000}"/>
    <cellStyle name="Comma 6 13" xfId="4931" xr:uid="{00000000-0005-0000-0000-000035150000}"/>
    <cellStyle name="Comma 6 14" xfId="4932" xr:uid="{00000000-0005-0000-0000-000036150000}"/>
    <cellStyle name="Comma 6 15" xfId="4933" xr:uid="{00000000-0005-0000-0000-000037150000}"/>
    <cellStyle name="Comma 6 16" xfId="4934" xr:uid="{00000000-0005-0000-0000-000038150000}"/>
    <cellStyle name="Comma 6 17" xfId="4935" xr:uid="{00000000-0005-0000-0000-000039150000}"/>
    <cellStyle name="Comma 6 18" xfId="4936" xr:uid="{00000000-0005-0000-0000-00003A150000}"/>
    <cellStyle name="Comma 6 19" xfId="4937" xr:uid="{00000000-0005-0000-0000-00003B150000}"/>
    <cellStyle name="Comma 6 2" xfId="4938" xr:uid="{00000000-0005-0000-0000-00003C150000}"/>
    <cellStyle name="Comma 6 20" xfId="4939" xr:uid="{00000000-0005-0000-0000-00003D150000}"/>
    <cellStyle name="Comma 6 21" xfId="4940" xr:uid="{00000000-0005-0000-0000-00003E150000}"/>
    <cellStyle name="Comma 6 22" xfId="4941" xr:uid="{00000000-0005-0000-0000-00003F150000}"/>
    <cellStyle name="Comma 6 23" xfId="4942" xr:uid="{00000000-0005-0000-0000-000040150000}"/>
    <cellStyle name="Comma 6 24" xfId="4943" xr:uid="{00000000-0005-0000-0000-000041150000}"/>
    <cellStyle name="Comma 6 25" xfId="4944" xr:uid="{00000000-0005-0000-0000-000042150000}"/>
    <cellStyle name="Comma 6 26" xfId="4945" xr:uid="{00000000-0005-0000-0000-000043150000}"/>
    <cellStyle name="Comma 6 27" xfId="4946" xr:uid="{00000000-0005-0000-0000-000044150000}"/>
    <cellStyle name="Comma 6 28" xfId="4947" xr:uid="{00000000-0005-0000-0000-000045150000}"/>
    <cellStyle name="Comma 6 29" xfId="4948" xr:uid="{00000000-0005-0000-0000-000046150000}"/>
    <cellStyle name="Comma 6 3" xfId="4949" xr:uid="{00000000-0005-0000-0000-000047150000}"/>
    <cellStyle name="Comma 6 3 2" xfId="9685" xr:uid="{00000000-0005-0000-0000-000048150000}"/>
    <cellStyle name="Comma 6 30" xfId="4950" xr:uid="{00000000-0005-0000-0000-000049150000}"/>
    <cellStyle name="Comma 6 31" xfId="4951" xr:uid="{00000000-0005-0000-0000-00004A150000}"/>
    <cellStyle name="Comma 6 32" xfId="4952" xr:uid="{00000000-0005-0000-0000-00004B150000}"/>
    <cellStyle name="Comma 6 33" xfId="4953" xr:uid="{00000000-0005-0000-0000-00004C150000}"/>
    <cellStyle name="Comma 6 34" xfId="4954" xr:uid="{00000000-0005-0000-0000-00004D150000}"/>
    <cellStyle name="Comma 6 35" xfId="4955" xr:uid="{00000000-0005-0000-0000-00004E150000}"/>
    <cellStyle name="Comma 6 36" xfId="4956" xr:uid="{00000000-0005-0000-0000-00004F150000}"/>
    <cellStyle name="Comma 6 37" xfId="4957" xr:uid="{00000000-0005-0000-0000-000050150000}"/>
    <cellStyle name="Comma 6 38" xfId="4958" xr:uid="{00000000-0005-0000-0000-000051150000}"/>
    <cellStyle name="Comma 6 39" xfId="4959" xr:uid="{00000000-0005-0000-0000-000052150000}"/>
    <cellStyle name="Comma 6 4" xfId="4960" xr:uid="{00000000-0005-0000-0000-000053150000}"/>
    <cellStyle name="Comma 6 40" xfId="4961" xr:uid="{00000000-0005-0000-0000-000054150000}"/>
    <cellStyle name="Comma 6 41" xfId="4962" xr:uid="{00000000-0005-0000-0000-000055150000}"/>
    <cellStyle name="Comma 6 42" xfId="4963" xr:uid="{00000000-0005-0000-0000-000056150000}"/>
    <cellStyle name="Comma 6 43" xfId="4964" xr:uid="{00000000-0005-0000-0000-000057150000}"/>
    <cellStyle name="Comma 6 44" xfId="4965" xr:uid="{00000000-0005-0000-0000-000058150000}"/>
    <cellStyle name="Comma 6 45" xfId="4966" xr:uid="{00000000-0005-0000-0000-000059150000}"/>
    <cellStyle name="Comma 6 46" xfId="4967" xr:uid="{00000000-0005-0000-0000-00005A150000}"/>
    <cellStyle name="Comma 6 47" xfId="4968" xr:uid="{00000000-0005-0000-0000-00005B150000}"/>
    <cellStyle name="Comma 6 48" xfId="4969" xr:uid="{00000000-0005-0000-0000-00005C150000}"/>
    <cellStyle name="Comma 6 49" xfId="4970" xr:uid="{00000000-0005-0000-0000-00005D150000}"/>
    <cellStyle name="Comma 6 5" xfId="4971" xr:uid="{00000000-0005-0000-0000-00005E150000}"/>
    <cellStyle name="Comma 6 50" xfId="4972" xr:uid="{00000000-0005-0000-0000-00005F150000}"/>
    <cellStyle name="Comma 6 51" xfId="4973" xr:uid="{00000000-0005-0000-0000-000060150000}"/>
    <cellStyle name="Comma 6 52" xfId="4974" xr:uid="{00000000-0005-0000-0000-000061150000}"/>
    <cellStyle name="Comma 6 53" xfId="4975" xr:uid="{00000000-0005-0000-0000-000062150000}"/>
    <cellStyle name="Comma 6 54" xfId="4976" xr:uid="{00000000-0005-0000-0000-000063150000}"/>
    <cellStyle name="Comma 6 55" xfId="4977" xr:uid="{00000000-0005-0000-0000-000064150000}"/>
    <cellStyle name="Comma 6 56" xfId="4978" xr:uid="{00000000-0005-0000-0000-000065150000}"/>
    <cellStyle name="Comma 6 57" xfId="4979" xr:uid="{00000000-0005-0000-0000-000066150000}"/>
    <cellStyle name="Comma 6 58" xfId="4980" xr:uid="{00000000-0005-0000-0000-000067150000}"/>
    <cellStyle name="Comma 6 59" xfId="4981" xr:uid="{00000000-0005-0000-0000-000068150000}"/>
    <cellStyle name="Comma 6 6" xfId="4982" xr:uid="{00000000-0005-0000-0000-000069150000}"/>
    <cellStyle name="Comma 6 60" xfId="4983" xr:uid="{00000000-0005-0000-0000-00006A150000}"/>
    <cellStyle name="Comma 6 61" xfId="4984" xr:uid="{00000000-0005-0000-0000-00006B150000}"/>
    <cellStyle name="Comma 6 62" xfId="4985" xr:uid="{00000000-0005-0000-0000-00006C150000}"/>
    <cellStyle name="Comma 6 63" xfId="4986" xr:uid="{00000000-0005-0000-0000-00006D150000}"/>
    <cellStyle name="Comma 6 64" xfId="4987" xr:uid="{00000000-0005-0000-0000-00006E150000}"/>
    <cellStyle name="Comma 6 65" xfId="4988" xr:uid="{00000000-0005-0000-0000-00006F150000}"/>
    <cellStyle name="Comma 6 66" xfId="4989" xr:uid="{00000000-0005-0000-0000-000070150000}"/>
    <cellStyle name="Comma 6 67" xfId="4990" xr:uid="{00000000-0005-0000-0000-000071150000}"/>
    <cellStyle name="Comma 6 68" xfId="4991" xr:uid="{00000000-0005-0000-0000-000072150000}"/>
    <cellStyle name="Comma 6 69" xfId="4992" xr:uid="{00000000-0005-0000-0000-000073150000}"/>
    <cellStyle name="Comma 6 7" xfId="4993" xr:uid="{00000000-0005-0000-0000-000074150000}"/>
    <cellStyle name="Comma 6 70" xfId="4994" xr:uid="{00000000-0005-0000-0000-000075150000}"/>
    <cellStyle name="Comma 6 71" xfId="4995" xr:uid="{00000000-0005-0000-0000-000076150000}"/>
    <cellStyle name="Comma 6 72" xfId="4996" xr:uid="{00000000-0005-0000-0000-000077150000}"/>
    <cellStyle name="Comma 6 73" xfId="4997" xr:uid="{00000000-0005-0000-0000-000078150000}"/>
    <cellStyle name="Comma 6 74" xfId="4998" xr:uid="{00000000-0005-0000-0000-000079150000}"/>
    <cellStyle name="Comma 6 75" xfId="14585" xr:uid="{746AD53E-00C4-46AF-ACFA-A1B45EE3021E}"/>
    <cellStyle name="Comma 6 75 2" xfId="14652" xr:uid="{C16D2C24-CC59-4525-B3D8-356C637FA775}"/>
    <cellStyle name="Comma 6 8" xfId="4999" xr:uid="{00000000-0005-0000-0000-00007A150000}"/>
    <cellStyle name="Comma 6 9" xfId="5000" xr:uid="{00000000-0005-0000-0000-00007B150000}"/>
    <cellStyle name="Comma 60" xfId="5001" xr:uid="{00000000-0005-0000-0000-00007C150000}"/>
    <cellStyle name="Comma 61" xfId="5002" xr:uid="{00000000-0005-0000-0000-00007D150000}"/>
    <cellStyle name="Comma 62" xfId="5003" xr:uid="{00000000-0005-0000-0000-00007E150000}"/>
    <cellStyle name="Comma 63" xfId="5004" xr:uid="{00000000-0005-0000-0000-00007F150000}"/>
    <cellStyle name="Comma 64" xfId="5005" xr:uid="{00000000-0005-0000-0000-000080150000}"/>
    <cellStyle name="Comma 65" xfId="5006" xr:uid="{00000000-0005-0000-0000-000081150000}"/>
    <cellStyle name="Comma 66" xfId="5007" xr:uid="{00000000-0005-0000-0000-000082150000}"/>
    <cellStyle name="Comma 67" xfId="5008" xr:uid="{00000000-0005-0000-0000-000083150000}"/>
    <cellStyle name="Comma 68" xfId="5009" xr:uid="{00000000-0005-0000-0000-000084150000}"/>
    <cellStyle name="Comma 69" xfId="5010" xr:uid="{00000000-0005-0000-0000-000085150000}"/>
    <cellStyle name="Comma 7" xfId="5011" xr:uid="{00000000-0005-0000-0000-000086150000}"/>
    <cellStyle name="Comma 7 2" xfId="5012" xr:uid="{00000000-0005-0000-0000-000087150000}"/>
    <cellStyle name="Comma 7 2 2" xfId="5013" xr:uid="{00000000-0005-0000-0000-000088150000}"/>
    <cellStyle name="Comma 7 3" xfId="5014" xr:uid="{00000000-0005-0000-0000-000089150000}"/>
    <cellStyle name="Comma 7 4" xfId="5015" xr:uid="{00000000-0005-0000-0000-00008A150000}"/>
    <cellStyle name="Comma 7 5" xfId="5016" xr:uid="{00000000-0005-0000-0000-00008B150000}"/>
    <cellStyle name="Comma 7 6" xfId="9689" xr:uid="{00000000-0005-0000-0000-00008C150000}"/>
    <cellStyle name="Comma 70" xfId="5017" xr:uid="{00000000-0005-0000-0000-00008D150000}"/>
    <cellStyle name="Comma 71" xfId="2" xr:uid="{00000000-0005-0000-0000-00008E150000}"/>
    <cellStyle name="Comma 72" xfId="5018" xr:uid="{00000000-0005-0000-0000-00008F150000}"/>
    <cellStyle name="Comma 73" xfId="5019" xr:uid="{00000000-0005-0000-0000-000090150000}"/>
    <cellStyle name="Comma 74" xfId="5020" xr:uid="{00000000-0005-0000-0000-000091150000}"/>
    <cellStyle name="Comma 75" xfId="5021" xr:uid="{00000000-0005-0000-0000-000092150000}"/>
    <cellStyle name="Comma 76" xfId="5022" xr:uid="{00000000-0005-0000-0000-000093150000}"/>
    <cellStyle name="Comma 77" xfId="10074" xr:uid="{00000000-0005-0000-0000-000094150000}"/>
    <cellStyle name="Comma 78" xfId="5023" xr:uid="{00000000-0005-0000-0000-000095150000}"/>
    <cellStyle name="Comma 79" xfId="5024" xr:uid="{00000000-0005-0000-0000-000096150000}"/>
    <cellStyle name="Comma 8" xfId="5025" xr:uid="{00000000-0005-0000-0000-000097150000}"/>
    <cellStyle name="Comma 8 2" xfId="5026" xr:uid="{00000000-0005-0000-0000-000098150000}"/>
    <cellStyle name="Comma 8 3" xfId="5027" xr:uid="{00000000-0005-0000-0000-000099150000}"/>
    <cellStyle name="Comma 8 4" xfId="5028" xr:uid="{00000000-0005-0000-0000-00009A150000}"/>
    <cellStyle name="Comma 80" xfId="10087" xr:uid="{00000000-0005-0000-0000-00009B150000}"/>
    <cellStyle name="Comma 81" xfId="5029" xr:uid="{00000000-0005-0000-0000-00009C150000}"/>
    <cellStyle name="Comma 82" xfId="5030" xr:uid="{00000000-0005-0000-0000-00009D150000}"/>
    <cellStyle name="Comma 83" xfId="10491" xr:uid="{00000000-0005-0000-0000-00009E150000}"/>
    <cellStyle name="Comma 83 2" xfId="10807" xr:uid="{00000000-0005-0000-0000-00009F150000}"/>
    <cellStyle name="Comma 83 3" xfId="14528" xr:uid="{00000000-0005-0000-0000-0000A0150000}"/>
    <cellStyle name="Comma 84" xfId="14568" xr:uid="{5FA87967-D5C5-4598-8CDD-E32AC1DDFF24}"/>
    <cellStyle name="Comma 84 2" xfId="14580" xr:uid="{7AAFF79F-25E9-4755-B977-6C4B125A9D14}"/>
    <cellStyle name="Comma 85" xfId="5031" xr:uid="{00000000-0005-0000-0000-0000A1150000}"/>
    <cellStyle name="Comma 87" xfId="5032" xr:uid="{00000000-0005-0000-0000-0000A2150000}"/>
    <cellStyle name="Comma 88" xfId="10482" xr:uid="{00000000-0005-0000-0000-0000A3150000}"/>
    <cellStyle name="Comma 89" xfId="5033" xr:uid="{00000000-0005-0000-0000-0000A4150000}"/>
    <cellStyle name="Comma 9" xfId="5034" xr:uid="{00000000-0005-0000-0000-0000A5150000}"/>
    <cellStyle name="Comma 9 2" xfId="5035" xr:uid="{00000000-0005-0000-0000-0000A6150000}"/>
    <cellStyle name="Comma 9 3" xfId="5036" xr:uid="{00000000-0005-0000-0000-0000A7150000}"/>
    <cellStyle name="Comma 9 4" xfId="5037" xr:uid="{00000000-0005-0000-0000-0000A8150000}"/>
    <cellStyle name="Comma 9 5" xfId="14643" xr:uid="{345C543D-EB48-4D7E-8625-3FC816F48F4F}"/>
    <cellStyle name="Comma 91" xfId="5038" xr:uid="{00000000-0005-0000-0000-0000A9150000}"/>
    <cellStyle name="Comma 96" xfId="5039" xr:uid="{00000000-0005-0000-0000-0000AA150000}"/>
    <cellStyle name="Comma 97 2" xfId="14630" xr:uid="{0A1CBE8A-4440-4863-81E7-A408D5E2346C}"/>
    <cellStyle name="Comma 98" xfId="5040" xr:uid="{00000000-0005-0000-0000-0000AB150000}"/>
    <cellStyle name="Comma 99" xfId="5041" xr:uid="{00000000-0005-0000-0000-0000AC150000}"/>
    <cellStyle name="comma zerodec" xfId="5042" xr:uid="{00000000-0005-0000-0000-0000AD150000}"/>
    <cellStyle name="Comma0" xfId="5043" xr:uid="{00000000-0005-0000-0000-0000AE150000}"/>
    <cellStyle name="Comma0 2" xfId="5044" xr:uid="{00000000-0005-0000-0000-0000AF150000}"/>
    <cellStyle name="Contactor" xfId="5045" xr:uid="{00000000-0005-0000-0000-0000B0150000}"/>
    <cellStyle name="Copied" xfId="5046" xr:uid="{00000000-0005-0000-0000-0000B1150000}"/>
    <cellStyle name="COST1" xfId="5047" xr:uid="{00000000-0005-0000-0000-0000B2150000}"/>
    <cellStyle name="Co聭ma_Sheet1" xfId="5048" xr:uid="{00000000-0005-0000-0000-0000B3150000}"/>
    <cellStyle name="Cࡵrrency_Sheet1_PRODUCTĠ" xfId="5049" xr:uid="{00000000-0005-0000-0000-0000B4150000}"/>
    <cellStyle name="CSI" xfId="5050" xr:uid="{00000000-0005-0000-0000-0000B5150000}"/>
    <cellStyle name="_x0001_CS_x0006_RMO[" xfId="5051" xr:uid="{00000000-0005-0000-0000-0000B6150000}"/>
    <cellStyle name="_x0001_CS_x0006_RMO_" xfId="5052" xr:uid="{00000000-0005-0000-0000-0000B7150000}"/>
    <cellStyle name="CT1" xfId="5053" xr:uid="{00000000-0005-0000-0000-0000B8150000}"/>
    <cellStyle name="CT2" xfId="5054" xr:uid="{00000000-0005-0000-0000-0000B9150000}"/>
    <cellStyle name="CT4" xfId="5055" xr:uid="{00000000-0005-0000-0000-0000BA150000}"/>
    <cellStyle name="CT5" xfId="5056" xr:uid="{00000000-0005-0000-0000-0000BB150000}"/>
    <cellStyle name="ct7" xfId="5057" xr:uid="{00000000-0005-0000-0000-0000BC150000}"/>
    <cellStyle name="ct8" xfId="5058" xr:uid="{00000000-0005-0000-0000-0000BD150000}"/>
    <cellStyle name="cth1" xfId="5059" xr:uid="{00000000-0005-0000-0000-0000BE150000}"/>
    <cellStyle name="Cthuc" xfId="5060" xr:uid="{00000000-0005-0000-0000-0000BF150000}"/>
    <cellStyle name="Cthuc1" xfId="5061" xr:uid="{00000000-0005-0000-0000-0000C0150000}"/>
    <cellStyle name="Curråncy [0]_FCST_RESULTS" xfId="5062" xr:uid="{00000000-0005-0000-0000-0000C1150000}"/>
    <cellStyle name="Currency [0]ßmud plant bolted_RESULTS" xfId="5063" xr:uid="{00000000-0005-0000-0000-0000C2150000}"/>
    <cellStyle name="Currency [00]" xfId="5064" xr:uid="{00000000-0005-0000-0000-0000C3150000}"/>
    <cellStyle name="Currency 2" xfId="5065" xr:uid="{00000000-0005-0000-0000-0000C4150000}"/>
    <cellStyle name="Currency 2 2" xfId="5066" xr:uid="{00000000-0005-0000-0000-0000C5150000}"/>
    <cellStyle name="Currency 20_M_E Services _ Common" xfId="5067" xr:uid="{00000000-0005-0000-0000-0000C6150000}"/>
    <cellStyle name="Currency 22_M_E Services _ Common" xfId="5068" xr:uid="{00000000-0005-0000-0000-0000C7150000}"/>
    <cellStyle name="Currency 23_M_E Services _ Common" xfId="5069" xr:uid="{00000000-0005-0000-0000-0000C8150000}"/>
    <cellStyle name="Currency 25_M_E Services _ Common" xfId="5070" xr:uid="{00000000-0005-0000-0000-0000C9150000}"/>
    <cellStyle name="Currency 26_M_E Services _ Common" xfId="5071" xr:uid="{00000000-0005-0000-0000-0000CA150000}"/>
    <cellStyle name="Currency 3" xfId="5072" xr:uid="{00000000-0005-0000-0000-0000CB150000}"/>
    <cellStyle name="Currency 3 2" xfId="5073" xr:uid="{00000000-0005-0000-0000-0000CC150000}"/>
    <cellStyle name="Currency 3_BOQ-IPH-ME-(REV 2-06-05-2010) Final Rev2" xfId="5074" xr:uid="{00000000-0005-0000-0000-0000CD150000}"/>
    <cellStyle name="Currency 4" xfId="5075" xr:uid="{00000000-0005-0000-0000-0000CE150000}"/>
    <cellStyle name="Currency 5" xfId="5076" xr:uid="{00000000-0005-0000-0000-0000CF150000}"/>
    <cellStyle name="Currency 6" xfId="5077" xr:uid="{00000000-0005-0000-0000-0000D0150000}"/>
    <cellStyle name="Currency 7" xfId="5078" xr:uid="{00000000-0005-0000-0000-0000D1150000}"/>
    <cellStyle name="Currency 8" xfId="5079" xr:uid="{00000000-0005-0000-0000-0000D2150000}"/>
    <cellStyle name="Currency 9" xfId="5080" xr:uid="{00000000-0005-0000-0000-0000D3150000}"/>
    <cellStyle name="Currency![0]_FCSt (2)" xfId="5081" xr:uid="{00000000-0005-0000-0000-0000D4150000}"/>
    <cellStyle name="Currency0" xfId="5082" xr:uid="{00000000-0005-0000-0000-0000D5150000}"/>
    <cellStyle name="Currency0 10" xfId="5083" xr:uid="{00000000-0005-0000-0000-0000D6150000}"/>
    <cellStyle name="Currency0 100" xfId="5084" xr:uid="{00000000-0005-0000-0000-0000D7150000}"/>
    <cellStyle name="Currency0 101" xfId="5085" xr:uid="{00000000-0005-0000-0000-0000D8150000}"/>
    <cellStyle name="Currency0 102" xfId="5086" xr:uid="{00000000-0005-0000-0000-0000D9150000}"/>
    <cellStyle name="Currency0 103" xfId="5087" xr:uid="{00000000-0005-0000-0000-0000DA150000}"/>
    <cellStyle name="Currency0 104" xfId="5088" xr:uid="{00000000-0005-0000-0000-0000DB150000}"/>
    <cellStyle name="Currency0 105" xfId="5089" xr:uid="{00000000-0005-0000-0000-0000DC150000}"/>
    <cellStyle name="Currency0 106" xfId="5090" xr:uid="{00000000-0005-0000-0000-0000DD150000}"/>
    <cellStyle name="Currency0 107" xfId="5091" xr:uid="{00000000-0005-0000-0000-0000DE150000}"/>
    <cellStyle name="Currency0 108" xfId="5092" xr:uid="{00000000-0005-0000-0000-0000DF150000}"/>
    <cellStyle name="Currency0 109" xfId="5093" xr:uid="{00000000-0005-0000-0000-0000E0150000}"/>
    <cellStyle name="Currency0 11" xfId="5094" xr:uid="{00000000-0005-0000-0000-0000E1150000}"/>
    <cellStyle name="Currency0 110" xfId="5095" xr:uid="{00000000-0005-0000-0000-0000E2150000}"/>
    <cellStyle name="Currency0 111" xfId="5096" xr:uid="{00000000-0005-0000-0000-0000E3150000}"/>
    <cellStyle name="Currency0 12" xfId="5097" xr:uid="{00000000-0005-0000-0000-0000E4150000}"/>
    <cellStyle name="Currency0 13" xfId="5098" xr:uid="{00000000-0005-0000-0000-0000E5150000}"/>
    <cellStyle name="Currency0 14" xfId="5099" xr:uid="{00000000-0005-0000-0000-0000E6150000}"/>
    <cellStyle name="Currency0 15" xfId="5100" xr:uid="{00000000-0005-0000-0000-0000E7150000}"/>
    <cellStyle name="Currency0 16" xfId="5101" xr:uid="{00000000-0005-0000-0000-0000E8150000}"/>
    <cellStyle name="Currency0 17" xfId="5102" xr:uid="{00000000-0005-0000-0000-0000E9150000}"/>
    <cellStyle name="Currency0 18" xfId="5103" xr:uid="{00000000-0005-0000-0000-0000EA150000}"/>
    <cellStyle name="Currency0 19" xfId="5104" xr:uid="{00000000-0005-0000-0000-0000EB150000}"/>
    <cellStyle name="Currency0 2" xfId="5105" xr:uid="{00000000-0005-0000-0000-0000EC150000}"/>
    <cellStyle name="Currency0 20" xfId="5106" xr:uid="{00000000-0005-0000-0000-0000ED150000}"/>
    <cellStyle name="Currency0 21" xfId="5107" xr:uid="{00000000-0005-0000-0000-0000EE150000}"/>
    <cellStyle name="Currency0 22" xfId="5108" xr:uid="{00000000-0005-0000-0000-0000EF150000}"/>
    <cellStyle name="Currency0 23" xfId="5109" xr:uid="{00000000-0005-0000-0000-0000F0150000}"/>
    <cellStyle name="Currency0 24" xfId="5110" xr:uid="{00000000-0005-0000-0000-0000F1150000}"/>
    <cellStyle name="Currency0 25" xfId="5111" xr:uid="{00000000-0005-0000-0000-0000F2150000}"/>
    <cellStyle name="Currency0 26" xfId="5112" xr:uid="{00000000-0005-0000-0000-0000F3150000}"/>
    <cellStyle name="Currency0 27" xfId="5113" xr:uid="{00000000-0005-0000-0000-0000F4150000}"/>
    <cellStyle name="Currency0 28" xfId="5114" xr:uid="{00000000-0005-0000-0000-0000F5150000}"/>
    <cellStyle name="Currency0 29" xfId="5115" xr:uid="{00000000-0005-0000-0000-0000F6150000}"/>
    <cellStyle name="Currency0 3" xfId="5116" xr:uid="{00000000-0005-0000-0000-0000F7150000}"/>
    <cellStyle name="Currency0 30" xfId="5117" xr:uid="{00000000-0005-0000-0000-0000F8150000}"/>
    <cellStyle name="Currency0 31" xfId="5118" xr:uid="{00000000-0005-0000-0000-0000F9150000}"/>
    <cellStyle name="Currency0 32" xfId="5119" xr:uid="{00000000-0005-0000-0000-0000FA150000}"/>
    <cellStyle name="Currency0 33" xfId="5120" xr:uid="{00000000-0005-0000-0000-0000FB150000}"/>
    <cellStyle name="Currency0 34" xfId="5121" xr:uid="{00000000-0005-0000-0000-0000FC150000}"/>
    <cellStyle name="Currency0 35" xfId="5122" xr:uid="{00000000-0005-0000-0000-0000FD150000}"/>
    <cellStyle name="Currency0 36" xfId="5123" xr:uid="{00000000-0005-0000-0000-0000FE150000}"/>
    <cellStyle name="Currency0 37" xfId="5124" xr:uid="{00000000-0005-0000-0000-0000FF150000}"/>
    <cellStyle name="Currency0 38" xfId="5125" xr:uid="{00000000-0005-0000-0000-000000160000}"/>
    <cellStyle name="Currency0 39" xfId="5126" xr:uid="{00000000-0005-0000-0000-000001160000}"/>
    <cellStyle name="Currency0 4" xfId="5127" xr:uid="{00000000-0005-0000-0000-000002160000}"/>
    <cellStyle name="Currency0 40" xfId="5128" xr:uid="{00000000-0005-0000-0000-000003160000}"/>
    <cellStyle name="Currency0 41" xfId="5129" xr:uid="{00000000-0005-0000-0000-000004160000}"/>
    <cellStyle name="Currency0 42" xfId="5130" xr:uid="{00000000-0005-0000-0000-000005160000}"/>
    <cellStyle name="Currency0 43" xfId="5131" xr:uid="{00000000-0005-0000-0000-000006160000}"/>
    <cellStyle name="Currency0 44" xfId="5132" xr:uid="{00000000-0005-0000-0000-000007160000}"/>
    <cellStyle name="Currency0 45" xfId="5133" xr:uid="{00000000-0005-0000-0000-000008160000}"/>
    <cellStyle name="Currency0 46" xfId="5134" xr:uid="{00000000-0005-0000-0000-000009160000}"/>
    <cellStyle name="Currency0 47" xfId="5135" xr:uid="{00000000-0005-0000-0000-00000A160000}"/>
    <cellStyle name="Currency0 48" xfId="5136" xr:uid="{00000000-0005-0000-0000-00000B160000}"/>
    <cellStyle name="Currency0 49" xfId="5137" xr:uid="{00000000-0005-0000-0000-00000C160000}"/>
    <cellStyle name="Currency0 5" xfId="5138" xr:uid="{00000000-0005-0000-0000-00000D160000}"/>
    <cellStyle name="Currency0 50" xfId="5139" xr:uid="{00000000-0005-0000-0000-00000E160000}"/>
    <cellStyle name="Currency0 51" xfId="5140" xr:uid="{00000000-0005-0000-0000-00000F160000}"/>
    <cellStyle name="Currency0 52" xfId="5141" xr:uid="{00000000-0005-0000-0000-000010160000}"/>
    <cellStyle name="Currency0 53" xfId="5142" xr:uid="{00000000-0005-0000-0000-000011160000}"/>
    <cellStyle name="Currency0 54" xfId="5143" xr:uid="{00000000-0005-0000-0000-000012160000}"/>
    <cellStyle name="Currency0 55" xfId="5144" xr:uid="{00000000-0005-0000-0000-000013160000}"/>
    <cellStyle name="Currency0 56" xfId="5145" xr:uid="{00000000-0005-0000-0000-000014160000}"/>
    <cellStyle name="Currency0 57" xfId="5146" xr:uid="{00000000-0005-0000-0000-000015160000}"/>
    <cellStyle name="Currency0 58" xfId="5147" xr:uid="{00000000-0005-0000-0000-000016160000}"/>
    <cellStyle name="Currency0 59" xfId="5148" xr:uid="{00000000-0005-0000-0000-000017160000}"/>
    <cellStyle name="Currency0 6" xfId="5149" xr:uid="{00000000-0005-0000-0000-000018160000}"/>
    <cellStyle name="Currency0 60" xfId="5150" xr:uid="{00000000-0005-0000-0000-000019160000}"/>
    <cellStyle name="Currency0 61" xfId="5151" xr:uid="{00000000-0005-0000-0000-00001A160000}"/>
    <cellStyle name="Currency0 62" xfId="5152" xr:uid="{00000000-0005-0000-0000-00001B160000}"/>
    <cellStyle name="Currency0 63" xfId="5153" xr:uid="{00000000-0005-0000-0000-00001C160000}"/>
    <cellStyle name="Currency0 64" xfId="5154" xr:uid="{00000000-0005-0000-0000-00001D160000}"/>
    <cellStyle name="Currency0 65" xfId="5155" xr:uid="{00000000-0005-0000-0000-00001E160000}"/>
    <cellStyle name="Currency0 66" xfId="5156" xr:uid="{00000000-0005-0000-0000-00001F160000}"/>
    <cellStyle name="Currency0 67" xfId="5157" xr:uid="{00000000-0005-0000-0000-000020160000}"/>
    <cellStyle name="Currency0 68" xfId="5158" xr:uid="{00000000-0005-0000-0000-000021160000}"/>
    <cellStyle name="Currency0 69" xfId="5159" xr:uid="{00000000-0005-0000-0000-000022160000}"/>
    <cellStyle name="Currency0 7" xfId="5160" xr:uid="{00000000-0005-0000-0000-000023160000}"/>
    <cellStyle name="Currency0 70" xfId="5161" xr:uid="{00000000-0005-0000-0000-000024160000}"/>
    <cellStyle name="Currency0 71" xfId="5162" xr:uid="{00000000-0005-0000-0000-000025160000}"/>
    <cellStyle name="Currency0 72" xfId="5163" xr:uid="{00000000-0005-0000-0000-000026160000}"/>
    <cellStyle name="Currency0 73" xfId="5164" xr:uid="{00000000-0005-0000-0000-000027160000}"/>
    <cellStyle name="Currency0 74" xfId="5165" xr:uid="{00000000-0005-0000-0000-000028160000}"/>
    <cellStyle name="Currency0 75" xfId="5166" xr:uid="{00000000-0005-0000-0000-000029160000}"/>
    <cellStyle name="Currency0 76" xfId="5167" xr:uid="{00000000-0005-0000-0000-00002A160000}"/>
    <cellStyle name="Currency0 77" xfId="5168" xr:uid="{00000000-0005-0000-0000-00002B160000}"/>
    <cellStyle name="Currency0 78" xfId="5169" xr:uid="{00000000-0005-0000-0000-00002C160000}"/>
    <cellStyle name="Currency0 79" xfId="5170" xr:uid="{00000000-0005-0000-0000-00002D160000}"/>
    <cellStyle name="Currency0 8" xfId="5171" xr:uid="{00000000-0005-0000-0000-00002E160000}"/>
    <cellStyle name="Currency0 80" xfId="5172" xr:uid="{00000000-0005-0000-0000-00002F160000}"/>
    <cellStyle name="Currency0 81" xfId="5173" xr:uid="{00000000-0005-0000-0000-000030160000}"/>
    <cellStyle name="Currency0 82" xfId="5174" xr:uid="{00000000-0005-0000-0000-000031160000}"/>
    <cellStyle name="Currency0 83" xfId="5175" xr:uid="{00000000-0005-0000-0000-000032160000}"/>
    <cellStyle name="Currency0 84" xfId="5176" xr:uid="{00000000-0005-0000-0000-000033160000}"/>
    <cellStyle name="Currency0 85" xfId="5177" xr:uid="{00000000-0005-0000-0000-000034160000}"/>
    <cellStyle name="Currency0 86" xfId="5178" xr:uid="{00000000-0005-0000-0000-000035160000}"/>
    <cellStyle name="Currency0 87" xfId="5179" xr:uid="{00000000-0005-0000-0000-000036160000}"/>
    <cellStyle name="Currency0 88" xfId="5180" xr:uid="{00000000-0005-0000-0000-000037160000}"/>
    <cellStyle name="Currency0 89" xfId="5181" xr:uid="{00000000-0005-0000-0000-000038160000}"/>
    <cellStyle name="Currency0 9" xfId="5182" xr:uid="{00000000-0005-0000-0000-000039160000}"/>
    <cellStyle name="Currency0 90" xfId="5183" xr:uid="{00000000-0005-0000-0000-00003A160000}"/>
    <cellStyle name="Currency0 91" xfId="5184" xr:uid="{00000000-0005-0000-0000-00003B160000}"/>
    <cellStyle name="Currency0 92" xfId="5185" xr:uid="{00000000-0005-0000-0000-00003C160000}"/>
    <cellStyle name="Currency0 93" xfId="5186" xr:uid="{00000000-0005-0000-0000-00003D160000}"/>
    <cellStyle name="Currency0 94" xfId="5187" xr:uid="{00000000-0005-0000-0000-00003E160000}"/>
    <cellStyle name="Currency0 95" xfId="5188" xr:uid="{00000000-0005-0000-0000-00003F160000}"/>
    <cellStyle name="Currency0 96" xfId="5189" xr:uid="{00000000-0005-0000-0000-000040160000}"/>
    <cellStyle name="Currency0 97" xfId="5190" xr:uid="{00000000-0005-0000-0000-000041160000}"/>
    <cellStyle name="Currency0 98" xfId="5191" xr:uid="{00000000-0005-0000-0000-000042160000}"/>
    <cellStyle name="Currency0 99" xfId="5192" xr:uid="{00000000-0005-0000-0000-000043160000}"/>
    <cellStyle name="Currency1" xfId="5193" xr:uid="{00000000-0005-0000-0000-000044160000}"/>
    <cellStyle name="custom" xfId="5194" xr:uid="{00000000-0005-0000-0000-000045160000}"/>
    <cellStyle name="Custom - Style8" xfId="5195" xr:uid="{00000000-0005-0000-0000-000046160000}"/>
    <cellStyle name="chchuyen" xfId="4339" xr:uid="{00000000-0005-0000-0000-0000BA120000}"/>
    <cellStyle name="chchuyen 2" xfId="4340" xr:uid="{00000000-0005-0000-0000-0000BB120000}"/>
    <cellStyle name="chchuyen 2 2" xfId="10082" xr:uid="{00000000-0005-0000-0000-0000BC120000}"/>
    <cellStyle name="chchuyen 2 2 2" xfId="10797" xr:uid="{00000000-0005-0000-0000-0000BD120000}"/>
    <cellStyle name="chchuyen 2 3" xfId="10798" xr:uid="{00000000-0005-0000-0000-0000BE120000}"/>
    <cellStyle name="chchuyen 3" xfId="10083" xr:uid="{00000000-0005-0000-0000-0000BF120000}"/>
    <cellStyle name="chchuyen 3 2" xfId="10799" xr:uid="{00000000-0005-0000-0000-0000C0120000}"/>
    <cellStyle name="chchuyen 4" xfId="10800" xr:uid="{00000000-0005-0000-0000-0000C1120000}"/>
    <cellStyle name="Check Cell 1" xfId="4341" xr:uid="{00000000-0005-0000-0000-0000C2120000}"/>
    <cellStyle name="Check Cell 1 2" xfId="4342" xr:uid="{00000000-0005-0000-0000-0000C3120000}"/>
    <cellStyle name="Check Cell 1 2 2" xfId="9762" xr:uid="{00000000-0005-0000-0000-0000C4120000}"/>
    <cellStyle name="Check Cell 1 3" xfId="4343" xr:uid="{00000000-0005-0000-0000-0000C5120000}"/>
    <cellStyle name="Check Cell 2" xfId="4344" xr:uid="{00000000-0005-0000-0000-0000C6120000}"/>
    <cellStyle name="Check Cell 2 2" xfId="4345" xr:uid="{00000000-0005-0000-0000-0000C7120000}"/>
    <cellStyle name="Check Cell 2 2 2" xfId="9763" xr:uid="{00000000-0005-0000-0000-0000C8120000}"/>
    <cellStyle name="Check Cell 2 3" xfId="4346" xr:uid="{00000000-0005-0000-0000-0000C9120000}"/>
    <cellStyle name="Chi phÝ kh¸c_Book1" xfId="4347" xr:uid="{00000000-0005-0000-0000-0000CA120000}"/>
    <cellStyle name="CHUONG" xfId="4348" xr:uid="{00000000-0005-0000-0000-0000CB120000}"/>
    <cellStyle name="d" xfId="5196" xr:uid="{00000000-0005-0000-0000-000047160000}"/>
    <cellStyle name="D$_x0004_P??_x0010__x000b_?_x0015_?$_x0004_?_x000f_?" xfId="5197" xr:uid="{00000000-0005-0000-0000-000048160000}"/>
    <cellStyle name="D$_x0004_P?_x0010__x000b_픲_x0015_딡$_x0004_뗈_x000f_?" xfId="5198" xr:uid="{00000000-0005-0000-0000-000049160000}"/>
    <cellStyle name="d%" xfId="5199" xr:uid="{00000000-0005-0000-0000-00004A160000}"/>
    <cellStyle name="d_DT HT Goi 1.4 den ngay 15-5-08" xfId="5200" xr:uid="{00000000-0005-0000-0000-00004B160000}"/>
    <cellStyle name="d_Nomenclature PHA1 M10 EJ 010 A" xfId="5201" xr:uid="{00000000-0005-0000-0000-00004C160000}"/>
    <cellStyle name="d_Sheet2" xfId="5202" xr:uid="{00000000-0005-0000-0000-00004D160000}"/>
    <cellStyle name="d_Vat tu boc tach Goldola" xfId="5203" xr:uid="{00000000-0005-0000-0000-00004E160000}"/>
    <cellStyle name="D1" xfId="5204" xr:uid="{00000000-0005-0000-0000-00004F160000}"/>
    <cellStyle name="Data   - Style2" xfId="5205" xr:uid="{00000000-0005-0000-0000-000050160000}"/>
    <cellStyle name="Data   - Style2 2" xfId="5206" xr:uid="{00000000-0005-0000-0000-000051160000}"/>
    <cellStyle name="Data   - Style2 2 2" xfId="10808" xr:uid="{00000000-0005-0000-0000-000052160000}"/>
    <cellStyle name="Data   - Style2 2 2 2" xfId="10809" xr:uid="{00000000-0005-0000-0000-000053160000}"/>
    <cellStyle name="Data   - Style2 2 3" xfId="10810" xr:uid="{00000000-0005-0000-0000-000054160000}"/>
    <cellStyle name="Data   - Style2 3" xfId="10811" xr:uid="{00000000-0005-0000-0000-000055160000}"/>
    <cellStyle name="Data   - Style2 3 2" xfId="10812" xr:uid="{00000000-0005-0000-0000-000056160000}"/>
    <cellStyle name="Data   - Style2 4" xfId="10813" xr:uid="{00000000-0005-0000-0000-000057160000}"/>
    <cellStyle name="Date" xfId="5207" xr:uid="{00000000-0005-0000-0000-000058160000}"/>
    <cellStyle name="Date 2" xfId="5208" xr:uid="{00000000-0005-0000-0000-000059160000}"/>
    <cellStyle name="Date Short" xfId="5209" xr:uid="{00000000-0005-0000-0000-00005A160000}"/>
    <cellStyle name="Date_Book1" xfId="5210" xr:uid="{00000000-0005-0000-0000-00005B160000}"/>
    <cellStyle name="date1" xfId="5211" xr:uid="{00000000-0005-0000-0000-00005C160000}"/>
    <cellStyle name="daude" xfId="5214" xr:uid="{00000000-0005-0000-0000-000065160000}"/>
    <cellStyle name="Description" xfId="5219" xr:uid="{00000000-0005-0000-0000-00006A160000}"/>
    <cellStyle name="Description 2" xfId="5220" xr:uid="{00000000-0005-0000-0000-00006B160000}"/>
    <cellStyle name="Description 3" xfId="5221" xr:uid="{00000000-0005-0000-0000-00006C160000}"/>
    <cellStyle name="Description 4" xfId="5222" xr:uid="{00000000-0005-0000-0000-00006D160000}"/>
    <cellStyle name="Description 5" xfId="5223" xr:uid="{00000000-0005-0000-0000-00006E160000}"/>
    <cellStyle name="Dezimal [0]_22002151167317Diagrammanpower" xfId="5224" xr:uid="{00000000-0005-0000-0000-00006F160000}"/>
    <cellStyle name="Dezimal_22002151167317Diagrammanpower" xfId="5225" xr:uid="{00000000-0005-0000-0000-000070160000}"/>
    <cellStyle name="_x0001_dÏÈ¹ " xfId="5226" xr:uid="{00000000-0005-0000-0000-000071160000}"/>
    <cellStyle name="_x0001_dÏÈ¹_" xfId="5227" xr:uid="{00000000-0005-0000-0000-000072160000}"/>
    <cellStyle name="Dollar (zero dec)" xfId="5228" xr:uid="{00000000-0005-0000-0000-000073160000}"/>
    <cellStyle name="Dung" xfId="5229" xr:uid="{00000000-0005-0000-0000-000074160000}"/>
    <cellStyle name="Dziesi?tny [0]_Invoices2001Slovakia" xfId="5230" xr:uid="{00000000-0005-0000-0000-000075160000}"/>
    <cellStyle name="Dziesi?tny_Invoices2001Slovakia" xfId="5231" xr:uid="{00000000-0005-0000-0000-000076160000}"/>
    <cellStyle name="Dziesietny [0]_Invoices2001Slovakia" xfId="5232" xr:uid="{00000000-0005-0000-0000-000077160000}"/>
    <cellStyle name="Dziesiętny [0]_Invoices2001Slovakia" xfId="5233" xr:uid="{00000000-0005-0000-0000-000078160000}"/>
    <cellStyle name="Dziesietny [0]_Invoices2001Slovakia_2---DATA_SAIN GOBAIN (THEP)_Option 1-British Standard" xfId="5234" xr:uid="{00000000-0005-0000-0000-000079160000}"/>
    <cellStyle name="Dziesiętny [0]_Invoices2001Slovakia_2---DATA_SAIN GOBAIN (THEP)_Option 1-British Standard" xfId="5235" xr:uid="{00000000-0005-0000-0000-00007A160000}"/>
    <cellStyle name="Dziesietny [0]_Invoices2001Slovakia_Book1" xfId="5236" xr:uid="{00000000-0005-0000-0000-00007B160000}"/>
    <cellStyle name="Dziesiętny [0]_Invoices2001Slovakia_Book1" xfId="5237" xr:uid="{00000000-0005-0000-0000-00007C160000}"/>
    <cellStyle name="Dziesietny [0]_Invoices2001Slovakia_Book1_1" xfId="5238" xr:uid="{00000000-0005-0000-0000-00007D160000}"/>
    <cellStyle name="Dziesiętny [0]_Invoices2001Slovakia_Book1_2---DATA_SAIN GOBAIN (THEP)_Option 1-British Standard" xfId="5239" xr:uid="{00000000-0005-0000-0000-00007E160000}"/>
    <cellStyle name="Dziesietny [0]_Invoices2001Slovakia_Book1_Tong hop Cac tuyen(9-1-06)" xfId="5240" xr:uid="{00000000-0005-0000-0000-00007F160000}"/>
    <cellStyle name="Dziesiętny [0]_Invoices2001Slovakia_Book1_Tong hop Cac tuyen(9-1-06)" xfId="5241" xr:uid="{00000000-0005-0000-0000-000080160000}"/>
    <cellStyle name="Dziesietny [0]_Invoices2001Slovakia_Book1_Tong hop Cac tuyen(9-1-06)_2---DATA_SAIN GOBAIN (THEP)_Option 1-British Standard" xfId="5242" xr:uid="{00000000-0005-0000-0000-000081160000}"/>
    <cellStyle name="Dziesiętny [0]_Invoices2001Slovakia_Book1_Tong hop Cac tuyen(9-1-06)_2---DATA_SAIN GOBAIN (THEP)_Option 1-British Standard" xfId="5243" xr:uid="{00000000-0005-0000-0000-000082160000}"/>
    <cellStyle name="Dziesietny [0]_Invoices2001Slovakia_KL K.C mat duong" xfId="5244" xr:uid="{00000000-0005-0000-0000-000083160000}"/>
    <cellStyle name="Dziesiętny [0]_Invoices2001Slovakia_Nhalamviec VTC(25-1-05)" xfId="5245" xr:uid="{00000000-0005-0000-0000-000084160000}"/>
    <cellStyle name="Dziesietny [0]_Invoices2001Slovakia_TDT KHANH HOA" xfId="5246" xr:uid="{00000000-0005-0000-0000-000085160000}"/>
    <cellStyle name="Dziesiętny [0]_Invoices2001Slovakia_TDT KHANH HOA" xfId="5247" xr:uid="{00000000-0005-0000-0000-000086160000}"/>
    <cellStyle name="Dziesietny [0]_Invoices2001Slovakia_TDT KHANH HOA_2---DATA_SAIN GOBAIN (THEP)_Option 1-British Standard" xfId="5248" xr:uid="{00000000-0005-0000-0000-000087160000}"/>
    <cellStyle name="Dziesiętny [0]_Invoices2001Slovakia_TDT KHANH HOA_2---DATA_SAIN GOBAIN (THEP)_Option 1-British Standard" xfId="5249" xr:uid="{00000000-0005-0000-0000-000088160000}"/>
    <cellStyle name="Dziesietny [0]_Invoices2001Slovakia_TDT KHANH HOA_Tong hop Cac tuyen(9-1-06)" xfId="5250" xr:uid="{00000000-0005-0000-0000-000089160000}"/>
    <cellStyle name="Dziesiętny [0]_Invoices2001Slovakia_TDT KHANH HOA_Tong hop Cac tuyen(9-1-06)" xfId="5251" xr:uid="{00000000-0005-0000-0000-00008A160000}"/>
    <cellStyle name="Dziesietny [0]_Invoices2001Slovakia_TDT KHANH HOA_Tong hop Cac tuyen(9-1-06)_2---DATA_SAIN GOBAIN (THEP)_Option 1-British Standard" xfId="5252" xr:uid="{00000000-0005-0000-0000-00008B160000}"/>
    <cellStyle name="Dziesiętny [0]_Invoices2001Slovakia_TDT KHANH HOA_Tong hop Cac tuyen(9-1-06)_2---DATA_SAIN GOBAIN (THEP)_Option 1-British Standard" xfId="5253" xr:uid="{00000000-0005-0000-0000-00008C160000}"/>
    <cellStyle name="Dziesietny [0]_Invoices2001Slovakia_TDT quangngai" xfId="5254" xr:uid="{00000000-0005-0000-0000-00008D160000}"/>
    <cellStyle name="Dziesiętny [0]_Invoices2001Slovakia_TDT quangngai" xfId="5255" xr:uid="{00000000-0005-0000-0000-00008E160000}"/>
    <cellStyle name="Dziesietny [0]_Invoices2001Slovakia_TDT quangngai_2---DATA_SAIN GOBAIN (THEP)_Option 1-British Standard" xfId="5256" xr:uid="{00000000-0005-0000-0000-00008F160000}"/>
    <cellStyle name="Dziesiętny [0]_Invoices2001Slovakia_TDT quangngai_2---DATA_SAIN GOBAIN (THEP)_Option 1-British Standard" xfId="5257" xr:uid="{00000000-0005-0000-0000-000090160000}"/>
    <cellStyle name="Dziesietny [0]_Invoices2001Slovakia_Tong hop Cac tuyen(9-1-06)" xfId="5258" xr:uid="{00000000-0005-0000-0000-000091160000}"/>
    <cellStyle name="Dziesietny_Invoices2001Slovakia" xfId="5259" xr:uid="{00000000-0005-0000-0000-000092160000}"/>
    <cellStyle name="Dziesiętny_Invoices2001Slovakia" xfId="5260" xr:uid="{00000000-0005-0000-0000-000093160000}"/>
    <cellStyle name="Dziesietny_Invoices2001Slovakia_2---DATA_SAIN GOBAIN (THEP)_Option 1-British Standard" xfId="5261" xr:uid="{00000000-0005-0000-0000-000094160000}"/>
    <cellStyle name="Dziesiętny_Invoices2001Slovakia_2---DATA_SAIN GOBAIN (THEP)_Option 1-British Standard" xfId="5262" xr:uid="{00000000-0005-0000-0000-000095160000}"/>
    <cellStyle name="Dziesietny_Invoices2001Slovakia_Book1" xfId="5263" xr:uid="{00000000-0005-0000-0000-000096160000}"/>
    <cellStyle name="Dziesiętny_Invoices2001Slovakia_Book1" xfId="5264" xr:uid="{00000000-0005-0000-0000-000097160000}"/>
    <cellStyle name="Dziesietny_Invoices2001Slovakia_Book1_1" xfId="5265" xr:uid="{00000000-0005-0000-0000-000098160000}"/>
    <cellStyle name="Dziesiętny_Invoices2001Slovakia_Book1_2---DATA_SAIN GOBAIN (THEP)_Option 1-British Standard" xfId="5266" xr:uid="{00000000-0005-0000-0000-000099160000}"/>
    <cellStyle name="Dziesietny_Invoices2001Slovakia_Book1_Tong hop Cac tuyen(9-1-06)" xfId="5267" xr:uid="{00000000-0005-0000-0000-00009A160000}"/>
    <cellStyle name="Dziesiętny_Invoices2001Slovakia_Book1_Tong hop Cac tuyen(9-1-06)" xfId="5268" xr:uid="{00000000-0005-0000-0000-00009B160000}"/>
    <cellStyle name="Dziesietny_Invoices2001Slovakia_Book1_Tong hop Cac tuyen(9-1-06)_2---DATA_SAIN GOBAIN (THEP)_Option 1-British Standard" xfId="5269" xr:uid="{00000000-0005-0000-0000-00009C160000}"/>
    <cellStyle name="Dziesiętny_Invoices2001Slovakia_Book1_Tong hop Cac tuyen(9-1-06)_2---DATA_SAIN GOBAIN (THEP)_Option 1-British Standard" xfId="5270" xr:uid="{00000000-0005-0000-0000-00009D160000}"/>
    <cellStyle name="Dziesietny_Invoices2001Slovakia_KL K.C mat duong" xfId="5271" xr:uid="{00000000-0005-0000-0000-00009E160000}"/>
    <cellStyle name="Dziesiętny_Invoices2001Slovakia_Nhalamviec VTC(25-1-05)" xfId="5272" xr:uid="{00000000-0005-0000-0000-00009F160000}"/>
    <cellStyle name="Dziesietny_Invoices2001Slovakia_TDT KHANH HOA" xfId="5273" xr:uid="{00000000-0005-0000-0000-0000A0160000}"/>
    <cellStyle name="Dziesiętny_Invoices2001Slovakia_TDT KHANH HOA" xfId="5274" xr:uid="{00000000-0005-0000-0000-0000A1160000}"/>
    <cellStyle name="Dziesietny_Invoices2001Slovakia_TDT KHANH HOA_2---DATA_SAIN GOBAIN (THEP)_Option 1-British Standard" xfId="5275" xr:uid="{00000000-0005-0000-0000-0000A2160000}"/>
    <cellStyle name="Dziesiętny_Invoices2001Slovakia_TDT KHANH HOA_2---DATA_SAIN GOBAIN (THEP)_Option 1-British Standard" xfId="5276" xr:uid="{00000000-0005-0000-0000-0000A3160000}"/>
    <cellStyle name="Dziesietny_Invoices2001Slovakia_TDT KHANH HOA_Tong hop Cac tuyen(9-1-06)" xfId="5277" xr:uid="{00000000-0005-0000-0000-0000A4160000}"/>
    <cellStyle name="Dziesiętny_Invoices2001Slovakia_TDT KHANH HOA_Tong hop Cac tuyen(9-1-06)" xfId="5278" xr:uid="{00000000-0005-0000-0000-0000A5160000}"/>
    <cellStyle name="Dziesietny_Invoices2001Slovakia_TDT KHANH HOA_Tong hop Cac tuyen(9-1-06)_2---DATA_SAIN GOBAIN (THEP)_Option 1-British Standard" xfId="5279" xr:uid="{00000000-0005-0000-0000-0000A6160000}"/>
    <cellStyle name="Dziesiętny_Invoices2001Slovakia_TDT KHANH HOA_Tong hop Cac tuyen(9-1-06)_2---DATA_SAIN GOBAIN (THEP)_Option 1-British Standard" xfId="5280" xr:uid="{00000000-0005-0000-0000-0000A7160000}"/>
    <cellStyle name="Dziesietny_Invoices2001Slovakia_TDT quangngai" xfId="5281" xr:uid="{00000000-0005-0000-0000-0000A8160000}"/>
    <cellStyle name="Dziesiętny_Invoices2001Slovakia_TDT quangngai" xfId="5282" xr:uid="{00000000-0005-0000-0000-0000A9160000}"/>
    <cellStyle name="Dziesietny_Invoices2001Slovakia_TDT quangngai_2---DATA_SAIN GOBAIN (THEP)_Option 1-British Standard" xfId="5283" xr:uid="{00000000-0005-0000-0000-0000AA160000}"/>
    <cellStyle name="Dziesiętny_Invoices2001Slovakia_TDT quangngai_2---DATA_SAIN GOBAIN (THEP)_Option 1-British Standard" xfId="5284" xr:uid="{00000000-0005-0000-0000-0000AB160000}"/>
    <cellStyle name="Dziesietny_Invoices2001Slovakia_Tong hop Cac tuyen(9-1-06)" xfId="5285" xr:uid="{00000000-0005-0000-0000-0000AC160000}"/>
    <cellStyle name="Đầu ra" xfId="5212" xr:uid="{00000000-0005-0000-0000-00005D160000}"/>
    <cellStyle name="Đầu ra 2" xfId="10814" xr:uid="{00000000-0005-0000-0000-00005E160000}"/>
    <cellStyle name="Đầu ra 2 2" xfId="10815" xr:uid="{00000000-0005-0000-0000-00005F160000}"/>
    <cellStyle name="Đầu ra 3" xfId="10816" xr:uid="{00000000-0005-0000-0000-000060160000}"/>
    <cellStyle name="Đầu vào" xfId="5213" xr:uid="{00000000-0005-0000-0000-000061160000}"/>
    <cellStyle name="Đầu vào 2" xfId="10817" xr:uid="{00000000-0005-0000-0000-000062160000}"/>
    <cellStyle name="Đầu vào 2 2" xfId="10818" xr:uid="{00000000-0005-0000-0000-000063160000}"/>
    <cellStyle name="Đầu vào 3" xfId="10819" xr:uid="{00000000-0005-0000-0000-000064160000}"/>
    <cellStyle name="Đề mục 1" xfId="5215" xr:uid="{00000000-0005-0000-0000-000066160000}"/>
    <cellStyle name="Đề mục 2" xfId="5216" xr:uid="{00000000-0005-0000-0000-000067160000}"/>
    <cellStyle name="Đề mục 3" xfId="5217" xr:uid="{00000000-0005-0000-0000-000068160000}"/>
    <cellStyle name="Đề mục 4" xfId="5218" xr:uid="{00000000-0005-0000-0000-000069160000}"/>
    <cellStyle name="e" xfId="5286" xr:uid="{00000000-0005-0000-0000-0000AD160000}"/>
    <cellStyle name="e_2---DATA_SAIN GOBAIN (THEP)_Option 1-British Standard" xfId="5287" xr:uid="{00000000-0005-0000-0000-0000AE160000}"/>
    <cellStyle name="Emphasis 1" xfId="5288" xr:uid="{00000000-0005-0000-0000-0000AF160000}"/>
    <cellStyle name="Emphasis 2" xfId="5289" xr:uid="{00000000-0005-0000-0000-0000B0160000}"/>
    <cellStyle name="Emphasis 3" xfId="5290" xr:uid="{00000000-0005-0000-0000-0000B1160000}"/>
    <cellStyle name="Enter Currency (0)" xfId="5291" xr:uid="{00000000-0005-0000-0000-0000B2160000}"/>
    <cellStyle name="Enter Currency (2)" xfId="5292" xr:uid="{00000000-0005-0000-0000-0000B3160000}"/>
    <cellStyle name="Enter Units (0)" xfId="5293" xr:uid="{00000000-0005-0000-0000-0000B4160000}"/>
    <cellStyle name="Enter Units (1)" xfId="5294" xr:uid="{00000000-0005-0000-0000-0000B5160000}"/>
    <cellStyle name="Enter Units (2)" xfId="5295" xr:uid="{00000000-0005-0000-0000-0000B6160000}"/>
    <cellStyle name="Entered" xfId="5296" xr:uid="{00000000-0005-0000-0000-0000B7160000}"/>
    <cellStyle name="entry" xfId="5297" xr:uid="{00000000-0005-0000-0000-0000B8160000}"/>
    <cellStyle name="Euro" xfId="5298" xr:uid="{00000000-0005-0000-0000-0000B9160000}"/>
    <cellStyle name="Excel Built-in Comma" xfId="5299" xr:uid="{00000000-0005-0000-0000-0000BA160000}"/>
    <cellStyle name="Excel Built-in Normal" xfId="5300" xr:uid="{00000000-0005-0000-0000-0000BB160000}"/>
    <cellStyle name="Excel_BuiltIn_Comma 1" xfId="5301" xr:uid="{00000000-0005-0000-0000-0000BC160000}"/>
    <cellStyle name="Explanatory Text 2" xfId="5302" xr:uid="{00000000-0005-0000-0000-0000BD160000}"/>
    <cellStyle name="f" xfId="5303" xr:uid="{00000000-0005-0000-0000-0000BE160000}"/>
    <cellStyle name="f_2---DATA_SAIN GOBAIN (THEP)_Option 1-British Standard" xfId="5304" xr:uid="{00000000-0005-0000-0000-0000BF160000}"/>
    <cellStyle name="f12 conversion" xfId="5305" xr:uid="{00000000-0005-0000-0000-0000C0160000}"/>
    <cellStyle name="Fixed" xfId="5306" xr:uid="{00000000-0005-0000-0000-0000C1160000}"/>
    <cellStyle name="Fixed 2" xfId="5307" xr:uid="{00000000-0005-0000-0000-0000C2160000}"/>
    <cellStyle name="General" xfId="5308" xr:uid="{00000000-0005-0000-0000-0000C3160000}"/>
    <cellStyle name="Ghi chú" xfId="5309" xr:uid="{00000000-0005-0000-0000-0000C4160000}"/>
    <cellStyle name="Ghi chú 2" xfId="10820" xr:uid="{00000000-0005-0000-0000-0000C5160000}"/>
    <cellStyle name="Ghi chú 2 2" xfId="10821" xr:uid="{00000000-0005-0000-0000-0000C6160000}"/>
    <cellStyle name="Ghi chú 3" xfId="10822" xr:uid="{00000000-0005-0000-0000-0000C7160000}"/>
    <cellStyle name="Good 2" xfId="5310" xr:uid="{00000000-0005-0000-0000-0000C8160000}"/>
    <cellStyle name="Grey" xfId="5311" xr:uid="{00000000-0005-0000-0000-0000C9160000}"/>
    <cellStyle name="Grey 2" xfId="5312" xr:uid="{00000000-0005-0000-0000-0000CA160000}"/>
    <cellStyle name="GTT%" xfId="5313" xr:uid="{00000000-0005-0000-0000-0000CB160000}"/>
    <cellStyle name="H" xfId="5314" xr:uid="{00000000-0005-0000-0000-0000CC160000}"/>
    <cellStyle name="H_2---DATA_SAIN GOBAIN (THEP)_Option 1-British Standard" xfId="5315" xr:uid="{00000000-0005-0000-0000-0000CD160000}"/>
    <cellStyle name="H_D-A-VU" xfId="5316" xr:uid="{00000000-0005-0000-0000-0000CE160000}"/>
    <cellStyle name="H_D-A-VU_2---DATA_SAIN GOBAIN (THEP)_Option 1-British Standard" xfId="5317" xr:uid="{00000000-0005-0000-0000-0000CF160000}"/>
    <cellStyle name="H_HSTHAU" xfId="5318" xr:uid="{00000000-0005-0000-0000-0000D0160000}"/>
    <cellStyle name="H_HSTHAU_2---DATA_SAIN GOBAIN (THEP)_Option 1-British Standard" xfId="5319" xr:uid="{00000000-0005-0000-0000-0000D1160000}"/>
    <cellStyle name="haubv" xfId="5320" xr:uid="{00000000-0005-0000-0000-0000D2160000}"/>
    <cellStyle name="Head 1" xfId="5321" xr:uid="{00000000-0005-0000-0000-0000D3160000}"/>
    <cellStyle name="HEADER" xfId="5322" xr:uid="{00000000-0005-0000-0000-0000D4160000}"/>
    <cellStyle name="HEADER 2" xfId="5323" xr:uid="{00000000-0005-0000-0000-0000D5160000}"/>
    <cellStyle name="Header1" xfId="5324" xr:uid="{00000000-0005-0000-0000-0000D6160000}"/>
    <cellStyle name="Header1 2" xfId="5325" xr:uid="{00000000-0005-0000-0000-0000D7160000}"/>
    <cellStyle name="Header1 2 2" xfId="9766" xr:uid="{00000000-0005-0000-0000-0000D8160000}"/>
    <cellStyle name="Header1 2 2 2" xfId="10088" xr:uid="{00000000-0005-0000-0000-0000D9160000}"/>
    <cellStyle name="Header1 2 2 3" xfId="10089" xr:uid="{00000000-0005-0000-0000-0000DA160000}"/>
    <cellStyle name="Header1 2 2 4" xfId="10090" xr:uid="{00000000-0005-0000-0000-0000DB160000}"/>
    <cellStyle name="Header1 2 3" xfId="10091" xr:uid="{00000000-0005-0000-0000-0000DC160000}"/>
    <cellStyle name="Header1 2 4" xfId="10092" xr:uid="{00000000-0005-0000-0000-0000DD160000}"/>
    <cellStyle name="Header1 2 5" xfId="10093" xr:uid="{00000000-0005-0000-0000-0000DE160000}"/>
    <cellStyle name="Header1 3" xfId="9767" xr:uid="{00000000-0005-0000-0000-0000DF160000}"/>
    <cellStyle name="Header1 3 2" xfId="10094" xr:uid="{00000000-0005-0000-0000-0000E0160000}"/>
    <cellStyle name="Header1 3 3" xfId="10095" xr:uid="{00000000-0005-0000-0000-0000E1160000}"/>
    <cellStyle name="Header1 3 4" xfId="10096" xr:uid="{00000000-0005-0000-0000-0000E2160000}"/>
    <cellStyle name="Header1 4" xfId="10097" xr:uid="{00000000-0005-0000-0000-0000E3160000}"/>
    <cellStyle name="Header1 5" xfId="10098" xr:uid="{00000000-0005-0000-0000-0000E4160000}"/>
    <cellStyle name="Header1 6" xfId="10099" xr:uid="{00000000-0005-0000-0000-0000E5160000}"/>
    <cellStyle name="Header2" xfId="5326" xr:uid="{00000000-0005-0000-0000-0000E6160000}"/>
    <cellStyle name="Header2 2" xfId="5327" xr:uid="{00000000-0005-0000-0000-0000E7160000}"/>
    <cellStyle name="Header2 2 2" xfId="10823" xr:uid="{00000000-0005-0000-0000-0000E8160000}"/>
    <cellStyle name="Header2 2 2 2" xfId="10824" xr:uid="{00000000-0005-0000-0000-0000E9160000}"/>
    <cellStyle name="Header2 2 3" xfId="10825" xr:uid="{00000000-0005-0000-0000-0000EA160000}"/>
    <cellStyle name="Header2 2 4" xfId="10826" xr:uid="{00000000-0005-0000-0000-0000EB160000}"/>
    <cellStyle name="Header2 3" xfId="10827" xr:uid="{00000000-0005-0000-0000-0000EC160000}"/>
    <cellStyle name="Header2 3 2" xfId="10828" xr:uid="{00000000-0005-0000-0000-0000ED160000}"/>
    <cellStyle name="Header2 4" xfId="10829" xr:uid="{00000000-0005-0000-0000-0000EE160000}"/>
    <cellStyle name="Header2 5" xfId="10830" xr:uid="{00000000-0005-0000-0000-0000EF160000}"/>
    <cellStyle name="Heading 1 10" xfId="5328" xr:uid="{00000000-0005-0000-0000-0000F0160000}"/>
    <cellStyle name="Heading 1 10 2" xfId="5329" xr:uid="{00000000-0005-0000-0000-0000F1160000}"/>
    <cellStyle name="Heading 1 11" xfId="5330" xr:uid="{00000000-0005-0000-0000-0000F2160000}"/>
    <cellStyle name="Heading 1 11 2" xfId="5331" xr:uid="{00000000-0005-0000-0000-0000F3160000}"/>
    <cellStyle name="Heading 1 12" xfId="5332" xr:uid="{00000000-0005-0000-0000-0000F4160000}"/>
    <cellStyle name="Heading 1 12 2" xfId="5333" xr:uid="{00000000-0005-0000-0000-0000F5160000}"/>
    <cellStyle name="Heading 1 13" xfId="5334" xr:uid="{00000000-0005-0000-0000-0000F6160000}"/>
    <cellStyle name="Heading 1 13 2" xfId="5335" xr:uid="{00000000-0005-0000-0000-0000F7160000}"/>
    <cellStyle name="Heading 1 14" xfId="5336" xr:uid="{00000000-0005-0000-0000-0000F8160000}"/>
    <cellStyle name="Heading 1 14 2" xfId="5337" xr:uid="{00000000-0005-0000-0000-0000F9160000}"/>
    <cellStyle name="Heading 1 15" xfId="5338" xr:uid="{00000000-0005-0000-0000-0000FA160000}"/>
    <cellStyle name="Heading 1 15 2" xfId="5339" xr:uid="{00000000-0005-0000-0000-0000FB160000}"/>
    <cellStyle name="Heading 1 16" xfId="5340" xr:uid="{00000000-0005-0000-0000-0000FC160000}"/>
    <cellStyle name="Heading 1 16 2" xfId="5341" xr:uid="{00000000-0005-0000-0000-0000FD160000}"/>
    <cellStyle name="Heading 1 17" xfId="5342" xr:uid="{00000000-0005-0000-0000-0000FE160000}"/>
    <cellStyle name="Heading 1 17 2" xfId="5343" xr:uid="{00000000-0005-0000-0000-0000FF160000}"/>
    <cellStyle name="Heading 1 18" xfId="5344" xr:uid="{00000000-0005-0000-0000-000000170000}"/>
    <cellStyle name="Heading 1 18 2" xfId="5345" xr:uid="{00000000-0005-0000-0000-000001170000}"/>
    <cellStyle name="Heading 1 19" xfId="5346" xr:uid="{00000000-0005-0000-0000-000002170000}"/>
    <cellStyle name="Heading 1 19 2" xfId="5347" xr:uid="{00000000-0005-0000-0000-000003170000}"/>
    <cellStyle name="Heading 1 2" xfId="5348" xr:uid="{00000000-0005-0000-0000-000004170000}"/>
    <cellStyle name="Heading 1 2 10" xfId="5349" xr:uid="{00000000-0005-0000-0000-000005170000}"/>
    <cellStyle name="Heading 1 2 11" xfId="5350" xr:uid="{00000000-0005-0000-0000-000006170000}"/>
    <cellStyle name="Heading 1 2 12" xfId="5351" xr:uid="{00000000-0005-0000-0000-000007170000}"/>
    <cellStyle name="Heading 1 2 2" xfId="5352" xr:uid="{00000000-0005-0000-0000-000008170000}"/>
    <cellStyle name="Heading 1 2 3" xfId="5353" xr:uid="{00000000-0005-0000-0000-000009170000}"/>
    <cellStyle name="Heading 1 2 4" xfId="5354" xr:uid="{00000000-0005-0000-0000-00000A170000}"/>
    <cellStyle name="Heading 1 2 5" xfId="5355" xr:uid="{00000000-0005-0000-0000-00000B170000}"/>
    <cellStyle name="Heading 1 2 6" xfId="5356" xr:uid="{00000000-0005-0000-0000-00000C170000}"/>
    <cellStyle name="Heading 1 2 7" xfId="5357" xr:uid="{00000000-0005-0000-0000-00000D170000}"/>
    <cellStyle name="Heading 1 2 8" xfId="5358" xr:uid="{00000000-0005-0000-0000-00000E170000}"/>
    <cellStyle name="Heading 1 2 9" xfId="5359" xr:uid="{00000000-0005-0000-0000-00000F170000}"/>
    <cellStyle name="Heading 1 2_M_E Services _ Education" xfId="5360" xr:uid="{00000000-0005-0000-0000-000010170000}"/>
    <cellStyle name="Heading 1 20" xfId="5361" xr:uid="{00000000-0005-0000-0000-000011170000}"/>
    <cellStyle name="Heading 1 20 2" xfId="5362" xr:uid="{00000000-0005-0000-0000-000012170000}"/>
    <cellStyle name="Heading 1 21" xfId="5363" xr:uid="{00000000-0005-0000-0000-000013170000}"/>
    <cellStyle name="Heading 1 21 2" xfId="5364" xr:uid="{00000000-0005-0000-0000-000014170000}"/>
    <cellStyle name="Heading 1 22" xfId="5365" xr:uid="{00000000-0005-0000-0000-000015170000}"/>
    <cellStyle name="Heading 1 22 2" xfId="5366" xr:uid="{00000000-0005-0000-0000-000016170000}"/>
    <cellStyle name="Heading 1 23" xfId="5367" xr:uid="{00000000-0005-0000-0000-000017170000}"/>
    <cellStyle name="Heading 1 24" xfId="5368" xr:uid="{00000000-0005-0000-0000-000018170000}"/>
    <cellStyle name="Heading 1 25" xfId="5369" xr:uid="{00000000-0005-0000-0000-000019170000}"/>
    <cellStyle name="Heading 1 26" xfId="5370" xr:uid="{00000000-0005-0000-0000-00001A170000}"/>
    <cellStyle name="Heading 1 27" xfId="5371" xr:uid="{00000000-0005-0000-0000-00001B170000}"/>
    <cellStyle name="Heading 1 28" xfId="5372" xr:uid="{00000000-0005-0000-0000-00001C170000}"/>
    <cellStyle name="Heading 1 29" xfId="5373" xr:uid="{00000000-0005-0000-0000-00001D170000}"/>
    <cellStyle name="Heading 1 3" xfId="5374" xr:uid="{00000000-0005-0000-0000-00001E170000}"/>
    <cellStyle name="Heading 1 3 10" xfId="5375" xr:uid="{00000000-0005-0000-0000-00001F170000}"/>
    <cellStyle name="Heading 1 3 11" xfId="5376" xr:uid="{00000000-0005-0000-0000-000020170000}"/>
    <cellStyle name="Heading 1 3 12" xfId="5377" xr:uid="{00000000-0005-0000-0000-000021170000}"/>
    <cellStyle name="Heading 1 3 2" xfId="5378" xr:uid="{00000000-0005-0000-0000-000022170000}"/>
    <cellStyle name="Heading 1 3 3" xfId="5379" xr:uid="{00000000-0005-0000-0000-000023170000}"/>
    <cellStyle name="Heading 1 3 4" xfId="5380" xr:uid="{00000000-0005-0000-0000-000024170000}"/>
    <cellStyle name="Heading 1 3 5" xfId="5381" xr:uid="{00000000-0005-0000-0000-000025170000}"/>
    <cellStyle name="Heading 1 3 6" xfId="5382" xr:uid="{00000000-0005-0000-0000-000026170000}"/>
    <cellStyle name="Heading 1 3 7" xfId="5383" xr:uid="{00000000-0005-0000-0000-000027170000}"/>
    <cellStyle name="Heading 1 3 8" xfId="5384" xr:uid="{00000000-0005-0000-0000-000028170000}"/>
    <cellStyle name="Heading 1 3 9" xfId="5385" xr:uid="{00000000-0005-0000-0000-000029170000}"/>
    <cellStyle name="Heading 1 3_M_E Services _ Education" xfId="5386" xr:uid="{00000000-0005-0000-0000-00002A170000}"/>
    <cellStyle name="Heading 1 30" xfId="5387" xr:uid="{00000000-0005-0000-0000-00002B170000}"/>
    <cellStyle name="Heading 1 31" xfId="5388" xr:uid="{00000000-0005-0000-0000-00002C170000}"/>
    <cellStyle name="Heading 1 32" xfId="5389" xr:uid="{00000000-0005-0000-0000-00002D170000}"/>
    <cellStyle name="Heading 1 33" xfId="5390" xr:uid="{00000000-0005-0000-0000-00002E170000}"/>
    <cellStyle name="Heading 1 34" xfId="5391" xr:uid="{00000000-0005-0000-0000-00002F170000}"/>
    <cellStyle name="Heading 1 35" xfId="5392" xr:uid="{00000000-0005-0000-0000-000030170000}"/>
    <cellStyle name="Heading 1 36" xfId="5393" xr:uid="{00000000-0005-0000-0000-000031170000}"/>
    <cellStyle name="Heading 1 37" xfId="5394" xr:uid="{00000000-0005-0000-0000-000032170000}"/>
    <cellStyle name="Heading 1 38" xfId="5395" xr:uid="{00000000-0005-0000-0000-000033170000}"/>
    <cellStyle name="Heading 1 39" xfId="5396" xr:uid="{00000000-0005-0000-0000-000034170000}"/>
    <cellStyle name="Heading 1 4" xfId="5397" xr:uid="{00000000-0005-0000-0000-000035170000}"/>
    <cellStyle name="Heading 1 4 10" xfId="5398" xr:uid="{00000000-0005-0000-0000-000036170000}"/>
    <cellStyle name="Heading 1 4 11" xfId="5399" xr:uid="{00000000-0005-0000-0000-000037170000}"/>
    <cellStyle name="Heading 1 4 12" xfId="5400" xr:uid="{00000000-0005-0000-0000-000038170000}"/>
    <cellStyle name="Heading 1 4 2" xfId="5401" xr:uid="{00000000-0005-0000-0000-000039170000}"/>
    <cellStyle name="Heading 1 4 3" xfId="5402" xr:uid="{00000000-0005-0000-0000-00003A170000}"/>
    <cellStyle name="Heading 1 4 4" xfId="5403" xr:uid="{00000000-0005-0000-0000-00003B170000}"/>
    <cellStyle name="Heading 1 4 5" xfId="5404" xr:uid="{00000000-0005-0000-0000-00003C170000}"/>
    <cellStyle name="Heading 1 4 6" xfId="5405" xr:uid="{00000000-0005-0000-0000-00003D170000}"/>
    <cellStyle name="Heading 1 4 7" xfId="5406" xr:uid="{00000000-0005-0000-0000-00003E170000}"/>
    <cellStyle name="Heading 1 4 8" xfId="5407" xr:uid="{00000000-0005-0000-0000-00003F170000}"/>
    <cellStyle name="Heading 1 4 9" xfId="5408" xr:uid="{00000000-0005-0000-0000-000040170000}"/>
    <cellStyle name="Heading 1 40" xfId="5409" xr:uid="{00000000-0005-0000-0000-000041170000}"/>
    <cellStyle name="Heading 1 41" xfId="5410" xr:uid="{00000000-0005-0000-0000-000042170000}"/>
    <cellStyle name="Heading 1 42" xfId="5411" xr:uid="{00000000-0005-0000-0000-000043170000}"/>
    <cellStyle name="Heading 1 43" xfId="5412" xr:uid="{00000000-0005-0000-0000-000044170000}"/>
    <cellStyle name="Heading 1 44" xfId="5413" xr:uid="{00000000-0005-0000-0000-000045170000}"/>
    <cellStyle name="Heading 1 45" xfId="5414" xr:uid="{00000000-0005-0000-0000-000046170000}"/>
    <cellStyle name="Heading 1 46" xfId="5415" xr:uid="{00000000-0005-0000-0000-000047170000}"/>
    <cellStyle name="Heading 1 47" xfId="5416" xr:uid="{00000000-0005-0000-0000-000048170000}"/>
    <cellStyle name="Heading 1 48" xfId="5417" xr:uid="{00000000-0005-0000-0000-000049170000}"/>
    <cellStyle name="Heading 1 49" xfId="5418" xr:uid="{00000000-0005-0000-0000-00004A170000}"/>
    <cellStyle name="Heading 1 5" xfId="5419" xr:uid="{00000000-0005-0000-0000-00004B170000}"/>
    <cellStyle name="Heading 1 5 10" xfId="5420" xr:uid="{00000000-0005-0000-0000-00004C170000}"/>
    <cellStyle name="Heading 1 5 11" xfId="5421" xr:uid="{00000000-0005-0000-0000-00004D170000}"/>
    <cellStyle name="Heading 1 5 12" xfId="5422" xr:uid="{00000000-0005-0000-0000-00004E170000}"/>
    <cellStyle name="Heading 1 5 2" xfId="5423" xr:uid="{00000000-0005-0000-0000-00004F170000}"/>
    <cellStyle name="Heading 1 5 3" xfId="5424" xr:uid="{00000000-0005-0000-0000-000050170000}"/>
    <cellStyle name="Heading 1 5 4" xfId="5425" xr:uid="{00000000-0005-0000-0000-000051170000}"/>
    <cellStyle name="Heading 1 5 5" xfId="5426" xr:uid="{00000000-0005-0000-0000-000052170000}"/>
    <cellStyle name="Heading 1 5 6" xfId="5427" xr:uid="{00000000-0005-0000-0000-000053170000}"/>
    <cellStyle name="Heading 1 5 7" xfId="5428" xr:uid="{00000000-0005-0000-0000-000054170000}"/>
    <cellStyle name="Heading 1 5 8" xfId="5429" xr:uid="{00000000-0005-0000-0000-000055170000}"/>
    <cellStyle name="Heading 1 5 9" xfId="5430" xr:uid="{00000000-0005-0000-0000-000056170000}"/>
    <cellStyle name="Heading 1 50" xfId="5431" xr:uid="{00000000-0005-0000-0000-000057170000}"/>
    <cellStyle name="Heading 1 51" xfId="5432" xr:uid="{00000000-0005-0000-0000-000058170000}"/>
    <cellStyle name="Heading 1 52" xfId="5433" xr:uid="{00000000-0005-0000-0000-000059170000}"/>
    <cellStyle name="Heading 1 53" xfId="5434" xr:uid="{00000000-0005-0000-0000-00005A170000}"/>
    <cellStyle name="Heading 1 54" xfId="5435" xr:uid="{00000000-0005-0000-0000-00005B170000}"/>
    <cellStyle name="Heading 1 55" xfId="5436" xr:uid="{00000000-0005-0000-0000-00005C170000}"/>
    <cellStyle name="Heading 1 56" xfId="5437" xr:uid="{00000000-0005-0000-0000-00005D170000}"/>
    <cellStyle name="Heading 1 57" xfId="5438" xr:uid="{00000000-0005-0000-0000-00005E170000}"/>
    <cellStyle name="Heading 1 58" xfId="5439" xr:uid="{00000000-0005-0000-0000-00005F170000}"/>
    <cellStyle name="Heading 1 59" xfId="5440" xr:uid="{00000000-0005-0000-0000-000060170000}"/>
    <cellStyle name="Heading 1 6" xfId="5441" xr:uid="{00000000-0005-0000-0000-000061170000}"/>
    <cellStyle name="Heading 1 6 10" xfId="5442" xr:uid="{00000000-0005-0000-0000-000062170000}"/>
    <cellStyle name="Heading 1 6 11" xfId="5443" xr:uid="{00000000-0005-0000-0000-000063170000}"/>
    <cellStyle name="Heading 1 6 12" xfId="5444" xr:uid="{00000000-0005-0000-0000-000064170000}"/>
    <cellStyle name="Heading 1 6 2" xfId="5445" xr:uid="{00000000-0005-0000-0000-000065170000}"/>
    <cellStyle name="Heading 1 6 3" xfId="5446" xr:uid="{00000000-0005-0000-0000-000066170000}"/>
    <cellStyle name="Heading 1 6 4" xfId="5447" xr:uid="{00000000-0005-0000-0000-000067170000}"/>
    <cellStyle name="Heading 1 6 5" xfId="5448" xr:uid="{00000000-0005-0000-0000-000068170000}"/>
    <cellStyle name="Heading 1 6 6" xfId="5449" xr:uid="{00000000-0005-0000-0000-000069170000}"/>
    <cellStyle name="Heading 1 6 7" xfId="5450" xr:uid="{00000000-0005-0000-0000-00006A170000}"/>
    <cellStyle name="Heading 1 6 8" xfId="5451" xr:uid="{00000000-0005-0000-0000-00006B170000}"/>
    <cellStyle name="Heading 1 6 9" xfId="5452" xr:uid="{00000000-0005-0000-0000-00006C170000}"/>
    <cellStyle name="Heading 1 60" xfId="5453" xr:uid="{00000000-0005-0000-0000-00006D170000}"/>
    <cellStyle name="Heading 1 61" xfId="5454" xr:uid="{00000000-0005-0000-0000-00006E170000}"/>
    <cellStyle name="Heading 1 62" xfId="5455" xr:uid="{00000000-0005-0000-0000-00006F170000}"/>
    <cellStyle name="Heading 1 63" xfId="5456" xr:uid="{00000000-0005-0000-0000-000070170000}"/>
    <cellStyle name="Heading 1 64" xfId="5457" xr:uid="{00000000-0005-0000-0000-000071170000}"/>
    <cellStyle name="Heading 1 65" xfId="5458" xr:uid="{00000000-0005-0000-0000-000072170000}"/>
    <cellStyle name="Heading 1 66" xfId="5459" xr:uid="{00000000-0005-0000-0000-000073170000}"/>
    <cellStyle name="Heading 1 67" xfId="5460" xr:uid="{00000000-0005-0000-0000-000074170000}"/>
    <cellStyle name="Heading 1 68" xfId="5461" xr:uid="{00000000-0005-0000-0000-000075170000}"/>
    <cellStyle name="Heading 1 69" xfId="5462" xr:uid="{00000000-0005-0000-0000-000076170000}"/>
    <cellStyle name="Heading 1 7" xfId="5463" xr:uid="{00000000-0005-0000-0000-000077170000}"/>
    <cellStyle name="Heading 1 7 10" xfId="5464" xr:uid="{00000000-0005-0000-0000-000078170000}"/>
    <cellStyle name="Heading 1 7 11" xfId="5465" xr:uid="{00000000-0005-0000-0000-000079170000}"/>
    <cellStyle name="Heading 1 7 12" xfId="5466" xr:uid="{00000000-0005-0000-0000-00007A170000}"/>
    <cellStyle name="Heading 1 7 2" xfId="5467" xr:uid="{00000000-0005-0000-0000-00007B170000}"/>
    <cellStyle name="Heading 1 7 3" xfId="5468" xr:uid="{00000000-0005-0000-0000-00007C170000}"/>
    <cellStyle name="Heading 1 7 4" xfId="5469" xr:uid="{00000000-0005-0000-0000-00007D170000}"/>
    <cellStyle name="Heading 1 7 5" xfId="5470" xr:uid="{00000000-0005-0000-0000-00007E170000}"/>
    <cellStyle name="Heading 1 7 6" xfId="5471" xr:uid="{00000000-0005-0000-0000-00007F170000}"/>
    <cellStyle name="Heading 1 7 7" xfId="5472" xr:uid="{00000000-0005-0000-0000-000080170000}"/>
    <cellStyle name="Heading 1 7 8" xfId="5473" xr:uid="{00000000-0005-0000-0000-000081170000}"/>
    <cellStyle name="Heading 1 7 9" xfId="5474" xr:uid="{00000000-0005-0000-0000-000082170000}"/>
    <cellStyle name="Heading 1 70" xfId="5475" xr:uid="{00000000-0005-0000-0000-000083170000}"/>
    <cellStyle name="Heading 1 71" xfId="5476" xr:uid="{00000000-0005-0000-0000-000084170000}"/>
    <cellStyle name="Heading 1 72" xfId="5477" xr:uid="{00000000-0005-0000-0000-000085170000}"/>
    <cellStyle name="Heading 1 73" xfId="5478" xr:uid="{00000000-0005-0000-0000-000086170000}"/>
    <cellStyle name="Heading 1 74" xfId="5479" xr:uid="{00000000-0005-0000-0000-000087170000}"/>
    <cellStyle name="Heading 1 75" xfId="5480" xr:uid="{00000000-0005-0000-0000-000088170000}"/>
    <cellStyle name="Heading 1 76" xfId="5481" xr:uid="{00000000-0005-0000-0000-000089170000}"/>
    <cellStyle name="Heading 1 77" xfId="5482" xr:uid="{00000000-0005-0000-0000-00008A170000}"/>
    <cellStyle name="Heading 1 78" xfId="5483" xr:uid="{00000000-0005-0000-0000-00008B170000}"/>
    <cellStyle name="Heading 1 79" xfId="5484" xr:uid="{00000000-0005-0000-0000-00008C170000}"/>
    <cellStyle name="Heading 1 8" xfId="5485" xr:uid="{00000000-0005-0000-0000-00008D170000}"/>
    <cellStyle name="Heading 1 8 2" xfId="5486" xr:uid="{00000000-0005-0000-0000-00008E170000}"/>
    <cellStyle name="Heading 1 80" xfId="5487" xr:uid="{00000000-0005-0000-0000-00008F170000}"/>
    <cellStyle name="Heading 1 81" xfId="5488" xr:uid="{00000000-0005-0000-0000-000090170000}"/>
    <cellStyle name="Heading 1 82" xfId="5489" xr:uid="{00000000-0005-0000-0000-000091170000}"/>
    <cellStyle name="Heading 1 83" xfId="5490" xr:uid="{00000000-0005-0000-0000-000092170000}"/>
    <cellStyle name="Heading 1 84" xfId="5491" xr:uid="{00000000-0005-0000-0000-000093170000}"/>
    <cellStyle name="Heading 1 85" xfId="5492" xr:uid="{00000000-0005-0000-0000-000094170000}"/>
    <cellStyle name="Heading 1 86" xfId="5493" xr:uid="{00000000-0005-0000-0000-000095170000}"/>
    <cellStyle name="Heading 1 87" xfId="5494" xr:uid="{00000000-0005-0000-0000-000096170000}"/>
    <cellStyle name="Heading 1 88" xfId="5495" xr:uid="{00000000-0005-0000-0000-000097170000}"/>
    <cellStyle name="Heading 1 89" xfId="5496" xr:uid="{00000000-0005-0000-0000-000098170000}"/>
    <cellStyle name="Heading 1 9" xfId="5497" xr:uid="{00000000-0005-0000-0000-000099170000}"/>
    <cellStyle name="Heading 1 9 2" xfId="5498" xr:uid="{00000000-0005-0000-0000-00009A170000}"/>
    <cellStyle name="Heading 1 90" xfId="5499" xr:uid="{00000000-0005-0000-0000-00009B170000}"/>
    <cellStyle name="Heading 1 91" xfId="5500" xr:uid="{00000000-0005-0000-0000-00009C170000}"/>
    <cellStyle name="Heading 1 92" xfId="5501" xr:uid="{00000000-0005-0000-0000-00009D170000}"/>
    <cellStyle name="Heading 1 93" xfId="5502" xr:uid="{00000000-0005-0000-0000-00009E170000}"/>
    <cellStyle name="Heading 1 94" xfId="5503" xr:uid="{00000000-0005-0000-0000-00009F170000}"/>
    <cellStyle name="Heading 1 95" xfId="5504" xr:uid="{00000000-0005-0000-0000-0000A0170000}"/>
    <cellStyle name="Heading 1 96" xfId="5505" xr:uid="{00000000-0005-0000-0000-0000A1170000}"/>
    <cellStyle name="Heading 1 97" xfId="5506" xr:uid="{00000000-0005-0000-0000-0000A2170000}"/>
    <cellStyle name="Heading 1 98" xfId="5507" xr:uid="{00000000-0005-0000-0000-0000A3170000}"/>
    <cellStyle name="Heading 1 99" xfId="5508" xr:uid="{00000000-0005-0000-0000-0000A4170000}"/>
    <cellStyle name="Heading 2 10" xfId="5509" xr:uid="{00000000-0005-0000-0000-0000A5170000}"/>
    <cellStyle name="Heading 2 10 2" xfId="5510" xr:uid="{00000000-0005-0000-0000-0000A6170000}"/>
    <cellStyle name="Heading 2 11" xfId="5511" xr:uid="{00000000-0005-0000-0000-0000A7170000}"/>
    <cellStyle name="Heading 2 11 2" xfId="5512" xr:uid="{00000000-0005-0000-0000-0000A8170000}"/>
    <cellStyle name="Heading 2 12" xfId="5513" xr:uid="{00000000-0005-0000-0000-0000A9170000}"/>
    <cellStyle name="Heading 2 12 2" xfId="5514" xr:uid="{00000000-0005-0000-0000-0000AA170000}"/>
    <cellStyle name="Heading 2 13" xfId="5515" xr:uid="{00000000-0005-0000-0000-0000AB170000}"/>
    <cellStyle name="Heading 2 13 2" xfId="5516" xr:uid="{00000000-0005-0000-0000-0000AC170000}"/>
    <cellStyle name="Heading 2 14" xfId="5517" xr:uid="{00000000-0005-0000-0000-0000AD170000}"/>
    <cellStyle name="Heading 2 14 2" xfId="5518" xr:uid="{00000000-0005-0000-0000-0000AE170000}"/>
    <cellStyle name="Heading 2 15" xfId="5519" xr:uid="{00000000-0005-0000-0000-0000AF170000}"/>
    <cellStyle name="Heading 2 15 2" xfId="5520" xr:uid="{00000000-0005-0000-0000-0000B0170000}"/>
    <cellStyle name="Heading 2 16" xfId="5521" xr:uid="{00000000-0005-0000-0000-0000B1170000}"/>
    <cellStyle name="Heading 2 16 2" xfId="5522" xr:uid="{00000000-0005-0000-0000-0000B2170000}"/>
    <cellStyle name="Heading 2 17" xfId="5523" xr:uid="{00000000-0005-0000-0000-0000B3170000}"/>
    <cellStyle name="Heading 2 17 2" xfId="5524" xr:uid="{00000000-0005-0000-0000-0000B4170000}"/>
    <cellStyle name="Heading 2 18" xfId="5525" xr:uid="{00000000-0005-0000-0000-0000B5170000}"/>
    <cellStyle name="Heading 2 18 2" xfId="5526" xr:uid="{00000000-0005-0000-0000-0000B6170000}"/>
    <cellStyle name="Heading 2 19" xfId="5527" xr:uid="{00000000-0005-0000-0000-0000B7170000}"/>
    <cellStyle name="Heading 2 19 2" xfId="5528" xr:uid="{00000000-0005-0000-0000-0000B8170000}"/>
    <cellStyle name="Heading 2 2" xfId="5529" xr:uid="{00000000-0005-0000-0000-0000B9170000}"/>
    <cellStyle name="Heading 2 2 10" xfId="5530" xr:uid="{00000000-0005-0000-0000-0000BA170000}"/>
    <cellStyle name="Heading 2 2 11" xfId="5531" xr:uid="{00000000-0005-0000-0000-0000BB170000}"/>
    <cellStyle name="Heading 2 2 12" xfId="5532" xr:uid="{00000000-0005-0000-0000-0000BC170000}"/>
    <cellStyle name="Heading 2 2 2" xfId="5533" xr:uid="{00000000-0005-0000-0000-0000BD170000}"/>
    <cellStyle name="Heading 2 2 3" xfId="5534" xr:uid="{00000000-0005-0000-0000-0000BE170000}"/>
    <cellStyle name="Heading 2 2 4" xfId="5535" xr:uid="{00000000-0005-0000-0000-0000BF170000}"/>
    <cellStyle name="Heading 2 2 5" xfId="5536" xr:uid="{00000000-0005-0000-0000-0000C0170000}"/>
    <cellStyle name="Heading 2 2 6" xfId="5537" xr:uid="{00000000-0005-0000-0000-0000C1170000}"/>
    <cellStyle name="Heading 2 2 7" xfId="5538" xr:uid="{00000000-0005-0000-0000-0000C2170000}"/>
    <cellStyle name="Heading 2 2 8" xfId="5539" xr:uid="{00000000-0005-0000-0000-0000C3170000}"/>
    <cellStyle name="Heading 2 2 9" xfId="5540" xr:uid="{00000000-0005-0000-0000-0000C4170000}"/>
    <cellStyle name="Heading 2 2_M_E Services _ Education" xfId="5541" xr:uid="{00000000-0005-0000-0000-0000C5170000}"/>
    <cellStyle name="Heading 2 20" xfId="5542" xr:uid="{00000000-0005-0000-0000-0000C6170000}"/>
    <cellStyle name="Heading 2 20 2" xfId="5543" xr:uid="{00000000-0005-0000-0000-0000C7170000}"/>
    <cellStyle name="Heading 2 21" xfId="5544" xr:uid="{00000000-0005-0000-0000-0000C8170000}"/>
    <cellStyle name="Heading 2 21 2" xfId="5545" xr:uid="{00000000-0005-0000-0000-0000C9170000}"/>
    <cellStyle name="Heading 2 22" xfId="5546" xr:uid="{00000000-0005-0000-0000-0000CA170000}"/>
    <cellStyle name="Heading 2 22 2" xfId="5547" xr:uid="{00000000-0005-0000-0000-0000CB170000}"/>
    <cellStyle name="Heading 2 23" xfId="5548" xr:uid="{00000000-0005-0000-0000-0000CC170000}"/>
    <cellStyle name="Heading 2 24" xfId="5549" xr:uid="{00000000-0005-0000-0000-0000CD170000}"/>
    <cellStyle name="Heading 2 25" xfId="5550" xr:uid="{00000000-0005-0000-0000-0000CE170000}"/>
    <cellStyle name="Heading 2 26" xfId="5551" xr:uid="{00000000-0005-0000-0000-0000CF170000}"/>
    <cellStyle name="Heading 2 27" xfId="5552" xr:uid="{00000000-0005-0000-0000-0000D0170000}"/>
    <cellStyle name="Heading 2 28" xfId="5553" xr:uid="{00000000-0005-0000-0000-0000D1170000}"/>
    <cellStyle name="Heading 2 29" xfId="5554" xr:uid="{00000000-0005-0000-0000-0000D2170000}"/>
    <cellStyle name="Heading 2 3" xfId="5555" xr:uid="{00000000-0005-0000-0000-0000D3170000}"/>
    <cellStyle name="Heading 2 3 10" xfId="5556" xr:uid="{00000000-0005-0000-0000-0000D4170000}"/>
    <cellStyle name="Heading 2 3 11" xfId="5557" xr:uid="{00000000-0005-0000-0000-0000D5170000}"/>
    <cellStyle name="Heading 2 3 12" xfId="5558" xr:uid="{00000000-0005-0000-0000-0000D6170000}"/>
    <cellStyle name="Heading 2 3 2" xfId="5559" xr:uid="{00000000-0005-0000-0000-0000D7170000}"/>
    <cellStyle name="Heading 2 3 3" xfId="5560" xr:uid="{00000000-0005-0000-0000-0000D8170000}"/>
    <cellStyle name="Heading 2 3 4" xfId="5561" xr:uid="{00000000-0005-0000-0000-0000D9170000}"/>
    <cellStyle name="Heading 2 3 5" xfId="5562" xr:uid="{00000000-0005-0000-0000-0000DA170000}"/>
    <cellStyle name="Heading 2 3 6" xfId="5563" xr:uid="{00000000-0005-0000-0000-0000DB170000}"/>
    <cellStyle name="Heading 2 3 7" xfId="5564" xr:uid="{00000000-0005-0000-0000-0000DC170000}"/>
    <cellStyle name="Heading 2 3 8" xfId="5565" xr:uid="{00000000-0005-0000-0000-0000DD170000}"/>
    <cellStyle name="Heading 2 3 9" xfId="5566" xr:uid="{00000000-0005-0000-0000-0000DE170000}"/>
    <cellStyle name="Heading 2 3_M_E Services _ Education" xfId="5567" xr:uid="{00000000-0005-0000-0000-0000DF170000}"/>
    <cellStyle name="Heading 2 30" xfId="5568" xr:uid="{00000000-0005-0000-0000-0000E0170000}"/>
    <cellStyle name="Heading 2 31" xfId="5569" xr:uid="{00000000-0005-0000-0000-0000E1170000}"/>
    <cellStyle name="Heading 2 32" xfId="5570" xr:uid="{00000000-0005-0000-0000-0000E2170000}"/>
    <cellStyle name="Heading 2 33" xfId="5571" xr:uid="{00000000-0005-0000-0000-0000E3170000}"/>
    <cellStyle name="Heading 2 34" xfId="5572" xr:uid="{00000000-0005-0000-0000-0000E4170000}"/>
    <cellStyle name="Heading 2 35" xfId="5573" xr:uid="{00000000-0005-0000-0000-0000E5170000}"/>
    <cellStyle name="Heading 2 36" xfId="5574" xr:uid="{00000000-0005-0000-0000-0000E6170000}"/>
    <cellStyle name="Heading 2 37" xfId="5575" xr:uid="{00000000-0005-0000-0000-0000E7170000}"/>
    <cellStyle name="Heading 2 38" xfId="5576" xr:uid="{00000000-0005-0000-0000-0000E8170000}"/>
    <cellStyle name="Heading 2 39" xfId="5577" xr:uid="{00000000-0005-0000-0000-0000E9170000}"/>
    <cellStyle name="Heading 2 4" xfId="5578" xr:uid="{00000000-0005-0000-0000-0000EA170000}"/>
    <cellStyle name="Heading 2 4 10" xfId="5579" xr:uid="{00000000-0005-0000-0000-0000EB170000}"/>
    <cellStyle name="Heading 2 4 11" xfId="5580" xr:uid="{00000000-0005-0000-0000-0000EC170000}"/>
    <cellStyle name="Heading 2 4 12" xfId="5581" xr:uid="{00000000-0005-0000-0000-0000ED170000}"/>
    <cellStyle name="Heading 2 4 2" xfId="5582" xr:uid="{00000000-0005-0000-0000-0000EE170000}"/>
    <cellStyle name="Heading 2 4 3" xfId="5583" xr:uid="{00000000-0005-0000-0000-0000EF170000}"/>
    <cellStyle name="Heading 2 4 4" xfId="5584" xr:uid="{00000000-0005-0000-0000-0000F0170000}"/>
    <cellStyle name="Heading 2 4 5" xfId="5585" xr:uid="{00000000-0005-0000-0000-0000F1170000}"/>
    <cellStyle name="Heading 2 4 6" xfId="5586" xr:uid="{00000000-0005-0000-0000-0000F2170000}"/>
    <cellStyle name="Heading 2 4 7" xfId="5587" xr:uid="{00000000-0005-0000-0000-0000F3170000}"/>
    <cellStyle name="Heading 2 4 8" xfId="5588" xr:uid="{00000000-0005-0000-0000-0000F4170000}"/>
    <cellStyle name="Heading 2 4 9" xfId="5589" xr:uid="{00000000-0005-0000-0000-0000F5170000}"/>
    <cellStyle name="Heading 2 40" xfId="5590" xr:uid="{00000000-0005-0000-0000-0000F6170000}"/>
    <cellStyle name="Heading 2 41" xfId="5591" xr:uid="{00000000-0005-0000-0000-0000F7170000}"/>
    <cellStyle name="Heading 2 42" xfId="5592" xr:uid="{00000000-0005-0000-0000-0000F8170000}"/>
    <cellStyle name="Heading 2 43" xfId="5593" xr:uid="{00000000-0005-0000-0000-0000F9170000}"/>
    <cellStyle name="Heading 2 44" xfId="5594" xr:uid="{00000000-0005-0000-0000-0000FA170000}"/>
    <cellStyle name="Heading 2 45" xfId="5595" xr:uid="{00000000-0005-0000-0000-0000FB170000}"/>
    <cellStyle name="Heading 2 46" xfId="5596" xr:uid="{00000000-0005-0000-0000-0000FC170000}"/>
    <cellStyle name="Heading 2 47" xfId="5597" xr:uid="{00000000-0005-0000-0000-0000FD170000}"/>
    <cellStyle name="Heading 2 48" xfId="5598" xr:uid="{00000000-0005-0000-0000-0000FE170000}"/>
    <cellStyle name="Heading 2 49" xfId="5599" xr:uid="{00000000-0005-0000-0000-0000FF170000}"/>
    <cellStyle name="Heading 2 5" xfId="5600" xr:uid="{00000000-0005-0000-0000-000000180000}"/>
    <cellStyle name="Heading 2 5 10" xfId="5601" xr:uid="{00000000-0005-0000-0000-000001180000}"/>
    <cellStyle name="Heading 2 5 11" xfId="5602" xr:uid="{00000000-0005-0000-0000-000002180000}"/>
    <cellStyle name="Heading 2 5 12" xfId="5603" xr:uid="{00000000-0005-0000-0000-000003180000}"/>
    <cellStyle name="Heading 2 5 2" xfId="5604" xr:uid="{00000000-0005-0000-0000-000004180000}"/>
    <cellStyle name="Heading 2 5 3" xfId="5605" xr:uid="{00000000-0005-0000-0000-000005180000}"/>
    <cellStyle name="Heading 2 5 4" xfId="5606" xr:uid="{00000000-0005-0000-0000-000006180000}"/>
    <cellStyle name="Heading 2 5 5" xfId="5607" xr:uid="{00000000-0005-0000-0000-000007180000}"/>
    <cellStyle name="Heading 2 5 6" xfId="5608" xr:uid="{00000000-0005-0000-0000-000008180000}"/>
    <cellStyle name="Heading 2 5 7" xfId="5609" xr:uid="{00000000-0005-0000-0000-000009180000}"/>
    <cellStyle name="Heading 2 5 8" xfId="5610" xr:uid="{00000000-0005-0000-0000-00000A180000}"/>
    <cellStyle name="Heading 2 5 9" xfId="5611" xr:uid="{00000000-0005-0000-0000-00000B180000}"/>
    <cellStyle name="Heading 2 50" xfId="5612" xr:uid="{00000000-0005-0000-0000-00000C180000}"/>
    <cellStyle name="Heading 2 51" xfId="5613" xr:uid="{00000000-0005-0000-0000-00000D180000}"/>
    <cellStyle name="Heading 2 52" xfId="5614" xr:uid="{00000000-0005-0000-0000-00000E180000}"/>
    <cellStyle name="Heading 2 53" xfId="5615" xr:uid="{00000000-0005-0000-0000-00000F180000}"/>
    <cellStyle name="Heading 2 54" xfId="5616" xr:uid="{00000000-0005-0000-0000-000010180000}"/>
    <cellStyle name="Heading 2 55" xfId="5617" xr:uid="{00000000-0005-0000-0000-000011180000}"/>
    <cellStyle name="Heading 2 56" xfId="5618" xr:uid="{00000000-0005-0000-0000-000012180000}"/>
    <cellStyle name="Heading 2 57" xfId="5619" xr:uid="{00000000-0005-0000-0000-000013180000}"/>
    <cellStyle name="Heading 2 58" xfId="5620" xr:uid="{00000000-0005-0000-0000-000014180000}"/>
    <cellStyle name="Heading 2 59" xfId="5621" xr:uid="{00000000-0005-0000-0000-000015180000}"/>
    <cellStyle name="Heading 2 6" xfId="5622" xr:uid="{00000000-0005-0000-0000-000016180000}"/>
    <cellStyle name="Heading 2 6 10" xfId="5623" xr:uid="{00000000-0005-0000-0000-000017180000}"/>
    <cellStyle name="Heading 2 6 11" xfId="5624" xr:uid="{00000000-0005-0000-0000-000018180000}"/>
    <cellStyle name="Heading 2 6 12" xfId="5625" xr:uid="{00000000-0005-0000-0000-000019180000}"/>
    <cellStyle name="Heading 2 6 2" xfId="5626" xr:uid="{00000000-0005-0000-0000-00001A180000}"/>
    <cellStyle name="Heading 2 6 3" xfId="5627" xr:uid="{00000000-0005-0000-0000-00001B180000}"/>
    <cellStyle name="Heading 2 6 4" xfId="5628" xr:uid="{00000000-0005-0000-0000-00001C180000}"/>
    <cellStyle name="Heading 2 6 5" xfId="5629" xr:uid="{00000000-0005-0000-0000-00001D180000}"/>
    <cellStyle name="Heading 2 6 6" xfId="5630" xr:uid="{00000000-0005-0000-0000-00001E180000}"/>
    <cellStyle name="Heading 2 6 7" xfId="5631" xr:uid="{00000000-0005-0000-0000-00001F180000}"/>
    <cellStyle name="Heading 2 6 8" xfId="5632" xr:uid="{00000000-0005-0000-0000-000020180000}"/>
    <cellStyle name="Heading 2 6 9" xfId="5633" xr:uid="{00000000-0005-0000-0000-000021180000}"/>
    <cellStyle name="Heading 2 60" xfId="5634" xr:uid="{00000000-0005-0000-0000-000022180000}"/>
    <cellStyle name="Heading 2 61" xfId="5635" xr:uid="{00000000-0005-0000-0000-000023180000}"/>
    <cellStyle name="Heading 2 62" xfId="5636" xr:uid="{00000000-0005-0000-0000-000024180000}"/>
    <cellStyle name="Heading 2 63" xfId="5637" xr:uid="{00000000-0005-0000-0000-000025180000}"/>
    <cellStyle name="Heading 2 64" xfId="5638" xr:uid="{00000000-0005-0000-0000-000026180000}"/>
    <cellStyle name="Heading 2 65" xfId="5639" xr:uid="{00000000-0005-0000-0000-000027180000}"/>
    <cellStyle name="Heading 2 66" xfId="5640" xr:uid="{00000000-0005-0000-0000-000028180000}"/>
    <cellStyle name="Heading 2 67" xfId="5641" xr:uid="{00000000-0005-0000-0000-000029180000}"/>
    <cellStyle name="Heading 2 68" xfId="5642" xr:uid="{00000000-0005-0000-0000-00002A180000}"/>
    <cellStyle name="Heading 2 69" xfId="5643" xr:uid="{00000000-0005-0000-0000-00002B180000}"/>
    <cellStyle name="Heading 2 7" xfId="5644" xr:uid="{00000000-0005-0000-0000-00002C180000}"/>
    <cellStyle name="Heading 2 7 10" xfId="5645" xr:uid="{00000000-0005-0000-0000-00002D180000}"/>
    <cellStyle name="Heading 2 7 11" xfId="5646" xr:uid="{00000000-0005-0000-0000-00002E180000}"/>
    <cellStyle name="Heading 2 7 12" xfId="5647" xr:uid="{00000000-0005-0000-0000-00002F180000}"/>
    <cellStyle name="Heading 2 7 2" xfId="5648" xr:uid="{00000000-0005-0000-0000-000030180000}"/>
    <cellStyle name="Heading 2 7 3" xfId="5649" xr:uid="{00000000-0005-0000-0000-000031180000}"/>
    <cellStyle name="Heading 2 7 4" xfId="5650" xr:uid="{00000000-0005-0000-0000-000032180000}"/>
    <cellStyle name="Heading 2 7 5" xfId="5651" xr:uid="{00000000-0005-0000-0000-000033180000}"/>
    <cellStyle name="Heading 2 7 6" xfId="5652" xr:uid="{00000000-0005-0000-0000-000034180000}"/>
    <cellStyle name="Heading 2 7 7" xfId="5653" xr:uid="{00000000-0005-0000-0000-000035180000}"/>
    <cellStyle name="Heading 2 7 8" xfId="5654" xr:uid="{00000000-0005-0000-0000-000036180000}"/>
    <cellStyle name="Heading 2 7 9" xfId="5655" xr:uid="{00000000-0005-0000-0000-000037180000}"/>
    <cellStyle name="Heading 2 70" xfId="5656" xr:uid="{00000000-0005-0000-0000-000038180000}"/>
    <cellStyle name="Heading 2 71" xfId="5657" xr:uid="{00000000-0005-0000-0000-000039180000}"/>
    <cellStyle name="Heading 2 72" xfId="5658" xr:uid="{00000000-0005-0000-0000-00003A180000}"/>
    <cellStyle name="Heading 2 73" xfId="5659" xr:uid="{00000000-0005-0000-0000-00003B180000}"/>
    <cellStyle name="Heading 2 74" xfId="5660" xr:uid="{00000000-0005-0000-0000-00003C180000}"/>
    <cellStyle name="Heading 2 75" xfId="5661" xr:uid="{00000000-0005-0000-0000-00003D180000}"/>
    <cellStyle name="Heading 2 76" xfId="5662" xr:uid="{00000000-0005-0000-0000-00003E180000}"/>
    <cellStyle name="Heading 2 77" xfId="5663" xr:uid="{00000000-0005-0000-0000-00003F180000}"/>
    <cellStyle name="Heading 2 78" xfId="5664" xr:uid="{00000000-0005-0000-0000-000040180000}"/>
    <cellStyle name="Heading 2 79" xfId="5665" xr:uid="{00000000-0005-0000-0000-000041180000}"/>
    <cellStyle name="Heading 2 8" xfId="5666" xr:uid="{00000000-0005-0000-0000-000042180000}"/>
    <cellStyle name="Heading 2 8 2" xfId="5667" xr:uid="{00000000-0005-0000-0000-000043180000}"/>
    <cellStyle name="Heading 2 80" xfId="5668" xr:uid="{00000000-0005-0000-0000-000044180000}"/>
    <cellStyle name="Heading 2 81" xfId="5669" xr:uid="{00000000-0005-0000-0000-000045180000}"/>
    <cellStyle name="Heading 2 82" xfId="5670" xr:uid="{00000000-0005-0000-0000-000046180000}"/>
    <cellStyle name="Heading 2 83" xfId="5671" xr:uid="{00000000-0005-0000-0000-000047180000}"/>
    <cellStyle name="Heading 2 84" xfId="5672" xr:uid="{00000000-0005-0000-0000-000048180000}"/>
    <cellStyle name="Heading 2 85" xfId="5673" xr:uid="{00000000-0005-0000-0000-000049180000}"/>
    <cellStyle name="Heading 2 86" xfId="5674" xr:uid="{00000000-0005-0000-0000-00004A180000}"/>
    <cellStyle name="Heading 2 87" xfId="5675" xr:uid="{00000000-0005-0000-0000-00004B180000}"/>
    <cellStyle name="Heading 2 88" xfId="5676" xr:uid="{00000000-0005-0000-0000-00004C180000}"/>
    <cellStyle name="Heading 2 89" xfId="5677" xr:uid="{00000000-0005-0000-0000-00004D180000}"/>
    <cellStyle name="Heading 2 9" xfId="5678" xr:uid="{00000000-0005-0000-0000-00004E180000}"/>
    <cellStyle name="Heading 2 9 2" xfId="5679" xr:uid="{00000000-0005-0000-0000-00004F180000}"/>
    <cellStyle name="Heading 2 90" xfId="5680" xr:uid="{00000000-0005-0000-0000-000050180000}"/>
    <cellStyle name="Heading 2 91" xfId="5681" xr:uid="{00000000-0005-0000-0000-000051180000}"/>
    <cellStyle name="Heading 2 92" xfId="5682" xr:uid="{00000000-0005-0000-0000-000052180000}"/>
    <cellStyle name="Heading 2 93" xfId="5683" xr:uid="{00000000-0005-0000-0000-000053180000}"/>
    <cellStyle name="Heading 2 94" xfId="5684" xr:uid="{00000000-0005-0000-0000-000054180000}"/>
    <cellStyle name="Heading 2 95" xfId="5685" xr:uid="{00000000-0005-0000-0000-000055180000}"/>
    <cellStyle name="Heading 2 96" xfId="5686" xr:uid="{00000000-0005-0000-0000-000056180000}"/>
    <cellStyle name="Heading 2 97" xfId="5687" xr:uid="{00000000-0005-0000-0000-000057180000}"/>
    <cellStyle name="Heading 2 98" xfId="5688" xr:uid="{00000000-0005-0000-0000-000058180000}"/>
    <cellStyle name="Heading 2 99" xfId="5689" xr:uid="{00000000-0005-0000-0000-000059180000}"/>
    <cellStyle name="Heading 3 10" xfId="5690" xr:uid="{00000000-0005-0000-0000-00005A180000}"/>
    <cellStyle name="Heading 3 10 2" xfId="5691" xr:uid="{00000000-0005-0000-0000-00005B180000}"/>
    <cellStyle name="Heading 3 11" xfId="5692" xr:uid="{00000000-0005-0000-0000-00005C180000}"/>
    <cellStyle name="Heading 3 11 2" xfId="5693" xr:uid="{00000000-0005-0000-0000-00005D180000}"/>
    <cellStyle name="Heading 3 12" xfId="5694" xr:uid="{00000000-0005-0000-0000-00005E180000}"/>
    <cellStyle name="Heading 3 12 2" xfId="5695" xr:uid="{00000000-0005-0000-0000-00005F180000}"/>
    <cellStyle name="Heading 3 13" xfId="5696" xr:uid="{00000000-0005-0000-0000-000060180000}"/>
    <cellStyle name="Heading 3 13 2" xfId="5697" xr:uid="{00000000-0005-0000-0000-000061180000}"/>
    <cellStyle name="Heading 3 14" xfId="5698" xr:uid="{00000000-0005-0000-0000-000062180000}"/>
    <cellStyle name="Heading 3 14 2" xfId="5699" xr:uid="{00000000-0005-0000-0000-000063180000}"/>
    <cellStyle name="Heading 3 15" xfId="5700" xr:uid="{00000000-0005-0000-0000-000064180000}"/>
    <cellStyle name="Heading 3 15 2" xfId="5701" xr:uid="{00000000-0005-0000-0000-000065180000}"/>
    <cellStyle name="Heading 3 16" xfId="5702" xr:uid="{00000000-0005-0000-0000-000066180000}"/>
    <cellStyle name="Heading 3 16 2" xfId="5703" xr:uid="{00000000-0005-0000-0000-000067180000}"/>
    <cellStyle name="Heading 3 17" xfId="5704" xr:uid="{00000000-0005-0000-0000-000068180000}"/>
    <cellStyle name="Heading 3 17 2" xfId="5705" xr:uid="{00000000-0005-0000-0000-000069180000}"/>
    <cellStyle name="Heading 3 18" xfId="5706" xr:uid="{00000000-0005-0000-0000-00006A180000}"/>
    <cellStyle name="Heading 3 18 2" xfId="5707" xr:uid="{00000000-0005-0000-0000-00006B180000}"/>
    <cellStyle name="Heading 3 19" xfId="5708" xr:uid="{00000000-0005-0000-0000-00006C180000}"/>
    <cellStyle name="Heading 3 19 2" xfId="5709" xr:uid="{00000000-0005-0000-0000-00006D180000}"/>
    <cellStyle name="Heading 3 2" xfId="5710" xr:uid="{00000000-0005-0000-0000-00006E180000}"/>
    <cellStyle name="Heading 3 2 2" xfId="5711" xr:uid="{00000000-0005-0000-0000-00006F180000}"/>
    <cellStyle name="Heading 3 20" xfId="5712" xr:uid="{00000000-0005-0000-0000-000070180000}"/>
    <cellStyle name="Heading 3 20 2" xfId="5713" xr:uid="{00000000-0005-0000-0000-000071180000}"/>
    <cellStyle name="Heading 3 21" xfId="5714" xr:uid="{00000000-0005-0000-0000-000072180000}"/>
    <cellStyle name="Heading 3 21 2" xfId="5715" xr:uid="{00000000-0005-0000-0000-000073180000}"/>
    <cellStyle name="Heading 3 22" xfId="5716" xr:uid="{00000000-0005-0000-0000-000074180000}"/>
    <cellStyle name="Heading 3 22 2" xfId="5717" xr:uid="{00000000-0005-0000-0000-000075180000}"/>
    <cellStyle name="Heading 3 23" xfId="5718" xr:uid="{00000000-0005-0000-0000-000076180000}"/>
    <cellStyle name="Heading 3 3" xfId="5719" xr:uid="{00000000-0005-0000-0000-000077180000}"/>
    <cellStyle name="Heading 3 3 2" xfId="5720" xr:uid="{00000000-0005-0000-0000-000078180000}"/>
    <cellStyle name="Heading 3 4" xfId="5721" xr:uid="{00000000-0005-0000-0000-000079180000}"/>
    <cellStyle name="Heading 3 4 2" xfId="5722" xr:uid="{00000000-0005-0000-0000-00007A180000}"/>
    <cellStyle name="Heading 3 5" xfId="5723" xr:uid="{00000000-0005-0000-0000-00007B180000}"/>
    <cellStyle name="Heading 3 5 2" xfId="5724" xr:uid="{00000000-0005-0000-0000-00007C180000}"/>
    <cellStyle name="Heading 3 6" xfId="5725" xr:uid="{00000000-0005-0000-0000-00007D180000}"/>
    <cellStyle name="Heading 3 6 2" xfId="5726" xr:uid="{00000000-0005-0000-0000-00007E180000}"/>
    <cellStyle name="Heading 3 7" xfId="5727" xr:uid="{00000000-0005-0000-0000-00007F180000}"/>
    <cellStyle name="Heading 3 7 2" xfId="5728" xr:uid="{00000000-0005-0000-0000-000080180000}"/>
    <cellStyle name="Heading 3 8" xfId="5729" xr:uid="{00000000-0005-0000-0000-000081180000}"/>
    <cellStyle name="Heading 3 8 2" xfId="5730" xr:uid="{00000000-0005-0000-0000-000082180000}"/>
    <cellStyle name="Heading 3 9" xfId="5731" xr:uid="{00000000-0005-0000-0000-000083180000}"/>
    <cellStyle name="Heading 3 9 2" xfId="5732" xr:uid="{00000000-0005-0000-0000-000084180000}"/>
    <cellStyle name="Heading 4 10" xfId="5733" xr:uid="{00000000-0005-0000-0000-000085180000}"/>
    <cellStyle name="Heading 4 10 2" xfId="5734" xr:uid="{00000000-0005-0000-0000-000086180000}"/>
    <cellStyle name="Heading 4 11" xfId="5735" xr:uid="{00000000-0005-0000-0000-000087180000}"/>
    <cellStyle name="Heading 4 11 2" xfId="5736" xr:uid="{00000000-0005-0000-0000-000088180000}"/>
    <cellStyle name="Heading 4 12" xfId="5737" xr:uid="{00000000-0005-0000-0000-000089180000}"/>
    <cellStyle name="Heading 4 12 2" xfId="5738" xr:uid="{00000000-0005-0000-0000-00008A180000}"/>
    <cellStyle name="Heading 4 13" xfId="5739" xr:uid="{00000000-0005-0000-0000-00008B180000}"/>
    <cellStyle name="Heading 4 13 2" xfId="5740" xr:uid="{00000000-0005-0000-0000-00008C180000}"/>
    <cellStyle name="Heading 4 14" xfId="5741" xr:uid="{00000000-0005-0000-0000-00008D180000}"/>
    <cellStyle name="Heading 4 14 2" xfId="5742" xr:uid="{00000000-0005-0000-0000-00008E180000}"/>
    <cellStyle name="Heading 4 15" xfId="5743" xr:uid="{00000000-0005-0000-0000-00008F180000}"/>
    <cellStyle name="Heading 4 15 2" xfId="5744" xr:uid="{00000000-0005-0000-0000-000090180000}"/>
    <cellStyle name="Heading 4 16" xfId="5745" xr:uid="{00000000-0005-0000-0000-000091180000}"/>
    <cellStyle name="Heading 4 16 2" xfId="5746" xr:uid="{00000000-0005-0000-0000-000092180000}"/>
    <cellStyle name="Heading 4 17" xfId="5747" xr:uid="{00000000-0005-0000-0000-000093180000}"/>
    <cellStyle name="Heading 4 17 2" xfId="5748" xr:uid="{00000000-0005-0000-0000-000094180000}"/>
    <cellStyle name="Heading 4 18" xfId="5749" xr:uid="{00000000-0005-0000-0000-000095180000}"/>
    <cellStyle name="Heading 4 18 2" xfId="5750" xr:uid="{00000000-0005-0000-0000-000096180000}"/>
    <cellStyle name="Heading 4 19" xfId="5751" xr:uid="{00000000-0005-0000-0000-000097180000}"/>
    <cellStyle name="Heading 4 19 2" xfId="5752" xr:uid="{00000000-0005-0000-0000-000098180000}"/>
    <cellStyle name="Heading 4 2" xfId="5753" xr:uid="{00000000-0005-0000-0000-000099180000}"/>
    <cellStyle name="Heading 4 2 2" xfId="5754" xr:uid="{00000000-0005-0000-0000-00009A180000}"/>
    <cellStyle name="Heading 4 20" xfId="5755" xr:uid="{00000000-0005-0000-0000-00009B180000}"/>
    <cellStyle name="Heading 4 20 2" xfId="5756" xr:uid="{00000000-0005-0000-0000-00009C180000}"/>
    <cellStyle name="Heading 4 21" xfId="5757" xr:uid="{00000000-0005-0000-0000-00009D180000}"/>
    <cellStyle name="Heading 4 21 2" xfId="5758" xr:uid="{00000000-0005-0000-0000-00009E180000}"/>
    <cellStyle name="Heading 4 22" xfId="5759" xr:uid="{00000000-0005-0000-0000-00009F180000}"/>
    <cellStyle name="Heading 4 22 2" xfId="5760" xr:uid="{00000000-0005-0000-0000-0000A0180000}"/>
    <cellStyle name="Heading 4 23" xfId="5761" xr:uid="{00000000-0005-0000-0000-0000A1180000}"/>
    <cellStyle name="Heading 4 3" xfId="5762" xr:uid="{00000000-0005-0000-0000-0000A2180000}"/>
    <cellStyle name="Heading 4 3 2" xfId="5763" xr:uid="{00000000-0005-0000-0000-0000A3180000}"/>
    <cellStyle name="Heading 4 4" xfId="5764" xr:uid="{00000000-0005-0000-0000-0000A4180000}"/>
    <cellStyle name="Heading 4 4 2" xfId="5765" xr:uid="{00000000-0005-0000-0000-0000A5180000}"/>
    <cellStyle name="Heading 4 5" xfId="5766" xr:uid="{00000000-0005-0000-0000-0000A6180000}"/>
    <cellStyle name="Heading 4 5 2" xfId="5767" xr:uid="{00000000-0005-0000-0000-0000A7180000}"/>
    <cellStyle name="Heading 4 6" xfId="5768" xr:uid="{00000000-0005-0000-0000-0000A8180000}"/>
    <cellStyle name="Heading 4 6 2" xfId="5769" xr:uid="{00000000-0005-0000-0000-0000A9180000}"/>
    <cellStyle name="Heading 4 7" xfId="5770" xr:uid="{00000000-0005-0000-0000-0000AA180000}"/>
    <cellStyle name="Heading 4 7 2" xfId="5771" xr:uid="{00000000-0005-0000-0000-0000AB180000}"/>
    <cellStyle name="Heading 4 8" xfId="5772" xr:uid="{00000000-0005-0000-0000-0000AC180000}"/>
    <cellStyle name="Heading 4 8 2" xfId="5773" xr:uid="{00000000-0005-0000-0000-0000AD180000}"/>
    <cellStyle name="Heading 4 9" xfId="5774" xr:uid="{00000000-0005-0000-0000-0000AE180000}"/>
    <cellStyle name="Heading 4 9 2" xfId="5775" xr:uid="{00000000-0005-0000-0000-0000AF180000}"/>
    <cellStyle name="HEADING1" xfId="5776" xr:uid="{00000000-0005-0000-0000-0000B0180000}"/>
    <cellStyle name="Heading1 1" xfId="5777" xr:uid="{00000000-0005-0000-0000-0000B1180000}"/>
    <cellStyle name="Heading1 1 1" xfId="5778" xr:uid="{00000000-0005-0000-0000-0000B2180000}"/>
    <cellStyle name="Heading1 10" xfId="5779" xr:uid="{00000000-0005-0000-0000-0000B3180000}"/>
    <cellStyle name="Heading1 100" xfId="5780" xr:uid="{00000000-0005-0000-0000-0000B4180000}"/>
    <cellStyle name="Heading1 101" xfId="5781" xr:uid="{00000000-0005-0000-0000-0000B5180000}"/>
    <cellStyle name="Heading1 102" xfId="5782" xr:uid="{00000000-0005-0000-0000-0000B6180000}"/>
    <cellStyle name="Heading1 103" xfId="5783" xr:uid="{00000000-0005-0000-0000-0000B7180000}"/>
    <cellStyle name="Heading1 104" xfId="5784" xr:uid="{00000000-0005-0000-0000-0000B8180000}"/>
    <cellStyle name="Heading1 105" xfId="5785" xr:uid="{00000000-0005-0000-0000-0000B9180000}"/>
    <cellStyle name="Heading1 106" xfId="5786" xr:uid="{00000000-0005-0000-0000-0000BA180000}"/>
    <cellStyle name="Heading1 107" xfId="5787" xr:uid="{00000000-0005-0000-0000-0000BB180000}"/>
    <cellStyle name="Heading1 108" xfId="5788" xr:uid="{00000000-0005-0000-0000-0000BC180000}"/>
    <cellStyle name="Heading1 109" xfId="5789" xr:uid="{00000000-0005-0000-0000-0000BD180000}"/>
    <cellStyle name="Heading1 11" xfId="5790" xr:uid="{00000000-0005-0000-0000-0000BE180000}"/>
    <cellStyle name="Heading1 110" xfId="5791" xr:uid="{00000000-0005-0000-0000-0000BF180000}"/>
    <cellStyle name="Heading1 111" xfId="5792" xr:uid="{00000000-0005-0000-0000-0000C0180000}"/>
    <cellStyle name="Heading1 12" xfId="5793" xr:uid="{00000000-0005-0000-0000-0000C1180000}"/>
    <cellStyle name="Heading1 13" xfId="5794" xr:uid="{00000000-0005-0000-0000-0000C2180000}"/>
    <cellStyle name="Heading1 14" xfId="5795" xr:uid="{00000000-0005-0000-0000-0000C3180000}"/>
    <cellStyle name="Heading1 15" xfId="5796" xr:uid="{00000000-0005-0000-0000-0000C4180000}"/>
    <cellStyle name="Heading1 16" xfId="5797" xr:uid="{00000000-0005-0000-0000-0000C5180000}"/>
    <cellStyle name="Heading1 17" xfId="5798" xr:uid="{00000000-0005-0000-0000-0000C6180000}"/>
    <cellStyle name="Heading1 18" xfId="5799" xr:uid="{00000000-0005-0000-0000-0000C7180000}"/>
    <cellStyle name="Heading1 19" xfId="5800" xr:uid="{00000000-0005-0000-0000-0000C8180000}"/>
    <cellStyle name="Heading1 2" xfId="5801" xr:uid="{00000000-0005-0000-0000-0000C9180000}"/>
    <cellStyle name="Heading1 20" xfId="5802" xr:uid="{00000000-0005-0000-0000-0000CA180000}"/>
    <cellStyle name="Heading1 21" xfId="5803" xr:uid="{00000000-0005-0000-0000-0000CB180000}"/>
    <cellStyle name="Heading1 22" xfId="5804" xr:uid="{00000000-0005-0000-0000-0000CC180000}"/>
    <cellStyle name="Heading1 23" xfId="5805" xr:uid="{00000000-0005-0000-0000-0000CD180000}"/>
    <cellStyle name="Heading1 24" xfId="5806" xr:uid="{00000000-0005-0000-0000-0000CE180000}"/>
    <cellStyle name="Heading1 25" xfId="5807" xr:uid="{00000000-0005-0000-0000-0000CF180000}"/>
    <cellStyle name="Heading1 26" xfId="5808" xr:uid="{00000000-0005-0000-0000-0000D0180000}"/>
    <cellStyle name="Heading1 27" xfId="5809" xr:uid="{00000000-0005-0000-0000-0000D1180000}"/>
    <cellStyle name="Heading1 28" xfId="5810" xr:uid="{00000000-0005-0000-0000-0000D2180000}"/>
    <cellStyle name="Heading1 29" xfId="5811" xr:uid="{00000000-0005-0000-0000-0000D3180000}"/>
    <cellStyle name="Heading1 3" xfId="5812" xr:uid="{00000000-0005-0000-0000-0000D4180000}"/>
    <cellStyle name="Heading1 30" xfId="5813" xr:uid="{00000000-0005-0000-0000-0000D5180000}"/>
    <cellStyle name="Heading1 31" xfId="5814" xr:uid="{00000000-0005-0000-0000-0000D6180000}"/>
    <cellStyle name="Heading1 32" xfId="5815" xr:uid="{00000000-0005-0000-0000-0000D7180000}"/>
    <cellStyle name="Heading1 33" xfId="5816" xr:uid="{00000000-0005-0000-0000-0000D8180000}"/>
    <cellStyle name="Heading1 34" xfId="5817" xr:uid="{00000000-0005-0000-0000-0000D9180000}"/>
    <cellStyle name="Heading1 35" xfId="5818" xr:uid="{00000000-0005-0000-0000-0000DA180000}"/>
    <cellStyle name="Heading1 36" xfId="5819" xr:uid="{00000000-0005-0000-0000-0000DB180000}"/>
    <cellStyle name="Heading1 37" xfId="5820" xr:uid="{00000000-0005-0000-0000-0000DC180000}"/>
    <cellStyle name="Heading1 38" xfId="5821" xr:uid="{00000000-0005-0000-0000-0000DD180000}"/>
    <cellStyle name="Heading1 39" xfId="5822" xr:uid="{00000000-0005-0000-0000-0000DE180000}"/>
    <cellStyle name="Heading1 4" xfId="5823" xr:uid="{00000000-0005-0000-0000-0000DF180000}"/>
    <cellStyle name="Heading1 40" xfId="5824" xr:uid="{00000000-0005-0000-0000-0000E0180000}"/>
    <cellStyle name="Heading1 41" xfId="5825" xr:uid="{00000000-0005-0000-0000-0000E1180000}"/>
    <cellStyle name="Heading1 42" xfId="5826" xr:uid="{00000000-0005-0000-0000-0000E2180000}"/>
    <cellStyle name="Heading1 43" xfId="5827" xr:uid="{00000000-0005-0000-0000-0000E3180000}"/>
    <cellStyle name="Heading1 44" xfId="5828" xr:uid="{00000000-0005-0000-0000-0000E4180000}"/>
    <cellStyle name="Heading1 45" xfId="5829" xr:uid="{00000000-0005-0000-0000-0000E5180000}"/>
    <cellStyle name="Heading1 46" xfId="5830" xr:uid="{00000000-0005-0000-0000-0000E6180000}"/>
    <cellStyle name="Heading1 47" xfId="5831" xr:uid="{00000000-0005-0000-0000-0000E7180000}"/>
    <cellStyle name="Heading1 48" xfId="5832" xr:uid="{00000000-0005-0000-0000-0000E8180000}"/>
    <cellStyle name="Heading1 49" xfId="5833" xr:uid="{00000000-0005-0000-0000-0000E9180000}"/>
    <cellStyle name="Heading1 5" xfId="5834" xr:uid="{00000000-0005-0000-0000-0000EA180000}"/>
    <cellStyle name="Heading1 50" xfId="5835" xr:uid="{00000000-0005-0000-0000-0000EB180000}"/>
    <cellStyle name="Heading1 51" xfId="5836" xr:uid="{00000000-0005-0000-0000-0000EC180000}"/>
    <cellStyle name="Heading1 52" xfId="5837" xr:uid="{00000000-0005-0000-0000-0000ED180000}"/>
    <cellStyle name="Heading1 53" xfId="5838" xr:uid="{00000000-0005-0000-0000-0000EE180000}"/>
    <cellStyle name="Heading1 54" xfId="5839" xr:uid="{00000000-0005-0000-0000-0000EF180000}"/>
    <cellStyle name="Heading1 55" xfId="5840" xr:uid="{00000000-0005-0000-0000-0000F0180000}"/>
    <cellStyle name="Heading1 56" xfId="5841" xr:uid="{00000000-0005-0000-0000-0000F1180000}"/>
    <cellStyle name="Heading1 57" xfId="5842" xr:uid="{00000000-0005-0000-0000-0000F2180000}"/>
    <cellStyle name="Heading1 58" xfId="5843" xr:uid="{00000000-0005-0000-0000-0000F3180000}"/>
    <cellStyle name="Heading1 59" xfId="5844" xr:uid="{00000000-0005-0000-0000-0000F4180000}"/>
    <cellStyle name="Heading1 6" xfId="5845" xr:uid="{00000000-0005-0000-0000-0000F5180000}"/>
    <cellStyle name="Heading1 60" xfId="5846" xr:uid="{00000000-0005-0000-0000-0000F6180000}"/>
    <cellStyle name="Heading1 61" xfId="5847" xr:uid="{00000000-0005-0000-0000-0000F7180000}"/>
    <cellStyle name="Heading1 62" xfId="5848" xr:uid="{00000000-0005-0000-0000-0000F8180000}"/>
    <cellStyle name="Heading1 63" xfId="5849" xr:uid="{00000000-0005-0000-0000-0000F9180000}"/>
    <cellStyle name="Heading1 64" xfId="5850" xr:uid="{00000000-0005-0000-0000-0000FA180000}"/>
    <cellStyle name="Heading1 65" xfId="5851" xr:uid="{00000000-0005-0000-0000-0000FB180000}"/>
    <cellStyle name="Heading1 66" xfId="5852" xr:uid="{00000000-0005-0000-0000-0000FC180000}"/>
    <cellStyle name="Heading1 67" xfId="5853" xr:uid="{00000000-0005-0000-0000-0000FD180000}"/>
    <cellStyle name="Heading1 68" xfId="5854" xr:uid="{00000000-0005-0000-0000-0000FE180000}"/>
    <cellStyle name="Heading1 69" xfId="5855" xr:uid="{00000000-0005-0000-0000-0000FF180000}"/>
    <cellStyle name="Heading1 7" xfId="5856" xr:uid="{00000000-0005-0000-0000-000000190000}"/>
    <cellStyle name="Heading1 70" xfId="5857" xr:uid="{00000000-0005-0000-0000-000001190000}"/>
    <cellStyle name="Heading1 71" xfId="5858" xr:uid="{00000000-0005-0000-0000-000002190000}"/>
    <cellStyle name="Heading1 72" xfId="5859" xr:uid="{00000000-0005-0000-0000-000003190000}"/>
    <cellStyle name="Heading1 73" xfId="5860" xr:uid="{00000000-0005-0000-0000-000004190000}"/>
    <cellStyle name="Heading1 74" xfId="5861" xr:uid="{00000000-0005-0000-0000-000005190000}"/>
    <cellStyle name="Heading1 75" xfId="5862" xr:uid="{00000000-0005-0000-0000-000006190000}"/>
    <cellStyle name="Heading1 76" xfId="5863" xr:uid="{00000000-0005-0000-0000-000007190000}"/>
    <cellStyle name="Heading1 77" xfId="5864" xr:uid="{00000000-0005-0000-0000-000008190000}"/>
    <cellStyle name="Heading1 78" xfId="5865" xr:uid="{00000000-0005-0000-0000-000009190000}"/>
    <cellStyle name="Heading1 79" xfId="5866" xr:uid="{00000000-0005-0000-0000-00000A190000}"/>
    <cellStyle name="Heading1 8" xfId="5867" xr:uid="{00000000-0005-0000-0000-00000B190000}"/>
    <cellStyle name="Heading1 80" xfId="5868" xr:uid="{00000000-0005-0000-0000-00000C190000}"/>
    <cellStyle name="Heading1 81" xfId="5869" xr:uid="{00000000-0005-0000-0000-00000D190000}"/>
    <cellStyle name="Heading1 82" xfId="5870" xr:uid="{00000000-0005-0000-0000-00000E190000}"/>
    <cellStyle name="Heading1 83" xfId="5871" xr:uid="{00000000-0005-0000-0000-00000F190000}"/>
    <cellStyle name="Heading1 84" xfId="5872" xr:uid="{00000000-0005-0000-0000-000010190000}"/>
    <cellStyle name="Heading1 85" xfId="5873" xr:uid="{00000000-0005-0000-0000-000011190000}"/>
    <cellStyle name="Heading1 86" xfId="5874" xr:uid="{00000000-0005-0000-0000-000012190000}"/>
    <cellStyle name="Heading1 87" xfId="5875" xr:uid="{00000000-0005-0000-0000-000013190000}"/>
    <cellStyle name="Heading1 88" xfId="5876" xr:uid="{00000000-0005-0000-0000-000014190000}"/>
    <cellStyle name="Heading1 89" xfId="5877" xr:uid="{00000000-0005-0000-0000-000015190000}"/>
    <cellStyle name="Heading1 9" xfId="5878" xr:uid="{00000000-0005-0000-0000-000016190000}"/>
    <cellStyle name="Heading1 90" xfId="5879" xr:uid="{00000000-0005-0000-0000-000017190000}"/>
    <cellStyle name="Heading1 91" xfId="5880" xr:uid="{00000000-0005-0000-0000-000018190000}"/>
    <cellStyle name="Heading1 92" xfId="5881" xr:uid="{00000000-0005-0000-0000-000019190000}"/>
    <cellStyle name="Heading1 93" xfId="5882" xr:uid="{00000000-0005-0000-0000-00001A190000}"/>
    <cellStyle name="Heading1 94" xfId="5883" xr:uid="{00000000-0005-0000-0000-00001B190000}"/>
    <cellStyle name="Heading1 95" xfId="5884" xr:uid="{00000000-0005-0000-0000-00001C190000}"/>
    <cellStyle name="Heading1 96" xfId="5885" xr:uid="{00000000-0005-0000-0000-00001D190000}"/>
    <cellStyle name="Heading1 97" xfId="5886" xr:uid="{00000000-0005-0000-0000-00001E190000}"/>
    <cellStyle name="Heading1 98" xfId="5887" xr:uid="{00000000-0005-0000-0000-00001F190000}"/>
    <cellStyle name="Heading1 99" xfId="5888" xr:uid="{00000000-0005-0000-0000-000020190000}"/>
    <cellStyle name="HEADING2" xfId="5889" xr:uid="{00000000-0005-0000-0000-000021190000}"/>
    <cellStyle name="Heading2 10" xfId="5890" xr:uid="{00000000-0005-0000-0000-000022190000}"/>
    <cellStyle name="Heading2 100" xfId="5891" xr:uid="{00000000-0005-0000-0000-000023190000}"/>
    <cellStyle name="Heading2 101" xfId="5892" xr:uid="{00000000-0005-0000-0000-000024190000}"/>
    <cellStyle name="Heading2 102" xfId="5893" xr:uid="{00000000-0005-0000-0000-000025190000}"/>
    <cellStyle name="Heading2 103" xfId="5894" xr:uid="{00000000-0005-0000-0000-000026190000}"/>
    <cellStyle name="Heading2 104" xfId="5895" xr:uid="{00000000-0005-0000-0000-000027190000}"/>
    <cellStyle name="Heading2 105" xfId="5896" xr:uid="{00000000-0005-0000-0000-000028190000}"/>
    <cellStyle name="Heading2 106" xfId="5897" xr:uid="{00000000-0005-0000-0000-000029190000}"/>
    <cellStyle name="Heading2 107" xfId="5898" xr:uid="{00000000-0005-0000-0000-00002A190000}"/>
    <cellStyle name="Heading2 108" xfId="5899" xr:uid="{00000000-0005-0000-0000-00002B190000}"/>
    <cellStyle name="Heading2 109" xfId="5900" xr:uid="{00000000-0005-0000-0000-00002C190000}"/>
    <cellStyle name="Heading2 11" xfId="5901" xr:uid="{00000000-0005-0000-0000-00002D190000}"/>
    <cellStyle name="Heading2 110" xfId="5902" xr:uid="{00000000-0005-0000-0000-00002E190000}"/>
    <cellStyle name="Heading2 111" xfId="5903" xr:uid="{00000000-0005-0000-0000-00002F190000}"/>
    <cellStyle name="Heading2 12" xfId="5904" xr:uid="{00000000-0005-0000-0000-000030190000}"/>
    <cellStyle name="Heading2 13" xfId="5905" xr:uid="{00000000-0005-0000-0000-000031190000}"/>
    <cellStyle name="Heading2 14" xfId="5906" xr:uid="{00000000-0005-0000-0000-000032190000}"/>
    <cellStyle name="Heading2 15" xfId="5907" xr:uid="{00000000-0005-0000-0000-000033190000}"/>
    <cellStyle name="Heading2 16" xfId="5908" xr:uid="{00000000-0005-0000-0000-000034190000}"/>
    <cellStyle name="Heading2 17" xfId="5909" xr:uid="{00000000-0005-0000-0000-000035190000}"/>
    <cellStyle name="Heading2 18" xfId="5910" xr:uid="{00000000-0005-0000-0000-000036190000}"/>
    <cellStyle name="Heading2 19" xfId="5911" xr:uid="{00000000-0005-0000-0000-000037190000}"/>
    <cellStyle name="Heading2 2" xfId="5912" xr:uid="{00000000-0005-0000-0000-000038190000}"/>
    <cellStyle name="Heading2 20" xfId="5913" xr:uid="{00000000-0005-0000-0000-000039190000}"/>
    <cellStyle name="Heading2 21" xfId="5914" xr:uid="{00000000-0005-0000-0000-00003A190000}"/>
    <cellStyle name="Heading2 22" xfId="5915" xr:uid="{00000000-0005-0000-0000-00003B190000}"/>
    <cellStyle name="Heading2 23" xfId="5916" xr:uid="{00000000-0005-0000-0000-00003C190000}"/>
    <cellStyle name="Heading2 24" xfId="5917" xr:uid="{00000000-0005-0000-0000-00003D190000}"/>
    <cellStyle name="Heading2 25" xfId="5918" xr:uid="{00000000-0005-0000-0000-00003E190000}"/>
    <cellStyle name="Heading2 26" xfId="5919" xr:uid="{00000000-0005-0000-0000-00003F190000}"/>
    <cellStyle name="Heading2 27" xfId="5920" xr:uid="{00000000-0005-0000-0000-000040190000}"/>
    <cellStyle name="Heading2 28" xfId="5921" xr:uid="{00000000-0005-0000-0000-000041190000}"/>
    <cellStyle name="Heading2 29" xfId="5922" xr:uid="{00000000-0005-0000-0000-000042190000}"/>
    <cellStyle name="Heading2 3" xfId="5923" xr:uid="{00000000-0005-0000-0000-000043190000}"/>
    <cellStyle name="Heading2 30" xfId="5924" xr:uid="{00000000-0005-0000-0000-000044190000}"/>
    <cellStyle name="Heading2 31" xfId="5925" xr:uid="{00000000-0005-0000-0000-000045190000}"/>
    <cellStyle name="Heading2 32" xfId="5926" xr:uid="{00000000-0005-0000-0000-000046190000}"/>
    <cellStyle name="Heading2 33" xfId="5927" xr:uid="{00000000-0005-0000-0000-000047190000}"/>
    <cellStyle name="Heading2 34" xfId="5928" xr:uid="{00000000-0005-0000-0000-000048190000}"/>
    <cellStyle name="Heading2 35" xfId="5929" xr:uid="{00000000-0005-0000-0000-000049190000}"/>
    <cellStyle name="Heading2 36" xfId="5930" xr:uid="{00000000-0005-0000-0000-00004A190000}"/>
    <cellStyle name="Heading2 37" xfId="5931" xr:uid="{00000000-0005-0000-0000-00004B190000}"/>
    <cellStyle name="Heading2 38" xfId="5932" xr:uid="{00000000-0005-0000-0000-00004C190000}"/>
    <cellStyle name="Heading2 39" xfId="5933" xr:uid="{00000000-0005-0000-0000-00004D190000}"/>
    <cellStyle name="Heading2 4" xfId="5934" xr:uid="{00000000-0005-0000-0000-00004E190000}"/>
    <cellStyle name="Heading2 40" xfId="5935" xr:uid="{00000000-0005-0000-0000-00004F190000}"/>
    <cellStyle name="Heading2 41" xfId="5936" xr:uid="{00000000-0005-0000-0000-000050190000}"/>
    <cellStyle name="Heading2 42" xfId="5937" xr:uid="{00000000-0005-0000-0000-000051190000}"/>
    <cellStyle name="Heading2 43" xfId="5938" xr:uid="{00000000-0005-0000-0000-000052190000}"/>
    <cellStyle name="Heading2 44" xfId="5939" xr:uid="{00000000-0005-0000-0000-000053190000}"/>
    <cellStyle name="Heading2 45" xfId="5940" xr:uid="{00000000-0005-0000-0000-000054190000}"/>
    <cellStyle name="Heading2 46" xfId="5941" xr:uid="{00000000-0005-0000-0000-000055190000}"/>
    <cellStyle name="Heading2 47" xfId="5942" xr:uid="{00000000-0005-0000-0000-000056190000}"/>
    <cellStyle name="Heading2 48" xfId="5943" xr:uid="{00000000-0005-0000-0000-000057190000}"/>
    <cellStyle name="Heading2 49" xfId="5944" xr:uid="{00000000-0005-0000-0000-000058190000}"/>
    <cellStyle name="Heading2 5" xfId="5945" xr:uid="{00000000-0005-0000-0000-000059190000}"/>
    <cellStyle name="Heading2 50" xfId="5946" xr:uid="{00000000-0005-0000-0000-00005A190000}"/>
    <cellStyle name="Heading2 51" xfId="5947" xr:uid="{00000000-0005-0000-0000-00005B190000}"/>
    <cellStyle name="Heading2 52" xfId="5948" xr:uid="{00000000-0005-0000-0000-00005C190000}"/>
    <cellStyle name="Heading2 53" xfId="5949" xr:uid="{00000000-0005-0000-0000-00005D190000}"/>
    <cellStyle name="Heading2 54" xfId="5950" xr:uid="{00000000-0005-0000-0000-00005E190000}"/>
    <cellStyle name="Heading2 55" xfId="5951" xr:uid="{00000000-0005-0000-0000-00005F190000}"/>
    <cellStyle name="Heading2 56" xfId="5952" xr:uid="{00000000-0005-0000-0000-000060190000}"/>
    <cellStyle name="Heading2 57" xfId="5953" xr:uid="{00000000-0005-0000-0000-000061190000}"/>
    <cellStyle name="Heading2 58" xfId="5954" xr:uid="{00000000-0005-0000-0000-000062190000}"/>
    <cellStyle name="Heading2 59" xfId="5955" xr:uid="{00000000-0005-0000-0000-000063190000}"/>
    <cellStyle name="Heading2 6" xfId="5956" xr:uid="{00000000-0005-0000-0000-000064190000}"/>
    <cellStyle name="Heading2 60" xfId="5957" xr:uid="{00000000-0005-0000-0000-000065190000}"/>
    <cellStyle name="Heading2 61" xfId="5958" xr:uid="{00000000-0005-0000-0000-000066190000}"/>
    <cellStyle name="Heading2 62" xfId="5959" xr:uid="{00000000-0005-0000-0000-000067190000}"/>
    <cellStyle name="Heading2 63" xfId="5960" xr:uid="{00000000-0005-0000-0000-000068190000}"/>
    <cellStyle name="Heading2 64" xfId="5961" xr:uid="{00000000-0005-0000-0000-000069190000}"/>
    <cellStyle name="Heading2 65" xfId="5962" xr:uid="{00000000-0005-0000-0000-00006A190000}"/>
    <cellStyle name="Heading2 66" xfId="5963" xr:uid="{00000000-0005-0000-0000-00006B190000}"/>
    <cellStyle name="Heading2 67" xfId="5964" xr:uid="{00000000-0005-0000-0000-00006C190000}"/>
    <cellStyle name="Heading2 68" xfId="5965" xr:uid="{00000000-0005-0000-0000-00006D190000}"/>
    <cellStyle name="Heading2 69" xfId="5966" xr:uid="{00000000-0005-0000-0000-00006E190000}"/>
    <cellStyle name="Heading2 7" xfId="5967" xr:uid="{00000000-0005-0000-0000-00006F190000}"/>
    <cellStyle name="Heading2 70" xfId="5968" xr:uid="{00000000-0005-0000-0000-000070190000}"/>
    <cellStyle name="Heading2 71" xfId="5969" xr:uid="{00000000-0005-0000-0000-000071190000}"/>
    <cellStyle name="Heading2 72" xfId="5970" xr:uid="{00000000-0005-0000-0000-000072190000}"/>
    <cellStyle name="Heading2 73" xfId="5971" xr:uid="{00000000-0005-0000-0000-000073190000}"/>
    <cellStyle name="Heading2 74" xfId="5972" xr:uid="{00000000-0005-0000-0000-000074190000}"/>
    <cellStyle name="Heading2 75" xfId="5973" xr:uid="{00000000-0005-0000-0000-000075190000}"/>
    <cellStyle name="Heading2 76" xfId="5974" xr:uid="{00000000-0005-0000-0000-000076190000}"/>
    <cellStyle name="Heading2 77" xfId="5975" xr:uid="{00000000-0005-0000-0000-000077190000}"/>
    <cellStyle name="Heading2 78" xfId="5976" xr:uid="{00000000-0005-0000-0000-000078190000}"/>
    <cellStyle name="Heading2 79" xfId="5977" xr:uid="{00000000-0005-0000-0000-000079190000}"/>
    <cellStyle name="Heading2 8" xfId="5978" xr:uid="{00000000-0005-0000-0000-00007A190000}"/>
    <cellStyle name="Heading2 80" xfId="5979" xr:uid="{00000000-0005-0000-0000-00007B190000}"/>
    <cellStyle name="Heading2 81" xfId="5980" xr:uid="{00000000-0005-0000-0000-00007C190000}"/>
    <cellStyle name="Heading2 82" xfId="5981" xr:uid="{00000000-0005-0000-0000-00007D190000}"/>
    <cellStyle name="Heading2 83" xfId="5982" xr:uid="{00000000-0005-0000-0000-00007E190000}"/>
    <cellStyle name="Heading2 84" xfId="5983" xr:uid="{00000000-0005-0000-0000-00007F190000}"/>
    <cellStyle name="Heading2 85" xfId="5984" xr:uid="{00000000-0005-0000-0000-000080190000}"/>
    <cellStyle name="Heading2 86" xfId="5985" xr:uid="{00000000-0005-0000-0000-000081190000}"/>
    <cellStyle name="Heading2 87" xfId="5986" xr:uid="{00000000-0005-0000-0000-000082190000}"/>
    <cellStyle name="Heading2 88" xfId="5987" xr:uid="{00000000-0005-0000-0000-000083190000}"/>
    <cellStyle name="Heading2 89" xfId="5988" xr:uid="{00000000-0005-0000-0000-000084190000}"/>
    <cellStyle name="Heading2 9" xfId="5989" xr:uid="{00000000-0005-0000-0000-000085190000}"/>
    <cellStyle name="Heading2 90" xfId="5990" xr:uid="{00000000-0005-0000-0000-000086190000}"/>
    <cellStyle name="Heading2 91" xfId="5991" xr:uid="{00000000-0005-0000-0000-000087190000}"/>
    <cellStyle name="Heading2 92" xfId="5992" xr:uid="{00000000-0005-0000-0000-000088190000}"/>
    <cellStyle name="Heading2 93" xfId="5993" xr:uid="{00000000-0005-0000-0000-000089190000}"/>
    <cellStyle name="Heading2 94" xfId="5994" xr:uid="{00000000-0005-0000-0000-00008A190000}"/>
    <cellStyle name="Heading2 95" xfId="5995" xr:uid="{00000000-0005-0000-0000-00008B190000}"/>
    <cellStyle name="Heading2 96" xfId="5996" xr:uid="{00000000-0005-0000-0000-00008C190000}"/>
    <cellStyle name="Heading2 97" xfId="5997" xr:uid="{00000000-0005-0000-0000-00008D190000}"/>
    <cellStyle name="Heading2 98" xfId="5998" xr:uid="{00000000-0005-0000-0000-00008E190000}"/>
    <cellStyle name="Heading2 99" xfId="5999" xr:uid="{00000000-0005-0000-0000-00008F190000}"/>
    <cellStyle name="HEADINGS" xfId="6000" xr:uid="{00000000-0005-0000-0000-000090190000}"/>
    <cellStyle name="HEADINGSTOP" xfId="6001" xr:uid="{00000000-0005-0000-0000-000091190000}"/>
    <cellStyle name="headoption" xfId="6002" xr:uid="{00000000-0005-0000-0000-000092190000}"/>
    <cellStyle name="headoption 2" xfId="6003" xr:uid="{00000000-0005-0000-0000-000093190000}"/>
    <cellStyle name="headoption 2 2" xfId="10831" xr:uid="{00000000-0005-0000-0000-000094190000}"/>
    <cellStyle name="headoption 2 2 2" xfId="10832" xr:uid="{00000000-0005-0000-0000-000095190000}"/>
    <cellStyle name="headoption 2 3" xfId="10833" xr:uid="{00000000-0005-0000-0000-000096190000}"/>
    <cellStyle name="headoption 2 4" xfId="10834" xr:uid="{00000000-0005-0000-0000-000097190000}"/>
    <cellStyle name="headoption 3" xfId="10835" xr:uid="{00000000-0005-0000-0000-000098190000}"/>
    <cellStyle name="headoption 3 2" xfId="10836" xr:uid="{00000000-0005-0000-0000-000099190000}"/>
    <cellStyle name="headoption 4" xfId="10837" xr:uid="{00000000-0005-0000-0000-00009A190000}"/>
    <cellStyle name="headoption 5" xfId="10838" xr:uid="{00000000-0005-0000-0000-00009B190000}"/>
    <cellStyle name="Headqng2_KL-DOT2A_CUA_Caitao" xfId="6004" xr:uid="{00000000-0005-0000-0000-00009C190000}"/>
    <cellStyle name="HIDE" xfId="6005" xr:uid="{00000000-0005-0000-0000-00009D190000}"/>
    <cellStyle name="HIGHLIGHT" xfId="6006" xr:uid="{00000000-0005-0000-0000-00009E190000}"/>
    <cellStyle name="Hoa-Scholl" xfId="6007" xr:uid="{00000000-0005-0000-0000-00009F190000}"/>
    <cellStyle name="Hoa-Scholl 2" xfId="6008" xr:uid="{00000000-0005-0000-0000-0000A0190000}"/>
    <cellStyle name="Hoa-Scholl 2 2" xfId="10839" xr:uid="{00000000-0005-0000-0000-0000A1190000}"/>
    <cellStyle name="Hoa-Scholl 2 2 2" xfId="10840" xr:uid="{00000000-0005-0000-0000-0000A2190000}"/>
    <cellStyle name="Hoa-Scholl 2 3" xfId="10841" xr:uid="{00000000-0005-0000-0000-0000A3190000}"/>
    <cellStyle name="Hoa-Scholl 2 4" xfId="10842" xr:uid="{00000000-0005-0000-0000-0000A4190000}"/>
    <cellStyle name="Hoa-Scholl 3" xfId="10843" xr:uid="{00000000-0005-0000-0000-0000A5190000}"/>
    <cellStyle name="Hoa-Scholl 3 2" xfId="10844" xr:uid="{00000000-0005-0000-0000-0000A6190000}"/>
    <cellStyle name="Hoa-Scholl 4" xfId="10845" xr:uid="{00000000-0005-0000-0000-0000A7190000}"/>
    <cellStyle name="Hoa-Scholl 5" xfId="10846" xr:uid="{00000000-0005-0000-0000-0000A8190000}"/>
    <cellStyle name="HUY" xfId="6009" xr:uid="{00000000-0005-0000-0000-0000A9190000}"/>
    <cellStyle name="HUY 2" xfId="6010" xr:uid="{00000000-0005-0000-0000-0000AA190000}"/>
    <cellStyle name="HUY 3" xfId="6011" xr:uid="{00000000-0005-0000-0000-0000AB190000}"/>
    <cellStyle name="Hyperlink 2" xfId="6012" xr:uid="{00000000-0005-0000-0000-0000AC190000}"/>
    <cellStyle name="Hyperlink 3" xfId="14635" xr:uid="{CF3A7EF8-1145-4778-ADDA-976833D67A3B}"/>
    <cellStyle name="i·0" xfId="6013" xr:uid="{00000000-0005-0000-0000-0000AD190000}"/>
    <cellStyle name="i·0 2" xfId="6014" xr:uid="{00000000-0005-0000-0000-0000AE190000}"/>
    <cellStyle name="i·0??????????_x0003_?_x0010__x0001_??Luu??9JS—_x0008_??????????????????ò_x0001_????&lt;i·0???" xfId="6015" xr:uid="{00000000-0005-0000-0000-0000AF190000}"/>
    <cellStyle name="i·0??????????_x0007_?_x0010__x0001_??PrintDT??9JS—_x0008_??????????????????¼_x0001_????&lt;i·" xfId="6016" xr:uid="{00000000-0005-0000-0000-0000B0190000}"/>
    <cellStyle name="i·0_M_E Services _ Education" xfId="6017" xr:uid="{00000000-0005-0000-0000-0000B1190000}"/>
    <cellStyle name="_x0001_í½?" xfId="6018" xr:uid="{00000000-0005-0000-0000-0000B2190000}"/>
    <cellStyle name="_x0001_íå_x001b_ô " xfId="6019" xr:uid="{00000000-0005-0000-0000-0000B3190000}"/>
    <cellStyle name="_x0001_íå_x001b_ô_" xfId="6020" xr:uid="{00000000-0005-0000-0000-0000B4190000}"/>
    <cellStyle name="Index" xfId="14556" xr:uid="{F5959FB7-EA56-49D7-A606-B725AAF661E8}"/>
    <cellStyle name="Input [yellow]" xfId="6021" xr:uid="{00000000-0005-0000-0000-0000B5190000}"/>
    <cellStyle name="Input [yellow] 2" xfId="6022" xr:uid="{00000000-0005-0000-0000-0000B6190000}"/>
    <cellStyle name="Input [yellow] 2 2" xfId="10847" xr:uid="{00000000-0005-0000-0000-0000B7190000}"/>
    <cellStyle name="Input [yellow] 2 2 2" xfId="10848" xr:uid="{00000000-0005-0000-0000-0000B8190000}"/>
    <cellStyle name="Input [yellow] 2 3" xfId="10849" xr:uid="{00000000-0005-0000-0000-0000B9190000}"/>
    <cellStyle name="Input [yellow] 2 4" xfId="10850" xr:uid="{00000000-0005-0000-0000-0000BA190000}"/>
    <cellStyle name="Input [yellow] 3" xfId="10851" xr:uid="{00000000-0005-0000-0000-0000BB190000}"/>
    <cellStyle name="Input [yellow] 3 2" xfId="10852" xr:uid="{00000000-0005-0000-0000-0000BC190000}"/>
    <cellStyle name="Input [yellow] 4" xfId="10853" xr:uid="{00000000-0005-0000-0000-0000BD190000}"/>
    <cellStyle name="Input [yellow] 5" xfId="10854" xr:uid="{00000000-0005-0000-0000-0000BE190000}"/>
    <cellStyle name="Input 10" xfId="6023" xr:uid="{00000000-0005-0000-0000-0000BF190000}"/>
    <cellStyle name="Input 10 2" xfId="6024" xr:uid="{00000000-0005-0000-0000-0000C0190000}"/>
    <cellStyle name="Input 10 2 2" xfId="6025" xr:uid="{00000000-0005-0000-0000-0000C1190000}"/>
    <cellStyle name="Input 10 2 2 2" xfId="10855" xr:uid="{00000000-0005-0000-0000-0000C2190000}"/>
    <cellStyle name="Input 10 2 2 2 2" xfId="10856" xr:uid="{00000000-0005-0000-0000-0000C3190000}"/>
    <cellStyle name="Input 10 2 2 3" xfId="10857" xr:uid="{00000000-0005-0000-0000-0000C4190000}"/>
    <cellStyle name="Input 10 2 3" xfId="10858" xr:uid="{00000000-0005-0000-0000-0000C5190000}"/>
    <cellStyle name="Input 10 2 3 2" xfId="10859" xr:uid="{00000000-0005-0000-0000-0000C6190000}"/>
    <cellStyle name="Input 10 2 4" xfId="10860" xr:uid="{00000000-0005-0000-0000-0000C7190000}"/>
    <cellStyle name="Input 10 3" xfId="6026" xr:uid="{00000000-0005-0000-0000-0000C8190000}"/>
    <cellStyle name="Input 10 3 2" xfId="10861" xr:uid="{00000000-0005-0000-0000-0000C9190000}"/>
    <cellStyle name="Input 10 3 2 2" xfId="10862" xr:uid="{00000000-0005-0000-0000-0000CA190000}"/>
    <cellStyle name="Input 10 3 3" xfId="10863" xr:uid="{00000000-0005-0000-0000-0000CB190000}"/>
    <cellStyle name="Input 10 4" xfId="10864" xr:uid="{00000000-0005-0000-0000-0000CC190000}"/>
    <cellStyle name="Input 10 4 2" xfId="10865" xr:uid="{00000000-0005-0000-0000-0000CD190000}"/>
    <cellStyle name="Input 10 5" xfId="10866" xr:uid="{00000000-0005-0000-0000-0000CE190000}"/>
    <cellStyle name="Input 11" xfId="6027" xr:uid="{00000000-0005-0000-0000-0000CF190000}"/>
    <cellStyle name="Input 11 2" xfId="6028" xr:uid="{00000000-0005-0000-0000-0000D0190000}"/>
    <cellStyle name="Input 11 2 2" xfId="6029" xr:uid="{00000000-0005-0000-0000-0000D1190000}"/>
    <cellStyle name="Input 11 2 2 2" xfId="10867" xr:uid="{00000000-0005-0000-0000-0000D2190000}"/>
    <cellStyle name="Input 11 2 2 2 2" xfId="10868" xr:uid="{00000000-0005-0000-0000-0000D3190000}"/>
    <cellStyle name="Input 11 2 2 3" xfId="10869" xr:uid="{00000000-0005-0000-0000-0000D4190000}"/>
    <cellStyle name="Input 11 2 3" xfId="10870" xr:uid="{00000000-0005-0000-0000-0000D5190000}"/>
    <cellStyle name="Input 11 2 3 2" xfId="10871" xr:uid="{00000000-0005-0000-0000-0000D6190000}"/>
    <cellStyle name="Input 11 2 4" xfId="10872" xr:uid="{00000000-0005-0000-0000-0000D7190000}"/>
    <cellStyle name="Input 11 3" xfId="6030" xr:uid="{00000000-0005-0000-0000-0000D8190000}"/>
    <cellStyle name="Input 11 3 2" xfId="10873" xr:uid="{00000000-0005-0000-0000-0000D9190000}"/>
    <cellStyle name="Input 11 3 2 2" xfId="10874" xr:uid="{00000000-0005-0000-0000-0000DA190000}"/>
    <cellStyle name="Input 11 3 3" xfId="10875" xr:uid="{00000000-0005-0000-0000-0000DB190000}"/>
    <cellStyle name="Input 11 4" xfId="10876" xr:uid="{00000000-0005-0000-0000-0000DC190000}"/>
    <cellStyle name="Input 11 4 2" xfId="10877" xr:uid="{00000000-0005-0000-0000-0000DD190000}"/>
    <cellStyle name="Input 11 5" xfId="10878" xr:uid="{00000000-0005-0000-0000-0000DE190000}"/>
    <cellStyle name="Input 12" xfId="6031" xr:uid="{00000000-0005-0000-0000-0000DF190000}"/>
    <cellStyle name="Input 12 2" xfId="6032" xr:uid="{00000000-0005-0000-0000-0000E0190000}"/>
    <cellStyle name="Input 12 2 2" xfId="6033" xr:uid="{00000000-0005-0000-0000-0000E1190000}"/>
    <cellStyle name="Input 12 2 2 2" xfId="10879" xr:uid="{00000000-0005-0000-0000-0000E2190000}"/>
    <cellStyle name="Input 12 2 2 2 2" xfId="10880" xr:uid="{00000000-0005-0000-0000-0000E3190000}"/>
    <cellStyle name="Input 12 2 2 3" xfId="10881" xr:uid="{00000000-0005-0000-0000-0000E4190000}"/>
    <cellStyle name="Input 12 2 3" xfId="10882" xr:uid="{00000000-0005-0000-0000-0000E5190000}"/>
    <cellStyle name="Input 12 2 3 2" xfId="10883" xr:uid="{00000000-0005-0000-0000-0000E6190000}"/>
    <cellStyle name="Input 12 2 4" xfId="10884" xr:uid="{00000000-0005-0000-0000-0000E7190000}"/>
    <cellStyle name="Input 12 3" xfId="6034" xr:uid="{00000000-0005-0000-0000-0000E8190000}"/>
    <cellStyle name="Input 12 3 2" xfId="10885" xr:uid="{00000000-0005-0000-0000-0000E9190000}"/>
    <cellStyle name="Input 12 3 2 2" xfId="10886" xr:uid="{00000000-0005-0000-0000-0000EA190000}"/>
    <cellStyle name="Input 12 3 3" xfId="10887" xr:uid="{00000000-0005-0000-0000-0000EB190000}"/>
    <cellStyle name="Input 12 4" xfId="10888" xr:uid="{00000000-0005-0000-0000-0000EC190000}"/>
    <cellStyle name="Input 12 4 2" xfId="10889" xr:uid="{00000000-0005-0000-0000-0000ED190000}"/>
    <cellStyle name="Input 12 5" xfId="10890" xr:uid="{00000000-0005-0000-0000-0000EE190000}"/>
    <cellStyle name="Input 13" xfId="6035" xr:uid="{00000000-0005-0000-0000-0000EF190000}"/>
    <cellStyle name="Input 13 2" xfId="6036" xr:uid="{00000000-0005-0000-0000-0000F0190000}"/>
    <cellStyle name="Input 13 2 2" xfId="6037" xr:uid="{00000000-0005-0000-0000-0000F1190000}"/>
    <cellStyle name="Input 13 2 2 2" xfId="10891" xr:uid="{00000000-0005-0000-0000-0000F2190000}"/>
    <cellStyle name="Input 13 2 2 2 2" xfId="10892" xr:uid="{00000000-0005-0000-0000-0000F3190000}"/>
    <cellStyle name="Input 13 2 2 3" xfId="10893" xr:uid="{00000000-0005-0000-0000-0000F4190000}"/>
    <cellStyle name="Input 13 2 3" xfId="10894" xr:uid="{00000000-0005-0000-0000-0000F5190000}"/>
    <cellStyle name="Input 13 2 3 2" xfId="10895" xr:uid="{00000000-0005-0000-0000-0000F6190000}"/>
    <cellStyle name="Input 13 2 4" xfId="10896" xr:uid="{00000000-0005-0000-0000-0000F7190000}"/>
    <cellStyle name="Input 13 3" xfId="6038" xr:uid="{00000000-0005-0000-0000-0000F8190000}"/>
    <cellStyle name="Input 13 3 2" xfId="10897" xr:uid="{00000000-0005-0000-0000-0000F9190000}"/>
    <cellStyle name="Input 13 3 2 2" xfId="10898" xr:uid="{00000000-0005-0000-0000-0000FA190000}"/>
    <cellStyle name="Input 13 3 3" xfId="10899" xr:uid="{00000000-0005-0000-0000-0000FB190000}"/>
    <cellStyle name="Input 13 4" xfId="10900" xr:uid="{00000000-0005-0000-0000-0000FC190000}"/>
    <cellStyle name="Input 13 4 2" xfId="10901" xr:uid="{00000000-0005-0000-0000-0000FD190000}"/>
    <cellStyle name="Input 13 5" xfId="10902" xr:uid="{00000000-0005-0000-0000-0000FE190000}"/>
    <cellStyle name="Input 14" xfId="6039" xr:uid="{00000000-0005-0000-0000-0000FF190000}"/>
    <cellStyle name="Input 14 2" xfId="6040" xr:uid="{00000000-0005-0000-0000-0000001A0000}"/>
    <cellStyle name="Input 14 2 2" xfId="6041" xr:uid="{00000000-0005-0000-0000-0000011A0000}"/>
    <cellStyle name="Input 14 2 2 2" xfId="10903" xr:uid="{00000000-0005-0000-0000-0000021A0000}"/>
    <cellStyle name="Input 14 2 2 2 2" xfId="10904" xr:uid="{00000000-0005-0000-0000-0000031A0000}"/>
    <cellStyle name="Input 14 2 2 3" xfId="10905" xr:uid="{00000000-0005-0000-0000-0000041A0000}"/>
    <cellStyle name="Input 14 2 3" xfId="10906" xr:uid="{00000000-0005-0000-0000-0000051A0000}"/>
    <cellStyle name="Input 14 2 3 2" xfId="10907" xr:uid="{00000000-0005-0000-0000-0000061A0000}"/>
    <cellStyle name="Input 14 2 4" xfId="10908" xr:uid="{00000000-0005-0000-0000-0000071A0000}"/>
    <cellStyle name="Input 14 3" xfId="6042" xr:uid="{00000000-0005-0000-0000-0000081A0000}"/>
    <cellStyle name="Input 14 3 2" xfId="10909" xr:uid="{00000000-0005-0000-0000-0000091A0000}"/>
    <cellStyle name="Input 14 3 2 2" xfId="10910" xr:uid="{00000000-0005-0000-0000-00000A1A0000}"/>
    <cellStyle name="Input 14 3 3" xfId="10911" xr:uid="{00000000-0005-0000-0000-00000B1A0000}"/>
    <cellStyle name="Input 14 4" xfId="10912" xr:uid="{00000000-0005-0000-0000-00000C1A0000}"/>
    <cellStyle name="Input 14 4 2" xfId="10913" xr:uid="{00000000-0005-0000-0000-00000D1A0000}"/>
    <cellStyle name="Input 14 5" xfId="10914" xr:uid="{00000000-0005-0000-0000-00000E1A0000}"/>
    <cellStyle name="Input 15" xfId="6043" xr:uid="{00000000-0005-0000-0000-00000F1A0000}"/>
    <cellStyle name="Input 15 2" xfId="6044" xr:uid="{00000000-0005-0000-0000-0000101A0000}"/>
    <cellStyle name="Input 15 2 2" xfId="6045" xr:uid="{00000000-0005-0000-0000-0000111A0000}"/>
    <cellStyle name="Input 15 2 2 2" xfId="10915" xr:uid="{00000000-0005-0000-0000-0000121A0000}"/>
    <cellStyle name="Input 15 2 2 2 2" xfId="10916" xr:uid="{00000000-0005-0000-0000-0000131A0000}"/>
    <cellStyle name="Input 15 2 2 3" xfId="10917" xr:uid="{00000000-0005-0000-0000-0000141A0000}"/>
    <cellStyle name="Input 15 2 3" xfId="10918" xr:uid="{00000000-0005-0000-0000-0000151A0000}"/>
    <cellStyle name="Input 15 2 3 2" xfId="10919" xr:uid="{00000000-0005-0000-0000-0000161A0000}"/>
    <cellStyle name="Input 15 2 4" xfId="10920" xr:uid="{00000000-0005-0000-0000-0000171A0000}"/>
    <cellStyle name="Input 15 3" xfId="6046" xr:uid="{00000000-0005-0000-0000-0000181A0000}"/>
    <cellStyle name="Input 15 3 2" xfId="10921" xr:uid="{00000000-0005-0000-0000-0000191A0000}"/>
    <cellStyle name="Input 15 3 2 2" xfId="10922" xr:uid="{00000000-0005-0000-0000-00001A1A0000}"/>
    <cellStyle name="Input 15 3 3" xfId="10923" xr:uid="{00000000-0005-0000-0000-00001B1A0000}"/>
    <cellStyle name="Input 15 4" xfId="10924" xr:uid="{00000000-0005-0000-0000-00001C1A0000}"/>
    <cellStyle name="Input 15 4 2" xfId="10925" xr:uid="{00000000-0005-0000-0000-00001D1A0000}"/>
    <cellStyle name="Input 15 5" xfId="10926" xr:uid="{00000000-0005-0000-0000-00001E1A0000}"/>
    <cellStyle name="Input 16" xfId="6047" xr:uid="{00000000-0005-0000-0000-00001F1A0000}"/>
    <cellStyle name="Input 16 2" xfId="6048" xr:uid="{00000000-0005-0000-0000-0000201A0000}"/>
    <cellStyle name="Input 16 2 2" xfId="6049" xr:uid="{00000000-0005-0000-0000-0000211A0000}"/>
    <cellStyle name="Input 16 2 2 2" xfId="10927" xr:uid="{00000000-0005-0000-0000-0000221A0000}"/>
    <cellStyle name="Input 16 2 2 2 2" xfId="10928" xr:uid="{00000000-0005-0000-0000-0000231A0000}"/>
    <cellStyle name="Input 16 2 2 3" xfId="10929" xr:uid="{00000000-0005-0000-0000-0000241A0000}"/>
    <cellStyle name="Input 16 2 3" xfId="10930" xr:uid="{00000000-0005-0000-0000-0000251A0000}"/>
    <cellStyle name="Input 16 2 3 2" xfId="10931" xr:uid="{00000000-0005-0000-0000-0000261A0000}"/>
    <cellStyle name="Input 16 2 4" xfId="10932" xr:uid="{00000000-0005-0000-0000-0000271A0000}"/>
    <cellStyle name="Input 16 3" xfId="6050" xr:uid="{00000000-0005-0000-0000-0000281A0000}"/>
    <cellStyle name="Input 16 3 2" xfId="10933" xr:uid="{00000000-0005-0000-0000-0000291A0000}"/>
    <cellStyle name="Input 16 3 2 2" xfId="10934" xr:uid="{00000000-0005-0000-0000-00002A1A0000}"/>
    <cellStyle name="Input 16 3 3" xfId="10935" xr:uid="{00000000-0005-0000-0000-00002B1A0000}"/>
    <cellStyle name="Input 16 4" xfId="10936" xr:uid="{00000000-0005-0000-0000-00002C1A0000}"/>
    <cellStyle name="Input 16 4 2" xfId="10937" xr:uid="{00000000-0005-0000-0000-00002D1A0000}"/>
    <cellStyle name="Input 16 5" xfId="10938" xr:uid="{00000000-0005-0000-0000-00002E1A0000}"/>
    <cellStyle name="Input 17" xfId="6051" xr:uid="{00000000-0005-0000-0000-00002F1A0000}"/>
    <cellStyle name="Input 17 2" xfId="6052" xr:uid="{00000000-0005-0000-0000-0000301A0000}"/>
    <cellStyle name="Input 17 2 2" xfId="6053" xr:uid="{00000000-0005-0000-0000-0000311A0000}"/>
    <cellStyle name="Input 17 2 2 2" xfId="10939" xr:uid="{00000000-0005-0000-0000-0000321A0000}"/>
    <cellStyle name="Input 17 2 2 2 2" xfId="10940" xr:uid="{00000000-0005-0000-0000-0000331A0000}"/>
    <cellStyle name="Input 17 2 2 3" xfId="10941" xr:uid="{00000000-0005-0000-0000-0000341A0000}"/>
    <cellStyle name="Input 17 2 3" xfId="10942" xr:uid="{00000000-0005-0000-0000-0000351A0000}"/>
    <cellStyle name="Input 17 2 3 2" xfId="10943" xr:uid="{00000000-0005-0000-0000-0000361A0000}"/>
    <cellStyle name="Input 17 2 4" xfId="10944" xr:uid="{00000000-0005-0000-0000-0000371A0000}"/>
    <cellStyle name="Input 17 3" xfId="6054" xr:uid="{00000000-0005-0000-0000-0000381A0000}"/>
    <cellStyle name="Input 17 3 2" xfId="10945" xr:uid="{00000000-0005-0000-0000-0000391A0000}"/>
    <cellStyle name="Input 17 3 2 2" xfId="10946" xr:uid="{00000000-0005-0000-0000-00003A1A0000}"/>
    <cellStyle name="Input 17 3 3" xfId="10947" xr:uid="{00000000-0005-0000-0000-00003B1A0000}"/>
    <cellStyle name="Input 17 4" xfId="10948" xr:uid="{00000000-0005-0000-0000-00003C1A0000}"/>
    <cellStyle name="Input 17 4 2" xfId="10949" xr:uid="{00000000-0005-0000-0000-00003D1A0000}"/>
    <cellStyle name="Input 17 5" xfId="10950" xr:uid="{00000000-0005-0000-0000-00003E1A0000}"/>
    <cellStyle name="Input 18" xfId="6055" xr:uid="{00000000-0005-0000-0000-00003F1A0000}"/>
    <cellStyle name="Input 18 2" xfId="6056" xr:uid="{00000000-0005-0000-0000-0000401A0000}"/>
    <cellStyle name="Input 18 2 2" xfId="6057" xr:uid="{00000000-0005-0000-0000-0000411A0000}"/>
    <cellStyle name="Input 18 2 2 2" xfId="10951" xr:uid="{00000000-0005-0000-0000-0000421A0000}"/>
    <cellStyle name="Input 18 2 2 2 2" xfId="10952" xr:uid="{00000000-0005-0000-0000-0000431A0000}"/>
    <cellStyle name="Input 18 2 2 3" xfId="10953" xr:uid="{00000000-0005-0000-0000-0000441A0000}"/>
    <cellStyle name="Input 18 2 3" xfId="10954" xr:uid="{00000000-0005-0000-0000-0000451A0000}"/>
    <cellStyle name="Input 18 2 3 2" xfId="10955" xr:uid="{00000000-0005-0000-0000-0000461A0000}"/>
    <cellStyle name="Input 18 2 4" xfId="10956" xr:uid="{00000000-0005-0000-0000-0000471A0000}"/>
    <cellStyle name="Input 18 3" xfId="6058" xr:uid="{00000000-0005-0000-0000-0000481A0000}"/>
    <cellStyle name="Input 18 3 2" xfId="10957" xr:uid="{00000000-0005-0000-0000-0000491A0000}"/>
    <cellStyle name="Input 18 3 2 2" xfId="10958" xr:uid="{00000000-0005-0000-0000-00004A1A0000}"/>
    <cellStyle name="Input 18 3 3" xfId="10959" xr:uid="{00000000-0005-0000-0000-00004B1A0000}"/>
    <cellStyle name="Input 18 4" xfId="10960" xr:uid="{00000000-0005-0000-0000-00004C1A0000}"/>
    <cellStyle name="Input 18 4 2" xfId="10961" xr:uid="{00000000-0005-0000-0000-00004D1A0000}"/>
    <cellStyle name="Input 18 5" xfId="10962" xr:uid="{00000000-0005-0000-0000-00004E1A0000}"/>
    <cellStyle name="Input 19" xfId="6059" xr:uid="{00000000-0005-0000-0000-00004F1A0000}"/>
    <cellStyle name="Input 19 2" xfId="6060" xr:uid="{00000000-0005-0000-0000-0000501A0000}"/>
    <cellStyle name="Input 19 2 2" xfId="6061" xr:uid="{00000000-0005-0000-0000-0000511A0000}"/>
    <cellStyle name="Input 19 2 2 2" xfId="10963" xr:uid="{00000000-0005-0000-0000-0000521A0000}"/>
    <cellStyle name="Input 19 2 2 2 2" xfId="10964" xr:uid="{00000000-0005-0000-0000-0000531A0000}"/>
    <cellStyle name="Input 19 2 2 3" xfId="10965" xr:uid="{00000000-0005-0000-0000-0000541A0000}"/>
    <cellStyle name="Input 19 2 3" xfId="10966" xr:uid="{00000000-0005-0000-0000-0000551A0000}"/>
    <cellStyle name="Input 19 2 3 2" xfId="10967" xr:uid="{00000000-0005-0000-0000-0000561A0000}"/>
    <cellStyle name="Input 19 2 4" xfId="10968" xr:uid="{00000000-0005-0000-0000-0000571A0000}"/>
    <cellStyle name="Input 19 3" xfId="6062" xr:uid="{00000000-0005-0000-0000-0000581A0000}"/>
    <cellStyle name="Input 19 3 2" xfId="10969" xr:uid="{00000000-0005-0000-0000-0000591A0000}"/>
    <cellStyle name="Input 19 3 2 2" xfId="10970" xr:uid="{00000000-0005-0000-0000-00005A1A0000}"/>
    <cellStyle name="Input 19 3 3" xfId="10971" xr:uid="{00000000-0005-0000-0000-00005B1A0000}"/>
    <cellStyle name="Input 19 4" xfId="10972" xr:uid="{00000000-0005-0000-0000-00005C1A0000}"/>
    <cellStyle name="Input 19 4 2" xfId="10973" xr:uid="{00000000-0005-0000-0000-00005D1A0000}"/>
    <cellStyle name="Input 19 5" xfId="10974" xr:uid="{00000000-0005-0000-0000-00005E1A0000}"/>
    <cellStyle name="Input 2" xfId="6063" xr:uid="{00000000-0005-0000-0000-00005F1A0000}"/>
    <cellStyle name="Input 2 2" xfId="6064" xr:uid="{00000000-0005-0000-0000-0000601A0000}"/>
    <cellStyle name="Input 2 2 2" xfId="6065" xr:uid="{00000000-0005-0000-0000-0000611A0000}"/>
    <cellStyle name="Input 2 2 2 2" xfId="10975" xr:uid="{00000000-0005-0000-0000-0000621A0000}"/>
    <cellStyle name="Input 2 2 2 2 2" xfId="10976" xr:uid="{00000000-0005-0000-0000-0000631A0000}"/>
    <cellStyle name="Input 2 2 2 3" xfId="10977" xr:uid="{00000000-0005-0000-0000-0000641A0000}"/>
    <cellStyle name="Input 2 2 3" xfId="10978" xr:uid="{00000000-0005-0000-0000-0000651A0000}"/>
    <cellStyle name="Input 2 2 3 2" xfId="10979" xr:uid="{00000000-0005-0000-0000-0000661A0000}"/>
    <cellStyle name="Input 2 2 4" xfId="10980" xr:uid="{00000000-0005-0000-0000-0000671A0000}"/>
    <cellStyle name="Input 2 3" xfId="6066" xr:uid="{00000000-0005-0000-0000-0000681A0000}"/>
    <cellStyle name="Input 2 3 2" xfId="10981" xr:uid="{00000000-0005-0000-0000-0000691A0000}"/>
    <cellStyle name="Input 2 3 2 2" xfId="10982" xr:uid="{00000000-0005-0000-0000-00006A1A0000}"/>
    <cellStyle name="Input 2 3 3" xfId="10983" xr:uid="{00000000-0005-0000-0000-00006B1A0000}"/>
    <cellStyle name="Input 2 4" xfId="10984" xr:uid="{00000000-0005-0000-0000-00006C1A0000}"/>
    <cellStyle name="Input 2 4 2" xfId="10985" xr:uid="{00000000-0005-0000-0000-00006D1A0000}"/>
    <cellStyle name="Input 2 5" xfId="10986" xr:uid="{00000000-0005-0000-0000-00006E1A0000}"/>
    <cellStyle name="Input 20" xfId="6067" xr:uid="{00000000-0005-0000-0000-00006F1A0000}"/>
    <cellStyle name="Input 20 2" xfId="6068" xr:uid="{00000000-0005-0000-0000-0000701A0000}"/>
    <cellStyle name="Input 20 2 2" xfId="6069" xr:uid="{00000000-0005-0000-0000-0000711A0000}"/>
    <cellStyle name="Input 20 2 2 2" xfId="10987" xr:uid="{00000000-0005-0000-0000-0000721A0000}"/>
    <cellStyle name="Input 20 2 2 2 2" xfId="10988" xr:uid="{00000000-0005-0000-0000-0000731A0000}"/>
    <cellStyle name="Input 20 2 2 3" xfId="10989" xr:uid="{00000000-0005-0000-0000-0000741A0000}"/>
    <cellStyle name="Input 20 2 3" xfId="10990" xr:uid="{00000000-0005-0000-0000-0000751A0000}"/>
    <cellStyle name="Input 20 2 3 2" xfId="10991" xr:uid="{00000000-0005-0000-0000-0000761A0000}"/>
    <cellStyle name="Input 20 2 4" xfId="10992" xr:uid="{00000000-0005-0000-0000-0000771A0000}"/>
    <cellStyle name="Input 20 3" xfId="6070" xr:uid="{00000000-0005-0000-0000-0000781A0000}"/>
    <cellStyle name="Input 20 3 2" xfId="10993" xr:uid="{00000000-0005-0000-0000-0000791A0000}"/>
    <cellStyle name="Input 20 3 2 2" xfId="10994" xr:uid="{00000000-0005-0000-0000-00007A1A0000}"/>
    <cellStyle name="Input 20 3 3" xfId="10995" xr:uid="{00000000-0005-0000-0000-00007B1A0000}"/>
    <cellStyle name="Input 20 4" xfId="10996" xr:uid="{00000000-0005-0000-0000-00007C1A0000}"/>
    <cellStyle name="Input 20 4 2" xfId="10997" xr:uid="{00000000-0005-0000-0000-00007D1A0000}"/>
    <cellStyle name="Input 20 5" xfId="10998" xr:uid="{00000000-0005-0000-0000-00007E1A0000}"/>
    <cellStyle name="Input 21" xfId="6071" xr:uid="{00000000-0005-0000-0000-00007F1A0000}"/>
    <cellStyle name="Input 21 2" xfId="6072" xr:uid="{00000000-0005-0000-0000-0000801A0000}"/>
    <cellStyle name="Input 21 2 2" xfId="6073" xr:uid="{00000000-0005-0000-0000-0000811A0000}"/>
    <cellStyle name="Input 21 2 2 2" xfId="10999" xr:uid="{00000000-0005-0000-0000-0000821A0000}"/>
    <cellStyle name="Input 21 2 2 2 2" xfId="11000" xr:uid="{00000000-0005-0000-0000-0000831A0000}"/>
    <cellStyle name="Input 21 2 2 3" xfId="11001" xr:uid="{00000000-0005-0000-0000-0000841A0000}"/>
    <cellStyle name="Input 21 2 3" xfId="11002" xr:uid="{00000000-0005-0000-0000-0000851A0000}"/>
    <cellStyle name="Input 21 2 3 2" xfId="11003" xr:uid="{00000000-0005-0000-0000-0000861A0000}"/>
    <cellStyle name="Input 21 2 4" xfId="11004" xr:uid="{00000000-0005-0000-0000-0000871A0000}"/>
    <cellStyle name="Input 21 3" xfId="6074" xr:uid="{00000000-0005-0000-0000-0000881A0000}"/>
    <cellStyle name="Input 21 3 2" xfId="11005" xr:uid="{00000000-0005-0000-0000-0000891A0000}"/>
    <cellStyle name="Input 21 3 2 2" xfId="11006" xr:uid="{00000000-0005-0000-0000-00008A1A0000}"/>
    <cellStyle name="Input 21 3 3" xfId="11007" xr:uid="{00000000-0005-0000-0000-00008B1A0000}"/>
    <cellStyle name="Input 21 4" xfId="11008" xr:uid="{00000000-0005-0000-0000-00008C1A0000}"/>
    <cellStyle name="Input 21 4 2" xfId="11009" xr:uid="{00000000-0005-0000-0000-00008D1A0000}"/>
    <cellStyle name="Input 21 5" xfId="11010" xr:uid="{00000000-0005-0000-0000-00008E1A0000}"/>
    <cellStyle name="Input 22" xfId="6075" xr:uid="{00000000-0005-0000-0000-00008F1A0000}"/>
    <cellStyle name="Input 22 2" xfId="6076" xr:uid="{00000000-0005-0000-0000-0000901A0000}"/>
    <cellStyle name="Input 22 2 2" xfId="6077" xr:uid="{00000000-0005-0000-0000-0000911A0000}"/>
    <cellStyle name="Input 22 2 2 2" xfId="11011" xr:uid="{00000000-0005-0000-0000-0000921A0000}"/>
    <cellStyle name="Input 22 2 2 2 2" xfId="11012" xr:uid="{00000000-0005-0000-0000-0000931A0000}"/>
    <cellStyle name="Input 22 2 2 3" xfId="11013" xr:uid="{00000000-0005-0000-0000-0000941A0000}"/>
    <cellStyle name="Input 22 2 3" xfId="11014" xr:uid="{00000000-0005-0000-0000-0000951A0000}"/>
    <cellStyle name="Input 22 2 3 2" xfId="11015" xr:uid="{00000000-0005-0000-0000-0000961A0000}"/>
    <cellStyle name="Input 22 2 4" xfId="11016" xr:uid="{00000000-0005-0000-0000-0000971A0000}"/>
    <cellStyle name="Input 22 3" xfId="6078" xr:uid="{00000000-0005-0000-0000-0000981A0000}"/>
    <cellStyle name="Input 22 3 2" xfId="11017" xr:uid="{00000000-0005-0000-0000-0000991A0000}"/>
    <cellStyle name="Input 22 3 2 2" xfId="11018" xr:uid="{00000000-0005-0000-0000-00009A1A0000}"/>
    <cellStyle name="Input 22 3 3" xfId="11019" xr:uid="{00000000-0005-0000-0000-00009B1A0000}"/>
    <cellStyle name="Input 22 4" xfId="11020" xr:uid="{00000000-0005-0000-0000-00009C1A0000}"/>
    <cellStyle name="Input 22 4 2" xfId="11021" xr:uid="{00000000-0005-0000-0000-00009D1A0000}"/>
    <cellStyle name="Input 22 5" xfId="11022" xr:uid="{00000000-0005-0000-0000-00009E1A0000}"/>
    <cellStyle name="Input 23" xfId="6079" xr:uid="{00000000-0005-0000-0000-00009F1A0000}"/>
    <cellStyle name="Input 23 2" xfId="11023" xr:uid="{00000000-0005-0000-0000-0000A01A0000}"/>
    <cellStyle name="Input 23 2 2" xfId="11024" xr:uid="{00000000-0005-0000-0000-0000A11A0000}"/>
    <cellStyle name="Input 23 3" xfId="11025" xr:uid="{00000000-0005-0000-0000-0000A21A0000}"/>
    <cellStyle name="Input 24" xfId="6080" xr:uid="{00000000-0005-0000-0000-0000A31A0000}"/>
    <cellStyle name="Input 24 2" xfId="11026" xr:uid="{00000000-0005-0000-0000-0000A41A0000}"/>
    <cellStyle name="Input 24 2 2" xfId="11027" xr:uid="{00000000-0005-0000-0000-0000A51A0000}"/>
    <cellStyle name="Input 24 3" xfId="11028" xr:uid="{00000000-0005-0000-0000-0000A61A0000}"/>
    <cellStyle name="Input 25" xfId="6081" xr:uid="{00000000-0005-0000-0000-0000A71A0000}"/>
    <cellStyle name="Input 25 2" xfId="11029" xr:uid="{00000000-0005-0000-0000-0000A81A0000}"/>
    <cellStyle name="Input 25 2 2" xfId="11030" xr:uid="{00000000-0005-0000-0000-0000A91A0000}"/>
    <cellStyle name="Input 25 3" xfId="11031" xr:uid="{00000000-0005-0000-0000-0000AA1A0000}"/>
    <cellStyle name="Input 26" xfId="6082" xr:uid="{00000000-0005-0000-0000-0000AB1A0000}"/>
    <cellStyle name="Input 26 2" xfId="11032" xr:uid="{00000000-0005-0000-0000-0000AC1A0000}"/>
    <cellStyle name="Input 26 2 2" xfId="11033" xr:uid="{00000000-0005-0000-0000-0000AD1A0000}"/>
    <cellStyle name="Input 26 3" xfId="11034" xr:uid="{00000000-0005-0000-0000-0000AE1A0000}"/>
    <cellStyle name="Input 27" xfId="6083" xr:uid="{00000000-0005-0000-0000-0000AF1A0000}"/>
    <cellStyle name="Input 27 2" xfId="11035" xr:uid="{00000000-0005-0000-0000-0000B01A0000}"/>
    <cellStyle name="Input 27 2 2" xfId="11036" xr:uid="{00000000-0005-0000-0000-0000B11A0000}"/>
    <cellStyle name="Input 27 3" xfId="11037" xr:uid="{00000000-0005-0000-0000-0000B21A0000}"/>
    <cellStyle name="Input 28" xfId="6084" xr:uid="{00000000-0005-0000-0000-0000B31A0000}"/>
    <cellStyle name="Input 28 2" xfId="11038" xr:uid="{00000000-0005-0000-0000-0000B41A0000}"/>
    <cellStyle name="Input 28 2 2" xfId="11039" xr:uid="{00000000-0005-0000-0000-0000B51A0000}"/>
    <cellStyle name="Input 28 3" xfId="11040" xr:uid="{00000000-0005-0000-0000-0000B61A0000}"/>
    <cellStyle name="Input 29" xfId="6085" xr:uid="{00000000-0005-0000-0000-0000B71A0000}"/>
    <cellStyle name="Input 29 2" xfId="11041" xr:uid="{00000000-0005-0000-0000-0000B81A0000}"/>
    <cellStyle name="Input 29 2 2" xfId="11042" xr:uid="{00000000-0005-0000-0000-0000B91A0000}"/>
    <cellStyle name="Input 29 3" xfId="11043" xr:uid="{00000000-0005-0000-0000-0000BA1A0000}"/>
    <cellStyle name="Input 3" xfId="6086" xr:uid="{00000000-0005-0000-0000-0000BB1A0000}"/>
    <cellStyle name="Input 3 2" xfId="6087" xr:uid="{00000000-0005-0000-0000-0000BC1A0000}"/>
    <cellStyle name="Input 3 2 2" xfId="6088" xr:uid="{00000000-0005-0000-0000-0000BD1A0000}"/>
    <cellStyle name="Input 3 2 2 2" xfId="11044" xr:uid="{00000000-0005-0000-0000-0000BE1A0000}"/>
    <cellStyle name="Input 3 2 2 2 2" xfId="11045" xr:uid="{00000000-0005-0000-0000-0000BF1A0000}"/>
    <cellStyle name="Input 3 2 2 3" xfId="11046" xr:uid="{00000000-0005-0000-0000-0000C01A0000}"/>
    <cellStyle name="Input 3 2 3" xfId="11047" xr:uid="{00000000-0005-0000-0000-0000C11A0000}"/>
    <cellStyle name="Input 3 2 3 2" xfId="11048" xr:uid="{00000000-0005-0000-0000-0000C21A0000}"/>
    <cellStyle name="Input 3 2 4" xfId="11049" xr:uid="{00000000-0005-0000-0000-0000C31A0000}"/>
    <cellStyle name="Input 3 3" xfId="6089" xr:uid="{00000000-0005-0000-0000-0000C41A0000}"/>
    <cellStyle name="Input 3 3 2" xfId="11050" xr:uid="{00000000-0005-0000-0000-0000C51A0000}"/>
    <cellStyle name="Input 3 3 2 2" xfId="11051" xr:uid="{00000000-0005-0000-0000-0000C61A0000}"/>
    <cellStyle name="Input 3 3 3" xfId="11052" xr:uid="{00000000-0005-0000-0000-0000C71A0000}"/>
    <cellStyle name="Input 3 4" xfId="11053" xr:uid="{00000000-0005-0000-0000-0000C81A0000}"/>
    <cellStyle name="Input 3 4 2" xfId="11054" xr:uid="{00000000-0005-0000-0000-0000C91A0000}"/>
    <cellStyle name="Input 3 5" xfId="11055" xr:uid="{00000000-0005-0000-0000-0000CA1A0000}"/>
    <cellStyle name="Input 30" xfId="6090" xr:uid="{00000000-0005-0000-0000-0000CB1A0000}"/>
    <cellStyle name="Input 30 2" xfId="11056" xr:uid="{00000000-0005-0000-0000-0000CC1A0000}"/>
    <cellStyle name="Input 30 2 2" xfId="11057" xr:uid="{00000000-0005-0000-0000-0000CD1A0000}"/>
    <cellStyle name="Input 30 3" xfId="11058" xr:uid="{00000000-0005-0000-0000-0000CE1A0000}"/>
    <cellStyle name="Input 31" xfId="6091" xr:uid="{00000000-0005-0000-0000-0000CF1A0000}"/>
    <cellStyle name="Input 31 2" xfId="11059" xr:uid="{00000000-0005-0000-0000-0000D01A0000}"/>
    <cellStyle name="Input 31 2 2" xfId="11060" xr:uid="{00000000-0005-0000-0000-0000D11A0000}"/>
    <cellStyle name="Input 31 3" xfId="11061" xr:uid="{00000000-0005-0000-0000-0000D21A0000}"/>
    <cellStyle name="Input 32" xfId="6092" xr:uid="{00000000-0005-0000-0000-0000D31A0000}"/>
    <cellStyle name="Input 32 2" xfId="11062" xr:uid="{00000000-0005-0000-0000-0000D41A0000}"/>
    <cellStyle name="Input 32 2 2" xfId="11063" xr:uid="{00000000-0005-0000-0000-0000D51A0000}"/>
    <cellStyle name="Input 32 3" xfId="11064" xr:uid="{00000000-0005-0000-0000-0000D61A0000}"/>
    <cellStyle name="Input 33" xfId="6093" xr:uid="{00000000-0005-0000-0000-0000D71A0000}"/>
    <cellStyle name="Input 33 2" xfId="11065" xr:uid="{00000000-0005-0000-0000-0000D81A0000}"/>
    <cellStyle name="Input 33 2 2" xfId="11066" xr:uid="{00000000-0005-0000-0000-0000D91A0000}"/>
    <cellStyle name="Input 33 3" xfId="11067" xr:uid="{00000000-0005-0000-0000-0000DA1A0000}"/>
    <cellStyle name="Input 4" xfId="6094" xr:uid="{00000000-0005-0000-0000-0000DB1A0000}"/>
    <cellStyle name="Input 4 2" xfId="6095" xr:uid="{00000000-0005-0000-0000-0000DC1A0000}"/>
    <cellStyle name="Input 4 2 2" xfId="6096" xr:uid="{00000000-0005-0000-0000-0000DD1A0000}"/>
    <cellStyle name="Input 4 2 2 2" xfId="11068" xr:uid="{00000000-0005-0000-0000-0000DE1A0000}"/>
    <cellStyle name="Input 4 2 2 2 2" xfId="11069" xr:uid="{00000000-0005-0000-0000-0000DF1A0000}"/>
    <cellStyle name="Input 4 2 2 3" xfId="11070" xr:uid="{00000000-0005-0000-0000-0000E01A0000}"/>
    <cellStyle name="Input 4 2 3" xfId="11071" xr:uid="{00000000-0005-0000-0000-0000E11A0000}"/>
    <cellStyle name="Input 4 2 3 2" xfId="11072" xr:uid="{00000000-0005-0000-0000-0000E21A0000}"/>
    <cellStyle name="Input 4 2 4" xfId="11073" xr:uid="{00000000-0005-0000-0000-0000E31A0000}"/>
    <cellStyle name="Input 4 3" xfId="6097" xr:uid="{00000000-0005-0000-0000-0000E41A0000}"/>
    <cellStyle name="Input 4 3 2" xfId="11074" xr:uid="{00000000-0005-0000-0000-0000E51A0000}"/>
    <cellStyle name="Input 4 3 2 2" xfId="11075" xr:uid="{00000000-0005-0000-0000-0000E61A0000}"/>
    <cellStyle name="Input 4 3 3" xfId="11076" xr:uid="{00000000-0005-0000-0000-0000E71A0000}"/>
    <cellStyle name="Input 4 4" xfId="11077" xr:uid="{00000000-0005-0000-0000-0000E81A0000}"/>
    <cellStyle name="Input 4 4 2" xfId="11078" xr:uid="{00000000-0005-0000-0000-0000E91A0000}"/>
    <cellStyle name="Input 4 5" xfId="11079" xr:uid="{00000000-0005-0000-0000-0000EA1A0000}"/>
    <cellStyle name="Input 5" xfId="6098" xr:uid="{00000000-0005-0000-0000-0000EB1A0000}"/>
    <cellStyle name="Input 5 2" xfId="6099" xr:uid="{00000000-0005-0000-0000-0000EC1A0000}"/>
    <cellStyle name="Input 5 2 2" xfId="6100" xr:uid="{00000000-0005-0000-0000-0000ED1A0000}"/>
    <cellStyle name="Input 5 2 2 2" xfId="11080" xr:uid="{00000000-0005-0000-0000-0000EE1A0000}"/>
    <cellStyle name="Input 5 2 2 2 2" xfId="11081" xr:uid="{00000000-0005-0000-0000-0000EF1A0000}"/>
    <cellStyle name="Input 5 2 2 3" xfId="11082" xr:uid="{00000000-0005-0000-0000-0000F01A0000}"/>
    <cellStyle name="Input 5 2 3" xfId="11083" xr:uid="{00000000-0005-0000-0000-0000F11A0000}"/>
    <cellStyle name="Input 5 2 3 2" xfId="11084" xr:uid="{00000000-0005-0000-0000-0000F21A0000}"/>
    <cellStyle name="Input 5 2 4" xfId="11085" xr:uid="{00000000-0005-0000-0000-0000F31A0000}"/>
    <cellStyle name="Input 5 3" xfId="6101" xr:uid="{00000000-0005-0000-0000-0000F41A0000}"/>
    <cellStyle name="Input 5 3 2" xfId="11086" xr:uid="{00000000-0005-0000-0000-0000F51A0000}"/>
    <cellStyle name="Input 5 3 2 2" xfId="11087" xr:uid="{00000000-0005-0000-0000-0000F61A0000}"/>
    <cellStyle name="Input 5 3 3" xfId="11088" xr:uid="{00000000-0005-0000-0000-0000F71A0000}"/>
    <cellStyle name="Input 5 4" xfId="11089" xr:uid="{00000000-0005-0000-0000-0000F81A0000}"/>
    <cellStyle name="Input 5 4 2" xfId="11090" xr:uid="{00000000-0005-0000-0000-0000F91A0000}"/>
    <cellStyle name="Input 5 5" xfId="11091" xr:uid="{00000000-0005-0000-0000-0000FA1A0000}"/>
    <cellStyle name="Input 6" xfId="6102" xr:uid="{00000000-0005-0000-0000-0000FB1A0000}"/>
    <cellStyle name="Input 6 2" xfId="6103" xr:uid="{00000000-0005-0000-0000-0000FC1A0000}"/>
    <cellStyle name="Input 6 2 2" xfId="6104" xr:uid="{00000000-0005-0000-0000-0000FD1A0000}"/>
    <cellStyle name="Input 6 2 2 2" xfId="11092" xr:uid="{00000000-0005-0000-0000-0000FE1A0000}"/>
    <cellStyle name="Input 6 2 2 2 2" xfId="11093" xr:uid="{00000000-0005-0000-0000-0000FF1A0000}"/>
    <cellStyle name="Input 6 2 2 3" xfId="11094" xr:uid="{00000000-0005-0000-0000-0000001B0000}"/>
    <cellStyle name="Input 6 2 3" xfId="11095" xr:uid="{00000000-0005-0000-0000-0000011B0000}"/>
    <cellStyle name="Input 6 2 3 2" xfId="11096" xr:uid="{00000000-0005-0000-0000-0000021B0000}"/>
    <cellStyle name="Input 6 2 4" xfId="11097" xr:uid="{00000000-0005-0000-0000-0000031B0000}"/>
    <cellStyle name="Input 6 3" xfId="6105" xr:uid="{00000000-0005-0000-0000-0000041B0000}"/>
    <cellStyle name="Input 6 3 2" xfId="11098" xr:uid="{00000000-0005-0000-0000-0000051B0000}"/>
    <cellStyle name="Input 6 3 2 2" xfId="11099" xr:uid="{00000000-0005-0000-0000-0000061B0000}"/>
    <cellStyle name="Input 6 3 3" xfId="11100" xr:uid="{00000000-0005-0000-0000-0000071B0000}"/>
    <cellStyle name="Input 6 4" xfId="11101" xr:uid="{00000000-0005-0000-0000-0000081B0000}"/>
    <cellStyle name="Input 6 4 2" xfId="11102" xr:uid="{00000000-0005-0000-0000-0000091B0000}"/>
    <cellStyle name="Input 6 5" xfId="11103" xr:uid="{00000000-0005-0000-0000-00000A1B0000}"/>
    <cellStyle name="Input 7" xfId="6106" xr:uid="{00000000-0005-0000-0000-00000B1B0000}"/>
    <cellStyle name="Input 7 2" xfId="6107" xr:uid="{00000000-0005-0000-0000-00000C1B0000}"/>
    <cellStyle name="Input 7 2 2" xfId="6108" xr:uid="{00000000-0005-0000-0000-00000D1B0000}"/>
    <cellStyle name="Input 7 2 2 2" xfId="11104" xr:uid="{00000000-0005-0000-0000-00000E1B0000}"/>
    <cellStyle name="Input 7 2 2 2 2" xfId="11105" xr:uid="{00000000-0005-0000-0000-00000F1B0000}"/>
    <cellStyle name="Input 7 2 2 3" xfId="11106" xr:uid="{00000000-0005-0000-0000-0000101B0000}"/>
    <cellStyle name="Input 7 2 3" xfId="11107" xr:uid="{00000000-0005-0000-0000-0000111B0000}"/>
    <cellStyle name="Input 7 2 3 2" xfId="11108" xr:uid="{00000000-0005-0000-0000-0000121B0000}"/>
    <cellStyle name="Input 7 2 4" xfId="11109" xr:uid="{00000000-0005-0000-0000-0000131B0000}"/>
    <cellStyle name="Input 7 3" xfId="6109" xr:uid="{00000000-0005-0000-0000-0000141B0000}"/>
    <cellStyle name="Input 7 3 2" xfId="11110" xr:uid="{00000000-0005-0000-0000-0000151B0000}"/>
    <cellStyle name="Input 7 3 2 2" xfId="11111" xr:uid="{00000000-0005-0000-0000-0000161B0000}"/>
    <cellStyle name="Input 7 3 3" xfId="11112" xr:uid="{00000000-0005-0000-0000-0000171B0000}"/>
    <cellStyle name="Input 7 4" xfId="11113" xr:uid="{00000000-0005-0000-0000-0000181B0000}"/>
    <cellStyle name="Input 7 4 2" xfId="11114" xr:uid="{00000000-0005-0000-0000-0000191B0000}"/>
    <cellStyle name="Input 7 5" xfId="11115" xr:uid="{00000000-0005-0000-0000-00001A1B0000}"/>
    <cellStyle name="Input 8" xfId="6110" xr:uid="{00000000-0005-0000-0000-00001B1B0000}"/>
    <cellStyle name="Input 8 2" xfId="6111" xr:uid="{00000000-0005-0000-0000-00001C1B0000}"/>
    <cellStyle name="Input 8 2 2" xfId="6112" xr:uid="{00000000-0005-0000-0000-00001D1B0000}"/>
    <cellStyle name="Input 8 2 2 2" xfId="11116" xr:uid="{00000000-0005-0000-0000-00001E1B0000}"/>
    <cellStyle name="Input 8 2 2 2 2" xfId="11117" xr:uid="{00000000-0005-0000-0000-00001F1B0000}"/>
    <cellStyle name="Input 8 2 2 3" xfId="11118" xr:uid="{00000000-0005-0000-0000-0000201B0000}"/>
    <cellStyle name="Input 8 2 3" xfId="11119" xr:uid="{00000000-0005-0000-0000-0000211B0000}"/>
    <cellStyle name="Input 8 2 3 2" xfId="11120" xr:uid="{00000000-0005-0000-0000-0000221B0000}"/>
    <cellStyle name="Input 8 2 4" xfId="11121" xr:uid="{00000000-0005-0000-0000-0000231B0000}"/>
    <cellStyle name="Input 8 3" xfId="6113" xr:uid="{00000000-0005-0000-0000-0000241B0000}"/>
    <cellStyle name="Input 8 3 2" xfId="11122" xr:uid="{00000000-0005-0000-0000-0000251B0000}"/>
    <cellStyle name="Input 8 3 2 2" xfId="11123" xr:uid="{00000000-0005-0000-0000-0000261B0000}"/>
    <cellStyle name="Input 8 3 3" xfId="11124" xr:uid="{00000000-0005-0000-0000-0000271B0000}"/>
    <cellStyle name="Input 8 4" xfId="11125" xr:uid="{00000000-0005-0000-0000-0000281B0000}"/>
    <cellStyle name="Input 8 4 2" xfId="11126" xr:uid="{00000000-0005-0000-0000-0000291B0000}"/>
    <cellStyle name="Input 8 5" xfId="11127" xr:uid="{00000000-0005-0000-0000-00002A1B0000}"/>
    <cellStyle name="Input 9" xfId="6114" xr:uid="{00000000-0005-0000-0000-00002B1B0000}"/>
    <cellStyle name="Input 9 2" xfId="6115" xr:uid="{00000000-0005-0000-0000-00002C1B0000}"/>
    <cellStyle name="Input 9 2 2" xfId="6116" xr:uid="{00000000-0005-0000-0000-00002D1B0000}"/>
    <cellStyle name="Input 9 2 2 2" xfId="11128" xr:uid="{00000000-0005-0000-0000-00002E1B0000}"/>
    <cellStyle name="Input 9 2 2 2 2" xfId="11129" xr:uid="{00000000-0005-0000-0000-00002F1B0000}"/>
    <cellStyle name="Input 9 2 2 3" xfId="11130" xr:uid="{00000000-0005-0000-0000-0000301B0000}"/>
    <cellStyle name="Input 9 2 3" xfId="11131" xr:uid="{00000000-0005-0000-0000-0000311B0000}"/>
    <cellStyle name="Input 9 2 3 2" xfId="11132" xr:uid="{00000000-0005-0000-0000-0000321B0000}"/>
    <cellStyle name="Input 9 2 4" xfId="11133" xr:uid="{00000000-0005-0000-0000-0000331B0000}"/>
    <cellStyle name="Input 9 3" xfId="6117" xr:uid="{00000000-0005-0000-0000-0000341B0000}"/>
    <cellStyle name="Input 9 3 2" xfId="11134" xr:uid="{00000000-0005-0000-0000-0000351B0000}"/>
    <cellStyle name="Input 9 3 2 2" xfId="11135" xr:uid="{00000000-0005-0000-0000-0000361B0000}"/>
    <cellStyle name="Input 9 3 3" xfId="11136" xr:uid="{00000000-0005-0000-0000-0000371B0000}"/>
    <cellStyle name="Input 9 4" xfId="11137" xr:uid="{00000000-0005-0000-0000-0000381B0000}"/>
    <cellStyle name="Input 9 4 2" xfId="11138" xr:uid="{00000000-0005-0000-0000-0000391B0000}"/>
    <cellStyle name="Input 9 5" xfId="11139" xr:uid="{00000000-0005-0000-0000-00003A1B0000}"/>
    <cellStyle name="Input Cells" xfId="6118" xr:uid="{00000000-0005-0000-0000-00003B1B0000}"/>
    <cellStyle name="k" xfId="6119" xr:uid="{00000000-0005-0000-0000-00003C1B0000}"/>
    <cellStyle name="k 2" xfId="6120" xr:uid="{00000000-0005-0000-0000-00003D1B0000}"/>
    <cellStyle name="k 2 2" xfId="11140" xr:uid="{00000000-0005-0000-0000-00003E1B0000}"/>
    <cellStyle name="k 2 2 2" xfId="11141" xr:uid="{00000000-0005-0000-0000-00003F1B0000}"/>
    <cellStyle name="k 2 3" xfId="11142" xr:uid="{00000000-0005-0000-0000-0000401B0000}"/>
    <cellStyle name="k 3" xfId="11143" xr:uid="{00000000-0005-0000-0000-0000411B0000}"/>
    <cellStyle name="k 3 2" xfId="11144" xr:uid="{00000000-0005-0000-0000-0000421B0000}"/>
    <cellStyle name="k 4" xfId="11145" xr:uid="{00000000-0005-0000-0000-0000431B0000}"/>
    <cellStyle name="KENGANG" xfId="6121" xr:uid="{00000000-0005-0000-0000-0000441B0000}"/>
    <cellStyle name="KENGANG 2" xfId="6122" xr:uid="{00000000-0005-0000-0000-0000451B0000}"/>
    <cellStyle name="KENGANG 2 2" xfId="10100" xr:uid="{00000000-0005-0000-0000-0000461B0000}"/>
    <cellStyle name="KENGANG 2 2 2" xfId="11146" xr:uid="{00000000-0005-0000-0000-0000471B0000}"/>
    <cellStyle name="KENGANG 2 3" xfId="11147" xr:uid="{00000000-0005-0000-0000-0000481B0000}"/>
    <cellStyle name="KENGANG 3" xfId="10101" xr:uid="{00000000-0005-0000-0000-0000491B0000}"/>
    <cellStyle name="KENGANG 3 2" xfId="11148" xr:uid="{00000000-0005-0000-0000-00004A1B0000}"/>
    <cellStyle name="KENGANG 4" xfId="11149" xr:uid="{00000000-0005-0000-0000-00004B1B0000}"/>
    <cellStyle name="Kiểm tra Ô" xfId="6126" xr:uid="{00000000-0005-0000-0000-0000571B0000}"/>
    <cellStyle name="Kiểm tra Ô 2" xfId="6127" xr:uid="{00000000-0005-0000-0000-0000581B0000}"/>
    <cellStyle name="Kiểm tra Ô 2 2" xfId="9768" xr:uid="{00000000-0005-0000-0000-0000591B0000}"/>
    <cellStyle name="Kiểm tra Ô 3" xfId="6128" xr:uid="{00000000-0005-0000-0000-00005A1B0000}"/>
    <cellStyle name="KL" xfId="6129" xr:uid="{00000000-0005-0000-0000-00005B1B0000}"/>
    <cellStyle name="KL 2" xfId="6130" xr:uid="{00000000-0005-0000-0000-00005C1B0000}"/>
    <cellStyle name="KL 2 2" xfId="10102" xr:uid="{00000000-0005-0000-0000-00005D1B0000}"/>
    <cellStyle name="KL 3" xfId="10103" xr:uid="{00000000-0005-0000-0000-00005E1B0000}"/>
    <cellStyle name="kPa(2)" xfId="6131" xr:uid="{00000000-0005-0000-0000-00005F1B0000}"/>
    <cellStyle name="kW(2)" xfId="6132" xr:uid="{00000000-0005-0000-0000-0000601B0000}"/>
    <cellStyle name="khanh" xfId="6123" xr:uid="{00000000-0005-0000-0000-00004C1B0000}"/>
    <cellStyle name="KhoiLuongNumber" xfId="14608" xr:uid="{6792C9DA-3C79-4207-9DBE-23E53F210D12}"/>
    <cellStyle name="KHUNG" xfId="6124" xr:uid="{00000000-0005-0000-0000-00004D1B0000}"/>
    <cellStyle name="KHUNG 2" xfId="6125" xr:uid="{00000000-0005-0000-0000-00004E1B0000}"/>
    <cellStyle name="KHUNG 2 2" xfId="11150" xr:uid="{00000000-0005-0000-0000-00004F1B0000}"/>
    <cellStyle name="KHUNG 2 2 2" xfId="11151" xr:uid="{00000000-0005-0000-0000-0000501B0000}"/>
    <cellStyle name="KHUNG 2 3" xfId="11152" xr:uid="{00000000-0005-0000-0000-0000511B0000}"/>
    <cellStyle name="KHUNG 2 4" xfId="11153" xr:uid="{00000000-0005-0000-0000-0000521B0000}"/>
    <cellStyle name="KHUNG 3" xfId="11154" xr:uid="{00000000-0005-0000-0000-0000531B0000}"/>
    <cellStyle name="KHUNG 3 2" xfId="11155" xr:uid="{00000000-0005-0000-0000-0000541B0000}"/>
    <cellStyle name="KHUNG 4" xfId="11156" xr:uid="{00000000-0005-0000-0000-0000551B0000}"/>
    <cellStyle name="KHUNG 5" xfId="11157" xr:uid="{00000000-0005-0000-0000-0000561B0000}"/>
    <cellStyle name="l/s(2)" xfId="6133" xr:uid="{00000000-0005-0000-0000-0000611B0000}"/>
    <cellStyle name="Labels - Style3" xfId="6134" xr:uid="{00000000-0005-0000-0000-0000621B0000}"/>
    <cellStyle name="Labels - Style3 2" xfId="6135" xr:uid="{00000000-0005-0000-0000-0000631B0000}"/>
    <cellStyle name="Labels - Style3 2 2" xfId="11158" xr:uid="{00000000-0005-0000-0000-0000641B0000}"/>
    <cellStyle name="Labels - Style3 2 2 2" xfId="11159" xr:uid="{00000000-0005-0000-0000-0000651B0000}"/>
    <cellStyle name="Labels - Style3 2 3" xfId="11160" xr:uid="{00000000-0005-0000-0000-0000661B0000}"/>
    <cellStyle name="Labels - Style3 3" xfId="11161" xr:uid="{00000000-0005-0000-0000-0000671B0000}"/>
    <cellStyle name="Labels - Style3 3 2" xfId="11162" xr:uid="{00000000-0005-0000-0000-0000681B0000}"/>
    <cellStyle name="Labels - Style3 4" xfId="11163" xr:uid="{00000000-0005-0000-0000-0000691B0000}"/>
    <cellStyle name="Ledger 17 x 11 in" xfId="6136" xr:uid="{00000000-0005-0000-0000-00006A1B0000}"/>
    <cellStyle name="Ledger 17 x 11 in 10" xfId="6137" xr:uid="{00000000-0005-0000-0000-00006B1B0000}"/>
    <cellStyle name="Ledger 17 x 11 in 11" xfId="6138" xr:uid="{00000000-0005-0000-0000-00006C1B0000}"/>
    <cellStyle name="Ledger 17 x 11 in 12" xfId="6139" xr:uid="{00000000-0005-0000-0000-00006D1B0000}"/>
    <cellStyle name="Ledger 17 x 11 in 13" xfId="6140" xr:uid="{00000000-0005-0000-0000-00006E1B0000}"/>
    <cellStyle name="Ledger 17 x 11 in 14" xfId="6141" xr:uid="{00000000-0005-0000-0000-00006F1B0000}"/>
    <cellStyle name="Ledger 17 x 11 in 15" xfId="6142" xr:uid="{00000000-0005-0000-0000-0000701B0000}"/>
    <cellStyle name="Ledger 17 x 11 in 16" xfId="6143" xr:uid="{00000000-0005-0000-0000-0000711B0000}"/>
    <cellStyle name="Ledger 17 x 11 in 17" xfId="6144" xr:uid="{00000000-0005-0000-0000-0000721B0000}"/>
    <cellStyle name="Ledger 17 x 11 in 18" xfId="6145" xr:uid="{00000000-0005-0000-0000-0000731B0000}"/>
    <cellStyle name="Ledger 17 x 11 in 19" xfId="6146" xr:uid="{00000000-0005-0000-0000-0000741B0000}"/>
    <cellStyle name="Ledger 17 x 11 in 2" xfId="14" xr:uid="{00000000-0005-0000-0000-0000751B0000}"/>
    <cellStyle name="Ledger 17 x 11 in 2 2" xfId="6147" xr:uid="{00000000-0005-0000-0000-0000761B0000}"/>
    <cellStyle name="Ledger 17 x 11 in 2 3" xfId="6148" xr:uid="{00000000-0005-0000-0000-0000771B0000}"/>
    <cellStyle name="Ledger 17 x 11 in 2 4" xfId="10489" xr:uid="{00000000-0005-0000-0000-0000781B0000}"/>
    <cellStyle name="Ledger 17 x 11 in 20" xfId="6149" xr:uid="{00000000-0005-0000-0000-0000791B0000}"/>
    <cellStyle name="Ledger 17 x 11 in 3" xfId="6150" xr:uid="{00000000-0005-0000-0000-00007A1B0000}"/>
    <cellStyle name="Ledger 17 x 11 in 3 2" xfId="6151" xr:uid="{00000000-0005-0000-0000-00007B1B0000}"/>
    <cellStyle name="Ledger 17 x 11 in 3 3" xfId="6152" xr:uid="{00000000-0005-0000-0000-00007C1B0000}"/>
    <cellStyle name="Ledger 17 x 11 in 4" xfId="6153" xr:uid="{00000000-0005-0000-0000-00007D1B0000}"/>
    <cellStyle name="Ledger 17 x 11 in 5" xfId="6154" xr:uid="{00000000-0005-0000-0000-00007E1B0000}"/>
    <cellStyle name="Ledger 17 x 11 in 6" xfId="6155" xr:uid="{00000000-0005-0000-0000-00007F1B0000}"/>
    <cellStyle name="Ledger 17 x 11 in 7" xfId="6156" xr:uid="{00000000-0005-0000-0000-0000801B0000}"/>
    <cellStyle name="Ledger 17 x 11 in 8" xfId="6157" xr:uid="{00000000-0005-0000-0000-0000811B0000}"/>
    <cellStyle name="Ledger 17 x 11 in 9" xfId="6158" xr:uid="{00000000-0005-0000-0000-0000821B0000}"/>
    <cellStyle name="Ledger 17 x 11 in_002- PODIUM  BOQ - Structural &amp; Architectural- SUNRISE CITY - son" xfId="6159" xr:uid="{00000000-0005-0000-0000-0000831B0000}"/>
    <cellStyle name="Lien hypertexte" xfId="6160" xr:uid="{00000000-0005-0000-0000-0000841B0000}"/>
    <cellStyle name="Link Currency (0)" xfId="6162" xr:uid="{00000000-0005-0000-0000-00008A1B0000}"/>
    <cellStyle name="Link Currency (2)" xfId="6163" xr:uid="{00000000-0005-0000-0000-00008B1B0000}"/>
    <cellStyle name="Link Units (0)" xfId="6164" xr:uid="{00000000-0005-0000-0000-00008C1B0000}"/>
    <cellStyle name="Link Units (1)" xfId="6165" xr:uid="{00000000-0005-0000-0000-00008D1B0000}"/>
    <cellStyle name="Link Units (2)" xfId="6166" xr:uid="{00000000-0005-0000-0000-00008E1B0000}"/>
    <cellStyle name="Linked Cell 2" xfId="6167" xr:uid="{00000000-0005-0000-0000-00008F1B0000}"/>
    <cellStyle name="Linked Cells" xfId="6168" xr:uid="{00000000-0005-0000-0000-0000901B0000}"/>
    <cellStyle name="linh" xfId="6161" xr:uid="{00000000-0005-0000-0000-0000851B0000}"/>
    <cellStyle name="linh 2" xfId="11164" xr:uid="{00000000-0005-0000-0000-0000861B0000}"/>
    <cellStyle name="linh 2 2" xfId="11165" xr:uid="{00000000-0005-0000-0000-0000871B0000}"/>
    <cellStyle name="linh 3" xfId="11166" xr:uid="{00000000-0005-0000-0000-0000881B0000}"/>
    <cellStyle name="linh 4" xfId="11167" xr:uid="{00000000-0005-0000-0000-0000891B0000}"/>
    <cellStyle name="luc" xfId="6169" xr:uid="{00000000-0005-0000-0000-0000911B0000}"/>
    <cellStyle name="luc2" xfId="6170" xr:uid="{00000000-0005-0000-0000-0000921B0000}"/>
    <cellStyle name="luc2 2" xfId="9769" xr:uid="{00000000-0005-0000-0000-0000931B0000}"/>
    <cellStyle name="luc2 2 2" xfId="10104" xr:uid="{00000000-0005-0000-0000-0000941B0000}"/>
    <cellStyle name="luc2 2 3" xfId="10105" xr:uid="{00000000-0005-0000-0000-0000951B0000}"/>
    <cellStyle name="luc2 2 4" xfId="10106" xr:uid="{00000000-0005-0000-0000-0000961B0000}"/>
    <cellStyle name="luc2 3" xfId="10107" xr:uid="{00000000-0005-0000-0000-0000971B0000}"/>
    <cellStyle name="luc2 4" xfId="10108" xr:uid="{00000000-0005-0000-0000-0000981B0000}"/>
    <cellStyle name="luc2 5" xfId="10109" xr:uid="{00000000-0005-0000-0000-0000991B0000}"/>
    <cellStyle name="m" xfId="6171" xr:uid="{00000000-0005-0000-0000-00009A1B0000}"/>
    <cellStyle name="m(2)" xfId="6172" xr:uid="{00000000-0005-0000-0000-00009B1B0000}"/>
    <cellStyle name="m_Danh sach nha cung cap ( Vendor List ) - Cap nhat 15-04-2011" xfId="6173" xr:uid="{00000000-0005-0000-0000-00009C1B0000}"/>
    <cellStyle name="m²(0)" xfId="6174" xr:uid="{00000000-0005-0000-0000-00009D1B0000}"/>
    <cellStyle name="m²(2)" xfId="6175" xr:uid="{00000000-0005-0000-0000-00009E1B0000}"/>
    <cellStyle name="Manual Starter" xfId="6176" xr:uid="{00000000-0005-0000-0000-00009F1B0000}"/>
    <cellStyle name="MARK" xfId="6177" xr:uid="{00000000-0005-0000-0000-0000A01B0000}"/>
    <cellStyle name="MCP" xfId="6178" xr:uid="{00000000-0005-0000-0000-0000A11B0000}"/>
    <cellStyle name="MI07" xfId="6179" xr:uid="{00000000-0005-0000-0000-0000A21B0000}"/>
    <cellStyle name="Migliaia (0)_CALPREZZ" xfId="6180" xr:uid="{00000000-0005-0000-0000-0000A31B0000}"/>
    <cellStyle name="Migliaia_ PESO ELETTR." xfId="6181" xr:uid="{00000000-0005-0000-0000-0000A41B0000}"/>
    <cellStyle name="Millares [0]_Well Timing" xfId="6182" xr:uid="{00000000-0005-0000-0000-0000A51B0000}"/>
    <cellStyle name="Millares_Well Timing" xfId="6183" xr:uid="{00000000-0005-0000-0000-0000A61B0000}"/>
    <cellStyle name="Milliers [0]_      " xfId="6184" xr:uid="{00000000-0005-0000-0000-0000A71B0000}"/>
    <cellStyle name="Milliers_      " xfId="6185" xr:uid="{00000000-0005-0000-0000-0000A81B0000}"/>
    <cellStyle name="mm(0)" xfId="6186" xr:uid="{00000000-0005-0000-0000-0000A91B0000}"/>
    <cellStyle name="mm(1)" xfId="6187" xr:uid="{00000000-0005-0000-0000-0000AA1B0000}"/>
    <cellStyle name="mm²(0)" xfId="6188" xr:uid="{00000000-0005-0000-0000-0000AB1B0000}"/>
    <cellStyle name="Model" xfId="6189" xr:uid="{00000000-0005-0000-0000-0000AC1B0000}"/>
    <cellStyle name="Model 2" xfId="6190" xr:uid="{00000000-0005-0000-0000-0000AD1B0000}"/>
    <cellStyle name="moi" xfId="6191" xr:uid="{00000000-0005-0000-0000-0000AE1B0000}"/>
    <cellStyle name="moi 2" xfId="6192" xr:uid="{00000000-0005-0000-0000-0000AF1B0000}"/>
    <cellStyle name="moi 2 2" xfId="11168" xr:uid="{00000000-0005-0000-0000-0000B01B0000}"/>
    <cellStyle name="moi 2 2 2" xfId="11169" xr:uid="{00000000-0005-0000-0000-0000B11B0000}"/>
    <cellStyle name="moi 2 3" xfId="11170" xr:uid="{00000000-0005-0000-0000-0000B21B0000}"/>
    <cellStyle name="moi 3" xfId="11171" xr:uid="{00000000-0005-0000-0000-0000B31B0000}"/>
    <cellStyle name="moi 4" xfId="11172" xr:uid="{00000000-0005-0000-0000-0000B41B0000}"/>
    <cellStyle name="moi 5" xfId="11173" xr:uid="{00000000-0005-0000-0000-0000B51B0000}"/>
    <cellStyle name="Mon?aire [0]_!!!GO" xfId="6193" xr:uid="{00000000-0005-0000-0000-0000B61B0000}"/>
    <cellStyle name="Mon?aire_!!!GO" xfId="6194" xr:uid="{00000000-0005-0000-0000-0000B71B0000}"/>
    <cellStyle name="Moneda [0]_Well Timing" xfId="6195" xr:uid="{00000000-0005-0000-0000-0000B81B0000}"/>
    <cellStyle name="Moneda_Well Timing" xfId="6196" xr:uid="{00000000-0005-0000-0000-0000B91B0000}"/>
    <cellStyle name="Monétaire [0]_      " xfId="6197" xr:uid="{00000000-0005-0000-0000-0000BA1B0000}"/>
    <cellStyle name="Monétaire_      " xfId="6198" xr:uid="{00000000-0005-0000-0000-0000BB1B0000}"/>
    <cellStyle name="n" xfId="6199" xr:uid="{00000000-0005-0000-0000-0000BC1B0000}"/>
    <cellStyle name="N_07bangtonghop" xfId="6200" xr:uid="{00000000-0005-0000-0000-0000BD1B0000}"/>
    <cellStyle name="N_07bangtonghop 2" xfId="6201" xr:uid="{00000000-0005-0000-0000-0000BE1B0000}"/>
    <cellStyle name="N_07bangtonghop 2 2" xfId="10110" xr:uid="{00000000-0005-0000-0000-0000BF1B0000}"/>
    <cellStyle name="N_07bangtonghop 2 2 2" xfId="11174" xr:uid="{00000000-0005-0000-0000-0000C01B0000}"/>
    <cellStyle name="N_07bangtonghop 2 3" xfId="11175" xr:uid="{00000000-0005-0000-0000-0000C11B0000}"/>
    <cellStyle name="N_07bangtonghop 3" xfId="10111" xr:uid="{00000000-0005-0000-0000-0000C21B0000}"/>
    <cellStyle name="N_07bangtonghop 3 2" xfId="11176" xr:uid="{00000000-0005-0000-0000-0000C31B0000}"/>
    <cellStyle name="N_07bangtonghop 4" xfId="11177" xr:uid="{00000000-0005-0000-0000-0000C41B0000}"/>
    <cellStyle name="n_2---DATA_SAIN GOBAIN (THEP)_Option 1-British Standard" xfId="6202" xr:uid="{00000000-0005-0000-0000-0000C51B0000}"/>
    <cellStyle name="n_Book1" xfId="6203" xr:uid="{00000000-0005-0000-0000-0000C61B0000}"/>
    <cellStyle name="n_Book1_2---DATA_SAIN GOBAIN (THEP)_Option 1-British Standard" xfId="6204" xr:uid="{00000000-0005-0000-0000-0000C71B0000}"/>
    <cellStyle name="N_CV1-khoi luong va don gia" xfId="6205" xr:uid="{00000000-0005-0000-0000-0000C81B0000}"/>
    <cellStyle name="N_CV1-khoi luong va don gia 2" xfId="6206" xr:uid="{00000000-0005-0000-0000-0000C91B0000}"/>
    <cellStyle name="N_CV1-khoi luong va don gia 2 2" xfId="10112" xr:uid="{00000000-0005-0000-0000-0000CA1B0000}"/>
    <cellStyle name="N_CV1-khoi luong va don gia 2 2 2" xfId="11178" xr:uid="{00000000-0005-0000-0000-0000CB1B0000}"/>
    <cellStyle name="N_CV1-khoi luong va don gia 2 3" xfId="11179" xr:uid="{00000000-0005-0000-0000-0000CC1B0000}"/>
    <cellStyle name="N_CV1-khoi luong va don gia 3" xfId="10113" xr:uid="{00000000-0005-0000-0000-0000CD1B0000}"/>
    <cellStyle name="N_CV1-khoi luong va don gia 3 2" xfId="11180" xr:uid="{00000000-0005-0000-0000-0000CE1B0000}"/>
    <cellStyle name="N_CV1-khoi luong va don gia 4" xfId="11181" xr:uid="{00000000-0005-0000-0000-0000CF1B0000}"/>
    <cellStyle name="n_Du toan chi phi gia thau T12 (Dat Phuong)" xfId="6207" xr:uid="{00000000-0005-0000-0000-0000D01B0000}"/>
    <cellStyle name="n_Du toan chi phi gia thau T12 (Dat Phuong)_2---DATA_SAIN GOBAIN (THEP)_Option 1-British Standard" xfId="6208" xr:uid="{00000000-0005-0000-0000-0000D11B0000}"/>
    <cellStyle name="n_kluong duthau" xfId="6209" xr:uid="{00000000-0005-0000-0000-0000D21B0000}"/>
    <cellStyle name="n_kluong duthau_2---DATA_SAIN GOBAIN (THEP)_Option 1-British Standard" xfId="6210" xr:uid="{00000000-0005-0000-0000-0000D31B0000}"/>
    <cellStyle name="n_M_E Services _ Education" xfId="6211" xr:uid="{00000000-0005-0000-0000-0000D41B0000}"/>
    <cellStyle name="n_M_E Services _ Education_1" xfId="6212" xr:uid="{00000000-0005-0000-0000-0000D51B0000}"/>
    <cellStyle name="n_M_E Services _ Education_1_submit DHND 5%" xfId="6213" xr:uid="{00000000-0005-0000-0000-0000D61B0000}"/>
    <cellStyle name="n_M_E Services _ Education_submit DHND 5%" xfId="6214" xr:uid="{00000000-0005-0000-0000-0000D71B0000}"/>
    <cellStyle name="n_SOSANHTAM" xfId="6215" xr:uid="{00000000-0005-0000-0000-0000D81B0000}"/>
    <cellStyle name="n_SOSANHTAM_2---DATA_SAIN GOBAIN (THEP)_Option 1-British Standard" xfId="6216" xr:uid="{00000000-0005-0000-0000-0000D91B0000}"/>
    <cellStyle name="n_submit DHND 5%" xfId="6217" xr:uid="{00000000-0005-0000-0000-0000DA1B0000}"/>
    <cellStyle name="n_Thanh toan (Du an Ca Mau)" xfId="6218" xr:uid="{00000000-0005-0000-0000-0000DB1B0000}"/>
    <cellStyle name="n_Thanh toan (Du an Ca Mau)_2---DATA_SAIN GOBAIN (THEP)_Option 1-British Standard" xfId="6219" xr:uid="{00000000-0005-0000-0000-0000DC1B0000}"/>
    <cellStyle name="N_THANH TOAN-CONGTACCHINH" xfId="6220" xr:uid="{00000000-0005-0000-0000-0000DD1B0000}"/>
    <cellStyle name="N_THANH TOAN-CONGTACCHINH 2" xfId="6221" xr:uid="{00000000-0005-0000-0000-0000DE1B0000}"/>
    <cellStyle name="N_THANH TOAN-CONGTACCHINH 2 2" xfId="10114" xr:uid="{00000000-0005-0000-0000-0000DF1B0000}"/>
    <cellStyle name="N_THANH TOAN-CONGTACCHINH 2 2 2" xfId="11182" xr:uid="{00000000-0005-0000-0000-0000E01B0000}"/>
    <cellStyle name="N_THANH TOAN-CONGTACCHINH 2 3" xfId="11183" xr:uid="{00000000-0005-0000-0000-0000E11B0000}"/>
    <cellStyle name="N_THANH TOAN-CONGTACCHINH 3" xfId="10115" xr:uid="{00000000-0005-0000-0000-0000E21B0000}"/>
    <cellStyle name="N_THANH TOAN-CONGTACCHINH 3 2" xfId="11184" xr:uid="{00000000-0005-0000-0000-0000E31B0000}"/>
    <cellStyle name="N_THANH TOAN-CONGTACCHINH 4" xfId="11185" xr:uid="{00000000-0005-0000-0000-0000E41B0000}"/>
    <cellStyle name="n1" xfId="6222" xr:uid="{00000000-0005-0000-0000-0000E51B0000}"/>
    <cellStyle name="Needs Work" xfId="6223" xr:uid="{00000000-0005-0000-0000-0000E61B0000}"/>
    <cellStyle name="Neutral 2" xfId="6224" xr:uid="{00000000-0005-0000-0000-0000E71B0000}"/>
    <cellStyle name="New Times Roman" xfId="6225" xr:uid="{00000000-0005-0000-0000-0000E81B0000}"/>
    <cellStyle name="no dec" xfId="6232" xr:uid="{00000000-0005-0000-0000-0000EF1B0000}"/>
    <cellStyle name="Non défini" xfId="6233" xr:uid="{00000000-0005-0000-0000-0000F01B0000}"/>
    <cellStyle name="ÑONVÒ" xfId="6234" xr:uid="{00000000-0005-0000-0000-0000F11B0000}"/>
    <cellStyle name="ÑONVÒ 2" xfId="6235" xr:uid="{00000000-0005-0000-0000-0000F21B0000}"/>
    <cellStyle name="ÑONVÒ 2 2" xfId="11186" xr:uid="{00000000-0005-0000-0000-0000F31B0000}"/>
    <cellStyle name="ÑONVÒ 2 2 2" xfId="11187" xr:uid="{00000000-0005-0000-0000-0000F41B0000}"/>
    <cellStyle name="ÑONVÒ 2 3" xfId="11188" xr:uid="{00000000-0005-0000-0000-0000F51B0000}"/>
    <cellStyle name="ÑONVÒ 2 4" xfId="11189" xr:uid="{00000000-0005-0000-0000-0000F61B0000}"/>
    <cellStyle name="ÑONVÒ 3" xfId="11190" xr:uid="{00000000-0005-0000-0000-0000F71B0000}"/>
    <cellStyle name="ÑONVÒ 3 2" xfId="11191" xr:uid="{00000000-0005-0000-0000-0000F81B0000}"/>
    <cellStyle name="ÑONVÒ 4" xfId="11192" xr:uid="{00000000-0005-0000-0000-0000F91B0000}"/>
    <cellStyle name="ÑONVÒ 5" xfId="11193" xr:uid="{00000000-0005-0000-0000-0000FA1B0000}"/>
    <cellStyle name="Normal" xfId="0" builtinId="0"/>
    <cellStyle name="Normal - Style1" xfId="6236" xr:uid="{00000000-0005-0000-0000-0000FC1B0000}"/>
    <cellStyle name="Normal - Style1 10" xfId="3" xr:uid="{00000000-0005-0000-0000-0000FD1B0000}"/>
    <cellStyle name="Normal - Style1 10 2" xfId="10476" xr:uid="{00000000-0005-0000-0000-0000FE1B0000}"/>
    <cellStyle name="Normal - Style1 100" xfId="6237" xr:uid="{00000000-0005-0000-0000-0000FF1B0000}"/>
    <cellStyle name="Normal - Style1 101" xfId="6238" xr:uid="{00000000-0005-0000-0000-0000001C0000}"/>
    <cellStyle name="Normal - Style1 102" xfId="6239" xr:uid="{00000000-0005-0000-0000-0000011C0000}"/>
    <cellStyle name="Normal - Style1 103" xfId="6240" xr:uid="{00000000-0005-0000-0000-0000021C0000}"/>
    <cellStyle name="Normal - Style1 104" xfId="6241" xr:uid="{00000000-0005-0000-0000-0000031C0000}"/>
    <cellStyle name="Normal - Style1 105" xfId="6242" xr:uid="{00000000-0005-0000-0000-0000041C0000}"/>
    <cellStyle name="Normal - Style1 106" xfId="6243" xr:uid="{00000000-0005-0000-0000-0000051C0000}"/>
    <cellStyle name="Normal - Style1 107" xfId="6244" xr:uid="{00000000-0005-0000-0000-0000061C0000}"/>
    <cellStyle name="Normal - Style1 108" xfId="6245" xr:uid="{00000000-0005-0000-0000-0000071C0000}"/>
    <cellStyle name="Normal - Style1 109" xfId="6246" xr:uid="{00000000-0005-0000-0000-0000081C0000}"/>
    <cellStyle name="Normal - Style1 11" xfId="6247" xr:uid="{00000000-0005-0000-0000-0000091C0000}"/>
    <cellStyle name="Normal - Style1 110" xfId="6248" xr:uid="{00000000-0005-0000-0000-00000A1C0000}"/>
    <cellStyle name="Normal - Style1 111" xfId="6249" xr:uid="{00000000-0005-0000-0000-00000B1C0000}"/>
    <cellStyle name="Normal - Style1 112" xfId="6250" xr:uid="{00000000-0005-0000-0000-00000C1C0000}"/>
    <cellStyle name="Normal - Style1 113" xfId="6251" xr:uid="{00000000-0005-0000-0000-00000D1C0000}"/>
    <cellStyle name="Normal - Style1 114" xfId="6252" xr:uid="{00000000-0005-0000-0000-00000E1C0000}"/>
    <cellStyle name="Normal - Style1 115" xfId="6253" xr:uid="{00000000-0005-0000-0000-00000F1C0000}"/>
    <cellStyle name="Normal - Style1 116" xfId="6254" xr:uid="{00000000-0005-0000-0000-0000101C0000}"/>
    <cellStyle name="Normal - Style1 117" xfId="6255" xr:uid="{00000000-0005-0000-0000-0000111C0000}"/>
    <cellStyle name="Normal - Style1 118" xfId="6256" xr:uid="{00000000-0005-0000-0000-0000121C0000}"/>
    <cellStyle name="Normal - Style1 119" xfId="6257" xr:uid="{00000000-0005-0000-0000-0000131C0000}"/>
    <cellStyle name="Normal - Style1 12" xfId="6258" xr:uid="{00000000-0005-0000-0000-0000141C0000}"/>
    <cellStyle name="Normal - Style1 120" xfId="6259" xr:uid="{00000000-0005-0000-0000-0000151C0000}"/>
    <cellStyle name="Normal - Style1 121" xfId="6260" xr:uid="{00000000-0005-0000-0000-0000161C0000}"/>
    <cellStyle name="Normal - Style1 122" xfId="6261" xr:uid="{00000000-0005-0000-0000-0000171C0000}"/>
    <cellStyle name="Normal - Style1 123" xfId="6262" xr:uid="{00000000-0005-0000-0000-0000181C0000}"/>
    <cellStyle name="Normal - Style1 124" xfId="6263" xr:uid="{00000000-0005-0000-0000-0000191C0000}"/>
    <cellStyle name="Normal - Style1 125" xfId="6264" xr:uid="{00000000-0005-0000-0000-00001A1C0000}"/>
    <cellStyle name="Normal - Style1 13" xfId="6265" xr:uid="{00000000-0005-0000-0000-00001B1C0000}"/>
    <cellStyle name="Normal - Style1 14" xfId="6266" xr:uid="{00000000-0005-0000-0000-00001C1C0000}"/>
    <cellStyle name="Normal - Style1 15" xfId="6267" xr:uid="{00000000-0005-0000-0000-00001D1C0000}"/>
    <cellStyle name="Normal - Style1 15 2" xfId="14536" xr:uid="{00000000-0005-0000-0000-00001E1C0000}"/>
    <cellStyle name="Normal - Style1 16" xfId="6268" xr:uid="{00000000-0005-0000-0000-00001F1C0000}"/>
    <cellStyle name="Normal - Style1 17" xfId="6269" xr:uid="{00000000-0005-0000-0000-0000201C0000}"/>
    <cellStyle name="Normal - Style1 18" xfId="6270" xr:uid="{00000000-0005-0000-0000-0000211C0000}"/>
    <cellStyle name="Normal - Style1 19" xfId="6271" xr:uid="{00000000-0005-0000-0000-0000221C0000}"/>
    <cellStyle name="Normal - Style1 2" xfId="6272" xr:uid="{00000000-0005-0000-0000-0000231C0000}"/>
    <cellStyle name="Normal - Style1 2 2" xfId="6273" xr:uid="{00000000-0005-0000-0000-0000241C0000}"/>
    <cellStyle name="Normal - Style1 2 2 2" xfId="10488" xr:uid="{00000000-0005-0000-0000-0000251C0000}"/>
    <cellStyle name="Normal - Style1 20" xfId="6274" xr:uid="{00000000-0005-0000-0000-0000261C0000}"/>
    <cellStyle name="Normal - Style1 21" xfId="6275" xr:uid="{00000000-0005-0000-0000-0000271C0000}"/>
    <cellStyle name="Normal - Style1 22" xfId="6276" xr:uid="{00000000-0005-0000-0000-0000281C0000}"/>
    <cellStyle name="Normal - Style1 23" xfId="6277" xr:uid="{00000000-0005-0000-0000-0000291C0000}"/>
    <cellStyle name="Normal - Style1 24" xfId="6278" xr:uid="{00000000-0005-0000-0000-00002A1C0000}"/>
    <cellStyle name="Normal - Style1 25" xfId="6279" xr:uid="{00000000-0005-0000-0000-00002B1C0000}"/>
    <cellStyle name="Normal - Style1 26" xfId="6280" xr:uid="{00000000-0005-0000-0000-00002C1C0000}"/>
    <cellStyle name="Normal - Style1 27" xfId="6281" xr:uid="{00000000-0005-0000-0000-00002D1C0000}"/>
    <cellStyle name="Normal - Style1 28" xfId="6282" xr:uid="{00000000-0005-0000-0000-00002E1C0000}"/>
    <cellStyle name="Normal - Style1 29" xfId="6283" xr:uid="{00000000-0005-0000-0000-00002F1C0000}"/>
    <cellStyle name="Normal - Style1 3" xfId="6284" xr:uid="{00000000-0005-0000-0000-0000301C0000}"/>
    <cellStyle name="Normal - Style1 30" xfId="6285" xr:uid="{00000000-0005-0000-0000-0000311C0000}"/>
    <cellStyle name="Normal - Style1 31" xfId="6286" xr:uid="{00000000-0005-0000-0000-0000321C0000}"/>
    <cellStyle name="Normal - Style1 32" xfId="6287" xr:uid="{00000000-0005-0000-0000-0000331C0000}"/>
    <cellStyle name="Normal - Style1 33" xfId="6288" xr:uid="{00000000-0005-0000-0000-0000341C0000}"/>
    <cellStyle name="Normal - Style1 34" xfId="6289" xr:uid="{00000000-0005-0000-0000-0000351C0000}"/>
    <cellStyle name="Normal - Style1 35" xfId="6290" xr:uid="{00000000-0005-0000-0000-0000361C0000}"/>
    <cellStyle name="Normal - Style1 36" xfId="6291" xr:uid="{00000000-0005-0000-0000-0000371C0000}"/>
    <cellStyle name="Normal - Style1 37" xfId="6292" xr:uid="{00000000-0005-0000-0000-0000381C0000}"/>
    <cellStyle name="Normal - Style1 38" xfId="6293" xr:uid="{00000000-0005-0000-0000-0000391C0000}"/>
    <cellStyle name="Normal - Style1 39" xfId="6294" xr:uid="{00000000-0005-0000-0000-00003A1C0000}"/>
    <cellStyle name="Normal - Style1 4" xfId="6295" xr:uid="{00000000-0005-0000-0000-00003B1C0000}"/>
    <cellStyle name="Normal - Style1 40" xfId="6296" xr:uid="{00000000-0005-0000-0000-00003C1C0000}"/>
    <cellStyle name="Normal - Style1 41" xfId="6297" xr:uid="{00000000-0005-0000-0000-00003D1C0000}"/>
    <cellStyle name="Normal - Style1 42" xfId="6298" xr:uid="{00000000-0005-0000-0000-00003E1C0000}"/>
    <cellStyle name="Normal - Style1 43" xfId="6299" xr:uid="{00000000-0005-0000-0000-00003F1C0000}"/>
    <cellStyle name="Normal - Style1 44" xfId="6300" xr:uid="{00000000-0005-0000-0000-0000401C0000}"/>
    <cellStyle name="Normal - Style1 45" xfId="6301" xr:uid="{00000000-0005-0000-0000-0000411C0000}"/>
    <cellStyle name="Normal - Style1 46" xfId="6302" xr:uid="{00000000-0005-0000-0000-0000421C0000}"/>
    <cellStyle name="Normal - Style1 47" xfId="6303" xr:uid="{00000000-0005-0000-0000-0000431C0000}"/>
    <cellStyle name="Normal - Style1 48" xfId="6304" xr:uid="{00000000-0005-0000-0000-0000441C0000}"/>
    <cellStyle name="Normal - Style1 49" xfId="6305" xr:uid="{00000000-0005-0000-0000-0000451C0000}"/>
    <cellStyle name="Normal - Style1 5" xfId="6306" xr:uid="{00000000-0005-0000-0000-0000461C0000}"/>
    <cellStyle name="Normal - Style1 50" xfId="6307" xr:uid="{00000000-0005-0000-0000-0000471C0000}"/>
    <cellStyle name="Normal - Style1 51" xfId="6308" xr:uid="{00000000-0005-0000-0000-0000481C0000}"/>
    <cellStyle name="Normal - Style1 52" xfId="6309" xr:uid="{00000000-0005-0000-0000-0000491C0000}"/>
    <cellStyle name="Normal - Style1 53" xfId="6310" xr:uid="{00000000-0005-0000-0000-00004A1C0000}"/>
    <cellStyle name="Normal - Style1 54" xfId="6311" xr:uid="{00000000-0005-0000-0000-00004B1C0000}"/>
    <cellStyle name="Normal - Style1 55" xfId="6312" xr:uid="{00000000-0005-0000-0000-00004C1C0000}"/>
    <cellStyle name="Normal - Style1 56" xfId="6313" xr:uid="{00000000-0005-0000-0000-00004D1C0000}"/>
    <cellStyle name="Normal - Style1 57" xfId="6314" xr:uid="{00000000-0005-0000-0000-00004E1C0000}"/>
    <cellStyle name="Normal - Style1 58" xfId="6315" xr:uid="{00000000-0005-0000-0000-00004F1C0000}"/>
    <cellStyle name="Normal - Style1 59" xfId="6316" xr:uid="{00000000-0005-0000-0000-0000501C0000}"/>
    <cellStyle name="Normal - Style1 6" xfId="6317" xr:uid="{00000000-0005-0000-0000-0000511C0000}"/>
    <cellStyle name="Normal - Style1 60" xfId="6318" xr:uid="{00000000-0005-0000-0000-0000521C0000}"/>
    <cellStyle name="Normal - Style1 61" xfId="6319" xr:uid="{00000000-0005-0000-0000-0000531C0000}"/>
    <cellStyle name="Normal - Style1 62" xfId="6320" xr:uid="{00000000-0005-0000-0000-0000541C0000}"/>
    <cellStyle name="Normal - Style1 63" xfId="6321" xr:uid="{00000000-0005-0000-0000-0000551C0000}"/>
    <cellStyle name="Normal - Style1 64" xfId="6322" xr:uid="{00000000-0005-0000-0000-0000561C0000}"/>
    <cellStyle name="Normal - Style1 65" xfId="6323" xr:uid="{00000000-0005-0000-0000-0000571C0000}"/>
    <cellStyle name="Normal - Style1 66" xfId="6324" xr:uid="{00000000-0005-0000-0000-0000581C0000}"/>
    <cellStyle name="Normal - Style1 67" xfId="6325" xr:uid="{00000000-0005-0000-0000-0000591C0000}"/>
    <cellStyle name="Normal - Style1 68" xfId="6326" xr:uid="{00000000-0005-0000-0000-00005A1C0000}"/>
    <cellStyle name="Normal - Style1 69" xfId="6327" xr:uid="{00000000-0005-0000-0000-00005B1C0000}"/>
    <cellStyle name="Normal - Style1 7" xfId="6328" xr:uid="{00000000-0005-0000-0000-00005C1C0000}"/>
    <cellStyle name="Normal - Style1 70" xfId="6329" xr:uid="{00000000-0005-0000-0000-00005D1C0000}"/>
    <cellStyle name="Normal - Style1 71" xfId="6330" xr:uid="{00000000-0005-0000-0000-00005E1C0000}"/>
    <cellStyle name="Normal - Style1 72" xfId="6331" xr:uid="{00000000-0005-0000-0000-00005F1C0000}"/>
    <cellStyle name="Normal - Style1 73" xfId="6332" xr:uid="{00000000-0005-0000-0000-0000601C0000}"/>
    <cellStyle name="Normal - Style1 74" xfId="6333" xr:uid="{00000000-0005-0000-0000-0000611C0000}"/>
    <cellStyle name="Normal - Style1 75" xfId="6334" xr:uid="{00000000-0005-0000-0000-0000621C0000}"/>
    <cellStyle name="Normal - Style1 76" xfId="6335" xr:uid="{00000000-0005-0000-0000-0000631C0000}"/>
    <cellStyle name="Normal - Style1 77" xfId="6336" xr:uid="{00000000-0005-0000-0000-0000641C0000}"/>
    <cellStyle name="Normal - Style1 78" xfId="6337" xr:uid="{00000000-0005-0000-0000-0000651C0000}"/>
    <cellStyle name="Normal - Style1 79" xfId="6338" xr:uid="{00000000-0005-0000-0000-0000661C0000}"/>
    <cellStyle name="Normal - Style1 8" xfId="6339" xr:uid="{00000000-0005-0000-0000-0000671C0000}"/>
    <cellStyle name="Normal - Style1 80" xfId="6340" xr:uid="{00000000-0005-0000-0000-0000681C0000}"/>
    <cellStyle name="Normal - Style1 81" xfId="6341" xr:uid="{00000000-0005-0000-0000-0000691C0000}"/>
    <cellStyle name="Normal - Style1 82" xfId="6342" xr:uid="{00000000-0005-0000-0000-00006A1C0000}"/>
    <cellStyle name="Normal - Style1 83" xfId="6343" xr:uid="{00000000-0005-0000-0000-00006B1C0000}"/>
    <cellStyle name="Normal - Style1 84" xfId="6344" xr:uid="{00000000-0005-0000-0000-00006C1C0000}"/>
    <cellStyle name="Normal - Style1 85" xfId="6345" xr:uid="{00000000-0005-0000-0000-00006D1C0000}"/>
    <cellStyle name="Normal - Style1 86" xfId="6346" xr:uid="{00000000-0005-0000-0000-00006E1C0000}"/>
    <cellStyle name="Normal - Style1 87" xfId="6347" xr:uid="{00000000-0005-0000-0000-00006F1C0000}"/>
    <cellStyle name="Normal - Style1 88" xfId="6348" xr:uid="{00000000-0005-0000-0000-0000701C0000}"/>
    <cellStyle name="Normal - Style1 89" xfId="6349" xr:uid="{00000000-0005-0000-0000-0000711C0000}"/>
    <cellStyle name="Normal - Style1 9" xfId="6350" xr:uid="{00000000-0005-0000-0000-0000721C0000}"/>
    <cellStyle name="Normal - Style1 90" xfId="6351" xr:uid="{00000000-0005-0000-0000-0000731C0000}"/>
    <cellStyle name="Normal - Style1 91" xfId="6352" xr:uid="{00000000-0005-0000-0000-0000741C0000}"/>
    <cellStyle name="Normal - Style1 92" xfId="6353" xr:uid="{00000000-0005-0000-0000-0000751C0000}"/>
    <cellStyle name="Normal - Style1 93" xfId="6354" xr:uid="{00000000-0005-0000-0000-0000761C0000}"/>
    <cellStyle name="Normal - Style1 94" xfId="6355" xr:uid="{00000000-0005-0000-0000-0000771C0000}"/>
    <cellStyle name="Normal - Style1 95" xfId="6356" xr:uid="{00000000-0005-0000-0000-0000781C0000}"/>
    <cellStyle name="Normal - Style1 96" xfId="6357" xr:uid="{00000000-0005-0000-0000-0000791C0000}"/>
    <cellStyle name="Normal - Style1 97" xfId="6358" xr:uid="{00000000-0005-0000-0000-00007A1C0000}"/>
    <cellStyle name="Normal - Style1 98" xfId="6359" xr:uid="{00000000-0005-0000-0000-00007B1C0000}"/>
    <cellStyle name="Normal - Style1 99" xfId="6360" xr:uid="{00000000-0005-0000-0000-00007C1C0000}"/>
    <cellStyle name="Normal - Style1_BOQ tong hop ME THAO DIEN Rev-02 (17.3.2014) ong nhom - ML Noniverter" xfId="9687" xr:uid="{00000000-0005-0000-0000-00007D1C0000}"/>
    <cellStyle name="Normal - Style2" xfId="6361" xr:uid="{00000000-0005-0000-0000-00007E1C0000}"/>
    <cellStyle name="Normal - Style3" xfId="6362" xr:uid="{00000000-0005-0000-0000-00007F1C0000}"/>
    <cellStyle name="Normal - Style4" xfId="6363" xr:uid="{00000000-0005-0000-0000-0000801C0000}"/>
    <cellStyle name="Normal - Style5" xfId="6364" xr:uid="{00000000-0005-0000-0000-0000811C0000}"/>
    <cellStyle name="Normal - Style6" xfId="6365" xr:uid="{00000000-0005-0000-0000-0000821C0000}"/>
    <cellStyle name="Normal - Style7" xfId="6366" xr:uid="{00000000-0005-0000-0000-0000831C0000}"/>
    <cellStyle name="Normal - Style8" xfId="6367" xr:uid="{00000000-0005-0000-0000-0000841C0000}"/>
    <cellStyle name="Normal - スタイル2" xfId="6368" xr:uid="{00000000-0005-0000-0000-0000851C0000}"/>
    <cellStyle name="Normal - スタイル3" xfId="6369" xr:uid="{00000000-0005-0000-0000-0000861C0000}"/>
    <cellStyle name="Normal - スタイル4" xfId="6370" xr:uid="{00000000-0005-0000-0000-0000871C0000}"/>
    <cellStyle name="Normal - スタイル5" xfId="6371" xr:uid="{00000000-0005-0000-0000-0000881C0000}"/>
    <cellStyle name="Normal - スタイル6" xfId="6372" xr:uid="{00000000-0005-0000-0000-0000891C0000}"/>
    <cellStyle name="Normal - スタイル7" xfId="6373" xr:uid="{00000000-0005-0000-0000-00008A1C0000}"/>
    <cellStyle name="Normal - スタイル8" xfId="6374" xr:uid="{00000000-0005-0000-0000-00008B1C0000}"/>
    <cellStyle name="Normal 10" xfId="6375" xr:uid="{00000000-0005-0000-0000-00008C1C0000}"/>
    <cellStyle name="Normal 10 2" xfId="6376" xr:uid="{00000000-0005-0000-0000-00008D1C0000}"/>
    <cellStyle name="Normal 10 2 2" xfId="6377" xr:uid="{00000000-0005-0000-0000-00008E1C0000}"/>
    <cellStyle name="Normal 10 2 3" xfId="14575" xr:uid="{6FD9D789-DED0-47C6-BEA7-4FF5F03A4228}"/>
    <cellStyle name="Normal 10 2 6 2" xfId="14551" xr:uid="{00000000-0005-0000-0000-00008F1C0000}"/>
    <cellStyle name="Normal 10 3" xfId="6378" xr:uid="{00000000-0005-0000-0000-0000901C0000}"/>
    <cellStyle name="Normal 10 3 2" xfId="6379" xr:uid="{00000000-0005-0000-0000-0000911C0000}"/>
    <cellStyle name="Normal 104 2" xfId="6380" xr:uid="{00000000-0005-0000-0000-0000921C0000}"/>
    <cellStyle name="Normal 104 2 2" xfId="6381" xr:uid="{00000000-0005-0000-0000-0000931C0000}"/>
    <cellStyle name="Normal 104 2 3" xfId="6382" xr:uid="{00000000-0005-0000-0000-0000941C0000}"/>
    <cellStyle name="Normal 104 2 4" xfId="6383" xr:uid="{00000000-0005-0000-0000-0000951C0000}"/>
    <cellStyle name="Normal 104 3" xfId="6384" xr:uid="{00000000-0005-0000-0000-0000961C0000}"/>
    <cellStyle name="Normal 105" xfId="6385" xr:uid="{00000000-0005-0000-0000-0000971C0000}"/>
    <cellStyle name="Normal 105 2" xfId="6386" xr:uid="{00000000-0005-0000-0000-0000981C0000}"/>
    <cellStyle name="Normal 105 3" xfId="6387" xr:uid="{00000000-0005-0000-0000-0000991C0000}"/>
    <cellStyle name="Normal 106" xfId="6388" xr:uid="{00000000-0005-0000-0000-00009A1C0000}"/>
    <cellStyle name="Normal 106 2" xfId="6389" xr:uid="{00000000-0005-0000-0000-00009B1C0000}"/>
    <cellStyle name="Normal 106 2 2" xfId="6390" xr:uid="{00000000-0005-0000-0000-00009C1C0000}"/>
    <cellStyle name="Normal 106 2 2 2" xfId="6391" xr:uid="{00000000-0005-0000-0000-00009D1C0000}"/>
    <cellStyle name="Normal 106 2 2 2 2" xfId="6392" xr:uid="{00000000-0005-0000-0000-00009E1C0000}"/>
    <cellStyle name="Normal 106 2 2 2 2 2" xfId="6393" xr:uid="{00000000-0005-0000-0000-00009F1C0000}"/>
    <cellStyle name="Normal 106 2 2 2 2 2 2" xfId="6394" xr:uid="{00000000-0005-0000-0000-0000A01C0000}"/>
    <cellStyle name="Normal 106 2 2 2 2 3" xfId="6395" xr:uid="{00000000-0005-0000-0000-0000A11C0000}"/>
    <cellStyle name="Normal 106 2 2 2 3" xfId="6396" xr:uid="{00000000-0005-0000-0000-0000A21C0000}"/>
    <cellStyle name="Normal 106 2 2 2 3 2" xfId="6397" xr:uid="{00000000-0005-0000-0000-0000A31C0000}"/>
    <cellStyle name="Normal 106 2 2 2 4" xfId="6398" xr:uid="{00000000-0005-0000-0000-0000A41C0000}"/>
    <cellStyle name="Normal 106 2 2 3" xfId="6399" xr:uid="{00000000-0005-0000-0000-0000A51C0000}"/>
    <cellStyle name="Normal 106 2 2 3 2" xfId="6400" xr:uid="{00000000-0005-0000-0000-0000A61C0000}"/>
    <cellStyle name="Normal 106 2 2 3 2 2" xfId="6401" xr:uid="{00000000-0005-0000-0000-0000A71C0000}"/>
    <cellStyle name="Normal 106 2 2 3 3" xfId="6402" xr:uid="{00000000-0005-0000-0000-0000A81C0000}"/>
    <cellStyle name="Normal 106 2 2 4" xfId="6403" xr:uid="{00000000-0005-0000-0000-0000A91C0000}"/>
    <cellStyle name="Normal 106 2 2 4 2" xfId="6404" xr:uid="{00000000-0005-0000-0000-0000AA1C0000}"/>
    <cellStyle name="Normal 106 2 2 5" xfId="6405" xr:uid="{00000000-0005-0000-0000-0000AB1C0000}"/>
    <cellStyle name="Normal 106 2 3" xfId="6406" xr:uid="{00000000-0005-0000-0000-0000AC1C0000}"/>
    <cellStyle name="Normal 106 2 3 2" xfId="6407" xr:uid="{00000000-0005-0000-0000-0000AD1C0000}"/>
    <cellStyle name="Normal 106 2 3 2 2" xfId="6408" xr:uid="{00000000-0005-0000-0000-0000AE1C0000}"/>
    <cellStyle name="Normal 106 2 3 3" xfId="6409" xr:uid="{00000000-0005-0000-0000-0000AF1C0000}"/>
    <cellStyle name="Normal 106 2 4" xfId="6410" xr:uid="{00000000-0005-0000-0000-0000B01C0000}"/>
    <cellStyle name="Normal 106 2 4 2" xfId="6411" xr:uid="{00000000-0005-0000-0000-0000B11C0000}"/>
    <cellStyle name="Normal 106 2 5" xfId="6412" xr:uid="{00000000-0005-0000-0000-0000B21C0000}"/>
    <cellStyle name="Normal 106 3" xfId="6413" xr:uid="{00000000-0005-0000-0000-0000B31C0000}"/>
    <cellStyle name="Normal 107 2" xfId="6414" xr:uid="{00000000-0005-0000-0000-0000B41C0000}"/>
    <cellStyle name="Normal 107 3" xfId="6415" xr:uid="{00000000-0005-0000-0000-0000B51C0000}"/>
    <cellStyle name="Normal 109" xfId="6416" xr:uid="{00000000-0005-0000-0000-0000B61C0000}"/>
    <cellStyle name="Normal 109 2" xfId="6417" xr:uid="{00000000-0005-0000-0000-0000B71C0000}"/>
    <cellStyle name="Normal 109 3" xfId="6418" xr:uid="{00000000-0005-0000-0000-0000B81C0000}"/>
    <cellStyle name="Normal 109 4" xfId="6419" xr:uid="{00000000-0005-0000-0000-0000B91C0000}"/>
    <cellStyle name="Normal 11" xfId="6420" xr:uid="{00000000-0005-0000-0000-0000BA1C0000}"/>
    <cellStyle name="Normal 11 2" xfId="6421" xr:uid="{00000000-0005-0000-0000-0000BB1C0000}"/>
    <cellStyle name="Normal 11 2 2" xfId="6422" xr:uid="{00000000-0005-0000-0000-0000BC1C0000}"/>
    <cellStyle name="Normal 11 2 2 2" xfId="6423" xr:uid="{00000000-0005-0000-0000-0000BD1C0000}"/>
    <cellStyle name="Normal 11 2 3" xfId="6424" xr:uid="{00000000-0005-0000-0000-0000BE1C0000}"/>
    <cellStyle name="Normal 11 2 4" xfId="6425" xr:uid="{00000000-0005-0000-0000-0000BF1C0000}"/>
    <cellStyle name="Normal 11 3" xfId="6426" xr:uid="{00000000-0005-0000-0000-0000C01C0000}"/>
    <cellStyle name="Normal 11 3 2" xfId="6427" xr:uid="{00000000-0005-0000-0000-0000C11C0000}"/>
    <cellStyle name="Normal 11 4" xfId="6428" xr:uid="{00000000-0005-0000-0000-0000C21C0000}"/>
    <cellStyle name="Normal 110" xfId="6429" xr:uid="{00000000-0005-0000-0000-0000C31C0000}"/>
    <cellStyle name="Normal 110 2" xfId="6430" xr:uid="{00000000-0005-0000-0000-0000C41C0000}"/>
    <cellStyle name="Normal 110 3" xfId="6431" xr:uid="{00000000-0005-0000-0000-0000C51C0000}"/>
    <cellStyle name="Normal 111" xfId="6432" xr:uid="{00000000-0005-0000-0000-0000C61C0000}"/>
    <cellStyle name="Normal 111 2" xfId="6433" xr:uid="{00000000-0005-0000-0000-0000C71C0000}"/>
    <cellStyle name="Normal 111 3" xfId="6434" xr:uid="{00000000-0005-0000-0000-0000C81C0000}"/>
    <cellStyle name="Normal 112" xfId="6435" xr:uid="{00000000-0005-0000-0000-0000C91C0000}"/>
    <cellStyle name="Normal 112 2" xfId="6436" xr:uid="{00000000-0005-0000-0000-0000CA1C0000}"/>
    <cellStyle name="Normal 112 3" xfId="6437" xr:uid="{00000000-0005-0000-0000-0000CB1C0000}"/>
    <cellStyle name="Normal 112 4" xfId="6438" xr:uid="{00000000-0005-0000-0000-0000CC1C0000}"/>
    <cellStyle name="Normal 113" xfId="6439" xr:uid="{00000000-0005-0000-0000-0000CD1C0000}"/>
    <cellStyle name="Normal 113 2" xfId="6440" xr:uid="{00000000-0005-0000-0000-0000CE1C0000}"/>
    <cellStyle name="Normal 113 3" xfId="6441" xr:uid="{00000000-0005-0000-0000-0000CF1C0000}"/>
    <cellStyle name="Normal 113 4" xfId="6442" xr:uid="{00000000-0005-0000-0000-0000D01C0000}"/>
    <cellStyle name="Normal 114" xfId="6443" xr:uid="{00000000-0005-0000-0000-0000D11C0000}"/>
    <cellStyle name="Normal 114 2" xfId="6444" xr:uid="{00000000-0005-0000-0000-0000D21C0000}"/>
    <cellStyle name="Normal 114 3" xfId="6445" xr:uid="{00000000-0005-0000-0000-0000D31C0000}"/>
    <cellStyle name="Normal 114 4" xfId="6446" xr:uid="{00000000-0005-0000-0000-0000D41C0000}"/>
    <cellStyle name="Normal 115" xfId="6447" xr:uid="{00000000-0005-0000-0000-0000D51C0000}"/>
    <cellStyle name="Normal 115 2" xfId="6448" xr:uid="{00000000-0005-0000-0000-0000D61C0000}"/>
    <cellStyle name="Normal 115 3" xfId="6449" xr:uid="{00000000-0005-0000-0000-0000D71C0000}"/>
    <cellStyle name="Normal 115 4" xfId="6450" xr:uid="{00000000-0005-0000-0000-0000D81C0000}"/>
    <cellStyle name="Normal 116" xfId="6451" xr:uid="{00000000-0005-0000-0000-0000D91C0000}"/>
    <cellStyle name="Normal 116 2" xfId="6452" xr:uid="{00000000-0005-0000-0000-0000DA1C0000}"/>
    <cellStyle name="Normal 116 3" xfId="6453" xr:uid="{00000000-0005-0000-0000-0000DB1C0000}"/>
    <cellStyle name="Normal 116 4" xfId="6454" xr:uid="{00000000-0005-0000-0000-0000DC1C0000}"/>
    <cellStyle name="Normal 117" xfId="6455" xr:uid="{00000000-0005-0000-0000-0000DD1C0000}"/>
    <cellStyle name="Normal 117 2" xfId="6456" xr:uid="{00000000-0005-0000-0000-0000DE1C0000}"/>
    <cellStyle name="Normal 117 3" xfId="6457" xr:uid="{00000000-0005-0000-0000-0000DF1C0000}"/>
    <cellStyle name="Normal 117 4" xfId="6458" xr:uid="{00000000-0005-0000-0000-0000E01C0000}"/>
    <cellStyle name="Normal 12" xfId="6459" xr:uid="{00000000-0005-0000-0000-0000E11C0000}"/>
    <cellStyle name="Normal 12 2" xfId="6460" xr:uid="{00000000-0005-0000-0000-0000E21C0000}"/>
    <cellStyle name="Normal 12 2 2" xfId="6461" xr:uid="{00000000-0005-0000-0000-0000E31C0000}"/>
    <cellStyle name="Normal 12 2 2 2" xfId="6462" xr:uid="{00000000-0005-0000-0000-0000E41C0000}"/>
    <cellStyle name="Normal 12 2 3" xfId="6463" xr:uid="{00000000-0005-0000-0000-0000E51C0000}"/>
    <cellStyle name="Normal 12 3" xfId="6464" xr:uid="{00000000-0005-0000-0000-0000E61C0000}"/>
    <cellStyle name="Normal 12 3 2" xfId="6465" xr:uid="{00000000-0005-0000-0000-0000E71C0000}"/>
    <cellStyle name="Normal 12 3 2 2" xfId="6466" xr:uid="{00000000-0005-0000-0000-0000E81C0000}"/>
    <cellStyle name="Normal 12 3 2 3" xfId="6467" xr:uid="{00000000-0005-0000-0000-0000E91C0000}"/>
    <cellStyle name="Normal 12 3 3" xfId="6468" xr:uid="{00000000-0005-0000-0000-0000EA1C0000}"/>
    <cellStyle name="Normal 12 3 3 2" xfId="6469" xr:uid="{00000000-0005-0000-0000-0000EB1C0000}"/>
    <cellStyle name="Normal 12 3 3 3" xfId="6470" xr:uid="{00000000-0005-0000-0000-0000EC1C0000}"/>
    <cellStyle name="Normal 12 3 4" xfId="6471" xr:uid="{00000000-0005-0000-0000-0000ED1C0000}"/>
    <cellStyle name="Normal 12 4" xfId="6472" xr:uid="{00000000-0005-0000-0000-0000EE1C0000}"/>
    <cellStyle name="Normal 12 4 2" xfId="6473" xr:uid="{00000000-0005-0000-0000-0000EF1C0000}"/>
    <cellStyle name="Normal 12 4 2 2" xfId="6474" xr:uid="{00000000-0005-0000-0000-0000F01C0000}"/>
    <cellStyle name="Normal 12 4 2 2 2" xfId="6475" xr:uid="{00000000-0005-0000-0000-0000F11C0000}"/>
    <cellStyle name="Normal 12 4 2 2 3" xfId="6476" xr:uid="{00000000-0005-0000-0000-0000F21C0000}"/>
    <cellStyle name="Normal 12 4 2 3" xfId="6477" xr:uid="{00000000-0005-0000-0000-0000F31C0000}"/>
    <cellStyle name="Normal 12 4 3" xfId="6478" xr:uid="{00000000-0005-0000-0000-0000F41C0000}"/>
    <cellStyle name="Normal 13" xfId="6479" xr:uid="{00000000-0005-0000-0000-0000F51C0000}"/>
    <cellStyle name="Normal 13 2" xfId="6480" xr:uid="{00000000-0005-0000-0000-0000F61C0000}"/>
    <cellStyle name="Normal 13 3" xfId="6481" xr:uid="{00000000-0005-0000-0000-0000F71C0000}"/>
    <cellStyle name="Normal 13 4" xfId="14547" xr:uid="{00000000-0005-0000-0000-0000F81C0000}"/>
    <cellStyle name="Normal 13 5" xfId="14625" xr:uid="{992E78B1-BF67-44D9-89D6-B462DD6DB2AE}"/>
    <cellStyle name="Normal 14" xfId="6482" xr:uid="{00000000-0005-0000-0000-0000F91C0000}"/>
    <cellStyle name="Normal 14 2" xfId="6483" xr:uid="{00000000-0005-0000-0000-0000FA1C0000}"/>
    <cellStyle name="Normal 14 2 2" xfId="10479" xr:uid="{00000000-0005-0000-0000-0000FB1C0000}"/>
    <cellStyle name="Normal 14 3" xfId="6484" xr:uid="{00000000-0005-0000-0000-0000FC1C0000}"/>
    <cellStyle name="Normal 15" xfId="6485" xr:uid="{00000000-0005-0000-0000-0000FD1C0000}"/>
    <cellStyle name="Normal 15 2" xfId="6486" xr:uid="{00000000-0005-0000-0000-0000FE1C0000}"/>
    <cellStyle name="Normal 15 3" xfId="6487" xr:uid="{00000000-0005-0000-0000-0000FF1C0000}"/>
    <cellStyle name="Normal 16" xfId="6488" xr:uid="{00000000-0005-0000-0000-0000001D0000}"/>
    <cellStyle name="Normal 16 2" xfId="6489" xr:uid="{00000000-0005-0000-0000-0000011D0000}"/>
    <cellStyle name="Normal 16 2 2" xfId="14543" xr:uid="{00000000-0005-0000-0000-0000021D0000}"/>
    <cellStyle name="Normal 16 3" xfId="6490" xr:uid="{00000000-0005-0000-0000-0000031D0000}"/>
    <cellStyle name="Normal 17" xfId="6491" xr:uid="{00000000-0005-0000-0000-0000041D0000}"/>
    <cellStyle name="Normal 17 2 2" xfId="14626" xr:uid="{41D64A13-FF7F-4886-ADC7-57B5A658D545}"/>
    <cellStyle name="Normal 18" xfId="6492" xr:uid="{00000000-0005-0000-0000-0000051D0000}"/>
    <cellStyle name="Normal 18 2" xfId="14542" xr:uid="{00000000-0005-0000-0000-0000061D0000}"/>
    <cellStyle name="Normal 19" xfId="6493" xr:uid="{00000000-0005-0000-0000-0000071D0000}"/>
    <cellStyle name="Normal 19 2" xfId="6494" xr:uid="{00000000-0005-0000-0000-0000081D0000}"/>
    <cellStyle name="Normal 19 3" xfId="6495" xr:uid="{00000000-0005-0000-0000-0000091D0000}"/>
    <cellStyle name="Normal 19 4" xfId="14546" xr:uid="{00000000-0005-0000-0000-00000A1D0000}"/>
    <cellStyle name="Normal 2" xfId="6496" xr:uid="{00000000-0005-0000-0000-00000B1D0000}"/>
    <cellStyle name="Normal 2 10" xfId="6497" xr:uid="{00000000-0005-0000-0000-00000C1D0000}"/>
    <cellStyle name="Normal 2 10 2 2" xfId="14603" xr:uid="{1CE6F79A-0AF8-4537-BCDD-4232411BA95E}"/>
    <cellStyle name="Normal 2 10 4" xfId="14529" xr:uid="{00000000-0005-0000-0000-00000D1D0000}"/>
    <cellStyle name="Normal 2 135" xfId="9770" xr:uid="{00000000-0005-0000-0000-00000E1D0000}"/>
    <cellStyle name="Normal 2 2" xfId="6498" xr:uid="{00000000-0005-0000-0000-00000F1D0000}"/>
    <cellStyle name="Normal 2 2 2" xfId="12" xr:uid="{00000000-0005-0000-0000-0000101D0000}"/>
    <cellStyle name="Normal 2 2 2 2" xfId="6499" xr:uid="{00000000-0005-0000-0000-0000111D0000}"/>
    <cellStyle name="Normal 2 2 2 2 2" xfId="14581" xr:uid="{A50D4CE2-A421-4863-85DB-886905796EA6}"/>
    <cellStyle name="Normal 2 2 2 2 2 2" xfId="14559" xr:uid="{C0C5383A-8F59-44FF-A45F-CC9F9AAEA45E}"/>
    <cellStyle name="Normal 2 2 2 2 2 3" xfId="14563" xr:uid="{49EEAA09-9AE0-44AF-892D-22D7C09AD0CE}"/>
    <cellStyle name="Normal 2 2 2 2 3" xfId="14550" xr:uid="{00000000-0005-0000-0000-0000121D0000}"/>
    <cellStyle name="Normal 2 2 2 2 3 4" xfId="14573" xr:uid="{B9968F6E-F70D-42AF-B1F3-DC0902BCFE9A}"/>
    <cellStyle name="Normal 2 2 2 3" xfId="9771" xr:uid="{00000000-0005-0000-0000-0000131D0000}"/>
    <cellStyle name="Normal 2 2 2 4" xfId="14532" xr:uid="{00000000-0005-0000-0000-0000141D0000}"/>
    <cellStyle name="Normal 2 2 3" xfId="15" xr:uid="{00000000-0005-0000-0000-0000151D0000}"/>
    <cellStyle name="Normal 2 2 3 10" xfId="10473" xr:uid="{00000000-0005-0000-0000-0000161D0000}"/>
    <cellStyle name="Normal 2 2 3 10 2" xfId="10475" xr:uid="{00000000-0005-0000-0000-0000171D0000}"/>
    <cellStyle name="Normal 2 2 3 2 2" xfId="14571" xr:uid="{B130D009-1A28-4B76-BC2A-6EB5E5A0A8BB}"/>
    <cellStyle name="Normal 2 2 4" xfId="6500" xr:uid="{00000000-0005-0000-0000-0000181D0000}"/>
    <cellStyle name="Normal 2 2 5" xfId="14586" xr:uid="{1BF088A1-0850-4B04-8083-F384DE9C3EA7}"/>
    <cellStyle name="Normal 2 2 5 2" xfId="14641" xr:uid="{42F9502F-4EE4-465B-8C1B-832A4F40716F}"/>
    <cellStyle name="Normal 2 2_BP05 15 Sept 08  BQ (Formatted by DLSVN) _ JBM" xfId="6501" xr:uid="{00000000-0005-0000-0000-0000191D0000}"/>
    <cellStyle name="Normal 2 3" xfId="6" xr:uid="{00000000-0005-0000-0000-00001A1D0000}"/>
    <cellStyle name="Normal 2 3 2" xfId="13" xr:uid="{00000000-0005-0000-0000-00001B1D0000}"/>
    <cellStyle name="Normal 2 3 2 2" xfId="6502" xr:uid="{00000000-0005-0000-0000-00001C1D0000}"/>
    <cellStyle name="Normal 2 4" xfId="6503" xr:uid="{00000000-0005-0000-0000-00001D1D0000}"/>
    <cellStyle name="Normal 2 4 2" xfId="6504" xr:uid="{00000000-0005-0000-0000-00001E1D0000}"/>
    <cellStyle name="Normal 2 4 2 2" xfId="18" xr:uid="{00000000-0005-0000-0000-00001F1D0000}"/>
    <cellStyle name="Normal 2 5" xfId="6505" xr:uid="{00000000-0005-0000-0000-0000201D0000}"/>
    <cellStyle name="Normal 2 5 2" xfId="6506" xr:uid="{00000000-0005-0000-0000-0000211D0000}"/>
    <cellStyle name="Normal 2 5 3 2" xfId="14646" xr:uid="{F8CE2D64-F929-45F1-806A-7A70B310F7B4}"/>
    <cellStyle name="Normal 2 6" xfId="6507" xr:uid="{00000000-0005-0000-0000-0000221D0000}"/>
    <cellStyle name="Normal 2 6 2" xfId="14545" xr:uid="{00000000-0005-0000-0000-0000231D0000}"/>
    <cellStyle name="Normal 2 6 2 2" xfId="14572" xr:uid="{EB8B622C-2F9B-48F2-8400-6B56F58D8ADE}"/>
    <cellStyle name="Normal 2 7" xfId="6508" xr:uid="{00000000-0005-0000-0000-0000241D0000}"/>
    <cellStyle name="Normal 2 8" xfId="14538" xr:uid="{00000000-0005-0000-0000-0000251D0000}"/>
    <cellStyle name="Normal 2_bang chi tiet_ACMV 25-06-2011" xfId="6509" xr:uid="{00000000-0005-0000-0000-0000261D0000}"/>
    <cellStyle name="Normal 20" xfId="6510" xr:uid="{00000000-0005-0000-0000-0000271D0000}"/>
    <cellStyle name="Normal 20 2" xfId="14531" xr:uid="{00000000-0005-0000-0000-0000281D0000}"/>
    <cellStyle name="Normal 20 3" xfId="14548" xr:uid="{00000000-0005-0000-0000-0000291D0000}"/>
    <cellStyle name="Normal 21" xfId="6511" xr:uid="{00000000-0005-0000-0000-00002A1D0000}"/>
    <cellStyle name="Normal 21 2" xfId="14534" xr:uid="{00000000-0005-0000-0000-00002B1D0000}"/>
    <cellStyle name="Normal 22" xfId="6512" xr:uid="{00000000-0005-0000-0000-00002C1D0000}"/>
    <cellStyle name="Normal 23" xfId="6513" xr:uid="{00000000-0005-0000-0000-00002D1D0000}"/>
    <cellStyle name="Normal 23 2" xfId="6514" xr:uid="{00000000-0005-0000-0000-00002E1D0000}"/>
    <cellStyle name="Normal 23 3" xfId="10452" xr:uid="{00000000-0005-0000-0000-00002F1D0000}"/>
    <cellStyle name="Normal 24" xfId="6515" xr:uid="{00000000-0005-0000-0000-0000301D0000}"/>
    <cellStyle name="Normal 24 2" xfId="6516" xr:uid="{00000000-0005-0000-0000-0000311D0000}"/>
    <cellStyle name="Normal 24 3" xfId="14655" xr:uid="{BB305669-6718-41FC-96D6-1481382EA178}"/>
    <cellStyle name="Normal 24 4 2" xfId="14618" xr:uid="{1D5CD2EA-6532-4EB6-903A-8CDA0FB71175}"/>
    <cellStyle name="Normal 25" xfId="6517" xr:uid="{00000000-0005-0000-0000-0000321D0000}"/>
    <cellStyle name="Normal 25 2" xfId="14535" xr:uid="{00000000-0005-0000-0000-0000331D0000}"/>
    <cellStyle name="Normal 25 2 2" xfId="14622" xr:uid="{47DBC432-87EB-4566-8BC6-32A8CEB1E5C2}"/>
    <cellStyle name="Normal 26" xfId="10068" xr:uid="{00000000-0005-0000-0000-0000341D0000}"/>
    <cellStyle name="Normal 26 2" xfId="10116" xr:uid="{00000000-0005-0000-0000-0000351D0000}"/>
    <cellStyle name="Normal 26 2 2" xfId="10480" xr:uid="{00000000-0005-0000-0000-0000361D0000}"/>
    <cellStyle name="Normal 27" xfId="10117" xr:uid="{00000000-0005-0000-0000-0000371D0000}"/>
    <cellStyle name="Normal 28" xfId="10474" xr:uid="{00000000-0005-0000-0000-0000381D0000}"/>
    <cellStyle name="Normal 29" xfId="10477" xr:uid="{00000000-0005-0000-0000-0000391D0000}"/>
    <cellStyle name="Normal 3" xfId="6518" xr:uid="{00000000-0005-0000-0000-00003A1D0000}"/>
    <cellStyle name="Normal 3 10" xfId="6519" xr:uid="{00000000-0005-0000-0000-00003B1D0000}"/>
    <cellStyle name="Normal 3 10 2" xfId="10486" xr:uid="{00000000-0005-0000-0000-00003C1D0000}"/>
    <cellStyle name="Normal 3 100" xfId="6520" xr:uid="{00000000-0005-0000-0000-00003D1D0000}"/>
    <cellStyle name="Normal 3 101" xfId="6521" xr:uid="{00000000-0005-0000-0000-00003E1D0000}"/>
    <cellStyle name="Normal 3 102" xfId="6522" xr:uid="{00000000-0005-0000-0000-00003F1D0000}"/>
    <cellStyle name="Normal 3 103" xfId="10118" xr:uid="{00000000-0005-0000-0000-0000401D0000}"/>
    <cellStyle name="Normal 3 104" xfId="14539" xr:uid="{00000000-0005-0000-0000-0000411D0000}"/>
    <cellStyle name="Normal 3 104 2" xfId="14574" xr:uid="{0D13C29E-1B7F-4524-B505-FC4213B71B4C}"/>
    <cellStyle name="Normal 3 104 2 2" xfId="14654" xr:uid="{C2093679-2197-4652-9C6D-7B6C71191F32}"/>
    <cellStyle name="Normal 3 104 3" xfId="14636" xr:uid="{749A9061-DB2E-4467-8BD8-E4969682772B}"/>
    <cellStyle name="Normal 3 104 3 2" xfId="14650" xr:uid="{A9BE15D3-613E-4E83-901A-47B3FF19EB87}"/>
    <cellStyle name="Normal 3 104 4" xfId="14647" xr:uid="{289AEC4D-2E26-411D-97D9-EF02C04136AC}"/>
    <cellStyle name="Normal 3 105" xfId="14612" xr:uid="{05FA53A5-01F6-49D7-B5A9-1F4C125B2DD7}"/>
    <cellStyle name="Normal 3 106" xfId="14648" xr:uid="{45861DE5-E92E-4B9A-93E3-FE4EAB98BBA1}"/>
    <cellStyle name="Normal 3 11" xfId="6523" xr:uid="{00000000-0005-0000-0000-0000421D0000}"/>
    <cellStyle name="Normal 3 12" xfId="6524" xr:uid="{00000000-0005-0000-0000-0000431D0000}"/>
    <cellStyle name="Normal 3 13" xfId="6525" xr:uid="{00000000-0005-0000-0000-0000441D0000}"/>
    <cellStyle name="Normal 3 14" xfId="6526" xr:uid="{00000000-0005-0000-0000-0000451D0000}"/>
    <cellStyle name="Normal 3 15" xfId="6527" xr:uid="{00000000-0005-0000-0000-0000461D0000}"/>
    <cellStyle name="Normal 3 16" xfId="6528" xr:uid="{00000000-0005-0000-0000-0000471D0000}"/>
    <cellStyle name="Normal 3 17" xfId="6529" xr:uid="{00000000-0005-0000-0000-0000481D0000}"/>
    <cellStyle name="Normal 3 18" xfId="6530" xr:uid="{00000000-0005-0000-0000-0000491D0000}"/>
    <cellStyle name="Normal 3 19" xfId="6531" xr:uid="{00000000-0005-0000-0000-00004A1D0000}"/>
    <cellStyle name="Normal 3 2" xfId="6532" xr:uid="{00000000-0005-0000-0000-00004B1D0000}"/>
    <cellStyle name="Normal 3 2 2" xfId="6533" xr:uid="{00000000-0005-0000-0000-00004C1D0000}"/>
    <cellStyle name="Normal 3 2 3" xfId="14554" xr:uid="{6A2D8E06-A531-4EE1-9D20-B5EB228F10F7}"/>
    <cellStyle name="Normal 3 2 4" xfId="14609" xr:uid="{AC0CE9C5-BD89-45BA-ADF2-232DF9652D10}"/>
    <cellStyle name="Normal 3 20" xfId="6534" xr:uid="{00000000-0005-0000-0000-00004D1D0000}"/>
    <cellStyle name="Normal 3 21" xfId="6535" xr:uid="{00000000-0005-0000-0000-00004E1D0000}"/>
    <cellStyle name="Normal 3 22" xfId="6536" xr:uid="{00000000-0005-0000-0000-00004F1D0000}"/>
    <cellStyle name="Normal 3 23" xfId="6537" xr:uid="{00000000-0005-0000-0000-0000501D0000}"/>
    <cellStyle name="Normal 3 24" xfId="6538" xr:uid="{00000000-0005-0000-0000-0000511D0000}"/>
    <cellStyle name="Normal 3 25" xfId="6539" xr:uid="{00000000-0005-0000-0000-0000521D0000}"/>
    <cellStyle name="Normal 3 26" xfId="6540" xr:uid="{00000000-0005-0000-0000-0000531D0000}"/>
    <cellStyle name="Normal 3 27" xfId="6541" xr:uid="{00000000-0005-0000-0000-0000541D0000}"/>
    <cellStyle name="Normal 3 28" xfId="6542" xr:uid="{00000000-0005-0000-0000-0000551D0000}"/>
    <cellStyle name="Normal 3 29" xfId="6543" xr:uid="{00000000-0005-0000-0000-0000561D0000}"/>
    <cellStyle name="Normal 3 3" xfId="6544" xr:uid="{00000000-0005-0000-0000-0000571D0000}"/>
    <cellStyle name="Normal 3 3 2" xfId="6545" xr:uid="{00000000-0005-0000-0000-0000581D0000}"/>
    <cellStyle name="Normal 3 3 2 2" xfId="6546" xr:uid="{00000000-0005-0000-0000-0000591D0000}"/>
    <cellStyle name="Normal 3 3 3" xfId="6547" xr:uid="{00000000-0005-0000-0000-00005A1D0000}"/>
    <cellStyle name="Normal 3 3 3 2" xfId="6548" xr:uid="{00000000-0005-0000-0000-00005B1D0000}"/>
    <cellStyle name="Normal 3 3 3 2 2" xfId="6549" xr:uid="{00000000-0005-0000-0000-00005C1D0000}"/>
    <cellStyle name="Normal 3 3 3 3" xfId="6550" xr:uid="{00000000-0005-0000-0000-00005D1D0000}"/>
    <cellStyle name="Normal 3 3 4" xfId="6551" xr:uid="{00000000-0005-0000-0000-00005E1D0000}"/>
    <cellStyle name="Normal 3 3 4 2" xfId="6552" xr:uid="{00000000-0005-0000-0000-00005F1D0000}"/>
    <cellStyle name="Normal 3 3 5" xfId="6553" xr:uid="{00000000-0005-0000-0000-0000601D0000}"/>
    <cellStyle name="Normal 3 30" xfId="6554" xr:uid="{00000000-0005-0000-0000-0000611D0000}"/>
    <cellStyle name="Normal 3 31" xfId="6555" xr:uid="{00000000-0005-0000-0000-0000621D0000}"/>
    <cellStyle name="Normal 3 32" xfId="6556" xr:uid="{00000000-0005-0000-0000-0000631D0000}"/>
    <cellStyle name="Normal 3 33" xfId="6557" xr:uid="{00000000-0005-0000-0000-0000641D0000}"/>
    <cellStyle name="Normal 3 34" xfId="6558" xr:uid="{00000000-0005-0000-0000-0000651D0000}"/>
    <cellStyle name="Normal 3 35" xfId="6559" xr:uid="{00000000-0005-0000-0000-0000661D0000}"/>
    <cellStyle name="Normal 3 36" xfId="6560" xr:uid="{00000000-0005-0000-0000-0000671D0000}"/>
    <cellStyle name="Normal 3 37" xfId="6561" xr:uid="{00000000-0005-0000-0000-0000681D0000}"/>
    <cellStyle name="Normal 3 38" xfId="6562" xr:uid="{00000000-0005-0000-0000-0000691D0000}"/>
    <cellStyle name="Normal 3 39" xfId="6563" xr:uid="{00000000-0005-0000-0000-00006A1D0000}"/>
    <cellStyle name="Normal 3 4" xfId="6564" xr:uid="{00000000-0005-0000-0000-00006B1D0000}"/>
    <cellStyle name="Normal 3 4 2" xfId="6565" xr:uid="{00000000-0005-0000-0000-00006C1D0000}"/>
    <cellStyle name="Normal 3 40" xfId="6566" xr:uid="{00000000-0005-0000-0000-00006D1D0000}"/>
    <cellStyle name="Normal 3 41" xfId="6567" xr:uid="{00000000-0005-0000-0000-00006E1D0000}"/>
    <cellStyle name="Normal 3 42" xfId="6568" xr:uid="{00000000-0005-0000-0000-00006F1D0000}"/>
    <cellStyle name="Normal 3 43" xfId="6569" xr:uid="{00000000-0005-0000-0000-0000701D0000}"/>
    <cellStyle name="Normal 3 44" xfId="6570" xr:uid="{00000000-0005-0000-0000-0000711D0000}"/>
    <cellStyle name="Normal 3 45" xfId="6571" xr:uid="{00000000-0005-0000-0000-0000721D0000}"/>
    <cellStyle name="Normal 3 46" xfId="6572" xr:uid="{00000000-0005-0000-0000-0000731D0000}"/>
    <cellStyle name="Normal 3 47" xfId="6573" xr:uid="{00000000-0005-0000-0000-0000741D0000}"/>
    <cellStyle name="Normal 3 48" xfId="6574" xr:uid="{00000000-0005-0000-0000-0000751D0000}"/>
    <cellStyle name="Normal 3 49" xfId="6575" xr:uid="{00000000-0005-0000-0000-0000761D0000}"/>
    <cellStyle name="Normal 3 5" xfId="6576" xr:uid="{00000000-0005-0000-0000-0000771D0000}"/>
    <cellStyle name="Normal 3 50" xfId="6577" xr:uid="{00000000-0005-0000-0000-0000781D0000}"/>
    <cellStyle name="Normal 3 51" xfId="6578" xr:uid="{00000000-0005-0000-0000-0000791D0000}"/>
    <cellStyle name="Normal 3 52" xfId="6579" xr:uid="{00000000-0005-0000-0000-00007A1D0000}"/>
    <cellStyle name="Normal 3 53" xfId="6580" xr:uid="{00000000-0005-0000-0000-00007B1D0000}"/>
    <cellStyle name="Normal 3 54" xfId="6581" xr:uid="{00000000-0005-0000-0000-00007C1D0000}"/>
    <cellStyle name="Normal 3 55" xfId="6582" xr:uid="{00000000-0005-0000-0000-00007D1D0000}"/>
    <cellStyle name="Normal 3 56" xfId="6583" xr:uid="{00000000-0005-0000-0000-00007E1D0000}"/>
    <cellStyle name="Normal 3 57" xfId="6584" xr:uid="{00000000-0005-0000-0000-00007F1D0000}"/>
    <cellStyle name="Normal 3 58" xfId="6585" xr:uid="{00000000-0005-0000-0000-0000801D0000}"/>
    <cellStyle name="Normal 3 59" xfId="6586" xr:uid="{00000000-0005-0000-0000-0000811D0000}"/>
    <cellStyle name="Normal 3 6" xfId="6587" xr:uid="{00000000-0005-0000-0000-0000821D0000}"/>
    <cellStyle name="Normal 3 60" xfId="6588" xr:uid="{00000000-0005-0000-0000-0000831D0000}"/>
    <cellStyle name="Normal 3 61" xfId="6589" xr:uid="{00000000-0005-0000-0000-0000841D0000}"/>
    <cellStyle name="Normal 3 62" xfId="6590" xr:uid="{00000000-0005-0000-0000-0000851D0000}"/>
    <cellStyle name="Normal 3 63" xfId="6591" xr:uid="{00000000-0005-0000-0000-0000861D0000}"/>
    <cellStyle name="Normal 3 64" xfId="6592" xr:uid="{00000000-0005-0000-0000-0000871D0000}"/>
    <cellStyle name="Normal 3 65" xfId="6593" xr:uid="{00000000-0005-0000-0000-0000881D0000}"/>
    <cellStyle name="Normal 3 66" xfId="6594" xr:uid="{00000000-0005-0000-0000-0000891D0000}"/>
    <cellStyle name="Normal 3 67" xfId="6595" xr:uid="{00000000-0005-0000-0000-00008A1D0000}"/>
    <cellStyle name="Normal 3 68" xfId="6596" xr:uid="{00000000-0005-0000-0000-00008B1D0000}"/>
    <cellStyle name="Normal 3 69" xfId="6597" xr:uid="{00000000-0005-0000-0000-00008C1D0000}"/>
    <cellStyle name="Normal 3 7" xfId="6598" xr:uid="{00000000-0005-0000-0000-00008D1D0000}"/>
    <cellStyle name="Normal 3 70" xfId="6599" xr:uid="{00000000-0005-0000-0000-00008E1D0000}"/>
    <cellStyle name="Normal 3 71" xfId="6600" xr:uid="{00000000-0005-0000-0000-00008F1D0000}"/>
    <cellStyle name="Normal 3 72" xfId="6601" xr:uid="{00000000-0005-0000-0000-0000901D0000}"/>
    <cellStyle name="Normal 3 73" xfId="6602" xr:uid="{00000000-0005-0000-0000-0000911D0000}"/>
    <cellStyle name="Normal 3 74" xfId="6603" xr:uid="{00000000-0005-0000-0000-0000921D0000}"/>
    <cellStyle name="Normal 3 75" xfId="6604" xr:uid="{00000000-0005-0000-0000-0000931D0000}"/>
    <cellStyle name="Normal 3 76" xfId="6605" xr:uid="{00000000-0005-0000-0000-0000941D0000}"/>
    <cellStyle name="Normal 3 77" xfId="6606" xr:uid="{00000000-0005-0000-0000-0000951D0000}"/>
    <cellStyle name="Normal 3 78" xfId="6607" xr:uid="{00000000-0005-0000-0000-0000961D0000}"/>
    <cellStyle name="Normal 3 79" xfId="6608" xr:uid="{00000000-0005-0000-0000-0000971D0000}"/>
    <cellStyle name="Normal 3 8" xfId="6609" xr:uid="{00000000-0005-0000-0000-0000981D0000}"/>
    <cellStyle name="Normal 3 80" xfId="6610" xr:uid="{00000000-0005-0000-0000-0000991D0000}"/>
    <cellStyle name="Normal 3 81" xfId="6611" xr:uid="{00000000-0005-0000-0000-00009A1D0000}"/>
    <cellStyle name="Normal 3 82" xfId="6612" xr:uid="{00000000-0005-0000-0000-00009B1D0000}"/>
    <cellStyle name="Normal 3 83" xfId="6613" xr:uid="{00000000-0005-0000-0000-00009C1D0000}"/>
    <cellStyle name="Normal 3 84" xfId="6614" xr:uid="{00000000-0005-0000-0000-00009D1D0000}"/>
    <cellStyle name="Normal 3 85" xfId="6615" xr:uid="{00000000-0005-0000-0000-00009E1D0000}"/>
    <cellStyle name="Normal 3 86" xfId="6616" xr:uid="{00000000-0005-0000-0000-00009F1D0000}"/>
    <cellStyle name="Normal 3 87" xfId="6617" xr:uid="{00000000-0005-0000-0000-0000A01D0000}"/>
    <cellStyle name="Normal 3 88" xfId="6618" xr:uid="{00000000-0005-0000-0000-0000A11D0000}"/>
    <cellStyle name="Normal 3 89" xfId="6619" xr:uid="{00000000-0005-0000-0000-0000A21D0000}"/>
    <cellStyle name="Normal 3 9" xfId="6620" xr:uid="{00000000-0005-0000-0000-0000A31D0000}"/>
    <cellStyle name="Normal 3 90" xfId="6621" xr:uid="{00000000-0005-0000-0000-0000A41D0000}"/>
    <cellStyle name="Normal 3 91" xfId="6622" xr:uid="{00000000-0005-0000-0000-0000A51D0000}"/>
    <cellStyle name="Normal 3 92" xfId="6623" xr:uid="{00000000-0005-0000-0000-0000A61D0000}"/>
    <cellStyle name="Normal 3 93" xfId="6624" xr:uid="{00000000-0005-0000-0000-0000A71D0000}"/>
    <cellStyle name="Normal 3 94" xfId="6625" xr:uid="{00000000-0005-0000-0000-0000A81D0000}"/>
    <cellStyle name="Normal 3 95" xfId="6626" xr:uid="{00000000-0005-0000-0000-0000A91D0000}"/>
    <cellStyle name="Normal 3 96" xfId="6627" xr:uid="{00000000-0005-0000-0000-0000AA1D0000}"/>
    <cellStyle name="Normal 3 97" xfId="6628" xr:uid="{00000000-0005-0000-0000-0000AB1D0000}"/>
    <cellStyle name="Normal 3 98" xfId="6629" xr:uid="{00000000-0005-0000-0000-0000AC1D0000}"/>
    <cellStyle name="Normal 3 99" xfId="6630" xr:uid="{00000000-0005-0000-0000-0000AD1D0000}"/>
    <cellStyle name="Normal 3_10-08-12 - BOQ Piling and D wall FINAL (ISSUE TO CONTRACTOR)" xfId="6631" xr:uid="{00000000-0005-0000-0000-0000AE1D0000}"/>
    <cellStyle name="Normal 30" xfId="10485" xr:uid="{00000000-0005-0000-0000-0000AF1D0000}"/>
    <cellStyle name="Normal 31" xfId="10487" xr:uid="{00000000-0005-0000-0000-0000B01D0000}"/>
    <cellStyle name="Normal 32" xfId="10490" xr:uid="{00000000-0005-0000-0000-0000B11D0000}"/>
    <cellStyle name="Normal 32 2" xfId="11194" xr:uid="{00000000-0005-0000-0000-0000B21D0000}"/>
    <cellStyle name="Normal 32 3" xfId="14527" xr:uid="{00000000-0005-0000-0000-0000B31D0000}"/>
    <cellStyle name="Normal 33" xfId="14449" xr:uid="{00000000-0005-0000-0000-0000B41D0000}"/>
    <cellStyle name="Normal 34" xfId="14553" xr:uid="{30014474-344C-4DA8-94E4-AB8A518C3540}"/>
    <cellStyle name="Normal 35" xfId="9688" xr:uid="{00000000-0005-0000-0000-0000B51D0000}"/>
    <cellStyle name="Normal 35 3" xfId="10119" xr:uid="{00000000-0005-0000-0000-0000B61D0000}"/>
    <cellStyle name="Normal 36" xfId="14579" xr:uid="{ED5981D7-DD57-46BF-95B3-DCFB4BA4A4BF}"/>
    <cellStyle name="Normal 37" xfId="14526" xr:uid="{00000000-0005-0000-0000-0000B71D0000}"/>
    <cellStyle name="Normal 38" xfId="6632" xr:uid="{00000000-0005-0000-0000-0000B81D0000}"/>
    <cellStyle name="Normal 39" xfId="14587" xr:uid="{25B39333-1417-441A-B82A-F874ED59AF28}"/>
    <cellStyle name="Normal 4" xfId="6633" xr:uid="{00000000-0005-0000-0000-0000B91D0000}"/>
    <cellStyle name="Normal 4 2" xfId="6634" xr:uid="{00000000-0005-0000-0000-0000BA1D0000}"/>
    <cellStyle name="Normal 4 2 2" xfId="6635" xr:uid="{00000000-0005-0000-0000-0000BB1D0000}"/>
    <cellStyle name="Normal 4 3" xfId="6636" xr:uid="{00000000-0005-0000-0000-0000BC1D0000}"/>
    <cellStyle name="Normal 4 4" xfId="6637" xr:uid="{00000000-0005-0000-0000-0000BD1D0000}"/>
    <cellStyle name="Normal 4 5" xfId="10077" xr:uid="{00000000-0005-0000-0000-0000BE1D0000}"/>
    <cellStyle name="Normal 4 6" xfId="10075" xr:uid="{00000000-0005-0000-0000-0000BF1D0000}"/>
    <cellStyle name="Normal 4 7" xfId="14610" xr:uid="{C0ACDB72-8564-47F0-8C5E-E9E297E85E03}"/>
    <cellStyle name="Normal 4_Bill of quantity - cables tray FA - Paragon detail from Tai 011-07-2011" xfId="6638" xr:uid="{00000000-0005-0000-0000-0000C01D0000}"/>
    <cellStyle name="Normal 40" xfId="6639" xr:uid="{00000000-0005-0000-0000-0000C11D0000}"/>
    <cellStyle name="Normal 40 2" xfId="6640" xr:uid="{00000000-0005-0000-0000-0000C21D0000}"/>
    <cellStyle name="Normal 40 3" xfId="6641" xr:uid="{00000000-0005-0000-0000-0000C31D0000}"/>
    <cellStyle name="Normal 41" xfId="6642" xr:uid="{00000000-0005-0000-0000-0000C41D0000}"/>
    <cellStyle name="Normal 41 2" xfId="6643" xr:uid="{00000000-0005-0000-0000-0000C51D0000}"/>
    <cellStyle name="Normal 41 3" xfId="6644" xr:uid="{00000000-0005-0000-0000-0000C61D0000}"/>
    <cellStyle name="Normal 42" xfId="6645" xr:uid="{00000000-0005-0000-0000-0000C71D0000}"/>
    <cellStyle name="Normal 42 2" xfId="6646" xr:uid="{00000000-0005-0000-0000-0000C81D0000}"/>
    <cellStyle name="Normal 42 3" xfId="6647" xr:uid="{00000000-0005-0000-0000-0000C91D0000}"/>
    <cellStyle name="Normal 43 2" xfId="6648" xr:uid="{00000000-0005-0000-0000-0000CA1D0000}"/>
    <cellStyle name="Normal 43 3" xfId="6649" xr:uid="{00000000-0005-0000-0000-0000CB1D0000}"/>
    <cellStyle name="Normal 44 2" xfId="6650" xr:uid="{00000000-0005-0000-0000-0000CC1D0000}"/>
    <cellStyle name="Normal 44 2 2" xfId="14642" xr:uid="{3CA78F12-E43B-4A26-A4B0-2C3E30BF23CB}"/>
    <cellStyle name="Normal 44 3" xfId="6651" xr:uid="{00000000-0005-0000-0000-0000CD1D0000}"/>
    <cellStyle name="Normal 44 3 2 2 2 2 2" xfId="14620" xr:uid="{E37AEF23-4780-4CD6-AE67-10BB64895AEA}"/>
    <cellStyle name="Normal 44 3 2 2 3 3 2 2 3 2" xfId="14639" xr:uid="{A3B9485F-7990-499B-A773-12A36C3CF974}"/>
    <cellStyle name="Normal 44 3 4" xfId="14616" xr:uid="{539B209F-DDE0-4EC7-913E-9BEF0E4054B7}"/>
    <cellStyle name="Normal 45" xfId="6652" xr:uid="{00000000-0005-0000-0000-0000CE1D0000}"/>
    <cellStyle name="Normal 45 2" xfId="6653" xr:uid="{00000000-0005-0000-0000-0000CF1D0000}"/>
    <cellStyle name="Normal 45 3" xfId="6654" xr:uid="{00000000-0005-0000-0000-0000D01D0000}"/>
    <cellStyle name="Normal 46 2" xfId="6655" xr:uid="{00000000-0005-0000-0000-0000D11D0000}"/>
    <cellStyle name="Normal 46 3" xfId="6656" xr:uid="{00000000-0005-0000-0000-0000D21D0000}"/>
    <cellStyle name="Normal 5" xfId="6657" xr:uid="{00000000-0005-0000-0000-0000D31D0000}"/>
    <cellStyle name="Normal 5 10" xfId="6658" xr:uid="{00000000-0005-0000-0000-0000D41D0000}"/>
    <cellStyle name="Normal 5 11" xfId="6659" xr:uid="{00000000-0005-0000-0000-0000D51D0000}"/>
    <cellStyle name="Normal 5 12" xfId="6660" xr:uid="{00000000-0005-0000-0000-0000D61D0000}"/>
    <cellStyle name="Normal 5 13" xfId="6661" xr:uid="{00000000-0005-0000-0000-0000D71D0000}"/>
    <cellStyle name="Normal 5 14" xfId="6662" xr:uid="{00000000-0005-0000-0000-0000D81D0000}"/>
    <cellStyle name="Normal 5 15" xfId="6663" xr:uid="{00000000-0005-0000-0000-0000D91D0000}"/>
    <cellStyle name="Normal 5 16" xfId="6664" xr:uid="{00000000-0005-0000-0000-0000DA1D0000}"/>
    <cellStyle name="Normal 5 17" xfId="6665" xr:uid="{00000000-0005-0000-0000-0000DB1D0000}"/>
    <cellStyle name="Normal 5 18" xfId="6666" xr:uid="{00000000-0005-0000-0000-0000DC1D0000}"/>
    <cellStyle name="Normal 5 19" xfId="6667" xr:uid="{00000000-0005-0000-0000-0000DD1D0000}"/>
    <cellStyle name="Normal 5 2" xfId="6668" xr:uid="{00000000-0005-0000-0000-0000DE1D0000}"/>
    <cellStyle name="Normal 5 20" xfId="6669" xr:uid="{00000000-0005-0000-0000-0000DF1D0000}"/>
    <cellStyle name="Normal 5 21" xfId="6670" xr:uid="{00000000-0005-0000-0000-0000E01D0000}"/>
    <cellStyle name="Normal 5 22" xfId="6671" xr:uid="{00000000-0005-0000-0000-0000E11D0000}"/>
    <cellStyle name="Normal 5 23" xfId="6672" xr:uid="{00000000-0005-0000-0000-0000E21D0000}"/>
    <cellStyle name="Normal 5 24" xfId="6673" xr:uid="{00000000-0005-0000-0000-0000E31D0000}"/>
    <cellStyle name="Normal 5 25" xfId="6674" xr:uid="{00000000-0005-0000-0000-0000E41D0000}"/>
    <cellStyle name="Normal 5 26" xfId="6675" xr:uid="{00000000-0005-0000-0000-0000E51D0000}"/>
    <cellStyle name="Normal 5 27" xfId="6676" xr:uid="{00000000-0005-0000-0000-0000E61D0000}"/>
    <cellStyle name="Normal 5 28" xfId="6677" xr:uid="{00000000-0005-0000-0000-0000E71D0000}"/>
    <cellStyle name="Normal 5 29" xfId="6678" xr:uid="{00000000-0005-0000-0000-0000E81D0000}"/>
    <cellStyle name="Normal 5 3" xfId="6679" xr:uid="{00000000-0005-0000-0000-0000E91D0000}"/>
    <cellStyle name="Normal 5 30" xfId="6680" xr:uid="{00000000-0005-0000-0000-0000EA1D0000}"/>
    <cellStyle name="Normal 5 31" xfId="6681" xr:uid="{00000000-0005-0000-0000-0000EB1D0000}"/>
    <cellStyle name="Normal 5 32" xfId="6682" xr:uid="{00000000-0005-0000-0000-0000EC1D0000}"/>
    <cellStyle name="Normal 5 33" xfId="6683" xr:uid="{00000000-0005-0000-0000-0000ED1D0000}"/>
    <cellStyle name="Normal 5 34" xfId="6684" xr:uid="{00000000-0005-0000-0000-0000EE1D0000}"/>
    <cellStyle name="Normal 5 35" xfId="6685" xr:uid="{00000000-0005-0000-0000-0000EF1D0000}"/>
    <cellStyle name="Normal 5 36" xfId="6686" xr:uid="{00000000-0005-0000-0000-0000F01D0000}"/>
    <cellStyle name="Normal 5 37" xfId="6687" xr:uid="{00000000-0005-0000-0000-0000F11D0000}"/>
    <cellStyle name="Normal 5 38" xfId="6688" xr:uid="{00000000-0005-0000-0000-0000F21D0000}"/>
    <cellStyle name="Normal 5 39" xfId="6689" xr:uid="{00000000-0005-0000-0000-0000F31D0000}"/>
    <cellStyle name="Normal 5 4" xfId="6690" xr:uid="{00000000-0005-0000-0000-0000F41D0000}"/>
    <cellStyle name="Normal 5 40" xfId="6691" xr:uid="{00000000-0005-0000-0000-0000F51D0000}"/>
    <cellStyle name="Normal 5 41" xfId="6692" xr:uid="{00000000-0005-0000-0000-0000F61D0000}"/>
    <cellStyle name="Normal 5 42" xfId="6693" xr:uid="{00000000-0005-0000-0000-0000F71D0000}"/>
    <cellStyle name="Normal 5 43" xfId="6694" xr:uid="{00000000-0005-0000-0000-0000F81D0000}"/>
    <cellStyle name="Normal 5 44" xfId="6695" xr:uid="{00000000-0005-0000-0000-0000F91D0000}"/>
    <cellStyle name="Normal 5 45" xfId="6696" xr:uid="{00000000-0005-0000-0000-0000FA1D0000}"/>
    <cellStyle name="Normal 5 46" xfId="6697" xr:uid="{00000000-0005-0000-0000-0000FB1D0000}"/>
    <cellStyle name="Normal 5 47" xfId="6698" xr:uid="{00000000-0005-0000-0000-0000FC1D0000}"/>
    <cellStyle name="Normal 5 48" xfId="6699" xr:uid="{00000000-0005-0000-0000-0000FD1D0000}"/>
    <cellStyle name="Normal 5 49" xfId="6700" xr:uid="{00000000-0005-0000-0000-0000FE1D0000}"/>
    <cellStyle name="Normal 5 5" xfId="6701" xr:uid="{00000000-0005-0000-0000-0000FF1D0000}"/>
    <cellStyle name="Normal 5 50" xfId="6702" xr:uid="{00000000-0005-0000-0000-0000001E0000}"/>
    <cellStyle name="Normal 5 51" xfId="6703" xr:uid="{00000000-0005-0000-0000-0000011E0000}"/>
    <cellStyle name="Normal 5 52" xfId="6704" xr:uid="{00000000-0005-0000-0000-0000021E0000}"/>
    <cellStyle name="Normal 5 53" xfId="6705" xr:uid="{00000000-0005-0000-0000-0000031E0000}"/>
    <cellStyle name="Normal 5 54" xfId="6706" xr:uid="{00000000-0005-0000-0000-0000041E0000}"/>
    <cellStyle name="Normal 5 55" xfId="6707" xr:uid="{00000000-0005-0000-0000-0000051E0000}"/>
    <cellStyle name="Normal 5 56" xfId="6708" xr:uid="{00000000-0005-0000-0000-0000061E0000}"/>
    <cellStyle name="Normal 5 57" xfId="6709" xr:uid="{00000000-0005-0000-0000-0000071E0000}"/>
    <cellStyle name="Normal 5 58" xfId="6710" xr:uid="{00000000-0005-0000-0000-0000081E0000}"/>
    <cellStyle name="Normal 5 59" xfId="6711" xr:uid="{00000000-0005-0000-0000-0000091E0000}"/>
    <cellStyle name="Normal 5 6" xfId="6712" xr:uid="{00000000-0005-0000-0000-00000A1E0000}"/>
    <cellStyle name="Normal 5 60" xfId="6713" xr:uid="{00000000-0005-0000-0000-00000B1E0000}"/>
    <cellStyle name="Normal 5 61" xfId="6714" xr:uid="{00000000-0005-0000-0000-00000C1E0000}"/>
    <cellStyle name="Normal 5 62" xfId="6715" xr:uid="{00000000-0005-0000-0000-00000D1E0000}"/>
    <cellStyle name="Normal 5 7" xfId="6716" xr:uid="{00000000-0005-0000-0000-00000E1E0000}"/>
    <cellStyle name="Normal 5 8" xfId="6717" xr:uid="{00000000-0005-0000-0000-00000F1E0000}"/>
    <cellStyle name="Normal 5 9" xfId="6718" xr:uid="{00000000-0005-0000-0000-0000101E0000}"/>
    <cellStyle name="Normal 5_Bill Main Contract + 23102009" xfId="6719" xr:uid="{00000000-0005-0000-0000-0000111E0000}"/>
    <cellStyle name="Normal 55" xfId="6720" xr:uid="{00000000-0005-0000-0000-0000121E0000}"/>
    <cellStyle name="Normal 55 2" xfId="6721" xr:uid="{00000000-0005-0000-0000-0000131E0000}"/>
    <cellStyle name="Normal 55 3" xfId="6722" xr:uid="{00000000-0005-0000-0000-0000141E0000}"/>
    <cellStyle name="Normal 56" xfId="6723" xr:uid="{00000000-0005-0000-0000-0000151E0000}"/>
    <cellStyle name="Normal 56 2" xfId="6724" xr:uid="{00000000-0005-0000-0000-0000161E0000}"/>
    <cellStyle name="Normal 56 3" xfId="6725" xr:uid="{00000000-0005-0000-0000-0000171E0000}"/>
    <cellStyle name="Normal 56 3 12 2 2 2 2" xfId="14601" xr:uid="{DD11493F-C097-496A-B46F-868B6CEC6742}"/>
    <cellStyle name="Normal 57" xfId="6726" xr:uid="{00000000-0005-0000-0000-0000181E0000}"/>
    <cellStyle name="Normal 57 2" xfId="6727" xr:uid="{00000000-0005-0000-0000-0000191E0000}"/>
    <cellStyle name="Normal 57 3" xfId="6728" xr:uid="{00000000-0005-0000-0000-00001A1E0000}"/>
    <cellStyle name="Normal 58" xfId="6729" xr:uid="{00000000-0005-0000-0000-00001B1E0000}"/>
    <cellStyle name="Normal 58 2" xfId="6730" xr:uid="{00000000-0005-0000-0000-00001C1E0000}"/>
    <cellStyle name="Normal 58 3" xfId="6731" xr:uid="{00000000-0005-0000-0000-00001D1E0000}"/>
    <cellStyle name="Normal 6" xfId="6732" xr:uid="{00000000-0005-0000-0000-00001E1E0000}"/>
    <cellStyle name="Normal 6 10" xfId="6733" xr:uid="{00000000-0005-0000-0000-00001F1E0000}"/>
    <cellStyle name="Normal 6 11" xfId="6734" xr:uid="{00000000-0005-0000-0000-0000201E0000}"/>
    <cellStyle name="Normal 6 12" xfId="6735" xr:uid="{00000000-0005-0000-0000-0000211E0000}"/>
    <cellStyle name="Normal 6 13" xfId="6736" xr:uid="{00000000-0005-0000-0000-0000221E0000}"/>
    <cellStyle name="Normal 6 14" xfId="6737" xr:uid="{00000000-0005-0000-0000-0000231E0000}"/>
    <cellStyle name="Normal 6 15" xfId="6738" xr:uid="{00000000-0005-0000-0000-0000241E0000}"/>
    <cellStyle name="Normal 6 16" xfId="6739" xr:uid="{00000000-0005-0000-0000-0000251E0000}"/>
    <cellStyle name="Normal 6 17" xfId="6740" xr:uid="{00000000-0005-0000-0000-0000261E0000}"/>
    <cellStyle name="Normal 6 18" xfId="6741" xr:uid="{00000000-0005-0000-0000-0000271E0000}"/>
    <cellStyle name="Normal 6 19" xfId="6742" xr:uid="{00000000-0005-0000-0000-0000281E0000}"/>
    <cellStyle name="Normal 6 2" xfId="6743" xr:uid="{00000000-0005-0000-0000-0000291E0000}"/>
    <cellStyle name="Normal 6 2 2" xfId="6744" xr:uid="{00000000-0005-0000-0000-00002A1E0000}"/>
    <cellStyle name="Normal 6 2 4" xfId="14597" xr:uid="{D8C11308-68B1-464A-A234-665BAA0C5910}"/>
    <cellStyle name="Normal 6 20" xfId="6745" xr:uid="{00000000-0005-0000-0000-00002B1E0000}"/>
    <cellStyle name="Normal 6 21" xfId="6746" xr:uid="{00000000-0005-0000-0000-00002C1E0000}"/>
    <cellStyle name="Normal 6 22" xfId="6747" xr:uid="{00000000-0005-0000-0000-00002D1E0000}"/>
    <cellStyle name="Normal 6 23" xfId="6748" xr:uid="{00000000-0005-0000-0000-00002E1E0000}"/>
    <cellStyle name="Normal 6 24" xfId="6749" xr:uid="{00000000-0005-0000-0000-00002F1E0000}"/>
    <cellStyle name="Normal 6 25" xfId="6750" xr:uid="{00000000-0005-0000-0000-0000301E0000}"/>
    <cellStyle name="Normal 6 26" xfId="6751" xr:uid="{00000000-0005-0000-0000-0000311E0000}"/>
    <cellStyle name="Normal 6 27" xfId="6752" xr:uid="{00000000-0005-0000-0000-0000321E0000}"/>
    <cellStyle name="Normal 6 28" xfId="6753" xr:uid="{00000000-0005-0000-0000-0000331E0000}"/>
    <cellStyle name="Normal 6 29" xfId="6754" xr:uid="{00000000-0005-0000-0000-0000341E0000}"/>
    <cellStyle name="Normal 6 3" xfId="6755" xr:uid="{00000000-0005-0000-0000-0000351E0000}"/>
    <cellStyle name="Normal 6 30" xfId="6756" xr:uid="{00000000-0005-0000-0000-0000361E0000}"/>
    <cellStyle name="Normal 6 31" xfId="6757" xr:uid="{00000000-0005-0000-0000-0000371E0000}"/>
    <cellStyle name="Normal 6 32" xfId="6758" xr:uid="{00000000-0005-0000-0000-0000381E0000}"/>
    <cellStyle name="Normal 6 33" xfId="6759" xr:uid="{00000000-0005-0000-0000-0000391E0000}"/>
    <cellStyle name="Normal 6 34" xfId="6760" xr:uid="{00000000-0005-0000-0000-00003A1E0000}"/>
    <cellStyle name="Normal 6 35" xfId="6761" xr:uid="{00000000-0005-0000-0000-00003B1E0000}"/>
    <cellStyle name="Normal 6 36" xfId="6762" xr:uid="{00000000-0005-0000-0000-00003C1E0000}"/>
    <cellStyle name="Normal 6 37" xfId="6763" xr:uid="{00000000-0005-0000-0000-00003D1E0000}"/>
    <cellStyle name="Normal 6 38" xfId="6764" xr:uid="{00000000-0005-0000-0000-00003E1E0000}"/>
    <cellStyle name="Normal 6 39" xfId="6765" xr:uid="{00000000-0005-0000-0000-00003F1E0000}"/>
    <cellStyle name="Normal 6 4" xfId="6766" xr:uid="{00000000-0005-0000-0000-0000401E0000}"/>
    <cellStyle name="Normal 6 40" xfId="6767" xr:uid="{00000000-0005-0000-0000-0000411E0000}"/>
    <cellStyle name="Normal 6 41" xfId="6768" xr:uid="{00000000-0005-0000-0000-0000421E0000}"/>
    <cellStyle name="Normal 6 42" xfId="6769" xr:uid="{00000000-0005-0000-0000-0000431E0000}"/>
    <cellStyle name="Normal 6 43" xfId="6770" xr:uid="{00000000-0005-0000-0000-0000441E0000}"/>
    <cellStyle name="Normal 6 44" xfId="6771" xr:uid="{00000000-0005-0000-0000-0000451E0000}"/>
    <cellStyle name="Normal 6 45" xfId="6772" xr:uid="{00000000-0005-0000-0000-0000461E0000}"/>
    <cellStyle name="Normal 6 46" xfId="6773" xr:uid="{00000000-0005-0000-0000-0000471E0000}"/>
    <cellStyle name="Normal 6 47" xfId="6774" xr:uid="{00000000-0005-0000-0000-0000481E0000}"/>
    <cellStyle name="Normal 6 48" xfId="6775" xr:uid="{00000000-0005-0000-0000-0000491E0000}"/>
    <cellStyle name="Normal 6 49" xfId="6776" xr:uid="{00000000-0005-0000-0000-00004A1E0000}"/>
    <cellStyle name="Normal 6 5" xfId="6777" xr:uid="{00000000-0005-0000-0000-00004B1E0000}"/>
    <cellStyle name="Normal 6 50" xfId="6778" xr:uid="{00000000-0005-0000-0000-00004C1E0000}"/>
    <cellStyle name="Normal 6 51" xfId="6779" xr:uid="{00000000-0005-0000-0000-00004D1E0000}"/>
    <cellStyle name="Normal 6 52" xfId="6780" xr:uid="{00000000-0005-0000-0000-00004E1E0000}"/>
    <cellStyle name="Normal 6 53" xfId="6781" xr:uid="{00000000-0005-0000-0000-00004F1E0000}"/>
    <cellStyle name="Normal 6 54" xfId="6782" xr:uid="{00000000-0005-0000-0000-0000501E0000}"/>
    <cellStyle name="Normal 6 55" xfId="6783" xr:uid="{00000000-0005-0000-0000-0000511E0000}"/>
    <cellStyle name="Normal 6 56" xfId="6784" xr:uid="{00000000-0005-0000-0000-0000521E0000}"/>
    <cellStyle name="Normal 6 57" xfId="6785" xr:uid="{00000000-0005-0000-0000-0000531E0000}"/>
    <cellStyle name="Normal 6 58" xfId="6786" xr:uid="{00000000-0005-0000-0000-0000541E0000}"/>
    <cellStyle name="Normal 6 59" xfId="6787" xr:uid="{00000000-0005-0000-0000-0000551E0000}"/>
    <cellStyle name="Normal 6 6" xfId="6788" xr:uid="{00000000-0005-0000-0000-0000561E0000}"/>
    <cellStyle name="Normal 6 60" xfId="6789" xr:uid="{00000000-0005-0000-0000-0000571E0000}"/>
    <cellStyle name="Normal 6 61" xfId="6790" xr:uid="{00000000-0005-0000-0000-0000581E0000}"/>
    <cellStyle name="Normal 6 62" xfId="6791" xr:uid="{00000000-0005-0000-0000-0000591E0000}"/>
    <cellStyle name="Normal 6 63" xfId="6792" xr:uid="{00000000-0005-0000-0000-00005A1E0000}"/>
    <cellStyle name="Normal 6 64" xfId="6793" xr:uid="{00000000-0005-0000-0000-00005B1E0000}"/>
    <cellStyle name="Normal 6 65" xfId="6794" xr:uid="{00000000-0005-0000-0000-00005C1E0000}"/>
    <cellStyle name="Normal 6 66" xfId="6795" xr:uid="{00000000-0005-0000-0000-00005D1E0000}"/>
    <cellStyle name="Normal 6 67" xfId="6796" xr:uid="{00000000-0005-0000-0000-00005E1E0000}"/>
    <cellStyle name="Normal 6 68" xfId="6797" xr:uid="{00000000-0005-0000-0000-00005F1E0000}"/>
    <cellStyle name="Normal 6 69" xfId="6798" xr:uid="{00000000-0005-0000-0000-0000601E0000}"/>
    <cellStyle name="Normal 6 7" xfId="6799" xr:uid="{00000000-0005-0000-0000-0000611E0000}"/>
    <cellStyle name="Normal 6 70" xfId="6800" xr:uid="{00000000-0005-0000-0000-0000621E0000}"/>
    <cellStyle name="Normal 6 71" xfId="6801" xr:uid="{00000000-0005-0000-0000-0000631E0000}"/>
    <cellStyle name="Normal 6 72" xfId="6802" xr:uid="{00000000-0005-0000-0000-0000641E0000}"/>
    <cellStyle name="Normal 6 73" xfId="6803" xr:uid="{00000000-0005-0000-0000-0000651E0000}"/>
    <cellStyle name="Normal 6 74" xfId="6804" xr:uid="{00000000-0005-0000-0000-0000661E0000}"/>
    <cellStyle name="Normal 6 75" xfId="6805" xr:uid="{00000000-0005-0000-0000-0000671E0000}"/>
    <cellStyle name="Normal 6 76" xfId="6806" xr:uid="{00000000-0005-0000-0000-0000681E0000}"/>
    <cellStyle name="Normal 6 77" xfId="6807" xr:uid="{00000000-0005-0000-0000-0000691E0000}"/>
    <cellStyle name="Normal 6 78" xfId="6808" xr:uid="{00000000-0005-0000-0000-00006A1E0000}"/>
    <cellStyle name="Normal 6 79" xfId="6809" xr:uid="{00000000-0005-0000-0000-00006B1E0000}"/>
    <cellStyle name="Normal 6 8" xfId="6810" xr:uid="{00000000-0005-0000-0000-00006C1E0000}"/>
    <cellStyle name="Normal 6 80" xfId="6811" xr:uid="{00000000-0005-0000-0000-00006D1E0000}"/>
    <cellStyle name="Normal 6 81" xfId="6812" xr:uid="{00000000-0005-0000-0000-00006E1E0000}"/>
    <cellStyle name="Normal 6 82" xfId="6813" xr:uid="{00000000-0005-0000-0000-00006F1E0000}"/>
    <cellStyle name="Normal 6 83" xfId="6814" xr:uid="{00000000-0005-0000-0000-0000701E0000}"/>
    <cellStyle name="Normal 6 84" xfId="6815" xr:uid="{00000000-0005-0000-0000-0000711E0000}"/>
    <cellStyle name="Normal 6 85" xfId="6816" xr:uid="{00000000-0005-0000-0000-0000721E0000}"/>
    <cellStyle name="Normal 6 86" xfId="6817" xr:uid="{00000000-0005-0000-0000-0000731E0000}"/>
    <cellStyle name="Normal 6 87" xfId="6818" xr:uid="{00000000-0005-0000-0000-0000741E0000}"/>
    <cellStyle name="Normal 6 88" xfId="6819" xr:uid="{00000000-0005-0000-0000-0000751E0000}"/>
    <cellStyle name="Normal 6 89" xfId="6820" xr:uid="{00000000-0005-0000-0000-0000761E0000}"/>
    <cellStyle name="Normal 6 9" xfId="6821" xr:uid="{00000000-0005-0000-0000-0000771E0000}"/>
    <cellStyle name="Normal 6 90" xfId="6822" xr:uid="{00000000-0005-0000-0000-0000781E0000}"/>
    <cellStyle name="Normal 6 91" xfId="6823" xr:uid="{00000000-0005-0000-0000-0000791E0000}"/>
    <cellStyle name="Normal 6 92" xfId="6824" xr:uid="{00000000-0005-0000-0000-00007A1E0000}"/>
    <cellStyle name="Normal 6 93" xfId="6825" xr:uid="{00000000-0005-0000-0000-00007B1E0000}"/>
    <cellStyle name="Normal 6 94" xfId="6826" xr:uid="{00000000-0005-0000-0000-00007C1E0000}"/>
    <cellStyle name="Normal 6 95" xfId="6827" xr:uid="{00000000-0005-0000-0000-00007D1E0000}"/>
    <cellStyle name="Normal 6 96" xfId="6828" xr:uid="{00000000-0005-0000-0000-00007E1E0000}"/>
    <cellStyle name="Normal 6 97" xfId="6829" xr:uid="{00000000-0005-0000-0000-00007F1E0000}"/>
    <cellStyle name="Normal 6 98" xfId="14558" xr:uid="{4B22BC01-A987-4376-B898-5DD51F8B62A6}"/>
    <cellStyle name="Normal 6 98 2" xfId="14576" xr:uid="{8921E94B-A0AA-4AB1-992E-66C3C11AF58E}"/>
    <cellStyle name="Normal 6_BOQ-IPH-ME-(REV 2-06-05-2010) Final Rev2" xfId="6830" xr:uid="{00000000-0005-0000-0000-0000801E0000}"/>
    <cellStyle name="Normal 62" xfId="6831" xr:uid="{00000000-0005-0000-0000-0000811E0000}"/>
    <cellStyle name="Normal 62 2" xfId="6832" xr:uid="{00000000-0005-0000-0000-0000821E0000}"/>
    <cellStyle name="Normal 62 3" xfId="6833" xr:uid="{00000000-0005-0000-0000-0000831E0000}"/>
    <cellStyle name="Normal 7" xfId="6834" xr:uid="{00000000-0005-0000-0000-0000841E0000}"/>
    <cellStyle name="Normal 7 10" xfId="6835" xr:uid="{00000000-0005-0000-0000-0000851E0000}"/>
    <cellStyle name="Normal 7 100" xfId="6836" xr:uid="{00000000-0005-0000-0000-0000861E0000}"/>
    <cellStyle name="Normal 7 101" xfId="14588" xr:uid="{FFB07F39-172C-4AE4-8A2A-00CB61121599}"/>
    <cellStyle name="Normal 7 101 2" xfId="14651" xr:uid="{40DBB630-3C0B-4E09-A14A-F86131186600}"/>
    <cellStyle name="Normal 7 11" xfId="6837" xr:uid="{00000000-0005-0000-0000-0000871E0000}"/>
    <cellStyle name="Normal 7 12" xfId="6838" xr:uid="{00000000-0005-0000-0000-0000881E0000}"/>
    <cellStyle name="Normal 7 13" xfId="6839" xr:uid="{00000000-0005-0000-0000-0000891E0000}"/>
    <cellStyle name="Normal 7 14" xfId="6840" xr:uid="{00000000-0005-0000-0000-00008A1E0000}"/>
    <cellStyle name="Normal 7 15" xfId="6841" xr:uid="{00000000-0005-0000-0000-00008B1E0000}"/>
    <cellStyle name="Normal 7 16" xfId="6842" xr:uid="{00000000-0005-0000-0000-00008C1E0000}"/>
    <cellStyle name="Normal 7 17" xfId="6843" xr:uid="{00000000-0005-0000-0000-00008D1E0000}"/>
    <cellStyle name="Normal 7 18" xfId="6844" xr:uid="{00000000-0005-0000-0000-00008E1E0000}"/>
    <cellStyle name="Normal 7 19" xfId="6845" xr:uid="{00000000-0005-0000-0000-00008F1E0000}"/>
    <cellStyle name="Normal 7 2" xfId="6846" xr:uid="{00000000-0005-0000-0000-0000901E0000}"/>
    <cellStyle name="Normal 7 2 2" xfId="6847" xr:uid="{00000000-0005-0000-0000-0000911E0000}"/>
    <cellStyle name="Normal 7 2 2 2" xfId="6848" xr:uid="{00000000-0005-0000-0000-0000921E0000}"/>
    <cellStyle name="Normal 7 2 2 2 2" xfId="6849" xr:uid="{00000000-0005-0000-0000-0000931E0000}"/>
    <cellStyle name="Normal 7 2 2 2 2 2" xfId="6850" xr:uid="{00000000-0005-0000-0000-0000941E0000}"/>
    <cellStyle name="Normal 7 2 2 2 2 2 2" xfId="6851" xr:uid="{00000000-0005-0000-0000-0000951E0000}"/>
    <cellStyle name="Normal 7 2 2 2 2 3" xfId="6852" xr:uid="{00000000-0005-0000-0000-0000961E0000}"/>
    <cellStyle name="Normal 7 2 2 2 3" xfId="6853" xr:uid="{00000000-0005-0000-0000-0000971E0000}"/>
    <cellStyle name="Normal 7 2 2 2 3 2" xfId="6854" xr:uid="{00000000-0005-0000-0000-0000981E0000}"/>
    <cellStyle name="Normal 7 2 2 2 4" xfId="6855" xr:uid="{00000000-0005-0000-0000-0000991E0000}"/>
    <cellStyle name="Normal 7 2 2 3" xfId="6856" xr:uid="{00000000-0005-0000-0000-00009A1E0000}"/>
    <cellStyle name="Normal 7 2 2 3 2" xfId="6857" xr:uid="{00000000-0005-0000-0000-00009B1E0000}"/>
    <cellStyle name="Normal 7 2 2 3 2 2" xfId="6858" xr:uid="{00000000-0005-0000-0000-00009C1E0000}"/>
    <cellStyle name="Normal 7 2 2 3 3" xfId="6859" xr:uid="{00000000-0005-0000-0000-00009D1E0000}"/>
    <cellStyle name="Normal 7 2 2 4" xfId="6860" xr:uid="{00000000-0005-0000-0000-00009E1E0000}"/>
    <cellStyle name="Normal 7 2 2 4 2" xfId="6861" xr:uid="{00000000-0005-0000-0000-00009F1E0000}"/>
    <cellStyle name="Normal 7 2 2 5" xfId="6862" xr:uid="{00000000-0005-0000-0000-0000A01E0000}"/>
    <cellStyle name="Normal 7 2 3" xfId="6863" xr:uid="{00000000-0005-0000-0000-0000A11E0000}"/>
    <cellStyle name="Normal 7 2 3 2" xfId="6864" xr:uid="{00000000-0005-0000-0000-0000A21E0000}"/>
    <cellStyle name="Normal 7 2 3 2 2" xfId="6865" xr:uid="{00000000-0005-0000-0000-0000A31E0000}"/>
    <cellStyle name="Normal 7 2 3 2 2 2" xfId="6866" xr:uid="{00000000-0005-0000-0000-0000A41E0000}"/>
    <cellStyle name="Normal 7 2 3 2 2 2 2" xfId="6867" xr:uid="{00000000-0005-0000-0000-0000A51E0000}"/>
    <cellStyle name="Normal 7 2 3 2 2 3" xfId="6868" xr:uid="{00000000-0005-0000-0000-0000A61E0000}"/>
    <cellStyle name="Normal 7 2 3 2 3" xfId="6869" xr:uid="{00000000-0005-0000-0000-0000A71E0000}"/>
    <cellStyle name="Normal 7 2 3 2 3 2" xfId="6870" xr:uid="{00000000-0005-0000-0000-0000A81E0000}"/>
    <cellStyle name="Normal 7 2 3 2 4" xfId="6871" xr:uid="{00000000-0005-0000-0000-0000A91E0000}"/>
    <cellStyle name="Normal 7 2 3 3" xfId="6872" xr:uid="{00000000-0005-0000-0000-0000AA1E0000}"/>
    <cellStyle name="Normal 7 2 3 3 2" xfId="6873" xr:uid="{00000000-0005-0000-0000-0000AB1E0000}"/>
    <cellStyle name="Normal 7 2 3 3 2 2" xfId="6874" xr:uid="{00000000-0005-0000-0000-0000AC1E0000}"/>
    <cellStyle name="Normal 7 2 3 3 2 2 2" xfId="6875" xr:uid="{00000000-0005-0000-0000-0000AD1E0000}"/>
    <cellStyle name="Normal 7 2 3 3 2 3" xfId="6876" xr:uid="{00000000-0005-0000-0000-0000AE1E0000}"/>
    <cellStyle name="Normal 7 2 3 3 3" xfId="6877" xr:uid="{00000000-0005-0000-0000-0000AF1E0000}"/>
    <cellStyle name="Normal 7 2 3 3 3 2" xfId="6878" xr:uid="{00000000-0005-0000-0000-0000B01E0000}"/>
    <cellStyle name="Normal 7 2 3 3 4" xfId="6879" xr:uid="{00000000-0005-0000-0000-0000B11E0000}"/>
    <cellStyle name="Normal 7 2 3 4" xfId="6880" xr:uid="{00000000-0005-0000-0000-0000B21E0000}"/>
    <cellStyle name="Normal 7 2 3 4 2" xfId="6881" xr:uid="{00000000-0005-0000-0000-0000B31E0000}"/>
    <cellStyle name="Normal 7 2 3 4 2 2" xfId="6882" xr:uid="{00000000-0005-0000-0000-0000B41E0000}"/>
    <cellStyle name="Normal 7 2 3 4 3" xfId="6883" xr:uid="{00000000-0005-0000-0000-0000B51E0000}"/>
    <cellStyle name="Normal 7 2 3 5" xfId="6884" xr:uid="{00000000-0005-0000-0000-0000B61E0000}"/>
    <cellStyle name="Normal 7 2 3 5 2" xfId="6885" xr:uid="{00000000-0005-0000-0000-0000B71E0000}"/>
    <cellStyle name="Normal 7 2 3 6" xfId="6886" xr:uid="{00000000-0005-0000-0000-0000B81E0000}"/>
    <cellStyle name="Normal 7 2 4" xfId="6887" xr:uid="{00000000-0005-0000-0000-0000B91E0000}"/>
    <cellStyle name="Normal 7 2 4 2" xfId="6888" xr:uid="{00000000-0005-0000-0000-0000BA1E0000}"/>
    <cellStyle name="Normal 7 2 4 2 2" xfId="6889" xr:uid="{00000000-0005-0000-0000-0000BB1E0000}"/>
    <cellStyle name="Normal 7 2 4 2 2 2" xfId="6890" xr:uid="{00000000-0005-0000-0000-0000BC1E0000}"/>
    <cellStyle name="Normal 7 2 4 2 3" xfId="6891" xr:uid="{00000000-0005-0000-0000-0000BD1E0000}"/>
    <cellStyle name="Normal 7 2 4 3" xfId="6892" xr:uid="{00000000-0005-0000-0000-0000BE1E0000}"/>
    <cellStyle name="Normal 7 2 4 3 2" xfId="6893" xr:uid="{00000000-0005-0000-0000-0000BF1E0000}"/>
    <cellStyle name="Normal 7 2 4 4" xfId="6894" xr:uid="{00000000-0005-0000-0000-0000C01E0000}"/>
    <cellStyle name="Normal 7 2 5" xfId="6895" xr:uid="{00000000-0005-0000-0000-0000C11E0000}"/>
    <cellStyle name="Normal 7 2 5 2" xfId="6896" xr:uid="{00000000-0005-0000-0000-0000C21E0000}"/>
    <cellStyle name="Normal 7 2 5 2 2" xfId="6897" xr:uid="{00000000-0005-0000-0000-0000C31E0000}"/>
    <cellStyle name="Normal 7 2 5 3" xfId="6898" xr:uid="{00000000-0005-0000-0000-0000C41E0000}"/>
    <cellStyle name="Normal 7 2 6" xfId="6899" xr:uid="{00000000-0005-0000-0000-0000C51E0000}"/>
    <cellStyle name="Normal 7 2 6 2" xfId="6900" xr:uid="{00000000-0005-0000-0000-0000C61E0000}"/>
    <cellStyle name="Normal 7 2 7" xfId="6901" xr:uid="{00000000-0005-0000-0000-0000C71E0000}"/>
    <cellStyle name="Normal 7 2 8" xfId="14631" xr:uid="{A3BE9A02-13BF-4740-8EC1-D5B62D165FCA}"/>
    <cellStyle name="Normal 7 20" xfId="6902" xr:uid="{00000000-0005-0000-0000-0000C81E0000}"/>
    <cellStyle name="Normal 7 21" xfId="6903" xr:uid="{00000000-0005-0000-0000-0000C91E0000}"/>
    <cellStyle name="Normal 7 22" xfId="6904" xr:uid="{00000000-0005-0000-0000-0000CA1E0000}"/>
    <cellStyle name="Normal 7 23" xfId="6905" xr:uid="{00000000-0005-0000-0000-0000CB1E0000}"/>
    <cellStyle name="Normal 7 24" xfId="6906" xr:uid="{00000000-0005-0000-0000-0000CC1E0000}"/>
    <cellStyle name="Normal 7 25" xfId="6907" xr:uid="{00000000-0005-0000-0000-0000CD1E0000}"/>
    <cellStyle name="Normal 7 26" xfId="6908" xr:uid="{00000000-0005-0000-0000-0000CE1E0000}"/>
    <cellStyle name="Normal 7 27" xfId="6909" xr:uid="{00000000-0005-0000-0000-0000CF1E0000}"/>
    <cellStyle name="Normal 7 28" xfId="6910" xr:uid="{00000000-0005-0000-0000-0000D01E0000}"/>
    <cellStyle name="Normal 7 29" xfId="6911" xr:uid="{00000000-0005-0000-0000-0000D11E0000}"/>
    <cellStyle name="Normal 7 3" xfId="6912" xr:uid="{00000000-0005-0000-0000-0000D21E0000}"/>
    <cellStyle name="Normal 7 30" xfId="6913" xr:uid="{00000000-0005-0000-0000-0000D31E0000}"/>
    <cellStyle name="Normal 7 31" xfId="6914" xr:uid="{00000000-0005-0000-0000-0000D41E0000}"/>
    <cellStyle name="Normal 7 32" xfId="6915" xr:uid="{00000000-0005-0000-0000-0000D51E0000}"/>
    <cellStyle name="Normal 7 33" xfId="6916" xr:uid="{00000000-0005-0000-0000-0000D61E0000}"/>
    <cellStyle name="Normal 7 34" xfId="6917" xr:uid="{00000000-0005-0000-0000-0000D71E0000}"/>
    <cellStyle name="Normal 7 35" xfId="6918" xr:uid="{00000000-0005-0000-0000-0000D81E0000}"/>
    <cellStyle name="Normal 7 36" xfId="6919" xr:uid="{00000000-0005-0000-0000-0000D91E0000}"/>
    <cellStyle name="Normal 7 37" xfId="6920" xr:uid="{00000000-0005-0000-0000-0000DA1E0000}"/>
    <cellStyle name="Normal 7 38" xfId="6921" xr:uid="{00000000-0005-0000-0000-0000DB1E0000}"/>
    <cellStyle name="Normal 7 39" xfId="6922" xr:uid="{00000000-0005-0000-0000-0000DC1E0000}"/>
    <cellStyle name="Normal 7 4" xfId="6923" xr:uid="{00000000-0005-0000-0000-0000DD1E0000}"/>
    <cellStyle name="Normal 7 40" xfId="6924" xr:uid="{00000000-0005-0000-0000-0000DE1E0000}"/>
    <cellStyle name="Normal 7 41" xfId="6925" xr:uid="{00000000-0005-0000-0000-0000DF1E0000}"/>
    <cellStyle name="Normal 7 42" xfId="6926" xr:uid="{00000000-0005-0000-0000-0000E01E0000}"/>
    <cellStyle name="Normal 7 43" xfId="6927" xr:uid="{00000000-0005-0000-0000-0000E11E0000}"/>
    <cellStyle name="Normal 7 44" xfId="6928" xr:uid="{00000000-0005-0000-0000-0000E21E0000}"/>
    <cellStyle name="Normal 7 45" xfId="6929" xr:uid="{00000000-0005-0000-0000-0000E31E0000}"/>
    <cellStyle name="Normal 7 46" xfId="6930" xr:uid="{00000000-0005-0000-0000-0000E41E0000}"/>
    <cellStyle name="Normal 7 47" xfId="6931" xr:uid="{00000000-0005-0000-0000-0000E51E0000}"/>
    <cellStyle name="Normal 7 48" xfId="6932" xr:uid="{00000000-0005-0000-0000-0000E61E0000}"/>
    <cellStyle name="Normal 7 49" xfId="6933" xr:uid="{00000000-0005-0000-0000-0000E71E0000}"/>
    <cellStyle name="Normal 7 5" xfId="6934" xr:uid="{00000000-0005-0000-0000-0000E81E0000}"/>
    <cellStyle name="Normal 7 50" xfId="6935" xr:uid="{00000000-0005-0000-0000-0000E91E0000}"/>
    <cellStyle name="Normal 7 51" xfId="6936" xr:uid="{00000000-0005-0000-0000-0000EA1E0000}"/>
    <cellStyle name="Normal 7 52" xfId="6937" xr:uid="{00000000-0005-0000-0000-0000EB1E0000}"/>
    <cellStyle name="Normal 7 53" xfId="6938" xr:uid="{00000000-0005-0000-0000-0000EC1E0000}"/>
    <cellStyle name="Normal 7 54" xfId="6939" xr:uid="{00000000-0005-0000-0000-0000ED1E0000}"/>
    <cellStyle name="Normal 7 55" xfId="6940" xr:uid="{00000000-0005-0000-0000-0000EE1E0000}"/>
    <cellStyle name="Normal 7 56" xfId="6941" xr:uid="{00000000-0005-0000-0000-0000EF1E0000}"/>
    <cellStyle name="Normal 7 57" xfId="6942" xr:uid="{00000000-0005-0000-0000-0000F01E0000}"/>
    <cellStyle name="Normal 7 58" xfId="6943" xr:uid="{00000000-0005-0000-0000-0000F11E0000}"/>
    <cellStyle name="Normal 7 59" xfId="6944" xr:uid="{00000000-0005-0000-0000-0000F21E0000}"/>
    <cellStyle name="Normal 7 6" xfId="6945" xr:uid="{00000000-0005-0000-0000-0000F31E0000}"/>
    <cellStyle name="Normal 7 60" xfId="6946" xr:uid="{00000000-0005-0000-0000-0000F41E0000}"/>
    <cellStyle name="Normal 7 61" xfId="6947" xr:uid="{00000000-0005-0000-0000-0000F51E0000}"/>
    <cellStyle name="Normal 7 62" xfId="6948" xr:uid="{00000000-0005-0000-0000-0000F61E0000}"/>
    <cellStyle name="Normal 7 63" xfId="6949" xr:uid="{00000000-0005-0000-0000-0000F71E0000}"/>
    <cellStyle name="Normal 7 64" xfId="6950" xr:uid="{00000000-0005-0000-0000-0000F81E0000}"/>
    <cellStyle name="Normal 7 65" xfId="6951" xr:uid="{00000000-0005-0000-0000-0000F91E0000}"/>
    <cellStyle name="Normal 7 66" xfId="6952" xr:uid="{00000000-0005-0000-0000-0000FA1E0000}"/>
    <cellStyle name="Normal 7 67" xfId="6953" xr:uid="{00000000-0005-0000-0000-0000FB1E0000}"/>
    <cellStyle name="Normal 7 68" xfId="6954" xr:uid="{00000000-0005-0000-0000-0000FC1E0000}"/>
    <cellStyle name="Normal 7 69" xfId="6955" xr:uid="{00000000-0005-0000-0000-0000FD1E0000}"/>
    <cellStyle name="Normal 7 7" xfId="6956" xr:uid="{00000000-0005-0000-0000-0000FE1E0000}"/>
    <cellStyle name="Normal 7 70" xfId="6957" xr:uid="{00000000-0005-0000-0000-0000FF1E0000}"/>
    <cellStyle name="Normal 7 71" xfId="6958" xr:uid="{00000000-0005-0000-0000-0000001F0000}"/>
    <cellStyle name="Normal 7 72" xfId="6959" xr:uid="{00000000-0005-0000-0000-0000011F0000}"/>
    <cellStyle name="Normal 7 73" xfId="6960" xr:uid="{00000000-0005-0000-0000-0000021F0000}"/>
    <cellStyle name="Normal 7 74" xfId="6961" xr:uid="{00000000-0005-0000-0000-0000031F0000}"/>
    <cellStyle name="Normal 7 75" xfId="6962" xr:uid="{00000000-0005-0000-0000-0000041F0000}"/>
    <cellStyle name="Normal 7 76" xfId="6963" xr:uid="{00000000-0005-0000-0000-0000051F0000}"/>
    <cellStyle name="Normal 7 77" xfId="6964" xr:uid="{00000000-0005-0000-0000-0000061F0000}"/>
    <cellStyle name="Normal 7 78" xfId="6965" xr:uid="{00000000-0005-0000-0000-0000071F0000}"/>
    <cellStyle name="Normal 7 79" xfId="6966" xr:uid="{00000000-0005-0000-0000-0000081F0000}"/>
    <cellStyle name="Normal 7 8" xfId="6967" xr:uid="{00000000-0005-0000-0000-0000091F0000}"/>
    <cellStyle name="Normal 7 80" xfId="6968" xr:uid="{00000000-0005-0000-0000-00000A1F0000}"/>
    <cellStyle name="Normal 7 81" xfId="6969" xr:uid="{00000000-0005-0000-0000-00000B1F0000}"/>
    <cellStyle name="Normal 7 82" xfId="6970" xr:uid="{00000000-0005-0000-0000-00000C1F0000}"/>
    <cellStyle name="Normal 7 83" xfId="6971" xr:uid="{00000000-0005-0000-0000-00000D1F0000}"/>
    <cellStyle name="Normal 7 84" xfId="6972" xr:uid="{00000000-0005-0000-0000-00000E1F0000}"/>
    <cellStyle name="Normal 7 85" xfId="6973" xr:uid="{00000000-0005-0000-0000-00000F1F0000}"/>
    <cellStyle name="Normal 7 86" xfId="6974" xr:uid="{00000000-0005-0000-0000-0000101F0000}"/>
    <cellStyle name="Normal 7 87" xfId="6975" xr:uid="{00000000-0005-0000-0000-0000111F0000}"/>
    <cellStyle name="Normal 7 88" xfId="6976" xr:uid="{00000000-0005-0000-0000-0000121F0000}"/>
    <cellStyle name="Normal 7 89" xfId="6977" xr:uid="{00000000-0005-0000-0000-0000131F0000}"/>
    <cellStyle name="Normal 7 9" xfId="6978" xr:uid="{00000000-0005-0000-0000-0000141F0000}"/>
    <cellStyle name="Normal 7 90" xfId="6979" xr:uid="{00000000-0005-0000-0000-0000151F0000}"/>
    <cellStyle name="Normal 7 91" xfId="6980" xr:uid="{00000000-0005-0000-0000-0000161F0000}"/>
    <cellStyle name="Normal 7 92" xfId="6981" xr:uid="{00000000-0005-0000-0000-0000171F0000}"/>
    <cellStyle name="Normal 7 93" xfId="6982" xr:uid="{00000000-0005-0000-0000-0000181F0000}"/>
    <cellStyle name="Normal 7 94" xfId="6983" xr:uid="{00000000-0005-0000-0000-0000191F0000}"/>
    <cellStyle name="Normal 7 95" xfId="6984" xr:uid="{00000000-0005-0000-0000-00001A1F0000}"/>
    <cellStyle name="Normal 7 96" xfId="6985" xr:uid="{00000000-0005-0000-0000-00001B1F0000}"/>
    <cellStyle name="Normal 7 97" xfId="6986" xr:uid="{00000000-0005-0000-0000-00001C1F0000}"/>
    <cellStyle name="Normal 7 98" xfId="6987" xr:uid="{00000000-0005-0000-0000-00001D1F0000}"/>
    <cellStyle name="Normal 7 98 2" xfId="6988" xr:uid="{00000000-0005-0000-0000-00001E1F0000}"/>
    <cellStyle name="Normal 7 98 2 2" xfId="6989" xr:uid="{00000000-0005-0000-0000-00001F1F0000}"/>
    <cellStyle name="Normal 7 98 3" xfId="6990" xr:uid="{00000000-0005-0000-0000-0000201F0000}"/>
    <cellStyle name="Normal 7 99" xfId="6991" xr:uid="{00000000-0005-0000-0000-0000211F0000}"/>
    <cellStyle name="Normal 7 99 2" xfId="6992" xr:uid="{00000000-0005-0000-0000-0000221F0000}"/>
    <cellStyle name="Normal 8" xfId="6993" xr:uid="{00000000-0005-0000-0000-0000231F0000}"/>
    <cellStyle name="Normal 8 2" xfId="6994" xr:uid="{00000000-0005-0000-0000-0000241F0000}"/>
    <cellStyle name="Normal 8 2 2" xfId="6995" xr:uid="{00000000-0005-0000-0000-0000251F0000}"/>
    <cellStyle name="Normal 8 2 2 2" xfId="6996" xr:uid="{00000000-0005-0000-0000-0000261F0000}"/>
    <cellStyle name="Normal 8 2 2 2 2" xfId="6997" xr:uid="{00000000-0005-0000-0000-0000271F0000}"/>
    <cellStyle name="Normal 8 2 2 2 2 2" xfId="6998" xr:uid="{00000000-0005-0000-0000-0000281F0000}"/>
    <cellStyle name="Normal 8 2 2 2 3" xfId="6999" xr:uid="{00000000-0005-0000-0000-0000291F0000}"/>
    <cellStyle name="Normal 8 2 2 3" xfId="7000" xr:uid="{00000000-0005-0000-0000-00002A1F0000}"/>
    <cellStyle name="Normal 8 2 2 3 2" xfId="7001" xr:uid="{00000000-0005-0000-0000-00002B1F0000}"/>
    <cellStyle name="Normal 8 2 2 4" xfId="7002" xr:uid="{00000000-0005-0000-0000-00002C1F0000}"/>
    <cellStyle name="Normal 8 2 3" xfId="7003" xr:uid="{00000000-0005-0000-0000-00002D1F0000}"/>
    <cellStyle name="Normal 8 2 3 2" xfId="7004" xr:uid="{00000000-0005-0000-0000-00002E1F0000}"/>
    <cellStyle name="Normal 8 2 3 2 2" xfId="7005" xr:uid="{00000000-0005-0000-0000-00002F1F0000}"/>
    <cellStyle name="Normal 8 2 3 3" xfId="7006" xr:uid="{00000000-0005-0000-0000-0000301F0000}"/>
    <cellStyle name="Normal 8 2 4" xfId="7007" xr:uid="{00000000-0005-0000-0000-0000311F0000}"/>
    <cellStyle name="Normal 8 2 4 2" xfId="7008" xr:uid="{00000000-0005-0000-0000-0000321F0000}"/>
    <cellStyle name="Normal 8 2 5" xfId="7009" xr:uid="{00000000-0005-0000-0000-0000331F0000}"/>
    <cellStyle name="Normal 8 3" xfId="7010" xr:uid="{00000000-0005-0000-0000-0000341F0000}"/>
    <cellStyle name="Normal 8 3 2" xfId="7011" xr:uid="{00000000-0005-0000-0000-0000351F0000}"/>
    <cellStyle name="Normal 8 3 2 2" xfId="7012" xr:uid="{00000000-0005-0000-0000-0000361F0000}"/>
    <cellStyle name="Normal 8 3 3" xfId="7013" xr:uid="{00000000-0005-0000-0000-0000371F0000}"/>
    <cellStyle name="Normal 8 4" xfId="7014" xr:uid="{00000000-0005-0000-0000-0000381F0000}"/>
    <cellStyle name="Normal 8 4 2" xfId="7015" xr:uid="{00000000-0005-0000-0000-0000391F0000}"/>
    <cellStyle name="Normal 8 5" xfId="7016" xr:uid="{00000000-0005-0000-0000-00003A1F0000}"/>
    <cellStyle name="Normal 84 2" xfId="7017" xr:uid="{00000000-0005-0000-0000-00003B1F0000}"/>
    <cellStyle name="Normal 84 3" xfId="7018" xr:uid="{00000000-0005-0000-0000-00003C1F0000}"/>
    <cellStyle name="Normal 85" xfId="7019" xr:uid="{00000000-0005-0000-0000-00003D1F0000}"/>
    <cellStyle name="Normal 85 2" xfId="7020" xr:uid="{00000000-0005-0000-0000-00003E1F0000}"/>
    <cellStyle name="Normal 85 3" xfId="7021" xr:uid="{00000000-0005-0000-0000-00003F1F0000}"/>
    <cellStyle name="Normal 87" xfId="7022" xr:uid="{00000000-0005-0000-0000-0000401F0000}"/>
    <cellStyle name="Normal 87 2" xfId="7023" xr:uid="{00000000-0005-0000-0000-0000411F0000}"/>
    <cellStyle name="Normal 87 3" xfId="7024" xr:uid="{00000000-0005-0000-0000-0000421F0000}"/>
    <cellStyle name="Normal 88 2" xfId="7025" xr:uid="{00000000-0005-0000-0000-0000431F0000}"/>
    <cellStyle name="Normal 88 3" xfId="7026" xr:uid="{00000000-0005-0000-0000-0000441F0000}"/>
    <cellStyle name="Normal 9" xfId="7027" xr:uid="{00000000-0005-0000-0000-0000451F0000}"/>
    <cellStyle name="Normal 9 2" xfId="7028" xr:uid="{00000000-0005-0000-0000-0000461F0000}"/>
    <cellStyle name="Normal 9 3" xfId="7029" xr:uid="{00000000-0005-0000-0000-0000471F0000}"/>
    <cellStyle name="Normal 9 4" xfId="14645" xr:uid="{460E8F41-FEBE-47AF-824A-06F675906870}"/>
    <cellStyle name="Normal 90 2" xfId="7030" xr:uid="{00000000-0005-0000-0000-0000481F0000}"/>
    <cellStyle name="Normal 90 3" xfId="7031" xr:uid="{00000000-0005-0000-0000-0000491F0000}"/>
    <cellStyle name="Normal 91 2" xfId="7032" xr:uid="{00000000-0005-0000-0000-00004A1F0000}"/>
    <cellStyle name="Normal 91 3" xfId="7033" xr:uid="{00000000-0005-0000-0000-00004B1F0000}"/>
    <cellStyle name="Normal 92" xfId="7034" xr:uid="{00000000-0005-0000-0000-00004C1F0000}"/>
    <cellStyle name="Normal 92 2" xfId="7035" xr:uid="{00000000-0005-0000-0000-00004D1F0000}"/>
    <cellStyle name="Normal 92 3" xfId="7036" xr:uid="{00000000-0005-0000-0000-00004E1F0000}"/>
    <cellStyle name="Normal 94" xfId="7037" xr:uid="{00000000-0005-0000-0000-00004F1F0000}"/>
    <cellStyle name="Normal 94 2" xfId="7038" xr:uid="{00000000-0005-0000-0000-0000501F0000}"/>
    <cellStyle name="Normal 94 3" xfId="7039" xr:uid="{00000000-0005-0000-0000-0000511F0000}"/>
    <cellStyle name="Normal 96" xfId="7040" xr:uid="{00000000-0005-0000-0000-0000521F0000}"/>
    <cellStyle name="Normal 96 2" xfId="7041" xr:uid="{00000000-0005-0000-0000-0000531F0000}"/>
    <cellStyle name="Normal 96 3" xfId="7042" xr:uid="{00000000-0005-0000-0000-0000541F0000}"/>
    <cellStyle name="Normal 96 4" xfId="7043" xr:uid="{00000000-0005-0000-0000-0000551F0000}"/>
    <cellStyle name="Normal_DUTOAN_VnTime1_ver2 2" xfId="14525" xr:uid="{00000000-0005-0000-0000-0000591F0000}"/>
    <cellStyle name="Normal_Schneider price (06-2-2009) thay doi he so 2" xfId="14549" xr:uid="{00000000-0005-0000-0000-00005A1F0000}"/>
    <cellStyle name="Normal1" xfId="7044" xr:uid="{00000000-0005-0000-0000-00005F1F0000}"/>
    <cellStyle name="Normal2" xfId="7045" xr:uid="{00000000-0005-0000-0000-0000601F0000}"/>
    <cellStyle name="Normale_ PESO ELETTR." xfId="7046" xr:uid="{00000000-0005-0000-0000-0000611F0000}"/>
    <cellStyle name="Normalny_Cennik obowiazuje od 06-08-2001 r (1)" xfId="7047" xr:uid="{00000000-0005-0000-0000-0000621F0000}"/>
    <cellStyle name="NormalText" xfId="14594" xr:uid="{978B07E5-804D-4862-A552-81DC7A9D5556}"/>
    <cellStyle name="Note 10" xfId="7048" xr:uid="{00000000-0005-0000-0000-0000631F0000}"/>
    <cellStyle name="Note 10 2" xfId="7049" xr:uid="{00000000-0005-0000-0000-0000641F0000}"/>
    <cellStyle name="Note 10 2 2" xfId="7050" xr:uid="{00000000-0005-0000-0000-0000651F0000}"/>
    <cellStyle name="Note 10 2 2 2" xfId="11195" xr:uid="{00000000-0005-0000-0000-0000661F0000}"/>
    <cellStyle name="Note 10 2 2 2 2" xfId="11196" xr:uid="{00000000-0005-0000-0000-0000671F0000}"/>
    <cellStyle name="Note 10 2 2 3" xfId="11197" xr:uid="{00000000-0005-0000-0000-0000681F0000}"/>
    <cellStyle name="Note 10 2 3" xfId="11198" xr:uid="{00000000-0005-0000-0000-0000691F0000}"/>
    <cellStyle name="Note 10 2 3 2" xfId="11199" xr:uid="{00000000-0005-0000-0000-00006A1F0000}"/>
    <cellStyle name="Note 10 2 4" xfId="11200" xr:uid="{00000000-0005-0000-0000-00006B1F0000}"/>
    <cellStyle name="Note 10 3" xfId="7051" xr:uid="{00000000-0005-0000-0000-00006C1F0000}"/>
    <cellStyle name="Note 10 3 2" xfId="11201" xr:uid="{00000000-0005-0000-0000-00006D1F0000}"/>
    <cellStyle name="Note 10 3 2 2" xfId="11202" xr:uid="{00000000-0005-0000-0000-00006E1F0000}"/>
    <cellStyle name="Note 10 3 3" xfId="11203" xr:uid="{00000000-0005-0000-0000-00006F1F0000}"/>
    <cellStyle name="Note 10 4" xfId="11204" xr:uid="{00000000-0005-0000-0000-0000701F0000}"/>
    <cellStyle name="Note 10 4 2" xfId="11205" xr:uid="{00000000-0005-0000-0000-0000711F0000}"/>
    <cellStyle name="Note 10 5" xfId="11206" xr:uid="{00000000-0005-0000-0000-0000721F0000}"/>
    <cellStyle name="Note 10_submit DHND 5%" xfId="7052" xr:uid="{00000000-0005-0000-0000-0000731F0000}"/>
    <cellStyle name="Note 11" xfId="7053" xr:uid="{00000000-0005-0000-0000-0000741F0000}"/>
    <cellStyle name="Note 11 2" xfId="7054" xr:uid="{00000000-0005-0000-0000-0000751F0000}"/>
    <cellStyle name="Note 11 2 2" xfId="7055" xr:uid="{00000000-0005-0000-0000-0000761F0000}"/>
    <cellStyle name="Note 11 2 2 2" xfId="11207" xr:uid="{00000000-0005-0000-0000-0000771F0000}"/>
    <cellStyle name="Note 11 2 2 2 2" xfId="11208" xr:uid="{00000000-0005-0000-0000-0000781F0000}"/>
    <cellStyle name="Note 11 2 2 3" xfId="11209" xr:uid="{00000000-0005-0000-0000-0000791F0000}"/>
    <cellStyle name="Note 11 2 3" xfId="11210" xr:uid="{00000000-0005-0000-0000-00007A1F0000}"/>
    <cellStyle name="Note 11 2 3 2" xfId="11211" xr:uid="{00000000-0005-0000-0000-00007B1F0000}"/>
    <cellStyle name="Note 11 2 4" xfId="11212" xr:uid="{00000000-0005-0000-0000-00007C1F0000}"/>
    <cellStyle name="Note 11 3" xfId="7056" xr:uid="{00000000-0005-0000-0000-00007D1F0000}"/>
    <cellStyle name="Note 11 3 2" xfId="11213" xr:uid="{00000000-0005-0000-0000-00007E1F0000}"/>
    <cellStyle name="Note 11 3 2 2" xfId="11214" xr:uid="{00000000-0005-0000-0000-00007F1F0000}"/>
    <cellStyle name="Note 11 3 3" xfId="11215" xr:uid="{00000000-0005-0000-0000-0000801F0000}"/>
    <cellStyle name="Note 11 4" xfId="11216" xr:uid="{00000000-0005-0000-0000-0000811F0000}"/>
    <cellStyle name="Note 11 4 2" xfId="11217" xr:uid="{00000000-0005-0000-0000-0000821F0000}"/>
    <cellStyle name="Note 11 5" xfId="11218" xr:uid="{00000000-0005-0000-0000-0000831F0000}"/>
    <cellStyle name="Note 11_submit DHND 5%" xfId="7057" xr:uid="{00000000-0005-0000-0000-0000841F0000}"/>
    <cellStyle name="Note 12" xfId="7058" xr:uid="{00000000-0005-0000-0000-0000851F0000}"/>
    <cellStyle name="Note 12 2" xfId="7059" xr:uid="{00000000-0005-0000-0000-0000861F0000}"/>
    <cellStyle name="Note 12 2 2" xfId="7060" xr:uid="{00000000-0005-0000-0000-0000871F0000}"/>
    <cellStyle name="Note 12 2 2 2" xfId="11219" xr:uid="{00000000-0005-0000-0000-0000881F0000}"/>
    <cellStyle name="Note 12 2 2 2 2" xfId="11220" xr:uid="{00000000-0005-0000-0000-0000891F0000}"/>
    <cellStyle name="Note 12 2 2 3" xfId="11221" xr:uid="{00000000-0005-0000-0000-00008A1F0000}"/>
    <cellStyle name="Note 12 2 3" xfId="11222" xr:uid="{00000000-0005-0000-0000-00008B1F0000}"/>
    <cellStyle name="Note 12 2 3 2" xfId="11223" xr:uid="{00000000-0005-0000-0000-00008C1F0000}"/>
    <cellStyle name="Note 12 2 4" xfId="11224" xr:uid="{00000000-0005-0000-0000-00008D1F0000}"/>
    <cellStyle name="Note 12 3" xfId="7061" xr:uid="{00000000-0005-0000-0000-00008E1F0000}"/>
    <cellStyle name="Note 12 3 2" xfId="11225" xr:uid="{00000000-0005-0000-0000-00008F1F0000}"/>
    <cellStyle name="Note 12 3 2 2" xfId="11226" xr:uid="{00000000-0005-0000-0000-0000901F0000}"/>
    <cellStyle name="Note 12 3 3" xfId="11227" xr:uid="{00000000-0005-0000-0000-0000911F0000}"/>
    <cellStyle name="Note 12 4" xfId="11228" xr:uid="{00000000-0005-0000-0000-0000921F0000}"/>
    <cellStyle name="Note 12 4 2" xfId="11229" xr:uid="{00000000-0005-0000-0000-0000931F0000}"/>
    <cellStyle name="Note 12 5" xfId="11230" xr:uid="{00000000-0005-0000-0000-0000941F0000}"/>
    <cellStyle name="Note 12_submit DHND 5%" xfId="7062" xr:uid="{00000000-0005-0000-0000-0000951F0000}"/>
    <cellStyle name="Note 13" xfId="7063" xr:uid="{00000000-0005-0000-0000-0000961F0000}"/>
    <cellStyle name="Note 13 2" xfId="7064" xr:uid="{00000000-0005-0000-0000-0000971F0000}"/>
    <cellStyle name="Note 13 2 2" xfId="7065" xr:uid="{00000000-0005-0000-0000-0000981F0000}"/>
    <cellStyle name="Note 13 2 2 2" xfId="11231" xr:uid="{00000000-0005-0000-0000-0000991F0000}"/>
    <cellStyle name="Note 13 2 2 2 2" xfId="11232" xr:uid="{00000000-0005-0000-0000-00009A1F0000}"/>
    <cellStyle name="Note 13 2 2 3" xfId="11233" xr:uid="{00000000-0005-0000-0000-00009B1F0000}"/>
    <cellStyle name="Note 13 2 3" xfId="11234" xr:uid="{00000000-0005-0000-0000-00009C1F0000}"/>
    <cellStyle name="Note 13 2 3 2" xfId="11235" xr:uid="{00000000-0005-0000-0000-00009D1F0000}"/>
    <cellStyle name="Note 13 2 4" xfId="11236" xr:uid="{00000000-0005-0000-0000-00009E1F0000}"/>
    <cellStyle name="Note 13 3" xfId="7066" xr:uid="{00000000-0005-0000-0000-00009F1F0000}"/>
    <cellStyle name="Note 13 3 2" xfId="11237" xr:uid="{00000000-0005-0000-0000-0000A01F0000}"/>
    <cellStyle name="Note 13 3 2 2" xfId="11238" xr:uid="{00000000-0005-0000-0000-0000A11F0000}"/>
    <cellStyle name="Note 13 3 3" xfId="11239" xr:uid="{00000000-0005-0000-0000-0000A21F0000}"/>
    <cellStyle name="Note 13 4" xfId="11240" xr:uid="{00000000-0005-0000-0000-0000A31F0000}"/>
    <cellStyle name="Note 13 4 2" xfId="11241" xr:uid="{00000000-0005-0000-0000-0000A41F0000}"/>
    <cellStyle name="Note 13 5" xfId="11242" xr:uid="{00000000-0005-0000-0000-0000A51F0000}"/>
    <cellStyle name="Note 13_submit DHND 5%" xfId="7067" xr:uid="{00000000-0005-0000-0000-0000A61F0000}"/>
    <cellStyle name="Note 14" xfId="7068" xr:uid="{00000000-0005-0000-0000-0000A71F0000}"/>
    <cellStyle name="Note 14 2" xfId="7069" xr:uid="{00000000-0005-0000-0000-0000A81F0000}"/>
    <cellStyle name="Note 14 2 2" xfId="7070" xr:uid="{00000000-0005-0000-0000-0000A91F0000}"/>
    <cellStyle name="Note 14 2 2 2" xfId="11243" xr:uid="{00000000-0005-0000-0000-0000AA1F0000}"/>
    <cellStyle name="Note 14 2 2 2 2" xfId="11244" xr:uid="{00000000-0005-0000-0000-0000AB1F0000}"/>
    <cellStyle name="Note 14 2 2 3" xfId="11245" xr:uid="{00000000-0005-0000-0000-0000AC1F0000}"/>
    <cellStyle name="Note 14 2 3" xfId="11246" xr:uid="{00000000-0005-0000-0000-0000AD1F0000}"/>
    <cellStyle name="Note 14 2 3 2" xfId="11247" xr:uid="{00000000-0005-0000-0000-0000AE1F0000}"/>
    <cellStyle name="Note 14 2 4" xfId="11248" xr:uid="{00000000-0005-0000-0000-0000AF1F0000}"/>
    <cellStyle name="Note 14 3" xfId="7071" xr:uid="{00000000-0005-0000-0000-0000B01F0000}"/>
    <cellStyle name="Note 14 3 2" xfId="11249" xr:uid="{00000000-0005-0000-0000-0000B11F0000}"/>
    <cellStyle name="Note 14 3 2 2" xfId="11250" xr:uid="{00000000-0005-0000-0000-0000B21F0000}"/>
    <cellStyle name="Note 14 3 3" xfId="11251" xr:uid="{00000000-0005-0000-0000-0000B31F0000}"/>
    <cellStyle name="Note 14 4" xfId="11252" xr:uid="{00000000-0005-0000-0000-0000B41F0000}"/>
    <cellStyle name="Note 14 4 2" xfId="11253" xr:uid="{00000000-0005-0000-0000-0000B51F0000}"/>
    <cellStyle name="Note 14 5" xfId="11254" xr:uid="{00000000-0005-0000-0000-0000B61F0000}"/>
    <cellStyle name="Note 14_submit DHND 5%" xfId="7072" xr:uid="{00000000-0005-0000-0000-0000B71F0000}"/>
    <cellStyle name="Note 15" xfId="7073" xr:uid="{00000000-0005-0000-0000-0000B81F0000}"/>
    <cellStyle name="Note 15 2" xfId="7074" xr:uid="{00000000-0005-0000-0000-0000B91F0000}"/>
    <cellStyle name="Note 15 2 2" xfId="7075" xr:uid="{00000000-0005-0000-0000-0000BA1F0000}"/>
    <cellStyle name="Note 15 2 2 2" xfId="11255" xr:uid="{00000000-0005-0000-0000-0000BB1F0000}"/>
    <cellStyle name="Note 15 2 2 2 2" xfId="11256" xr:uid="{00000000-0005-0000-0000-0000BC1F0000}"/>
    <cellStyle name="Note 15 2 2 3" xfId="11257" xr:uid="{00000000-0005-0000-0000-0000BD1F0000}"/>
    <cellStyle name="Note 15 2 3" xfId="11258" xr:uid="{00000000-0005-0000-0000-0000BE1F0000}"/>
    <cellStyle name="Note 15 2 3 2" xfId="11259" xr:uid="{00000000-0005-0000-0000-0000BF1F0000}"/>
    <cellStyle name="Note 15 2 4" xfId="11260" xr:uid="{00000000-0005-0000-0000-0000C01F0000}"/>
    <cellStyle name="Note 15 3" xfId="7076" xr:uid="{00000000-0005-0000-0000-0000C11F0000}"/>
    <cellStyle name="Note 15 3 2" xfId="11261" xr:uid="{00000000-0005-0000-0000-0000C21F0000}"/>
    <cellStyle name="Note 15 3 2 2" xfId="11262" xr:uid="{00000000-0005-0000-0000-0000C31F0000}"/>
    <cellStyle name="Note 15 3 3" xfId="11263" xr:uid="{00000000-0005-0000-0000-0000C41F0000}"/>
    <cellStyle name="Note 15 4" xfId="11264" xr:uid="{00000000-0005-0000-0000-0000C51F0000}"/>
    <cellStyle name="Note 15 4 2" xfId="11265" xr:uid="{00000000-0005-0000-0000-0000C61F0000}"/>
    <cellStyle name="Note 15 5" xfId="11266" xr:uid="{00000000-0005-0000-0000-0000C71F0000}"/>
    <cellStyle name="Note 15_submit DHND 5%" xfId="7077" xr:uid="{00000000-0005-0000-0000-0000C81F0000}"/>
    <cellStyle name="Note 16" xfId="7078" xr:uid="{00000000-0005-0000-0000-0000C91F0000}"/>
    <cellStyle name="Note 16 2" xfId="7079" xr:uid="{00000000-0005-0000-0000-0000CA1F0000}"/>
    <cellStyle name="Note 16 2 2" xfId="7080" xr:uid="{00000000-0005-0000-0000-0000CB1F0000}"/>
    <cellStyle name="Note 16 2 2 2" xfId="11267" xr:uid="{00000000-0005-0000-0000-0000CC1F0000}"/>
    <cellStyle name="Note 16 2 2 2 2" xfId="11268" xr:uid="{00000000-0005-0000-0000-0000CD1F0000}"/>
    <cellStyle name="Note 16 2 2 3" xfId="11269" xr:uid="{00000000-0005-0000-0000-0000CE1F0000}"/>
    <cellStyle name="Note 16 2 3" xfId="11270" xr:uid="{00000000-0005-0000-0000-0000CF1F0000}"/>
    <cellStyle name="Note 16 2 3 2" xfId="11271" xr:uid="{00000000-0005-0000-0000-0000D01F0000}"/>
    <cellStyle name="Note 16 2 4" xfId="11272" xr:uid="{00000000-0005-0000-0000-0000D11F0000}"/>
    <cellStyle name="Note 16 3" xfId="7081" xr:uid="{00000000-0005-0000-0000-0000D21F0000}"/>
    <cellStyle name="Note 16 3 2" xfId="11273" xr:uid="{00000000-0005-0000-0000-0000D31F0000}"/>
    <cellStyle name="Note 16 3 2 2" xfId="11274" xr:uid="{00000000-0005-0000-0000-0000D41F0000}"/>
    <cellStyle name="Note 16 3 3" xfId="11275" xr:uid="{00000000-0005-0000-0000-0000D51F0000}"/>
    <cellStyle name="Note 16 4" xfId="11276" xr:uid="{00000000-0005-0000-0000-0000D61F0000}"/>
    <cellStyle name="Note 16 4 2" xfId="11277" xr:uid="{00000000-0005-0000-0000-0000D71F0000}"/>
    <cellStyle name="Note 16 5" xfId="11278" xr:uid="{00000000-0005-0000-0000-0000D81F0000}"/>
    <cellStyle name="Note 16_submit DHND 5%" xfId="7082" xr:uid="{00000000-0005-0000-0000-0000D91F0000}"/>
    <cellStyle name="Note 17" xfId="7083" xr:uid="{00000000-0005-0000-0000-0000DA1F0000}"/>
    <cellStyle name="Note 17 2" xfId="7084" xr:uid="{00000000-0005-0000-0000-0000DB1F0000}"/>
    <cellStyle name="Note 17 2 2" xfId="7085" xr:uid="{00000000-0005-0000-0000-0000DC1F0000}"/>
    <cellStyle name="Note 17 2 2 2" xfId="11279" xr:uid="{00000000-0005-0000-0000-0000DD1F0000}"/>
    <cellStyle name="Note 17 2 2 2 2" xfId="11280" xr:uid="{00000000-0005-0000-0000-0000DE1F0000}"/>
    <cellStyle name="Note 17 2 2 3" xfId="11281" xr:uid="{00000000-0005-0000-0000-0000DF1F0000}"/>
    <cellStyle name="Note 17 2 3" xfId="11282" xr:uid="{00000000-0005-0000-0000-0000E01F0000}"/>
    <cellStyle name="Note 17 2 3 2" xfId="11283" xr:uid="{00000000-0005-0000-0000-0000E11F0000}"/>
    <cellStyle name="Note 17 2 4" xfId="11284" xr:uid="{00000000-0005-0000-0000-0000E21F0000}"/>
    <cellStyle name="Note 17 3" xfId="7086" xr:uid="{00000000-0005-0000-0000-0000E31F0000}"/>
    <cellStyle name="Note 17 3 2" xfId="11285" xr:uid="{00000000-0005-0000-0000-0000E41F0000}"/>
    <cellStyle name="Note 17 3 2 2" xfId="11286" xr:uid="{00000000-0005-0000-0000-0000E51F0000}"/>
    <cellStyle name="Note 17 3 3" xfId="11287" xr:uid="{00000000-0005-0000-0000-0000E61F0000}"/>
    <cellStyle name="Note 17 4" xfId="11288" xr:uid="{00000000-0005-0000-0000-0000E71F0000}"/>
    <cellStyle name="Note 17 4 2" xfId="11289" xr:uid="{00000000-0005-0000-0000-0000E81F0000}"/>
    <cellStyle name="Note 17 5" xfId="11290" xr:uid="{00000000-0005-0000-0000-0000E91F0000}"/>
    <cellStyle name="Note 17_submit DHND 5%" xfId="7087" xr:uid="{00000000-0005-0000-0000-0000EA1F0000}"/>
    <cellStyle name="Note 18" xfId="7088" xr:uid="{00000000-0005-0000-0000-0000EB1F0000}"/>
    <cellStyle name="Note 18 2" xfId="7089" xr:uid="{00000000-0005-0000-0000-0000EC1F0000}"/>
    <cellStyle name="Note 18 2 2" xfId="7090" xr:uid="{00000000-0005-0000-0000-0000ED1F0000}"/>
    <cellStyle name="Note 18 2 2 2" xfId="11291" xr:uid="{00000000-0005-0000-0000-0000EE1F0000}"/>
    <cellStyle name="Note 18 2 2 2 2" xfId="11292" xr:uid="{00000000-0005-0000-0000-0000EF1F0000}"/>
    <cellStyle name="Note 18 2 2 3" xfId="11293" xr:uid="{00000000-0005-0000-0000-0000F01F0000}"/>
    <cellStyle name="Note 18 2 3" xfId="11294" xr:uid="{00000000-0005-0000-0000-0000F11F0000}"/>
    <cellStyle name="Note 18 2 3 2" xfId="11295" xr:uid="{00000000-0005-0000-0000-0000F21F0000}"/>
    <cellStyle name="Note 18 2 4" xfId="11296" xr:uid="{00000000-0005-0000-0000-0000F31F0000}"/>
    <cellStyle name="Note 18 2 5" xfId="14602" xr:uid="{F90F3C16-A3D2-4147-829E-EF4E7D112395}"/>
    <cellStyle name="Note 18 3" xfId="7091" xr:uid="{00000000-0005-0000-0000-0000F41F0000}"/>
    <cellStyle name="Note 18 3 2" xfId="11297" xr:uid="{00000000-0005-0000-0000-0000F51F0000}"/>
    <cellStyle name="Note 18 3 2 2" xfId="11298" xr:uid="{00000000-0005-0000-0000-0000F61F0000}"/>
    <cellStyle name="Note 18 3 3" xfId="11299" xr:uid="{00000000-0005-0000-0000-0000F71F0000}"/>
    <cellStyle name="Note 18 4" xfId="11300" xr:uid="{00000000-0005-0000-0000-0000F81F0000}"/>
    <cellStyle name="Note 18 4 2" xfId="11301" xr:uid="{00000000-0005-0000-0000-0000F91F0000}"/>
    <cellStyle name="Note 18 5" xfId="11302" xr:uid="{00000000-0005-0000-0000-0000FA1F0000}"/>
    <cellStyle name="Note 18_submit DHND 5%" xfId="7092" xr:uid="{00000000-0005-0000-0000-0000FB1F0000}"/>
    <cellStyle name="Note 19" xfId="7093" xr:uid="{00000000-0005-0000-0000-0000FC1F0000}"/>
    <cellStyle name="Note 19 2" xfId="7094" xr:uid="{00000000-0005-0000-0000-0000FD1F0000}"/>
    <cellStyle name="Note 19 2 2" xfId="7095" xr:uid="{00000000-0005-0000-0000-0000FE1F0000}"/>
    <cellStyle name="Note 19 2 2 2" xfId="11303" xr:uid="{00000000-0005-0000-0000-0000FF1F0000}"/>
    <cellStyle name="Note 19 2 2 2 2" xfId="11304" xr:uid="{00000000-0005-0000-0000-000000200000}"/>
    <cellStyle name="Note 19 2 2 3" xfId="11305" xr:uid="{00000000-0005-0000-0000-000001200000}"/>
    <cellStyle name="Note 19 2 3" xfId="11306" xr:uid="{00000000-0005-0000-0000-000002200000}"/>
    <cellStyle name="Note 19 2 3 2" xfId="11307" xr:uid="{00000000-0005-0000-0000-000003200000}"/>
    <cellStyle name="Note 19 2 4" xfId="11308" xr:uid="{00000000-0005-0000-0000-000004200000}"/>
    <cellStyle name="Note 19 3" xfId="7096" xr:uid="{00000000-0005-0000-0000-000005200000}"/>
    <cellStyle name="Note 19 3 2" xfId="11309" xr:uid="{00000000-0005-0000-0000-000006200000}"/>
    <cellStyle name="Note 19 3 2 2" xfId="11310" xr:uid="{00000000-0005-0000-0000-000007200000}"/>
    <cellStyle name="Note 19 3 3" xfId="11311" xr:uid="{00000000-0005-0000-0000-000008200000}"/>
    <cellStyle name="Note 19 4" xfId="11312" xr:uid="{00000000-0005-0000-0000-000009200000}"/>
    <cellStyle name="Note 19 4 2" xfId="11313" xr:uid="{00000000-0005-0000-0000-00000A200000}"/>
    <cellStyle name="Note 19 5" xfId="11314" xr:uid="{00000000-0005-0000-0000-00000B200000}"/>
    <cellStyle name="Note 19_submit DHND 5%" xfId="7097" xr:uid="{00000000-0005-0000-0000-00000C200000}"/>
    <cellStyle name="Note 2" xfId="7098" xr:uid="{00000000-0005-0000-0000-00000D200000}"/>
    <cellStyle name="Note 2 2" xfId="7099" xr:uid="{00000000-0005-0000-0000-00000E200000}"/>
    <cellStyle name="Note 2 2 2" xfId="7100" xr:uid="{00000000-0005-0000-0000-00000F200000}"/>
    <cellStyle name="Note 2 2 2 2" xfId="11315" xr:uid="{00000000-0005-0000-0000-000010200000}"/>
    <cellStyle name="Note 2 2 2 2 2" xfId="11316" xr:uid="{00000000-0005-0000-0000-000011200000}"/>
    <cellStyle name="Note 2 2 2 3" xfId="11317" xr:uid="{00000000-0005-0000-0000-000012200000}"/>
    <cellStyle name="Note 2 2 3" xfId="11318" xr:uid="{00000000-0005-0000-0000-000013200000}"/>
    <cellStyle name="Note 2 2 3 2" xfId="11319" xr:uid="{00000000-0005-0000-0000-000014200000}"/>
    <cellStyle name="Note 2 2 4" xfId="11320" xr:uid="{00000000-0005-0000-0000-000015200000}"/>
    <cellStyle name="Note 2 3" xfId="7101" xr:uid="{00000000-0005-0000-0000-000016200000}"/>
    <cellStyle name="Note 2 3 2" xfId="11321" xr:uid="{00000000-0005-0000-0000-000017200000}"/>
    <cellStyle name="Note 2 3 2 2" xfId="11322" xr:uid="{00000000-0005-0000-0000-000018200000}"/>
    <cellStyle name="Note 2 3 3" xfId="11323" xr:uid="{00000000-0005-0000-0000-000019200000}"/>
    <cellStyle name="Note 2 4" xfId="11324" xr:uid="{00000000-0005-0000-0000-00001A200000}"/>
    <cellStyle name="Note 2 4 2" xfId="11325" xr:uid="{00000000-0005-0000-0000-00001B200000}"/>
    <cellStyle name="Note 2 5" xfId="11326" xr:uid="{00000000-0005-0000-0000-00001C200000}"/>
    <cellStyle name="Note 2_submit DHND 5%" xfId="7102" xr:uid="{00000000-0005-0000-0000-00001D200000}"/>
    <cellStyle name="Note 20" xfId="7103" xr:uid="{00000000-0005-0000-0000-00001E200000}"/>
    <cellStyle name="Note 20 2" xfId="7104" xr:uid="{00000000-0005-0000-0000-00001F200000}"/>
    <cellStyle name="Note 20 2 2" xfId="7105" xr:uid="{00000000-0005-0000-0000-000020200000}"/>
    <cellStyle name="Note 20 2 2 2" xfId="11327" xr:uid="{00000000-0005-0000-0000-000021200000}"/>
    <cellStyle name="Note 20 2 2 2 2" xfId="11328" xr:uid="{00000000-0005-0000-0000-000022200000}"/>
    <cellStyle name="Note 20 2 2 3" xfId="11329" xr:uid="{00000000-0005-0000-0000-000023200000}"/>
    <cellStyle name="Note 20 2 3" xfId="11330" xr:uid="{00000000-0005-0000-0000-000024200000}"/>
    <cellStyle name="Note 20 2 3 2" xfId="11331" xr:uid="{00000000-0005-0000-0000-000025200000}"/>
    <cellStyle name="Note 20 2 4" xfId="11332" xr:uid="{00000000-0005-0000-0000-000026200000}"/>
    <cellStyle name="Note 20 3" xfId="7106" xr:uid="{00000000-0005-0000-0000-000027200000}"/>
    <cellStyle name="Note 20 3 2" xfId="11333" xr:uid="{00000000-0005-0000-0000-000028200000}"/>
    <cellStyle name="Note 20 3 2 2" xfId="11334" xr:uid="{00000000-0005-0000-0000-000029200000}"/>
    <cellStyle name="Note 20 3 3" xfId="11335" xr:uid="{00000000-0005-0000-0000-00002A200000}"/>
    <cellStyle name="Note 20 4" xfId="11336" xr:uid="{00000000-0005-0000-0000-00002B200000}"/>
    <cellStyle name="Note 20 4 2" xfId="11337" xr:uid="{00000000-0005-0000-0000-00002C200000}"/>
    <cellStyle name="Note 20 5" xfId="11338" xr:uid="{00000000-0005-0000-0000-00002D200000}"/>
    <cellStyle name="Note 20_submit DHND 5%" xfId="7107" xr:uid="{00000000-0005-0000-0000-00002E200000}"/>
    <cellStyle name="Note 21" xfId="7108" xr:uid="{00000000-0005-0000-0000-00002F200000}"/>
    <cellStyle name="Note 21 2" xfId="7109" xr:uid="{00000000-0005-0000-0000-000030200000}"/>
    <cellStyle name="Note 21 2 2" xfId="7110" xr:uid="{00000000-0005-0000-0000-000031200000}"/>
    <cellStyle name="Note 21 2 2 2" xfId="11339" xr:uid="{00000000-0005-0000-0000-000032200000}"/>
    <cellStyle name="Note 21 2 2 2 2" xfId="11340" xr:uid="{00000000-0005-0000-0000-000033200000}"/>
    <cellStyle name="Note 21 2 2 3" xfId="11341" xr:uid="{00000000-0005-0000-0000-000034200000}"/>
    <cellStyle name="Note 21 2 3" xfId="11342" xr:uid="{00000000-0005-0000-0000-000035200000}"/>
    <cellStyle name="Note 21 2 3 2" xfId="11343" xr:uid="{00000000-0005-0000-0000-000036200000}"/>
    <cellStyle name="Note 21 2 4" xfId="11344" xr:uid="{00000000-0005-0000-0000-000037200000}"/>
    <cellStyle name="Note 21 3" xfId="7111" xr:uid="{00000000-0005-0000-0000-000038200000}"/>
    <cellStyle name="Note 21 3 2" xfId="11345" xr:uid="{00000000-0005-0000-0000-000039200000}"/>
    <cellStyle name="Note 21 3 2 2" xfId="11346" xr:uid="{00000000-0005-0000-0000-00003A200000}"/>
    <cellStyle name="Note 21 3 3" xfId="11347" xr:uid="{00000000-0005-0000-0000-00003B200000}"/>
    <cellStyle name="Note 21 4" xfId="11348" xr:uid="{00000000-0005-0000-0000-00003C200000}"/>
    <cellStyle name="Note 21 4 2" xfId="11349" xr:uid="{00000000-0005-0000-0000-00003D200000}"/>
    <cellStyle name="Note 21 5" xfId="11350" xr:uid="{00000000-0005-0000-0000-00003E200000}"/>
    <cellStyle name="Note 21_submit DHND 5%" xfId="7112" xr:uid="{00000000-0005-0000-0000-00003F200000}"/>
    <cellStyle name="Note 22" xfId="7113" xr:uid="{00000000-0005-0000-0000-000040200000}"/>
    <cellStyle name="Note 22 2" xfId="7114" xr:uid="{00000000-0005-0000-0000-000041200000}"/>
    <cellStyle name="Note 22 2 2" xfId="7115" xr:uid="{00000000-0005-0000-0000-000042200000}"/>
    <cellStyle name="Note 22 2 2 2" xfId="11351" xr:uid="{00000000-0005-0000-0000-000043200000}"/>
    <cellStyle name="Note 22 2 2 2 2" xfId="11352" xr:uid="{00000000-0005-0000-0000-000044200000}"/>
    <cellStyle name="Note 22 2 2 3" xfId="11353" xr:uid="{00000000-0005-0000-0000-000045200000}"/>
    <cellStyle name="Note 22 2 3" xfId="11354" xr:uid="{00000000-0005-0000-0000-000046200000}"/>
    <cellStyle name="Note 22 2 3 2" xfId="11355" xr:uid="{00000000-0005-0000-0000-000047200000}"/>
    <cellStyle name="Note 22 2 4" xfId="11356" xr:uid="{00000000-0005-0000-0000-000048200000}"/>
    <cellStyle name="Note 22 3" xfId="7116" xr:uid="{00000000-0005-0000-0000-000049200000}"/>
    <cellStyle name="Note 22 3 2" xfId="11357" xr:uid="{00000000-0005-0000-0000-00004A200000}"/>
    <cellStyle name="Note 22 3 2 2" xfId="11358" xr:uid="{00000000-0005-0000-0000-00004B200000}"/>
    <cellStyle name="Note 22 3 3" xfId="11359" xr:uid="{00000000-0005-0000-0000-00004C200000}"/>
    <cellStyle name="Note 22 4" xfId="11360" xr:uid="{00000000-0005-0000-0000-00004D200000}"/>
    <cellStyle name="Note 22 4 2" xfId="11361" xr:uid="{00000000-0005-0000-0000-00004E200000}"/>
    <cellStyle name="Note 22 5" xfId="11362" xr:uid="{00000000-0005-0000-0000-00004F200000}"/>
    <cellStyle name="Note 22_submit DHND 5%" xfId="7117" xr:uid="{00000000-0005-0000-0000-000050200000}"/>
    <cellStyle name="Note 23" xfId="7118" xr:uid="{00000000-0005-0000-0000-000051200000}"/>
    <cellStyle name="Note 23 2" xfId="11363" xr:uid="{00000000-0005-0000-0000-000052200000}"/>
    <cellStyle name="Note 23 2 2" xfId="11364" xr:uid="{00000000-0005-0000-0000-000053200000}"/>
    <cellStyle name="Note 23 3" xfId="11365" xr:uid="{00000000-0005-0000-0000-000054200000}"/>
    <cellStyle name="Note 24" xfId="7119" xr:uid="{00000000-0005-0000-0000-000055200000}"/>
    <cellStyle name="Note 24 2" xfId="11366" xr:uid="{00000000-0005-0000-0000-000056200000}"/>
    <cellStyle name="Note 24 2 2" xfId="11367" xr:uid="{00000000-0005-0000-0000-000057200000}"/>
    <cellStyle name="Note 24 3" xfId="11368" xr:uid="{00000000-0005-0000-0000-000058200000}"/>
    <cellStyle name="Note 25" xfId="7120" xr:uid="{00000000-0005-0000-0000-000059200000}"/>
    <cellStyle name="Note 25 2" xfId="11369" xr:uid="{00000000-0005-0000-0000-00005A200000}"/>
    <cellStyle name="Note 25 2 2" xfId="11370" xr:uid="{00000000-0005-0000-0000-00005B200000}"/>
    <cellStyle name="Note 25 3" xfId="11371" xr:uid="{00000000-0005-0000-0000-00005C200000}"/>
    <cellStyle name="Note 26" xfId="7121" xr:uid="{00000000-0005-0000-0000-00005D200000}"/>
    <cellStyle name="Note 26 2" xfId="11372" xr:uid="{00000000-0005-0000-0000-00005E200000}"/>
    <cellStyle name="Note 26 2 2" xfId="11373" xr:uid="{00000000-0005-0000-0000-00005F200000}"/>
    <cellStyle name="Note 26 3" xfId="11374" xr:uid="{00000000-0005-0000-0000-000060200000}"/>
    <cellStyle name="Note 27" xfId="7122" xr:uid="{00000000-0005-0000-0000-000061200000}"/>
    <cellStyle name="Note 27 2" xfId="11375" xr:uid="{00000000-0005-0000-0000-000062200000}"/>
    <cellStyle name="Note 27 2 2" xfId="11376" xr:uid="{00000000-0005-0000-0000-000063200000}"/>
    <cellStyle name="Note 27 3" xfId="11377" xr:uid="{00000000-0005-0000-0000-000064200000}"/>
    <cellStyle name="Note 28" xfId="7123" xr:uid="{00000000-0005-0000-0000-000065200000}"/>
    <cellStyle name="Note 28 2" xfId="11378" xr:uid="{00000000-0005-0000-0000-000066200000}"/>
    <cellStyle name="Note 28 2 2" xfId="11379" xr:uid="{00000000-0005-0000-0000-000067200000}"/>
    <cellStyle name="Note 28 3" xfId="11380" xr:uid="{00000000-0005-0000-0000-000068200000}"/>
    <cellStyle name="Note 29" xfId="7124" xr:uid="{00000000-0005-0000-0000-000069200000}"/>
    <cellStyle name="Note 29 2" xfId="11381" xr:uid="{00000000-0005-0000-0000-00006A200000}"/>
    <cellStyle name="Note 29 2 2" xfId="11382" xr:uid="{00000000-0005-0000-0000-00006B200000}"/>
    <cellStyle name="Note 29 3" xfId="11383" xr:uid="{00000000-0005-0000-0000-00006C200000}"/>
    <cellStyle name="Note 3" xfId="7125" xr:uid="{00000000-0005-0000-0000-00006D200000}"/>
    <cellStyle name="Note 3 2" xfId="7126" xr:uid="{00000000-0005-0000-0000-00006E200000}"/>
    <cellStyle name="Note 3 2 2" xfId="7127" xr:uid="{00000000-0005-0000-0000-00006F200000}"/>
    <cellStyle name="Note 3 2 2 2" xfId="11384" xr:uid="{00000000-0005-0000-0000-000070200000}"/>
    <cellStyle name="Note 3 2 2 2 2" xfId="11385" xr:uid="{00000000-0005-0000-0000-000071200000}"/>
    <cellStyle name="Note 3 2 2 3" xfId="11386" xr:uid="{00000000-0005-0000-0000-000072200000}"/>
    <cellStyle name="Note 3 2 3" xfId="11387" xr:uid="{00000000-0005-0000-0000-000073200000}"/>
    <cellStyle name="Note 3 2 3 2" xfId="11388" xr:uid="{00000000-0005-0000-0000-000074200000}"/>
    <cellStyle name="Note 3 2 4" xfId="11389" xr:uid="{00000000-0005-0000-0000-000075200000}"/>
    <cellStyle name="Note 3 3" xfId="7128" xr:uid="{00000000-0005-0000-0000-000076200000}"/>
    <cellStyle name="Note 3 3 2" xfId="11390" xr:uid="{00000000-0005-0000-0000-000077200000}"/>
    <cellStyle name="Note 3 3 2 2" xfId="11391" xr:uid="{00000000-0005-0000-0000-000078200000}"/>
    <cellStyle name="Note 3 3 3" xfId="11392" xr:uid="{00000000-0005-0000-0000-000079200000}"/>
    <cellStyle name="Note 3 4" xfId="11393" xr:uid="{00000000-0005-0000-0000-00007A200000}"/>
    <cellStyle name="Note 3 4 2" xfId="11394" xr:uid="{00000000-0005-0000-0000-00007B200000}"/>
    <cellStyle name="Note 3 5" xfId="11395" xr:uid="{00000000-0005-0000-0000-00007C200000}"/>
    <cellStyle name="Note 3_submit DHND 5%" xfId="7129" xr:uid="{00000000-0005-0000-0000-00007D200000}"/>
    <cellStyle name="Note 30" xfId="7130" xr:uid="{00000000-0005-0000-0000-00007E200000}"/>
    <cellStyle name="Note 30 2" xfId="11396" xr:uid="{00000000-0005-0000-0000-00007F200000}"/>
    <cellStyle name="Note 30 2 2" xfId="11397" xr:uid="{00000000-0005-0000-0000-000080200000}"/>
    <cellStyle name="Note 30 3" xfId="11398" xr:uid="{00000000-0005-0000-0000-000081200000}"/>
    <cellStyle name="Note 31" xfId="7131" xr:uid="{00000000-0005-0000-0000-000082200000}"/>
    <cellStyle name="Note 31 2" xfId="11399" xr:uid="{00000000-0005-0000-0000-000083200000}"/>
    <cellStyle name="Note 31 2 2" xfId="11400" xr:uid="{00000000-0005-0000-0000-000084200000}"/>
    <cellStyle name="Note 31 3" xfId="11401" xr:uid="{00000000-0005-0000-0000-000085200000}"/>
    <cellStyle name="Note 32" xfId="7132" xr:uid="{00000000-0005-0000-0000-000086200000}"/>
    <cellStyle name="Note 32 2" xfId="11402" xr:uid="{00000000-0005-0000-0000-000087200000}"/>
    <cellStyle name="Note 32 2 2" xfId="11403" xr:uid="{00000000-0005-0000-0000-000088200000}"/>
    <cellStyle name="Note 32 3" xfId="11404" xr:uid="{00000000-0005-0000-0000-000089200000}"/>
    <cellStyle name="Note 33" xfId="7133" xr:uid="{00000000-0005-0000-0000-00008A200000}"/>
    <cellStyle name="Note 33 2" xfId="11405" xr:uid="{00000000-0005-0000-0000-00008B200000}"/>
    <cellStyle name="Note 33 2 2" xfId="11406" xr:uid="{00000000-0005-0000-0000-00008C200000}"/>
    <cellStyle name="Note 33 3" xfId="11407" xr:uid="{00000000-0005-0000-0000-00008D200000}"/>
    <cellStyle name="Note 4" xfId="7134" xr:uid="{00000000-0005-0000-0000-00008E200000}"/>
    <cellStyle name="Note 4 2" xfId="7135" xr:uid="{00000000-0005-0000-0000-00008F200000}"/>
    <cellStyle name="Note 4 2 2" xfId="7136" xr:uid="{00000000-0005-0000-0000-000090200000}"/>
    <cellStyle name="Note 4 2 2 2" xfId="11408" xr:uid="{00000000-0005-0000-0000-000091200000}"/>
    <cellStyle name="Note 4 2 2 2 2" xfId="11409" xr:uid="{00000000-0005-0000-0000-000092200000}"/>
    <cellStyle name="Note 4 2 2 3" xfId="11410" xr:uid="{00000000-0005-0000-0000-000093200000}"/>
    <cellStyle name="Note 4 2 3" xfId="11411" xr:uid="{00000000-0005-0000-0000-000094200000}"/>
    <cellStyle name="Note 4 2 3 2" xfId="11412" xr:uid="{00000000-0005-0000-0000-000095200000}"/>
    <cellStyle name="Note 4 2 4" xfId="11413" xr:uid="{00000000-0005-0000-0000-000096200000}"/>
    <cellStyle name="Note 4 3" xfId="7137" xr:uid="{00000000-0005-0000-0000-000097200000}"/>
    <cellStyle name="Note 4 3 2" xfId="11414" xr:uid="{00000000-0005-0000-0000-000098200000}"/>
    <cellStyle name="Note 4 3 2 2" xfId="11415" xr:uid="{00000000-0005-0000-0000-000099200000}"/>
    <cellStyle name="Note 4 3 3" xfId="11416" xr:uid="{00000000-0005-0000-0000-00009A200000}"/>
    <cellStyle name="Note 4 4" xfId="11417" xr:uid="{00000000-0005-0000-0000-00009B200000}"/>
    <cellStyle name="Note 4 4 2" xfId="11418" xr:uid="{00000000-0005-0000-0000-00009C200000}"/>
    <cellStyle name="Note 4 5" xfId="11419" xr:uid="{00000000-0005-0000-0000-00009D200000}"/>
    <cellStyle name="Note 4_submit DHND 5%" xfId="7138" xr:uid="{00000000-0005-0000-0000-00009E200000}"/>
    <cellStyle name="Note 5" xfId="7139" xr:uid="{00000000-0005-0000-0000-00009F200000}"/>
    <cellStyle name="Note 5 2" xfId="7140" xr:uid="{00000000-0005-0000-0000-0000A0200000}"/>
    <cellStyle name="Note 5 2 2" xfId="7141" xr:uid="{00000000-0005-0000-0000-0000A1200000}"/>
    <cellStyle name="Note 5 2 2 2" xfId="11420" xr:uid="{00000000-0005-0000-0000-0000A2200000}"/>
    <cellStyle name="Note 5 2 2 2 2" xfId="11421" xr:uid="{00000000-0005-0000-0000-0000A3200000}"/>
    <cellStyle name="Note 5 2 2 3" xfId="11422" xr:uid="{00000000-0005-0000-0000-0000A4200000}"/>
    <cellStyle name="Note 5 2 3" xfId="11423" xr:uid="{00000000-0005-0000-0000-0000A5200000}"/>
    <cellStyle name="Note 5 2 3 2" xfId="11424" xr:uid="{00000000-0005-0000-0000-0000A6200000}"/>
    <cellStyle name="Note 5 2 4" xfId="11425" xr:uid="{00000000-0005-0000-0000-0000A7200000}"/>
    <cellStyle name="Note 5 3" xfId="7142" xr:uid="{00000000-0005-0000-0000-0000A8200000}"/>
    <cellStyle name="Note 5 3 2" xfId="11426" xr:uid="{00000000-0005-0000-0000-0000A9200000}"/>
    <cellStyle name="Note 5 3 2 2" xfId="11427" xr:uid="{00000000-0005-0000-0000-0000AA200000}"/>
    <cellStyle name="Note 5 3 3" xfId="11428" xr:uid="{00000000-0005-0000-0000-0000AB200000}"/>
    <cellStyle name="Note 5 4" xfId="11429" xr:uid="{00000000-0005-0000-0000-0000AC200000}"/>
    <cellStyle name="Note 5 4 2" xfId="11430" xr:uid="{00000000-0005-0000-0000-0000AD200000}"/>
    <cellStyle name="Note 5 5" xfId="11431" xr:uid="{00000000-0005-0000-0000-0000AE200000}"/>
    <cellStyle name="Note 5_submit DHND 5%" xfId="7143" xr:uid="{00000000-0005-0000-0000-0000AF200000}"/>
    <cellStyle name="Note 6" xfId="7144" xr:uid="{00000000-0005-0000-0000-0000B0200000}"/>
    <cellStyle name="Note 6 2" xfId="7145" xr:uid="{00000000-0005-0000-0000-0000B1200000}"/>
    <cellStyle name="Note 6 2 2" xfId="7146" xr:uid="{00000000-0005-0000-0000-0000B2200000}"/>
    <cellStyle name="Note 6 2 2 2" xfId="11432" xr:uid="{00000000-0005-0000-0000-0000B3200000}"/>
    <cellStyle name="Note 6 2 2 2 2" xfId="11433" xr:uid="{00000000-0005-0000-0000-0000B4200000}"/>
    <cellStyle name="Note 6 2 2 3" xfId="11434" xr:uid="{00000000-0005-0000-0000-0000B5200000}"/>
    <cellStyle name="Note 6 2 3" xfId="11435" xr:uid="{00000000-0005-0000-0000-0000B6200000}"/>
    <cellStyle name="Note 6 2 3 2" xfId="11436" xr:uid="{00000000-0005-0000-0000-0000B7200000}"/>
    <cellStyle name="Note 6 2 4" xfId="11437" xr:uid="{00000000-0005-0000-0000-0000B8200000}"/>
    <cellStyle name="Note 6 3" xfId="7147" xr:uid="{00000000-0005-0000-0000-0000B9200000}"/>
    <cellStyle name="Note 6 3 2" xfId="11438" xr:uid="{00000000-0005-0000-0000-0000BA200000}"/>
    <cellStyle name="Note 6 3 2 2" xfId="11439" xr:uid="{00000000-0005-0000-0000-0000BB200000}"/>
    <cellStyle name="Note 6 3 3" xfId="11440" xr:uid="{00000000-0005-0000-0000-0000BC200000}"/>
    <cellStyle name="Note 6 4" xfId="11441" xr:uid="{00000000-0005-0000-0000-0000BD200000}"/>
    <cellStyle name="Note 6 4 2" xfId="11442" xr:uid="{00000000-0005-0000-0000-0000BE200000}"/>
    <cellStyle name="Note 6 5" xfId="11443" xr:uid="{00000000-0005-0000-0000-0000BF200000}"/>
    <cellStyle name="Note 6_submit DHND 5%" xfId="7148" xr:uid="{00000000-0005-0000-0000-0000C0200000}"/>
    <cellStyle name="Note 7" xfId="7149" xr:uid="{00000000-0005-0000-0000-0000C1200000}"/>
    <cellStyle name="Note 7 2" xfId="7150" xr:uid="{00000000-0005-0000-0000-0000C2200000}"/>
    <cellStyle name="Note 7 2 2" xfId="7151" xr:uid="{00000000-0005-0000-0000-0000C3200000}"/>
    <cellStyle name="Note 7 2 2 2" xfId="11444" xr:uid="{00000000-0005-0000-0000-0000C4200000}"/>
    <cellStyle name="Note 7 2 2 2 2" xfId="11445" xr:uid="{00000000-0005-0000-0000-0000C5200000}"/>
    <cellStyle name="Note 7 2 2 3" xfId="11446" xr:uid="{00000000-0005-0000-0000-0000C6200000}"/>
    <cellStyle name="Note 7 2 3" xfId="11447" xr:uid="{00000000-0005-0000-0000-0000C7200000}"/>
    <cellStyle name="Note 7 2 3 2" xfId="11448" xr:uid="{00000000-0005-0000-0000-0000C8200000}"/>
    <cellStyle name="Note 7 2 4" xfId="11449" xr:uid="{00000000-0005-0000-0000-0000C9200000}"/>
    <cellStyle name="Note 7 3" xfId="7152" xr:uid="{00000000-0005-0000-0000-0000CA200000}"/>
    <cellStyle name="Note 7 3 2" xfId="11450" xr:uid="{00000000-0005-0000-0000-0000CB200000}"/>
    <cellStyle name="Note 7 3 2 2" xfId="11451" xr:uid="{00000000-0005-0000-0000-0000CC200000}"/>
    <cellStyle name="Note 7 3 3" xfId="11452" xr:uid="{00000000-0005-0000-0000-0000CD200000}"/>
    <cellStyle name="Note 7 4" xfId="11453" xr:uid="{00000000-0005-0000-0000-0000CE200000}"/>
    <cellStyle name="Note 7 4 2" xfId="11454" xr:uid="{00000000-0005-0000-0000-0000CF200000}"/>
    <cellStyle name="Note 7 5" xfId="11455" xr:uid="{00000000-0005-0000-0000-0000D0200000}"/>
    <cellStyle name="Note 7_submit DHND 5%" xfId="7153" xr:uid="{00000000-0005-0000-0000-0000D1200000}"/>
    <cellStyle name="Note 8" xfId="7154" xr:uid="{00000000-0005-0000-0000-0000D2200000}"/>
    <cellStyle name="Note 8 2" xfId="7155" xr:uid="{00000000-0005-0000-0000-0000D3200000}"/>
    <cellStyle name="Note 8 2 2" xfId="7156" xr:uid="{00000000-0005-0000-0000-0000D4200000}"/>
    <cellStyle name="Note 8 2 2 2" xfId="11456" xr:uid="{00000000-0005-0000-0000-0000D5200000}"/>
    <cellStyle name="Note 8 2 2 2 2" xfId="11457" xr:uid="{00000000-0005-0000-0000-0000D6200000}"/>
    <cellStyle name="Note 8 2 2 3" xfId="11458" xr:uid="{00000000-0005-0000-0000-0000D7200000}"/>
    <cellStyle name="Note 8 2 3" xfId="11459" xr:uid="{00000000-0005-0000-0000-0000D8200000}"/>
    <cellStyle name="Note 8 2 3 2" xfId="11460" xr:uid="{00000000-0005-0000-0000-0000D9200000}"/>
    <cellStyle name="Note 8 2 4" xfId="11461" xr:uid="{00000000-0005-0000-0000-0000DA200000}"/>
    <cellStyle name="Note 8 3" xfId="7157" xr:uid="{00000000-0005-0000-0000-0000DB200000}"/>
    <cellStyle name="Note 8 3 2" xfId="11462" xr:uid="{00000000-0005-0000-0000-0000DC200000}"/>
    <cellStyle name="Note 8 3 2 2" xfId="11463" xr:uid="{00000000-0005-0000-0000-0000DD200000}"/>
    <cellStyle name="Note 8 3 3" xfId="11464" xr:uid="{00000000-0005-0000-0000-0000DE200000}"/>
    <cellStyle name="Note 8 4" xfId="11465" xr:uid="{00000000-0005-0000-0000-0000DF200000}"/>
    <cellStyle name="Note 8 4 2" xfId="11466" xr:uid="{00000000-0005-0000-0000-0000E0200000}"/>
    <cellStyle name="Note 8 5" xfId="11467" xr:uid="{00000000-0005-0000-0000-0000E1200000}"/>
    <cellStyle name="Note 8_submit DHND 5%" xfId="7158" xr:uid="{00000000-0005-0000-0000-0000E2200000}"/>
    <cellStyle name="Note 9" xfId="7159" xr:uid="{00000000-0005-0000-0000-0000E3200000}"/>
    <cellStyle name="Note 9 2" xfId="7160" xr:uid="{00000000-0005-0000-0000-0000E4200000}"/>
    <cellStyle name="Note 9 2 2" xfId="7161" xr:uid="{00000000-0005-0000-0000-0000E5200000}"/>
    <cellStyle name="Note 9 2 2 2" xfId="11468" xr:uid="{00000000-0005-0000-0000-0000E6200000}"/>
    <cellStyle name="Note 9 2 2 2 2" xfId="11469" xr:uid="{00000000-0005-0000-0000-0000E7200000}"/>
    <cellStyle name="Note 9 2 2 3" xfId="11470" xr:uid="{00000000-0005-0000-0000-0000E8200000}"/>
    <cellStyle name="Note 9 2 3" xfId="11471" xr:uid="{00000000-0005-0000-0000-0000E9200000}"/>
    <cellStyle name="Note 9 2 3 2" xfId="11472" xr:uid="{00000000-0005-0000-0000-0000EA200000}"/>
    <cellStyle name="Note 9 2 4" xfId="11473" xr:uid="{00000000-0005-0000-0000-0000EB200000}"/>
    <cellStyle name="Note 9 3" xfId="7162" xr:uid="{00000000-0005-0000-0000-0000EC200000}"/>
    <cellStyle name="Note 9 3 2" xfId="11474" xr:uid="{00000000-0005-0000-0000-0000ED200000}"/>
    <cellStyle name="Note 9 3 2 2" xfId="11475" xr:uid="{00000000-0005-0000-0000-0000EE200000}"/>
    <cellStyle name="Note 9 3 3" xfId="11476" xr:uid="{00000000-0005-0000-0000-0000EF200000}"/>
    <cellStyle name="Note 9 4" xfId="11477" xr:uid="{00000000-0005-0000-0000-0000F0200000}"/>
    <cellStyle name="Note 9 4 2" xfId="11478" xr:uid="{00000000-0005-0000-0000-0000F1200000}"/>
    <cellStyle name="Note 9 5" xfId="11479" xr:uid="{00000000-0005-0000-0000-0000F2200000}"/>
    <cellStyle name="Note 9_submit DHND 5%" xfId="7163" xr:uid="{00000000-0005-0000-0000-0000F3200000}"/>
    <cellStyle name="Nhấn1" xfId="6226" xr:uid="{00000000-0005-0000-0000-0000E91B0000}"/>
    <cellStyle name="Nhấn2" xfId="6227" xr:uid="{00000000-0005-0000-0000-0000EA1B0000}"/>
    <cellStyle name="Nhấn3" xfId="6228" xr:uid="{00000000-0005-0000-0000-0000EB1B0000}"/>
    <cellStyle name="Nhấn4" xfId="6229" xr:uid="{00000000-0005-0000-0000-0000EC1B0000}"/>
    <cellStyle name="Nhấn5" xfId="6230" xr:uid="{00000000-0005-0000-0000-0000ED1B0000}"/>
    <cellStyle name="Nhấn6" xfId="6231" xr:uid="{00000000-0005-0000-0000-0000EE1B0000}"/>
    <cellStyle name="Œ…‹æØ‚è [0.00]_laroux" xfId="7165" xr:uid="{00000000-0005-0000-0000-0000F5200000}"/>
    <cellStyle name="Œ…‹æØ‚è_laroux" xfId="7166" xr:uid="{00000000-0005-0000-0000-0000F6200000}"/>
    <cellStyle name="oft Excel]_x000a__x000a_Comment=The open=/f lines load custom functions into the Paste Function list._x000a__x000a_Maximized=2_x000a__x000a_Basics=1_x000a__x000a_A" xfId="7167" xr:uid="{00000000-0005-0000-0000-0000F7200000}"/>
    <cellStyle name="oft Excel]_x000a__x000a_Comment=The open=/f lines load custom functions into the Paste Function list._x000a__x000a_Maximized=3_x000a__x000a_Basics=1_x000a__x000a_A" xfId="7168" xr:uid="{00000000-0005-0000-0000-0000F8200000}"/>
    <cellStyle name="oft Excel]_x000d__x000a_Comment=open=/f ‚ðw’è‚·‚é‚ÆAƒ†[ƒU[’è‹`ŠÖ”‚ðŠÖ”“\‚è•t‚¯‚Ìˆê——‚É“o˜^‚·‚é‚±‚Æ‚ª‚Å‚«‚Ü‚·B_x000d__x000a_Maximized" xfId="7169" xr:uid="{00000000-0005-0000-0000-0000F9200000}"/>
    <cellStyle name="oft Excel]_x000d__x000a_Comment=open=/f ‚ðŽw’è‚·‚é‚ÆAƒ†[ƒU[’è‹`ŠÖ”‚ðŠÖ”“\‚è•t‚¯‚Ìˆê——‚É“o˜^‚·‚é‚±‚Æ‚ª‚Å‚«‚Ü‚·B_x000d__x000a_Maximized" xfId="7170" xr:uid="{00000000-0005-0000-0000-0000FA200000}"/>
    <cellStyle name="oft Excel]_x000d__x000a_Comment=The open=/f lines load custom functions into the Paste Function list._x000d__x000a_Maximized=2_x000d__x000a_Basics=1_x000d__x000a_A" xfId="7171" xr:uid="{00000000-0005-0000-0000-0000FB200000}"/>
    <cellStyle name="oft Excel]_x000d__x000a_Comment=The open=/f lines load custom functions into the Paste Function list._x000d__x000a_Maximized=3_x000d__x000a_Basics=1_x000d__x000a_A" xfId="7172" xr:uid="{00000000-0005-0000-0000-0000FC200000}"/>
    <cellStyle name="omma [0]_Mktg Prog" xfId="7173" xr:uid="{00000000-0005-0000-0000-0000FD200000}"/>
    <cellStyle name="ormal_Sheet1_1" xfId="7174" xr:uid="{00000000-0005-0000-0000-0000FE200000}"/>
    <cellStyle name="Output 10" xfId="7175" xr:uid="{00000000-0005-0000-0000-0000FF200000}"/>
    <cellStyle name="Output 10 2" xfId="7176" xr:uid="{00000000-0005-0000-0000-000000210000}"/>
    <cellStyle name="Output 10 2 2" xfId="7177" xr:uid="{00000000-0005-0000-0000-000001210000}"/>
    <cellStyle name="Output 10 2 2 2" xfId="11480" xr:uid="{00000000-0005-0000-0000-000002210000}"/>
    <cellStyle name="Output 10 2 2 2 2" xfId="11481" xr:uid="{00000000-0005-0000-0000-000003210000}"/>
    <cellStyle name="Output 10 2 2 3" xfId="11482" xr:uid="{00000000-0005-0000-0000-000004210000}"/>
    <cellStyle name="Output 10 2 3" xfId="11483" xr:uid="{00000000-0005-0000-0000-000005210000}"/>
    <cellStyle name="Output 10 2 3 2" xfId="11484" xr:uid="{00000000-0005-0000-0000-000006210000}"/>
    <cellStyle name="Output 10 2 4" xfId="11485" xr:uid="{00000000-0005-0000-0000-000007210000}"/>
    <cellStyle name="Output 10 3" xfId="7178" xr:uid="{00000000-0005-0000-0000-000008210000}"/>
    <cellStyle name="Output 10 3 2" xfId="11486" xr:uid="{00000000-0005-0000-0000-000009210000}"/>
    <cellStyle name="Output 10 3 2 2" xfId="11487" xr:uid="{00000000-0005-0000-0000-00000A210000}"/>
    <cellStyle name="Output 10 3 3" xfId="11488" xr:uid="{00000000-0005-0000-0000-00000B210000}"/>
    <cellStyle name="Output 10 4" xfId="11489" xr:uid="{00000000-0005-0000-0000-00000C210000}"/>
    <cellStyle name="Output 10 4 2" xfId="11490" xr:uid="{00000000-0005-0000-0000-00000D210000}"/>
    <cellStyle name="Output 10 5" xfId="11491" xr:uid="{00000000-0005-0000-0000-00000E210000}"/>
    <cellStyle name="Output 11" xfId="7179" xr:uid="{00000000-0005-0000-0000-00000F210000}"/>
    <cellStyle name="Output 11 2" xfId="7180" xr:uid="{00000000-0005-0000-0000-000010210000}"/>
    <cellStyle name="Output 11 2 2" xfId="7181" xr:uid="{00000000-0005-0000-0000-000011210000}"/>
    <cellStyle name="Output 11 2 2 2" xfId="11492" xr:uid="{00000000-0005-0000-0000-000012210000}"/>
    <cellStyle name="Output 11 2 2 2 2" xfId="11493" xr:uid="{00000000-0005-0000-0000-000013210000}"/>
    <cellStyle name="Output 11 2 2 3" xfId="11494" xr:uid="{00000000-0005-0000-0000-000014210000}"/>
    <cellStyle name="Output 11 2 3" xfId="11495" xr:uid="{00000000-0005-0000-0000-000015210000}"/>
    <cellStyle name="Output 11 2 3 2" xfId="11496" xr:uid="{00000000-0005-0000-0000-000016210000}"/>
    <cellStyle name="Output 11 2 4" xfId="11497" xr:uid="{00000000-0005-0000-0000-000017210000}"/>
    <cellStyle name="Output 11 3" xfId="7182" xr:uid="{00000000-0005-0000-0000-000018210000}"/>
    <cellStyle name="Output 11 3 2" xfId="11498" xr:uid="{00000000-0005-0000-0000-000019210000}"/>
    <cellStyle name="Output 11 3 2 2" xfId="11499" xr:uid="{00000000-0005-0000-0000-00001A210000}"/>
    <cellStyle name="Output 11 3 3" xfId="11500" xr:uid="{00000000-0005-0000-0000-00001B210000}"/>
    <cellStyle name="Output 11 4" xfId="11501" xr:uid="{00000000-0005-0000-0000-00001C210000}"/>
    <cellStyle name="Output 11 4 2" xfId="11502" xr:uid="{00000000-0005-0000-0000-00001D210000}"/>
    <cellStyle name="Output 11 5" xfId="11503" xr:uid="{00000000-0005-0000-0000-00001E210000}"/>
    <cellStyle name="Output 12" xfId="7183" xr:uid="{00000000-0005-0000-0000-00001F210000}"/>
    <cellStyle name="Output 12 2" xfId="7184" xr:uid="{00000000-0005-0000-0000-000020210000}"/>
    <cellStyle name="Output 12 2 2" xfId="7185" xr:uid="{00000000-0005-0000-0000-000021210000}"/>
    <cellStyle name="Output 12 2 2 2" xfId="11504" xr:uid="{00000000-0005-0000-0000-000022210000}"/>
    <cellStyle name="Output 12 2 2 2 2" xfId="11505" xr:uid="{00000000-0005-0000-0000-000023210000}"/>
    <cellStyle name="Output 12 2 2 3" xfId="11506" xr:uid="{00000000-0005-0000-0000-000024210000}"/>
    <cellStyle name="Output 12 2 3" xfId="11507" xr:uid="{00000000-0005-0000-0000-000025210000}"/>
    <cellStyle name="Output 12 2 3 2" xfId="11508" xr:uid="{00000000-0005-0000-0000-000026210000}"/>
    <cellStyle name="Output 12 2 4" xfId="11509" xr:uid="{00000000-0005-0000-0000-000027210000}"/>
    <cellStyle name="Output 12 3" xfId="7186" xr:uid="{00000000-0005-0000-0000-000028210000}"/>
    <cellStyle name="Output 12 3 2" xfId="11510" xr:uid="{00000000-0005-0000-0000-000029210000}"/>
    <cellStyle name="Output 12 3 2 2" xfId="11511" xr:uid="{00000000-0005-0000-0000-00002A210000}"/>
    <cellStyle name="Output 12 3 3" xfId="11512" xr:uid="{00000000-0005-0000-0000-00002B210000}"/>
    <cellStyle name="Output 12 4" xfId="11513" xr:uid="{00000000-0005-0000-0000-00002C210000}"/>
    <cellStyle name="Output 12 4 2" xfId="11514" xr:uid="{00000000-0005-0000-0000-00002D210000}"/>
    <cellStyle name="Output 12 5" xfId="11515" xr:uid="{00000000-0005-0000-0000-00002E210000}"/>
    <cellStyle name="Output 13" xfId="7187" xr:uid="{00000000-0005-0000-0000-00002F210000}"/>
    <cellStyle name="Output 13 2" xfId="7188" xr:uid="{00000000-0005-0000-0000-000030210000}"/>
    <cellStyle name="Output 13 2 2" xfId="7189" xr:uid="{00000000-0005-0000-0000-000031210000}"/>
    <cellStyle name="Output 13 2 2 2" xfId="11516" xr:uid="{00000000-0005-0000-0000-000032210000}"/>
    <cellStyle name="Output 13 2 2 2 2" xfId="11517" xr:uid="{00000000-0005-0000-0000-000033210000}"/>
    <cellStyle name="Output 13 2 2 3" xfId="11518" xr:uid="{00000000-0005-0000-0000-000034210000}"/>
    <cellStyle name="Output 13 2 3" xfId="11519" xr:uid="{00000000-0005-0000-0000-000035210000}"/>
    <cellStyle name="Output 13 2 3 2" xfId="11520" xr:uid="{00000000-0005-0000-0000-000036210000}"/>
    <cellStyle name="Output 13 2 4" xfId="11521" xr:uid="{00000000-0005-0000-0000-000037210000}"/>
    <cellStyle name="Output 13 3" xfId="7190" xr:uid="{00000000-0005-0000-0000-000038210000}"/>
    <cellStyle name="Output 13 3 2" xfId="11522" xr:uid="{00000000-0005-0000-0000-000039210000}"/>
    <cellStyle name="Output 13 3 2 2" xfId="11523" xr:uid="{00000000-0005-0000-0000-00003A210000}"/>
    <cellStyle name="Output 13 3 3" xfId="11524" xr:uid="{00000000-0005-0000-0000-00003B210000}"/>
    <cellStyle name="Output 13 4" xfId="11525" xr:uid="{00000000-0005-0000-0000-00003C210000}"/>
    <cellStyle name="Output 13 4 2" xfId="11526" xr:uid="{00000000-0005-0000-0000-00003D210000}"/>
    <cellStyle name="Output 13 5" xfId="11527" xr:uid="{00000000-0005-0000-0000-00003E210000}"/>
    <cellStyle name="Output 14" xfId="7191" xr:uid="{00000000-0005-0000-0000-00003F210000}"/>
    <cellStyle name="Output 14 2" xfId="7192" xr:uid="{00000000-0005-0000-0000-000040210000}"/>
    <cellStyle name="Output 14 2 2" xfId="7193" xr:uid="{00000000-0005-0000-0000-000041210000}"/>
    <cellStyle name="Output 14 2 2 2" xfId="11528" xr:uid="{00000000-0005-0000-0000-000042210000}"/>
    <cellStyle name="Output 14 2 2 2 2" xfId="11529" xr:uid="{00000000-0005-0000-0000-000043210000}"/>
    <cellStyle name="Output 14 2 2 3" xfId="11530" xr:uid="{00000000-0005-0000-0000-000044210000}"/>
    <cellStyle name="Output 14 2 3" xfId="11531" xr:uid="{00000000-0005-0000-0000-000045210000}"/>
    <cellStyle name="Output 14 2 3 2" xfId="11532" xr:uid="{00000000-0005-0000-0000-000046210000}"/>
    <cellStyle name="Output 14 2 4" xfId="11533" xr:uid="{00000000-0005-0000-0000-000047210000}"/>
    <cellStyle name="Output 14 3" xfId="7194" xr:uid="{00000000-0005-0000-0000-000048210000}"/>
    <cellStyle name="Output 14 3 2" xfId="11534" xr:uid="{00000000-0005-0000-0000-000049210000}"/>
    <cellStyle name="Output 14 3 2 2" xfId="11535" xr:uid="{00000000-0005-0000-0000-00004A210000}"/>
    <cellStyle name="Output 14 3 3" xfId="11536" xr:uid="{00000000-0005-0000-0000-00004B210000}"/>
    <cellStyle name="Output 14 4" xfId="11537" xr:uid="{00000000-0005-0000-0000-00004C210000}"/>
    <cellStyle name="Output 14 4 2" xfId="11538" xr:uid="{00000000-0005-0000-0000-00004D210000}"/>
    <cellStyle name="Output 14 5" xfId="11539" xr:uid="{00000000-0005-0000-0000-00004E210000}"/>
    <cellStyle name="Output 15" xfId="7195" xr:uid="{00000000-0005-0000-0000-00004F210000}"/>
    <cellStyle name="Output 15 2" xfId="7196" xr:uid="{00000000-0005-0000-0000-000050210000}"/>
    <cellStyle name="Output 15 2 2" xfId="7197" xr:uid="{00000000-0005-0000-0000-000051210000}"/>
    <cellStyle name="Output 15 2 2 2" xfId="11540" xr:uid="{00000000-0005-0000-0000-000052210000}"/>
    <cellStyle name="Output 15 2 2 2 2" xfId="11541" xr:uid="{00000000-0005-0000-0000-000053210000}"/>
    <cellStyle name="Output 15 2 2 3" xfId="11542" xr:uid="{00000000-0005-0000-0000-000054210000}"/>
    <cellStyle name="Output 15 2 3" xfId="11543" xr:uid="{00000000-0005-0000-0000-000055210000}"/>
    <cellStyle name="Output 15 2 3 2" xfId="11544" xr:uid="{00000000-0005-0000-0000-000056210000}"/>
    <cellStyle name="Output 15 2 4" xfId="11545" xr:uid="{00000000-0005-0000-0000-000057210000}"/>
    <cellStyle name="Output 15 3" xfId="7198" xr:uid="{00000000-0005-0000-0000-000058210000}"/>
    <cellStyle name="Output 15 3 2" xfId="11546" xr:uid="{00000000-0005-0000-0000-000059210000}"/>
    <cellStyle name="Output 15 3 2 2" xfId="11547" xr:uid="{00000000-0005-0000-0000-00005A210000}"/>
    <cellStyle name="Output 15 3 3" xfId="11548" xr:uid="{00000000-0005-0000-0000-00005B210000}"/>
    <cellStyle name="Output 15 4" xfId="11549" xr:uid="{00000000-0005-0000-0000-00005C210000}"/>
    <cellStyle name="Output 15 4 2" xfId="11550" xr:uid="{00000000-0005-0000-0000-00005D210000}"/>
    <cellStyle name="Output 15 5" xfId="11551" xr:uid="{00000000-0005-0000-0000-00005E210000}"/>
    <cellStyle name="Output 16" xfId="7199" xr:uid="{00000000-0005-0000-0000-00005F210000}"/>
    <cellStyle name="Output 16 2" xfId="7200" xr:uid="{00000000-0005-0000-0000-000060210000}"/>
    <cellStyle name="Output 16 2 2" xfId="7201" xr:uid="{00000000-0005-0000-0000-000061210000}"/>
    <cellStyle name="Output 16 2 2 2" xfId="11552" xr:uid="{00000000-0005-0000-0000-000062210000}"/>
    <cellStyle name="Output 16 2 2 2 2" xfId="11553" xr:uid="{00000000-0005-0000-0000-000063210000}"/>
    <cellStyle name="Output 16 2 2 3" xfId="11554" xr:uid="{00000000-0005-0000-0000-000064210000}"/>
    <cellStyle name="Output 16 2 3" xfId="11555" xr:uid="{00000000-0005-0000-0000-000065210000}"/>
    <cellStyle name="Output 16 2 3 2" xfId="11556" xr:uid="{00000000-0005-0000-0000-000066210000}"/>
    <cellStyle name="Output 16 2 4" xfId="11557" xr:uid="{00000000-0005-0000-0000-000067210000}"/>
    <cellStyle name="Output 16 3" xfId="7202" xr:uid="{00000000-0005-0000-0000-000068210000}"/>
    <cellStyle name="Output 16 3 2" xfId="11558" xr:uid="{00000000-0005-0000-0000-000069210000}"/>
    <cellStyle name="Output 16 3 2 2" xfId="11559" xr:uid="{00000000-0005-0000-0000-00006A210000}"/>
    <cellStyle name="Output 16 3 3" xfId="11560" xr:uid="{00000000-0005-0000-0000-00006B210000}"/>
    <cellStyle name="Output 16 4" xfId="11561" xr:uid="{00000000-0005-0000-0000-00006C210000}"/>
    <cellStyle name="Output 16 4 2" xfId="11562" xr:uid="{00000000-0005-0000-0000-00006D210000}"/>
    <cellStyle name="Output 16 5" xfId="11563" xr:uid="{00000000-0005-0000-0000-00006E210000}"/>
    <cellStyle name="Output 17" xfId="7203" xr:uid="{00000000-0005-0000-0000-00006F210000}"/>
    <cellStyle name="Output 17 2" xfId="7204" xr:uid="{00000000-0005-0000-0000-000070210000}"/>
    <cellStyle name="Output 17 2 2" xfId="7205" xr:uid="{00000000-0005-0000-0000-000071210000}"/>
    <cellStyle name="Output 17 2 2 2" xfId="11564" xr:uid="{00000000-0005-0000-0000-000072210000}"/>
    <cellStyle name="Output 17 2 2 2 2" xfId="11565" xr:uid="{00000000-0005-0000-0000-000073210000}"/>
    <cellStyle name="Output 17 2 2 3" xfId="11566" xr:uid="{00000000-0005-0000-0000-000074210000}"/>
    <cellStyle name="Output 17 2 3" xfId="11567" xr:uid="{00000000-0005-0000-0000-000075210000}"/>
    <cellStyle name="Output 17 2 3 2" xfId="11568" xr:uid="{00000000-0005-0000-0000-000076210000}"/>
    <cellStyle name="Output 17 2 4" xfId="11569" xr:uid="{00000000-0005-0000-0000-000077210000}"/>
    <cellStyle name="Output 17 3" xfId="7206" xr:uid="{00000000-0005-0000-0000-000078210000}"/>
    <cellStyle name="Output 17 3 2" xfId="11570" xr:uid="{00000000-0005-0000-0000-000079210000}"/>
    <cellStyle name="Output 17 3 2 2" xfId="11571" xr:uid="{00000000-0005-0000-0000-00007A210000}"/>
    <cellStyle name="Output 17 3 3" xfId="11572" xr:uid="{00000000-0005-0000-0000-00007B210000}"/>
    <cellStyle name="Output 17 4" xfId="11573" xr:uid="{00000000-0005-0000-0000-00007C210000}"/>
    <cellStyle name="Output 17 4 2" xfId="11574" xr:uid="{00000000-0005-0000-0000-00007D210000}"/>
    <cellStyle name="Output 17 5" xfId="11575" xr:uid="{00000000-0005-0000-0000-00007E210000}"/>
    <cellStyle name="Output 18" xfId="7207" xr:uid="{00000000-0005-0000-0000-00007F210000}"/>
    <cellStyle name="Output 18 2" xfId="7208" xr:uid="{00000000-0005-0000-0000-000080210000}"/>
    <cellStyle name="Output 18 2 2" xfId="7209" xr:uid="{00000000-0005-0000-0000-000081210000}"/>
    <cellStyle name="Output 18 2 2 2" xfId="11576" xr:uid="{00000000-0005-0000-0000-000082210000}"/>
    <cellStyle name="Output 18 2 2 2 2" xfId="11577" xr:uid="{00000000-0005-0000-0000-000083210000}"/>
    <cellStyle name="Output 18 2 2 3" xfId="11578" xr:uid="{00000000-0005-0000-0000-000084210000}"/>
    <cellStyle name="Output 18 2 3" xfId="11579" xr:uid="{00000000-0005-0000-0000-000085210000}"/>
    <cellStyle name="Output 18 2 3 2" xfId="11580" xr:uid="{00000000-0005-0000-0000-000086210000}"/>
    <cellStyle name="Output 18 2 4" xfId="11581" xr:uid="{00000000-0005-0000-0000-000087210000}"/>
    <cellStyle name="Output 18 3" xfId="7210" xr:uid="{00000000-0005-0000-0000-000088210000}"/>
    <cellStyle name="Output 18 3 2" xfId="11582" xr:uid="{00000000-0005-0000-0000-000089210000}"/>
    <cellStyle name="Output 18 3 2 2" xfId="11583" xr:uid="{00000000-0005-0000-0000-00008A210000}"/>
    <cellStyle name="Output 18 3 3" xfId="11584" xr:uid="{00000000-0005-0000-0000-00008B210000}"/>
    <cellStyle name="Output 18 4" xfId="11585" xr:uid="{00000000-0005-0000-0000-00008C210000}"/>
    <cellStyle name="Output 18 4 2" xfId="11586" xr:uid="{00000000-0005-0000-0000-00008D210000}"/>
    <cellStyle name="Output 18 5" xfId="11587" xr:uid="{00000000-0005-0000-0000-00008E210000}"/>
    <cellStyle name="Output 19" xfId="7211" xr:uid="{00000000-0005-0000-0000-00008F210000}"/>
    <cellStyle name="Output 19 2" xfId="7212" xr:uid="{00000000-0005-0000-0000-000090210000}"/>
    <cellStyle name="Output 19 2 2" xfId="7213" xr:uid="{00000000-0005-0000-0000-000091210000}"/>
    <cellStyle name="Output 19 2 2 2" xfId="11588" xr:uid="{00000000-0005-0000-0000-000092210000}"/>
    <cellStyle name="Output 19 2 2 2 2" xfId="11589" xr:uid="{00000000-0005-0000-0000-000093210000}"/>
    <cellStyle name="Output 19 2 2 3" xfId="11590" xr:uid="{00000000-0005-0000-0000-000094210000}"/>
    <cellStyle name="Output 19 2 3" xfId="11591" xr:uid="{00000000-0005-0000-0000-000095210000}"/>
    <cellStyle name="Output 19 2 3 2" xfId="11592" xr:uid="{00000000-0005-0000-0000-000096210000}"/>
    <cellStyle name="Output 19 2 4" xfId="11593" xr:uid="{00000000-0005-0000-0000-000097210000}"/>
    <cellStyle name="Output 19 3" xfId="7214" xr:uid="{00000000-0005-0000-0000-000098210000}"/>
    <cellStyle name="Output 19 3 2" xfId="11594" xr:uid="{00000000-0005-0000-0000-000099210000}"/>
    <cellStyle name="Output 19 3 2 2" xfId="11595" xr:uid="{00000000-0005-0000-0000-00009A210000}"/>
    <cellStyle name="Output 19 3 3" xfId="11596" xr:uid="{00000000-0005-0000-0000-00009B210000}"/>
    <cellStyle name="Output 19 4" xfId="11597" xr:uid="{00000000-0005-0000-0000-00009C210000}"/>
    <cellStyle name="Output 19 4 2" xfId="11598" xr:uid="{00000000-0005-0000-0000-00009D210000}"/>
    <cellStyle name="Output 19 5" xfId="11599" xr:uid="{00000000-0005-0000-0000-00009E210000}"/>
    <cellStyle name="Output 2" xfId="7215" xr:uid="{00000000-0005-0000-0000-00009F210000}"/>
    <cellStyle name="Output 2 2" xfId="7216" xr:uid="{00000000-0005-0000-0000-0000A0210000}"/>
    <cellStyle name="Output 2 2 2" xfId="7217" xr:uid="{00000000-0005-0000-0000-0000A1210000}"/>
    <cellStyle name="Output 2 2 2 2" xfId="11600" xr:uid="{00000000-0005-0000-0000-0000A2210000}"/>
    <cellStyle name="Output 2 2 2 2 2" xfId="11601" xr:uid="{00000000-0005-0000-0000-0000A3210000}"/>
    <cellStyle name="Output 2 2 2 3" xfId="11602" xr:uid="{00000000-0005-0000-0000-0000A4210000}"/>
    <cellStyle name="Output 2 2 3" xfId="11603" xr:uid="{00000000-0005-0000-0000-0000A5210000}"/>
    <cellStyle name="Output 2 2 3 2" xfId="11604" xr:uid="{00000000-0005-0000-0000-0000A6210000}"/>
    <cellStyle name="Output 2 2 4" xfId="11605" xr:uid="{00000000-0005-0000-0000-0000A7210000}"/>
    <cellStyle name="Output 2 3" xfId="7218" xr:uid="{00000000-0005-0000-0000-0000A8210000}"/>
    <cellStyle name="Output 2 3 2" xfId="11606" xr:uid="{00000000-0005-0000-0000-0000A9210000}"/>
    <cellStyle name="Output 2 3 2 2" xfId="11607" xr:uid="{00000000-0005-0000-0000-0000AA210000}"/>
    <cellStyle name="Output 2 3 3" xfId="11608" xr:uid="{00000000-0005-0000-0000-0000AB210000}"/>
    <cellStyle name="Output 2 4" xfId="11609" xr:uid="{00000000-0005-0000-0000-0000AC210000}"/>
    <cellStyle name="Output 2 4 2" xfId="11610" xr:uid="{00000000-0005-0000-0000-0000AD210000}"/>
    <cellStyle name="Output 2 5" xfId="11611" xr:uid="{00000000-0005-0000-0000-0000AE210000}"/>
    <cellStyle name="Output 20" xfId="7219" xr:uid="{00000000-0005-0000-0000-0000AF210000}"/>
    <cellStyle name="Output 20 2" xfId="7220" xr:uid="{00000000-0005-0000-0000-0000B0210000}"/>
    <cellStyle name="Output 20 2 2" xfId="7221" xr:uid="{00000000-0005-0000-0000-0000B1210000}"/>
    <cellStyle name="Output 20 2 2 2" xfId="11612" xr:uid="{00000000-0005-0000-0000-0000B2210000}"/>
    <cellStyle name="Output 20 2 2 2 2" xfId="11613" xr:uid="{00000000-0005-0000-0000-0000B3210000}"/>
    <cellStyle name="Output 20 2 2 3" xfId="11614" xr:uid="{00000000-0005-0000-0000-0000B4210000}"/>
    <cellStyle name="Output 20 2 3" xfId="11615" xr:uid="{00000000-0005-0000-0000-0000B5210000}"/>
    <cellStyle name="Output 20 2 3 2" xfId="11616" xr:uid="{00000000-0005-0000-0000-0000B6210000}"/>
    <cellStyle name="Output 20 2 4" xfId="11617" xr:uid="{00000000-0005-0000-0000-0000B7210000}"/>
    <cellStyle name="Output 20 3" xfId="7222" xr:uid="{00000000-0005-0000-0000-0000B8210000}"/>
    <cellStyle name="Output 20 3 2" xfId="11618" xr:uid="{00000000-0005-0000-0000-0000B9210000}"/>
    <cellStyle name="Output 20 3 2 2" xfId="11619" xr:uid="{00000000-0005-0000-0000-0000BA210000}"/>
    <cellStyle name="Output 20 3 3" xfId="11620" xr:uid="{00000000-0005-0000-0000-0000BB210000}"/>
    <cellStyle name="Output 20 4" xfId="11621" xr:uid="{00000000-0005-0000-0000-0000BC210000}"/>
    <cellStyle name="Output 20 4 2" xfId="11622" xr:uid="{00000000-0005-0000-0000-0000BD210000}"/>
    <cellStyle name="Output 20 5" xfId="11623" xr:uid="{00000000-0005-0000-0000-0000BE210000}"/>
    <cellStyle name="Output 21" xfId="7223" xr:uid="{00000000-0005-0000-0000-0000BF210000}"/>
    <cellStyle name="Output 21 2" xfId="7224" xr:uid="{00000000-0005-0000-0000-0000C0210000}"/>
    <cellStyle name="Output 21 2 2" xfId="7225" xr:uid="{00000000-0005-0000-0000-0000C1210000}"/>
    <cellStyle name="Output 21 2 2 2" xfId="11624" xr:uid="{00000000-0005-0000-0000-0000C2210000}"/>
    <cellStyle name="Output 21 2 2 2 2" xfId="11625" xr:uid="{00000000-0005-0000-0000-0000C3210000}"/>
    <cellStyle name="Output 21 2 2 3" xfId="11626" xr:uid="{00000000-0005-0000-0000-0000C4210000}"/>
    <cellStyle name="Output 21 2 3" xfId="11627" xr:uid="{00000000-0005-0000-0000-0000C5210000}"/>
    <cellStyle name="Output 21 2 3 2" xfId="11628" xr:uid="{00000000-0005-0000-0000-0000C6210000}"/>
    <cellStyle name="Output 21 2 4" xfId="11629" xr:uid="{00000000-0005-0000-0000-0000C7210000}"/>
    <cellStyle name="Output 21 3" xfId="7226" xr:uid="{00000000-0005-0000-0000-0000C8210000}"/>
    <cellStyle name="Output 21 3 2" xfId="11630" xr:uid="{00000000-0005-0000-0000-0000C9210000}"/>
    <cellStyle name="Output 21 3 2 2" xfId="11631" xr:uid="{00000000-0005-0000-0000-0000CA210000}"/>
    <cellStyle name="Output 21 3 3" xfId="11632" xr:uid="{00000000-0005-0000-0000-0000CB210000}"/>
    <cellStyle name="Output 21 4" xfId="11633" xr:uid="{00000000-0005-0000-0000-0000CC210000}"/>
    <cellStyle name="Output 21 4 2" xfId="11634" xr:uid="{00000000-0005-0000-0000-0000CD210000}"/>
    <cellStyle name="Output 21 5" xfId="11635" xr:uid="{00000000-0005-0000-0000-0000CE210000}"/>
    <cellStyle name="Output 22" xfId="7227" xr:uid="{00000000-0005-0000-0000-0000CF210000}"/>
    <cellStyle name="Output 22 2" xfId="7228" xr:uid="{00000000-0005-0000-0000-0000D0210000}"/>
    <cellStyle name="Output 22 2 2" xfId="7229" xr:uid="{00000000-0005-0000-0000-0000D1210000}"/>
    <cellStyle name="Output 22 2 2 2" xfId="11636" xr:uid="{00000000-0005-0000-0000-0000D2210000}"/>
    <cellStyle name="Output 22 2 2 2 2" xfId="11637" xr:uid="{00000000-0005-0000-0000-0000D3210000}"/>
    <cellStyle name="Output 22 2 2 3" xfId="11638" xr:uid="{00000000-0005-0000-0000-0000D4210000}"/>
    <cellStyle name="Output 22 2 3" xfId="11639" xr:uid="{00000000-0005-0000-0000-0000D5210000}"/>
    <cellStyle name="Output 22 2 3 2" xfId="11640" xr:uid="{00000000-0005-0000-0000-0000D6210000}"/>
    <cellStyle name="Output 22 2 4" xfId="11641" xr:uid="{00000000-0005-0000-0000-0000D7210000}"/>
    <cellStyle name="Output 22 3" xfId="7230" xr:uid="{00000000-0005-0000-0000-0000D8210000}"/>
    <cellStyle name="Output 22 3 2" xfId="11642" xr:uid="{00000000-0005-0000-0000-0000D9210000}"/>
    <cellStyle name="Output 22 3 2 2" xfId="11643" xr:uid="{00000000-0005-0000-0000-0000DA210000}"/>
    <cellStyle name="Output 22 3 3" xfId="11644" xr:uid="{00000000-0005-0000-0000-0000DB210000}"/>
    <cellStyle name="Output 22 4" xfId="11645" xr:uid="{00000000-0005-0000-0000-0000DC210000}"/>
    <cellStyle name="Output 22 4 2" xfId="11646" xr:uid="{00000000-0005-0000-0000-0000DD210000}"/>
    <cellStyle name="Output 22 5" xfId="11647" xr:uid="{00000000-0005-0000-0000-0000DE210000}"/>
    <cellStyle name="Output 23" xfId="7231" xr:uid="{00000000-0005-0000-0000-0000DF210000}"/>
    <cellStyle name="Output 23 2" xfId="11648" xr:uid="{00000000-0005-0000-0000-0000E0210000}"/>
    <cellStyle name="Output 23 2 2" xfId="11649" xr:uid="{00000000-0005-0000-0000-0000E1210000}"/>
    <cellStyle name="Output 23 3" xfId="11650" xr:uid="{00000000-0005-0000-0000-0000E2210000}"/>
    <cellStyle name="Output 24" xfId="7232" xr:uid="{00000000-0005-0000-0000-0000E3210000}"/>
    <cellStyle name="Output 24 2" xfId="11651" xr:uid="{00000000-0005-0000-0000-0000E4210000}"/>
    <cellStyle name="Output 24 2 2" xfId="11652" xr:uid="{00000000-0005-0000-0000-0000E5210000}"/>
    <cellStyle name="Output 24 3" xfId="11653" xr:uid="{00000000-0005-0000-0000-0000E6210000}"/>
    <cellStyle name="Output 3" xfId="7233" xr:uid="{00000000-0005-0000-0000-0000E7210000}"/>
    <cellStyle name="Output 3 2" xfId="7234" xr:uid="{00000000-0005-0000-0000-0000E8210000}"/>
    <cellStyle name="Output 3 2 2" xfId="7235" xr:uid="{00000000-0005-0000-0000-0000E9210000}"/>
    <cellStyle name="Output 3 2 2 2" xfId="11654" xr:uid="{00000000-0005-0000-0000-0000EA210000}"/>
    <cellStyle name="Output 3 2 2 2 2" xfId="11655" xr:uid="{00000000-0005-0000-0000-0000EB210000}"/>
    <cellStyle name="Output 3 2 2 3" xfId="11656" xr:uid="{00000000-0005-0000-0000-0000EC210000}"/>
    <cellStyle name="Output 3 2 3" xfId="11657" xr:uid="{00000000-0005-0000-0000-0000ED210000}"/>
    <cellStyle name="Output 3 2 3 2" xfId="11658" xr:uid="{00000000-0005-0000-0000-0000EE210000}"/>
    <cellStyle name="Output 3 2 4" xfId="11659" xr:uid="{00000000-0005-0000-0000-0000EF210000}"/>
    <cellStyle name="Output 3 3" xfId="7236" xr:uid="{00000000-0005-0000-0000-0000F0210000}"/>
    <cellStyle name="Output 3 3 2" xfId="11660" xr:uid="{00000000-0005-0000-0000-0000F1210000}"/>
    <cellStyle name="Output 3 3 2 2" xfId="11661" xr:uid="{00000000-0005-0000-0000-0000F2210000}"/>
    <cellStyle name="Output 3 3 3" xfId="11662" xr:uid="{00000000-0005-0000-0000-0000F3210000}"/>
    <cellStyle name="Output 3 4" xfId="11663" xr:uid="{00000000-0005-0000-0000-0000F4210000}"/>
    <cellStyle name="Output 3 4 2" xfId="11664" xr:uid="{00000000-0005-0000-0000-0000F5210000}"/>
    <cellStyle name="Output 3 5" xfId="11665" xr:uid="{00000000-0005-0000-0000-0000F6210000}"/>
    <cellStyle name="Output 4" xfId="7237" xr:uid="{00000000-0005-0000-0000-0000F7210000}"/>
    <cellStyle name="Output 4 2" xfId="7238" xr:uid="{00000000-0005-0000-0000-0000F8210000}"/>
    <cellStyle name="Output 4 2 2" xfId="7239" xr:uid="{00000000-0005-0000-0000-0000F9210000}"/>
    <cellStyle name="Output 4 2 2 2" xfId="11666" xr:uid="{00000000-0005-0000-0000-0000FA210000}"/>
    <cellStyle name="Output 4 2 2 2 2" xfId="11667" xr:uid="{00000000-0005-0000-0000-0000FB210000}"/>
    <cellStyle name="Output 4 2 2 3" xfId="11668" xr:uid="{00000000-0005-0000-0000-0000FC210000}"/>
    <cellStyle name="Output 4 2 3" xfId="11669" xr:uid="{00000000-0005-0000-0000-0000FD210000}"/>
    <cellStyle name="Output 4 2 3 2" xfId="11670" xr:uid="{00000000-0005-0000-0000-0000FE210000}"/>
    <cellStyle name="Output 4 2 4" xfId="11671" xr:uid="{00000000-0005-0000-0000-0000FF210000}"/>
    <cellStyle name="Output 4 3" xfId="7240" xr:uid="{00000000-0005-0000-0000-000000220000}"/>
    <cellStyle name="Output 4 3 2" xfId="11672" xr:uid="{00000000-0005-0000-0000-000001220000}"/>
    <cellStyle name="Output 4 3 2 2" xfId="11673" xr:uid="{00000000-0005-0000-0000-000002220000}"/>
    <cellStyle name="Output 4 3 3" xfId="11674" xr:uid="{00000000-0005-0000-0000-000003220000}"/>
    <cellStyle name="Output 4 4" xfId="11675" xr:uid="{00000000-0005-0000-0000-000004220000}"/>
    <cellStyle name="Output 4 4 2" xfId="11676" xr:uid="{00000000-0005-0000-0000-000005220000}"/>
    <cellStyle name="Output 4 5" xfId="11677" xr:uid="{00000000-0005-0000-0000-000006220000}"/>
    <cellStyle name="Output 5" xfId="7241" xr:uid="{00000000-0005-0000-0000-000007220000}"/>
    <cellStyle name="Output 5 2" xfId="7242" xr:uid="{00000000-0005-0000-0000-000008220000}"/>
    <cellStyle name="Output 5 2 2" xfId="7243" xr:uid="{00000000-0005-0000-0000-000009220000}"/>
    <cellStyle name="Output 5 2 2 2" xfId="11678" xr:uid="{00000000-0005-0000-0000-00000A220000}"/>
    <cellStyle name="Output 5 2 2 2 2" xfId="11679" xr:uid="{00000000-0005-0000-0000-00000B220000}"/>
    <cellStyle name="Output 5 2 2 3" xfId="11680" xr:uid="{00000000-0005-0000-0000-00000C220000}"/>
    <cellStyle name="Output 5 2 3" xfId="11681" xr:uid="{00000000-0005-0000-0000-00000D220000}"/>
    <cellStyle name="Output 5 2 3 2" xfId="11682" xr:uid="{00000000-0005-0000-0000-00000E220000}"/>
    <cellStyle name="Output 5 2 4" xfId="11683" xr:uid="{00000000-0005-0000-0000-00000F220000}"/>
    <cellStyle name="Output 5 3" xfId="7244" xr:uid="{00000000-0005-0000-0000-000010220000}"/>
    <cellStyle name="Output 5 3 2" xfId="11684" xr:uid="{00000000-0005-0000-0000-000011220000}"/>
    <cellStyle name="Output 5 3 2 2" xfId="11685" xr:uid="{00000000-0005-0000-0000-000012220000}"/>
    <cellStyle name="Output 5 3 3" xfId="11686" xr:uid="{00000000-0005-0000-0000-000013220000}"/>
    <cellStyle name="Output 5 4" xfId="11687" xr:uid="{00000000-0005-0000-0000-000014220000}"/>
    <cellStyle name="Output 5 4 2" xfId="11688" xr:uid="{00000000-0005-0000-0000-000015220000}"/>
    <cellStyle name="Output 5 5" xfId="11689" xr:uid="{00000000-0005-0000-0000-000016220000}"/>
    <cellStyle name="Output 6" xfId="7245" xr:uid="{00000000-0005-0000-0000-000017220000}"/>
    <cellStyle name="Output 6 2" xfId="7246" xr:uid="{00000000-0005-0000-0000-000018220000}"/>
    <cellStyle name="Output 6 2 2" xfId="7247" xr:uid="{00000000-0005-0000-0000-000019220000}"/>
    <cellStyle name="Output 6 2 2 2" xfId="11690" xr:uid="{00000000-0005-0000-0000-00001A220000}"/>
    <cellStyle name="Output 6 2 2 2 2" xfId="11691" xr:uid="{00000000-0005-0000-0000-00001B220000}"/>
    <cellStyle name="Output 6 2 2 3" xfId="11692" xr:uid="{00000000-0005-0000-0000-00001C220000}"/>
    <cellStyle name="Output 6 2 3" xfId="11693" xr:uid="{00000000-0005-0000-0000-00001D220000}"/>
    <cellStyle name="Output 6 2 3 2" xfId="11694" xr:uid="{00000000-0005-0000-0000-00001E220000}"/>
    <cellStyle name="Output 6 2 4" xfId="11695" xr:uid="{00000000-0005-0000-0000-00001F220000}"/>
    <cellStyle name="Output 6 3" xfId="7248" xr:uid="{00000000-0005-0000-0000-000020220000}"/>
    <cellStyle name="Output 6 3 2" xfId="11696" xr:uid="{00000000-0005-0000-0000-000021220000}"/>
    <cellStyle name="Output 6 3 2 2" xfId="11697" xr:uid="{00000000-0005-0000-0000-000022220000}"/>
    <cellStyle name="Output 6 3 3" xfId="11698" xr:uid="{00000000-0005-0000-0000-000023220000}"/>
    <cellStyle name="Output 6 4" xfId="11699" xr:uid="{00000000-0005-0000-0000-000024220000}"/>
    <cellStyle name="Output 6 4 2" xfId="11700" xr:uid="{00000000-0005-0000-0000-000025220000}"/>
    <cellStyle name="Output 6 5" xfId="11701" xr:uid="{00000000-0005-0000-0000-000026220000}"/>
    <cellStyle name="Output 7" xfId="7249" xr:uid="{00000000-0005-0000-0000-000027220000}"/>
    <cellStyle name="Output 7 2" xfId="7250" xr:uid="{00000000-0005-0000-0000-000028220000}"/>
    <cellStyle name="Output 7 2 2" xfId="7251" xr:uid="{00000000-0005-0000-0000-000029220000}"/>
    <cellStyle name="Output 7 2 2 2" xfId="11702" xr:uid="{00000000-0005-0000-0000-00002A220000}"/>
    <cellStyle name="Output 7 2 2 2 2" xfId="11703" xr:uid="{00000000-0005-0000-0000-00002B220000}"/>
    <cellStyle name="Output 7 2 2 3" xfId="11704" xr:uid="{00000000-0005-0000-0000-00002C220000}"/>
    <cellStyle name="Output 7 2 3" xfId="11705" xr:uid="{00000000-0005-0000-0000-00002D220000}"/>
    <cellStyle name="Output 7 2 3 2" xfId="11706" xr:uid="{00000000-0005-0000-0000-00002E220000}"/>
    <cellStyle name="Output 7 2 4" xfId="11707" xr:uid="{00000000-0005-0000-0000-00002F220000}"/>
    <cellStyle name="Output 7 3" xfId="7252" xr:uid="{00000000-0005-0000-0000-000030220000}"/>
    <cellStyle name="Output 7 3 2" xfId="11708" xr:uid="{00000000-0005-0000-0000-000031220000}"/>
    <cellStyle name="Output 7 3 2 2" xfId="11709" xr:uid="{00000000-0005-0000-0000-000032220000}"/>
    <cellStyle name="Output 7 3 3" xfId="11710" xr:uid="{00000000-0005-0000-0000-000033220000}"/>
    <cellStyle name="Output 7 4" xfId="11711" xr:uid="{00000000-0005-0000-0000-000034220000}"/>
    <cellStyle name="Output 7 4 2" xfId="11712" xr:uid="{00000000-0005-0000-0000-000035220000}"/>
    <cellStyle name="Output 7 5" xfId="11713" xr:uid="{00000000-0005-0000-0000-000036220000}"/>
    <cellStyle name="Output 8" xfId="7253" xr:uid="{00000000-0005-0000-0000-000037220000}"/>
    <cellStyle name="Output 8 2" xfId="7254" xr:uid="{00000000-0005-0000-0000-000038220000}"/>
    <cellStyle name="Output 8 2 2" xfId="7255" xr:uid="{00000000-0005-0000-0000-000039220000}"/>
    <cellStyle name="Output 8 2 2 2" xfId="11714" xr:uid="{00000000-0005-0000-0000-00003A220000}"/>
    <cellStyle name="Output 8 2 2 2 2" xfId="11715" xr:uid="{00000000-0005-0000-0000-00003B220000}"/>
    <cellStyle name="Output 8 2 2 3" xfId="11716" xr:uid="{00000000-0005-0000-0000-00003C220000}"/>
    <cellStyle name="Output 8 2 3" xfId="11717" xr:uid="{00000000-0005-0000-0000-00003D220000}"/>
    <cellStyle name="Output 8 2 3 2" xfId="11718" xr:uid="{00000000-0005-0000-0000-00003E220000}"/>
    <cellStyle name="Output 8 2 4" xfId="11719" xr:uid="{00000000-0005-0000-0000-00003F220000}"/>
    <cellStyle name="Output 8 3" xfId="7256" xr:uid="{00000000-0005-0000-0000-000040220000}"/>
    <cellStyle name="Output 8 3 2" xfId="11720" xr:uid="{00000000-0005-0000-0000-000041220000}"/>
    <cellStyle name="Output 8 3 2 2" xfId="11721" xr:uid="{00000000-0005-0000-0000-000042220000}"/>
    <cellStyle name="Output 8 3 3" xfId="11722" xr:uid="{00000000-0005-0000-0000-000043220000}"/>
    <cellStyle name="Output 8 4" xfId="11723" xr:uid="{00000000-0005-0000-0000-000044220000}"/>
    <cellStyle name="Output 8 4 2" xfId="11724" xr:uid="{00000000-0005-0000-0000-000045220000}"/>
    <cellStyle name="Output 8 5" xfId="11725" xr:uid="{00000000-0005-0000-0000-000046220000}"/>
    <cellStyle name="Output 9" xfId="7257" xr:uid="{00000000-0005-0000-0000-000047220000}"/>
    <cellStyle name="Output 9 2" xfId="7258" xr:uid="{00000000-0005-0000-0000-000048220000}"/>
    <cellStyle name="Output 9 2 2" xfId="7259" xr:uid="{00000000-0005-0000-0000-000049220000}"/>
    <cellStyle name="Output 9 2 2 2" xfId="11726" xr:uid="{00000000-0005-0000-0000-00004A220000}"/>
    <cellStyle name="Output 9 2 2 2 2" xfId="11727" xr:uid="{00000000-0005-0000-0000-00004B220000}"/>
    <cellStyle name="Output 9 2 2 3" xfId="11728" xr:uid="{00000000-0005-0000-0000-00004C220000}"/>
    <cellStyle name="Output 9 2 3" xfId="11729" xr:uid="{00000000-0005-0000-0000-00004D220000}"/>
    <cellStyle name="Output 9 2 3 2" xfId="11730" xr:uid="{00000000-0005-0000-0000-00004E220000}"/>
    <cellStyle name="Output 9 2 4" xfId="11731" xr:uid="{00000000-0005-0000-0000-00004F220000}"/>
    <cellStyle name="Output 9 3" xfId="7260" xr:uid="{00000000-0005-0000-0000-000050220000}"/>
    <cellStyle name="Output 9 3 2" xfId="11732" xr:uid="{00000000-0005-0000-0000-000051220000}"/>
    <cellStyle name="Output 9 3 2 2" xfId="11733" xr:uid="{00000000-0005-0000-0000-000052220000}"/>
    <cellStyle name="Output 9 3 3" xfId="11734" xr:uid="{00000000-0005-0000-0000-000053220000}"/>
    <cellStyle name="Output 9 4" xfId="11735" xr:uid="{00000000-0005-0000-0000-000054220000}"/>
    <cellStyle name="Output 9 4 2" xfId="11736" xr:uid="{00000000-0005-0000-0000-000055220000}"/>
    <cellStyle name="Output 9 5" xfId="11737" xr:uid="{00000000-0005-0000-0000-000056220000}"/>
    <cellStyle name="Overload" xfId="7261" xr:uid="{00000000-0005-0000-0000-000057220000}"/>
    <cellStyle name="Ô Được nối kết" xfId="7164" xr:uid="{00000000-0005-0000-0000-0000F4200000}"/>
    <cellStyle name="per.style" xfId="7262" xr:uid="{00000000-0005-0000-0000-000058220000}"/>
    <cellStyle name="Percent [0]" xfId="7263" xr:uid="{00000000-0005-0000-0000-000059220000}"/>
    <cellStyle name="Percent [00]" xfId="7264" xr:uid="{00000000-0005-0000-0000-00005A220000}"/>
    <cellStyle name="Percent [2]" xfId="7265" xr:uid="{00000000-0005-0000-0000-00005B220000}"/>
    <cellStyle name="Percent [2] 10" xfId="7266" xr:uid="{00000000-0005-0000-0000-00005C220000}"/>
    <cellStyle name="Percent [2] 100" xfId="7267" xr:uid="{00000000-0005-0000-0000-00005D220000}"/>
    <cellStyle name="Percent [2] 101" xfId="7268" xr:uid="{00000000-0005-0000-0000-00005E220000}"/>
    <cellStyle name="Percent [2] 102" xfId="7269" xr:uid="{00000000-0005-0000-0000-00005F220000}"/>
    <cellStyle name="Percent [2] 103" xfId="7270" xr:uid="{00000000-0005-0000-0000-000060220000}"/>
    <cellStyle name="Percent [2] 104" xfId="7271" xr:uid="{00000000-0005-0000-0000-000061220000}"/>
    <cellStyle name="Percent [2] 105" xfId="7272" xr:uid="{00000000-0005-0000-0000-000062220000}"/>
    <cellStyle name="Percent [2] 106" xfId="7273" xr:uid="{00000000-0005-0000-0000-000063220000}"/>
    <cellStyle name="Percent [2] 107" xfId="7274" xr:uid="{00000000-0005-0000-0000-000064220000}"/>
    <cellStyle name="Percent [2] 108" xfId="7275" xr:uid="{00000000-0005-0000-0000-000065220000}"/>
    <cellStyle name="Percent [2] 109" xfId="7276" xr:uid="{00000000-0005-0000-0000-000066220000}"/>
    <cellStyle name="Percent [2] 11" xfId="7277" xr:uid="{00000000-0005-0000-0000-000067220000}"/>
    <cellStyle name="Percent [2] 110" xfId="7278" xr:uid="{00000000-0005-0000-0000-000068220000}"/>
    <cellStyle name="Percent [2] 111" xfId="7279" xr:uid="{00000000-0005-0000-0000-000069220000}"/>
    <cellStyle name="Percent [2] 112" xfId="7280" xr:uid="{00000000-0005-0000-0000-00006A220000}"/>
    <cellStyle name="Percent [2] 113" xfId="7281" xr:uid="{00000000-0005-0000-0000-00006B220000}"/>
    <cellStyle name="Percent [2] 12" xfId="7282" xr:uid="{00000000-0005-0000-0000-00006C220000}"/>
    <cellStyle name="Percent [2] 13" xfId="7283" xr:uid="{00000000-0005-0000-0000-00006D220000}"/>
    <cellStyle name="Percent [2] 14" xfId="7284" xr:uid="{00000000-0005-0000-0000-00006E220000}"/>
    <cellStyle name="Percent [2] 15" xfId="7285" xr:uid="{00000000-0005-0000-0000-00006F220000}"/>
    <cellStyle name="Percent [2] 16" xfId="7286" xr:uid="{00000000-0005-0000-0000-000070220000}"/>
    <cellStyle name="Percent [2] 17" xfId="7287" xr:uid="{00000000-0005-0000-0000-000071220000}"/>
    <cellStyle name="Percent [2] 18" xfId="7288" xr:uid="{00000000-0005-0000-0000-000072220000}"/>
    <cellStyle name="Percent [2] 19" xfId="7289" xr:uid="{00000000-0005-0000-0000-000073220000}"/>
    <cellStyle name="Percent [2] 2" xfId="7290" xr:uid="{00000000-0005-0000-0000-000074220000}"/>
    <cellStyle name="Percent [2] 20" xfId="7291" xr:uid="{00000000-0005-0000-0000-000075220000}"/>
    <cellStyle name="Percent [2] 21" xfId="7292" xr:uid="{00000000-0005-0000-0000-000076220000}"/>
    <cellStyle name="Percent [2] 22" xfId="7293" xr:uid="{00000000-0005-0000-0000-000077220000}"/>
    <cellStyle name="Percent [2] 23" xfId="7294" xr:uid="{00000000-0005-0000-0000-000078220000}"/>
    <cellStyle name="Percent [2] 24" xfId="7295" xr:uid="{00000000-0005-0000-0000-000079220000}"/>
    <cellStyle name="Percent [2] 25" xfId="7296" xr:uid="{00000000-0005-0000-0000-00007A220000}"/>
    <cellStyle name="Percent [2] 26" xfId="7297" xr:uid="{00000000-0005-0000-0000-00007B220000}"/>
    <cellStyle name="Percent [2] 27" xfId="7298" xr:uid="{00000000-0005-0000-0000-00007C220000}"/>
    <cellStyle name="Percent [2] 28" xfId="7299" xr:uid="{00000000-0005-0000-0000-00007D220000}"/>
    <cellStyle name="Percent [2] 29" xfId="7300" xr:uid="{00000000-0005-0000-0000-00007E220000}"/>
    <cellStyle name="Percent [2] 3" xfId="7301" xr:uid="{00000000-0005-0000-0000-00007F220000}"/>
    <cellStyle name="Percent [2] 30" xfId="7302" xr:uid="{00000000-0005-0000-0000-000080220000}"/>
    <cellStyle name="Percent [2] 31" xfId="7303" xr:uid="{00000000-0005-0000-0000-000081220000}"/>
    <cellStyle name="Percent [2] 32" xfId="7304" xr:uid="{00000000-0005-0000-0000-000082220000}"/>
    <cellStyle name="Percent [2] 33" xfId="7305" xr:uid="{00000000-0005-0000-0000-000083220000}"/>
    <cellStyle name="Percent [2] 34" xfId="7306" xr:uid="{00000000-0005-0000-0000-000084220000}"/>
    <cellStyle name="Percent [2] 35" xfId="7307" xr:uid="{00000000-0005-0000-0000-000085220000}"/>
    <cellStyle name="Percent [2] 36" xfId="7308" xr:uid="{00000000-0005-0000-0000-000086220000}"/>
    <cellStyle name="Percent [2] 37" xfId="7309" xr:uid="{00000000-0005-0000-0000-000087220000}"/>
    <cellStyle name="Percent [2] 38" xfId="7310" xr:uid="{00000000-0005-0000-0000-000088220000}"/>
    <cellStyle name="Percent [2] 39" xfId="7311" xr:uid="{00000000-0005-0000-0000-000089220000}"/>
    <cellStyle name="Percent [2] 4" xfId="7312" xr:uid="{00000000-0005-0000-0000-00008A220000}"/>
    <cellStyle name="Percent [2] 40" xfId="7313" xr:uid="{00000000-0005-0000-0000-00008B220000}"/>
    <cellStyle name="Percent [2] 41" xfId="7314" xr:uid="{00000000-0005-0000-0000-00008C220000}"/>
    <cellStyle name="Percent [2] 42" xfId="7315" xr:uid="{00000000-0005-0000-0000-00008D220000}"/>
    <cellStyle name="Percent [2] 43" xfId="7316" xr:uid="{00000000-0005-0000-0000-00008E220000}"/>
    <cellStyle name="Percent [2] 44" xfId="7317" xr:uid="{00000000-0005-0000-0000-00008F220000}"/>
    <cellStyle name="Percent [2] 45" xfId="7318" xr:uid="{00000000-0005-0000-0000-000090220000}"/>
    <cellStyle name="Percent [2] 46" xfId="7319" xr:uid="{00000000-0005-0000-0000-000091220000}"/>
    <cellStyle name="Percent [2] 47" xfId="7320" xr:uid="{00000000-0005-0000-0000-000092220000}"/>
    <cellStyle name="Percent [2] 48" xfId="7321" xr:uid="{00000000-0005-0000-0000-000093220000}"/>
    <cellStyle name="Percent [2] 49" xfId="7322" xr:uid="{00000000-0005-0000-0000-000094220000}"/>
    <cellStyle name="Percent [2] 5" xfId="7323" xr:uid="{00000000-0005-0000-0000-000095220000}"/>
    <cellStyle name="Percent [2] 50" xfId="7324" xr:uid="{00000000-0005-0000-0000-000096220000}"/>
    <cellStyle name="Percent [2] 51" xfId="7325" xr:uid="{00000000-0005-0000-0000-000097220000}"/>
    <cellStyle name="Percent [2] 52" xfId="7326" xr:uid="{00000000-0005-0000-0000-000098220000}"/>
    <cellStyle name="Percent [2] 53" xfId="7327" xr:uid="{00000000-0005-0000-0000-000099220000}"/>
    <cellStyle name="Percent [2] 54" xfId="7328" xr:uid="{00000000-0005-0000-0000-00009A220000}"/>
    <cellStyle name="Percent [2] 55" xfId="7329" xr:uid="{00000000-0005-0000-0000-00009B220000}"/>
    <cellStyle name="Percent [2] 56" xfId="7330" xr:uid="{00000000-0005-0000-0000-00009C220000}"/>
    <cellStyle name="Percent [2] 57" xfId="7331" xr:uid="{00000000-0005-0000-0000-00009D220000}"/>
    <cellStyle name="Percent [2] 58" xfId="7332" xr:uid="{00000000-0005-0000-0000-00009E220000}"/>
    <cellStyle name="Percent [2] 59" xfId="7333" xr:uid="{00000000-0005-0000-0000-00009F220000}"/>
    <cellStyle name="Percent [2] 6" xfId="7334" xr:uid="{00000000-0005-0000-0000-0000A0220000}"/>
    <cellStyle name="Percent [2] 60" xfId="7335" xr:uid="{00000000-0005-0000-0000-0000A1220000}"/>
    <cellStyle name="Percent [2] 61" xfId="7336" xr:uid="{00000000-0005-0000-0000-0000A2220000}"/>
    <cellStyle name="Percent [2] 62" xfId="7337" xr:uid="{00000000-0005-0000-0000-0000A3220000}"/>
    <cellStyle name="Percent [2] 63" xfId="7338" xr:uid="{00000000-0005-0000-0000-0000A4220000}"/>
    <cellStyle name="Percent [2] 64" xfId="7339" xr:uid="{00000000-0005-0000-0000-0000A5220000}"/>
    <cellStyle name="Percent [2] 65" xfId="7340" xr:uid="{00000000-0005-0000-0000-0000A6220000}"/>
    <cellStyle name="Percent [2] 66" xfId="7341" xr:uid="{00000000-0005-0000-0000-0000A7220000}"/>
    <cellStyle name="Percent [2] 67" xfId="7342" xr:uid="{00000000-0005-0000-0000-0000A8220000}"/>
    <cellStyle name="Percent [2] 68" xfId="7343" xr:uid="{00000000-0005-0000-0000-0000A9220000}"/>
    <cellStyle name="Percent [2] 69" xfId="7344" xr:uid="{00000000-0005-0000-0000-0000AA220000}"/>
    <cellStyle name="Percent [2] 7" xfId="7345" xr:uid="{00000000-0005-0000-0000-0000AB220000}"/>
    <cellStyle name="Percent [2] 70" xfId="7346" xr:uid="{00000000-0005-0000-0000-0000AC220000}"/>
    <cellStyle name="Percent [2] 71" xfId="7347" xr:uid="{00000000-0005-0000-0000-0000AD220000}"/>
    <cellStyle name="Percent [2] 72" xfId="7348" xr:uid="{00000000-0005-0000-0000-0000AE220000}"/>
    <cellStyle name="Percent [2] 73" xfId="7349" xr:uid="{00000000-0005-0000-0000-0000AF220000}"/>
    <cellStyle name="Percent [2] 74" xfId="7350" xr:uid="{00000000-0005-0000-0000-0000B0220000}"/>
    <cellStyle name="Percent [2] 75" xfId="7351" xr:uid="{00000000-0005-0000-0000-0000B1220000}"/>
    <cellStyle name="Percent [2] 76" xfId="7352" xr:uid="{00000000-0005-0000-0000-0000B2220000}"/>
    <cellStyle name="Percent [2] 77" xfId="7353" xr:uid="{00000000-0005-0000-0000-0000B3220000}"/>
    <cellStyle name="Percent [2] 78" xfId="7354" xr:uid="{00000000-0005-0000-0000-0000B4220000}"/>
    <cellStyle name="Percent [2] 79" xfId="7355" xr:uid="{00000000-0005-0000-0000-0000B5220000}"/>
    <cellStyle name="Percent [2] 8" xfId="7356" xr:uid="{00000000-0005-0000-0000-0000B6220000}"/>
    <cellStyle name="Percent [2] 80" xfId="7357" xr:uid="{00000000-0005-0000-0000-0000B7220000}"/>
    <cellStyle name="Percent [2] 81" xfId="7358" xr:uid="{00000000-0005-0000-0000-0000B8220000}"/>
    <cellStyle name="Percent [2] 82" xfId="7359" xr:uid="{00000000-0005-0000-0000-0000B9220000}"/>
    <cellStyle name="Percent [2] 83" xfId="7360" xr:uid="{00000000-0005-0000-0000-0000BA220000}"/>
    <cellStyle name="Percent [2] 84" xfId="7361" xr:uid="{00000000-0005-0000-0000-0000BB220000}"/>
    <cellStyle name="Percent [2] 85" xfId="7362" xr:uid="{00000000-0005-0000-0000-0000BC220000}"/>
    <cellStyle name="Percent [2] 86" xfId="7363" xr:uid="{00000000-0005-0000-0000-0000BD220000}"/>
    <cellStyle name="Percent [2] 87" xfId="7364" xr:uid="{00000000-0005-0000-0000-0000BE220000}"/>
    <cellStyle name="Percent [2] 88" xfId="7365" xr:uid="{00000000-0005-0000-0000-0000BF220000}"/>
    <cellStyle name="Percent [2] 89" xfId="7366" xr:uid="{00000000-0005-0000-0000-0000C0220000}"/>
    <cellStyle name="Percent [2] 9" xfId="7367" xr:uid="{00000000-0005-0000-0000-0000C1220000}"/>
    <cellStyle name="Percent [2] 90" xfId="7368" xr:uid="{00000000-0005-0000-0000-0000C2220000}"/>
    <cellStyle name="Percent [2] 91" xfId="7369" xr:uid="{00000000-0005-0000-0000-0000C3220000}"/>
    <cellStyle name="Percent [2] 92" xfId="7370" xr:uid="{00000000-0005-0000-0000-0000C4220000}"/>
    <cellStyle name="Percent [2] 93" xfId="7371" xr:uid="{00000000-0005-0000-0000-0000C5220000}"/>
    <cellStyle name="Percent [2] 94" xfId="7372" xr:uid="{00000000-0005-0000-0000-0000C6220000}"/>
    <cellStyle name="Percent [2] 95" xfId="7373" xr:uid="{00000000-0005-0000-0000-0000C7220000}"/>
    <cellStyle name="Percent [2] 96" xfId="7374" xr:uid="{00000000-0005-0000-0000-0000C8220000}"/>
    <cellStyle name="Percent [2] 97" xfId="7375" xr:uid="{00000000-0005-0000-0000-0000C9220000}"/>
    <cellStyle name="Percent [2] 98" xfId="7376" xr:uid="{00000000-0005-0000-0000-0000CA220000}"/>
    <cellStyle name="Percent [2] 99" xfId="7377" xr:uid="{00000000-0005-0000-0000-0000CB220000}"/>
    <cellStyle name="Percent 10" xfId="16" xr:uid="{00000000-0005-0000-0000-0000CC220000}"/>
    <cellStyle name="Percent 10 2" xfId="10456" xr:uid="{00000000-0005-0000-0000-0000CD220000}"/>
    <cellStyle name="Percent 10 2 2" xfId="14644" xr:uid="{6A89CD77-B79A-4B22-A84B-7E336A41D4BC}"/>
    <cellStyle name="Percent 10 3" xfId="10483" xr:uid="{00000000-0005-0000-0000-0000CE220000}"/>
    <cellStyle name="Percent 100" xfId="9772" xr:uid="{00000000-0005-0000-0000-0000CF220000}"/>
    <cellStyle name="Percent 101" xfId="9773" xr:uid="{00000000-0005-0000-0000-0000D0220000}"/>
    <cellStyle name="Percent 102" xfId="9774" xr:uid="{00000000-0005-0000-0000-0000D1220000}"/>
    <cellStyle name="Percent 103" xfId="10453" xr:uid="{00000000-0005-0000-0000-0000D2220000}"/>
    <cellStyle name="Percent 11" xfId="7378" xr:uid="{00000000-0005-0000-0000-0000D3220000}"/>
    <cellStyle name="Percent 11 2" xfId="10484" xr:uid="{00000000-0005-0000-0000-0000D4220000}"/>
    <cellStyle name="Percent 12" xfId="7379" xr:uid="{00000000-0005-0000-0000-0000D5220000}"/>
    <cellStyle name="Percent 13" xfId="7380" xr:uid="{00000000-0005-0000-0000-0000D6220000}"/>
    <cellStyle name="Percent 14" xfId="7381" xr:uid="{00000000-0005-0000-0000-0000D7220000}"/>
    <cellStyle name="Percent 15" xfId="7382" xr:uid="{00000000-0005-0000-0000-0000D8220000}"/>
    <cellStyle name="Percent 16" xfId="7383" xr:uid="{00000000-0005-0000-0000-0000D9220000}"/>
    <cellStyle name="Percent 17" xfId="7384" xr:uid="{00000000-0005-0000-0000-0000DA220000}"/>
    <cellStyle name="Percent 17 2 3" xfId="14624" xr:uid="{FF3A3907-14E4-4FAC-84E9-640865F92724}"/>
    <cellStyle name="Percent 17 2 3 2" xfId="14638" xr:uid="{6885109D-F42C-4CBD-BC48-57F618A59C79}"/>
    <cellStyle name="Percent 18" xfId="7385" xr:uid="{00000000-0005-0000-0000-0000DB220000}"/>
    <cellStyle name="Percent 19" xfId="7386" xr:uid="{00000000-0005-0000-0000-0000DC220000}"/>
    <cellStyle name="Percent 2" xfId="7387" xr:uid="{00000000-0005-0000-0000-0000DD220000}"/>
    <cellStyle name="Percent 2 10" xfId="7388" xr:uid="{00000000-0005-0000-0000-0000DE220000}"/>
    <cellStyle name="Percent 2 10 2" xfId="19" xr:uid="{00000000-0005-0000-0000-0000DF220000}"/>
    <cellStyle name="Percent 2 11" xfId="7389" xr:uid="{00000000-0005-0000-0000-0000E0220000}"/>
    <cellStyle name="Percent 2 12" xfId="14596" xr:uid="{6404B6FE-8365-4D01-B16A-ABD1DFCFB649}"/>
    <cellStyle name="Percent 2 2" xfId="7390" xr:uid="{00000000-0005-0000-0000-0000E1220000}"/>
    <cellStyle name="Percent 2 2 2" xfId="7391" xr:uid="{00000000-0005-0000-0000-0000E2220000}"/>
    <cellStyle name="Percent 2 2 2 2" xfId="14590" xr:uid="{30103395-8200-4ACB-BBC2-D115E08EABDB}"/>
    <cellStyle name="Percent 2 2 2 4" xfId="14606" xr:uid="{24385CD1-4816-483E-8F47-881108BF342F}"/>
    <cellStyle name="Percent 2 2 3 2" xfId="14557" xr:uid="{BC97122E-6850-4787-B125-303B4A7BCA10}"/>
    <cellStyle name="Percent 2 2 3 3 2 2 2" xfId="14627" xr:uid="{2990A760-0611-44A0-9856-52051210F39F}"/>
    <cellStyle name="Percent 2 3" xfId="7392" xr:uid="{00000000-0005-0000-0000-0000E3220000}"/>
    <cellStyle name="Percent 2 4" xfId="7393" xr:uid="{00000000-0005-0000-0000-0000E4220000}"/>
    <cellStyle name="Percent 2 5" xfId="7394" xr:uid="{00000000-0005-0000-0000-0000E5220000}"/>
    <cellStyle name="Percent 2 6" xfId="7395" xr:uid="{00000000-0005-0000-0000-0000E6220000}"/>
    <cellStyle name="Percent 2 7" xfId="7396" xr:uid="{00000000-0005-0000-0000-0000E7220000}"/>
    <cellStyle name="Percent 2 8" xfId="7397" xr:uid="{00000000-0005-0000-0000-0000E8220000}"/>
    <cellStyle name="Percent 2 9" xfId="7398" xr:uid="{00000000-0005-0000-0000-0000E9220000}"/>
    <cellStyle name="Percent 20" xfId="7399" xr:uid="{00000000-0005-0000-0000-0000EA220000}"/>
    <cellStyle name="Percent 21" xfId="7400" xr:uid="{00000000-0005-0000-0000-0000EB220000}"/>
    <cellStyle name="Percent 22" xfId="7401" xr:uid="{00000000-0005-0000-0000-0000EC220000}"/>
    <cellStyle name="Percent 23" xfId="7402" xr:uid="{00000000-0005-0000-0000-0000ED220000}"/>
    <cellStyle name="Percent 24" xfId="7403" xr:uid="{00000000-0005-0000-0000-0000EE220000}"/>
    <cellStyle name="Percent 25" xfId="7404" xr:uid="{00000000-0005-0000-0000-0000EF220000}"/>
    <cellStyle name="Percent 26" xfId="7405" xr:uid="{00000000-0005-0000-0000-0000F0220000}"/>
    <cellStyle name="Percent 27" xfId="7406" xr:uid="{00000000-0005-0000-0000-0000F1220000}"/>
    <cellStyle name="Percent 28" xfId="7407" xr:uid="{00000000-0005-0000-0000-0000F2220000}"/>
    <cellStyle name="Percent 29" xfId="7408" xr:uid="{00000000-0005-0000-0000-0000F3220000}"/>
    <cellStyle name="Percent 3" xfId="7409" xr:uid="{00000000-0005-0000-0000-0000F4220000}"/>
    <cellStyle name="Percent 3 2" xfId="7410" xr:uid="{00000000-0005-0000-0000-0000F5220000}"/>
    <cellStyle name="Percent 3 2 2" xfId="7411" xr:uid="{00000000-0005-0000-0000-0000F6220000}"/>
    <cellStyle name="Percent 3 2 2 2" xfId="14570" xr:uid="{AD9560F5-2E28-494B-8BD7-D89DB87C7982}"/>
    <cellStyle name="Percent 3 2 3" xfId="14613" xr:uid="{49F2AD97-84DF-4100-B324-1E3E18366526}"/>
    <cellStyle name="Percent 3 3" xfId="7412" xr:uid="{00000000-0005-0000-0000-0000F7220000}"/>
    <cellStyle name="Percent 3 4" xfId="10120" xr:uid="{00000000-0005-0000-0000-0000F8220000}"/>
    <cellStyle name="Percent 3 5" xfId="14614" xr:uid="{6D02799D-BD57-4932-BA86-AE9506E5F812}"/>
    <cellStyle name="Percent 30" xfId="7413" xr:uid="{00000000-0005-0000-0000-0000F9220000}"/>
    <cellStyle name="Percent 31" xfId="7414" xr:uid="{00000000-0005-0000-0000-0000FA220000}"/>
    <cellStyle name="Percent 32" xfId="7415" xr:uid="{00000000-0005-0000-0000-0000FB220000}"/>
    <cellStyle name="Percent 33" xfId="7416" xr:uid="{00000000-0005-0000-0000-0000FC220000}"/>
    <cellStyle name="Percent 339" xfId="10455" xr:uid="{00000000-0005-0000-0000-0000FD220000}"/>
    <cellStyle name="Percent 34" xfId="7417" xr:uid="{00000000-0005-0000-0000-0000FE220000}"/>
    <cellStyle name="Percent 347" xfId="14632" xr:uid="{EDE12338-F662-4637-B7CE-9ABD4296FBA7}"/>
    <cellStyle name="Percent 35" xfId="7418" xr:uid="{00000000-0005-0000-0000-0000FF220000}"/>
    <cellStyle name="Percent 36" xfId="7419" xr:uid="{00000000-0005-0000-0000-000000230000}"/>
    <cellStyle name="Percent 37" xfId="7420" xr:uid="{00000000-0005-0000-0000-000001230000}"/>
    <cellStyle name="Percent 38" xfId="7421" xr:uid="{00000000-0005-0000-0000-000002230000}"/>
    <cellStyle name="Percent 39" xfId="7422" xr:uid="{00000000-0005-0000-0000-000003230000}"/>
    <cellStyle name="Percent 4" xfId="7423" xr:uid="{00000000-0005-0000-0000-000004230000}"/>
    <cellStyle name="Percent 4 2" xfId="7424" xr:uid="{00000000-0005-0000-0000-000005230000}"/>
    <cellStyle name="Percent 4 2 2" xfId="7425" xr:uid="{00000000-0005-0000-0000-000006230000}"/>
    <cellStyle name="Percent 40" xfId="7426" xr:uid="{00000000-0005-0000-0000-000007230000}"/>
    <cellStyle name="Percent 41" xfId="7427" xr:uid="{00000000-0005-0000-0000-000008230000}"/>
    <cellStyle name="Percent 42" xfId="7428" xr:uid="{00000000-0005-0000-0000-000009230000}"/>
    <cellStyle name="Percent 43" xfId="7429" xr:uid="{00000000-0005-0000-0000-00000A230000}"/>
    <cellStyle name="Percent 44" xfId="7430" xr:uid="{00000000-0005-0000-0000-00000B230000}"/>
    <cellStyle name="Percent 45" xfId="7431" xr:uid="{00000000-0005-0000-0000-00000C230000}"/>
    <cellStyle name="Percent 46" xfId="7432" xr:uid="{00000000-0005-0000-0000-00000D230000}"/>
    <cellStyle name="Percent 47" xfId="7433" xr:uid="{00000000-0005-0000-0000-00000E230000}"/>
    <cellStyle name="Percent 48" xfId="7434" xr:uid="{00000000-0005-0000-0000-00000F230000}"/>
    <cellStyle name="Percent 49" xfId="7435" xr:uid="{00000000-0005-0000-0000-000010230000}"/>
    <cellStyle name="Percent 5" xfId="7436" xr:uid="{00000000-0005-0000-0000-000011230000}"/>
    <cellStyle name="Percent 5 2" xfId="14591" xr:uid="{A04117BF-71CA-4A89-8A71-324E27C7E9EA}"/>
    <cellStyle name="Percent 5 2 5 2" xfId="14633" xr:uid="{0661CE4E-39E9-4C3F-9B7C-31547328479D}"/>
    <cellStyle name="Percent 50" xfId="7437" xr:uid="{00000000-0005-0000-0000-000012230000}"/>
    <cellStyle name="Percent 51" xfId="7438" xr:uid="{00000000-0005-0000-0000-000013230000}"/>
    <cellStyle name="Percent 52" xfId="7439" xr:uid="{00000000-0005-0000-0000-000014230000}"/>
    <cellStyle name="Percent 53" xfId="7440" xr:uid="{00000000-0005-0000-0000-000015230000}"/>
    <cellStyle name="Percent 54" xfId="7441" xr:uid="{00000000-0005-0000-0000-000016230000}"/>
    <cellStyle name="Percent 55" xfId="7442" xr:uid="{00000000-0005-0000-0000-000017230000}"/>
    <cellStyle name="Percent 56" xfId="7443" xr:uid="{00000000-0005-0000-0000-000018230000}"/>
    <cellStyle name="Percent 57" xfId="7444" xr:uid="{00000000-0005-0000-0000-000019230000}"/>
    <cellStyle name="Percent 58" xfId="7445" xr:uid="{00000000-0005-0000-0000-00001A230000}"/>
    <cellStyle name="Percent 59" xfId="7446" xr:uid="{00000000-0005-0000-0000-00001B230000}"/>
    <cellStyle name="Percent 6" xfId="7447" xr:uid="{00000000-0005-0000-0000-00001C230000}"/>
    <cellStyle name="Percent 60" xfId="9775" xr:uid="{00000000-0005-0000-0000-00001D230000}"/>
    <cellStyle name="Percent 61" xfId="9776" xr:uid="{00000000-0005-0000-0000-00001E230000}"/>
    <cellStyle name="Percent 62" xfId="9777" xr:uid="{00000000-0005-0000-0000-00001F230000}"/>
    <cellStyle name="Percent 63" xfId="9778" xr:uid="{00000000-0005-0000-0000-000020230000}"/>
    <cellStyle name="Percent 64" xfId="9779" xr:uid="{00000000-0005-0000-0000-000021230000}"/>
    <cellStyle name="Percent 65" xfId="9780" xr:uid="{00000000-0005-0000-0000-000022230000}"/>
    <cellStyle name="Percent 66" xfId="9781" xr:uid="{00000000-0005-0000-0000-000023230000}"/>
    <cellStyle name="Percent 67" xfId="9782" xr:uid="{00000000-0005-0000-0000-000024230000}"/>
    <cellStyle name="Percent 68" xfId="9783" xr:uid="{00000000-0005-0000-0000-000025230000}"/>
    <cellStyle name="Percent 69" xfId="9784" xr:uid="{00000000-0005-0000-0000-000026230000}"/>
    <cellStyle name="Percent 7" xfId="7448" xr:uid="{00000000-0005-0000-0000-000027230000}"/>
    <cellStyle name="Percent 70" xfId="9785" xr:uid="{00000000-0005-0000-0000-000028230000}"/>
    <cellStyle name="Percent 71" xfId="9786" xr:uid="{00000000-0005-0000-0000-000029230000}"/>
    <cellStyle name="Percent 72" xfId="9787" xr:uid="{00000000-0005-0000-0000-00002A230000}"/>
    <cellStyle name="Percent 73" xfId="9788" xr:uid="{00000000-0005-0000-0000-00002B230000}"/>
    <cellStyle name="Percent 74" xfId="9789" xr:uid="{00000000-0005-0000-0000-00002C230000}"/>
    <cellStyle name="Percent 75" xfId="9790" xr:uid="{00000000-0005-0000-0000-00002D230000}"/>
    <cellStyle name="Percent 76" xfId="9791" xr:uid="{00000000-0005-0000-0000-00002E230000}"/>
    <cellStyle name="Percent 77" xfId="9792" xr:uid="{00000000-0005-0000-0000-00002F230000}"/>
    <cellStyle name="Percent 78" xfId="9793" xr:uid="{00000000-0005-0000-0000-000030230000}"/>
    <cellStyle name="Percent 79" xfId="9794" xr:uid="{00000000-0005-0000-0000-000031230000}"/>
    <cellStyle name="Percent 8" xfId="7449" xr:uid="{00000000-0005-0000-0000-000032230000}"/>
    <cellStyle name="Percent 8 2" xfId="7450" xr:uid="{00000000-0005-0000-0000-000033230000}"/>
    <cellStyle name="Percent 80" xfId="9795" xr:uid="{00000000-0005-0000-0000-000034230000}"/>
    <cellStyle name="Percent 81" xfId="9796" xr:uid="{00000000-0005-0000-0000-000035230000}"/>
    <cellStyle name="Percent 82" xfId="9797" xr:uid="{00000000-0005-0000-0000-000036230000}"/>
    <cellStyle name="Percent 83" xfId="9798" xr:uid="{00000000-0005-0000-0000-000037230000}"/>
    <cellStyle name="Percent 84" xfId="9799" xr:uid="{00000000-0005-0000-0000-000038230000}"/>
    <cellStyle name="Percent 85" xfId="9800" xr:uid="{00000000-0005-0000-0000-000039230000}"/>
    <cellStyle name="Percent 86" xfId="9801" xr:uid="{00000000-0005-0000-0000-00003A230000}"/>
    <cellStyle name="Percent 87" xfId="9802" xr:uid="{00000000-0005-0000-0000-00003B230000}"/>
    <cellStyle name="Percent 88" xfId="9803" xr:uid="{00000000-0005-0000-0000-00003C230000}"/>
    <cellStyle name="Percent 89" xfId="9804" xr:uid="{00000000-0005-0000-0000-00003D230000}"/>
    <cellStyle name="Percent 9" xfId="7451" xr:uid="{00000000-0005-0000-0000-00003E230000}"/>
    <cellStyle name="Percent 9 2" xfId="7452" xr:uid="{00000000-0005-0000-0000-00003F230000}"/>
    <cellStyle name="Percent 90" xfId="9805" xr:uid="{00000000-0005-0000-0000-000040230000}"/>
    <cellStyle name="Percent 91" xfId="9806" xr:uid="{00000000-0005-0000-0000-000041230000}"/>
    <cellStyle name="Percent 92" xfId="9807" xr:uid="{00000000-0005-0000-0000-000042230000}"/>
    <cellStyle name="Percent 93" xfId="9808" xr:uid="{00000000-0005-0000-0000-000043230000}"/>
    <cellStyle name="Percent 94" xfId="9809" xr:uid="{00000000-0005-0000-0000-000044230000}"/>
    <cellStyle name="Percent 95" xfId="9810" xr:uid="{00000000-0005-0000-0000-000045230000}"/>
    <cellStyle name="Percent 96" xfId="9811" xr:uid="{00000000-0005-0000-0000-000046230000}"/>
    <cellStyle name="Percent 97" xfId="9812" xr:uid="{00000000-0005-0000-0000-000047230000}"/>
    <cellStyle name="Percent 98" xfId="9813" xr:uid="{00000000-0005-0000-0000-000048230000}"/>
    <cellStyle name="Percent 99" xfId="9814" xr:uid="{00000000-0005-0000-0000-000049230000}"/>
    <cellStyle name="PERCENTAGE" xfId="7453" xr:uid="{00000000-0005-0000-0000-00004A230000}"/>
    <cellStyle name="PERCENTAGE 2" xfId="7454" xr:uid="{00000000-0005-0000-0000-00004B230000}"/>
    <cellStyle name="PERCENTAGE 2 2" xfId="10121" xr:uid="{00000000-0005-0000-0000-00004C230000}"/>
    <cellStyle name="PERCENTAGE 2 3" xfId="10122" xr:uid="{00000000-0005-0000-0000-00004D230000}"/>
    <cellStyle name="PERCENTAGE 2 4" xfId="10123" xr:uid="{00000000-0005-0000-0000-00004E230000}"/>
    <cellStyle name="PERCENTAGE 3" xfId="9815" xr:uid="{00000000-0005-0000-0000-00004F230000}"/>
    <cellStyle name="PERCENTAGE 3 2" xfId="10124" xr:uid="{00000000-0005-0000-0000-000050230000}"/>
    <cellStyle name="PERCENTAGE 3 3" xfId="10125" xr:uid="{00000000-0005-0000-0000-000051230000}"/>
    <cellStyle name="PERCENTAGE 3 4" xfId="10126" xr:uid="{00000000-0005-0000-0000-000052230000}"/>
    <cellStyle name="PERCENTAGE 4" xfId="10127" xr:uid="{00000000-0005-0000-0000-000053230000}"/>
    <cellStyle name="PERCENTAGE 5" xfId="10128" xr:uid="{00000000-0005-0000-0000-000054230000}"/>
    <cellStyle name="PERCENTAGE 6" xfId="10129" xr:uid="{00000000-0005-0000-0000-000055230000}"/>
    <cellStyle name="PrePop Currency (0)" xfId="7455" xr:uid="{00000000-0005-0000-0000-000056230000}"/>
    <cellStyle name="PrePop Currency (2)" xfId="7456" xr:uid="{00000000-0005-0000-0000-000057230000}"/>
    <cellStyle name="PrePop Units (0)" xfId="7457" xr:uid="{00000000-0005-0000-0000-000058230000}"/>
    <cellStyle name="PrePop Units (1)" xfId="7458" xr:uid="{00000000-0005-0000-0000-000059230000}"/>
    <cellStyle name="PrePop Units (2)" xfId="7459" xr:uid="{00000000-0005-0000-0000-00005A230000}"/>
    <cellStyle name="price" xfId="7460" xr:uid="{00000000-0005-0000-0000-00005B230000}"/>
    <cellStyle name="Price Line" xfId="7461" xr:uid="{00000000-0005-0000-0000-00005C230000}"/>
    <cellStyle name="Price Line 2" xfId="11738" xr:uid="{00000000-0005-0000-0000-00005D230000}"/>
    <cellStyle name="Price Line 2 2" xfId="11739" xr:uid="{00000000-0005-0000-0000-00005E230000}"/>
    <cellStyle name="Price Line 3" xfId="11740" xr:uid="{00000000-0005-0000-0000-00005F230000}"/>
    <cellStyle name="Price Line 4" xfId="11741" xr:uid="{00000000-0005-0000-0000-000060230000}"/>
    <cellStyle name="pricing" xfId="7462" xr:uid="{00000000-0005-0000-0000-000061230000}"/>
    <cellStyle name="Product Subheading" xfId="7463" xr:uid="{00000000-0005-0000-0000-000062230000}"/>
    <cellStyle name="Product Subheading 2" xfId="11742" xr:uid="{00000000-0005-0000-0000-000063230000}"/>
    <cellStyle name="Product Subheading 2 2" xfId="11743" xr:uid="{00000000-0005-0000-0000-000064230000}"/>
    <cellStyle name="Product Subheading 3" xfId="11744" xr:uid="{00000000-0005-0000-0000-000065230000}"/>
    <cellStyle name="Product Subheading 4" xfId="11745" xr:uid="{00000000-0005-0000-0000-000066230000}"/>
    <cellStyle name="PSChar" xfId="7464" xr:uid="{00000000-0005-0000-0000-000067230000}"/>
    <cellStyle name="PSDate" xfId="7465" xr:uid="{00000000-0005-0000-0000-000068230000}"/>
    <cellStyle name="PSDec" xfId="7466" xr:uid="{00000000-0005-0000-0000-000069230000}"/>
    <cellStyle name="PSHeading" xfId="7467" xr:uid="{00000000-0005-0000-0000-00006A230000}"/>
    <cellStyle name="PSInt" xfId="7468" xr:uid="{00000000-0005-0000-0000-00006B230000}"/>
    <cellStyle name="PSSpacer" xfId="7469" xr:uid="{00000000-0005-0000-0000-00006C230000}"/>
    <cellStyle name="Rate" xfId="7470" xr:uid="{00000000-0005-0000-0000-00006D230000}"/>
    <cellStyle name="regstoresfromspecstores" xfId="7471" xr:uid="{00000000-0005-0000-0000-00006E230000}"/>
    <cellStyle name="Relay" xfId="7472" xr:uid="{00000000-0005-0000-0000-00006F230000}"/>
    <cellStyle name="Reset  - Style7" xfId="7473" xr:uid="{00000000-0005-0000-0000-000070230000}"/>
    <cellStyle name="revised" xfId="7474" xr:uid="{00000000-0005-0000-0000-000071230000}"/>
    <cellStyle name="RevList" xfId="7475" xr:uid="{00000000-0005-0000-0000-000072230000}"/>
    <cellStyle name="S" xfId="7476" xr:uid="{00000000-0005-0000-0000-000074230000}"/>
    <cellStyle name="S—_x0008_" xfId="7477" xr:uid="{00000000-0005-0000-0000-000075230000}"/>
    <cellStyle name="S 10" xfId="9816" xr:uid="{00000000-0005-0000-0000-000076230000}"/>
    <cellStyle name="S 10 2" xfId="10130" xr:uid="{00000000-0005-0000-0000-000077230000}"/>
    <cellStyle name="S 10 3" xfId="10131" xr:uid="{00000000-0005-0000-0000-000078230000}"/>
    <cellStyle name="S 10 4" xfId="10132" xr:uid="{00000000-0005-0000-0000-000079230000}"/>
    <cellStyle name="S 11" xfId="9817" xr:uid="{00000000-0005-0000-0000-00007A230000}"/>
    <cellStyle name="S 11 2" xfId="10133" xr:uid="{00000000-0005-0000-0000-00007B230000}"/>
    <cellStyle name="S 11 3" xfId="10134" xr:uid="{00000000-0005-0000-0000-00007C230000}"/>
    <cellStyle name="S 11 4" xfId="10135" xr:uid="{00000000-0005-0000-0000-00007D230000}"/>
    <cellStyle name="S 12" xfId="9818" xr:uid="{00000000-0005-0000-0000-00007E230000}"/>
    <cellStyle name="S 12 2" xfId="10136" xr:uid="{00000000-0005-0000-0000-00007F230000}"/>
    <cellStyle name="S 12 3" xfId="10137" xr:uid="{00000000-0005-0000-0000-000080230000}"/>
    <cellStyle name="S 12 4" xfId="10138" xr:uid="{00000000-0005-0000-0000-000081230000}"/>
    <cellStyle name="S 13" xfId="9819" xr:uid="{00000000-0005-0000-0000-000082230000}"/>
    <cellStyle name="S 13 2" xfId="10139" xr:uid="{00000000-0005-0000-0000-000083230000}"/>
    <cellStyle name="S 13 3" xfId="10140" xr:uid="{00000000-0005-0000-0000-000084230000}"/>
    <cellStyle name="S 13 4" xfId="10141" xr:uid="{00000000-0005-0000-0000-000085230000}"/>
    <cellStyle name="S 14" xfId="9820" xr:uid="{00000000-0005-0000-0000-000086230000}"/>
    <cellStyle name="S 14 2" xfId="10142" xr:uid="{00000000-0005-0000-0000-000087230000}"/>
    <cellStyle name="S 14 3" xfId="10143" xr:uid="{00000000-0005-0000-0000-000088230000}"/>
    <cellStyle name="S 14 4" xfId="10144" xr:uid="{00000000-0005-0000-0000-000089230000}"/>
    <cellStyle name="S 15" xfId="9821" xr:uid="{00000000-0005-0000-0000-00008A230000}"/>
    <cellStyle name="S 15 2" xfId="10145" xr:uid="{00000000-0005-0000-0000-00008B230000}"/>
    <cellStyle name="S 15 3" xfId="10146" xr:uid="{00000000-0005-0000-0000-00008C230000}"/>
    <cellStyle name="S 15 4" xfId="10147" xr:uid="{00000000-0005-0000-0000-00008D230000}"/>
    <cellStyle name="S 16" xfId="9822" xr:uid="{00000000-0005-0000-0000-00008E230000}"/>
    <cellStyle name="S 16 2" xfId="10148" xr:uid="{00000000-0005-0000-0000-00008F230000}"/>
    <cellStyle name="S 16 3" xfId="10149" xr:uid="{00000000-0005-0000-0000-000090230000}"/>
    <cellStyle name="S 16 4" xfId="10150" xr:uid="{00000000-0005-0000-0000-000091230000}"/>
    <cellStyle name="S 17" xfId="9823" xr:uid="{00000000-0005-0000-0000-000092230000}"/>
    <cellStyle name="S 17 2" xfId="10151" xr:uid="{00000000-0005-0000-0000-000093230000}"/>
    <cellStyle name="S 17 3" xfId="10152" xr:uid="{00000000-0005-0000-0000-000094230000}"/>
    <cellStyle name="S 17 4" xfId="10153" xr:uid="{00000000-0005-0000-0000-000095230000}"/>
    <cellStyle name="S 18" xfId="9824" xr:uid="{00000000-0005-0000-0000-000096230000}"/>
    <cellStyle name="S 18 2" xfId="10154" xr:uid="{00000000-0005-0000-0000-000097230000}"/>
    <cellStyle name="S 18 3" xfId="10155" xr:uid="{00000000-0005-0000-0000-000098230000}"/>
    <cellStyle name="S 18 4" xfId="10156" xr:uid="{00000000-0005-0000-0000-000099230000}"/>
    <cellStyle name="S 19" xfId="9825" xr:uid="{00000000-0005-0000-0000-00009A230000}"/>
    <cellStyle name="S 19 2" xfId="10157" xr:uid="{00000000-0005-0000-0000-00009B230000}"/>
    <cellStyle name="S 19 3" xfId="10158" xr:uid="{00000000-0005-0000-0000-00009C230000}"/>
    <cellStyle name="S 19 4" xfId="10159" xr:uid="{00000000-0005-0000-0000-00009D230000}"/>
    <cellStyle name="S 2" xfId="9826" xr:uid="{00000000-0005-0000-0000-00009E230000}"/>
    <cellStyle name="S—_x0008_ 2" xfId="7478" xr:uid="{00000000-0005-0000-0000-00009F230000}"/>
    <cellStyle name="S 2 10" xfId="11746" xr:uid="{00000000-0005-0000-0000-0000A0230000}"/>
    <cellStyle name="S 2 11" xfId="11747" xr:uid="{00000000-0005-0000-0000-0000A1230000}"/>
    <cellStyle name="S 2 2" xfId="10160" xr:uid="{00000000-0005-0000-0000-0000A2230000}"/>
    <cellStyle name="S 2 3" xfId="10161" xr:uid="{00000000-0005-0000-0000-0000A3230000}"/>
    <cellStyle name="S 2 4" xfId="10162" xr:uid="{00000000-0005-0000-0000-0000A4230000}"/>
    <cellStyle name="S 2 5" xfId="10163" xr:uid="{00000000-0005-0000-0000-0000A5230000}"/>
    <cellStyle name="S 2 6" xfId="10164" xr:uid="{00000000-0005-0000-0000-0000A6230000}"/>
    <cellStyle name="S 2 7" xfId="10165" xr:uid="{00000000-0005-0000-0000-0000A7230000}"/>
    <cellStyle name="S 2 8" xfId="10166" xr:uid="{00000000-0005-0000-0000-0000A8230000}"/>
    <cellStyle name="S 2 9" xfId="11748" xr:uid="{00000000-0005-0000-0000-0000A9230000}"/>
    <cellStyle name="S 20" xfId="9827" xr:uid="{00000000-0005-0000-0000-0000AA230000}"/>
    <cellStyle name="S 20 2" xfId="10167" xr:uid="{00000000-0005-0000-0000-0000AB230000}"/>
    <cellStyle name="S 20 3" xfId="10168" xr:uid="{00000000-0005-0000-0000-0000AC230000}"/>
    <cellStyle name="S 20 4" xfId="10169" xr:uid="{00000000-0005-0000-0000-0000AD230000}"/>
    <cellStyle name="S 21" xfId="9828" xr:uid="{00000000-0005-0000-0000-0000AE230000}"/>
    <cellStyle name="S 21 2" xfId="10170" xr:uid="{00000000-0005-0000-0000-0000AF230000}"/>
    <cellStyle name="S 21 3" xfId="10171" xr:uid="{00000000-0005-0000-0000-0000B0230000}"/>
    <cellStyle name="S 21 4" xfId="10172" xr:uid="{00000000-0005-0000-0000-0000B1230000}"/>
    <cellStyle name="S 22" xfId="9829" xr:uid="{00000000-0005-0000-0000-0000B2230000}"/>
    <cellStyle name="S 22 2" xfId="10173" xr:uid="{00000000-0005-0000-0000-0000B3230000}"/>
    <cellStyle name="S 22 3" xfId="10174" xr:uid="{00000000-0005-0000-0000-0000B4230000}"/>
    <cellStyle name="S 22 4" xfId="10175" xr:uid="{00000000-0005-0000-0000-0000B5230000}"/>
    <cellStyle name="S 23" xfId="9830" xr:uid="{00000000-0005-0000-0000-0000B6230000}"/>
    <cellStyle name="S 23 2" xfId="10176" xr:uid="{00000000-0005-0000-0000-0000B7230000}"/>
    <cellStyle name="S 23 3" xfId="10177" xr:uid="{00000000-0005-0000-0000-0000B8230000}"/>
    <cellStyle name="S 23 4" xfId="10178" xr:uid="{00000000-0005-0000-0000-0000B9230000}"/>
    <cellStyle name="S 24" xfId="9831" xr:uid="{00000000-0005-0000-0000-0000BA230000}"/>
    <cellStyle name="S 24 2" xfId="10179" xr:uid="{00000000-0005-0000-0000-0000BB230000}"/>
    <cellStyle name="S 24 3" xfId="10180" xr:uid="{00000000-0005-0000-0000-0000BC230000}"/>
    <cellStyle name="S 24 4" xfId="10181" xr:uid="{00000000-0005-0000-0000-0000BD230000}"/>
    <cellStyle name="S 25" xfId="9832" xr:uid="{00000000-0005-0000-0000-0000BE230000}"/>
    <cellStyle name="S 25 2" xfId="10182" xr:uid="{00000000-0005-0000-0000-0000BF230000}"/>
    <cellStyle name="S 25 3" xfId="10183" xr:uid="{00000000-0005-0000-0000-0000C0230000}"/>
    <cellStyle name="S 25 4" xfId="10184" xr:uid="{00000000-0005-0000-0000-0000C1230000}"/>
    <cellStyle name="S 26" xfId="9833" xr:uid="{00000000-0005-0000-0000-0000C2230000}"/>
    <cellStyle name="S 26 2" xfId="10185" xr:uid="{00000000-0005-0000-0000-0000C3230000}"/>
    <cellStyle name="S 26 3" xfId="10186" xr:uid="{00000000-0005-0000-0000-0000C4230000}"/>
    <cellStyle name="S 26 4" xfId="10187" xr:uid="{00000000-0005-0000-0000-0000C5230000}"/>
    <cellStyle name="S 27" xfId="9834" xr:uid="{00000000-0005-0000-0000-0000C6230000}"/>
    <cellStyle name="S 27 2" xfId="10188" xr:uid="{00000000-0005-0000-0000-0000C7230000}"/>
    <cellStyle name="S 27 3" xfId="10189" xr:uid="{00000000-0005-0000-0000-0000C8230000}"/>
    <cellStyle name="S 27 4" xfId="10190" xr:uid="{00000000-0005-0000-0000-0000C9230000}"/>
    <cellStyle name="S 28" xfId="9835" xr:uid="{00000000-0005-0000-0000-0000CA230000}"/>
    <cellStyle name="S 28 2" xfId="10191" xr:uid="{00000000-0005-0000-0000-0000CB230000}"/>
    <cellStyle name="S 28 3" xfId="10192" xr:uid="{00000000-0005-0000-0000-0000CC230000}"/>
    <cellStyle name="S 28 4" xfId="10193" xr:uid="{00000000-0005-0000-0000-0000CD230000}"/>
    <cellStyle name="S 29" xfId="9836" xr:uid="{00000000-0005-0000-0000-0000CE230000}"/>
    <cellStyle name="S 29 2" xfId="10194" xr:uid="{00000000-0005-0000-0000-0000CF230000}"/>
    <cellStyle name="S 29 3" xfId="10195" xr:uid="{00000000-0005-0000-0000-0000D0230000}"/>
    <cellStyle name="S 29 4" xfId="10196" xr:uid="{00000000-0005-0000-0000-0000D1230000}"/>
    <cellStyle name="S 3" xfId="9837" xr:uid="{00000000-0005-0000-0000-0000D2230000}"/>
    <cellStyle name="S 3 2" xfId="10197" xr:uid="{00000000-0005-0000-0000-0000D3230000}"/>
    <cellStyle name="S 3 3" xfId="10198" xr:uid="{00000000-0005-0000-0000-0000D4230000}"/>
    <cellStyle name="S 3 4" xfId="10199" xr:uid="{00000000-0005-0000-0000-0000D5230000}"/>
    <cellStyle name="S 30" xfId="9838" xr:uid="{00000000-0005-0000-0000-0000D6230000}"/>
    <cellStyle name="S 30 2" xfId="10200" xr:uid="{00000000-0005-0000-0000-0000D7230000}"/>
    <cellStyle name="S 30 3" xfId="10201" xr:uid="{00000000-0005-0000-0000-0000D8230000}"/>
    <cellStyle name="S 30 4" xfId="10202" xr:uid="{00000000-0005-0000-0000-0000D9230000}"/>
    <cellStyle name="S 31" xfId="9839" xr:uid="{00000000-0005-0000-0000-0000DA230000}"/>
    <cellStyle name="S 31 2" xfId="10203" xr:uid="{00000000-0005-0000-0000-0000DB230000}"/>
    <cellStyle name="S 31 3" xfId="10204" xr:uid="{00000000-0005-0000-0000-0000DC230000}"/>
    <cellStyle name="S 31 4" xfId="10205" xr:uid="{00000000-0005-0000-0000-0000DD230000}"/>
    <cellStyle name="S 32" xfId="9840" xr:uid="{00000000-0005-0000-0000-0000DE230000}"/>
    <cellStyle name="S 32 2" xfId="10206" xr:uid="{00000000-0005-0000-0000-0000DF230000}"/>
    <cellStyle name="S 32 3" xfId="10207" xr:uid="{00000000-0005-0000-0000-0000E0230000}"/>
    <cellStyle name="S 32 4" xfId="10208" xr:uid="{00000000-0005-0000-0000-0000E1230000}"/>
    <cellStyle name="S 33" xfId="9841" xr:uid="{00000000-0005-0000-0000-0000E2230000}"/>
    <cellStyle name="S 33 2" xfId="10209" xr:uid="{00000000-0005-0000-0000-0000E3230000}"/>
    <cellStyle name="S 33 3" xfId="10210" xr:uid="{00000000-0005-0000-0000-0000E4230000}"/>
    <cellStyle name="S 33 4" xfId="10211" xr:uid="{00000000-0005-0000-0000-0000E5230000}"/>
    <cellStyle name="S 34" xfId="9842" xr:uid="{00000000-0005-0000-0000-0000E6230000}"/>
    <cellStyle name="S 34 2" xfId="10212" xr:uid="{00000000-0005-0000-0000-0000E7230000}"/>
    <cellStyle name="S 34 3" xfId="10213" xr:uid="{00000000-0005-0000-0000-0000E8230000}"/>
    <cellStyle name="S 34 4" xfId="10214" xr:uid="{00000000-0005-0000-0000-0000E9230000}"/>
    <cellStyle name="S 35" xfId="9843" xr:uid="{00000000-0005-0000-0000-0000EA230000}"/>
    <cellStyle name="S 35 2" xfId="10215" xr:uid="{00000000-0005-0000-0000-0000EB230000}"/>
    <cellStyle name="S 35 3" xfId="10216" xr:uid="{00000000-0005-0000-0000-0000EC230000}"/>
    <cellStyle name="S 35 4" xfId="10217" xr:uid="{00000000-0005-0000-0000-0000ED230000}"/>
    <cellStyle name="S 36" xfId="9844" xr:uid="{00000000-0005-0000-0000-0000EE230000}"/>
    <cellStyle name="S 36 2" xfId="10218" xr:uid="{00000000-0005-0000-0000-0000EF230000}"/>
    <cellStyle name="S 36 3" xfId="10219" xr:uid="{00000000-0005-0000-0000-0000F0230000}"/>
    <cellStyle name="S 36 4" xfId="10220" xr:uid="{00000000-0005-0000-0000-0000F1230000}"/>
    <cellStyle name="S 37" xfId="9845" xr:uid="{00000000-0005-0000-0000-0000F2230000}"/>
    <cellStyle name="S 37 2" xfId="10221" xr:uid="{00000000-0005-0000-0000-0000F3230000}"/>
    <cellStyle name="S 37 3" xfId="10222" xr:uid="{00000000-0005-0000-0000-0000F4230000}"/>
    <cellStyle name="S 37 4" xfId="10223" xr:uid="{00000000-0005-0000-0000-0000F5230000}"/>
    <cellStyle name="S 38" xfId="9846" xr:uid="{00000000-0005-0000-0000-0000F6230000}"/>
    <cellStyle name="S 38 2" xfId="10224" xr:uid="{00000000-0005-0000-0000-0000F7230000}"/>
    <cellStyle name="S 38 3" xfId="10225" xr:uid="{00000000-0005-0000-0000-0000F8230000}"/>
    <cellStyle name="S 38 4" xfId="10226" xr:uid="{00000000-0005-0000-0000-0000F9230000}"/>
    <cellStyle name="S 39" xfId="9847" xr:uid="{00000000-0005-0000-0000-0000FA230000}"/>
    <cellStyle name="S 39 2" xfId="10227" xr:uid="{00000000-0005-0000-0000-0000FB230000}"/>
    <cellStyle name="S 39 3" xfId="10228" xr:uid="{00000000-0005-0000-0000-0000FC230000}"/>
    <cellStyle name="S 39 4" xfId="10229" xr:uid="{00000000-0005-0000-0000-0000FD230000}"/>
    <cellStyle name="S 4" xfId="9848" xr:uid="{00000000-0005-0000-0000-0000FE230000}"/>
    <cellStyle name="S 4 2" xfId="10230" xr:uid="{00000000-0005-0000-0000-0000FF230000}"/>
    <cellStyle name="S 4 3" xfId="10231" xr:uid="{00000000-0005-0000-0000-000000240000}"/>
    <cellStyle name="S 4 4" xfId="10232" xr:uid="{00000000-0005-0000-0000-000001240000}"/>
    <cellStyle name="S 40" xfId="9849" xr:uid="{00000000-0005-0000-0000-000002240000}"/>
    <cellStyle name="S 40 2" xfId="10233" xr:uid="{00000000-0005-0000-0000-000003240000}"/>
    <cellStyle name="S 40 3" xfId="10234" xr:uid="{00000000-0005-0000-0000-000004240000}"/>
    <cellStyle name="S 40 4" xfId="10235" xr:uid="{00000000-0005-0000-0000-000005240000}"/>
    <cellStyle name="S 41" xfId="9850" xr:uid="{00000000-0005-0000-0000-000006240000}"/>
    <cellStyle name="S 41 2" xfId="10236" xr:uid="{00000000-0005-0000-0000-000007240000}"/>
    <cellStyle name="S 41 3" xfId="10237" xr:uid="{00000000-0005-0000-0000-000008240000}"/>
    <cellStyle name="S 41 4" xfId="10238" xr:uid="{00000000-0005-0000-0000-000009240000}"/>
    <cellStyle name="S 42" xfId="9851" xr:uid="{00000000-0005-0000-0000-00000A240000}"/>
    <cellStyle name="S 42 2" xfId="10239" xr:uid="{00000000-0005-0000-0000-00000B240000}"/>
    <cellStyle name="S 42 3" xfId="10240" xr:uid="{00000000-0005-0000-0000-00000C240000}"/>
    <cellStyle name="S 42 4" xfId="10241" xr:uid="{00000000-0005-0000-0000-00000D240000}"/>
    <cellStyle name="S 43" xfId="9852" xr:uid="{00000000-0005-0000-0000-00000E240000}"/>
    <cellStyle name="S 43 2" xfId="10242" xr:uid="{00000000-0005-0000-0000-00000F240000}"/>
    <cellStyle name="S 43 3" xfId="10243" xr:uid="{00000000-0005-0000-0000-000010240000}"/>
    <cellStyle name="S 43 4" xfId="10244" xr:uid="{00000000-0005-0000-0000-000011240000}"/>
    <cellStyle name="S 44" xfId="9853" xr:uid="{00000000-0005-0000-0000-000012240000}"/>
    <cellStyle name="S 44 2" xfId="10245" xr:uid="{00000000-0005-0000-0000-000013240000}"/>
    <cellStyle name="S 44 3" xfId="10246" xr:uid="{00000000-0005-0000-0000-000014240000}"/>
    <cellStyle name="S 44 4" xfId="10247" xr:uid="{00000000-0005-0000-0000-000015240000}"/>
    <cellStyle name="S 45" xfId="9854" xr:uid="{00000000-0005-0000-0000-000016240000}"/>
    <cellStyle name="S 45 2" xfId="10248" xr:uid="{00000000-0005-0000-0000-000017240000}"/>
    <cellStyle name="S 45 3" xfId="10249" xr:uid="{00000000-0005-0000-0000-000018240000}"/>
    <cellStyle name="S 45 4" xfId="10250" xr:uid="{00000000-0005-0000-0000-000019240000}"/>
    <cellStyle name="S 46" xfId="9855" xr:uid="{00000000-0005-0000-0000-00001A240000}"/>
    <cellStyle name="S 46 2" xfId="10251" xr:uid="{00000000-0005-0000-0000-00001B240000}"/>
    <cellStyle name="S 46 3" xfId="10252" xr:uid="{00000000-0005-0000-0000-00001C240000}"/>
    <cellStyle name="S 46 4" xfId="10253" xr:uid="{00000000-0005-0000-0000-00001D240000}"/>
    <cellStyle name="S 47" xfId="9856" xr:uid="{00000000-0005-0000-0000-00001E240000}"/>
    <cellStyle name="S 47 2" xfId="10254" xr:uid="{00000000-0005-0000-0000-00001F240000}"/>
    <cellStyle name="S 47 3" xfId="10255" xr:uid="{00000000-0005-0000-0000-000020240000}"/>
    <cellStyle name="S 47 4" xfId="10256" xr:uid="{00000000-0005-0000-0000-000021240000}"/>
    <cellStyle name="S 48" xfId="9857" xr:uid="{00000000-0005-0000-0000-000022240000}"/>
    <cellStyle name="S 48 2" xfId="10257" xr:uid="{00000000-0005-0000-0000-000023240000}"/>
    <cellStyle name="S 48 3" xfId="10258" xr:uid="{00000000-0005-0000-0000-000024240000}"/>
    <cellStyle name="S 48 4" xfId="10259" xr:uid="{00000000-0005-0000-0000-000025240000}"/>
    <cellStyle name="S 49" xfId="9858" xr:uid="{00000000-0005-0000-0000-000026240000}"/>
    <cellStyle name="S 49 2" xfId="10260" xr:uid="{00000000-0005-0000-0000-000027240000}"/>
    <cellStyle name="S 49 3" xfId="10261" xr:uid="{00000000-0005-0000-0000-000028240000}"/>
    <cellStyle name="S 49 4" xfId="10262" xr:uid="{00000000-0005-0000-0000-000029240000}"/>
    <cellStyle name="S 5" xfId="9859" xr:uid="{00000000-0005-0000-0000-00002A240000}"/>
    <cellStyle name="S 5 2" xfId="10263" xr:uid="{00000000-0005-0000-0000-00002B240000}"/>
    <cellStyle name="S 5 3" xfId="10264" xr:uid="{00000000-0005-0000-0000-00002C240000}"/>
    <cellStyle name="S 5 4" xfId="10265" xr:uid="{00000000-0005-0000-0000-00002D240000}"/>
    <cellStyle name="S 50" xfId="9860" xr:uid="{00000000-0005-0000-0000-00002E240000}"/>
    <cellStyle name="S 50 2" xfId="10266" xr:uid="{00000000-0005-0000-0000-00002F240000}"/>
    <cellStyle name="S 50 3" xfId="10267" xr:uid="{00000000-0005-0000-0000-000030240000}"/>
    <cellStyle name="S 50 4" xfId="10268" xr:uid="{00000000-0005-0000-0000-000031240000}"/>
    <cellStyle name="S 51" xfId="9861" xr:uid="{00000000-0005-0000-0000-000032240000}"/>
    <cellStyle name="S 51 2" xfId="10269" xr:uid="{00000000-0005-0000-0000-000033240000}"/>
    <cellStyle name="S 51 3" xfId="10270" xr:uid="{00000000-0005-0000-0000-000034240000}"/>
    <cellStyle name="S 51 4" xfId="10271" xr:uid="{00000000-0005-0000-0000-000035240000}"/>
    <cellStyle name="S 52" xfId="9862" xr:uid="{00000000-0005-0000-0000-000036240000}"/>
    <cellStyle name="S 52 2" xfId="10272" xr:uid="{00000000-0005-0000-0000-000037240000}"/>
    <cellStyle name="S 52 3" xfId="10273" xr:uid="{00000000-0005-0000-0000-000038240000}"/>
    <cellStyle name="S 52 4" xfId="10274" xr:uid="{00000000-0005-0000-0000-000039240000}"/>
    <cellStyle name="S 53" xfId="9863" xr:uid="{00000000-0005-0000-0000-00003A240000}"/>
    <cellStyle name="S 53 2" xfId="10275" xr:uid="{00000000-0005-0000-0000-00003B240000}"/>
    <cellStyle name="S 53 3" xfId="10276" xr:uid="{00000000-0005-0000-0000-00003C240000}"/>
    <cellStyle name="S 53 4" xfId="10277" xr:uid="{00000000-0005-0000-0000-00003D240000}"/>
    <cellStyle name="S 54" xfId="9864" xr:uid="{00000000-0005-0000-0000-00003E240000}"/>
    <cellStyle name="S 54 2" xfId="10278" xr:uid="{00000000-0005-0000-0000-00003F240000}"/>
    <cellStyle name="S 54 3" xfId="10279" xr:uid="{00000000-0005-0000-0000-000040240000}"/>
    <cellStyle name="S 54 4" xfId="10280" xr:uid="{00000000-0005-0000-0000-000041240000}"/>
    <cellStyle name="S 55" xfId="9865" xr:uid="{00000000-0005-0000-0000-000042240000}"/>
    <cellStyle name="S 55 2" xfId="10281" xr:uid="{00000000-0005-0000-0000-000043240000}"/>
    <cellStyle name="S 55 3" xfId="10282" xr:uid="{00000000-0005-0000-0000-000044240000}"/>
    <cellStyle name="S 55 4" xfId="10283" xr:uid="{00000000-0005-0000-0000-000045240000}"/>
    <cellStyle name="S 56" xfId="9866" xr:uid="{00000000-0005-0000-0000-000046240000}"/>
    <cellStyle name="S 56 2" xfId="10284" xr:uid="{00000000-0005-0000-0000-000047240000}"/>
    <cellStyle name="S 56 3" xfId="10285" xr:uid="{00000000-0005-0000-0000-000048240000}"/>
    <cellStyle name="S 56 4" xfId="10286" xr:uid="{00000000-0005-0000-0000-000049240000}"/>
    <cellStyle name="S 57" xfId="9867" xr:uid="{00000000-0005-0000-0000-00004A240000}"/>
    <cellStyle name="S 57 2" xfId="10287" xr:uid="{00000000-0005-0000-0000-00004B240000}"/>
    <cellStyle name="S 57 3" xfId="10288" xr:uid="{00000000-0005-0000-0000-00004C240000}"/>
    <cellStyle name="S 57 4" xfId="10289" xr:uid="{00000000-0005-0000-0000-00004D240000}"/>
    <cellStyle name="S 58" xfId="9868" xr:uid="{00000000-0005-0000-0000-00004E240000}"/>
    <cellStyle name="S 58 2" xfId="10290" xr:uid="{00000000-0005-0000-0000-00004F240000}"/>
    <cellStyle name="S 58 3" xfId="10291" xr:uid="{00000000-0005-0000-0000-000050240000}"/>
    <cellStyle name="S 58 4" xfId="10292" xr:uid="{00000000-0005-0000-0000-000051240000}"/>
    <cellStyle name="S 59" xfId="9869" xr:uid="{00000000-0005-0000-0000-000052240000}"/>
    <cellStyle name="S 59 2" xfId="10293" xr:uid="{00000000-0005-0000-0000-000053240000}"/>
    <cellStyle name="S 59 3" xfId="10294" xr:uid="{00000000-0005-0000-0000-000054240000}"/>
    <cellStyle name="S 59 4" xfId="10295" xr:uid="{00000000-0005-0000-0000-000055240000}"/>
    <cellStyle name="S 6" xfId="9870" xr:uid="{00000000-0005-0000-0000-000056240000}"/>
    <cellStyle name="S 6 2" xfId="10296" xr:uid="{00000000-0005-0000-0000-000057240000}"/>
    <cellStyle name="S 6 3" xfId="10297" xr:uid="{00000000-0005-0000-0000-000058240000}"/>
    <cellStyle name="S 6 4" xfId="10298" xr:uid="{00000000-0005-0000-0000-000059240000}"/>
    <cellStyle name="S 60" xfId="9871" xr:uid="{00000000-0005-0000-0000-00005A240000}"/>
    <cellStyle name="S 60 2" xfId="10299" xr:uid="{00000000-0005-0000-0000-00005B240000}"/>
    <cellStyle name="S 60 3" xfId="10300" xr:uid="{00000000-0005-0000-0000-00005C240000}"/>
    <cellStyle name="S 60 4" xfId="10301" xr:uid="{00000000-0005-0000-0000-00005D240000}"/>
    <cellStyle name="S 61" xfId="9872" xr:uid="{00000000-0005-0000-0000-00005E240000}"/>
    <cellStyle name="S 61 2" xfId="10302" xr:uid="{00000000-0005-0000-0000-00005F240000}"/>
    <cellStyle name="S 61 3" xfId="10303" xr:uid="{00000000-0005-0000-0000-000060240000}"/>
    <cellStyle name="S 61 4" xfId="10304" xr:uid="{00000000-0005-0000-0000-000061240000}"/>
    <cellStyle name="S 62" xfId="9873" xr:uid="{00000000-0005-0000-0000-000062240000}"/>
    <cellStyle name="S 62 2" xfId="10305" xr:uid="{00000000-0005-0000-0000-000063240000}"/>
    <cellStyle name="S 62 3" xfId="10306" xr:uid="{00000000-0005-0000-0000-000064240000}"/>
    <cellStyle name="S 62 4" xfId="10307" xr:uid="{00000000-0005-0000-0000-000065240000}"/>
    <cellStyle name="S 63" xfId="9874" xr:uid="{00000000-0005-0000-0000-000066240000}"/>
    <cellStyle name="S 63 2" xfId="10308" xr:uid="{00000000-0005-0000-0000-000067240000}"/>
    <cellStyle name="S 63 3" xfId="10309" xr:uid="{00000000-0005-0000-0000-000068240000}"/>
    <cellStyle name="S 63 4" xfId="10310" xr:uid="{00000000-0005-0000-0000-000069240000}"/>
    <cellStyle name="S 64" xfId="9875" xr:uid="{00000000-0005-0000-0000-00006A240000}"/>
    <cellStyle name="S 64 2" xfId="10311" xr:uid="{00000000-0005-0000-0000-00006B240000}"/>
    <cellStyle name="S 64 3" xfId="10312" xr:uid="{00000000-0005-0000-0000-00006C240000}"/>
    <cellStyle name="S 64 4" xfId="10313" xr:uid="{00000000-0005-0000-0000-00006D240000}"/>
    <cellStyle name="S 65" xfId="9876" xr:uid="{00000000-0005-0000-0000-00006E240000}"/>
    <cellStyle name="S 65 2" xfId="10314" xr:uid="{00000000-0005-0000-0000-00006F240000}"/>
    <cellStyle name="S 65 3" xfId="10315" xr:uid="{00000000-0005-0000-0000-000070240000}"/>
    <cellStyle name="S 65 4" xfId="10316" xr:uid="{00000000-0005-0000-0000-000071240000}"/>
    <cellStyle name="S 66" xfId="9877" xr:uid="{00000000-0005-0000-0000-000072240000}"/>
    <cellStyle name="S 66 2" xfId="10317" xr:uid="{00000000-0005-0000-0000-000073240000}"/>
    <cellStyle name="S 66 3" xfId="10318" xr:uid="{00000000-0005-0000-0000-000074240000}"/>
    <cellStyle name="S 66 4" xfId="10319" xr:uid="{00000000-0005-0000-0000-000075240000}"/>
    <cellStyle name="S 67" xfId="9878" xr:uid="{00000000-0005-0000-0000-000076240000}"/>
    <cellStyle name="S 67 2" xfId="10320" xr:uid="{00000000-0005-0000-0000-000077240000}"/>
    <cellStyle name="S 67 3" xfId="10321" xr:uid="{00000000-0005-0000-0000-000078240000}"/>
    <cellStyle name="S 67 4" xfId="10322" xr:uid="{00000000-0005-0000-0000-000079240000}"/>
    <cellStyle name="S 68" xfId="9879" xr:uid="{00000000-0005-0000-0000-00007A240000}"/>
    <cellStyle name="S 68 2" xfId="10323" xr:uid="{00000000-0005-0000-0000-00007B240000}"/>
    <cellStyle name="S 68 3" xfId="10324" xr:uid="{00000000-0005-0000-0000-00007C240000}"/>
    <cellStyle name="S 68 4" xfId="10325" xr:uid="{00000000-0005-0000-0000-00007D240000}"/>
    <cellStyle name="S 69" xfId="9880" xr:uid="{00000000-0005-0000-0000-00007E240000}"/>
    <cellStyle name="S 69 2" xfId="10326" xr:uid="{00000000-0005-0000-0000-00007F240000}"/>
    <cellStyle name="S 69 3" xfId="10327" xr:uid="{00000000-0005-0000-0000-000080240000}"/>
    <cellStyle name="S 69 4" xfId="10328" xr:uid="{00000000-0005-0000-0000-000081240000}"/>
    <cellStyle name="S 7" xfId="9881" xr:uid="{00000000-0005-0000-0000-000082240000}"/>
    <cellStyle name="S 7 2" xfId="10329" xr:uid="{00000000-0005-0000-0000-000083240000}"/>
    <cellStyle name="S 7 3" xfId="10330" xr:uid="{00000000-0005-0000-0000-000084240000}"/>
    <cellStyle name="S 7 4" xfId="10331" xr:uid="{00000000-0005-0000-0000-000085240000}"/>
    <cellStyle name="S 70" xfId="9882" xr:uid="{00000000-0005-0000-0000-000086240000}"/>
    <cellStyle name="S 70 2" xfId="10332" xr:uid="{00000000-0005-0000-0000-000087240000}"/>
    <cellStyle name="S 70 3" xfId="10333" xr:uid="{00000000-0005-0000-0000-000088240000}"/>
    <cellStyle name="S 70 4" xfId="10334" xr:uid="{00000000-0005-0000-0000-000089240000}"/>
    <cellStyle name="S 71" xfId="9883" xr:uid="{00000000-0005-0000-0000-00008A240000}"/>
    <cellStyle name="S 71 2" xfId="10335" xr:uid="{00000000-0005-0000-0000-00008B240000}"/>
    <cellStyle name="S 71 3" xfId="10336" xr:uid="{00000000-0005-0000-0000-00008C240000}"/>
    <cellStyle name="S 71 4" xfId="10337" xr:uid="{00000000-0005-0000-0000-00008D240000}"/>
    <cellStyle name="S 72" xfId="9884" xr:uid="{00000000-0005-0000-0000-00008E240000}"/>
    <cellStyle name="S 72 2" xfId="10338" xr:uid="{00000000-0005-0000-0000-00008F240000}"/>
    <cellStyle name="S 72 3" xfId="10339" xr:uid="{00000000-0005-0000-0000-000090240000}"/>
    <cellStyle name="S 72 4" xfId="10340" xr:uid="{00000000-0005-0000-0000-000091240000}"/>
    <cellStyle name="S 73" xfId="9885" xr:uid="{00000000-0005-0000-0000-000092240000}"/>
    <cellStyle name="S 73 2" xfId="10341" xr:uid="{00000000-0005-0000-0000-000093240000}"/>
    <cellStyle name="S 73 3" xfId="10342" xr:uid="{00000000-0005-0000-0000-000094240000}"/>
    <cellStyle name="S 73 4" xfId="10343" xr:uid="{00000000-0005-0000-0000-000095240000}"/>
    <cellStyle name="S 74" xfId="9886" xr:uid="{00000000-0005-0000-0000-000096240000}"/>
    <cellStyle name="S 74 2" xfId="10344" xr:uid="{00000000-0005-0000-0000-000097240000}"/>
    <cellStyle name="S 74 3" xfId="10345" xr:uid="{00000000-0005-0000-0000-000098240000}"/>
    <cellStyle name="S 74 4" xfId="10346" xr:uid="{00000000-0005-0000-0000-000099240000}"/>
    <cellStyle name="S 75" xfId="9887" xr:uid="{00000000-0005-0000-0000-00009A240000}"/>
    <cellStyle name="S 75 2" xfId="10347" xr:uid="{00000000-0005-0000-0000-00009B240000}"/>
    <cellStyle name="S 75 3" xfId="10348" xr:uid="{00000000-0005-0000-0000-00009C240000}"/>
    <cellStyle name="S 75 4" xfId="10349" xr:uid="{00000000-0005-0000-0000-00009D240000}"/>
    <cellStyle name="S 76" xfId="9888" xr:uid="{00000000-0005-0000-0000-00009E240000}"/>
    <cellStyle name="S 76 2" xfId="10350" xr:uid="{00000000-0005-0000-0000-00009F240000}"/>
    <cellStyle name="S 76 3" xfId="10351" xr:uid="{00000000-0005-0000-0000-0000A0240000}"/>
    <cellStyle name="S 76 4" xfId="10352" xr:uid="{00000000-0005-0000-0000-0000A1240000}"/>
    <cellStyle name="S 77" xfId="9889" xr:uid="{00000000-0005-0000-0000-0000A2240000}"/>
    <cellStyle name="S 77 2" xfId="10353" xr:uid="{00000000-0005-0000-0000-0000A3240000}"/>
    <cellStyle name="S 77 3" xfId="10354" xr:uid="{00000000-0005-0000-0000-0000A4240000}"/>
    <cellStyle name="S 77 4" xfId="10355" xr:uid="{00000000-0005-0000-0000-0000A5240000}"/>
    <cellStyle name="S 78" xfId="10356" xr:uid="{00000000-0005-0000-0000-0000A6240000}"/>
    <cellStyle name="S 79" xfId="10357" xr:uid="{00000000-0005-0000-0000-0000A7240000}"/>
    <cellStyle name="S 8" xfId="9890" xr:uid="{00000000-0005-0000-0000-0000A8240000}"/>
    <cellStyle name="S 8 2" xfId="10358" xr:uid="{00000000-0005-0000-0000-0000A9240000}"/>
    <cellStyle name="S 8 3" xfId="10359" xr:uid="{00000000-0005-0000-0000-0000AA240000}"/>
    <cellStyle name="S 8 4" xfId="10360" xr:uid="{00000000-0005-0000-0000-0000AB240000}"/>
    <cellStyle name="S 80" xfId="10361" xr:uid="{00000000-0005-0000-0000-0000AC240000}"/>
    <cellStyle name="S 81" xfId="10362" xr:uid="{00000000-0005-0000-0000-0000AD240000}"/>
    <cellStyle name="S 82" xfId="10363" xr:uid="{00000000-0005-0000-0000-0000AE240000}"/>
    <cellStyle name="S 83" xfId="10364" xr:uid="{00000000-0005-0000-0000-0000AF240000}"/>
    <cellStyle name="S 84" xfId="10365" xr:uid="{00000000-0005-0000-0000-0000B0240000}"/>
    <cellStyle name="S 85" xfId="11749" xr:uid="{00000000-0005-0000-0000-0000B1240000}"/>
    <cellStyle name="S 86" xfId="11750" xr:uid="{00000000-0005-0000-0000-0000B2240000}"/>
    <cellStyle name="S 87" xfId="11751" xr:uid="{00000000-0005-0000-0000-0000B3240000}"/>
    <cellStyle name="S 9" xfId="9891" xr:uid="{00000000-0005-0000-0000-0000B4240000}"/>
    <cellStyle name="S 9 2" xfId="10366" xr:uid="{00000000-0005-0000-0000-0000B5240000}"/>
    <cellStyle name="S 9 3" xfId="10367" xr:uid="{00000000-0005-0000-0000-0000B6240000}"/>
    <cellStyle name="S 9 4" xfId="10368" xr:uid="{00000000-0005-0000-0000-0000B7240000}"/>
    <cellStyle name="S—_x0008_??????????????????‚_x0001_????&lt;i·0??????????_x0007_?_x0010__x0001_??PrintDT??9JS—_x0008_?????????????" xfId="7479" xr:uid="{00000000-0005-0000-0000-0000B8240000}"/>
    <cellStyle name="s]_x000a__x000a_spooler=yes_x000a__x000a_load=_x000a__x000a_Beep=yes_x000a__x000a_NullPort=None_x000a__x000a_BorderWidth=3_x000a__x000a_CursorBlinkRate=1200_x000a__x000a_DoubleClickSpeed=452_x000a__x000a_Programs=co" xfId="7480" xr:uid="{00000000-0005-0000-0000-0000B9240000}"/>
    <cellStyle name="s]_x000d__x000a_spooler=yes_x000d__x000a_load=_x000d__x000a_Beep=yes_x000d__x000a_NullPort=None_x000d__x000a_BorderWidth=3_x000d__x000a_CursorBlinkRate=1200_x000d__x000a_DoubleClickSpeed=452_x000d__x000a_Programs=co" xfId="7481" xr:uid="{00000000-0005-0000-0000-0000BA240000}"/>
    <cellStyle name="S_2---DATA_SAIN GOBAIN (THEP)_Option 1-British Standard" xfId="7482" xr:uid="{00000000-0005-0000-0000-0000BB240000}"/>
    <cellStyle name="S_2---DATA_SAIN GOBAIN (THEP)_Option 1-British Standard 2" xfId="7483" xr:uid="{00000000-0005-0000-0000-0000BC240000}"/>
    <cellStyle name="S_2---DATA_SAIN GOBAIN (THEP)_Option 1-British Standard 2 2" xfId="9892" xr:uid="{00000000-0005-0000-0000-0000BD240000}"/>
    <cellStyle name="S_2---DATA_SAIN GOBAIN (THEP)_Option 1-British Standard 2 2 2" xfId="10369" xr:uid="{00000000-0005-0000-0000-0000BE240000}"/>
    <cellStyle name="S_2---DATA_SAIN GOBAIN (THEP)_Option 1-British Standard 2 2 3" xfId="10370" xr:uid="{00000000-0005-0000-0000-0000BF240000}"/>
    <cellStyle name="S_2---DATA_SAIN GOBAIN (THEP)_Option 1-British Standard 2 2 4" xfId="10371" xr:uid="{00000000-0005-0000-0000-0000C0240000}"/>
    <cellStyle name="S_2---DATA_SAIN GOBAIN (THEP)_Option 1-British Standard 2 2 5" xfId="10372" xr:uid="{00000000-0005-0000-0000-0000C1240000}"/>
    <cellStyle name="S_2---DATA_SAIN GOBAIN (THEP)_Option 1-British Standard 2 2 6" xfId="10373" xr:uid="{00000000-0005-0000-0000-0000C2240000}"/>
    <cellStyle name="S_2---DATA_SAIN GOBAIN (THEP)_Option 1-British Standard 2 3" xfId="10374" xr:uid="{00000000-0005-0000-0000-0000C3240000}"/>
    <cellStyle name="S_2---DATA_SAIN GOBAIN (THEP)_Option 1-British Standard 2 4" xfId="10375" xr:uid="{00000000-0005-0000-0000-0000C4240000}"/>
    <cellStyle name="S_2---DATA_SAIN GOBAIN (THEP)_Option 1-British Standard 2 5" xfId="10376" xr:uid="{00000000-0005-0000-0000-0000C5240000}"/>
    <cellStyle name="S_2---DATA_SAIN GOBAIN (THEP)_Option 1-British Standard 2 6" xfId="10377" xr:uid="{00000000-0005-0000-0000-0000C6240000}"/>
    <cellStyle name="S_2---DATA_SAIN GOBAIN (THEP)_Option 1-British Standard 2 7" xfId="10378" xr:uid="{00000000-0005-0000-0000-0000C7240000}"/>
    <cellStyle name="S_2---DATA_SAIN GOBAIN (THEP)_Option 1-British Standard 3" xfId="7484" xr:uid="{00000000-0005-0000-0000-0000C8240000}"/>
    <cellStyle name="S_2---DATA_SAIN GOBAIN (THEP)_Option 1-British Standard 3 2" xfId="9893" xr:uid="{00000000-0005-0000-0000-0000C9240000}"/>
    <cellStyle name="S_2---DATA_SAIN GOBAIN (THEP)_Option 1-British Standard 3 2 2" xfId="10379" xr:uid="{00000000-0005-0000-0000-0000CA240000}"/>
    <cellStyle name="S_2---DATA_SAIN GOBAIN (THEP)_Option 1-British Standard 3 2 3" xfId="10380" xr:uid="{00000000-0005-0000-0000-0000CB240000}"/>
    <cellStyle name="S_2---DATA_SAIN GOBAIN (THEP)_Option 1-British Standard 3 2 4" xfId="10381" xr:uid="{00000000-0005-0000-0000-0000CC240000}"/>
    <cellStyle name="S_2---DATA_SAIN GOBAIN (THEP)_Option 1-British Standard 3 2 5" xfId="10382" xr:uid="{00000000-0005-0000-0000-0000CD240000}"/>
    <cellStyle name="S_2---DATA_SAIN GOBAIN (THEP)_Option 1-British Standard 3 2 6" xfId="10383" xr:uid="{00000000-0005-0000-0000-0000CE240000}"/>
    <cellStyle name="S_2---DATA_SAIN GOBAIN (THEP)_Option 1-British Standard 3 3" xfId="10384" xr:uid="{00000000-0005-0000-0000-0000CF240000}"/>
    <cellStyle name="S_2---DATA_SAIN GOBAIN (THEP)_Option 1-British Standard 3 4" xfId="10385" xr:uid="{00000000-0005-0000-0000-0000D0240000}"/>
    <cellStyle name="S_2---DATA_SAIN GOBAIN (THEP)_Option 1-British Standard 3 5" xfId="10386" xr:uid="{00000000-0005-0000-0000-0000D1240000}"/>
    <cellStyle name="S_2---DATA_SAIN GOBAIN (THEP)_Option 1-British Standard 3 6" xfId="10387" xr:uid="{00000000-0005-0000-0000-0000D2240000}"/>
    <cellStyle name="S_2---DATA_SAIN GOBAIN (THEP)_Option 1-British Standard 3 7" xfId="10388" xr:uid="{00000000-0005-0000-0000-0000D3240000}"/>
    <cellStyle name="S_2---DATA_SAIN GOBAIN (THEP)_Option 1-British Standard 4" xfId="10389" xr:uid="{00000000-0005-0000-0000-0000D4240000}"/>
    <cellStyle name="S_2---DATA_SAIN GOBAIN (THEP)_Option 1-British Standard 5" xfId="10390" xr:uid="{00000000-0005-0000-0000-0000D5240000}"/>
    <cellStyle name="S_2---DATA_SAIN GOBAIN (THEP)_Option 1-British Standard 6" xfId="10391" xr:uid="{00000000-0005-0000-0000-0000D6240000}"/>
    <cellStyle name="S_2---DATA_SAIN GOBAIN (THEP)_Option 1-British Standard 7" xfId="10392" xr:uid="{00000000-0005-0000-0000-0000D7240000}"/>
    <cellStyle name="S_2---DATA_SAIN GOBAIN (THEP)_Option 1-British Standard 8" xfId="10393" xr:uid="{00000000-0005-0000-0000-0000D8240000}"/>
    <cellStyle name="S—_x0008__M_E Services _ Education" xfId="7485" xr:uid="{00000000-0005-0000-0000-0000D9240000}"/>
    <cellStyle name="s1" xfId="7486" xr:uid="{00000000-0005-0000-0000-0000DA240000}"/>
    <cellStyle name="s1 2" xfId="7487" xr:uid="{00000000-0005-0000-0000-0000DB240000}"/>
    <cellStyle name="s1 2 2" xfId="10394" xr:uid="{00000000-0005-0000-0000-0000DC240000}"/>
    <cellStyle name="s1 3" xfId="10395" xr:uid="{00000000-0005-0000-0000-0000DD240000}"/>
    <cellStyle name="SAPBEXaggData" xfId="7488" xr:uid="{00000000-0005-0000-0000-0000DE240000}"/>
    <cellStyle name="SAPBEXaggData 2" xfId="7489" xr:uid="{00000000-0005-0000-0000-0000DF240000}"/>
    <cellStyle name="SAPBEXaggData 2 2" xfId="11752" xr:uid="{00000000-0005-0000-0000-0000E0240000}"/>
    <cellStyle name="SAPBEXaggData 2 2 2" xfId="11753" xr:uid="{00000000-0005-0000-0000-0000E1240000}"/>
    <cellStyle name="SAPBEXaggData 2 3" xfId="11754" xr:uid="{00000000-0005-0000-0000-0000E2240000}"/>
    <cellStyle name="SAPBEXaggData 3" xfId="11755" xr:uid="{00000000-0005-0000-0000-0000E3240000}"/>
    <cellStyle name="SAPBEXaggData 3 2" xfId="11756" xr:uid="{00000000-0005-0000-0000-0000E4240000}"/>
    <cellStyle name="SAPBEXaggData 4" xfId="11757" xr:uid="{00000000-0005-0000-0000-0000E5240000}"/>
    <cellStyle name="SAPBEXaggDataEmph" xfId="7490" xr:uid="{00000000-0005-0000-0000-0000E6240000}"/>
    <cellStyle name="SAPBEXaggDataEmph 2" xfId="7491" xr:uid="{00000000-0005-0000-0000-0000E7240000}"/>
    <cellStyle name="SAPBEXaggDataEmph 2 2" xfId="11758" xr:uid="{00000000-0005-0000-0000-0000E8240000}"/>
    <cellStyle name="SAPBEXaggDataEmph 2 2 2" xfId="11759" xr:uid="{00000000-0005-0000-0000-0000E9240000}"/>
    <cellStyle name="SAPBEXaggDataEmph 2 3" xfId="11760" xr:uid="{00000000-0005-0000-0000-0000EA240000}"/>
    <cellStyle name="SAPBEXaggDataEmph 3" xfId="11761" xr:uid="{00000000-0005-0000-0000-0000EB240000}"/>
    <cellStyle name="SAPBEXaggDataEmph 3 2" xfId="11762" xr:uid="{00000000-0005-0000-0000-0000EC240000}"/>
    <cellStyle name="SAPBEXaggDataEmph 4" xfId="11763" xr:uid="{00000000-0005-0000-0000-0000ED240000}"/>
    <cellStyle name="SAPBEXaggItem" xfId="7492" xr:uid="{00000000-0005-0000-0000-0000EE240000}"/>
    <cellStyle name="SAPBEXaggItem 2" xfId="7493" xr:uid="{00000000-0005-0000-0000-0000EF240000}"/>
    <cellStyle name="SAPBEXaggItem 2 2" xfId="11764" xr:uid="{00000000-0005-0000-0000-0000F0240000}"/>
    <cellStyle name="SAPBEXaggItem 2 2 2" xfId="11765" xr:uid="{00000000-0005-0000-0000-0000F1240000}"/>
    <cellStyle name="SAPBEXaggItem 2 3" xfId="11766" xr:uid="{00000000-0005-0000-0000-0000F2240000}"/>
    <cellStyle name="SAPBEXaggItem 3" xfId="11767" xr:uid="{00000000-0005-0000-0000-0000F3240000}"/>
    <cellStyle name="SAPBEXaggItem 3 2" xfId="11768" xr:uid="{00000000-0005-0000-0000-0000F4240000}"/>
    <cellStyle name="SAPBEXaggItem 4" xfId="11769" xr:uid="{00000000-0005-0000-0000-0000F5240000}"/>
    <cellStyle name="SAPBEXchaText" xfId="7494" xr:uid="{00000000-0005-0000-0000-0000F6240000}"/>
    <cellStyle name="SAPBEXexcBad7" xfId="7495" xr:uid="{00000000-0005-0000-0000-0000F7240000}"/>
    <cellStyle name="SAPBEXexcBad7 2" xfId="7496" xr:uid="{00000000-0005-0000-0000-0000F8240000}"/>
    <cellStyle name="SAPBEXexcBad7 2 2" xfId="11770" xr:uid="{00000000-0005-0000-0000-0000F9240000}"/>
    <cellStyle name="SAPBEXexcBad7 2 2 2" xfId="11771" xr:uid="{00000000-0005-0000-0000-0000FA240000}"/>
    <cellStyle name="SAPBEXexcBad7 2 3" xfId="11772" xr:uid="{00000000-0005-0000-0000-0000FB240000}"/>
    <cellStyle name="SAPBEXexcBad7 3" xfId="11773" xr:uid="{00000000-0005-0000-0000-0000FC240000}"/>
    <cellStyle name="SAPBEXexcBad7 3 2" xfId="11774" xr:uid="{00000000-0005-0000-0000-0000FD240000}"/>
    <cellStyle name="SAPBEXexcBad7 4" xfId="11775" xr:uid="{00000000-0005-0000-0000-0000FE240000}"/>
    <cellStyle name="SAPBEXexcBad8" xfId="7497" xr:uid="{00000000-0005-0000-0000-0000FF240000}"/>
    <cellStyle name="SAPBEXexcBad8 2" xfId="7498" xr:uid="{00000000-0005-0000-0000-000000250000}"/>
    <cellStyle name="SAPBEXexcBad8 2 2" xfId="11776" xr:uid="{00000000-0005-0000-0000-000001250000}"/>
    <cellStyle name="SAPBEXexcBad8 2 2 2" xfId="11777" xr:uid="{00000000-0005-0000-0000-000002250000}"/>
    <cellStyle name="SAPBEXexcBad8 2 3" xfId="11778" xr:uid="{00000000-0005-0000-0000-000003250000}"/>
    <cellStyle name="SAPBEXexcBad8 3" xfId="11779" xr:uid="{00000000-0005-0000-0000-000004250000}"/>
    <cellStyle name="SAPBEXexcBad8 3 2" xfId="11780" xr:uid="{00000000-0005-0000-0000-000005250000}"/>
    <cellStyle name="SAPBEXexcBad8 4" xfId="11781" xr:uid="{00000000-0005-0000-0000-000006250000}"/>
    <cellStyle name="SAPBEXexcBad9" xfId="7499" xr:uid="{00000000-0005-0000-0000-000007250000}"/>
    <cellStyle name="SAPBEXexcBad9 2" xfId="7500" xr:uid="{00000000-0005-0000-0000-000008250000}"/>
    <cellStyle name="SAPBEXexcBad9 2 2" xfId="11782" xr:uid="{00000000-0005-0000-0000-000009250000}"/>
    <cellStyle name="SAPBEXexcBad9 2 2 2" xfId="11783" xr:uid="{00000000-0005-0000-0000-00000A250000}"/>
    <cellStyle name="SAPBEXexcBad9 2 3" xfId="11784" xr:uid="{00000000-0005-0000-0000-00000B250000}"/>
    <cellStyle name="SAPBEXexcBad9 3" xfId="11785" xr:uid="{00000000-0005-0000-0000-00000C250000}"/>
    <cellStyle name="SAPBEXexcBad9 3 2" xfId="11786" xr:uid="{00000000-0005-0000-0000-00000D250000}"/>
    <cellStyle name="SAPBEXexcBad9 4" xfId="11787" xr:uid="{00000000-0005-0000-0000-00000E250000}"/>
    <cellStyle name="SAPBEXexcCritical4" xfId="7501" xr:uid="{00000000-0005-0000-0000-00000F250000}"/>
    <cellStyle name="SAPBEXexcCritical4 2" xfId="7502" xr:uid="{00000000-0005-0000-0000-000010250000}"/>
    <cellStyle name="SAPBEXexcCritical4 2 2" xfId="11788" xr:uid="{00000000-0005-0000-0000-000011250000}"/>
    <cellStyle name="SAPBEXexcCritical4 2 2 2" xfId="11789" xr:uid="{00000000-0005-0000-0000-000012250000}"/>
    <cellStyle name="SAPBEXexcCritical4 2 3" xfId="11790" xr:uid="{00000000-0005-0000-0000-000013250000}"/>
    <cellStyle name="SAPBEXexcCritical4 3" xfId="11791" xr:uid="{00000000-0005-0000-0000-000014250000}"/>
    <cellStyle name="SAPBEXexcCritical4 3 2" xfId="11792" xr:uid="{00000000-0005-0000-0000-000015250000}"/>
    <cellStyle name="SAPBEXexcCritical4 4" xfId="11793" xr:uid="{00000000-0005-0000-0000-000016250000}"/>
    <cellStyle name="SAPBEXexcCritical5" xfId="7503" xr:uid="{00000000-0005-0000-0000-000017250000}"/>
    <cellStyle name="SAPBEXexcCritical5 2" xfId="7504" xr:uid="{00000000-0005-0000-0000-000018250000}"/>
    <cellStyle name="SAPBEXexcCritical5 2 2" xfId="11794" xr:uid="{00000000-0005-0000-0000-000019250000}"/>
    <cellStyle name="SAPBEXexcCritical5 2 2 2" xfId="11795" xr:uid="{00000000-0005-0000-0000-00001A250000}"/>
    <cellStyle name="SAPBEXexcCritical5 2 3" xfId="11796" xr:uid="{00000000-0005-0000-0000-00001B250000}"/>
    <cellStyle name="SAPBEXexcCritical5 3" xfId="11797" xr:uid="{00000000-0005-0000-0000-00001C250000}"/>
    <cellStyle name="SAPBEXexcCritical5 3 2" xfId="11798" xr:uid="{00000000-0005-0000-0000-00001D250000}"/>
    <cellStyle name="SAPBEXexcCritical5 4" xfId="11799" xr:uid="{00000000-0005-0000-0000-00001E250000}"/>
    <cellStyle name="SAPBEXexcCritical6" xfId="7505" xr:uid="{00000000-0005-0000-0000-00001F250000}"/>
    <cellStyle name="SAPBEXexcCritical6 2" xfId="7506" xr:uid="{00000000-0005-0000-0000-000020250000}"/>
    <cellStyle name="SAPBEXexcCritical6 2 2" xfId="11800" xr:uid="{00000000-0005-0000-0000-000021250000}"/>
    <cellStyle name="SAPBEXexcCritical6 2 2 2" xfId="11801" xr:uid="{00000000-0005-0000-0000-000022250000}"/>
    <cellStyle name="SAPBEXexcCritical6 2 3" xfId="11802" xr:uid="{00000000-0005-0000-0000-000023250000}"/>
    <cellStyle name="SAPBEXexcCritical6 3" xfId="11803" xr:uid="{00000000-0005-0000-0000-000024250000}"/>
    <cellStyle name="SAPBEXexcCritical6 3 2" xfId="11804" xr:uid="{00000000-0005-0000-0000-000025250000}"/>
    <cellStyle name="SAPBEXexcCritical6 4" xfId="11805" xr:uid="{00000000-0005-0000-0000-000026250000}"/>
    <cellStyle name="SAPBEXexcGood1" xfId="7507" xr:uid="{00000000-0005-0000-0000-000027250000}"/>
    <cellStyle name="SAPBEXexcGood1 2" xfId="7508" xr:uid="{00000000-0005-0000-0000-000028250000}"/>
    <cellStyle name="SAPBEXexcGood1 2 2" xfId="11806" xr:uid="{00000000-0005-0000-0000-000029250000}"/>
    <cellStyle name="SAPBEXexcGood1 2 2 2" xfId="11807" xr:uid="{00000000-0005-0000-0000-00002A250000}"/>
    <cellStyle name="SAPBEXexcGood1 2 3" xfId="11808" xr:uid="{00000000-0005-0000-0000-00002B250000}"/>
    <cellStyle name="SAPBEXexcGood1 3" xfId="11809" xr:uid="{00000000-0005-0000-0000-00002C250000}"/>
    <cellStyle name="SAPBEXexcGood1 3 2" xfId="11810" xr:uid="{00000000-0005-0000-0000-00002D250000}"/>
    <cellStyle name="SAPBEXexcGood1 4" xfId="11811" xr:uid="{00000000-0005-0000-0000-00002E250000}"/>
    <cellStyle name="SAPBEXexcGood2" xfId="7509" xr:uid="{00000000-0005-0000-0000-00002F250000}"/>
    <cellStyle name="SAPBEXexcGood2 2" xfId="7510" xr:uid="{00000000-0005-0000-0000-000030250000}"/>
    <cellStyle name="SAPBEXexcGood2 2 2" xfId="11812" xr:uid="{00000000-0005-0000-0000-000031250000}"/>
    <cellStyle name="SAPBEXexcGood2 2 2 2" xfId="11813" xr:uid="{00000000-0005-0000-0000-000032250000}"/>
    <cellStyle name="SAPBEXexcGood2 2 3" xfId="11814" xr:uid="{00000000-0005-0000-0000-000033250000}"/>
    <cellStyle name="SAPBEXexcGood2 3" xfId="11815" xr:uid="{00000000-0005-0000-0000-000034250000}"/>
    <cellStyle name="SAPBEXexcGood2 3 2" xfId="11816" xr:uid="{00000000-0005-0000-0000-000035250000}"/>
    <cellStyle name="SAPBEXexcGood2 4" xfId="11817" xr:uid="{00000000-0005-0000-0000-000036250000}"/>
    <cellStyle name="SAPBEXexcGood3" xfId="7511" xr:uid="{00000000-0005-0000-0000-000037250000}"/>
    <cellStyle name="SAPBEXexcGood3 2" xfId="7512" xr:uid="{00000000-0005-0000-0000-000038250000}"/>
    <cellStyle name="SAPBEXexcGood3 2 2" xfId="11818" xr:uid="{00000000-0005-0000-0000-000039250000}"/>
    <cellStyle name="SAPBEXexcGood3 2 2 2" xfId="11819" xr:uid="{00000000-0005-0000-0000-00003A250000}"/>
    <cellStyle name="SAPBEXexcGood3 2 3" xfId="11820" xr:uid="{00000000-0005-0000-0000-00003B250000}"/>
    <cellStyle name="SAPBEXexcGood3 3" xfId="11821" xr:uid="{00000000-0005-0000-0000-00003C250000}"/>
    <cellStyle name="SAPBEXexcGood3 3 2" xfId="11822" xr:uid="{00000000-0005-0000-0000-00003D250000}"/>
    <cellStyle name="SAPBEXexcGood3 4" xfId="11823" xr:uid="{00000000-0005-0000-0000-00003E250000}"/>
    <cellStyle name="SAPBEXfilterDrill" xfId="7513" xr:uid="{00000000-0005-0000-0000-00003F250000}"/>
    <cellStyle name="SAPBEXfilterDrill 2" xfId="7514" xr:uid="{00000000-0005-0000-0000-000040250000}"/>
    <cellStyle name="SAPBEXfilterDrill 2 2" xfId="9894" xr:uid="{00000000-0005-0000-0000-000041250000}"/>
    <cellStyle name="SAPBEXfilterDrill 2 2 2" xfId="10396" xr:uid="{00000000-0005-0000-0000-000042250000}"/>
    <cellStyle name="SAPBEXfilterDrill 2 2 3" xfId="10397" xr:uid="{00000000-0005-0000-0000-000043250000}"/>
    <cellStyle name="SAPBEXfilterDrill 2 2 4" xfId="10398" xr:uid="{00000000-0005-0000-0000-000044250000}"/>
    <cellStyle name="SAPBEXfilterDrill 2 2 5" xfId="10399" xr:uid="{00000000-0005-0000-0000-000045250000}"/>
    <cellStyle name="SAPBEXfilterDrill 2 2 6" xfId="10400" xr:uid="{00000000-0005-0000-0000-000046250000}"/>
    <cellStyle name="SAPBEXfilterDrill 2 3" xfId="10401" xr:uid="{00000000-0005-0000-0000-000047250000}"/>
    <cellStyle name="SAPBEXfilterDrill 2 4" xfId="10402" xr:uid="{00000000-0005-0000-0000-000048250000}"/>
    <cellStyle name="SAPBEXfilterDrill 2 5" xfId="10403" xr:uid="{00000000-0005-0000-0000-000049250000}"/>
    <cellStyle name="SAPBEXfilterDrill 2 6" xfId="10404" xr:uid="{00000000-0005-0000-0000-00004A250000}"/>
    <cellStyle name="SAPBEXfilterDrill 2 7" xfId="10405" xr:uid="{00000000-0005-0000-0000-00004B250000}"/>
    <cellStyle name="SAPBEXfilterDrill 3" xfId="7515" xr:uid="{00000000-0005-0000-0000-00004C250000}"/>
    <cellStyle name="SAPBEXfilterDrill 3 2" xfId="9895" xr:uid="{00000000-0005-0000-0000-00004D250000}"/>
    <cellStyle name="SAPBEXfilterDrill 3 2 2" xfId="10406" xr:uid="{00000000-0005-0000-0000-00004E250000}"/>
    <cellStyle name="SAPBEXfilterDrill 3 2 3" xfId="10407" xr:uid="{00000000-0005-0000-0000-00004F250000}"/>
    <cellStyle name="SAPBEXfilterDrill 3 2 4" xfId="10408" xr:uid="{00000000-0005-0000-0000-000050250000}"/>
    <cellStyle name="SAPBEXfilterDrill 3 2 5" xfId="10409" xr:uid="{00000000-0005-0000-0000-000051250000}"/>
    <cellStyle name="SAPBEXfilterDrill 3 2 6" xfId="10410" xr:uid="{00000000-0005-0000-0000-000052250000}"/>
    <cellStyle name="SAPBEXfilterDrill 3 3" xfId="10411" xr:uid="{00000000-0005-0000-0000-000053250000}"/>
    <cellStyle name="SAPBEXfilterDrill 3 4" xfId="10412" xr:uid="{00000000-0005-0000-0000-000054250000}"/>
    <cellStyle name="SAPBEXfilterDrill 3 5" xfId="10413" xr:uid="{00000000-0005-0000-0000-000055250000}"/>
    <cellStyle name="SAPBEXfilterDrill 3 6" xfId="10414" xr:uid="{00000000-0005-0000-0000-000056250000}"/>
    <cellStyle name="SAPBEXfilterDrill 3 7" xfId="10415" xr:uid="{00000000-0005-0000-0000-000057250000}"/>
    <cellStyle name="SAPBEXfilterDrill 4" xfId="10416" xr:uid="{00000000-0005-0000-0000-000058250000}"/>
    <cellStyle name="SAPBEXfilterDrill 5" xfId="10417" xr:uid="{00000000-0005-0000-0000-000059250000}"/>
    <cellStyle name="SAPBEXfilterDrill 6" xfId="10418" xr:uid="{00000000-0005-0000-0000-00005A250000}"/>
    <cellStyle name="SAPBEXfilterDrill 7" xfId="10419" xr:uid="{00000000-0005-0000-0000-00005B250000}"/>
    <cellStyle name="SAPBEXfilterDrill 8" xfId="10420" xr:uid="{00000000-0005-0000-0000-00005C250000}"/>
    <cellStyle name="SAPBEXfilterItem" xfId="7516" xr:uid="{00000000-0005-0000-0000-00005D250000}"/>
    <cellStyle name="SAPBEXfilterText" xfId="7517" xr:uid="{00000000-0005-0000-0000-00005E250000}"/>
    <cellStyle name="SAPBEXformats" xfId="7518" xr:uid="{00000000-0005-0000-0000-00005F250000}"/>
    <cellStyle name="SAPBEXformats 2" xfId="7519" xr:uid="{00000000-0005-0000-0000-000060250000}"/>
    <cellStyle name="SAPBEXformats 2 2" xfId="11824" xr:uid="{00000000-0005-0000-0000-000061250000}"/>
    <cellStyle name="SAPBEXformats 2 2 2" xfId="11825" xr:uid="{00000000-0005-0000-0000-000062250000}"/>
    <cellStyle name="SAPBEXformats 2 3" xfId="11826" xr:uid="{00000000-0005-0000-0000-000063250000}"/>
    <cellStyle name="SAPBEXformats 3" xfId="11827" xr:uid="{00000000-0005-0000-0000-000064250000}"/>
    <cellStyle name="SAPBEXformats 3 2" xfId="11828" xr:uid="{00000000-0005-0000-0000-000065250000}"/>
    <cellStyle name="SAPBEXformats 4" xfId="11829" xr:uid="{00000000-0005-0000-0000-000066250000}"/>
    <cellStyle name="SAPBEXheaderItem" xfId="7520" xr:uid="{00000000-0005-0000-0000-000067250000}"/>
    <cellStyle name="SAPBEXheaderText" xfId="7521" xr:uid="{00000000-0005-0000-0000-000068250000}"/>
    <cellStyle name="SAPBEXresData" xfId="7522" xr:uid="{00000000-0005-0000-0000-000069250000}"/>
    <cellStyle name="SAPBEXresData 2" xfId="7523" xr:uid="{00000000-0005-0000-0000-00006A250000}"/>
    <cellStyle name="SAPBEXresData 2 2" xfId="11830" xr:uid="{00000000-0005-0000-0000-00006B250000}"/>
    <cellStyle name="SAPBEXresData 2 2 2" xfId="11831" xr:uid="{00000000-0005-0000-0000-00006C250000}"/>
    <cellStyle name="SAPBEXresData 2 3" xfId="11832" xr:uid="{00000000-0005-0000-0000-00006D250000}"/>
    <cellStyle name="SAPBEXresData 3" xfId="11833" xr:uid="{00000000-0005-0000-0000-00006E250000}"/>
    <cellStyle name="SAPBEXresData 3 2" xfId="11834" xr:uid="{00000000-0005-0000-0000-00006F250000}"/>
    <cellStyle name="SAPBEXresData 4" xfId="11835" xr:uid="{00000000-0005-0000-0000-000070250000}"/>
    <cellStyle name="SAPBEXresDataEmph" xfId="7524" xr:uid="{00000000-0005-0000-0000-000071250000}"/>
    <cellStyle name="SAPBEXresDataEmph 2" xfId="7525" xr:uid="{00000000-0005-0000-0000-000072250000}"/>
    <cellStyle name="SAPBEXresDataEmph 2 2" xfId="11836" xr:uid="{00000000-0005-0000-0000-000073250000}"/>
    <cellStyle name="SAPBEXresDataEmph 2 2 2" xfId="11837" xr:uid="{00000000-0005-0000-0000-000074250000}"/>
    <cellStyle name="SAPBEXresDataEmph 2 3" xfId="11838" xr:uid="{00000000-0005-0000-0000-000075250000}"/>
    <cellStyle name="SAPBEXresDataEmph 3" xfId="11839" xr:uid="{00000000-0005-0000-0000-000076250000}"/>
    <cellStyle name="SAPBEXresDataEmph 3 2" xfId="11840" xr:uid="{00000000-0005-0000-0000-000077250000}"/>
    <cellStyle name="SAPBEXresDataEmph 4" xfId="11841" xr:uid="{00000000-0005-0000-0000-000078250000}"/>
    <cellStyle name="SAPBEXresItem" xfId="7526" xr:uid="{00000000-0005-0000-0000-000079250000}"/>
    <cellStyle name="SAPBEXresItem 2" xfId="7527" xr:uid="{00000000-0005-0000-0000-00007A250000}"/>
    <cellStyle name="SAPBEXresItem 2 2" xfId="11842" xr:uid="{00000000-0005-0000-0000-00007B250000}"/>
    <cellStyle name="SAPBEXresItem 2 2 2" xfId="11843" xr:uid="{00000000-0005-0000-0000-00007C250000}"/>
    <cellStyle name="SAPBEXresItem 2 3" xfId="11844" xr:uid="{00000000-0005-0000-0000-00007D250000}"/>
    <cellStyle name="SAPBEXresItem 3" xfId="11845" xr:uid="{00000000-0005-0000-0000-00007E250000}"/>
    <cellStyle name="SAPBEXresItem 3 2" xfId="11846" xr:uid="{00000000-0005-0000-0000-00007F250000}"/>
    <cellStyle name="SAPBEXresItem 4" xfId="11847" xr:uid="{00000000-0005-0000-0000-000080250000}"/>
    <cellStyle name="SAPBEXstdData" xfId="7528" xr:uid="{00000000-0005-0000-0000-000081250000}"/>
    <cellStyle name="SAPBEXstdData 2" xfId="7529" xr:uid="{00000000-0005-0000-0000-000082250000}"/>
    <cellStyle name="SAPBEXstdData 2 2" xfId="11848" xr:uid="{00000000-0005-0000-0000-000083250000}"/>
    <cellStyle name="SAPBEXstdData 2 2 2" xfId="11849" xr:uid="{00000000-0005-0000-0000-000084250000}"/>
    <cellStyle name="SAPBEXstdData 2 3" xfId="11850" xr:uid="{00000000-0005-0000-0000-000085250000}"/>
    <cellStyle name="SAPBEXstdData 3" xfId="11851" xr:uid="{00000000-0005-0000-0000-000086250000}"/>
    <cellStyle name="SAPBEXstdData 3 2" xfId="11852" xr:uid="{00000000-0005-0000-0000-000087250000}"/>
    <cellStyle name="SAPBEXstdData 4" xfId="11853" xr:uid="{00000000-0005-0000-0000-000088250000}"/>
    <cellStyle name="SAPBEXstdDataEmph" xfId="7530" xr:uid="{00000000-0005-0000-0000-000089250000}"/>
    <cellStyle name="SAPBEXstdDataEmph 2" xfId="7531" xr:uid="{00000000-0005-0000-0000-00008A250000}"/>
    <cellStyle name="SAPBEXstdDataEmph 2 2" xfId="11854" xr:uid="{00000000-0005-0000-0000-00008B250000}"/>
    <cellStyle name="SAPBEXstdDataEmph 2 2 2" xfId="11855" xr:uid="{00000000-0005-0000-0000-00008C250000}"/>
    <cellStyle name="SAPBEXstdDataEmph 2 3" xfId="11856" xr:uid="{00000000-0005-0000-0000-00008D250000}"/>
    <cellStyle name="SAPBEXstdDataEmph 3" xfId="11857" xr:uid="{00000000-0005-0000-0000-00008E250000}"/>
    <cellStyle name="SAPBEXstdDataEmph 3 2" xfId="11858" xr:uid="{00000000-0005-0000-0000-00008F250000}"/>
    <cellStyle name="SAPBEXstdDataEmph 4" xfId="11859" xr:uid="{00000000-0005-0000-0000-000090250000}"/>
    <cellStyle name="SAPBEXstdItem" xfId="7532" xr:uid="{00000000-0005-0000-0000-000091250000}"/>
    <cellStyle name="SAPBEXstdItem 2" xfId="7533" xr:uid="{00000000-0005-0000-0000-000092250000}"/>
    <cellStyle name="SAPBEXstdItem 2 2" xfId="11860" xr:uid="{00000000-0005-0000-0000-000093250000}"/>
    <cellStyle name="SAPBEXstdItem 2 2 2" xfId="11861" xr:uid="{00000000-0005-0000-0000-000094250000}"/>
    <cellStyle name="SAPBEXstdItem 2 3" xfId="11862" xr:uid="{00000000-0005-0000-0000-000095250000}"/>
    <cellStyle name="SAPBEXstdItem 3" xfId="11863" xr:uid="{00000000-0005-0000-0000-000096250000}"/>
    <cellStyle name="SAPBEXstdItem 3 2" xfId="11864" xr:uid="{00000000-0005-0000-0000-000097250000}"/>
    <cellStyle name="SAPBEXstdItem 4" xfId="11865" xr:uid="{00000000-0005-0000-0000-000098250000}"/>
    <cellStyle name="SAPBEXtitle" xfId="7534" xr:uid="{00000000-0005-0000-0000-000099250000}"/>
    <cellStyle name="SAPBEXtitle 2" xfId="7535" xr:uid="{00000000-0005-0000-0000-00009A250000}"/>
    <cellStyle name="SAPBEXtitle 2 2" xfId="11866" xr:uid="{00000000-0005-0000-0000-00009B250000}"/>
    <cellStyle name="SAPBEXtitle 2 2 2" xfId="11867" xr:uid="{00000000-0005-0000-0000-00009C250000}"/>
    <cellStyle name="SAPBEXtitle 2 3" xfId="11868" xr:uid="{00000000-0005-0000-0000-00009D250000}"/>
    <cellStyle name="SAPBEXtitle 3" xfId="11869" xr:uid="{00000000-0005-0000-0000-00009E250000}"/>
    <cellStyle name="SAPBEXtitle 3 2" xfId="11870" xr:uid="{00000000-0005-0000-0000-00009F250000}"/>
    <cellStyle name="SAPBEXtitle 4" xfId="11871" xr:uid="{00000000-0005-0000-0000-0000A0250000}"/>
    <cellStyle name="SAPBEXundefined" xfId="7536" xr:uid="{00000000-0005-0000-0000-0000A1250000}"/>
    <cellStyle name="SAPBEXundefined 2" xfId="7537" xr:uid="{00000000-0005-0000-0000-0000A2250000}"/>
    <cellStyle name="SAPBEXundefined 2 2" xfId="11872" xr:uid="{00000000-0005-0000-0000-0000A3250000}"/>
    <cellStyle name="SAPBEXundefined 2 2 2" xfId="11873" xr:uid="{00000000-0005-0000-0000-0000A4250000}"/>
    <cellStyle name="SAPBEXundefined 2 3" xfId="11874" xr:uid="{00000000-0005-0000-0000-0000A5250000}"/>
    <cellStyle name="SAPBEXundefined 3" xfId="11875" xr:uid="{00000000-0005-0000-0000-0000A6250000}"/>
    <cellStyle name="SAPBEXundefined 3 2" xfId="11876" xr:uid="{00000000-0005-0000-0000-0000A7250000}"/>
    <cellStyle name="SAPBEXundefined 4" xfId="11877" xr:uid="{00000000-0005-0000-0000-0000A8250000}"/>
    <cellStyle name="_x0001_sç?" xfId="7538" xr:uid="{00000000-0005-0000-0000-0000A9250000}"/>
    <cellStyle name="section" xfId="7539" xr:uid="{00000000-0005-0000-0000-0000AA250000}"/>
    <cellStyle name="Section Title" xfId="7540" xr:uid="{00000000-0005-0000-0000-0000AB250000}"/>
    <cellStyle name="serJet 1200 Series PCL 6" xfId="7541" xr:uid="{00000000-0005-0000-0000-0000AC250000}"/>
    <cellStyle name="shade" xfId="7542" xr:uid="{00000000-0005-0000-0000-0000AD250000}"/>
    <cellStyle name="SHADEDSTORES" xfId="7543" xr:uid="{00000000-0005-0000-0000-0000AE250000}"/>
    <cellStyle name="SHADEDSTORES 2" xfId="7544" xr:uid="{00000000-0005-0000-0000-0000AF250000}"/>
    <cellStyle name="SHADEDSTORES 2 2" xfId="11878" xr:uid="{00000000-0005-0000-0000-0000B0250000}"/>
    <cellStyle name="SHADEDSTORES 2 2 2" xfId="11879" xr:uid="{00000000-0005-0000-0000-0000B1250000}"/>
    <cellStyle name="SHADEDSTORES 2 3" xfId="11880" xr:uid="{00000000-0005-0000-0000-0000B2250000}"/>
    <cellStyle name="SHADEDSTORES 2 4" xfId="11881" xr:uid="{00000000-0005-0000-0000-0000B3250000}"/>
    <cellStyle name="SHADEDSTORES 3" xfId="11882" xr:uid="{00000000-0005-0000-0000-0000B4250000}"/>
    <cellStyle name="SHADEDSTORES 3 2" xfId="11883" xr:uid="{00000000-0005-0000-0000-0000B5250000}"/>
    <cellStyle name="SHADEDSTORES 4" xfId="11884" xr:uid="{00000000-0005-0000-0000-0000B6250000}"/>
    <cellStyle name="SHADEDSTORES 5" xfId="11885" xr:uid="{00000000-0005-0000-0000-0000B7250000}"/>
    <cellStyle name="Sheet Title" xfId="7545" xr:uid="{00000000-0005-0000-0000-0000B8250000}"/>
    <cellStyle name="songuyen" xfId="7546" xr:uid="{00000000-0005-0000-0000-0000B9250000}"/>
    <cellStyle name="specstores" xfId="7547" xr:uid="{00000000-0005-0000-0000-0000BA250000}"/>
    <cellStyle name="STANDARD" xfId="7548" xr:uid="{00000000-0005-0000-0000-0000BB250000}"/>
    <cellStyle name="Standard 2" xfId="9896" xr:uid="{00000000-0005-0000-0000-0000BC250000}"/>
    <cellStyle name="STYL1 - スタイル1" xfId="7549" xr:uid="{00000000-0005-0000-0000-0000BD250000}"/>
    <cellStyle name="Style 1" xfId="7550" xr:uid="{00000000-0005-0000-0000-0000BE250000}"/>
    <cellStyle name="Style 1 10" xfId="7551" xr:uid="{00000000-0005-0000-0000-0000BF250000}"/>
    <cellStyle name="Style 1 11" xfId="7552" xr:uid="{00000000-0005-0000-0000-0000C0250000}"/>
    <cellStyle name="Style 1 12" xfId="7553" xr:uid="{00000000-0005-0000-0000-0000C1250000}"/>
    <cellStyle name="Style 1 13" xfId="7554" xr:uid="{00000000-0005-0000-0000-0000C2250000}"/>
    <cellStyle name="Style 1 14" xfId="7555" xr:uid="{00000000-0005-0000-0000-0000C3250000}"/>
    <cellStyle name="Style 1 15" xfId="7556" xr:uid="{00000000-0005-0000-0000-0000C4250000}"/>
    <cellStyle name="Style 1 16" xfId="7557" xr:uid="{00000000-0005-0000-0000-0000C5250000}"/>
    <cellStyle name="Style 1 17" xfId="7558" xr:uid="{00000000-0005-0000-0000-0000C6250000}"/>
    <cellStyle name="Style 1 18" xfId="7559" xr:uid="{00000000-0005-0000-0000-0000C7250000}"/>
    <cellStyle name="Style 1 19" xfId="7560" xr:uid="{00000000-0005-0000-0000-0000C8250000}"/>
    <cellStyle name="Style 1 2" xfId="7561" xr:uid="{00000000-0005-0000-0000-0000C9250000}"/>
    <cellStyle name="Style 1 2 2" xfId="7562" xr:uid="{00000000-0005-0000-0000-0000CA250000}"/>
    <cellStyle name="Style 1 2 2 2" xfId="14565" xr:uid="{73174B20-D2D3-4125-8DC7-3ECEC61FDCA4}"/>
    <cellStyle name="Style 1 2 2 3" xfId="14562" xr:uid="{82EF53F8-02A7-4EAA-AA8F-50953EBDBDDA}"/>
    <cellStyle name="Style 1 20" xfId="7563" xr:uid="{00000000-0005-0000-0000-0000CB250000}"/>
    <cellStyle name="Style 1 21" xfId="7564" xr:uid="{00000000-0005-0000-0000-0000CC250000}"/>
    <cellStyle name="Style 1 22" xfId="7565" xr:uid="{00000000-0005-0000-0000-0000CD250000}"/>
    <cellStyle name="Style 1 23" xfId="7566" xr:uid="{00000000-0005-0000-0000-0000CE250000}"/>
    <cellStyle name="Style 1 24" xfId="7567" xr:uid="{00000000-0005-0000-0000-0000CF250000}"/>
    <cellStyle name="Style 1 25" xfId="7568" xr:uid="{00000000-0005-0000-0000-0000D0250000}"/>
    <cellStyle name="Style 1 25 2" xfId="7569" xr:uid="{00000000-0005-0000-0000-0000D1250000}"/>
    <cellStyle name="Style 1 26" xfId="7570" xr:uid="{00000000-0005-0000-0000-0000D2250000}"/>
    <cellStyle name="Style 1 26 2" xfId="7571" xr:uid="{00000000-0005-0000-0000-0000D3250000}"/>
    <cellStyle name="Style 1 27" xfId="7572" xr:uid="{00000000-0005-0000-0000-0000D4250000}"/>
    <cellStyle name="Style 1 27 2" xfId="7573" xr:uid="{00000000-0005-0000-0000-0000D5250000}"/>
    <cellStyle name="Style 1 28" xfId="7574" xr:uid="{00000000-0005-0000-0000-0000D6250000}"/>
    <cellStyle name="Style 1 28 2" xfId="7575" xr:uid="{00000000-0005-0000-0000-0000D7250000}"/>
    <cellStyle name="Style 1 29" xfId="7576" xr:uid="{00000000-0005-0000-0000-0000D8250000}"/>
    <cellStyle name="Style 1 29 2" xfId="7577" xr:uid="{00000000-0005-0000-0000-0000D9250000}"/>
    <cellStyle name="Style 1 3" xfId="7578" xr:uid="{00000000-0005-0000-0000-0000DA250000}"/>
    <cellStyle name="Style 1 30" xfId="7579" xr:uid="{00000000-0005-0000-0000-0000DB250000}"/>
    <cellStyle name="Style 1 30 2" xfId="7580" xr:uid="{00000000-0005-0000-0000-0000DC250000}"/>
    <cellStyle name="Style 1 31" xfId="7581" xr:uid="{00000000-0005-0000-0000-0000DD250000}"/>
    <cellStyle name="Style 1 32" xfId="7582" xr:uid="{00000000-0005-0000-0000-0000DE250000}"/>
    <cellStyle name="Style 1 4" xfId="7583" xr:uid="{00000000-0005-0000-0000-0000DF250000}"/>
    <cellStyle name="Style 1 5" xfId="7584" xr:uid="{00000000-0005-0000-0000-0000E0250000}"/>
    <cellStyle name="Style 1 6" xfId="7585" xr:uid="{00000000-0005-0000-0000-0000E1250000}"/>
    <cellStyle name="Style 1 6 2" xfId="7586" xr:uid="{00000000-0005-0000-0000-0000E2250000}"/>
    <cellStyle name="Style 1 7" xfId="7587" xr:uid="{00000000-0005-0000-0000-0000E3250000}"/>
    <cellStyle name="Style 1 8" xfId="7588" xr:uid="{00000000-0005-0000-0000-0000E4250000}"/>
    <cellStyle name="Style 1 9" xfId="7589" xr:uid="{00000000-0005-0000-0000-0000E5250000}"/>
    <cellStyle name="Style 10" xfId="7590" xr:uid="{00000000-0005-0000-0000-0000E6250000}"/>
    <cellStyle name="Style 10 2" xfId="7591" xr:uid="{00000000-0005-0000-0000-0000E7250000}"/>
    <cellStyle name="Style 100" xfId="7592" xr:uid="{00000000-0005-0000-0000-0000E8250000}"/>
    <cellStyle name="Style 101" xfId="7593" xr:uid="{00000000-0005-0000-0000-0000E9250000}"/>
    <cellStyle name="Style 102" xfId="7594" xr:uid="{00000000-0005-0000-0000-0000EA250000}"/>
    <cellStyle name="Style 103" xfId="7595" xr:uid="{00000000-0005-0000-0000-0000EB250000}"/>
    <cellStyle name="Style 104" xfId="7596" xr:uid="{00000000-0005-0000-0000-0000EC250000}"/>
    <cellStyle name="Style 105" xfId="7597" xr:uid="{00000000-0005-0000-0000-0000ED250000}"/>
    <cellStyle name="Style 106" xfId="7598" xr:uid="{00000000-0005-0000-0000-0000EE250000}"/>
    <cellStyle name="Style 107" xfId="7599" xr:uid="{00000000-0005-0000-0000-0000EF250000}"/>
    <cellStyle name="Style 108" xfId="7600" xr:uid="{00000000-0005-0000-0000-0000F0250000}"/>
    <cellStyle name="Style 109" xfId="7601" xr:uid="{00000000-0005-0000-0000-0000F1250000}"/>
    <cellStyle name="Style 11" xfId="7602" xr:uid="{00000000-0005-0000-0000-0000F2250000}"/>
    <cellStyle name="Style 11 2" xfId="7603" xr:uid="{00000000-0005-0000-0000-0000F3250000}"/>
    <cellStyle name="Style 110" xfId="7604" xr:uid="{00000000-0005-0000-0000-0000F4250000}"/>
    <cellStyle name="Style 111" xfId="7605" xr:uid="{00000000-0005-0000-0000-0000F5250000}"/>
    <cellStyle name="Style 112" xfId="7606" xr:uid="{00000000-0005-0000-0000-0000F6250000}"/>
    <cellStyle name="Style 113" xfId="7607" xr:uid="{00000000-0005-0000-0000-0000F7250000}"/>
    <cellStyle name="Style 114" xfId="7608" xr:uid="{00000000-0005-0000-0000-0000F8250000}"/>
    <cellStyle name="Style 115" xfId="7609" xr:uid="{00000000-0005-0000-0000-0000F9250000}"/>
    <cellStyle name="Style 116" xfId="7610" xr:uid="{00000000-0005-0000-0000-0000FA250000}"/>
    <cellStyle name="Style 117" xfId="7611" xr:uid="{00000000-0005-0000-0000-0000FB250000}"/>
    <cellStyle name="Style 118" xfId="7612" xr:uid="{00000000-0005-0000-0000-0000FC250000}"/>
    <cellStyle name="Style 119" xfId="7613" xr:uid="{00000000-0005-0000-0000-0000FD250000}"/>
    <cellStyle name="Style 12" xfId="7614" xr:uid="{00000000-0005-0000-0000-0000FE250000}"/>
    <cellStyle name="Style 12 2" xfId="7615" xr:uid="{00000000-0005-0000-0000-0000FF250000}"/>
    <cellStyle name="Style 120" xfId="7616" xr:uid="{00000000-0005-0000-0000-000000260000}"/>
    <cellStyle name="Style 121" xfId="7617" xr:uid="{00000000-0005-0000-0000-000001260000}"/>
    <cellStyle name="Style 122" xfId="7618" xr:uid="{00000000-0005-0000-0000-000002260000}"/>
    <cellStyle name="Style 123" xfId="7619" xr:uid="{00000000-0005-0000-0000-000003260000}"/>
    <cellStyle name="Style 124" xfId="7620" xr:uid="{00000000-0005-0000-0000-000004260000}"/>
    <cellStyle name="Style 125" xfId="7621" xr:uid="{00000000-0005-0000-0000-000005260000}"/>
    <cellStyle name="Style 126" xfId="7622" xr:uid="{00000000-0005-0000-0000-000006260000}"/>
    <cellStyle name="Style 127" xfId="7623" xr:uid="{00000000-0005-0000-0000-000007260000}"/>
    <cellStyle name="Style 128" xfId="7624" xr:uid="{00000000-0005-0000-0000-000008260000}"/>
    <cellStyle name="Style 129" xfId="7625" xr:uid="{00000000-0005-0000-0000-000009260000}"/>
    <cellStyle name="Style 13" xfId="7626" xr:uid="{00000000-0005-0000-0000-00000A260000}"/>
    <cellStyle name="Style 130" xfId="7627" xr:uid="{00000000-0005-0000-0000-00000B260000}"/>
    <cellStyle name="Style 131" xfId="7628" xr:uid="{00000000-0005-0000-0000-00000C260000}"/>
    <cellStyle name="Style 132" xfId="7629" xr:uid="{00000000-0005-0000-0000-00000D260000}"/>
    <cellStyle name="Style 14" xfId="7630" xr:uid="{00000000-0005-0000-0000-00000E260000}"/>
    <cellStyle name="Style 14 2" xfId="7631" xr:uid="{00000000-0005-0000-0000-00000F260000}"/>
    <cellStyle name="Style 15" xfId="7632" xr:uid="{00000000-0005-0000-0000-000010260000}"/>
    <cellStyle name="Style 15 2" xfId="7633" xr:uid="{00000000-0005-0000-0000-000011260000}"/>
    <cellStyle name="Style 16" xfId="7634" xr:uid="{00000000-0005-0000-0000-000012260000}"/>
    <cellStyle name="Style 16 2" xfId="7635" xr:uid="{00000000-0005-0000-0000-000013260000}"/>
    <cellStyle name="Style 17" xfId="7636" xr:uid="{00000000-0005-0000-0000-000014260000}"/>
    <cellStyle name="Style 17 2" xfId="7637" xr:uid="{00000000-0005-0000-0000-000015260000}"/>
    <cellStyle name="Style 18" xfId="7638" xr:uid="{00000000-0005-0000-0000-000016260000}"/>
    <cellStyle name="Style 18 2" xfId="7639" xr:uid="{00000000-0005-0000-0000-000017260000}"/>
    <cellStyle name="Style 19" xfId="7640" xr:uid="{00000000-0005-0000-0000-000018260000}"/>
    <cellStyle name="Style 19 2" xfId="7641" xr:uid="{00000000-0005-0000-0000-000019260000}"/>
    <cellStyle name="Style 2" xfId="7642" xr:uid="{00000000-0005-0000-0000-00001A260000}"/>
    <cellStyle name="Style 2 10" xfId="7643" xr:uid="{00000000-0005-0000-0000-00001B260000}"/>
    <cellStyle name="Style 2 100" xfId="7644" xr:uid="{00000000-0005-0000-0000-00001C260000}"/>
    <cellStyle name="Style 2 101" xfId="7645" xr:uid="{00000000-0005-0000-0000-00001D260000}"/>
    <cellStyle name="Style 2 102" xfId="7646" xr:uid="{00000000-0005-0000-0000-00001E260000}"/>
    <cellStyle name="Style 2 103" xfId="7647" xr:uid="{00000000-0005-0000-0000-00001F260000}"/>
    <cellStyle name="Style 2 104" xfId="7648" xr:uid="{00000000-0005-0000-0000-000020260000}"/>
    <cellStyle name="Style 2 105" xfId="7649" xr:uid="{00000000-0005-0000-0000-000021260000}"/>
    <cellStyle name="Style 2 106" xfId="7650" xr:uid="{00000000-0005-0000-0000-000022260000}"/>
    <cellStyle name="Style 2 107" xfId="7651" xr:uid="{00000000-0005-0000-0000-000023260000}"/>
    <cellStyle name="Style 2 108" xfId="7652" xr:uid="{00000000-0005-0000-0000-000024260000}"/>
    <cellStyle name="Style 2 109" xfId="7653" xr:uid="{00000000-0005-0000-0000-000025260000}"/>
    <cellStyle name="Style 2 11" xfId="7654" xr:uid="{00000000-0005-0000-0000-000026260000}"/>
    <cellStyle name="Style 2 110" xfId="7655" xr:uid="{00000000-0005-0000-0000-000027260000}"/>
    <cellStyle name="Style 2 111" xfId="7656" xr:uid="{00000000-0005-0000-0000-000028260000}"/>
    <cellStyle name="Style 2 12" xfId="7657" xr:uid="{00000000-0005-0000-0000-000029260000}"/>
    <cellStyle name="Style 2 13" xfId="7658" xr:uid="{00000000-0005-0000-0000-00002A260000}"/>
    <cellStyle name="Style 2 14" xfId="7659" xr:uid="{00000000-0005-0000-0000-00002B260000}"/>
    <cellStyle name="Style 2 15" xfId="7660" xr:uid="{00000000-0005-0000-0000-00002C260000}"/>
    <cellStyle name="Style 2 16" xfId="7661" xr:uid="{00000000-0005-0000-0000-00002D260000}"/>
    <cellStyle name="Style 2 17" xfId="7662" xr:uid="{00000000-0005-0000-0000-00002E260000}"/>
    <cellStyle name="Style 2 18" xfId="7663" xr:uid="{00000000-0005-0000-0000-00002F260000}"/>
    <cellStyle name="Style 2 19" xfId="7664" xr:uid="{00000000-0005-0000-0000-000030260000}"/>
    <cellStyle name="Style 2 2" xfId="7665" xr:uid="{00000000-0005-0000-0000-000031260000}"/>
    <cellStyle name="Style 2 20" xfId="7666" xr:uid="{00000000-0005-0000-0000-000032260000}"/>
    <cellStyle name="Style 2 21" xfId="7667" xr:uid="{00000000-0005-0000-0000-000033260000}"/>
    <cellStyle name="Style 2 22" xfId="7668" xr:uid="{00000000-0005-0000-0000-000034260000}"/>
    <cellStyle name="Style 2 23" xfId="7669" xr:uid="{00000000-0005-0000-0000-000035260000}"/>
    <cellStyle name="Style 2 24" xfId="7670" xr:uid="{00000000-0005-0000-0000-000036260000}"/>
    <cellStyle name="Style 2 25" xfId="7671" xr:uid="{00000000-0005-0000-0000-000037260000}"/>
    <cellStyle name="Style 2 26" xfId="7672" xr:uid="{00000000-0005-0000-0000-000038260000}"/>
    <cellStyle name="Style 2 27" xfId="7673" xr:uid="{00000000-0005-0000-0000-000039260000}"/>
    <cellStyle name="Style 2 28" xfId="7674" xr:uid="{00000000-0005-0000-0000-00003A260000}"/>
    <cellStyle name="Style 2 29" xfId="7675" xr:uid="{00000000-0005-0000-0000-00003B260000}"/>
    <cellStyle name="Style 2 3" xfId="7676" xr:uid="{00000000-0005-0000-0000-00003C260000}"/>
    <cellStyle name="Style 2 30" xfId="7677" xr:uid="{00000000-0005-0000-0000-00003D260000}"/>
    <cellStyle name="Style 2 31" xfId="7678" xr:uid="{00000000-0005-0000-0000-00003E260000}"/>
    <cellStyle name="Style 2 32" xfId="7679" xr:uid="{00000000-0005-0000-0000-00003F260000}"/>
    <cellStyle name="Style 2 33" xfId="7680" xr:uid="{00000000-0005-0000-0000-000040260000}"/>
    <cellStyle name="Style 2 34" xfId="7681" xr:uid="{00000000-0005-0000-0000-000041260000}"/>
    <cellStyle name="Style 2 35" xfId="7682" xr:uid="{00000000-0005-0000-0000-000042260000}"/>
    <cellStyle name="Style 2 36" xfId="7683" xr:uid="{00000000-0005-0000-0000-000043260000}"/>
    <cellStyle name="Style 2 37" xfId="7684" xr:uid="{00000000-0005-0000-0000-000044260000}"/>
    <cellStyle name="Style 2 38" xfId="7685" xr:uid="{00000000-0005-0000-0000-000045260000}"/>
    <cellStyle name="Style 2 39" xfId="7686" xr:uid="{00000000-0005-0000-0000-000046260000}"/>
    <cellStyle name="Style 2 4" xfId="7687" xr:uid="{00000000-0005-0000-0000-000047260000}"/>
    <cellStyle name="Style 2 40" xfId="7688" xr:uid="{00000000-0005-0000-0000-000048260000}"/>
    <cellStyle name="Style 2 41" xfId="7689" xr:uid="{00000000-0005-0000-0000-000049260000}"/>
    <cellStyle name="Style 2 42" xfId="7690" xr:uid="{00000000-0005-0000-0000-00004A260000}"/>
    <cellStyle name="Style 2 43" xfId="7691" xr:uid="{00000000-0005-0000-0000-00004B260000}"/>
    <cellStyle name="Style 2 44" xfId="7692" xr:uid="{00000000-0005-0000-0000-00004C260000}"/>
    <cellStyle name="Style 2 45" xfId="7693" xr:uid="{00000000-0005-0000-0000-00004D260000}"/>
    <cellStyle name="Style 2 46" xfId="7694" xr:uid="{00000000-0005-0000-0000-00004E260000}"/>
    <cellStyle name="Style 2 47" xfId="7695" xr:uid="{00000000-0005-0000-0000-00004F260000}"/>
    <cellStyle name="Style 2 48" xfId="7696" xr:uid="{00000000-0005-0000-0000-000050260000}"/>
    <cellStyle name="Style 2 49" xfId="7697" xr:uid="{00000000-0005-0000-0000-000051260000}"/>
    <cellStyle name="Style 2 5" xfId="7698" xr:uid="{00000000-0005-0000-0000-000052260000}"/>
    <cellStyle name="Style 2 50" xfId="7699" xr:uid="{00000000-0005-0000-0000-000053260000}"/>
    <cellStyle name="Style 2 51" xfId="7700" xr:uid="{00000000-0005-0000-0000-000054260000}"/>
    <cellStyle name="Style 2 52" xfId="7701" xr:uid="{00000000-0005-0000-0000-000055260000}"/>
    <cellStyle name="Style 2 53" xfId="7702" xr:uid="{00000000-0005-0000-0000-000056260000}"/>
    <cellStyle name="Style 2 54" xfId="7703" xr:uid="{00000000-0005-0000-0000-000057260000}"/>
    <cellStyle name="Style 2 55" xfId="7704" xr:uid="{00000000-0005-0000-0000-000058260000}"/>
    <cellStyle name="Style 2 56" xfId="7705" xr:uid="{00000000-0005-0000-0000-000059260000}"/>
    <cellStyle name="Style 2 57" xfId="7706" xr:uid="{00000000-0005-0000-0000-00005A260000}"/>
    <cellStyle name="Style 2 58" xfId="7707" xr:uid="{00000000-0005-0000-0000-00005B260000}"/>
    <cellStyle name="Style 2 59" xfId="7708" xr:uid="{00000000-0005-0000-0000-00005C260000}"/>
    <cellStyle name="Style 2 6" xfId="7709" xr:uid="{00000000-0005-0000-0000-00005D260000}"/>
    <cellStyle name="Style 2 60" xfId="7710" xr:uid="{00000000-0005-0000-0000-00005E260000}"/>
    <cellStyle name="Style 2 61" xfId="7711" xr:uid="{00000000-0005-0000-0000-00005F260000}"/>
    <cellStyle name="Style 2 62" xfId="7712" xr:uid="{00000000-0005-0000-0000-000060260000}"/>
    <cellStyle name="Style 2 63" xfId="7713" xr:uid="{00000000-0005-0000-0000-000061260000}"/>
    <cellStyle name="Style 2 64" xfId="7714" xr:uid="{00000000-0005-0000-0000-000062260000}"/>
    <cellStyle name="Style 2 65" xfId="7715" xr:uid="{00000000-0005-0000-0000-000063260000}"/>
    <cellStyle name="Style 2 66" xfId="7716" xr:uid="{00000000-0005-0000-0000-000064260000}"/>
    <cellStyle name="Style 2 67" xfId="7717" xr:uid="{00000000-0005-0000-0000-000065260000}"/>
    <cellStyle name="Style 2 68" xfId="7718" xr:uid="{00000000-0005-0000-0000-000066260000}"/>
    <cellStyle name="Style 2 69" xfId="7719" xr:uid="{00000000-0005-0000-0000-000067260000}"/>
    <cellStyle name="Style 2 7" xfId="7720" xr:uid="{00000000-0005-0000-0000-000068260000}"/>
    <cellStyle name="Style 2 70" xfId="7721" xr:uid="{00000000-0005-0000-0000-000069260000}"/>
    <cellStyle name="Style 2 71" xfId="7722" xr:uid="{00000000-0005-0000-0000-00006A260000}"/>
    <cellStyle name="Style 2 72" xfId="7723" xr:uid="{00000000-0005-0000-0000-00006B260000}"/>
    <cellStyle name="Style 2 73" xfId="7724" xr:uid="{00000000-0005-0000-0000-00006C260000}"/>
    <cellStyle name="Style 2 74" xfId="7725" xr:uid="{00000000-0005-0000-0000-00006D260000}"/>
    <cellStyle name="Style 2 75" xfId="7726" xr:uid="{00000000-0005-0000-0000-00006E260000}"/>
    <cellStyle name="Style 2 76" xfId="7727" xr:uid="{00000000-0005-0000-0000-00006F260000}"/>
    <cellStyle name="Style 2 77" xfId="7728" xr:uid="{00000000-0005-0000-0000-000070260000}"/>
    <cellStyle name="Style 2 78" xfId="7729" xr:uid="{00000000-0005-0000-0000-000071260000}"/>
    <cellStyle name="Style 2 79" xfId="7730" xr:uid="{00000000-0005-0000-0000-000072260000}"/>
    <cellStyle name="Style 2 8" xfId="7731" xr:uid="{00000000-0005-0000-0000-000073260000}"/>
    <cellStyle name="Style 2 80" xfId="7732" xr:uid="{00000000-0005-0000-0000-000074260000}"/>
    <cellStyle name="Style 2 81" xfId="7733" xr:uid="{00000000-0005-0000-0000-000075260000}"/>
    <cellStyle name="Style 2 82" xfId="7734" xr:uid="{00000000-0005-0000-0000-000076260000}"/>
    <cellStyle name="Style 2 83" xfId="7735" xr:uid="{00000000-0005-0000-0000-000077260000}"/>
    <cellStyle name="Style 2 84" xfId="7736" xr:uid="{00000000-0005-0000-0000-000078260000}"/>
    <cellStyle name="Style 2 85" xfId="7737" xr:uid="{00000000-0005-0000-0000-000079260000}"/>
    <cellStyle name="Style 2 86" xfId="7738" xr:uid="{00000000-0005-0000-0000-00007A260000}"/>
    <cellStyle name="Style 2 87" xfId="7739" xr:uid="{00000000-0005-0000-0000-00007B260000}"/>
    <cellStyle name="Style 2 88" xfId="7740" xr:uid="{00000000-0005-0000-0000-00007C260000}"/>
    <cellStyle name="Style 2 89" xfId="7741" xr:uid="{00000000-0005-0000-0000-00007D260000}"/>
    <cellStyle name="Style 2 9" xfId="7742" xr:uid="{00000000-0005-0000-0000-00007E260000}"/>
    <cellStyle name="Style 2 90" xfId="7743" xr:uid="{00000000-0005-0000-0000-00007F260000}"/>
    <cellStyle name="Style 2 91" xfId="7744" xr:uid="{00000000-0005-0000-0000-000080260000}"/>
    <cellStyle name="Style 2 92" xfId="7745" xr:uid="{00000000-0005-0000-0000-000081260000}"/>
    <cellStyle name="Style 2 93" xfId="7746" xr:uid="{00000000-0005-0000-0000-000082260000}"/>
    <cellStyle name="Style 2 94" xfId="7747" xr:uid="{00000000-0005-0000-0000-000083260000}"/>
    <cellStyle name="Style 2 95" xfId="7748" xr:uid="{00000000-0005-0000-0000-000084260000}"/>
    <cellStyle name="Style 2 96" xfId="7749" xr:uid="{00000000-0005-0000-0000-000085260000}"/>
    <cellStyle name="Style 2 97" xfId="7750" xr:uid="{00000000-0005-0000-0000-000086260000}"/>
    <cellStyle name="Style 2 98" xfId="7751" xr:uid="{00000000-0005-0000-0000-000087260000}"/>
    <cellStyle name="Style 2 99" xfId="7752" xr:uid="{00000000-0005-0000-0000-000088260000}"/>
    <cellStyle name="Style 20" xfId="7753" xr:uid="{00000000-0005-0000-0000-000089260000}"/>
    <cellStyle name="Style 20 2" xfId="7754" xr:uid="{00000000-0005-0000-0000-00008A260000}"/>
    <cellStyle name="Style 21" xfId="7755" xr:uid="{00000000-0005-0000-0000-00008B260000}"/>
    <cellStyle name="Style 21 2" xfId="7756" xr:uid="{00000000-0005-0000-0000-00008C260000}"/>
    <cellStyle name="Style 22" xfId="7757" xr:uid="{00000000-0005-0000-0000-00008D260000}"/>
    <cellStyle name="Style 22 2" xfId="7758" xr:uid="{00000000-0005-0000-0000-00008E260000}"/>
    <cellStyle name="Style 23" xfId="7759" xr:uid="{00000000-0005-0000-0000-00008F260000}"/>
    <cellStyle name="Style 23 2" xfId="7760" xr:uid="{00000000-0005-0000-0000-000090260000}"/>
    <cellStyle name="Style 24" xfId="7761" xr:uid="{00000000-0005-0000-0000-000091260000}"/>
    <cellStyle name="Style 24 2" xfId="7762" xr:uid="{00000000-0005-0000-0000-000092260000}"/>
    <cellStyle name="Style 25" xfId="7763" xr:uid="{00000000-0005-0000-0000-000093260000}"/>
    <cellStyle name="Style 25 2" xfId="7764" xr:uid="{00000000-0005-0000-0000-000094260000}"/>
    <cellStyle name="Style 26" xfId="7765" xr:uid="{00000000-0005-0000-0000-000095260000}"/>
    <cellStyle name="Style 26 2" xfId="7766" xr:uid="{00000000-0005-0000-0000-000096260000}"/>
    <cellStyle name="Style 27" xfId="7767" xr:uid="{00000000-0005-0000-0000-000097260000}"/>
    <cellStyle name="Style 27 2" xfId="7768" xr:uid="{00000000-0005-0000-0000-000098260000}"/>
    <cellStyle name="Style 28" xfId="7769" xr:uid="{00000000-0005-0000-0000-000099260000}"/>
    <cellStyle name="Style 28 2" xfId="7770" xr:uid="{00000000-0005-0000-0000-00009A260000}"/>
    <cellStyle name="Style 29" xfId="7771" xr:uid="{00000000-0005-0000-0000-00009B260000}"/>
    <cellStyle name="Style 29 2" xfId="7772" xr:uid="{00000000-0005-0000-0000-00009C260000}"/>
    <cellStyle name="Style 3" xfId="7773" xr:uid="{00000000-0005-0000-0000-00009D260000}"/>
    <cellStyle name="Style 3 10" xfId="7774" xr:uid="{00000000-0005-0000-0000-00009E260000}"/>
    <cellStyle name="Style 3 100" xfId="7775" xr:uid="{00000000-0005-0000-0000-00009F260000}"/>
    <cellStyle name="Style 3 101" xfId="7776" xr:uid="{00000000-0005-0000-0000-0000A0260000}"/>
    <cellStyle name="Style 3 102" xfId="7777" xr:uid="{00000000-0005-0000-0000-0000A1260000}"/>
    <cellStyle name="Style 3 103" xfId="7778" xr:uid="{00000000-0005-0000-0000-0000A2260000}"/>
    <cellStyle name="Style 3 104" xfId="7779" xr:uid="{00000000-0005-0000-0000-0000A3260000}"/>
    <cellStyle name="Style 3 105" xfId="7780" xr:uid="{00000000-0005-0000-0000-0000A4260000}"/>
    <cellStyle name="Style 3 106" xfId="7781" xr:uid="{00000000-0005-0000-0000-0000A5260000}"/>
    <cellStyle name="Style 3 107" xfId="7782" xr:uid="{00000000-0005-0000-0000-0000A6260000}"/>
    <cellStyle name="Style 3 108" xfId="7783" xr:uid="{00000000-0005-0000-0000-0000A7260000}"/>
    <cellStyle name="Style 3 109" xfId="7784" xr:uid="{00000000-0005-0000-0000-0000A8260000}"/>
    <cellStyle name="Style 3 11" xfId="7785" xr:uid="{00000000-0005-0000-0000-0000A9260000}"/>
    <cellStyle name="Style 3 110" xfId="7786" xr:uid="{00000000-0005-0000-0000-0000AA260000}"/>
    <cellStyle name="Style 3 111" xfId="7787" xr:uid="{00000000-0005-0000-0000-0000AB260000}"/>
    <cellStyle name="Style 3 12" xfId="7788" xr:uid="{00000000-0005-0000-0000-0000AC260000}"/>
    <cellStyle name="Style 3 13" xfId="7789" xr:uid="{00000000-0005-0000-0000-0000AD260000}"/>
    <cellStyle name="Style 3 14" xfId="7790" xr:uid="{00000000-0005-0000-0000-0000AE260000}"/>
    <cellStyle name="Style 3 15" xfId="7791" xr:uid="{00000000-0005-0000-0000-0000AF260000}"/>
    <cellStyle name="Style 3 16" xfId="7792" xr:uid="{00000000-0005-0000-0000-0000B0260000}"/>
    <cellStyle name="Style 3 17" xfId="7793" xr:uid="{00000000-0005-0000-0000-0000B1260000}"/>
    <cellStyle name="Style 3 18" xfId="7794" xr:uid="{00000000-0005-0000-0000-0000B2260000}"/>
    <cellStyle name="Style 3 19" xfId="7795" xr:uid="{00000000-0005-0000-0000-0000B3260000}"/>
    <cellStyle name="Style 3 2" xfId="7796" xr:uid="{00000000-0005-0000-0000-0000B4260000}"/>
    <cellStyle name="Style 3 20" xfId="7797" xr:uid="{00000000-0005-0000-0000-0000B5260000}"/>
    <cellStyle name="Style 3 21" xfId="7798" xr:uid="{00000000-0005-0000-0000-0000B6260000}"/>
    <cellStyle name="Style 3 22" xfId="7799" xr:uid="{00000000-0005-0000-0000-0000B7260000}"/>
    <cellStyle name="Style 3 23" xfId="7800" xr:uid="{00000000-0005-0000-0000-0000B8260000}"/>
    <cellStyle name="Style 3 24" xfId="7801" xr:uid="{00000000-0005-0000-0000-0000B9260000}"/>
    <cellStyle name="Style 3 25" xfId="7802" xr:uid="{00000000-0005-0000-0000-0000BA260000}"/>
    <cellStyle name="Style 3 26" xfId="7803" xr:uid="{00000000-0005-0000-0000-0000BB260000}"/>
    <cellStyle name="Style 3 27" xfId="7804" xr:uid="{00000000-0005-0000-0000-0000BC260000}"/>
    <cellStyle name="Style 3 28" xfId="7805" xr:uid="{00000000-0005-0000-0000-0000BD260000}"/>
    <cellStyle name="Style 3 29" xfId="7806" xr:uid="{00000000-0005-0000-0000-0000BE260000}"/>
    <cellStyle name="Style 3 3" xfId="7807" xr:uid="{00000000-0005-0000-0000-0000BF260000}"/>
    <cellStyle name="Style 3 30" xfId="7808" xr:uid="{00000000-0005-0000-0000-0000C0260000}"/>
    <cellStyle name="Style 3 31" xfId="7809" xr:uid="{00000000-0005-0000-0000-0000C1260000}"/>
    <cellStyle name="Style 3 32" xfId="7810" xr:uid="{00000000-0005-0000-0000-0000C2260000}"/>
    <cellStyle name="Style 3 33" xfId="7811" xr:uid="{00000000-0005-0000-0000-0000C3260000}"/>
    <cellStyle name="Style 3 34" xfId="7812" xr:uid="{00000000-0005-0000-0000-0000C4260000}"/>
    <cellStyle name="Style 3 35" xfId="7813" xr:uid="{00000000-0005-0000-0000-0000C5260000}"/>
    <cellStyle name="Style 3 36" xfId="7814" xr:uid="{00000000-0005-0000-0000-0000C6260000}"/>
    <cellStyle name="Style 3 37" xfId="7815" xr:uid="{00000000-0005-0000-0000-0000C7260000}"/>
    <cellStyle name="Style 3 38" xfId="7816" xr:uid="{00000000-0005-0000-0000-0000C8260000}"/>
    <cellStyle name="Style 3 39" xfId="7817" xr:uid="{00000000-0005-0000-0000-0000C9260000}"/>
    <cellStyle name="Style 3 4" xfId="7818" xr:uid="{00000000-0005-0000-0000-0000CA260000}"/>
    <cellStyle name="Style 3 40" xfId="7819" xr:uid="{00000000-0005-0000-0000-0000CB260000}"/>
    <cellStyle name="Style 3 41" xfId="7820" xr:uid="{00000000-0005-0000-0000-0000CC260000}"/>
    <cellStyle name="Style 3 42" xfId="7821" xr:uid="{00000000-0005-0000-0000-0000CD260000}"/>
    <cellStyle name="Style 3 43" xfId="7822" xr:uid="{00000000-0005-0000-0000-0000CE260000}"/>
    <cellStyle name="Style 3 44" xfId="7823" xr:uid="{00000000-0005-0000-0000-0000CF260000}"/>
    <cellStyle name="Style 3 45" xfId="7824" xr:uid="{00000000-0005-0000-0000-0000D0260000}"/>
    <cellStyle name="Style 3 46" xfId="7825" xr:uid="{00000000-0005-0000-0000-0000D1260000}"/>
    <cellStyle name="Style 3 47" xfId="7826" xr:uid="{00000000-0005-0000-0000-0000D2260000}"/>
    <cellStyle name="Style 3 48" xfId="7827" xr:uid="{00000000-0005-0000-0000-0000D3260000}"/>
    <cellStyle name="Style 3 49" xfId="7828" xr:uid="{00000000-0005-0000-0000-0000D4260000}"/>
    <cellStyle name="Style 3 5" xfId="7829" xr:uid="{00000000-0005-0000-0000-0000D5260000}"/>
    <cellStyle name="Style 3 50" xfId="7830" xr:uid="{00000000-0005-0000-0000-0000D6260000}"/>
    <cellStyle name="Style 3 51" xfId="7831" xr:uid="{00000000-0005-0000-0000-0000D7260000}"/>
    <cellStyle name="Style 3 52" xfId="7832" xr:uid="{00000000-0005-0000-0000-0000D8260000}"/>
    <cellStyle name="Style 3 53" xfId="7833" xr:uid="{00000000-0005-0000-0000-0000D9260000}"/>
    <cellStyle name="Style 3 54" xfId="7834" xr:uid="{00000000-0005-0000-0000-0000DA260000}"/>
    <cellStyle name="Style 3 55" xfId="7835" xr:uid="{00000000-0005-0000-0000-0000DB260000}"/>
    <cellStyle name="Style 3 56" xfId="7836" xr:uid="{00000000-0005-0000-0000-0000DC260000}"/>
    <cellStyle name="Style 3 57" xfId="7837" xr:uid="{00000000-0005-0000-0000-0000DD260000}"/>
    <cellStyle name="Style 3 58" xfId="7838" xr:uid="{00000000-0005-0000-0000-0000DE260000}"/>
    <cellStyle name="Style 3 59" xfId="7839" xr:uid="{00000000-0005-0000-0000-0000DF260000}"/>
    <cellStyle name="Style 3 6" xfId="7840" xr:uid="{00000000-0005-0000-0000-0000E0260000}"/>
    <cellStyle name="Style 3 60" xfId="7841" xr:uid="{00000000-0005-0000-0000-0000E1260000}"/>
    <cellStyle name="Style 3 61" xfId="7842" xr:uid="{00000000-0005-0000-0000-0000E2260000}"/>
    <cellStyle name="Style 3 62" xfId="7843" xr:uid="{00000000-0005-0000-0000-0000E3260000}"/>
    <cellStyle name="Style 3 63" xfId="7844" xr:uid="{00000000-0005-0000-0000-0000E4260000}"/>
    <cellStyle name="Style 3 64" xfId="7845" xr:uid="{00000000-0005-0000-0000-0000E5260000}"/>
    <cellStyle name="Style 3 65" xfId="7846" xr:uid="{00000000-0005-0000-0000-0000E6260000}"/>
    <cellStyle name="Style 3 66" xfId="7847" xr:uid="{00000000-0005-0000-0000-0000E7260000}"/>
    <cellStyle name="Style 3 67" xfId="7848" xr:uid="{00000000-0005-0000-0000-0000E8260000}"/>
    <cellStyle name="Style 3 68" xfId="7849" xr:uid="{00000000-0005-0000-0000-0000E9260000}"/>
    <cellStyle name="Style 3 69" xfId="7850" xr:uid="{00000000-0005-0000-0000-0000EA260000}"/>
    <cellStyle name="Style 3 7" xfId="7851" xr:uid="{00000000-0005-0000-0000-0000EB260000}"/>
    <cellStyle name="Style 3 70" xfId="7852" xr:uid="{00000000-0005-0000-0000-0000EC260000}"/>
    <cellStyle name="Style 3 71" xfId="7853" xr:uid="{00000000-0005-0000-0000-0000ED260000}"/>
    <cellStyle name="Style 3 72" xfId="7854" xr:uid="{00000000-0005-0000-0000-0000EE260000}"/>
    <cellStyle name="Style 3 73" xfId="7855" xr:uid="{00000000-0005-0000-0000-0000EF260000}"/>
    <cellStyle name="Style 3 74" xfId="7856" xr:uid="{00000000-0005-0000-0000-0000F0260000}"/>
    <cellStyle name="Style 3 75" xfId="7857" xr:uid="{00000000-0005-0000-0000-0000F1260000}"/>
    <cellStyle name="Style 3 76" xfId="7858" xr:uid="{00000000-0005-0000-0000-0000F2260000}"/>
    <cellStyle name="Style 3 77" xfId="7859" xr:uid="{00000000-0005-0000-0000-0000F3260000}"/>
    <cellStyle name="Style 3 78" xfId="7860" xr:uid="{00000000-0005-0000-0000-0000F4260000}"/>
    <cellStyle name="Style 3 79" xfId="7861" xr:uid="{00000000-0005-0000-0000-0000F5260000}"/>
    <cellStyle name="Style 3 8" xfId="7862" xr:uid="{00000000-0005-0000-0000-0000F6260000}"/>
    <cellStyle name="Style 3 80" xfId="7863" xr:uid="{00000000-0005-0000-0000-0000F7260000}"/>
    <cellStyle name="Style 3 81" xfId="7864" xr:uid="{00000000-0005-0000-0000-0000F8260000}"/>
    <cellStyle name="Style 3 82" xfId="7865" xr:uid="{00000000-0005-0000-0000-0000F9260000}"/>
    <cellStyle name="Style 3 83" xfId="7866" xr:uid="{00000000-0005-0000-0000-0000FA260000}"/>
    <cellStyle name="Style 3 84" xfId="7867" xr:uid="{00000000-0005-0000-0000-0000FB260000}"/>
    <cellStyle name="Style 3 85" xfId="7868" xr:uid="{00000000-0005-0000-0000-0000FC260000}"/>
    <cellStyle name="Style 3 86" xfId="7869" xr:uid="{00000000-0005-0000-0000-0000FD260000}"/>
    <cellStyle name="Style 3 87" xfId="7870" xr:uid="{00000000-0005-0000-0000-0000FE260000}"/>
    <cellStyle name="Style 3 88" xfId="7871" xr:uid="{00000000-0005-0000-0000-0000FF260000}"/>
    <cellStyle name="Style 3 89" xfId="7872" xr:uid="{00000000-0005-0000-0000-000000270000}"/>
    <cellStyle name="Style 3 9" xfId="7873" xr:uid="{00000000-0005-0000-0000-000001270000}"/>
    <cellStyle name="Style 3 90" xfId="7874" xr:uid="{00000000-0005-0000-0000-000002270000}"/>
    <cellStyle name="Style 3 91" xfId="7875" xr:uid="{00000000-0005-0000-0000-000003270000}"/>
    <cellStyle name="Style 3 92" xfId="7876" xr:uid="{00000000-0005-0000-0000-000004270000}"/>
    <cellStyle name="Style 3 93" xfId="7877" xr:uid="{00000000-0005-0000-0000-000005270000}"/>
    <cellStyle name="Style 3 94" xfId="7878" xr:uid="{00000000-0005-0000-0000-000006270000}"/>
    <cellStyle name="Style 3 95" xfId="7879" xr:uid="{00000000-0005-0000-0000-000007270000}"/>
    <cellStyle name="Style 3 96" xfId="7880" xr:uid="{00000000-0005-0000-0000-000008270000}"/>
    <cellStyle name="Style 3 97" xfId="7881" xr:uid="{00000000-0005-0000-0000-000009270000}"/>
    <cellStyle name="Style 3 98" xfId="7882" xr:uid="{00000000-0005-0000-0000-00000A270000}"/>
    <cellStyle name="Style 3 99" xfId="7883" xr:uid="{00000000-0005-0000-0000-00000B270000}"/>
    <cellStyle name="Style 30" xfId="7884" xr:uid="{00000000-0005-0000-0000-00000C270000}"/>
    <cellStyle name="Style 31" xfId="7885" xr:uid="{00000000-0005-0000-0000-00000D270000}"/>
    <cellStyle name="Style 32" xfId="7886" xr:uid="{00000000-0005-0000-0000-00000E270000}"/>
    <cellStyle name="Style 33" xfId="7887" xr:uid="{00000000-0005-0000-0000-00000F270000}"/>
    <cellStyle name="Style 34" xfId="7888" xr:uid="{00000000-0005-0000-0000-000010270000}"/>
    <cellStyle name="Style 35" xfId="7889" xr:uid="{00000000-0005-0000-0000-000011270000}"/>
    <cellStyle name="Style 36" xfId="7890" xr:uid="{00000000-0005-0000-0000-000012270000}"/>
    <cellStyle name="Style 37" xfId="7891" xr:uid="{00000000-0005-0000-0000-000013270000}"/>
    <cellStyle name="Style 38" xfId="7892" xr:uid="{00000000-0005-0000-0000-000014270000}"/>
    <cellStyle name="Style 39" xfId="7893" xr:uid="{00000000-0005-0000-0000-000015270000}"/>
    <cellStyle name="Style 4" xfId="7894" xr:uid="{00000000-0005-0000-0000-000016270000}"/>
    <cellStyle name="Style 4 10" xfId="7895" xr:uid="{00000000-0005-0000-0000-000017270000}"/>
    <cellStyle name="Style 4 100" xfId="7896" xr:uid="{00000000-0005-0000-0000-000018270000}"/>
    <cellStyle name="Style 4 101" xfId="7897" xr:uid="{00000000-0005-0000-0000-000019270000}"/>
    <cellStyle name="Style 4 102" xfId="7898" xr:uid="{00000000-0005-0000-0000-00001A270000}"/>
    <cellStyle name="Style 4 103" xfId="7899" xr:uid="{00000000-0005-0000-0000-00001B270000}"/>
    <cellStyle name="Style 4 104" xfId="7900" xr:uid="{00000000-0005-0000-0000-00001C270000}"/>
    <cellStyle name="Style 4 105" xfId="7901" xr:uid="{00000000-0005-0000-0000-00001D270000}"/>
    <cellStyle name="Style 4 106" xfId="7902" xr:uid="{00000000-0005-0000-0000-00001E270000}"/>
    <cellStyle name="Style 4 107" xfId="7903" xr:uid="{00000000-0005-0000-0000-00001F270000}"/>
    <cellStyle name="Style 4 108" xfId="7904" xr:uid="{00000000-0005-0000-0000-000020270000}"/>
    <cellStyle name="Style 4 109" xfId="7905" xr:uid="{00000000-0005-0000-0000-000021270000}"/>
    <cellStyle name="Style 4 11" xfId="7906" xr:uid="{00000000-0005-0000-0000-000022270000}"/>
    <cellStyle name="Style 4 110" xfId="7907" xr:uid="{00000000-0005-0000-0000-000023270000}"/>
    <cellStyle name="Style 4 111" xfId="7908" xr:uid="{00000000-0005-0000-0000-000024270000}"/>
    <cellStyle name="Style 4 12" xfId="7909" xr:uid="{00000000-0005-0000-0000-000025270000}"/>
    <cellStyle name="Style 4 13" xfId="7910" xr:uid="{00000000-0005-0000-0000-000026270000}"/>
    <cellStyle name="Style 4 14" xfId="7911" xr:uid="{00000000-0005-0000-0000-000027270000}"/>
    <cellStyle name="Style 4 15" xfId="7912" xr:uid="{00000000-0005-0000-0000-000028270000}"/>
    <cellStyle name="Style 4 16" xfId="7913" xr:uid="{00000000-0005-0000-0000-000029270000}"/>
    <cellStyle name="Style 4 17" xfId="7914" xr:uid="{00000000-0005-0000-0000-00002A270000}"/>
    <cellStyle name="Style 4 18" xfId="7915" xr:uid="{00000000-0005-0000-0000-00002B270000}"/>
    <cellStyle name="Style 4 19" xfId="7916" xr:uid="{00000000-0005-0000-0000-00002C270000}"/>
    <cellStyle name="Style 4 2" xfId="7917" xr:uid="{00000000-0005-0000-0000-00002D270000}"/>
    <cellStyle name="Style 4 20" xfId="7918" xr:uid="{00000000-0005-0000-0000-00002E270000}"/>
    <cellStyle name="Style 4 21" xfId="7919" xr:uid="{00000000-0005-0000-0000-00002F270000}"/>
    <cellStyle name="Style 4 22" xfId="7920" xr:uid="{00000000-0005-0000-0000-000030270000}"/>
    <cellStyle name="Style 4 23" xfId="7921" xr:uid="{00000000-0005-0000-0000-000031270000}"/>
    <cellStyle name="Style 4 24" xfId="7922" xr:uid="{00000000-0005-0000-0000-000032270000}"/>
    <cellStyle name="Style 4 25" xfId="7923" xr:uid="{00000000-0005-0000-0000-000033270000}"/>
    <cellStyle name="Style 4 26" xfId="7924" xr:uid="{00000000-0005-0000-0000-000034270000}"/>
    <cellStyle name="Style 4 27" xfId="7925" xr:uid="{00000000-0005-0000-0000-000035270000}"/>
    <cellStyle name="Style 4 28" xfId="7926" xr:uid="{00000000-0005-0000-0000-000036270000}"/>
    <cellStyle name="Style 4 29" xfId="7927" xr:uid="{00000000-0005-0000-0000-000037270000}"/>
    <cellStyle name="Style 4 3" xfId="7928" xr:uid="{00000000-0005-0000-0000-000038270000}"/>
    <cellStyle name="Style 4 30" xfId="7929" xr:uid="{00000000-0005-0000-0000-000039270000}"/>
    <cellStyle name="Style 4 31" xfId="7930" xr:uid="{00000000-0005-0000-0000-00003A270000}"/>
    <cellStyle name="Style 4 32" xfId="7931" xr:uid="{00000000-0005-0000-0000-00003B270000}"/>
    <cellStyle name="Style 4 33" xfId="7932" xr:uid="{00000000-0005-0000-0000-00003C270000}"/>
    <cellStyle name="Style 4 34" xfId="7933" xr:uid="{00000000-0005-0000-0000-00003D270000}"/>
    <cellStyle name="Style 4 35" xfId="7934" xr:uid="{00000000-0005-0000-0000-00003E270000}"/>
    <cellStyle name="Style 4 36" xfId="7935" xr:uid="{00000000-0005-0000-0000-00003F270000}"/>
    <cellStyle name="Style 4 37" xfId="7936" xr:uid="{00000000-0005-0000-0000-000040270000}"/>
    <cellStyle name="Style 4 38" xfId="7937" xr:uid="{00000000-0005-0000-0000-000041270000}"/>
    <cellStyle name="Style 4 39" xfId="7938" xr:uid="{00000000-0005-0000-0000-000042270000}"/>
    <cellStyle name="Style 4 4" xfId="7939" xr:uid="{00000000-0005-0000-0000-000043270000}"/>
    <cellStyle name="Style 4 40" xfId="7940" xr:uid="{00000000-0005-0000-0000-000044270000}"/>
    <cellStyle name="Style 4 41" xfId="7941" xr:uid="{00000000-0005-0000-0000-000045270000}"/>
    <cellStyle name="Style 4 42" xfId="7942" xr:uid="{00000000-0005-0000-0000-000046270000}"/>
    <cellStyle name="Style 4 43" xfId="7943" xr:uid="{00000000-0005-0000-0000-000047270000}"/>
    <cellStyle name="Style 4 44" xfId="7944" xr:uid="{00000000-0005-0000-0000-000048270000}"/>
    <cellStyle name="Style 4 45" xfId="7945" xr:uid="{00000000-0005-0000-0000-000049270000}"/>
    <cellStyle name="Style 4 46" xfId="7946" xr:uid="{00000000-0005-0000-0000-00004A270000}"/>
    <cellStyle name="Style 4 47" xfId="7947" xr:uid="{00000000-0005-0000-0000-00004B270000}"/>
    <cellStyle name="Style 4 48" xfId="7948" xr:uid="{00000000-0005-0000-0000-00004C270000}"/>
    <cellStyle name="Style 4 49" xfId="7949" xr:uid="{00000000-0005-0000-0000-00004D270000}"/>
    <cellStyle name="Style 4 5" xfId="7950" xr:uid="{00000000-0005-0000-0000-00004E270000}"/>
    <cellStyle name="Style 4 50" xfId="7951" xr:uid="{00000000-0005-0000-0000-00004F270000}"/>
    <cellStyle name="Style 4 51" xfId="7952" xr:uid="{00000000-0005-0000-0000-000050270000}"/>
    <cellStyle name="Style 4 52" xfId="7953" xr:uid="{00000000-0005-0000-0000-000051270000}"/>
    <cellStyle name="Style 4 53" xfId="7954" xr:uid="{00000000-0005-0000-0000-000052270000}"/>
    <cellStyle name="Style 4 54" xfId="7955" xr:uid="{00000000-0005-0000-0000-000053270000}"/>
    <cellStyle name="Style 4 55" xfId="7956" xr:uid="{00000000-0005-0000-0000-000054270000}"/>
    <cellStyle name="Style 4 56" xfId="7957" xr:uid="{00000000-0005-0000-0000-000055270000}"/>
    <cellStyle name="Style 4 57" xfId="7958" xr:uid="{00000000-0005-0000-0000-000056270000}"/>
    <cellStyle name="Style 4 58" xfId="7959" xr:uid="{00000000-0005-0000-0000-000057270000}"/>
    <cellStyle name="Style 4 59" xfId="7960" xr:uid="{00000000-0005-0000-0000-000058270000}"/>
    <cellStyle name="Style 4 6" xfId="7961" xr:uid="{00000000-0005-0000-0000-000059270000}"/>
    <cellStyle name="Style 4 60" xfId="7962" xr:uid="{00000000-0005-0000-0000-00005A270000}"/>
    <cellStyle name="Style 4 61" xfId="7963" xr:uid="{00000000-0005-0000-0000-00005B270000}"/>
    <cellStyle name="Style 4 62" xfId="7964" xr:uid="{00000000-0005-0000-0000-00005C270000}"/>
    <cellStyle name="Style 4 63" xfId="7965" xr:uid="{00000000-0005-0000-0000-00005D270000}"/>
    <cellStyle name="Style 4 64" xfId="7966" xr:uid="{00000000-0005-0000-0000-00005E270000}"/>
    <cellStyle name="Style 4 65" xfId="7967" xr:uid="{00000000-0005-0000-0000-00005F270000}"/>
    <cellStyle name="Style 4 66" xfId="7968" xr:uid="{00000000-0005-0000-0000-000060270000}"/>
    <cellStyle name="Style 4 67" xfId="7969" xr:uid="{00000000-0005-0000-0000-000061270000}"/>
    <cellStyle name="Style 4 68" xfId="7970" xr:uid="{00000000-0005-0000-0000-000062270000}"/>
    <cellStyle name="Style 4 69" xfId="7971" xr:uid="{00000000-0005-0000-0000-000063270000}"/>
    <cellStyle name="Style 4 7" xfId="7972" xr:uid="{00000000-0005-0000-0000-000064270000}"/>
    <cellStyle name="Style 4 70" xfId="7973" xr:uid="{00000000-0005-0000-0000-000065270000}"/>
    <cellStyle name="Style 4 71" xfId="7974" xr:uid="{00000000-0005-0000-0000-000066270000}"/>
    <cellStyle name="Style 4 72" xfId="7975" xr:uid="{00000000-0005-0000-0000-000067270000}"/>
    <cellStyle name="Style 4 73" xfId="7976" xr:uid="{00000000-0005-0000-0000-000068270000}"/>
    <cellStyle name="Style 4 74" xfId="7977" xr:uid="{00000000-0005-0000-0000-000069270000}"/>
    <cellStyle name="Style 4 75" xfId="7978" xr:uid="{00000000-0005-0000-0000-00006A270000}"/>
    <cellStyle name="Style 4 76" xfId="7979" xr:uid="{00000000-0005-0000-0000-00006B270000}"/>
    <cellStyle name="Style 4 77" xfId="7980" xr:uid="{00000000-0005-0000-0000-00006C270000}"/>
    <cellStyle name="Style 4 78" xfId="7981" xr:uid="{00000000-0005-0000-0000-00006D270000}"/>
    <cellStyle name="Style 4 79" xfId="7982" xr:uid="{00000000-0005-0000-0000-00006E270000}"/>
    <cellStyle name="Style 4 8" xfId="7983" xr:uid="{00000000-0005-0000-0000-00006F270000}"/>
    <cellStyle name="Style 4 80" xfId="7984" xr:uid="{00000000-0005-0000-0000-000070270000}"/>
    <cellStyle name="Style 4 81" xfId="7985" xr:uid="{00000000-0005-0000-0000-000071270000}"/>
    <cellStyle name="Style 4 82" xfId="7986" xr:uid="{00000000-0005-0000-0000-000072270000}"/>
    <cellStyle name="Style 4 83" xfId="7987" xr:uid="{00000000-0005-0000-0000-000073270000}"/>
    <cellStyle name="Style 4 84" xfId="7988" xr:uid="{00000000-0005-0000-0000-000074270000}"/>
    <cellStyle name="Style 4 85" xfId="7989" xr:uid="{00000000-0005-0000-0000-000075270000}"/>
    <cellStyle name="Style 4 86" xfId="7990" xr:uid="{00000000-0005-0000-0000-000076270000}"/>
    <cellStyle name="Style 4 87" xfId="7991" xr:uid="{00000000-0005-0000-0000-000077270000}"/>
    <cellStyle name="Style 4 88" xfId="7992" xr:uid="{00000000-0005-0000-0000-000078270000}"/>
    <cellStyle name="Style 4 89" xfId="7993" xr:uid="{00000000-0005-0000-0000-000079270000}"/>
    <cellStyle name="Style 4 9" xfId="7994" xr:uid="{00000000-0005-0000-0000-00007A270000}"/>
    <cellStyle name="Style 4 90" xfId="7995" xr:uid="{00000000-0005-0000-0000-00007B270000}"/>
    <cellStyle name="Style 4 91" xfId="7996" xr:uid="{00000000-0005-0000-0000-00007C270000}"/>
    <cellStyle name="Style 4 92" xfId="7997" xr:uid="{00000000-0005-0000-0000-00007D270000}"/>
    <cellStyle name="Style 4 93" xfId="7998" xr:uid="{00000000-0005-0000-0000-00007E270000}"/>
    <cellStyle name="Style 4 94" xfId="7999" xr:uid="{00000000-0005-0000-0000-00007F270000}"/>
    <cellStyle name="Style 4 95" xfId="8000" xr:uid="{00000000-0005-0000-0000-000080270000}"/>
    <cellStyle name="Style 4 96" xfId="8001" xr:uid="{00000000-0005-0000-0000-000081270000}"/>
    <cellStyle name="Style 4 97" xfId="8002" xr:uid="{00000000-0005-0000-0000-000082270000}"/>
    <cellStyle name="Style 4 98" xfId="8003" xr:uid="{00000000-0005-0000-0000-000083270000}"/>
    <cellStyle name="Style 4 99" xfId="8004" xr:uid="{00000000-0005-0000-0000-000084270000}"/>
    <cellStyle name="Style 40" xfId="8005" xr:uid="{00000000-0005-0000-0000-000085270000}"/>
    <cellStyle name="Style 41" xfId="8006" xr:uid="{00000000-0005-0000-0000-000086270000}"/>
    <cellStyle name="Style 42" xfId="8007" xr:uid="{00000000-0005-0000-0000-000087270000}"/>
    <cellStyle name="Style 43" xfId="8008" xr:uid="{00000000-0005-0000-0000-000088270000}"/>
    <cellStyle name="Style 44" xfId="8009" xr:uid="{00000000-0005-0000-0000-000089270000}"/>
    <cellStyle name="Style 45" xfId="8010" xr:uid="{00000000-0005-0000-0000-00008A270000}"/>
    <cellStyle name="Style 46" xfId="8011" xr:uid="{00000000-0005-0000-0000-00008B270000}"/>
    <cellStyle name="Style 47" xfId="8012" xr:uid="{00000000-0005-0000-0000-00008C270000}"/>
    <cellStyle name="Style 48" xfId="8013" xr:uid="{00000000-0005-0000-0000-00008D270000}"/>
    <cellStyle name="Style 49" xfId="8014" xr:uid="{00000000-0005-0000-0000-00008E270000}"/>
    <cellStyle name="Style 5" xfId="8015" xr:uid="{00000000-0005-0000-0000-00008F270000}"/>
    <cellStyle name="Style 50" xfId="8016" xr:uid="{00000000-0005-0000-0000-000090270000}"/>
    <cellStyle name="Style 51" xfId="8017" xr:uid="{00000000-0005-0000-0000-000091270000}"/>
    <cellStyle name="Style 52" xfId="8018" xr:uid="{00000000-0005-0000-0000-000092270000}"/>
    <cellStyle name="Style 53" xfId="8019" xr:uid="{00000000-0005-0000-0000-000093270000}"/>
    <cellStyle name="Style 54" xfId="8020" xr:uid="{00000000-0005-0000-0000-000094270000}"/>
    <cellStyle name="Style 55" xfId="8021" xr:uid="{00000000-0005-0000-0000-000095270000}"/>
    <cellStyle name="Style 56" xfId="8022" xr:uid="{00000000-0005-0000-0000-000096270000}"/>
    <cellStyle name="Style 57" xfId="8023" xr:uid="{00000000-0005-0000-0000-000097270000}"/>
    <cellStyle name="Style 58" xfId="8024" xr:uid="{00000000-0005-0000-0000-000098270000}"/>
    <cellStyle name="Style 59" xfId="8025" xr:uid="{00000000-0005-0000-0000-000099270000}"/>
    <cellStyle name="Style 6" xfId="8026" xr:uid="{00000000-0005-0000-0000-00009A270000}"/>
    <cellStyle name="Style 6 2" xfId="8027" xr:uid="{00000000-0005-0000-0000-00009B270000}"/>
    <cellStyle name="Style 60" xfId="8028" xr:uid="{00000000-0005-0000-0000-00009C270000}"/>
    <cellStyle name="Style 61" xfId="8029" xr:uid="{00000000-0005-0000-0000-00009D270000}"/>
    <cellStyle name="Style 62" xfId="8030" xr:uid="{00000000-0005-0000-0000-00009E270000}"/>
    <cellStyle name="Style 63" xfId="8031" xr:uid="{00000000-0005-0000-0000-00009F270000}"/>
    <cellStyle name="Style 64" xfId="8032" xr:uid="{00000000-0005-0000-0000-0000A0270000}"/>
    <cellStyle name="Style 65" xfId="8033" xr:uid="{00000000-0005-0000-0000-0000A1270000}"/>
    <cellStyle name="Style 66" xfId="8034" xr:uid="{00000000-0005-0000-0000-0000A2270000}"/>
    <cellStyle name="Style 67" xfId="8035" xr:uid="{00000000-0005-0000-0000-0000A3270000}"/>
    <cellStyle name="Style 68" xfId="8036" xr:uid="{00000000-0005-0000-0000-0000A4270000}"/>
    <cellStyle name="Style 69" xfId="8037" xr:uid="{00000000-0005-0000-0000-0000A5270000}"/>
    <cellStyle name="Style 7" xfId="8038" xr:uid="{00000000-0005-0000-0000-0000A6270000}"/>
    <cellStyle name="Style 7 2" xfId="8039" xr:uid="{00000000-0005-0000-0000-0000A7270000}"/>
    <cellStyle name="Style 70" xfId="8040" xr:uid="{00000000-0005-0000-0000-0000A8270000}"/>
    <cellStyle name="Style 71" xfId="8041" xr:uid="{00000000-0005-0000-0000-0000A9270000}"/>
    <cellStyle name="Style 72" xfId="8042" xr:uid="{00000000-0005-0000-0000-0000AA270000}"/>
    <cellStyle name="Style 73" xfId="8043" xr:uid="{00000000-0005-0000-0000-0000AB270000}"/>
    <cellStyle name="Style 74" xfId="8044" xr:uid="{00000000-0005-0000-0000-0000AC270000}"/>
    <cellStyle name="Style 75" xfId="8045" xr:uid="{00000000-0005-0000-0000-0000AD270000}"/>
    <cellStyle name="Style 76" xfId="8046" xr:uid="{00000000-0005-0000-0000-0000AE270000}"/>
    <cellStyle name="Style 77" xfId="8047" xr:uid="{00000000-0005-0000-0000-0000AF270000}"/>
    <cellStyle name="Style 78" xfId="8048" xr:uid="{00000000-0005-0000-0000-0000B0270000}"/>
    <cellStyle name="Style 79" xfId="8049" xr:uid="{00000000-0005-0000-0000-0000B1270000}"/>
    <cellStyle name="Style 8" xfId="8050" xr:uid="{00000000-0005-0000-0000-0000B2270000}"/>
    <cellStyle name="Style 8 2" xfId="8051" xr:uid="{00000000-0005-0000-0000-0000B3270000}"/>
    <cellStyle name="Style 80" xfId="8052" xr:uid="{00000000-0005-0000-0000-0000B4270000}"/>
    <cellStyle name="Style 81" xfId="8053" xr:uid="{00000000-0005-0000-0000-0000B5270000}"/>
    <cellStyle name="Style 82" xfId="8054" xr:uid="{00000000-0005-0000-0000-0000B6270000}"/>
    <cellStyle name="Style 83" xfId="8055" xr:uid="{00000000-0005-0000-0000-0000B7270000}"/>
    <cellStyle name="Style 84" xfId="8056" xr:uid="{00000000-0005-0000-0000-0000B8270000}"/>
    <cellStyle name="Style 85" xfId="8057" xr:uid="{00000000-0005-0000-0000-0000B9270000}"/>
    <cellStyle name="Style 86" xfId="8058" xr:uid="{00000000-0005-0000-0000-0000BA270000}"/>
    <cellStyle name="Style 87" xfId="8059" xr:uid="{00000000-0005-0000-0000-0000BB270000}"/>
    <cellStyle name="Style 88" xfId="8060" xr:uid="{00000000-0005-0000-0000-0000BC270000}"/>
    <cellStyle name="Style 89" xfId="8061" xr:uid="{00000000-0005-0000-0000-0000BD270000}"/>
    <cellStyle name="Style 9" xfId="8062" xr:uid="{00000000-0005-0000-0000-0000BE270000}"/>
    <cellStyle name="Style 9 2" xfId="8063" xr:uid="{00000000-0005-0000-0000-0000BF270000}"/>
    <cellStyle name="Style 90" xfId="8064" xr:uid="{00000000-0005-0000-0000-0000C0270000}"/>
    <cellStyle name="Style 91" xfId="8065" xr:uid="{00000000-0005-0000-0000-0000C1270000}"/>
    <cellStyle name="Style 92" xfId="8066" xr:uid="{00000000-0005-0000-0000-0000C2270000}"/>
    <cellStyle name="Style 93" xfId="8067" xr:uid="{00000000-0005-0000-0000-0000C3270000}"/>
    <cellStyle name="Style 94" xfId="8068" xr:uid="{00000000-0005-0000-0000-0000C4270000}"/>
    <cellStyle name="Style 95" xfId="8069" xr:uid="{00000000-0005-0000-0000-0000C5270000}"/>
    <cellStyle name="Style 96" xfId="8070" xr:uid="{00000000-0005-0000-0000-0000C6270000}"/>
    <cellStyle name="Style 97" xfId="8071" xr:uid="{00000000-0005-0000-0000-0000C7270000}"/>
    <cellStyle name="Style 98" xfId="8072" xr:uid="{00000000-0005-0000-0000-0000C8270000}"/>
    <cellStyle name="Style 99" xfId="8073" xr:uid="{00000000-0005-0000-0000-0000C9270000}"/>
    <cellStyle name="Style Date" xfId="8074" xr:uid="{00000000-0005-0000-0000-0000CA270000}"/>
    <cellStyle name="style_1" xfId="8075" xr:uid="{00000000-0005-0000-0000-0000CB270000}"/>
    <cellStyle name="subhead" xfId="8076" xr:uid="{00000000-0005-0000-0000-0000CC270000}"/>
    <cellStyle name="subhead 2" xfId="8077" xr:uid="{00000000-0005-0000-0000-0000CD270000}"/>
    <cellStyle name="subhead 2 2" xfId="8078" xr:uid="{00000000-0005-0000-0000-0000CE270000}"/>
    <cellStyle name="Subtotal" xfId="8079" xr:uid="{00000000-0005-0000-0000-0000CF270000}"/>
    <cellStyle name="sum" xfId="8080" xr:uid="{00000000-0005-0000-0000-0000D0270000}"/>
    <cellStyle name="sum 2" xfId="8081" xr:uid="{00000000-0005-0000-0000-0000D1270000}"/>
    <cellStyle name="sum 3" xfId="8082" xr:uid="{00000000-0005-0000-0000-0000D2270000}"/>
    <cellStyle name="sum 4" xfId="8083" xr:uid="{00000000-0005-0000-0000-0000D3270000}"/>
    <cellStyle name="sum 5" xfId="8084" xr:uid="{00000000-0005-0000-0000-0000D4270000}"/>
    <cellStyle name="symbol" xfId="8085" xr:uid="{00000000-0005-0000-0000-0000D5270000}"/>
    <cellStyle name="T" xfId="8086" xr:uid="{00000000-0005-0000-0000-0000D6270000}"/>
    <cellStyle name="T 10" xfId="8087" xr:uid="{00000000-0005-0000-0000-0000D7270000}"/>
    <cellStyle name="T 10 2" xfId="11886" xr:uid="{00000000-0005-0000-0000-0000D8270000}"/>
    <cellStyle name="T 10 2 2" xfId="11887" xr:uid="{00000000-0005-0000-0000-0000D9270000}"/>
    <cellStyle name="T 10 3" xfId="11888" xr:uid="{00000000-0005-0000-0000-0000DA270000}"/>
    <cellStyle name="T 100" xfId="8088" xr:uid="{00000000-0005-0000-0000-0000DB270000}"/>
    <cellStyle name="T 100 2" xfId="11889" xr:uid="{00000000-0005-0000-0000-0000DC270000}"/>
    <cellStyle name="T 100 2 2" xfId="11890" xr:uid="{00000000-0005-0000-0000-0000DD270000}"/>
    <cellStyle name="T 100 3" xfId="11891" xr:uid="{00000000-0005-0000-0000-0000DE270000}"/>
    <cellStyle name="T 101" xfId="8089" xr:uid="{00000000-0005-0000-0000-0000DF270000}"/>
    <cellStyle name="T 101 2" xfId="11892" xr:uid="{00000000-0005-0000-0000-0000E0270000}"/>
    <cellStyle name="T 101 2 2" xfId="11893" xr:uid="{00000000-0005-0000-0000-0000E1270000}"/>
    <cellStyle name="T 101 3" xfId="11894" xr:uid="{00000000-0005-0000-0000-0000E2270000}"/>
    <cellStyle name="T 102" xfId="8090" xr:uid="{00000000-0005-0000-0000-0000E3270000}"/>
    <cellStyle name="T 102 2" xfId="11895" xr:uid="{00000000-0005-0000-0000-0000E4270000}"/>
    <cellStyle name="T 102 2 2" xfId="11896" xr:uid="{00000000-0005-0000-0000-0000E5270000}"/>
    <cellStyle name="T 102 3" xfId="11897" xr:uid="{00000000-0005-0000-0000-0000E6270000}"/>
    <cellStyle name="T 103" xfId="8091" xr:uid="{00000000-0005-0000-0000-0000E7270000}"/>
    <cellStyle name="T 103 2" xfId="11898" xr:uid="{00000000-0005-0000-0000-0000E8270000}"/>
    <cellStyle name="T 103 2 2" xfId="11899" xr:uid="{00000000-0005-0000-0000-0000E9270000}"/>
    <cellStyle name="T 103 3" xfId="11900" xr:uid="{00000000-0005-0000-0000-0000EA270000}"/>
    <cellStyle name="T 104" xfId="8092" xr:uid="{00000000-0005-0000-0000-0000EB270000}"/>
    <cellStyle name="T 104 2" xfId="11901" xr:uid="{00000000-0005-0000-0000-0000EC270000}"/>
    <cellStyle name="T 104 2 2" xfId="11902" xr:uid="{00000000-0005-0000-0000-0000ED270000}"/>
    <cellStyle name="T 104 3" xfId="11903" xr:uid="{00000000-0005-0000-0000-0000EE270000}"/>
    <cellStyle name="T 105" xfId="8093" xr:uid="{00000000-0005-0000-0000-0000EF270000}"/>
    <cellStyle name="T 105 2" xfId="11904" xr:uid="{00000000-0005-0000-0000-0000F0270000}"/>
    <cellStyle name="T 105 2 2" xfId="11905" xr:uid="{00000000-0005-0000-0000-0000F1270000}"/>
    <cellStyle name="T 105 3" xfId="11906" xr:uid="{00000000-0005-0000-0000-0000F2270000}"/>
    <cellStyle name="T 106" xfId="8094" xr:uid="{00000000-0005-0000-0000-0000F3270000}"/>
    <cellStyle name="T 106 2" xfId="11907" xr:uid="{00000000-0005-0000-0000-0000F4270000}"/>
    <cellStyle name="T 106 2 2" xfId="11908" xr:uid="{00000000-0005-0000-0000-0000F5270000}"/>
    <cellStyle name="T 106 3" xfId="11909" xr:uid="{00000000-0005-0000-0000-0000F6270000}"/>
    <cellStyle name="T 107" xfId="8095" xr:uid="{00000000-0005-0000-0000-0000F7270000}"/>
    <cellStyle name="T 107 2" xfId="11910" xr:uid="{00000000-0005-0000-0000-0000F8270000}"/>
    <cellStyle name="T 107 2 2" xfId="11911" xr:uid="{00000000-0005-0000-0000-0000F9270000}"/>
    <cellStyle name="T 107 3" xfId="11912" xr:uid="{00000000-0005-0000-0000-0000FA270000}"/>
    <cellStyle name="T 108" xfId="8096" xr:uid="{00000000-0005-0000-0000-0000FB270000}"/>
    <cellStyle name="T 108 2" xfId="11913" xr:uid="{00000000-0005-0000-0000-0000FC270000}"/>
    <cellStyle name="T 108 2 2" xfId="11914" xr:uid="{00000000-0005-0000-0000-0000FD270000}"/>
    <cellStyle name="T 108 3" xfId="11915" xr:uid="{00000000-0005-0000-0000-0000FE270000}"/>
    <cellStyle name="T 109" xfId="8097" xr:uid="{00000000-0005-0000-0000-0000FF270000}"/>
    <cellStyle name="T 109 2" xfId="11916" xr:uid="{00000000-0005-0000-0000-000000280000}"/>
    <cellStyle name="T 109 2 2" xfId="11917" xr:uid="{00000000-0005-0000-0000-000001280000}"/>
    <cellStyle name="T 109 3" xfId="11918" xr:uid="{00000000-0005-0000-0000-000002280000}"/>
    <cellStyle name="T 11" xfId="8098" xr:uid="{00000000-0005-0000-0000-000003280000}"/>
    <cellStyle name="T 11 2" xfId="11919" xr:uid="{00000000-0005-0000-0000-000004280000}"/>
    <cellStyle name="T 11 2 2" xfId="11920" xr:uid="{00000000-0005-0000-0000-000005280000}"/>
    <cellStyle name="T 11 3" xfId="11921" xr:uid="{00000000-0005-0000-0000-000006280000}"/>
    <cellStyle name="T 110" xfId="8099" xr:uid="{00000000-0005-0000-0000-000007280000}"/>
    <cellStyle name="T 110 2" xfId="11922" xr:uid="{00000000-0005-0000-0000-000008280000}"/>
    <cellStyle name="T 110 2 2" xfId="11923" xr:uid="{00000000-0005-0000-0000-000009280000}"/>
    <cellStyle name="T 110 3" xfId="11924" xr:uid="{00000000-0005-0000-0000-00000A280000}"/>
    <cellStyle name="T 111" xfId="8100" xr:uid="{00000000-0005-0000-0000-00000B280000}"/>
    <cellStyle name="T 111 2" xfId="11925" xr:uid="{00000000-0005-0000-0000-00000C280000}"/>
    <cellStyle name="T 111 2 2" xfId="11926" xr:uid="{00000000-0005-0000-0000-00000D280000}"/>
    <cellStyle name="T 111 3" xfId="11927" xr:uid="{00000000-0005-0000-0000-00000E280000}"/>
    <cellStyle name="T 112" xfId="11928" xr:uid="{00000000-0005-0000-0000-00000F280000}"/>
    <cellStyle name="T 112 2" xfId="11929" xr:uid="{00000000-0005-0000-0000-000010280000}"/>
    <cellStyle name="T 113" xfId="11930" xr:uid="{00000000-0005-0000-0000-000011280000}"/>
    <cellStyle name="T 12" xfId="8101" xr:uid="{00000000-0005-0000-0000-000012280000}"/>
    <cellStyle name="T 12 2" xfId="11931" xr:uid="{00000000-0005-0000-0000-000013280000}"/>
    <cellStyle name="T 12 2 2" xfId="11932" xr:uid="{00000000-0005-0000-0000-000014280000}"/>
    <cellStyle name="T 12 3" xfId="11933" xr:uid="{00000000-0005-0000-0000-000015280000}"/>
    <cellStyle name="T 13" xfId="8102" xr:uid="{00000000-0005-0000-0000-000016280000}"/>
    <cellStyle name="T 13 2" xfId="11934" xr:uid="{00000000-0005-0000-0000-000017280000}"/>
    <cellStyle name="T 13 2 2" xfId="11935" xr:uid="{00000000-0005-0000-0000-000018280000}"/>
    <cellStyle name="T 13 3" xfId="11936" xr:uid="{00000000-0005-0000-0000-000019280000}"/>
    <cellStyle name="T 14" xfId="8103" xr:uid="{00000000-0005-0000-0000-00001A280000}"/>
    <cellStyle name="T 14 2" xfId="11937" xr:uid="{00000000-0005-0000-0000-00001B280000}"/>
    <cellStyle name="T 14 2 2" xfId="11938" xr:uid="{00000000-0005-0000-0000-00001C280000}"/>
    <cellStyle name="T 14 3" xfId="11939" xr:uid="{00000000-0005-0000-0000-00001D280000}"/>
    <cellStyle name="T 15" xfId="8104" xr:uid="{00000000-0005-0000-0000-00001E280000}"/>
    <cellStyle name="T 15 2" xfId="11940" xr:uid="{00000000-0005-0000-0000-00001F280000}"/>
    <cellStyle name="T 15 2 2" xfId="11941" xr:uid="{00000000-0005-0000-0000-000020280000}"/>
    <cellStyle name="T 15 3" xfId="11942" xr:uid="{00000000-0005-0000-0000-000021280000}"/>
    <cellStyle name="T 16" xfId="8105" xr:uid="{00000000-0005-0000-0000-000022280000}"/>
    <cellStyle name="T 16 2" xfId="11943" xr:uid="{00000000-0005-0000-0000-000023280000}"/>
    <cellStyle name="T 16 2 2" xfId="11944" xr:uid="{00000000-0005-0000-0000-000024280000}"/>
    <cellStyle name="T 16 3" xfId="11945" xr:uid="{00000000-0005-0000-0000-000025280000}"/>
    <cellStyle name="T 17" xfId="8106" xr:uid="{00000000-0005-0000-0000-000026280000}"/>
    <cellStyle name="T 17 2" xfId="11946" xr:uid="{00000000-0005-0000-0000-000027280000}"/>
    <cellStyle name="T 17 2 2" xfId="11947" xr:uid="{00000000-0005-0000-0000-000028280000}"/>
    <cellStyle name="T 17 3" xfId="11948" xr:uid="{00000000-0005-0000-0000-000029280000}"/>
    <cellStyle name="T 18" xfId="8107" xr:uid="{00000000-0005-0000-0000-00002A280000}"/>
    <cellStyle name="T 18 2" xfId="11949" xr:uid="{00000000-0005-0000-0000-00002B280000}"/>
    <cellStyle name="T 18 2 2" xfId="11950" xr:uid="{00000000-0005-0000-0000-00002C280000}"/>
    <cellStyle name="T 18 3" xfId="11951" xr:uid="{00000000-0005-0000-0000-00002D280000}"/>
    <cellStyle name="T 19" xfId="8108" xr:uid="{00000000-0005-0000-0000-00002E280000}"/>
    <cellStyle name="T 19 2" xfId="11952" xr:uid="{00000000-0005-0000-0000-00002F280000}"/>
    <cellStyle name="T 19 2 2" xfId="11953" xr:uid="{00000000-0005-0000-0000-000030280000}"/>
    <cellStyle name="T 19 3" xfId="11954" xr:uid="{00000000-0005-0000-0000-000031280000}"/>
    <cellStyle name="T 2" xfId="8109" xr:uid="{00000000-0005-0000-0000-000032280000}"/>
    <cellStyle name="T 2 2" xfId="8110" xr:uid="{00000000-0005-0000-0000-000033280000}"/>
    <cellStyle name="T 2 2 2" xfId="11955" xr:uid="{00000000-0005-0000-0000-000034280000}"/>
    <cellStyle name="T 2 2 2 2" xfId="11956" xr:uid="{00000000-0005-0000-0000-000035280000}"/>
    <cellStyle name="T 2 2 3" xfId="11957" xr:uid="{00000000-0005-0000-0000-000036280000}"/>
    <cellStyle name="T 2 3" xfId="11958" xr:uid="{00000000-0005-0000-0000-000037280000}"/>
    <cellStyle name="T 2 3 2" xfId="11959" xr:uid="{00000000-0005-0000-0000-000038280000}"/>
    <cellStyle name="T 2 4" xfId="11960" xr:uid="{00000000-0005-0000-0000-000039280000}"/>
    <cellStyle name="T 20" xfId="8111" xr:uid="{00000000-0005-0000-0000-00003A280000}"/>
    <cellStyle name="T 20 2" xfId="11961" xr:uid="{00000000-0005-0000-0000-00003B280000}"/>
    <cellStyle name="T 20 2 2" xfId="11962" xr:uid="{00000000-0005-0000-0000-00003C280000}"/>
    <cellStyle name="T 20 3" xfId="11963" xr:uid="{00000000-0005-0000-0000-00003D280000}"/>
    <cellStyle name="T 21" xfId="8112" xr:uid="{00000000-0005-0000-0000-00003E280000}"/>
    <cellStyle name="T 21 2" xfId="11964" xr:uid="{00000000-0005-0000-0000-00003F280000}"/>
    <cellStyle name="T 21 2 2" xfId="11965" xr:uid="{00000000-0005-0000-0000-000040280000}"/>
    <cellStyle name="T 21 3" xfId="11966" xr:uid="{00000000-0005-0000-0000-000041280000}"/>
    <cellStyle name="T 22" xfId="8113" xr:uid="{00000000-0005-0000-0000-000042280000}"/>
    <cellStyle name="T 22 2" xfId="11967" xr:uid="{00000000-0005-0000-0000-000043280000}"/>
    <cellStyle name="T 22 2 2" xfId="11968" xr:uid="{00000000-0005-0000-0000-000044280000}"/>
    <cellStyle name="T 22 3" xfId="11969" xr:uid="{00000000-0005-0000-0000-000045280000}"/>
    <cellStyle name="T 23" xfId="8114" xr:uid="{00000000-0005-0000-0000-000046280000}"/>
    <cellStyle name="T 23 2" xfId="11970" xr:uid="{00000000-0005-0000-0000-000047280000}"/>
    <cellStyle name="T 23 2 2" xfId="11971" xr:uid="{00000000-0005-0000-0000-000048280000}"/>
    <cellStyle name="T 23 3" xfId="11972" xr:uid="{00000000-0005-0000-0000-000049280000}"/>
    <cellStyle name="T 24" xfId="8115" xr:uid="{00000000-0005-0000-0000-00004A280000}"/>
    <cellStyle name="T 24 2" xfId="11973" xr:uid="{00000000-0005-0000-0000-00004B280000}"/>
    <cellStyle name="T 24 2 2" xfId="11974" xr:uid="{00000000-0005-0000-0000-00004C280000}"/>
    <cellStyle name="T 24 3" xfId="11975" xr:uid="{00000000-0005-0000-0000-00004D280000}"/>
    <cellStyle name="T 25" xfId="8116" xr:uid="{00000000-0005-0000-0000-00004E280000}"/>
    <cellStyle name="T 25 2" xfId="11976" xr:uid="{00000000-0005-0000-0000-00004F280000}"/>
    <cellStyle name="T 25 2 2" xfId="11977" xr:uid="{00000000-0005-0000-0000-000050280000}"/>
    <cellStyle name="T 25 3" xfId="11978" xr:uid="{00000000-0005-0000-0000-000051280000}"/>
    <cellStyle name="T 26" xfId="8117" xr:uid="{00000000-0005-0000-0000-000052280000}"/>
    <cellStyle name="T 26 2" xfId="11979" xr:uid="{00000000-0005-0000-0000-000053280000}"/>
    <cellStyle name="T 26 2 2" xfId="11980" xr:uid="{00000000-0005-0000-0000-000054280000}"/>
    <cellStyle name="T 26 3" xfId="11981" xr:uid="{00000000-0005-0000-0000-000055280000}"/>
    <cellStyle name="T 27" xfId="8118" xr:uid="{00000000-0005-0000-0000-000056280000}"/>
    <cellStyle name="T 27 2" xfId="11982" xr:uid="{00000000-0005-0000-0000-000057280000}"/>
    <cellStyle name="T 27 2 2" xfId="11983" xr:uid="{00000000-0005-0000-0000-000058280000}"/>
    <cellStyle name="T 27 3" xfId="11984" xr:uid="{00000000-0005-0000-0000-000059280000}"/>
    <cellStyle name="T 28" xfId="8119" xr:uid="{00000000-0005-0000-0000-00005A280000}"/>
    <cellStyle name="T 28 2" xfId="11985" xr:uid="{00000000-0005-0000-0000-00005B280000}"/>
    <cellStyle name="T 28 2 2" xfId="11986" xr:uid="{00000000-0005-0000-0000-00005C280000}"/>
    <cellStyle name="T 28 3" xfId="11987" xr:uid="{00000000-0005-0000-0000-00005D280000}"/>
    <cellStyle name="T 29" xfId="8120" xr:uid="{00000000-0005-0000-0000-00005E280000}"/>
    <cellStyle name="T 29 2" xfId="11988" xr:uid="{00000000-0005-0000-0000-00005F280000}"/>
    <cellStyle name="T 29 2 2" xfId="11989" xr:uid="{00000000-0005-0000-0000-000060280000}"/>
    <cellStyle name="T 29 3" xfId="11990" xr:uid="{00000000-0005-0000-0000-000061280000}"/>
    <cellStyle name="T 3" xfId="8121" xr:uid="{00000000-0005-0000-0000-000062280000}"/>
    <cellStyle name="T 3 2" xfId="11991" xr:uid="{00000000-0005-0000-0000-000063280000}"/>
    <cellStyle name="T 3 2 2" xfId="11992" xr:uid="{00000000-0005-0000-0000-000064280000}"/>
    <cellStyle name="T 3 3" xfId="11993" xr:uid="{00000000-0005-0000-0000-000065280000}"/>
    <cellStyle name="T 30" xfId="8122" xr:uid="{00000000-0005-0000-0000-000066280000}"/>
    <cellStyle name="T 30 2" xfId="11994" xr:uid="{00000000-0005-0000-0000-000067280000}"/>
    <cellStyle name="T 30 2 2" xfId="11995" xr:uid="{00000000-0005-0000-0000-000068280000}"/>
    <cellStyle name="T 30 3" xfId="11996" xr:uid="{00000000-0005-0000-0000-000069280000}"/>
    <cellStyle name="T 31" xfId="8123" xr:uid="{00000000-0005-0000-0000-00006A280000}"/>
    <cellStyle name="T 31 2" xfId="11997" xr:uid="{00000000-0005-0000-0000-00006B280000}"/>
    <cellStyle name="T 31 2 2" xfId="11998" xr:uid="{00000000-0005-0000-0000-00006C280000}"/>
    <cellStyle name="T 31 3" xfId="11999" xr:uid="{00000000-0005-0000-0000-00006D280000}"/>
    <cellStyle name="T 32" xfId="8124" xr:uid="{00000000-0005-0000-0000-00006E280000}"/>
    <cellStyle name="T 32 2" xfId="12000" xr:uid="{00000000-0005-0000-0000-00006F280000}"/>
    <cellStyle name="T 32 2 2" xfId="12001" xr:uid="{00000000-0005-0000-0000-000070280000}"/>
    <cellStyle name="T 32 3" xfId="12002" xr:uid="{00000000-0005-0000-0000-000071280000}"/>
    <cellStyle name="T 33" xfId="8125" xr:uid="{00000000-0005-0000-0000-000072280000}"/>
    <cellStyle name="T 33 2" xfId="12003" xr:uid="{00000000-0005-0000-0000-000073280000}"/>
    <cellStyle name="T 33 2 2" xfId="12004" xr:uid="{00000000-0005-0000-0000-000074280000}"/>
    <cellStyle name="T 33 3" xfId="12005" xr:uid="{00000000-0005-0000-0000-000075280000}"/>
    <cellStyle name="T 34" xfId="8126" xr:uid="{00000000-0005-0000-0000-000076280000}"/>
    <cellStyle name="T 34 2" xfId="12006" xr:uid="{00000000-0005-0000-0000-000077280000}"/>
    <cellStyle name="T 34 2 2" xfId="12007" xr:uid="{00000000-0005-0000-0000-000078280000}"/>
    <cellStyle name="T 34 3" xfId="12008" xr:uid="{00000000-0005-0000-0000-000079280000}"/>
    <cellStyle name="T 35" xfId="8127" xr:uid="{00000000-0005-0000-0000-00007A280000}"/>
    <cellStyle name="T 35 2" xfId="12009" xr:uid="{00000000-0005-0000-0000-00007B280000}"/>
    <cellStyle name="T 35 2 2" xfId="12010" xr:uid="{00000000-0005-0000-0000-00007C280000}"/>
    <cellStyle name="T 35 3" xfId="12011" xr:uid="{00000000-0005-0000-0000-00007D280000}"/>
    <cellStyle name="T 36" xfId="8128" xr:uid="{00000000-0005-0000-0000-00007E280000}"/>
    <cellStyle name="T 36 2" xfId="12012" xr:uid="{00000000-0005-0000-0000-00007F280000}"/>
    <cellStyle name="T 36 2 2" xfId="12013" xr:uid="{00000000-0005-0000-0000-000080280000}"/>
    <cellStyle name="T 36 3" xfId="12014" xr:uid="{00000000-0005-0000-0000-000081280000}"/>
    <cellStyle name="T 37" xfId="8129" xr:uid="{00000000-0005-0000-0000-000082280000}"/>
    <cellStyle name="T 37 2" xfId="12015" xr:uid="{00000000-0005-0000-0000-000083280000}"/>
    <cellStyle name="T 37 2 2" xfId="12016" xr:uid="{00000000-0005-0000-0000-000084280000}"/>
    <cellStyle name="T 37 3" xfId="12017" xr:uid="{00000000-0005-0000-0000-000085280000}"/>
    <cellStyle name="T 38" xfId="8130" xr:uid="{00000000-0005-0000-0000-000086280000}"/>
    <cellStyle name="T 38 2" xfId="12018" xr:uid="{00000000-0005-0000-0000-000087280000}"/>
    <cellStyle name="T 38 2 2" xfId="12019" xr:uid="{00000000-0005-0000-0000-000088280000}"/>
    <cellStyle name="T 38 3" xfId="12020" xr:uid="{00000000-0005-0000-0000-000089280000}"/>
    <cellStyle name="T 39" xfId="8131" xr:uid="{00000000-0005-0000-0000-00008A280000}"/>
    <cellStyle name="T 39 2" xfId="12021" xr:uid="{00000000-0005-0000-0000-00008B280000}"/>
    <cellStyle name="T 39 2 2" xfId="12022" xr:uid="{00000000-0005-0000-0000-00008C280000}"/>
    <cellStyle name="T 39 3" xfId="12023" xr:uid="{00000000-0005-0000-0000-00008D280000}"/>
    <cellStyle name="T 4" xfId="8132" xr:uid="{00000000-0005-0000-0000-00008E280000}"/>
    <cellStyle name="T 4 2" xfId="12024" xr:uid="{00000000-0005-0000-0000-00008F280000}"/>
    <cellStyle name="T 4 2 2" xfId="12025" xr:uid="{00000000-0005-0000-0000-000090280000}"/>
    <cellStyle name="T 4 3" xfId="12026" xr:uid="{00000000-0005-0000-0000-000091280000}"/>
    <cellStyle name="T 40" xfId="8133" xr:uid="{00000000-0005-0000-0000-000092280000}"/>
    <cellStyle name="T 40 2" xfId="12027" xr:uid="{00000000-0005-0000-0000-000093280000}"/>
    <cellStyle name="T 40 2 2" xfId="12028" xr:uid="{00000000-0005-0000-0000-000094280000}"/>
    <cellStyle name="T 40 3" xfId="12029" xr:uid="{00000000-0005-0000-0000-000095280000}"/>
    <cellStyle name="T 41" xfId="8134" xr:uid="{00000000-0005-0000-0000-000096280000}"/>
    <cellStyle name="T 41 2" xfId="12030" xr:uid="{00000000-0005-0000-0000-000097280000}"/>
    <cellStyle name="T 41 2 2" xfId="12031" xr:uid="{00000000-0005-0000-0000-000098280000}"/>
    <cellStyle name="T 41 3" xfId="12032" xr:uid="{00000000-0005-0000-0000-000099280000}"/>
    <cellStyle name="T 42" xfId="8135" xr:uid="{00000000-0005-0000-0000-00009A280000}"/>
    <cellStyle name="T 42 2" xfId="12033" xr:uid="{00000000-0005-0000-0000-00009B280000}"/>
    <cellStyle name="T 42 2 2" xfId="12034" xr:uid="{00000000-0005-0000-0000-00009C280000}"/>
    <cellStyle name="T 42 3" xfId="12035" xr:uid="{00000000-0005-0000-0000-00009D280000}"/>
    <cellStyle name="T 43" xfId="8136" xr:uid="{00000000-0005-0000-0000-00009E280000}"/>
    <cellStyle name="T 43 2" xfId="12036" xr:uid="{00000000-0005-0000-0000-00009F280000}"/>
    <cellStyle name="T 43 2 2" xfId="12037" xr:uid="{00000000-0005-0000-0000-0000A0280000}"/>
    <cellStyle name="T 43 3" xfId="12038" xr:uid="{00000000-0005-0000-0000-0000A1280000}"/>
    <cellStyle name="T 44" xfId="8137" xr:uid="{00000000-0005-0000-0000-0000A2280000}"/>
    <cellStyle name="T 44 2" xfId="12039" xr:uid="{00000000-0005-0000-0000-0000A3280000}"/>
    <cellStyle name="T 44 2 2" xfId="12040" xr:uid="{00000000-0005-0000-0000-0000A4280000}"/>
    <cellStyle name="T 44 3" xfId="12041" xr:uid="{00000000-0005-0000-0000-0000A5280000}"/>
    <cellStyle name="T 45" xfId="8138" xr:uid="{00000000-0005-0000-0000-0000A6280000}"/>
    <cellStyle name="T 45 2" xfId="12042" xr:uid="{00000000-0005-0000-0000-0000A7280000}"/>
    <cellStyle name="T 45 2 2" xfId="12043" xr:uid="{00000000-0005-0000-0000-0000A8280000}"/>
    <cellStyle name="T 45 3" xfId="12044" xr:uid="{00000000-0005-0000-0000-0000A9280000}"/>
    <cellStyle name="T 46" xfId="8139" xr:uid="{00000000-0005-0000-0000-0000AA280000}"/>
    <cellStyle name="T 46 2" xfId="12045" xr:uid="{00000000-0005-0000-0000-0000AB280000}"/>
    <cellStyle name="T 46 2 2" xfId="12046" xr:uid="{00000000-0005-0000-0000-0000AC280000}"/>
    <cellStyle name="T 46 3" xfId="12047" xr:uid="{00000000-0005-0000-0000-0000AD280000}"/>
    <cellStyle name="T 47" xfId="8140" xr:uid="{00000000-0005-0000-0000-0000AE280000}"/>
    <cellStyle name="T 47 2" xfId="12048" xr:uid="{00000000-0005-0000-0000-0000AF280000}"/>
    <cellStyle name="T 47 2 2" xfId="12049" xr:uid="{00000000-0005-0000-0000-0000B0280000}"/>
    <cellStyle name="T 47 3" xfId="12050" xr:uid="{00000000-0005-0000-0000-0000B1280000}"/>
    <cellStyle name="T 48" xfId="8141" xr:uid="{00000000-0005-0000-0000-0000B2280000}"/>
    <cellStyle name="T 48 2" xfId="12051" xr:uid="{00000000-0005-0000-0000-0000B3280000}"/>
    <cellStyle name="T 48 2 2" xfId="12052" xr:uid="{00000000-0005-0000-0000-0000B4280000}"/>
    <cellStyle name="T 48 3" xfId="12053" xr:uid="{00000000-0005-0000-0000-0000B5280000}"/>
    <cellStyle name="T 49" xfId="8142" xr:uid="{00000000-0005-0000-0000-0000B6280000}"/>
    <cellStyle name="T 49 2" xfId="12054" xr:uid="{00000000-0005-0000-0000-0000B7280000}"/>
    <cellStyle name="T 49 2 2" xfId="12055" xr:uid="{00000000-0005-0000-0000-0000B8280000}"/>
    <cellStyle name="T 49 3" xfId="12056" xr:uid="{00000000-0005-0000-0000-0000B9280000}"/>
    <cellStyle name="T 5" xfId="8143" xr:uid="{00000000-0005-0000-0000-0000BA280000}"/>
    <cellStyle name="T 5 2" xfId="12057" xr:uid="{00000000-0005-0000-0000-0000BB280000}"/>
    <cellStyle name="T 5 2 2" xfId="12058" xr:uid="{00000000-0005-0000-0000-0000BC280000}"/>
    <cellStyle name="T 5 3" xfId="12059" xr:uid="{00000000-0005-0000-0000-0000BD280000}"/>
    <cellStyle name="T 50" xfId="8144" xr:uid="{00000000-0005-0000-0000-0000BE280000}"/>
    <cellStyle name="T 50 2" xfId="12060" xr:uid="{00000000-0005-0000-0000-0000BF280000}"/>
    <cellStyle name="T 50 2 2" xfId="12061" xr:uid="{00000000-0005-0000-0000-0000C0280000}"/>
    <cellStyle name="T 50 3" xfId="12062" xr:uid="{00000000-0005-0000-0000-0000C1280000}"/>
    <cellStyle name="T 51" xfId="8145" xr:uid="{00000000-0005-0000-0000-0000C2280000}"/>
    <cellStyle name="T 51 2" xfId="12063" xr:uid="{00000000-0005-0000-0000-0000C3280000}"/>
    <cellStyle name="T 51 2 2" xfId="12064" xr:uid="{00000000-0005-0000-0000-0000C4280000}"/>
    <cellStyle name="T 51 3" xfId="12065" xr:uid="{00000000-0005-0000-0000-0000C5280000}"/>
    <cellStyle name="T 52" xfId="8146" xr:uid="{00000000-0005-0000-0000-0000C6280000}"/>
    <cellStyle name="T 52 2" xfId="12066" xr:uid="{00000000-0005-0000-0000-0000C7280000}"/>
    <cellStyle name="T 52 2 2" xfId="12067" xr:uid="{00000000-0005-0000-0000-0000C8280000}"/>
    <cellStyle name="T 52 3" xfId="12068" xr:uid="{00000000-0005-0000-0000-0000C9280000}"/>
    <cellStyle name="T 53" xfId="8147" xr:uid="{00000000-0005-0000-0000-0000CA280000}"/>
    <cellStyle name="T 53 2" xfId="12069" xr:uid="{00000000-0005-0000-0000-0000CB280000}"/>
    <cellStyle name="T 53 2 2" xfId="12070" xr:uid="{00000000-0005-0000-0000-0000CC280000}"/>
    <cellStyle name="T 53 3" xfId="12071" xr:uid="{00000000-0005-0000-0000-0000CD280000}"/>
    <cellStyle name="T 54" xfId="8148" xr:uid="{00000000-0005-0000-0000-0000CE280000}"/>
    <cellStyle name="T 54 2" xfId="12072" xr:uid="{00000000-0005-0000-0000-0000CF280000}"/>
    <cellStyle name="T 54 2 2" xfId="12073" xr:uid="{00000000-0005-0000-0000-0000D0280000}"/>
    <cellStyle name="T 54 3" xfId="12074" xr:uid="{00000000-0005-0000-0000-0000D1280000}"/>
    <cellStyle name="T 55" xfId="8149" xr:uid="{00000000-0005-0000-0000-0000D2280000}"/>
    <cellStyle name="T 55 2" xfId="12075" xr:uid="{00000000-0005-0000-0000-0000D3280000}"/>
    <cellStyle name="T 55 2 2" xfId="12076" xr:uid="{00000000-0005-0000-0000-0000D4280000}"/>
    <cellStyle name="T 55 3" xfId="12077" xr:uid="{00000000-0005-0000-0000-0000D5280000}"/>
    <cellStyle name="T 56" xfId="8150" xr:uid="{00000000-0005-0000-0000-0000D6280000}"/>
    <cellStyle name="T 56 2" xfId="12078" xr:uid="{00000000-0005-0000-0000-0000D7280000}"/>
    <cellStyle name="T 56 2 2" xfId="12079" xr:uid="{00000000-0005-0000-0000-0000D8280000}"/>
    <cellStyle name="T 56 3" xfId="12080" xr:uid="{00000000-0005-0000-0000-0000D9280000}"/>
    <cellStyle name="T 57" xfId="8151" xr:uid="{00000000-0005-0000-0000-0000DA280000}"/>
    <cellStyle name="T 57 2" xfId="12081" xr:uid="{00000000-0005-0000-0000-0000DB280000}"/>
    <cellStyle name="T 57 2 2" xfId="12082" xr:uid="{00000000-0005-0000-0000-0000DC280000}"/>
    <cellStyle name="T 57 3" xfId="12083" xr:uid="{00000000-0005-0000-0000-0000DD280000}"/>
    <cellStyle name="T 58" xfId="8152" xr:uid="{00000000-0005-0000-0000-0000DE280000}"/>
    <cellStyle name="T 58 2" xfId="12084" xr:uid="{00000000-0005-0000-0000-0000DF280000}"/>
    <cellStyle name="T 58 2 2" xfId="12085" xr:uid="{00000000-0005-0000-0000-0000E0280000}"/>
    <cellStyle name="T 58 3" xfId="12086" xr:uid="{00000000-0005-0000-0000-0000E1280000}"/>
    <cellStyle name="T 59" xfId="8153" xr:uid="{00000000-0005-0000-0000-0000E2280000}"/>
    <cellStyle name="T 59 2" xfId="12087" xr:uid="{00000000-0005-0000-0000-0000E3280000}"/>
    <cellStyle name="T 59 2 2" xfId="12088" xr:uid="{00000000-0005-0000-0000-0000E4280000}"/>
    <cellStyle name="T 59 3" xfId="12089" xr:uid="{00000000-0005-0000-0000-0000E5280000}"/>
    <cellStyle name="T 6" xfId="8154" xr:uid="{00000000-0005-0000-0000-0000E6280000}"/>
    <cellStyle name="T 6 2" xfId="12090" xr:uid="{00000000-0005-0000-0000-0000E7280000}"/>
    <cellStyle name="T 6 2 2" xfId="12091" xr:uid="{00000000-0005-0000-0000-0000E8280000}"/>
    <cellStyle name="T 6 3" xfId="12092" xr:uid="{00000000-0005-0000-0000-0000E9280000}"/>
    <cellStyle name="T 60" xfId="8155" xr:uid="{00000000-0005-0000-0000-0000EA280000}"/>
    <cellStyle name="T 60 2" xfId="12093" xr:uid="{00000000-0005-0000-0000-0000EB280000}"/>
    <cellStyle name="T 60 2 2" xfId="12094" xr:uid="{00000000-0005-0000-0000-0000EC280000}"/>
    <cellStyle name="T 60 3" xfId="12095" xr:uid="{00000000-0005-0000-0000-0000ED280000}"/>
    <cellStyle name="T 61" xfId="8156" xr:uid="{00000000-0005-0000-0000-0000EE280000}"/>
    <cellStyle name="T 61 2" xfId="12096" xr:uid="{00000000-0005-0000-0000-0000EF280000}"/>
    <cellStyle name="T 61 2 2" xfId="12097" xr:uid="{00000000-0005-0000-0000-0000F0280000}"/>
    <cellStyle name="T 61 3" xfId="12098" xr:uid="{00000000-0005-0000-0000-0000F1280000}"/>
    <cellStyle name="T 62" xfId="8157" xr:uid="{00000000-0005-0000-0000-0000F2280000}"/>
    <cellStyle name="T 62 2" xfId="12099" xr:uid="{00000000-0005-0000-0000-0000F3280000}"/>
    <cellStyle name="T 62 2 2" xfId="12100" xr:uid="{00000000-0005-0000-0000-0000F4280000}"/>
    <cellStyle name="T 62 3" xfId="12101" xr:uid="{00000000-0005-0000-0000-0000F5280000}"/>
    <cellStyle name="T 63" xfId="8158" xr:uid="{00000000-0005-0000-0000-0000F6280000}"/>
    <cellStyle name="T 63 2" xfId="12102" xr:uid="{00000000-0005-0000-0000-0000F7280000}"/>
    <cellStyle name="T 63 2 2" xfId="12103" xr:uid="{00000000-0005-0000-0000-0000F8280000}"/>
    <cellStyle name="T 63 3" xfId="12104" xr:uid="{00000000-0005-0000-0000-0000F9280000}"/>
    <cellStyle name="T 64" xfId="8159" xr:uid="{00000000-0005-0000-0000-0000FA280000}"/>
    <cellStyle name="T 64 2" xfId="12105" xr:uid="{00000000-0005-0000-0000-0000FB280000}"/>
    <cellStyle name="T 64 2 2" xfId="12106" xr:uid="{00000000-0005-0000-0000-0000FC280000}"/>
    <cellStyle name="T 64 3" xfId="12107" xr:uid="{00000000-0005-0000-0000-0000FD280000}"/>
    <cellStyle name="T 65" xfId="8160" xr:uid="{00000000-0005-0000-0000-0000FE280000}"/>
    <cellStyle name="T 65 2" xfId="12108" xr:uid="{00000000-0005-0000-0000-0000FF280000}"/>
    <cellStyle name="T 65 2 2" xfId="12109" xr:uid="{00000000-0005-0000-0000-000000290000}"/>
    <cellStyle name="T 65 3" xfId="12110" xr:uid="{00000000-0005-0000-0000-000001290000}"/>
    <cellStyle name="T 66" xfId="8161" xr:uid="{00000000-0005-0000-0000-000002290000}"/>
    <cellStyle name="T 66 2" xfId="12111" xr:uid="{00000000-0005-0000-0000-000003290000}"/>
    <cellStyle name="T 66 2 2" xfId="12112" xr:uid="{00000000-0005-0000-0000-000004290000}"/>
    <cellStyle name="T 66 3" xfId="12113" xr:uid="{00000000-0005-0000-0000-000005290000}"/>
    <cellStyle name="T 67" xfId="8162" xr:uid="{00000000-0005-0000-0000-000006290000}"/>
    <cellStyle name="T 67 2" xfId="12114" xr:uid="{00000000-0005-0000-0000-000007290000}"/>
    <cellStyle name="T 67 2 2" xfId="12115" xr:uid="{00000000-0005-0000-0000-000008290000}"/>
    <cellStyle name="T 67 3" xfId="12116" xr:uid="{00000000-0005-0000-0000-000009290000}"/>
    <cellStyle name="T 68" xfId="8163" xr:uid="{00000000-0005-0000-0000-00000A290000}"/>
    <cellStyle name="T 68 2" xfId="12117" xr:uid="{00000000-0005-0000-0000-00000B290000}"/>
    <cellStyle name="T 68 2 2" xfId="12118" xr:uid="{00000000-0005-0000-0000-00000C290000}"/>
    <cellStyle name="T 68 3" xfId="12119" xr:uid="{00000000-0005-0000-0000-00000D290000}"/>
    <cellStyle name="T 69" xfId="8164" xr:uid="{00000000-0005-0000-0000-00000E290000}"/>
    <cellStyle name="T 69 2" xfId="12120" xr:uid="{00000000-0005-0000-0000-00000F290000}"/>
    <cellStyle name="T 69 2 2" xfId="12121" xr:uid="{00000000-0005-0000-0000-000010290000}"/>
    <cellStyle name="T 69 3" xfId="12122" xr:uid="{00000000-0005-0000-0000-000011290000}"/>
    <cellStyle name="T 7" xfId="8165" xr:uid="{00000000-0005-0000-0000-000012290000}"/>
    <cellStyle name="T 7 2" xfId="12123" xr:uid="{00000000-0005-0000-0000-000013290000}"/>
    <cellStyle name="T 7 2 2" xfId="12124" xr:uid="{00000000-0005-0000-0000-000014290000}"/>
    <cellStyle name="T 7 3" xfId="12125" xr:uid="{00000000-0005-0000-0000-000015290000}"/>
    <cellStyle name="T 70" xfId="8166" xr:uid="{00000000-0005-0000-0000-000016290000}"/>
    <cellStyle name="T 70 2" xfId="12126" xr:uid="{00000000-0005-0000-0000-000017290000}"/>
    <cellStyle name="T 70 2 2" xfId="12127" xr:uid="{00000000-0005-0000-0000-000018290000}"/>
    <cellStyle name="T 70 3" xfId="12128" xr:uid="{00000000-0005-0000-0000-000019290000}"/>
    <cellStyle name="T 71" xfId="8167" xr:uid="{00000000-0005-0000-0000-00001A290000}"/>
    <cellStyle name="T 71 2" xfId="12129" xr:uid="{00000000-0005-0000-0000-00001B290000}"/>
    <cellStyle name="T 71 2 2" xfId="12130" xr:uid="{00000000-0005-0000-0000-00001C290000}"/>
    <cellStyle name="T 71 3" xfId="12131" xr:uid="{00000000-0005-0000-0000-00001D290000}"/>
    <cellStyle name="T 72" xfId="8168" xr:uid="{00000000-0005-0000-0000-00001E290000}"/>
    <cellStyle name="T 72 2" xfId="12132" xr:uid="{00000000-0005-0000-0000-00001F290000}"/>
    <cellStyle name="T 72 2 2" xfId="12133" xr:uid="{00000000-0005-0000-0000-000020290000}"/>
    <cellStyle name="T 72 3" xfId="12134" xr:uid="{00000000-0005-0000-0000-000021290000}"/>
    <cellStyle name="T 73" xfId="8169" xr:uid="{00000000-0005-0000-0000-000022290000}"/>
    <cellStyle name="T 73 2" xfId="12135" xr:uid="{00000000-0005-0000-0000-000023290000}"/>
    <cellStyle name="T 73 2 2" xfId="12136" xr:uid="{00000000-0005-0000-0000-000024290000}"/>
    <cellStyle name="T 73 3" xfId="12137" xr:uid="{00000000-0005-0000-0000-000025290000}"/>
    <cellStyle name="T 74" xfId="8170" xr:uid="{00000000-0005-0000-0000-000026290000}"/>
    <cellStyle name="T 74 2" xfId="12138" xr:uid="{00000000-0005-0000-0000-000027290000}"/>
    <cellStyle name="T 74 2 2" xfId="12139" xr:uid="{00000000-0005-0000-0000-000028290000}"/>
    <cellStyle name="T 74 3" xfId="12140" xr:uid="{00000000-0005-0000-0000-000029290000}"/>
    <cellStyle name="T 75" xfId="8171" xr:uid="{00000000-0005-0000-0000-00002A290000}"/>
    <cellStyle name="T 75 2" xfId="12141" xr:uid="{00000000-0005-0000-0000-00002B290000}"/>
    <cellStyle name="T 75 2 2" xfId="12142" xr:uid="{00000000-0005-0000-0000-00002C290000}"/>
    <cellStyle name="T 75 3" xfId="12143" xr:uid="{00000000-0005-0000-0000-00002D290000}"/>
    <cellStyle name="T 76" xfId="8172" xr:uid="{00000000-0005-0000-0000-00002E290000}"/>
    <cellStyle name="T 76 2" xfId="12144" xr:uid="{00000000-0005-0000-0000-00002F290000}"/>
    <cellStyle name="T 76 2 2" xfId="12145" xr:uid="{00000000-0005-0000-0000-000030290000}"/>
    <cellStyle name="T 76 3" xfId="12146" xr:uid="{00000000-0005-0000-0000-000031290000}"/>
    <cellStyle name="T 77" xfId="8173" xr:uid="{00000000-0005-0000-0000-000032290000}"/>
    <cellStyle name="T 77 2" xfId="12147" xr:uid="{00000000-0005-0000-0000-000033290000}"/>
    <cellStyle name="T 77 2 2" xfId="12148" xr:uid="{00000000-0005-0000-0000-000034290000}"/>
    <cellStyle name="T 77 3" xfId="12149" xr:uid="{00000000-0005-0000-0000-000035290000}"/>
    <cellStyle name="T 78" xfId="8174" xr:uid="{00000000-0005-0000-0000-000036290000}"/>
    <cellStyle name="T 78 2" xfId="12150" xr:uid="{00000000-0005-0000-0000-000037290000}"/>
    <cellStyle name="T 78 2 2" xfId="12151" xr:uid="{00000000-0005-0000-0000-000038290000}"/>
    <cellStyle name="T 78 3" xfId="12152" xr:uid="{00000000-0005-0000-0000-000039290000}"/>
    <cellStyle name="T 79" xfId="8175" xr:uid="{00000000-0005-0000-0000-00003A290000}"/>
    <cellStyle name="T 79 2" xfId="12153" xr:uid="{00000000-0005-0000-0000-00003B290000}"/>
    <cellStyle name="T 79 2 2" xfId="12154" xr:uid="{00000000-0005-0000-0000-00003C290000}"/>
    <cellStyle name="T 79 3" xfId="12155" xr:uid="{00000000-0005-0000-0000-00003D290000}"/>
    <cellStyle name="T 8" xfId="8176" xr:uid="{00000000-0005-0000-0000-00003E290000}"/>
    <cellStyle name="T 8 2" xfId="12156" xr:uid="{00000000-0005-0000-0000-00003F290000}"/>
    <cellStyle name="T 8 2 2" xfId="12157" xr:uid="{00000000-0005-0000-0000-000040290000}"/>
    <cellStyle name="T 8 3" xfId="12158" xr:uid="{00000000-0005-0000-0000-000041290000}"/>
    <cellStyle name="T 80" xfId="8177" xr:uid="{00000000-0005-0000-0000-000042290000}"/>
    <cellStyle name="T 80 2" xfId="12159" xr:uid="{00000000-0005-0000-0000-000043290000}"/>
    <cellStyle name="T 80 2 2" xfId="12160" xr:uid="{00000000-0005-0000-0000-000044290000}"/>
    <cellStyle name="T 80 3" xfId="12161" xr:uid="{00000000-0005-0000-0000-000045290000}"/>
    <cellStyle name="T 81" xfId="8178" xr:uid="{00000000-0005-0000-0000-000046290000}"/>
    <cellStyle name="T 81 2" xfId="12162" xr:uid="{00000000-0005-0000-0000-000047290000}"/>
    <cellStyle name="T 81 2 2" xfId="12163" xr:uid="{00000000-0005-0000-0000-000048290000}"/>
    <cellStyle name="T 81 3" xfId="12164" xr:uid="{00000000-0005-0000-0000-000049290000}"/>
    <cellStyle name="T 82" xfId="8179" xr:uid="{00000000-0005-0000-0000-00004A290000}"/>
    <cellStyle name="T 82 2" xfId="12165" xr:uid="{00000000-0005-0000-0000-00004B290000}"/>
    <cellStyle name="T 82 2 2" xfId="12166" xr:uid="{00000000-0005-0000-0000-00004C290000}"/>
    <cellStyle name="T 82 3" xfId="12167" xr:uid="{00000000-0005-0000-0000-00004D290000}"/>
    <cellStyle name="T 83" xfId="8180" xr:uid="{00000000-0005-0000-0000-00004E290000}"/>
    <cellStyle name="T 83 2" xfId="12168" xr:uid="{00000000-0005-0000-0000-00004F290000}"/>
    <cellStyle name="T 83 2 2" xfId="12169" xr:uid="{00000000-0005-0000-0000-000050290000}"/>
    <cellStyle name="T 83 3" xfId="12170" xr:uid="{00000000-0005-0000-0000-000051290000}"/>
    <cellStyle name="T 84" xfId="8181" xr:uid="{00000000-0005-0000-0000-000052290000}"/>
    <cellStyle name="T 84 2" xfId="12171" xr:uid="{00000000-0005-0000-0000-000053290000}"/>
    <cellStyle name="T 84 2 2" xfId="12172" xr:uid="{00000000-0005-0000-0000-000054290000}"/>
    <cellStyle name="T 84 3" xfId="12173" xr:uid="{00000000-0005-0000-0000-000055290000}"/>
    <cellStyle name="T 85" xfId="8182" xr:uid="{00000000-0005-0000-0000-000056290000}"/>
    <cellStyle name="T 85 2" xfId="12174" xr:uid="{00000000-0005-0000-0000-000057290000}"/>
    <cellStyle name="T 85 2 2" xfId="12175" xr:uid="{00000000-0005-0000-0000-000058290000}"/>
    <cellStyle name="T 85 3" xfId="12176" xr:uid="{00000000-0005-0000-0000-000059290000}"/>
    <cellStyle name="T 86" xfId="8183" xr:uid="{00000000-0005-0000-0000-00005A290000}"/>
    <cellStyle name="T 86 2" xfId="12177" xr:uid="{00000000-0005-0000-0000-00005B290000}"/>
    <cellStyle name="T 86 2 2" xfId="12178" xr:uid="{00000000-0005-0000-0000-00005C290000}"/>
    <cellStyle name="T 86 3" xfId="12179" xr:uid="{00000000-0005-0000-0000-00005D290000}"/>
    <cellStyle name="T 87" xfId="8184" xr:uid="{00000000-0005-0000-0000-00005E290000}"/>
    <cellStyle name="T 87 2" xfId="12180" xr:uid="{00000000-0005-0000-0000-00005F290000}"/>
    <cellStyle name="T 87 2 2" xfId="12181" xr:uid="{00000000-0005-0000-0000-000060290000}"/>
    <cellStyle name="T 87 3" xfId="12182" xr:uid="{00000000-0005-0000-0000-000061290000}"/>
    <cellStyle name="T 88" xfId="8185" xr:uid="{00000000-0005-0000-0000-000062290000}"/>
    <cellStyle name="T 88 2" xfId="12183" xr:uid="{00000000-0005-0000-0000-000063290000}"/>
    <cellStyle name="T 88 2 2" xfId="12184" xr:uid="{00000000-0005-0000-0000-000064290000}"/>
    <cellStyle name="T 88 3" xfId="12185" xr:uid="{00000000-0005-0000-0000-000065290000}"/>
    <cellStyle name="T 89" xfId="8186" xr:uid="{00000000-0005-0000-0000-000066290000}"/>
    <cellStyle name="T 89 2" xfId="12186" xr:uid="{00000000-0005-0000-0000-000067290000}"/>
    <cellStyle name="T 89 2 2" xfId="12187" xr:uid="{00000000-0005-0000-0000-000068290000}"/>
    <cellStyle name="T 89 3" xfId="12188" xr:uid="{00000000-0005-0000-0000-000069290000}"/>
    <cellStyle name="T 9" xfId="8187" xr:uid="{00000000-0005-0000-0000-00006A290000}"/>
    <cellStyle name="T 9 2" xfId="12189" xr:uid="{00000000-0005-0000-0000-00006B290000}"/>
    <cellStyle name="T 9 2 2" xfId="12190" xr:uid="{00000000-0005-0000-0000-00006C290000}"/>
    <cellStyle name="T 9 3" xfId="12191" xr:uid="{00000000-0005-0000-0000-00006D290000}"/>
    <cellStyle name="T 90" xfId="8188" xr:uid="{00000000-0005-0000-0000-00006E290000}"/>
    <cellStyle name="T 90 2" xfId="12192" xr:uid="{00000000-0005-0000-0000-00006F290000}"/>
    <cellStyle name="T 90 2 2" xfId="12193" xr:uid="{00000000-0005-0000-0000-000070290000}"/>
    <cellStyle name="T 90 3" xfId="12194" xr:uid="{00000000-0005-0000-0000-000071290000}"/>
    <cellStyle name="T 91" xfId="8189" xr:uid="{00000000-0005-0000-0000-000072290000}"/>
    <cellStyle name="T 91 2" xfId="12195" xr:uid="{00000000-0005-0000-0000-000073290000}"/>
    <cellStyle name="T 91 2 2" xfId="12196" xr:uid="{00000000-0005-0000-0000-000074290000}"/>
    <cellStyle name="T 91 3" xfId="12197" xr:uid="{00000000-0005-0000-0000-000075290000}"/>
    <cellStyle name="T 92" xfId="8190" xr:uid="{00000000-0005-0000-0000-000076290000}"/>
    <cellStyle name="T 92 2" xfId="12198" xr:uid="{00000000-0005-0000-0000-000077290000}"/>
    <cellStyle name="T 92 2 2" xfId="12199" xr:uid="{00000000-0005-0000-0000-000078290000}"/>
    <cellStyle name="T 92 3" xfId="12200" xr:uid="{00000000-0005-0000-0000-000079290000}"/>
    <cellStyle name="T 93" xfId="8191" xr:uid="{00000000-0005-0000-0000-00007A290000}"/>
    <cellStyle name="T 93 2" xfId="12201" xr:uid="{00000000-0005-0000-0000-00007B290000}"/>
    <cellStyle name="T 93 2 2" xfId="12202" xr:uid="{00000000-0005-0000-0000-00007C290000}"/>
    <cellStyle name="T 93 3" xfId="12203" xr:uid="{00000000-0005-0000-0000-00007D290000}"/>
    <cellStyle name="T 94" xfId="8192" xr:uid="{00000000-0005-0000-0000-00007E290000}"/>
    <cellStyle name="T 94 2" xfId="12204" xr:uid="{00000000-0005-0000-0000-00007F290000}"/>
    <cellStyle name="T 94 2 2" xfId="12205" xr:uid="{00000000-0005-0000-0000-000080290000}"/>
    <cellStyle name="T 94 3" xfId="12206" xr:uid="{00000000-0005-0000-0000-000081290000}"/>
    <cellStyle name="T 95" xfId="8193" xr:uid="{00000000-0005-0000-0000-000082290000}"/>
    <cellStyle name="T 95 2" xfId="12207" xr:uid="{00000000-0005-0000-0000-000083290000}"/>
    <cellStyle name="T 95 2 2" xfId="12208" xr:uid="{00000000-0005-0000-0000-000084290000}"/>
    <cellStyle name="T 95 3" xfId="12209" xr:uid="{00000000-0005-0000-0000-000085290000}"/>
    <cellStyle name="T 96" xfId="8194" xr:uid="{00000000-0005-0000-0000-000086290000}"/>
    <cellStyle name="T 96 2" xfId="12210" xr:uid="{00000000-0005-0000-0000-000087290000}"/>
    <cellStyle name="T 96 2 2" xfId="12211" xr:uid="{00000000-0005-0000-0000-000088290000}"/>
    <cellStyle name="T 96 3" xfId="12212" xr:uid="{00000000-0005-0000-0000-000089290000}"/>
    <cellStyle name="T 97" xfId="8195" xr:uid="{00000000-0005-0000-0000-00008A290000}"/>
    <cellStyle name="T 97 2" xfId="12213" xr:uid="{00000000-0005-0000-0000-00008B290000}"/>
    <cellStyle name="T 97 2 2" xfId="12214" xr:uid="{00000000-0005-0000-0000-00008C290000}"/>
    <cellStyle name="T 97 3" xfId="12215" xr:uid="{00000000-0005-0000-0000-00008D290000}"/>
    <cellStyle name="T 98" xfId="8196" xr:uid="{00000000-0005-0000-0000-00008E290000}"/>
    <cellStyle name="T 98 2" xfId="12216" xr:uid="{00000000-0005-0000-0000-00008F290000}"/>
    <cellStyle name="T 98 2 2" xfId="12217" xr:uid="{00000000-0005-0000-0000-000090290000}"/>
    <cellStyle name="T 98 3" xfId="12218" xr:uid="{00000000-0005-0000-0000-000091290000}"/>
    <cellStyle name="T 99" xfId="8197" xr:uid="{00000000-0005-0000-0000-000092290000}"/>
    <cellStyle name="T 99 2" xfId="12219" xr:uid="{00000000-0005-0000-0000-000093290000}"/>
    <cellStyle name="T 99 2 2" xfId="12220" xr:uid="{00000000-0005-0000-0000-000094290000}"/>
    <cellStyle name="T 99 3" xfId="12221" xr:uid="{00000000-0005-0000-0000-000095290000}"/>
    <cellStyle name="T_04- Bang bieu khoi luong 20110531(2)" xfId="8198" xr:uid="{00000000-0005-0000-0000-000096290000}"/>
    <cellStyle name="T_04- Bang bieu khoi luong 20110531(2) 2" xfId="8199" xr:uid="{00000000-0005-0000-0000-000097290000}"/>
    <cellStyle name="T_04- Bang bieu khoi luong 20110531(2) 2 2" xfId="12222" xr:uid="{00000000-0005-0000-0000-000098290000}"/>
    <cellStyle name="T_04- Bang bieu khoi luong 20110531(2) 2 2 2" xfId="12223" xr:uid="{00000000-0005-0000-0000-000099290000}"/>
    <cellStyle name="T_04- Bang bieu khoi luong 20110531(2) 2 3" xfId="12224" xr:uid="{00000000-0005-0000-0000-00009A290000}"/>
    <cellStyle name="T_04- Bang bieu khoi luong 20110531(2) 3" xfId="12225" xr:uid="{00000000-0005-0000-0000-00009B290000}"/>
    <cellStyle name="T_04- Bang bieu khoi luong 20110531(2) 3 2" xfId="12226" xr:uid="{00000000-0005-0000-0000-00009C290000}"/>
    <cellStyle name="T_04- Bang bieu khoi luong 20110531(2) 4" xfId="12227" xr:uid="{00000000-0005-0000-0000-00009D290000}"/>
    <cellStyle name="T_04-Bang bieu khoi luong 20110703(kiet)" xfId="8200" xr:uid="{00000000-0005-0000-0000-00009E290000}"/>
    <cellStyle name="T_04-Bang bieu khoi luong 20110703(kiet) 2" xfId="8201" xr:uid="{00000000-0005-0000-0000-00009F290000}"/>
    <cellStyle name="T_04-Bang bieu khoi luong 20110703(kiet) 2 2" xfId="12228" xr:uid="{00000000-0005-0000-0000-0000A0290000}"/>
    <cellStyle name="T_04-Bang bieu khoi luong 20110703(kiet) 2 2 2" xfId="12229" xr:uid="{00000000-0005-0000-0000-0000A1290000}"/>
    <cellStyle name="T_04-Bang bieu khoi luong 20110703(kiet) 2 3" xfId="12230" xr:uid="{00000000-0005-0000-0000-0000A2290000}"/>
    <cellStyle name="T_04-Bang bieu khoi luong 20110703(kiet) 3" xfId="12231" xr:uid="{00000000-0005-0000-0000-0000A3290000}"/>
    <cellStyle name="T_04-Bang bieu khoi luong 20110703(kiet) 3 2" xfId="12232" xr:uid="{00000000-0005-0000-0000-0000A4290000}"/>
    <cellStyle name="T_04-Bang bieu khoi luong 20110703(kiet) 4" xfId="12233" xr:uid="{00000000-0005-0000-0000-0000A5290000}"/>
    <cellStyle name="T_20110627-TDP-MEP BOQ-R2" xfId="8202" xr:uid="{00000000-0005-0000-0000-0000A6290000}"/>
    <cellStyle name="T_20110627-TDP-MEP BOQ-R2 2" xfId="8203" xr:uid="{00000000-0005-0000-0000-0000A7290000}"/>
    <cellStyle name="T_20110627-TDP-MEP BOQ-R2 2 2" xfId="12234" xr:uid="{00000000-0005-0000-0000-0000A8290000}"/>
    <cellStyle name="T_20110627-TDP-MEP BOQ-R2 2 2 2" xfId="12235" xr:uid="{00000000-0005-0000-0000-0000A9290000}"/>
    <cellStyle name="T_20110627-TDP-MEP BOQ-R2 2 3" xfId="12236" xr:uid="{00000000-0005-0000-0000-0000AA290000}"/>
    <cellStyle name="T_20110627-TDP-MEP BOQ-R2 3" xfId="12237" xr:uid="{00000000-0005-0000-0000-0000AB290000}"/>
    <cellStyle name="T_20110627-TDP-MEP BOQ-R2 3 2" xfId="12238" xr:uid="{00000000-0005-0000-0000-0000AC290000}"/>
    <cellStyle name="T_20110627-TDP-MEP BOQ-R2 4" xfId="12239" xr:uid="{00000000-0005-0000-0000-0000AD290000}"/>
    <cellStyle name="T_2---DATA_SAIN GOBAIN (THEP)_Option 1-British Standard" xfId="8204" xr:uid="{00000000-0005-0000-0000-0000AE290000}"/>
    <cellStyle name="T_2---DATA_SAIN GOBAIN (THEP)_Option 1-British Standard 2" xfId="12240" xr:uid="{00000000-0005-0000-0000-0000AF290000}"/>
    <cellStyle name="T_2---DATA_SAIN GOBAIN (THEP)_Option 1-British Standard 2 2" xfId="12241" xr:uid="{00000000-0005-0000-0000-0000B0290000}"/>
    <cellStyle name="T_2---DATA_SAIN GOBAIN (THEP)_Option 1-British Standard 3" xfId="12242" xr:uid="{00000000-0005-0000-0000-0000B1290000}"/>
    <cellStyle name="T_44611-MEP Estimate cost" xfId="8205" xr:uid="{00000000-0005-0000-0000-0000B2290000}"/>
    <cellStyle name="T_44611-MEP Estimate cost 2" xfId="8206" xr:uid="{00000000-0005-0000-0000-0000B3290000}"/>
    <cellStyle name="T_44611-MEP Estimate cost 2 2" xfId="12243" xr:uid="{00000000-0005-0000-0000-0000B4290000}"/>
    <cellStyle name="T_44611-MEP Estimate cost 2 2 2" xfId="12244" xr:uid="{00000000-0005-0000-0000-0000B5290000}"/>
    <cellStyle name="T_44611-MEP Estimate cost 2 3" xfId="12245" xr:uid="{00000000-0005-0000-0000-0000B6290000}"/>
    <cellStyle name="T_44611-MEP Estimate cost 3" xfId="12246" xr:uid="{00000000-0005-0000-0000-0000B7290000}"/>
    <cellStyle name="T_44611-MEP Estimate cost 3 2" xfId="12247" xr:uid="{00000000-0005-0000-0000-0000B8290000}"/>
    <cellStyle name="T_44611-MEP Estimate cost 4" xfId="12248" xr:uid="{00000000-0005-0000-0000-0000B9290000}"/>
    <cellStyle name="T_Bang T.hop KLuong bonglang" xfId="8207" xr:uid="{00000000-0005-0000-0000-0000BA290000}"/>
    <cellStyle name="T_Bang T.hop KLuong bonglang 2" xfId="8208" xr:uid="{00000000-0005-0000-0000-0000BB290000}"/>
    <cellStyle name="T_Bang T.hop KLuong bonglang 2 2" xfId="8209" xr:uid="{00000000-0005-0000-0000-0000BC290000}"/>
    <cellStyle name="T_Bang T.hop KLuong bonglang 2 2 2" xfId="12249" xr:uid="{00000000-0005-0000-0000-0000BD290000}"/>
    <cellStyle name="T_Bang T.hop KLuong bonglang 2 2 2 2" xfId="12250" xr:uid="{00000000-0005-0000-0000-0000BE290000}"/>
    <cellStyle name="T_Bang T.hop KLuong bonglang 2 2 3" xfId="12251" xr:uid="{00000000-0005-0000-0000-0000BF290000}"/>
    <cellStyle name="T_Bang T.hop KLuong bonglang 2 3" xfId="12252" xr:uid="{00000000-0005-0000-0000-0000C0290000}"/>
    <cellStyle name="T_Bang T.hop KLuong bonglang 2 3 2" xfId="12253" xr:uid="{00000000-0005-0000-0000-0000C1290000}"/>
    <cellStyle name="T_Bang T.hop KLuong bonglang 2 4" xfId="12254" xr:uid="{00000000-0005-0000-0000-0000C2290000}"/>
    <cellStyle name="T_Bang T.hop KLuong bonglang 3" xfId="8210" xr:uid="{00000000-0005-0000-0000-0000C3290000}"/>
    <cellStyle name="T_Bang T.hop KLuong bonglang 3 2" xfId="12255" xr:uid="{00000000-0005-0000-0000-0000C4290000}"/>
    <cellStyle name="T_Bang T.hop KLuong bonglang 3 2 2" xfId="12256" xr:uid="{00000000-0005-0000-0000-0000C5290000}"/>
    <cellStyle name="T_Bang T.hop KLuong bonglang 3 3" xfId="12257" xr:uid="{00000000-0005-0000-0000-0000C6290000}"/>
    <cellStyle name="T_Bang T.hop KLuong bonglang 4" xfId="12258" xr:uid="{00000000-0005-0000-0000-0000C7290000}"/>
    <cellStyle name="T_Bang T.hop KLuong bonglang 4 2" xfId="12259" xr:uid="{00000000-0005-0000-0000-0000C8290000}"/>
    <cellStyle name="T_Bang T.hop KLuong bonglang 5" xfId="12260" xr:uid="{00000000-0005-0000-0000-0000C9290000}"/>
    <cellStyle name="T_Bang tong hop khoi luong HT - Nm KCT" xfId="8211" xr:uid="{00000000-0005-0000-0000-0000CA290000}"/>
    <cellStyle name="T_Bang tong hop khoi luong HT - Nm KCT 2" xfId="8212" xr:uid="{00000000-0005-0000-0000-0000CB290000}"/>
    <cellStyle name="T_Bang tong hop khoi luong HT - Nm KCT 2 2" xfId="8213" xr:uid="{00000000-0005-0000-0000-0000CC290000}"/>
    <cellStyle name="T_Bang tong hop khoi luong HT - Nm KCT 2 2 2" xfId="12261" xr:uid="{00000000-0005-0000-0000-0000CD290000}"/>
    <cellStyle name="T_Bang tong hop khoi luong HT - Nm KCT 2 2 2 2" xfId="12262" xr:uid="{00000000-0005-0000-0000-0000CE290000}"/>
    <cellStyle name="T_Bang tong hop khoi luong HT - Nm KCT 2 2 3" xfId="12263" xr:uid="{00000000-0005-0000-0000-0000CF290000}"/>
    <cellStyle name="T_Bang tong hop khoi luong HT - Nm KCT 2 3" xfId="12264" xr:uid="{00000000-0005-0000-0000-0000D0290000}"/>
    <cellStyle name="T_Bang tong hop khoi luong HT - Nm KCT 2 3 2" xfId="12265" xr:uid="{00000000-0005-0000-0000-0000D1290000}"/>
    <cellStyle name="T_Bang tong hop khoi luong HT - Nm KCT 2 4" xfId="12266" xr:uid="{00000000-0005-0000-0000-0000D2290000}"/>
    <cellStyle name="T_Bang tong hop khoi luong HT - Nm KCT 3" xfId="8214" xr:uid="{00000000-0005-0000-0000-0000D3290000}"/>
    <cellStyle name="T_Bang tong hop khoi luong HT - Nm KCT 3 2" xfId="12267" xr:uid="{00000000-0005-0000-0000-0000D4290000}"/>
    <cellStyle name="T_Bang tong hop khoi luong HT - Nm KCT 3 2 2" xfId="12268" xr:uid="{00000000-0005-0000-0000-0000D5290000}"/>
    <cellStyle name="T_Bang tong hop khoi luong HT - Nm KCT 3 3" xfId="12269" xr:uid="{00000000-0005-0000-0000-0000D6290000}"/>
    <cellStyle name="T_Bang tong hop khoi luong HT - Nm KCT 4" xfId="12270" xr:uid="{00000000-0005-0000-0000-0000D7290000}"/>
    <cellStyle name="T_Bang tong hop khoi luong HT - Nm KCT 4 2" xfId="12271" xr:uid="{00000000-0005-0000-0000-0000D8290000}"/>
    <cellStyle name="T_Bang tong hop khoi luong HT - Nm KCT 5" xfId="12272" xr:uid="{00000000-0005-0000-0000-0000D9290000}"/>
    <cellStyle name="T_Bao cao thang" xfId="8215" xr:uid="{00000000-0005-0000-0000-0000DA290000}"/>
    <cellStyle name="T_Bao cao thang 2" xfId="8216" xr:uid="{00000000-0005-0000-0000-0000DB290000}"/>
    <cellStyle name="T_Bao cao thang 2 2" xfId="8217" xr:uid="{00000000-0005-0000-0000-0000DC290000}"/>
    <cellStyle name="T_Bao cao thang 2 2 2" xfId="12273" xr:uid="{00000000-0005-0000-0000-0000DD290000}"/>
    <cellStyle name="T_Bao cao thang 2 2 2 2" xfId="12274" xr:uid="{00000000-0005-0000-0000-0000DE290000}"/>
    <cellStyle name="T_Bao cao thang 2 2 3" xfId="12275" xr:uid="{00000000-0005-0000-0000-0000DF290000}"/>
    <cellStyle name="T_Bao cao thang 2 3" xfId="12276" xr:uid="{00000000-0005-0000-0000-0000E0290000}"/>
    <cellStyle name="T_Bao cao thang 2 3 2" xfId="12277" xr:uid="{00000000-0005-0000-0000-0000E1290000}"/>
    <cellStyle name="T_Bao cao thang 2 4" xfId="12278" xr:uid="{00000000-0005-0000-0000-0000E2290000}"/>
    <cellStyle name="T_Bao cao thang 3" xfId="8218" xr:uid="{00000000-0005-0000-0000-0000E3290000}"/>
    <cellStyle name="T_Bao cao thang 3 2" xfId="12279" xr:uid="{00000000-0005-0000-0000-0000E4290000}"/>
    <cellStyle name="T_Bao cao thang 3 2 2" xfId="12280" xr:uid="{00000000-0005-0000-0000-0000E5290000}"/>
    <cellStyle name="T_Bao cao thang 3 3" xfId="12281" xr:uid="{00000000-0005-0000-0000-0000E6290000}"/>
    <cellStyle name="T_Bao cao thang 4" xfId="12282" xr:uid="{00000000-0005-0000-0000-0000E7290000}"/>
    <cellStyle name="T_Bao cao thang 4 2" xfId="12283" xr:uid="{00000000-0005-0000-0000-0000E8290000}"/>
    <cellStyle name="T_Bao cao thang 5" xfId="12284" xr:uid="{00000000-0005-0000-0000-0000E9290000}"/>
    <cellStyle name="T_Bill of quantity - cables tray FA - Paragon detail from Tai 011-07-2011" xfId="8219" xr:uid="{00000000-0005-0000-0000-0000EA290000}"/>
    <cellStyle name="T_Bill of quantity - cables tray FA - Paragon detail from Tai 011-07-2011 2" xfId="8220" xr:uid="{00000000-0005-0000-0000-0000EB290000}"/>
    <cellStyle name="T_Bill of quantity - cables tray FA - Paragon detail from Tai 011-07-2011 2 2" xfId="12285" xr:uid="{00000000-0005-0000-0000-0000EC290000}"/>
    <cellStyle name="T_Bill of quantity - cables tray FA - Paragon detail from Tai 011-07-2011 2 2 2" xfId="12286" xr:uid="{00000000-0005-0000-0000-0000ED290000}"/>
    <cellStyle name="T_Bill of quantity - cables tray FA - Paragon detail from Tai 011-07-2011 2 3" xfId="12287" xr:uid="{00000000-0005-0000-0000-0000EE290000}"/>
    <cellStyle name="T_Bill of quantity - cables tray FA - Paragon detail from Tai 011-07-2011 3" xfId="12288" xr:uid="{00000000-0005-0000-0000-0000EF290000}"/>
    <cellStyle name="T_Bill of quantity - cables tray FA - Paragon detail from Tai 011-07-2011 3 2" xfId="12289" xr:uid="{00000000-0005-0000-0000-0000F0290000}"/>
    <cellStyle name="T_Bill of quantity - cables tray FA - Paragon detail from Tai 011-07-2011 4" xfId="12290" xr:uid="{00000000-0005-0000-0000-0000F1290000}"/>
    <cellStyle name="T_Book1" xfId="8221" xr:uid="{00000000-0005-0000-0000-0000F2290000}"/>
    <cellStyle name="T_Book1 2" xfId="8222" xr:uid="{00000000-0005-0000-0000-0000F3290000}"/>
    <cellStyle name="T_Book1 2 2" xfId="8223" xr:uid="{00000000-0005-0000-0000-0000F4290000}"/>
    <cellStyle name="T_Book1 2 2 2" xfId="12291" xr:uid="{00000000-0005-0000-0000-0000F5290000}"/>
    <cellStyle name="T_Book1 2 2 2 2" xfId="12292" xr:uid="{00000000-0005-0000-0000-0000F6290000}"/>
    <cellStyle name="T_Book1 2 2 3" xfId="12293" xr:uid="{00000000-0005-0000-0000-0000F7290000}"/>
    <cellStyle name="T_Book1 2 3" xfId="12294" xr:uid="{00000000-0005-0000-0000-0000F8290000}"/>
    <cellStyle name="T_Book1 2 3 2" xfId="12295" xr:uid="{00000000-0005-0000-0000-0000F9290000}"/>
    <cellStyle name="T_Book1 2 4" xfId="12296" xr:uid="{00000000-0005-0000-0000-0000FA290000}"/>
    <cellStyle name="T_Book1 3" xfId="8224" xr:uid="{00000000-0005-0000-0000-0000FB290000}"/>
    <cellStyle name="T_Book1 3 2" xfId="12297" xr:uid="{00000000-0005-0000-0000-0000FC290000}"/>
    <cellStyle name="T_Book1 3 2 2" xfId="12298" xr:uid="{00000000-0005-0000-0000-0000FD290000}"/>
    <cellStyle name="T_Book1 3 3" xfId="12299" xr:uid="{00000000-0005-0000-0000-0000FE290000}"/>
    <cellStyle name="T_Book1 4" xfId="8225" xr:uid="{00000000-0005-0000-0000-0000FF290000}"/>
    <cellStyle name="T_Book1 4 2" xfId="12300" xr:uid="{00000000-0005-0000-0000-0000002A0000}"/>
    <cellStyle name="T_Book1 4 2 2" xfId="12301" xr:uid="{00000000-0005-0000-0000-0000012A0000}"/>
    <cellStyle name="T_Book1 4 3" xfId="12302" xr:uid="{00000000-0005-0000-0000-0000022A0000}"/>
    <cellStyle name="T_Book1 5" xfId="12303" xr:uid="{00000000-0005-0000-0000-0000032A0000}"/>
    <cellStyle name="T_Book1 5 2" xfId="12304" xr:uid="{00000000-0005-0000-0000-0000042A0000}"/>
    <cellStyle name="T_Book1 6" xfId="12305" xr:uid="{00000000-0005-0000-0000-0000052A0000}"/>
    <cellStyle name="T_Book1_1" xfId="8226" xr:uid="{00000000-0005-0000-0000-0000062A0000}"/>
    <cellStyle name="T_Book1_1 2" xfId="8227" xr:uid="{00000000-0005-0000-0000-0000072A0000}"/>
    <cellStyle name="T_Book1_1 2 2" xfId="8228" xr:uid="{00000000-0005-0000-0000-0000082A0000}"/>
    <cellStyle name="T_Book1_1 2 2 2" xfId="12306" xr:uid="{00000000-0005-0000-0000-0000092A0000}"/>
    <cellStyle name="T_Book1_1 2 2 2 2" xfId="12307" xr:uid="{00000000-0005-0000-0000-00000A2A0000}"/>
    <cellStyle name="T_Book1_1 2 2 3" xfId="12308" xr:uid="{00000000-0005-0000-0000-00000B2A0000}"/>
    <cellStyle name="T_Book1_1 2 3" xfId="12309" xr:uid="{00000000-0005-0000-0000-00000C2A0000}"/>
    <cellStyle name="T_Book1_1 2 3 2" xfId="12310" xr:uid="{00000000-0005-0000-0000-00000D2A0000}"/>
    <cellStyle name="T_Book1_1 2 4" xfId="12311" xr:uid="{00000000-0005-0000-0000-00000E2A0000}"/>
    <cellStyle name="T_Book1_1 3" xfId="8229" xr:uid="{00000000-0005-0000-0000-00000F2A0000}"/>
    <cellStyle name="T_Book1_1 3 2" xfId="12312" xr:uid="{00000000-0005-0000-0000-0000102A0000}"/>
    <cellStyle name="T_Book1_1 3 2 2" xfId="12313" xr:uid="{00000000-0005-0000-0000-0000112A0000}"/>
    <cellStyle name="T_Book1_1 3 3" xfId="12314" xr:uid="{00000000-0005-0000-0000-0000122A0000}"/>
    <cellStyle name="T_Book1_1 4" xfId="12315" xr:uid="{00000000-0005-0000-0000-0000132A0000}"/>
    <cellStyle name="T_Book1_1 4 2" xfId="12316" xr:uid="{00000000-0005-0000-0000-0000142A0000}"/>
    <cellStyle name="T_Book1_1 5" xfId="12317" xr:uid="{00000000-0005-0000-0000-0000152A0000}"/>
    <cellStyle name="T_Book1_2" xfId="8230" xr:uid="{00000000-0005-0000-0000-0000162A0000}"/>
    <cellStyle name="T_Book1_2 2" xfId="8231" xr:uid="{00000000-0005-0000-0000-0000172A0000}"/>
    <cellStyle name="T_Book1_2 2 2" xfId="8232" xr:uid="{00000000-0005-0000-0000-0000182A0000}"/>
    <cellStyle name="T_Book1_2 2 2 2" xfId="12318" xr:uid="{00000000-0005-0000-0000-0000192A0000}"/>
    <cellStyle name="T_Book1_2 2 2 2 2" xfId="12319" xr:uid="{00000000-0005-0000-0000-00001A2A0000}"/>
    <cellStyle name="T_Book1_2 2 2 3" xfId="12320" xr:uid="{00000000-0005-0000-0000-00001B2A0000}"/>
    <cellStyle name="T_Book1_2 2 3" xfId="12321" xr:uid="{00000000-0005-0000-0000-00001C2A0000}"/>
    <cellStyle name="T_Book1_2 2 3 2" xfId="12322" xr:uid="{00000000-0005-0000-0000-00001D2A0000}"/>
    <cellStyle name="T_Book1_2 2 4" xfId="12323" xr:uid="{00000000-0005-0000-0000-00001E2A0000}"/>
    <cellStyle name="T_Book1_2 3" xfId="8233" xr:uid="{00000000-0005-0000-0000-00001F2A0000}"/>
    <cellStyle name="T_Book1_2 3 2" xfId="12324" xr:uid="{00000000-0005-0000-0000-0000202A0000}"/>
    <cellStyle name="T_Book1_2 3 2 2" xfId="12325" xr:uid="{00000000-0005-0000-0000-0000212A0000}"/>
    <cellStyle name="T_Book1_2 3 3" xfId="12326" xr:uid="{00000000-0005-0000-0000-0000222A0000}"/>
    <cellStyle name="T_Book1_2 4" xfId="12327" xr:uid="{00000000-0005-0000-0000-0000232A0000}"/>
    <cellStyle name="T_Book1_2 4 2" xfId="12328" xr:uid="{00000000-0005-0000-0000-0000242A0000}"/>
    <cellStyle name="T_Book1_2 5" xfId="12329" xr:uid="{00000000-0005-0000-0000-0000252A0000}"/>
    <cellStyle name="T_Book1_2---DATA_SAIN GOBAIN (THEP)_Option 1-British Standard" xfId="8234" xr:uid="{00000000-0005-0000-0000-0000262A0000}"/>
    <cellStyle name="T_Book1_2---DATA_SAIN GOBAIN (THEP)_Option 1-British Standard 2" xfId="12330" xr:uid="{00000000-0005-0000-0000-0000272A0000}"/>
    <cellStyle name="T_Book1_2---DATA_SAIN GOBAIN (THEP)_Option 1-British Standard 2 2" xfId="12331" xr:uid="{00000000-0005-0000-0000-0000282A0000}"/>
    <cellStyle name="T_Book1_2---DATA_SAIN GOBAIN (THEP)_Option 1-British Standard 3" xfId="12332" xr:uid="{00000000-0005-0000-0000-0000292A0000}"/>
    <cellStyle name="T_Book1_Book1" xfId="8235" xr:uid="{00000000-0005-0000-0000-00002A2A0000}"/>
    <cellStyle name="T_Book1_Book1 2" xfId="8236" xr:uid="{00000000-0005-0000-0000-00002B2A0000}"/>
    <cellStyle name="T_Book1_Book1 2 2" xfId="8237" xr:uid="{00000000-0005-0000-0000-00002C2A0000}"/>
    <cellStyle name="T_Book1_Book1 2 2 2" xfId="12333" xr:uid="{00000000-0005-0000-0000-00002D2A0000}"/>
    <cellStyle name="T_Book1_Book1 2 2 2 2" xfId="12334" xr:uid="{00000000-0005-0000-0000-00002E2A0000}"/>
    <cellStyle name="T_Book1_Book1 2 2 3" xfId="12335" xr:uid="{00000000-0005-0000-0000-00002F2A0000}"/>
    <cellStyle name="T_Book1_Book1 2 3" xfId="12336" xr:uid="{00000000-0005-0000-0000-0000302A0000}"/>
    <cellStyle name="T_Book1_Book1 2 3 2" xfId="12337" xr:uid="{00000000-0005-0000-0000-0000312A0000}"/>
    <cellStyle name="T_Book1_Book1 2 4" xfId="12338" xr:uid="{00000000-0005-0000-0000-0000322A0000}"/>
    <cellStyle name="T_Book1_Book1 3" xfId="8238" xr:uid="{00000000-0005-0000-0000-0000332A0000}"/>
    <cellStyle name="T_Book1_Book1 3 2" xfId="12339" xr:uid="{00000000-0005-0000-0000-0000342A0000}"/>
    <cellStyle name="T_Book1_Book1 3 2 2" xfId="12340" xr:uid="{00000000-0005-0000-0000-0000352A0000}"/>
    <cellStyle name="T_Book1_Book1 3 3" xfId="12341" xr:uid="{00000000-0005-0000-0000-0000362A0000}"/>
    <cellStyle name="T_Book1_Book1 4" xfId="12342" xr:uid="{00000000-0005-0000-0000-0000372A0000}"/>
    <cellStyle name="T_Book1_Book1 4 2" xfId="12343" xr:uid="{00000000-0005-0000-0000-0000382A0000}"/>
    <cellStyle name="T_Book1_Book1 5" xfId="12344" xr:uid="{00000000-0005-0000-0000-0000392A0000}"/>
    <cellStyle name="T_Book1_Book1_1" xfId="8239" xr:uid="{00000000-0005-0000-0000-00003A2A0000}"/>
    <cellStyle name="T_Book1_Book1_1 2" xfId="8240" xr:uid="{00000000-0005-0000-0000-00003B2A0000}"/>
    <cellStyle name="T_Book1_Book1_1 2 2" xfId="8241" xr:uid="{00000000-0005-0000-0000-00003C2A0000}"/>
    <cellStyle name="T_Book1_Book1_1 2 2 2" xfId="12345" xr:uid="{00000000-0005-0000-0000-00003D2A0000}"/>
    <cellStyle name="T_Book1_Book1_1 2 2 2 2" xfId="12346" xr:uid="{00000000-0005-0000-0000-00003E2A0000}"/>
    <cellStyle name="T_Book1_Book1_1 2 2 3" xfId="12347" xr:uid="{00000000-0005-0000-0000-00003F2A0000}"/>
    <cellStyle name="T_Book1_Book1_1 2 3" xfId="12348" xr:uid="{00000000-0005-0000-0000-0000402A0000}"/>
    <cellStyle name="T_Book1_Book1_1 2 3 2" xfId="12349" xr:uid="{00000000-0005-0000-0000-0000412A0000}"/>
    <cellStyle name="T_Book1_Book1_1 2 4" xfId="12350" xr:uid="{00000000-0005-0000-0000-0000422A0000}"/>
    <cellStyle name="T_Book1_Book1_1 3" xfId="8242" xr:uid="{00000000-0005-0000-0000-0000432A0000}"/>
    <cellStyle name="T_Book1_Book1_1 3 2" xfId="12351" xr:uid="{00000000-0005-0000-0000-0000442A0000}"/>
    <cellStyle name="T_Book1_Book1_1 3 2 2" xfId="12352" xr:uid="{00000000-0005-0000-0000-0000452A0000}"/>
    <cellStyle name="T_Book1_Book1_1 3 3" xfId="12353" xr:uid="{00000000-0005-0000-0000-0000462A0000}"/>
    <cellStyle name="T_Book1_Book1_1 4" xfId="12354" xr:uid="{00000000-0005-0000-0000-0000472A0000}"/>
    <cellStyle name="T_Book1_Book1_1 4 2" xfId="12355" xr:uid="{00000000-0005-0000-0000-0000482A0000}"/>
    <cellStyle name="T_Book1_Book1_1 5" xfId="12356" xr:uid="{00000000-0005-0000-0000-0000492A0000}"/>
    <cellStyle name="T_Book1_Book1_Book1" xfId="8243" xr:uid="{00000000-0005-0000-0000-00004A2A0000}"/>
    <cellStyle name="T_Book1_Book1_Book1 2" xfId="8244" xr:uid="{00000000-0005-0000-0000-00004B2A0000}"/>
    <cellStyle name="T_Book1_Book1_Book1 2 2" xfId="8245" xr:uid="{00000000-0005-0000-0000-00004C2A0000}"/>
    <cellStyle name="T_Book1_Book1_Book1 2 2 2" xfId="12357" xr:uid="{00000000-0005-0000-0000-00004D2A0000}"/>
    <cellStyle name="T_Book1_Book1_Book1 2 2 2 2" xfId="12358" xr:uid="{00000000-0005-0000-0000-00004E2A0000}"/>
    <cellStyle name="T_Book1_Book1_Book1 2 2 3" xfId="12359" xr:uid="{00000000-0005-0000-0000-00004F2A0000}"/>
    <cellStyle name="T_Book1_Book1_Book1 2 3" xfId="12360" xr:uid="{00000000-0005-0000-0000-0000502A0000}"/>
    <cellStyle name="T_Book1_Book1_Book1 2 3 2" xfId="12361" xr:uid="{00000000-0005-0000-0000-0000512A0000}"/>
    <cellStyle name="T_Book1_Book1_Book1 2 4" xfId="12362" xr:uid="{00000000-0005-0000-0000-0000522A0000}"/>
    <cellStyle name="T_Book1_Book1_Book1 3" xfId="8246" xr:uid="{00000000-0005-0000-0000-0000532A0000}"/>
    <cellStyle name="T_Book1_Book1_Book1 3 2" xfId="12363" xr:uid="{00000000-0005-0000-0000-0000542A0000}"/>
    <cellStyle name="T_Book1_Book1_Book1 3 2 2" xfId="12364" xr:uid="{00000000-0005-0000-0000-0000552A0000}"/>
    <cellStyle name="T_Book1_Book1_Book1 3 3" xfId="12365" xr:uid="{00000000-0005-0000-0000-0000562A0000}"/>
    <cellStyle name="T_Book1_Book1_Book1 4" xfId="12366" xr:uid="{00000000-0005-0000-0000-0000572A0000}"/>
    <cellStyle name="T_Book1_Book1_Book1 4 2" xfId="12367" xr:uid="{00000000-0005-0000-0000-0000582A0000}"/>
    <cellStyle name="T_Book1_Book1_Book1 5" xfId="12368" xr:uid="{00000000-0005-0000-0000-0000592A0000}"/>
    <cellStyle name="T_Book1_Danh sach cong trinh" xfId="8247" xr:uid="{00000000-0005-0000-0000-00005A2A0000}"/>
    <cellStyle name="T_Book1_Danh sach cong trinh 2" xfId="8248" xr:uid="{00000000-0005-0000-0000-00005B2A0000}"/>
    <cellStyle name="T_Book1_Danh sach cong trinh 2 2" xfId="8249" xr:uid="{00000000-0005-0000-0000-00005C2A0000}"/>
    <cellStyle name="T_Book1_Danh sach cong trinh 2 2 2" xfId="12369" xr:uid="{00000000-0005-0000-0000-00005D2A0000}"/>
    <cellStyle name="T_Book1_Danh sach cong trinh 2 2 2 2" xfId="12370" xr:uid="{00000000-0005-0000-0000-00005E2A0000}"/>
    <cellStyle name="T_Book1_Danh sach cong trinh 2 2 3" xfId="12371" xr:uid="{00000000-0005-0000-0000-00005F2A0000}"/>
    <cellStyle name="T_Book1_Danh sach cong trinh 2 3" xfId="12372" xr:uid="{00000000-0005-0000-0000-0000602A0000}"/>
    <cellStyle name="T_Book1_Danh sach cong trinh 2 3 2" xfId="12373" xr:uid="{00000000-0005-0000-0000-0000612A0000}"/>
    <cellStyle name="T_Book1_Danh sach cong trinh 2 4" xfId="12374" xr:uid="{00000000-0005-0000-0000-0000622A0000}"/>
    <cellStyle name="T_Book1_Danh sach cong trinh 3" xfId="8250" xr:uid="{00000000-0005-0000-0000-0000632A0000}"/>
    <cellStyle name="T_Book1_Danh sach cong trinh 3 2" xfId="12375" xr:uid="{00000000-0005-0000-0000-0000642A0000}"/>
    <cellStyle name="T_Book1_Danh sach cong trinh 3 2 2" xfId="12376" xr:uid="{00000000-0005-0000-0000-0000652A0000}"/>
    <cellStyle name="T_Book1_Danh sach cong trinh 3 3" xfId="12377" xr:uid="{00000000-0005-0000-0000-0000662A0000}"/>
    <cellStyle name="T_Book1_Danh sach cong trinh 4" xfId="12378" xr:uid="{00000000-0005-0000-0000-0000672A0000}"/>
    <cellStyle name="T_Book1_Danh sach cong trinh 4 2" xfId="12379" xr:uid="{00000000-0005-0000-0000-0000682A0000}"/>
    <cellStyle name="T_Book1_Danh sach cong trinh 5" xfId="12380" xr:uid="{00000000-0005-0000-0000-0000692A0000}"/>
    <cellStyle name="T_Book1_DT HT Goi 1.4 den ngay 15-5-08" xfId="8251" xr:uid="{00000000-0005-0000-0000-00006A2A0000}"/>
    <cellStyle name="T_Book1_DT HT Goi 1.4 den ngay 15-5-08 2" xfId="8252" xr:uid="{00000000-0005-0000-0000-00006B2A0000}"/>
    <cellStyle name="T_Book1_DT HT Goi 1.4 den ngay 15-5-08 2 2" xfId="8253" xr:uid="{00000000-0005-0000-0000-00006C2A0000}"/>
    <cellStyle name="T_Book1_DT HT Goi 1.4 den ngay 15-5-08 2 2 2" xfId="12381" xr:uid="{00000000-0005-0000-0000-00006D2A0000}"/>
    <cellStyle name="T_Book1_DT HT Goi 1.4 den ngay 15-5-08 2 2 2 2" xfId="12382" xr:uid="{00000000-0005-0000-0000-00006E2A0000}"/>
    <cellStyle name="T_Book1_DT HT Goi 1.4 den ngay 15-5-08 2 2 3" xfId="12383" xr:uid="{00000000-0005-0000-0000-00006F2A0000}"/>
    <cellStyle name="T_Book1_DT HT Goi 1.4 den ngay 15-5-08 2 3" xfId="12384" xr:uid="{00000000-0005-0000-0000-0000702A0000}"/>
    <cellStyle name="T_Book1_DT HT Goi 1.4 den ngay 15-5-08 2 3 2" xfId="12385" xr:uid="{00000000-0005-0000-0000-0000712A0000}"/>
    <cellStyle name="T_Book1_DT HT Goi 1.4 den ngay 15-5-08 2 4" xfId="12386" xr:uid="{00000000-0005-0000-0000-0000722A0000}"/>
    <cellStyle name="T_Book1_DT HT Goi 1.4 den ngay 15-5-08 3" xfId="8254" xr:uid="{00000000-0005-0000-0000-0000732A0000}"/>
    <cellStyle name="T_Book1_DT HT Goi 1.4 den ngay 15-5-08 3 2" xfId="12387" xr:uid="{00000000-0005-0000-0000-0000742A0000}"/>
    <cellStyle name="T_Book1_DT HT Goi 1.4 den ngay 15-5-08 3 2 2" xfId="12388" xr:uid="{00000000-0005-0000-0000-0000752A0000}"/>
    <cellStyle name="T_Book1_DT HT Goi 1.4 den ngay 15-5-08 3 3" xfId="12389" xr:uid="{00000000-0005-0000-0000-0000762A0000}"/>
    <cellStyle name="T_Book1_DT HT Goi 1.4 den ngay 15-5-08 4" xfId="12390" xr:uid="{00000000-0005-0000-0000-0000772A0000}"/>
    <cellStyle name="T_Book1_DT HT Goi 1.4 den ngay 15-5-08 4 2" xfId="12391" xr:uid="{00000000-0005-0000-0000-0000782A0000}"/>
    <cellStyle name="T_Book1_DT HT Goi 1.4 den ngay 15-5-08 5" xfId="12392" xr:uid="{00000000-0005-0000-0000-0000792A0000}"/>
    <cellStyle name="T_Book1_Gia thau goi 6 Son La" xfId="8255" xr:uid="{00000000-0005-0000-0000-00007A2A0000}"/>
    <cellStyle name="T_Book1_Gia thau goi 6 Son La 2" xfId="8256" xr:uid="{00000000-0005-0000-0000-00007B2A0000}"/>
    <cellStyle name="T_Book1_Gia thau goi 6 Son La 2 2" xfId="8257" xr:uid="{00000000-0005-0000-0000-00007C2A0000}"/>
    <cellStyle name="T_Book1_Gia thau goi 6 Son La 2 2 2" xfId="12393" xr:uid="{00000000-0005-0000-0000-00007D2A0000}"/>
    <cellStyle name="T_Book1_Gia thau goi 6 Son La 2 2 2 2" xfId="12394" xr:uid="{00000000-0005-0000-0000-00007E2A0000}"/>
    <cellStyle name="T_Book1_Gia thau goi 6 Son La 2 2 3" xfId="12395" xr:uid="{00000000-0005-0000-0000-00007F2A0000}"/>
    <cellStyle name="T_Book1_Gia thau goi 6 Son La 2 3" xfId="12396" xr:uid="{00000000-0005-0000-0000-0000802A0000}"/>
    <cellStyle name="T_Book1_Gia thau goi 6 Son La 2 3 2" xfId="12397" xr:uid="{00000000-0005-0000-0000-0000812A0000}"/>
    <cellStyle name="T_Book1_Gia thau goi 6 Son La 2 4" xfId="12398" xr:uid="{00000000-0005-0000-0000-0000822A0000}"/>
    <cellStyle name="T_Book1_Gia thau goi 6 Son La 3" xfId="8258" xr:uid="{00000000-0005-0000-0000-0000832A0000}"/>
    <cellStyle name="T_Book1_Gia thau goi 6 Son La 3 2" xfId="12399" xr:uid="{00000000-0005-0000-0000-0000842A0000}"/>
    <cellStyle name="T_Book1_Gia thau goi 6 Son La 3 2 2" xfId="12400" xr:uid="{00000000-0005-0000-0000-0000852A0000}"/>
    <cellStyle name="T_Book1_Gia thau goi 6 Son La 3 3" xfId="12401" xr:uid="{00000000-0005-0000-0000-0000862A0000}"/>
    <cellStyle name="T_Book1_Gia thau goi 6 Son La 4" xfId="12402" xr:uid="{00000000-0005-0000-0000-0000872A0000}"/>
    <cellStyle name="T_Book1_Gia thau goi 6 Son La 4 2" xfId="12403" xr:uid="{00000000-0005-0000-0000-0000882A0000}"/>
    <cellStyle name="T_Book1_Gia thau goi 6 Son La 5" xfId="12404" xr:uid="{00000000-0005-0000-0000-0000892A0000}"/>
    <cellStyle name="T_Book1_PSC-IPC2+3 Evaluation" xfId="8259" xr:uid="{00000000-0005-0000-0000-00008A2A0000}"/>
    <cellStyle name="T_Book1_PSC-IPC2+3 Evaluation 2" xfId="8260" xr:uid="{00000000-0005-0000-0000-00008B2A0000}"/>
    <cellStyle name="T_Book1_PSC-IPC2+3 Evaluation 2 2" xfId="12405" xr:uid="{00000000-0005-0000-0000-00008C2A0000}"/>
    <cellStyle name="T_Book1_PSC-IPC2+3 Evaluation 2 2 2" xfId="12406" xr:uid="{00000000-0005-0000-0000-00008D2A0000}"/>
    <cellStyle name="T_Book1_PSC-IPC2+3 Evaluation 2 3" xfId="12407" xr:uid="{00000000-0005-0000-0000-00008E2A0000}"/>
    <cellStyle name="T_Book1_PSC-IPC2+3 Evaluation 3" xfId="12408" xr:uid="{00000000-0005-0000-0000-00008F2A0000}"/>
    <cellStyle name="T_Book1_PSC-IPC2+3 Evaluation 3 2" xfId="12409" xr:uid="{00000000-0005-0000-0000-0000902A0000}"/>
    <cellStyle name="T_Book1_PSC-IPC2+3 Evaluation 4" xfId="12410" xr:uid="{00000000-0005-0000-0000-0000912A0000}"/>
    <cellStyle name="T_Book1_PSC-IPC4 Evaluation" xfId="8261" xr:uid="{00000000-0005-0000-0000-0000922A0000}"/>
    <cellStyle name="T_Book1_PSC-IPC4 Evaluation 2" xfId="8262" xr:uid="{00000000-0005-0000-0000-0000932A0000}"/>
    <cellStyle name="T_Book1_PSC-IPC4 Evaluation 2 2" xfId="12411" xr:uid="{00000000-0005-0000-0000-0000942A0000}"/>
    <cellStyle name="T_Book1_PSC-IPC4 Evaluation 2 2 2" xfId="12412" xr:uid="{00000000-0005-0000-0000-0000952A0000}"/>
    <cellStyle name="T_Book1_PSC-IPC4 Evaluation 2 3" xfId="12413" xr:uid="{00000000-0005-0000-0000-0000962A0000}"/>
    <cellStyle name="T_Book1_PSC-IPC4 Evaluation 3" xfId="12414" xr:uid="{00000000-0005-0000-0000-0000972A0000}"/>
    <cellStyle name="T_Book1_PSC-IPC4 Evaluation 3 2" xfId="12415" xr:uid="{00000000-0005-0000-0000-0000982A0000}"/>
    <cellStyle name="T_Book1_PSC-IPC4 Evaluation 4" xfId="12416" xr:uid="{00000000-0005-0000-0000-0000992A0000}"/>
    <cellStyle name="T_Book1_San luong FECON den het 2007" xfId="8263" xr:uid="{00000000-0005-0000-0000-00009A2A0000}"/>
    <cellStyle name="T_Book1_San luong FECON den het 2007 2" xfId="8264" xr:uid="{00000000-0005-0000-0000-00009B2A0000}"/>
    <cellStyle name="T_Book1_San luong FECON den het 2007 2 2" xfId="8265" xr:uid="{00000000-0005-0000-0000-00009C2A0000}"/>
    <cellStyle name="T_Book1_San luong FECON den het 2007 2 2 2" xfId="12417" xr:uid="{00000000-0005-0000-0000-00009D2A0000}"/>
    <cellStyle name="T_Book1_San luong FECON den het 2007 2 2 2 2" xfId="12418" xr:uid="{00000000-0005-0000-0000-00009E2A0000}"/>
    <cellStyle name="T_Book1_San luong FECON den het 2007 2 2 3" xfId="12419" xr:uid="{00000000-0005-0000-0000-00009F2A0000}"/>
    <cellStyle name="T_Book1_San luong FECON den het 2007 2 3" xfId="12420" xr:uid="{00000000-0005-0000-0000-0000A02A0000}"/>
    <cellStyle name="T_Book1_San luong FECON den het 2007 2 3 2" xfId="12421" xr:uid="{00000000-0005-0000-0000-0000A12A0000}"/>
    <cellStyle name="T_Book1_San luong FECON den het 2007 2 4" xfId="12422" xr:uid="{00000000-0005-0000-0000-0000A22A0000}"/>
    <cellStyle name="T_Book1_San luong FECON den het 2007 3" xfId="8266" xr:uid="{00000000-0005-0000-0000-0000A32A0000}"/>
    <cellStyle name="T_Book1_San luong FECON den het 2007 3 2" xfId="12423" xr:uid="{00000000-0005-0000-0000-0000A42A0000}"/>
    <cellStyle name="T_Book1_San luong FECON den het 2007 3 2 2" xfId="12424" xr:uid="{00000000-0005-0000-0000-0000A52A0000}"/>
    <cellStyle name="T_Book1_San luong FECON den het 2007 3 3" xfId="12425" xr:uid="{00000000-0005-0000-0000-0000A62A0000}"/>
    <cellStyle name="T_Book1_San luong FECON den het 2007 4" xfId="12426" xr:uid="{00000000-0005-0000-0000-0000A72A0000}"/>
    <cellStyle name="T_Book1_San luong FECON den het 2007 4 2" xfId="12427" xr:uid="{00000000-0005-0000-0000-0000A82A0000}"/>
    <cellStyle name="T_Book1_San luong FECON den het 2007 5" xfId="12428" xr:uid="{00000000-0005-0000-0000-0000A92A0000}"/>
    <cellStyle name="T_Book1_Sheet2" xfId="8267" xr:uid="{00000000-0005-0000-0000-0000AA2A0000}"/>
    <cellStyle name="T_Book1_Sheet2 2" xfId="8268" xr:uid="{00000000-0005-0000-0000-0000AB2A0000}"/>
    <cellStyle name="T_Book1_Sheet2 2 2" xfId="8269" xr:uid="{00000000-0005-0000-0000-0000AC2A0000}"/>
    <cellStyle name="T_Book1_Sheet2 2 2 2" xfId="12429" xr:uid="{00000000-0005-0000-0000-0000AD2A0000}"/>
    <cellStyle name="T_Book1_Sheet2 2 2 2 2" xfId="12430" xr:uid="{00000000-0005-0000-0000-0000AE2A0000}"/>
    <cellStyle name="T_Book1_Sheet2 2 2 3" xfId="12431" xr:uid="{00000000-0005-0000-0000-0000AF2A0000}"/>
    <cellStyle name="T_Book1_Sheet2 2 3" xfId="12432" xr:uid="{00000000-0005-0000-0000-0000B02A0000}"/>
    <cellStyle name="T_Book1_Sheet2 2 3 2" xfId="12433" xr:uid="{00000000-0005-0000-0000-0000B12A0000}"/>
    <cellStyle name="T_Book1_Sheet2 2 4" xfId="12434" xr:uid="{00000000-0005-0000-0000-0000B22A0000}"/>
    <cellStyle name="T_Book1_Sheet2 3" xfId="8270" xr:uid="{00000000-0005-0000-0000-0000B32A0000}"/>
    <cellStyle name="T_Book1_Sheet2 3 2" xfId="12435" xr:uid="{00000000-0005-0000-0000-0000B42A0000}"/>
    <cellStyle name="T_Book1_Sheet2 3 2 2" xfId="12436" xr:uid="{00000000-0005-0000-0000-0000B52A0000}"/>
    <cellStyle name="T_Book1_Sheet2 3 3" xfId="12437" xr:uid="{00000000-0005-0000-0000-0000B62A0000}"/>
    <cellStyle name="T_Book1_Sheet2 4" xfId="12438" xr:uid="{00000000-0005-0000-0000-0000B72A0000}"/>
    <cellStyle name="T_Book1_Sheet2 4 2" xfId="12439" xr:uid="{00000000-0005-0000-0000-0000B82A0000}"/>
    <cellStyle name="T_Book1_Sheet2 5" xfId="12440" xr:uid="{00000000-0005-0000-0000-0000B92A0000}"/>
    <cellStyle name="T_Book1_Vat tu boc tach Goldola" xfId="8271" xr:uid="{00000000-0005-0000-0000-0000BA2A0000}"/>
    <cellStyle name="T_Book1_Vat tu boc tach Goldola 2" xfId="8272" xr:uid="{00000000-0005-0000-0000-0000BB2A0000}"/>
    <cellStyle name="T_Book1_Vat tu boc tach Goldola 2 2" xfId="8273" xr:uid="{00000000-0005-0000-0000-0000BC2A0000}"/>
    <cellStyle name="T_Book1_Vat tu boc tach Goldola 2 2 2" xfId="12441" xr:uid="{00000000-0005-0000-0000-0000BD2A0000}"/>
    <cellStyle name="T_Book1_Vat tu boc tach Goldola 2 2 2 2" xfId="12442" xr:uid="{00000000-0005-0000-0000-0000BE2A0000}"/>
    <cellStyle name="T_Book1_Vat tu boc tach Goldola 2 2 3" xfId="12443" xr:uid="{00000000-0005-0000-0000-0000BF2A0000}"/>
    <cellStyle name="T_Book1_Vat tu boc tach Goldola 2 3" xfId="12444" xr:uid="{00000000-0005-0000-0000-0000C02A0000}"/>
    <cellStyle name="T_Book1_Vat tu boc tach Goldola 2 3 2" xfId="12445" xr:uid="{00000000-0005-0000-0000-0000C12A0000}"/>
    <cellStyle name="T_Book1_Vat tu boc tach Goldola 2 4" xfId="12446" xr:uid="{00000000-0005-0000-0000-0000C22A0000}"/>
    <cellStyle name="T_Book1_Vat tu boc tach Goldola 3" xfId="8274" xr:uid="{00000000-0005-0000-0000-0000C32A0000}"/>
    <cellStyle name="T_Book1_Vat tu boc tach Goldola 3 2" xfId="12447" xr:uid="{00000000-0005-0000-0000-0000C42A0000}"/>
    <cellStyle name="T_Book1_Vat tu boc tach Goldola 3 2 2" xfId="12448" xr:uid="{00000000-0005-0000-0000-0000C52A0000}"/>
    <cellStyle name="T_Book1_Vat tu boc tach Goldola 3 3" xfId="12449" xr:uid="{00000000-0005-0000-0000-0000C62A0000}"/>
    <cellStyle name="T_Book1_Vat tu boc tach Goldola 4" xfId="12450" xr:uid="{00000000-0005-0000-0000-0000C72A0000}"/>
    <cellStyle name="T_Book1_Vat tu boc tach Goldola 4 2" xfId="12451" xr:uid="{00000000-0005-0000-0000-0000C82A0000}"/>
    <cellStyle name="T_Book1_Vat tu boc tach Goldola 5" xfId="12452" xr:uid="{00000000-0005-0000-0000-0000C92A0000}"/>
    <cellStyle name="T_Cap thoat nuoc" xfId="8275" xr:uid="{00000000-0005-0000-0000-0000CA2A0000}"/>
    <cellStyle name="T_Cap thoat nuoc 2" xfId="8276" xr:uid="{00000000-0005-0000-0000-0000CB2A0000}"/>
    <cellStyle name="T_Cap thoat nuoc 2 2" xfId="8277" xr:uid="{00000000-0005-0000-0000-0000CC2A0000}"/>
    <cellStyle name="T_Cap thoat nuoc 2 2 2" xfId="12453" xr:uid="{00000000-0005-0000-0000-0000CD2A0000}"/>
    <cellStyle name="T_Cap thoat nuoc 2 2 2 2" xfId="12454" xr:uid="{00000000-0005-0000-0000-0000CE2A0000}"/>
    <cellStyle name="T_Cap thoat nuoc 2 2 3" xfId="12455" xr:uid="{00000000-0005-0000-0000-0000CF2A0000}"/>
    <cellStyle name="T_Cap thoat nuoc 2 3" xfId="12456" xr:uid="{00000000-0005-0000-0000-0000D02A0000}"/>
    <cellStyle name="T_Cap thoat nuoc 2 3 2" xfId="12457" xr:uid="{00000000-0005-0000-0000-0000D12A0000}"/>
    <cellStyle name="T_Cap thoat nuoc 2 4" xfId="12458" xr:uid="{00000000-0005-0000-0000-0000D22A0000}"/>
    <cellStyle name="T_Cap thoat nuoc 3" xfId="8278" xr:uid="{00000000-0005-0000-0000-0000D32A0000}"/>
    <cellStyle name="T_Cap thoat nuoc 3 2" xfId="12459" xr:uid="{00000000-0005-0000-0000-0000D42A0000}"/>
    <cellStyle name="T_Cap thoat nuoc 3 2 2" xfId="12460" xr:uid="{00000000-0005-0000-0000-0000D52A0000}"/>
    <cellStyle name="T_Cap thoat nuoc 3 3" xfId="12461" xr:uid="{00000000-0005-0000-0000-0000D62A0000}"/>
    <cellStyle name="T_Cap thoat nuoc 4" xfId="12462" xr:uid="{00000000-0005-0000-0000-0000D72A0000}"/>
    <cellStyle name="T_Cap thoat nuoc 4 2" xfId="12463" xr:uid="{00000000-0005-0000-0000-0000D82A0000}"/>
    <cellStyle name="T_Cap thoat nuoc 5" xfId="12464" xr:uid="{00000000-0005-0000-0000-0000D92A0000}"/>
    <cellStyle name="T_Cau Giang_Trinh" xfId="8279" xr:uid="{00000000-0005-0000-0000-0000DA2A0000}"/>
    <cellStyle name="T_Cau Giang_Trinh 2" xfId="8280" xr:uid="{00000000-0005-0000-0000-0000DB2A0000}"/>
    <cellStyle name="T_Cau Giang_Trinh 2 2" xfId="12465" xr:uid="{00000000-0005-0000-0000-0000DC2A0000}"/>
    <cellStyle name="T_Cau Giang_Trinh 2 2 2" xfId="12466" xr:uid="{00000000-0005-0000-0000-0000DD2A0000}"/>
    <cellStyle name="T_Cau Giang_Trinh 2 3" xfId="12467" xr:uid="{00000000-0005-0000-0000-0000DE2A0000}"/>
    <cellStyle name="T_Cau Giang_Trinh 3" xfId="12468" xr:uid="{00000000-0005-0000-0000-0000DF2A0000}"/>
    <cellStyle name="T_Cau Giang_Trinh 3 2" xfId="12469" xr:uid="{00000000-0005-0000-0000-0000E02A0000}"/>
    <cellStyle name="T_Cau Giang_Trinh 4" xfId="12470" xr:uid="{00000000-0005-0000-0000-0000E12A0000}"/>
    <cellStyle name="T_Cau Giang_Trinh_2---DATA_SAIN GOBAIN (THEP)_Option 1-British Standard" xfId="8281" xr:uid="{00000000-0005-0000-0000-0000E22A0000}"/>
    <cellStyle name="T_Cau Giang_Trinh_2---DATA_SAIN GOBAIN (THEP)_Option 1-British Standard 2" xfId="12471" xr:uid="{00000000-0005-0000-0000-0000E32A0000}"/>
    <cellStyle name="T_Cau Giang_Trinh_2---DATA_SAIN GOBAIN (THEP)_Option 1-British Standard 2 2" xfId="12472" xr:uid="{00000000-0005-0000-0000-0000E42A0000}"/>
    <cellStyle name="T_Cau Giang_Trinh_2---DATA_SAIN GOBAIN (THEP)_Option 1-British Standard 3" xfId="12473" xr:uid="{00000000-0005-0000-0000-0000E52A0000}"/>
    <cellStyle name="T_Copy of TM GOLROLA" xfId="8282" xr:uid="{00000000-0005-0000-0000-0000E62A0000}"/>
    <cellStyle name="T_Copy of TM GOLROLA 2" xfId="8283" xr:uid="{00000000-0005-0000-0000-0000E72A0000}"/>
    <cellStyle name="T_Copy of TM GOLROLA 2 2" xfId="8284" xr:uid="{00000000-0005-0000-0000-0000E82A0000}"/>
    <cellStyle name="T_Copy of TM GOLROLA 2 2 2" xfId="12474" xr:uid="{00000000-0005-0000-0000-0000E92A0000}"/>
    <cellStyle name="T_Copy of TM GOLROLA 2 2 2 2" xfId="12475" xr:uid="{00000000-0005-0000-0000-0000EA2A0000}"/>
    <cellStyle name="T_Copy of TM GOLROLA 2 2 3" xfId="12476" xr:uid="{00000000-0005-0000-0000-0000EB2A0000}"/>
    <cellStyle name="T_Copy of TM GOLROLA 2 3" xfId="12477" xr:uid="{00000000-0005-0000-0000-0000EC2A0000}"/>
    <cellStyle name="T_Copy of TM GOLROLA 2 3 2" xfId="12478" xr:uid="{00000000-0005-0000-0000-0000ED2A0000}"/>
    <cellStyle name="T_Copy of TM GOLROLA 2 4" xfId="12479" xr:uid="{00000000-0005-0000-0000-0000EE2A0000}"/>
    <cellStyle name="T_Copy of TM GOLROLA 3" xfId="8285" xr:uid="{00000000-0005-0000-0000-0000EF2A0000}"/>
    <cellStyle name="T_Copy of TM GOLROLA 3 2" xfId="12480" xr:uid="{00000000-0005-0000-0000-0000F02A0000}"/>
    <cellStyle name="T_Copy of TM GOLROLA 3 2 2" xfId="12481" xr:uid="{00000000-0005-0000-0000-0000F12A0000}"/>
    <cellStyle name="T_Copy of TM GOLROLA 3 3" xfId="12482" xr:uid="{00000000-0005-0000-0000-0000F22A0000}"/>
    <cellStyle name="T_Copy of TM GOLROLA 4" xfId="12483" xr:uid="{00000000-0005-0000-0000-0000F32A0000}"/>
    <cellStyle name="T_Copy of TM GOLROLA 4 2" xfId="12484" xr:uid="{00000000-0005-0000-0000-0000F42A0000}"/>
    <cellStyle name="T_Copy of TM GOLROLA 5" xfId="12485" xr:uid="{00000000-0005-0000-0000-0000F52A0000}"/>
    <cellStyle name="T_DAILY REPORT 4.1.08L3KVH22" xfId="8286" xr:uid="{00000000-0005-0000-0000-0000F62A0000}"/>
    <cellStyle name="T_DAILY REPORT 4.1.08L3KVH22 2" xfId="8287" xr:uid="{00000000-0005-0000-0000-0000F72A0000}"/>
    <cellStyle name="T_DAILY REPORT 4.1.08L3KVH22 2 2" xfId="8288" xr:uid="{00000000-0005-0000-0000-0000F82A0000}"/>
    <cellStyle name="T_DAILY REPORT 4.1.08L3KVH22 2 2 2" xfId="12486" xr:uid="{00000000-0005-0000-0000-0000F92A0000}"/>
    <cellStyle name="T_DAILY REPORT 4.1.08L3KVH22 2 2 2 2" xfId="12487" xr:uid="{00000000-0005-0000-0000-0000FA2A0000}"/>
    <cellStyle name="T_DAILY REPORT 4.1.08L3KVH22 2 2 3" xfId="12488" xr:uid="{00000000-0005-0000-0000-0000FB2A0000}"/>
    <cellStyle name="T_DAILY REPORT 4.1.08L3KVH22 2 3" xfId="12489" xr:uid="{00000000-0005-0000-0000-0000FC2A0000}"/>
    <cellStyle name="T_DAILY REPORT 4.1.08L3KVH22 2 3 2" xfId="12490" xr:uid="{00000000-0005-0000-0000-0000FD2A0000}"/>
    <cellStyle name="T_DAILY REPORT 4.1.08L3KVH22 2 4" xfId="12491" xr:uid="{00000000-0005-0000-0000-0000FE2A0000}"/>
    <cellStyle name="T_DAILY REPORT 4.1.08L3KVH22 3" xfId="8289" xr:uid="{00000000-0005-0000-0000-0000FF2A0000}"/>
    <cellStyle name="T_DAILY REPORT 4.1.08L3KVH22 3 2" xfId="12492" xr:uid="{00000000-0005-0000-0000-0000002B0000}"/>
    <cellStyle name="T_DAILY REPORT 4.1.08L3KVH22 3 2 2" xfId="12493" xr:uid="{00000000-0005-0000-0000-0000012B0000}"/>
    <cellStyle name="T_DAILY REPORT 4.1.08L3KVH22 3 3" xfId="12494" xr:uid="{00000000-0005-0000-0000-0000022B0000}"/>
    <cellStyle name="T_DAILY REPORT 4.1.08L3KVH22 4" xfId="12495" xr:uid="{00000000-0005-0000-0000-0000032B0000}"/>
    <cellStyle name="T_DAILY REPORT 4.1.08L3KVH22 4 2" xfId="12496" xr:uid="{00000000-0005-0000-0000-0000042B0000}"/>
    <cellStyle name="T_DAILY REPORT 4.1.08L3KVH22 5" xfId="12497" xr:uid="{00000000-0005-0000-0000-0000052B0000}"/>
    <cellStyle name="T_Danh sach cong trinh" xfId="8290" xr:uid="{00000000-0005-0000-0000-0000062B0000}"/>
    <cellStyle name="T_Danh sach cong trinh 2" xfId="8291" xr:uid="{00000000-0005-0000-0000-0000072B0000}"/>
    <cellStyle name="T_Danh sach cong trinh 2 2" xfId="8292" xr:uid="{00000000-0005-0000-0000-0000082B0000}"/>
    <cellStyle name="T_Danh sach cong trinh 2 2 2" xfId="12498" xr:uid="{00000000-0005-0000-0000-0000092B0000}"/>
    <cellStyle name="T_Danh sach cong trinh 2 2 2 2" xfId="12499" xr:uid="{00000000-0005-0000-0000-00000A2B0000}"/>
    <cellStyle name="T_Danh sach cong trinh 2 2 3" xfId="12500" xr:uid="{00000000-0005-0000-0000-00000B2B0000}"/>
    <cellStyle name="T_Danh sach cong trinh 2 3" xfId="12501" xr:uid="{00000000-0005-0000-0000-00000C2B0000}"/>
    <cellStyle name="T_Danh sach cong trinh 2 3 2" xfId="12502" xr:uid="{00000000-0005-0000-0000-00000D2B0000}"/>
    <cellStyle name="T_Danh sach cong trinh 2 4" xfId="12503" xr:uid="{00000000-0005-0000-0000-00000E2B0000}"/>
    <cellStyle name="T_Danh sach cong trinh 3" xfId="8293" xr:uid="{00000000-0005-0000-0000-00000F2B0000}"/>
    <cellStyle name="T_Danh sach cong trinh 3 2" xfId="12504" xr:uid="{00000000-0005-0000-0000-0000102B0000}"/>
    <cellStyle name="T_Danh sach cong trinh 3 2 2" xfId="12505" xr:uid="{00000000-0005-0000-0000-0000112B0000}"/>
    <cellStyle name="T_Danh sach cong trinh 3 3" xfId="12506" xr:uid="{00000000-0005-0000-0000-0000122B0000}"/>
    <cellStyle name="T_Danh sach cong trinh 4" xfId="12507" xr:uid="{00000000-0005-0000-0000-0000132B0000}"/>
    <cellStyle name="T_Danh sach cong trinh 4 2" xfId="12508" xr:uid="{00000000-0005-0000-0000-0000142B0000}"/>
    <cellStyle name="T_Danh sach cong trinh 5" xfId="12509" xr:uid="{00000000-0005-0000-0000-0000152B0000}"/>
    <cellStyle name="T_Danh sach nha cung cap ( Vendor List ) - Cap nhat 15-04-2011" xfId="8294" xr:uid="{00000000-0005-0000-0000-0000162B0000}"/>
    <cellStyle name="T_Danh sach nha cung cap ( Vendor List ) - Cap nhat 15-04-2011 2" xfId="8295" xr:uid="{00000000-0005-0000-0000-0000172B0000}"/>
    <cellStyle name="T_Danh sach nha cung cap ( Vendor List ) - Cap nhat 15-04-2011 2 2" xfId="12510" xr:uid="{00000000-0005-0000-0000-0000182B0000}"/>
    <cellStyle name="T_Danh sach nha cung cap ( Vendor List ) - Cap nhat 15-04-2011 2 2 2" xfId="12511" xr:uid="{00000000-0005-0000-0000-0000192B0000}"/>
    <cellStyle name="T_Danh sach nha cung cap ( Vendor List ) - Cap nhat 15-04-2011 2 3" xfId="12512" xr:uid="{00000000-0005-0000-0000-00001A2B0000}"/>
    <cellStyle name="T_Danh sach nha cung cap ( Vendor List ) - Cap nhat 15-04-2011 3" xfId="12513" xr:uid="{00000000-0005-0000-0000-00001B2B0000}"/>
    <cellStyle name="T_Danh sach nha cung cap ( Vendor List ) - Cap nhat 15-04-2011 3 2" xfId="12514" xr:uid="{00000000-0005-0000-0000-00001C2B0000}"/>
    <cellStyle name="T_Danh sach nha cung cap ( Vendor List ) - Cap nhat 15-04-2011 4" xfId="12515" xr:uid="{00000000-0005-0000-0000-00001D2B0000}"/>
    <cellStyle name="T_DT§Z110VinhYen" xfId="8296" xr:uid="{00000000-0005-0000-0000-00001E2B0000}"/>
    <cellStyle name="T_DT§Z110VinhYen 2" xfId="8297" xr:uid="{00000000-0005-0000-0000-00001F2B0000}"/>
    <cellStyle name="T_DT§Z110VinhYen 2 2" xfId="8298" xr:uid="{00000000-0005-0000-0000-0000202B0000}"/>
    <cellStyle name="T_DT§Z110VinhYen 2 2 2" xfId="12516" xr:uid="{00000000-0005-0000-0000-0000212B0000}"/>
    <cellStyle name="T_DT§Z110VinhYen 2 2 2 2" xfId="12517" xr:uid="{00000000-0005-0000-0000-0000222B0000}"/>
    <cellStyle name="T_DT§Z110VinhYen 2 2 3" xfId="12518" xr:uid="{00000000-0005-0000-0000-0000232B0000}"/>
    <cellStyle name="T_DT§Z110VinhYen 2 3" xfId="12519" xr:uid="{00000000-0005-0000-0000-0000242B0000}"/>
    <cellStyle name="T_DT§Z110VinhYen 2 3 2" xfId="12520" xr:uid="{00000000-0005-0000-0000-0000252B0000}"/>
    <cellStyle name="T_DT§Z110VinhYen 2 4" xfId="12521" xr:uid="{00000000-0005-0000-0000-0000262B0000}"/>
    <cellStyle name="T_DT§Z110VinhYen 3" xfId="8299" xr:uid="{00000000-0005-0000-0000-0000272B0000}"/>
    <cellStyle name="T_DT§Z110VinhYen 3 2" xfId="12522" xr:uid="{00000000-0005-0000-0000-0000282B0000}"/>
    <cellStyle name="T_DT§Z110VinhYen 3 2 2" xfId="12523" xr:uid="{00000000-0005-0000-0000-0000292B0000}"/>
    <cellStyle name="T_DT§Z110VinhYen 3 3" xfId="12524" xr:uid="{00000000-0005-0000-0000-00002A2B0000}"/>
    <cellStyle name="T_DT§Z110VinhYen 4" xfId="12525" xr:uid="{00000000-0005-0000-0000-00002B2B0000}"/>
    <cellStyle name="T_DT§Z110VinhYen 4 2" xfId="12526" xr:uid="{00000000-0005-0000-0000-00002C2B0000}"/>
    <cellStyle name="T_DT§Z110VinhYen 5" xfId="12527" xr:uid="{00000000-0005-0000-0000-00002D2B0000}"/>
    <cellStyle name="T_Du toan" xfId="8300" xr:uid="{00000000-0005-0000-0000-00002E2B0000}"/>
    <cellStyle name="T_Du toan 2" xfId="12528" xr:uid="{00000000-0005-0000-0000-00002F2B0000}"/>
    <cellStyle name="T_Du toan 2 2" xfId="12529" xr:uid="{00000000-0005-0000-0000-0000302B0000}"/>
    <cellStyle name="T_Du toan 3" xfId="12530" xr:uid="{00000000-0005-0000-0000-0000312B0000}"/>
    <cellStyle name="T_DU TOAN SUPOR2806" xfId="8301" xr:uid="{00000000-0005-0000-0000-0000322B0000}"/>
    <cellStyle name="T_DU TOAN SUPOR2806 2" xfId="8302" xr:uid="{00000000-0005-0000-0000-0000332B0000}"/>
    <cellStyle name="T_DU TOAN SUPOR2806 2 2" xfId="12531" xr:uid="{00000000-0005-0000-0000-0000342B0000}"/>
    <cellStyle name="T_DU TOAN SUPOR2806 2 2 2" xfId="12532" xr:uid="{00000000-0005-0000-0000-0000352B0000}"/>
    <cellStyle name="T_DU TOAN SUPOR2806 2 3" xfId="12533" xr:uid="{00000000-0005-0000-0000-0000362B0000}"/>
    <cellStyle name="T_DU TOAN SUPOR2806 3" xfId="12534" xr:uid="{00000000-0005-0000-0000-0000372B0000}"/>
    <cellStyle name="T_DU TOAN SUPOR2806 3 2" xfId="12535" xr:uid="{00000000-0005-0000-0000-0000382B0000}"/>
    <cellStyle name="T_DU TOAN SUPOR2806 4" xfId="12536" xr:uid="{00000000-0005-0000-0000-0000392B0000}"/>
    <cellStyle name="T_DU TOAN SUPOR2806_Danh sach nha cung cap ( Vendor List ) - Cap nhat 15-04-2011" xfId="8303" xr:uid="{00000000-0005-0000-0000-00003A2B0000}"/>
    <cellStyle name="T_DU TOAN SUPOR2806_Danh sach nha cung cap ( Vendor List ) - Cap nhat 15-04-2011 2" xfId="8304" xr:uid="{00000000-0005-0000-0000-00003B2B0000}"/>
    <cellStyle name="T_DU TOAN SUPOR2806_Danh sach nha cung cap ( Vendor List ) - Cap nhat 15-04-2011 2 2" xfId="12537" xr:uid="{00000000-0005-0000-0000-00003C2B0000}"/>
    <cellStyle name="T_DU TOAN SUPOR2806_Danh sach nha cung cap ( Vendor List ) - Cap nhat 15-04-2011 2 2 2" xfId="12538" xr:uid="{00000000-0005-0000-0000-00003D2B0000}"/>
    <cellStyle name="T_DU TOAN SUPOR2806_Danh sach nha cung cap ( Vendor List ) - Cap nhat 15-04-2011 2 3" xfId="12539" xr:uid="{00000000-0005-0000-0000-00003E2B0000}"/>
    <cellStyle name="T_DU TOAN SUPOR2806_Danh sach nha cung cap ( Vendor List ) - Cap nhat 15-04-2011 3" xfId="12540" xr:uid="{00000000-0005-0000-0000-00003F2B0000}"/>
    <cellStyle name="T_DU TOAN SUPOR2806_Danh sach nha cung cap ( Vendor List ) - Cap nhat 15-04-2011 3 2" xfId="12541" xr:uid="{00000000-0005-0000-0000-0000402B0000}"/>
    <cellStyle name="T_DU TOAN SUPOR2806_Danh sach nha cung cap ( Vendor List ) - Cap nhat 15-04-2011 4" xfId="12542" xr:uid="{00000000-0005-0000-0000-0000412B0000}"/>
    <cellStyle name="T_DU TOAN SUPOR2806_General Quotation 5-1-2008" xfId="8305" xr:uid="{00000000-0005-0000-0000-0000422B0000}"/>
    <cellStyle name="T_DU TOAN SUPOR2806_General Quotation 5-1-2008 2" xfId="8306" xr:uid="{00000000-0005-0000-0000-0000432B0000}"/>
    <cellStyle name="T_DU TOAN SUPOR2806_General Quotation 5-1-2008 2 2" xfId="12543" xr:uid="{00000000-0005-0000-0000-0000442B0000}"/>
    <cellStyle name="T_DU TOAN SUPOR2806_General Quotation 5-1-2008 2 2 2" xfId="12544" xr:uid="{00000000-0005-0000-0000-0000452B0000}"/>
    <cellStyle name="T_DU TOAN SUPOR2806_General Quotation 5-1-2008 2 3" xfId="12545" xr:uid="{00000000-0005-0000-0000-0000462B0000}"/>
    <cellStyle name="T_DU TOAN SUPOR2806_General Quotation 5-1-2008 3" xfId="12546" xr:uid="{00000000-0005-0000-0000-0000472B0000}"/>
    <cellStyle name="T_DU TOAN SUPOR2806_General Quotation 5-1-2008 3 2" xfId="12547" xr:uid="{00000000-0005-0000-0000-0000482B0000}"/>
    <cellStyle name="T_DU TOAN SUPOR2806_General Quotation 5-1-2008 4" xfId="12548" xr:uid="{00000000-0005-0000-0000-0000492B0000}"/>
    <cellStyle name="T_DU TOAN SUPOR2806_General Quotation 5-1-2008_Danh sach nha cung cap ( Vendor List ) - Cap nhat 15-04-2011" xfId="8307" xr:uid="{00000000-0005-0000-0000-00004A2B0000}"/>
    <cellStyle name="T_DU TOAN SUPOR2806_General Quotation 5-1-2008_Danh sach nha cung cap ( Vendor List ) - Cap nhat 15-04-2011 2" xfId="8308" xr:uid="{00000000-0005-0000-0000-00004B2B0000}"/>
    <cellStyle name="T_DU TOAN SUPOR2806_General Quotation 5-1-2008_Danh sach nha cung cap ( Vendor List ) - Cap nhat 15-04-2011 2 2" xfId="12549" xr:uid="{00000000-0005-0000-0000-00004C2B0000}"/>
    <cellStyle name="T_DU TOAN SUPOR2806_General Quotation 5-1-2008_Danh sach nha cung cap ( Vendor List ) - Cap nhat 15-04-2011 2 2 2" xfId="12550" xr:uid="{00000000-0005-0000-0000-00004D2B0000}"/>
    <cellStyle name="T_DU TOAN SUPOR2806_General Quotation 5-1-2008_Danh sach nha cung cap ( Vendor List ) - Cap nhat 15-04-2011 2 3" xfId="12551" xr:uid="{00000000-0005-0000-0000-00004E2B0000}"/>
    <cellStyle name="T_DU TOAN SUPOR2806_General Quotation 5-1-2008_Danh sach nha cung cap ( Vendor List ) - Cap nhat 15-04-2011 3" xfId="12552" xr:uid="{00000000-0005-0000-0000-00004F2B0000}"/>
    <cellStyle name="T_DU TOAN SUPOR2806_General Quotation 5-1-2008_Danh sach nha cung cap ( Vendor List ) - Cap nhat 15-04-2011 3 2" xfId="12553" xr:uid="{00000000-0005-0000-0000-0000502B0000}"/>
    <cellStyle name="T_DU TOAN SUPOR2806_General Quotation 5-1-2008_Danh sach nha cung cap ( Vendor List ) - Cap nhat 15-04-2011 4" xfId="12554" xr:uid="{00000000-0005-0000-0000-0000512B0000}"/>
    <cellStyle name="T_Duong NT3_New" xfId="8309" xr:uid="{00000000-0005-0000-0000-0000522B0000}"/>
    <cellStyle name="T_Duong NT3_New 2" xfId="8310" xr:uid="{00000000-0005-0000-0000-0000532B0000}"/>
    <cellStyle name="T_Duong NT3_New 2 2" xfId="12555" xr:uid="{00000000-0005-0000-0000-0000542B0000}"/>
    <cellStyle name="T_Duong NT3_New 2 2 2" xfId="12556" xr:uid="{00000000-0005-0000-0000-0000552B0000}"/>
    <cellStyle name="T_Duong NT3_New 2 3" xfId="12557" xr:uid="{00000000-0005-0000-0000-0000562B0000}"/>
    <cellStyle name="T_Duong NT3_New 3" xfId="12558" xr:uid="{00000000-0005-0000-0000-0000572B0000}"/>
    <cellStyle name="T_Duong NT3_New 3 2" xfId="12559" xr:uid="{00000000-0005-0000-0000-0000582B0000}"/>
    <cellStyle name="T_Duong NT3_New 4" xfId="12560" xr:uid="{00000000-0005-0000-0000-0000592B0000}"/>
    <cellStyle name="T_Duong NT3_New_2---DATA_SAIN GOBAIN (THEP)_Option 1-British Standard" xfId="8311" xr:uid="{00000000-0005-0000-0000-00005A2B0000}"/>
    <cellStyle name="T_Duong NT3_New_2---DATA_SAIN GOBAIN (THEP)_Option 1-British Standard 2" xfId="12561" xr:uid="{00000000-0005-0000-0000-00005B2B0000}"/>
    <cellStyle name="T_Duong NT3_New_2---DATA_SAIN GOBAIN (THEP)_Option 1-British Standard 2 2" xfId="12562" xr:uid="{00000000-0005-0000-0000-00005C2B0000}"/>
    <cellStyle name="T_Duong NT3_New_2---DATA_SAIN GOBAIN (THEP)_Option 1-British Standard 3" xfId="12563" xr:uid="{00000000-0005-0000-0000-00005D2B0000}"/>
    <cellStyle name="T_Form" xfId="8312" xr:uid="{00000000-0005-0000-0000-00005E2B0000}"/>
    <cellStyle name="T_Form 2" xfId="8313" xr:uid="{00000000-0005-0000-0000-00005F2B0000}"/>
    <cellStyle name="T_Form 2 2" xfId="12564" xr:uid="{00000000-0005-0000-0000-0000602B0000}"/>
    <cellStyle name="T_Form 2 2 2" xfId="12565" xr:uid="{00000000-0005-0000-0000-0000612B0000}"/>
    <cellStyle name="T_Form 2 3" xfId="12566" xr:uid="{00000000-0005-0000-0000-0000622B0000}"/>
    <cellStyle name="T_Form 3" xfId="12567" xr:uid="{00000000-0005-0000-0000-0000632B0000}"/>
    <cellStyle name="T_Form 3 2" xfId="12568" xr:uid="{00000000-0005-0000-0000-0000642B0000}"/>
    <cellStyle name="T_Form 4" xfId="12569" xr:uid="{00000000-0005-0000-0000-0000652B0000}"/>
    <cellStyle name="T_Form_Genral Conditin etc" xfId="8314" xr:uid="{00000000-0005-0000-0000-0000662B0000}"/>
    <cellStyle name="T_Form_Genral Conditin etc 2" xfId="8315" xr:uid="{00000000-0005-0000-0000-0000672B0000}"/>
    <cellStyle name="T_Form_Genral Conditin etc 2 2" xfId="12570" xr:uid="{00000000-0005-0000-0000-0000682B0000}"/>
    <cellStyle name="T_Form_Genral Conditin etc 2 2 2" xfId="12571" xr:uid="{00000000-0005-0000-0000-0000692B0000}"/>
    <cellStyle name="T_Form_Genral Conditin etc 2 3" xfId="12572" xr:uid="{00000000-0005-0000-0000-00006A2B0000}"/>
    <cellStyle name="T_Form_Genral Conditin etc 3" xfId="12573" xr:uid="{00000000-0005-0000-0000-00006B2B0000}"/>
    <cellStyle name="T_Form_Genral Conditin etc 3 2" xfId="12574" xr:uid="{00000000-0005-0000-0000-00006C2B0000}"/>
    <cellStyle name="T_Form_Genral Conditin etc 4" xfId="12575" xr:uid="{00000000-0005-0000-0000-00006D2B0000}"/>
    <cellStyle name="T_Form_Genral Conditin etc_M_E Services _ Education" xfId="8316" xr:uid="{00000000-0005-0000-0000-00006E2B0000}"/>
    <cellStyle name="T_Form_Genral Conditin etc_M_E Services _ Education 2" xfId="8317" xr:uid="{00000000-0005-0000-0000-00006F2B0000}"/>
    <cellStyle name="T_Form_Genral Conditin etc_M_E Services _ Education 2 2" xfId="12576" xr:uid="{00000000-0005-0000-0000-0000702B0000}"/>
    <cellStyle name="T_Form_Genral Conditin etc_M_E Services _ Education 2 2 2" xfId="12577" xr:uid="{00000000-0005-0000-0000-0000712B0000}"/>
    <cellStyle name="T_Form_Genral Conditin etc_M_E Services _ Education 2 3" xfId="12578" xr:uid="{00000000-0005-0000-0000-0000722B0000}"/>
    <cellStyle name="T_Form_Genral Conditin etc_M_E Services _ Education 3" xfId="12579" xr:uid="{00000000-0005-0000-0000-0000732B0000}"/>
    <cellStyle name="T_Form_Genral Conditin etc_M_E Services _ Education 3 2" xfId="12580" xr:uid="{00000000-0005-0000-0000-0000742B0000}"/>
    <cellStyle name="T_Form_Genral Conditin etc_M_E Services _ Education 4" xfId="12581" xr:uid="{00000000-0005-0000-0000-0000752B0000}"/>
    <cellStyle name="T_Form_Genral Conditin etc_M_E Services _ Education_1" xfId="8318" xr:uid="{00000000-0005-0000-0000-0000762B0000}"/>
    <cellStyle name="T_Form_Genral Conditin etc_M_E Services _ Education_1 2" xfId="8319" xr:uid="{00000000-0005-0000-0000-0000772B0000}"/>
    <cellStyle name="T_Form_Genral Conditin etc_M_E Services _ Education_1 2 2" xfId="12582" xr:uid="{00000000-0005-0000-0000-0000782B0000}"/>
    <cellStyle name="T_Form_Genral Conditin etc_M_E Services _ Education_1 2 2 2" xfId="12583" xr:uid="{00000000-0005-0000-0000-0000792B0000}"/>
    <cellStyle name="T_Form_Genral Conditin etc_M_E Services _ Education_1 2 3" xfId="12584" xr:uid="{00000000-0005-0000-0000-00007A2B0000}"/>
    <cellStyle name="T_Form_Genral Conditin etc_M_E Services _ Education_1 3" xfId="12585" xr:uid="{00000000-0005-0000-0000-00007B2B0000}"/>
    <cellStyle name="T_Form_Genral Conditin etc_M_E Services _ Education_1 3 2" xfId="12586" xr:uid="{00000000-0005-0000-0000-00007C2B0000}"/>
    <cellStyle name="T_Form_Genral Conditin etc_M_E Services _ Education_1 4" xfId="12587" xr:uid="{00000000-0005-0000-0000-00007D2B0000}"/>
    <cellStyle name="T_Form_M_E Services _ Education" xfId="8320" xr:uid="{00000000-0005-0000-0000-00007E2B0000}"/>
    <cellStyle name="T_Form_M_E Services _ Education 2" xfId="8321" xr:uid="{00000000-0005-0000-0000-00007F2B0000}"/>
    <cellStyle name="T_Form_M_E Services _ Education 2 2" xfId="12588" xr:uid="{00000000-0005-0000-0000-0000802B0000}"/>
    <cellStyle name="T_Form_M_E Services _ Education 2 2 2" xfId="12589" xr:uid="{00000000-0005-0000-0000-0000812B0000}"/>
    <cellStyle name="T_Form_M_E Services _ Education 2 3" xfId="12590" xr:uid="{00000000-0005-0000-0000-0000822B0000}"/>
    <cellStyle name="T_Form_M_E Services _ Education 3" xfId="12591" xr:uid="{00000000-0005-0000-0000-0000832B0000}"/>
    <cellStyle name="T_Form_M_E Services _ Education 3 2" xfId="12592" xr:uid="{00000000-0005-0000-0000-0000842B0000}"/>
    <cellStyle name="T_Form_M_E Services _ Education 4" xfId="12593" xr:uid="{00000000-0005-0000-0000-0000852B0000}"/>
    <cellStyle name="T_Form_M_E Services _ Education_1" xfId="8322" xr:uid="{00000000-0005-0000-0000-0000862B0000}"/>
    <cellStyle name="T_Form_M_E Services _ Education_1 2" xfId="8323" xr:uid="{00000000-0005-0000-0000-0000872B0000}"/>
    <cellStyle name="T_Form_M_E Services _ Education_1 2 2" xfId="12594" xr:uid="{00000000-0005-0000-0000-0000882B0000}"/>
    <cellStyle name="T_Form_M_E Services _ Education_1 2 2 2" xfId="12595" xr:uid="{00000000-0005-0000-0000-0000892B0000}"/>
    <cellStyle name="T_Form_M_E Services _ Education_1 2 3" xfId="12596" xr:uid="{00000000-0005-0000-0000-00008A2B0000}"/>
    <cellStyle name="T_Form_M_E Services _ Education_1 3" xfId="12597" xr:uid="{00000000-0005-0000-0000-00008B2B0000}"/>
    <cellStyle name="T_Form_M_E Services _ Education_1 3 2" xfId="12598" xr:uid="{00000000-0005-0000-0000-00008C2B0000}"/>
    <cellStyle name="T_Form_M_E Services _ Education_1 4" xfId="12599" xr:uid="{00000000-0005-0000-0000-00008D2B0000}"/>
    <cellStyle name="T_HAU Rev.2" xfId="8324" xr:uid="{00000000-0005-0000-0000-00008E2B0000}"/>
    <cellStyle name="T_HAU Rev.2 2" xfId="8325" xr:uid="{00000000-0005-0000-0000-00008F2B0000}"/>
    <cellStyle name="T_HAU Rev.2 2 2" xfId="12600" xr:uid="{00000000-0005-0000-0000-0000902B0000}"/>
    <cellStyle name="T_HAU Rev.2 2 2 2" xfId="12601" xr:uid="{00000000-0005-0000-0000-0000912B0000}"/>
    <cellStyle name="T_HAU Rev.2 2 3" xfId="12602" xr:uid="{00000000-0005-0000-0000-0000922B0000}"/>
    <cellStyle name="T_HAU Rev.2 3" xfId="12603" xr:uid="{00000000-0005-0000-0000-0000932B0000}"/>
    <cellStyle name="T_HAU Rev.2 3 2" xfId="12604" xr:uid="{00000000-0005-0000-0000-0000942B0000}"/>
    <cellStyle name="T_HAU Rev.2 4" xfId="12605" xr:uid="{00000000-0005-0000-0000-0000952B0000}"/>
    <cellStyle name="T_Khoi luong thuc te" xfId="8326" xr:uid="{00000000-0005-0000-0000-0000962B0000}"/>
    <cellStyle name="T_Khoi luong thuc te 2" xfId="8327" xr:uid="{00000000-0005-0000-0000-0000972B0000}"/>
    <cellStyle name="T_Khoi luong thuc te 2 2" xfId="12606" xr:uid="{00000000-0005-0000-0000-0000982B0000}"/>
    <cellStyle name="T_Khoi luong thuc te 2 2 2" xfId="12607" xr:uid="{00000000-0005-0000-0000-0000992B0000}"/>
    <cellStyle name="T_Khoi luong thuc te 2 3" xfId="12608" xr:uid="{00000000-0005-0000-0000-00009A2B0000}"/>
    <cellStyle name="T_Khoi luong thuc te 3" xfId="12609" xr:uid="{00000000-0005-0000-0000-00009B2B0000}"/>
    <cellStyle name="T_Khoi luong thuc te 3 2" xfId="12610" xr:uid="{00000000-0005-0000-0000-00009C2B0000}"/>
    <cellStyle name="T_Khoi luong thuc te 4" xfId="12611" xr:uid="{00000000-0005-0000-0000-00009D2B0000}"/>
    <cellStyle name="T_Khoi luong thuc te_2---DATA_SAIN GOBAIN (THEP)_Option 1-British Standard" xfId="8328" xr:uid="{00000000-0005-0000-0000-00009E2B0000}"/>
    <cellStyle name="T_Khoi luong thuc te_2---DATA_SAIN GOBAIN (THEP)_Option 1-British Standard 2" xfId="12612" xr:uid="{00000000-0005-0000-0000-00009F2B0000}"/>
    <cellStyle name="T_Khoi luong thuc te_2---DATA_SAIN GOBAIN (THEP)_Option 1-British Standard 2 2" xfId="12613" xr:uid="{00000000-0005-0000-0000-0000A02B0000}"/>
    <cellStyle name="T_Khoi luong thuc te_2---DATA_SAIN GOBAIN (THEP)_Option 1-British Standard 3" xfId="12614" xr:uid="{00000000-0005-0000-0000-0000A12B0000}"/>
    <cellStyle name="T_Mau danh sach cong trinh" xfId="8329" xr:uid="{00000000-0005-0000-0000-0000A22B0000}"/>
    <cellStyle name="T_Mau danh sach cong trinh 2" xfId="8330" xr:uid="{00000000-0005-0000-0000-0000A32B0000}"/>
    <cellStyle name="T_Mau danh sach cong trinh 2 2" xfId="8331" xr:uid="{00000000-0005-0000-0000-0000A42B0000}"/>
    <cellStyle name="T_Mau danh sach cong trinh 2 2 2" xfId="12615" xr:uid="{00000000-0005-0000-0000-0000A52B0000}"/>
    <cellStyle name="T_Mau danh sach cong trinh 2 2 2 2" xfId="12616" xr:uid="{00000000-0005-0000-0000-0000A62B0000}"/>
    <cellStyle name="T_Mau danh sach cong trinh 2 2 3" xfId="12617" xr:uid="{00000000-0005-0000-0000-0000A72B0000}"/>
    <cellStyle name="T_Mau danh sach cong trinh 2 3" xfId="12618" xr:uid="{00000000-0005-0000-0000-0000A82B0000}"/>
    <cellStyle name="T_Mau danh sach cong trinh 2 3 2" xfId="12619" xr:uid="{00000000-0005-0000-0000-0000A92B0000}"/>
    <cellStyle name="T_Mau danh sach cong trinh 2 4" xfId="12620" xr:uid="{00000000-0005-0000-0000-0000AA2B0000}"/>
    <cellStyle name="T_Mau danh sach cong trinh 3" xfId="8332" xr:uid="{00000000-0005-0000-0000-0000AB2B0000}"/>
    <cellStyle name="T_Mau danh sach cong trinh 3 2" xfId="12621" xr:uid="{00000000-0005-0000-0000-0000AC2B0000}"/>
    <cellStyle name="T_Mau danh sach cong trinh 3 2 2" xfId="12622" xr:uid="{00000000-0005-0000-0000-0000AD2B0000}"/>
    <cellStyle name="T_Mau danh sach cong trinh 3 3" xfId="12623" xr:uid="{00000000-0005-0000-0000-0000AE2B0000}"/>
    <cellStyle name="T_Mau danh sach cong trinh 4" xfId="12624" xr:uid="{00000000-0005-0000-0000-0000AF2B0000}"/>
    <cellStyle name="T_Mau danh sach cong trinh 4 2" xfId="12625" xr:uid="{00000000-0005-0000-0000-0000B02B0000}"/>
    <cellStyle name="T_Mau danh sach cong trinh 5" xfId="12626" xr:uid="{00000000-0005-0000-0000-0000B12B0000}"/>
    <cellStyle name="T_moi" xfId="8333" xr:uid="{00000000-0005-0000-0000-0000B22B0000}"/>
    <cellStyle name="T_moi 2" xfId="8334" xr:uid="{00000000-0005-0000-0000-0000B32B0000}"/>
    <cellStyle name="T_moi 2 2" xfId="8335" xr:uid="{00000000-0005-0000-0000-0000B42B0000}"/>
    <cellStyle name="T_moi 2 2 2" xfId="12627" xr:uid="{00000000-0005-0000-0000-0000B52B0000}"/>
    <cellStyle name="T_moi 2 2 2 2" xfId="12628" xr:uid="{00000000-0005-0000-0000-0000B62B0000}"/>
    <cellStyle name="T_moi 2 2 3" xfId="12629" xr:uid="{00000000-0005-0000-0000-0000B72B0000}"/>
    <cellStyle name="T_moi 2 3" xfId="12630" xr:uid="{00000000-0005-0000-0000-0000B82B0000}"/>
    <cellStyle name="T_moi 2 3 2" xfId="12631" xr:uid="{00000000-0005-0000-0000-0000B92B0000}"/>
    <cellStyle name="T_moi 2 4" xfId="12632" xr:uid="{00000000-0005-0000-0000-0000BA2B0000}"/>
    <cellStyle name="T_moi 3" xfId="8336" xr:uid="{00000000-0005-0000-0000-0000BB2B0000}"/>
    <cellStyle name="T_moi 3 2" xfId="12633" xr:uid="{00000000-0005-0000-0000-0000BC2B0000}"/>
    <cellStyle name="T_moi 3 2 2" xfId="12634" xr:uid="{00000000-0005-0000-0000-0000BD2B0000}"/>
    <cellStyle name="T_moi 3 3" xfId="12635" xr:uid="{00000000-0005-0000-0000-0000BE2B0000}"/>
    <cellStyle name="T_moi 4" xfId="12636" xr:uid="{00000000-0005-0000-0000-0000BF2B0000}"/>
    <cellStyle name="T_moi 4 2" xfId="12637" xr:uid="{00000000-0005-0000-0000-0000C02B0000}"/>
    <cellStyle name="T_moi 5" xfId="12638" xr:uid="{00000000-0005-0000-0000-0000C12B0000}"/>
    <cellStyle name="T_Nam Pam- TC" xfId="8337" xr:uid="{00000000-0005-0000-0000-0000C22B0000}"/>
    <cellStyle name="T_Nam Pam- TC 2" xfId="8338" xr:uid="{00000000-0005-0000-0000-0000C32B0000}"/>
    <cellStyle name="T_Nam Pam- TC 2 2" xfId="12639" xr:uid="{00000000-0005-0000-0000-0000C42B0000}"/>
    <cellStyle name="T_Nam Pam- TC 2 2 2" xfId="12640" xr:uid="{00000000-0005-0000-0000-0000C52B0000}"/>
    <cellStyle name="T_Nam Pam- TC 2 3" xfId="12641" xr:uid="{00000000-0005-0000-0000-0000C62B0000}"/>
    <cellStyle name="T_Nam Pam- TC 3" xfId="12642" xr:uid="{00000000-0005-0000-0000-0000C72B0000}"/>
    <cellStyle name="T_Nam Pam- TC 3 2" xfId="12643" xr:uid="{00000000-0005-0000-0000-0000C82B0000}"/>
    <cellStyle name="T_Nam Pam- TC 4" xfId="12644" xr:uid="{00000000-0005-0000-0000-0000C92B0000}"/>
    <cellStyle name="T_Nam Pam- TC_2---DATA_SAIN GOBAIN (THEP)_Option 1-British Standard" xfId="8339" xr:uid="{00000000-0005-0000-0000-0000CA2B0000}"/>
    <cellStyle name="T_Nam Pam- TC_2---DATA_SAIN GOBAIN (THEP)_Option 1-British Standard 2" xfId="12645" xr:uid="{00000000-0005-0000-0000-0000CB2B0000}"/>
    <cellStyle name="T_Nam Pam- TC_2---DATA_SAIN GOBAIN (THEP)_Option 1-British Standard 2 2" xfId="12646" xr:uid="{00000000-0005-0000-0000-0000CC2B0000}"/>
    <cellStyle name="T_Nam Pam- TC_2---DATA_SAIN GOBAIN (THEP)_Option 1-British Standard 3" xfId="12647" xr:uid="{00000000-0005-0000-0000-0000CD2B0000}"/>
    <cellStyle name="T_Nha phan phoi 22KV" xfId="8340" xr:uid="{00000000-0005-0000-0000-0000CE2B0000}"/>
    <cellStyle name="T_Nha phan phoi 22KV 2" xfId="8341" xr:uid="{00000000-0005-0000-0000-0000CF2B0000}"/>
    <cellStyle name="T_Nha phan phoi 22KV 2 2" xfId="8342" xr:uid="{00000000-0005-0000-0000-0000D02B0000}"/>
    <cellStyle name="T_Nha phan phoi 22KV 2 2 2" xfId="12648" xr:uid="{00000000-0005-0000-0000-0000D12B0000}"/>
    <cellStyle name="T_Nha phan phoi 22KV 2 2 2 2" xfId="12649" xr:uid="{00000000-0005-0000-0000-0000D22B0000}"/>
    <cellStyle name="T_Nha phan phoi 22KV 2 2 3" xfId="12650" xr:uid="{00000000-0005-0000-0000-0000D32B0000}"/>
    <cellStyle name="T_Nha phan phoi 22KV 2 3" xfId="12651" xr:uid="{00000000-0005-0000-0000-0000D42B0000}"/>
    <cellStyle name="T_Nha phan phoi 22KV 2 3 2" xfId="12652" xr:uid="{00000000-0005-0000-0000-0000D52B0000}"/>
    <cellStyle name="T_Nha phan phoi 22KV 2 4" xfId="12653" xr:uid="{00000000-0005-0000-0000-0000D62B0000}"/>
    <cellStyle name="T_Nha phan phoi 22KV 3" xfId="8343" xr:uid="{00000000-0005-0000-0000-0000D72B0000}"/>
    <cellStyle name="T_Nha phan phoi 22KV 3 2" xfId="12654" xr:uid="{00000000-0005-0000-0000-0000D82B0000}"/>
    <cellStyle name="T_Nha phan phoi 22KV 3 2 2" xfId="12655" xr:uid="{00000000-0005-0000-0000-0000D92B0000}"/>
    <cellStyle name="T_Nha phan phoi 22KV 3 3" xfId="12656" xr:uid="{00000000-0005-0000-0000-0000DA2B0000}"/>
    <cellStyle name="T_Nha phan phoi 22KV 4" xfId="12657" xr:uid="{00000000-0005-0000-0000-0000DB2B0000}"/>
    <cellStyle name="T_Nha phan phoi 22KV 4 2" xfId="12658" xr:uid="{00000000-0005-0000-0000-0000DC2B0000}"/>
    <cellStyle name="T_Nha phan phoi 22KV 5" xfId="12659" xr:uid="{00000000-0005-0000-0000-0000DD2B0000}"/>
    <cellStyle name="T_nhaxuong" xfId="8344" xr:uid="{00000000-0005-0000-0000-0000DE2B0000}"/>
    <cellStyle name="T_nhaxuong 2" xfId="8345" xr:uid="{00000000-0005-0000-0000-0000DF2B0000}"/>
    <cellStyle name="T_nhaxuong 2 2" xfId="8346" xr:uid="{00000000-0005-0000-0000-0000E02B0000}"/>
    <cellStyle name="T_nhaxuong 2 2 2" xfId="12660" xr:uid="{00000000-0005-0000-0000-0000E12B0000}"/>
    <cellStyle name="T_nhaxuong 2 2 2 2" xfId="12661" xr:uid="{00000000-0005-0000-0000-0000E22B0000}"/>
    <cellStyle name="T_nhaxuong 2 2 3" xfId="12662" xr:uid="{00000000-0005-0000-0000-0000E32B0000}"/>
    <cellStyle name="T_nhaxuong 2 3" xfId="12663" xr:uid="{00000000-0005-0000-0000-0000E42B0000}"/>
    <cellStyle name="T_nhaxuong 2 3 2" xfId="12664" xr:uid="{00000000-0005-0000-0000-0000E52B0000}"/>
    <cellStyle name="T_nhaxuong 2 4" xfId="12665" xr:uid="{00000000-0005-0000-0000-0000E62B0000}"/>
    <cellStyle name="T_nhaxuong 3" xfId="8347" xr:uid="{00000000-0005-0000-0000-0000E72B0000}"/>
    <cellStyle name="T_nhaxuong 3 2" xfId="12666" xr:uid="{00000000-0005-0000-0000-0000E82B0000}"/>
    <cellStyle name="T_nhaxuong 3 2 2" xfId="12667" xr:uid="{00000000-0005-0000-0000-0000E92B0000}"/>
    <cellStyle name="T_nhaxuong 3 3" xfId="12668" xr:uid="{00000000-0005-0000-0000-0000EA2B0000}"/>
    <cellStyle name="T_nhaxuong 4" xfId="12669" xr:uid="{00000000-0005-0000-0000-0000EB2B0000}"/>
    <cellStyle name="T_nhaxuong 4 2" xfId="12670" xr:uid="{00000000-0005-0000-0000-0000EC2B0000}"/>
    <cellStyle name="T_nhaxuong 5" xfId="12671" xr:uid="{00000000-0005-0000-0000-0000ED2B0000}"/>
    <cellStyle name="T_NHUA TAN HOA 10-6" xfId="8348" xr:uid="{00000000-0005-0000-0000-0000EE2B0000}"/>
    <cellStyle name="T_NHUA TAN HOA 10-6 2" xfId="8349" xr:uid="{00000000-0005-0000-0000-0000EF2B0000}"/>
    <cellStyle name="T_NHUA TAN HOA 10-6 2 2" xfId="12672" xr:uid="{00000000-0005-0000-0000-0000F02B0000}"/>
    <cellStyle name="T_NHUA TAN HOA 10-6 2 2 2" xfId="12673" xr:uid="{00000000-0005-0000-0000-0000F12B0000}"/>
    <cellStyle name="T_NHUA TAN HOA 10-6 2 3" xfId="12674" xr:uid="{00000000-0005-0000-0000-0000F22B0000}"/>
    <cellStyle name="T_NHUA TAN HOA 10-6 3" xfId="12675" xr:uid="{00000000-0005-0000-0000-0000F32B0000}"/>
    <cellStyle name="T_NHUA TAN HOA 10-6 3 2" xfId="12676" xr:uid="{00000000-0005-0000-0000-0000F42B0000}"/>
    <cellStyle name="T_NHUA TAN HOA 10-6 4" xfId="12677" xr:uid="{00000000-0005-0000-0000-0000F52B0000}"/>
    <cellStyle name="T_NHUA TAN HOA 10-6,KCmoi" xfId="8350" xr:uid="{00000000-0005-0000-0000-0000F62B0000}"/>
    <cellStyle name="T_NHUA TAN HOA 10-6,KCmoi 2" xfId="8351" xr:uid="{00000000-0005-0000-0000-0000F72B0000}"/>
    <cellStyle name="T_NHUA TAN HOA 10-6,KCmoi 2 2" xfId="12678" xr:uid="{00000000-0005-0000-0000-0000F82B0000}"/>
    <cellStyle name="T_NHUA TAN HOA 10-6,KCmoi 2 2 2" xfId="12679" xr:uid="{00000000-0005-0000-0000-0000F92B0000}"/>
    <cellStyle name="T_NHUA TAN HOA 10-6,KCmoi 2 3" xfId="12680" xr:uid="{00000000-0005-0000-0000-0000FA2B0000}"/>
    <cellStyle name="T_NHUA TAN HOA 10-6,KCmoi 3" xfId="12681" xr:uid="{00000000-0005-0000-0000-0000FB2B0000}"/>
    <cellStyle name="T_NHUA TAN HOA 10-6,KCmoi 3 2" xfId="12682" xr:uid="{00000000-0005-0000-0000-0000FC2B0000}"/>
    <cellStyle name="T_NHUA TAN HOA 10-6,KCmoi 4" xfId="12683" xr:uid="{00000000-0005-0000-0000-0000FD2B0000}"/>
    <cellStyle name="T_NHUA TAN HOA 10-6,KCmoi_Danh sach nha cung cap ( Vendor List ) - Cap nhat 15-04-2011" xfId="8352" xr:uid="{00000000-0005-0000-0000-0000FE2B0000}"/>
    <cellStyle name="T_NHUA TAN HOA 10-6,KCmoi_Danh sach nha cung cap ( Vendor List ) - Cap nhat 15-04-2011 2" xfId="8353" xr:uid="{00000000-0005-0000-0000-0000FF2B0000}"/>
    <cellStyle name="T_NHUA TAN HOA 10-6,KCmoi_Danh sach nha cung cap ( Vendor List ) - Cap nhat 15-04-2011 2 2" xfId="12684" xr:uid="{00000000-0005-0000-0000-0000002C0000}"/>
    <cellStyle name="T_NHUA TAN HOA 10-6,KCmoi_Danh sach nha cung cap ( Vendor List ) - Cap nhat 15-04-2011 2 2 2" xfId="12685" xr:uid="{00000000-0005-0000-0000-0000012C0000}"/>
    <cellStyle name="T_NHUA TAN HOA 10-6,KCmoi_Danh sach nha cung cap ( Vendor List ) - Cap nhat 15-04-2011 2 3" xfId="12686" xr:uid="{00000000-0005-0000-0000-0000022C0000}"/>
    <cellStyle name="T_NHUA TAN HOA 10-6,KCmoi_Danh sach nha cung cap ( Vendor List ) - Cap nhat 15-04-2011 3" xfId="12687" xr:uid="{00000000-0005-0000-0000-0000032C0000}"/>
    <cellStyle name="T_NHUA TAN HOA 10-6,KCmoi_Danh sach nha cung cap ( Vendor List ) - Cap nhat 15-04-2011 3 2" xfId="12688" xr:uid="{00000000-0005-0000-0000-0000042C0000}"/>
    <cellStyle name="T_NHUA TAN HOA 10-6,KCmoi_Danh sach nha cung cap ( Vendor List ) - Cap nhat 15-04-2011 4" xfId="12689" xr:uid="{00000000-0005-0000-0000-0000052C0000}"/>
    <cellStyle name="T_NHUA TAN HOA 10-6,KCmoi_General Quotation 5-1-2008" xfId="8354" xr:uid="{00000000-0005-0000-0000-0000062C0000}"/>
    <cellStyle name="T_NHUA TAN HOA 10-6,KCmoi_General Quotation 5-1-2008 2" xfId="8355" xr:uid="{00000000-0005-0000-0000-0000072C0000}"/>
    <cellStyle name="T_NHUA TAN HOA 10-6,KCmoi_General Quotation 5-1-2008 2 2" xfId="12690" xr:uid="{00000000-0005-0000-0000-0000082C0000}"/>
    <cellStyle name="T_NHUA TAN HOA 10-6,KCmoi_General Quotation 5-1-2008 2 2 2" xfId="12691" xr:uid="{00000000-0005-0000-0000-0000092C0000}"/>
    <cellStyle name="T_NHUA TAN HOA 10-6,KCmoi_General Quotation 5-1-2008 2 3" xfId="12692" xr:uid="{00000000-0005-0000-0000-00000A2C0000}"/>
    <cellStyle name="T_NHUA TAN HOA 10-6,KCmoi_General Quotation 5-1-2008 3" xfId="12693" xr:uid="{00000000-0005-0000-0000-00000B2C0000}"/>
    <cellStyle name="T_NHUA TAN HOA 10-6,KCmoi_General Quotation 5-1-2008 3 2" xfId="12694" xr:uid="{00000000-0005-0000-0000-00000C2C0000}"/>
    <cellStyle name="T_NHUA TAN HOA 10-6,KCmoi_General Quotation 5-1-2008 4" xfId="12695" xr:uid="{00000000-0005-0000-0000-00000D2C0000}"/>
    <cellStyle name="T_NHUA TAN HOA 10-6,KCmoi_General Quotation 5-1-2008_Danh sach nha cung cap ( Vendor List ) - Cap nhat 15-04-2011" xfId="8356" xr:uid="{00000000-0005-0000-0000-00000E2C0000}"/>
    <cellStyle name="T_NHUA TAN HOA 10-6,KCmoi_General Quotation 5-1-2008_Danh sach nha cung cap ( Vendor List ) - Cap nhat 15-04-2011 2" xfId="8357" xr:uid="{00000000-0005-0000-0000-00000F2C0000}"/>
    <cellStyle name="T_NHUA TAN HOA 10-6,KCmoi_General Quotation 5-1-2008_Danh sach nha cung cap ( Vendor List ) - Cap nhat 15-04-2011 2 2" xfId="12696" xr:uid="{00000000-0005-0000-0000-0000102C0000}"/>
    <cellStyle name="T_NHUA TAN HOA 10-6,KCmoi_General Quotation 5-1-2008_Danh sach nha cung cap ( Vendor List ) - Cap nhat 15-04-2011 2 2 2" xfId="12697" xr:uid="{00000000-0005-0000-0000-0000112C0000}"/>
    <cellStyle name="T_NHUA TAN HOA 10-6,KCmoi_General Quotation 5-1-2008_Danh sach nha cung cap ( Vendor List ) - Cap nhat 15-04-2011 2 3" xfId="12698" xr:uid="{00000000-0005-0000-0000-0000122C0000}"/>
    <cellStyle name="T_NHUA TAN HOA 10-6,KCmoi_General Quotation 5-1-2008_Danh sach nha cung cap ( Vendor List ) - Cap nhat 15-04-2011 3" xfId="12699" xr:uid="{00000000-0005-0000-0000-0000132C0000}"/>
    <cellStyle name="T_NHUA TAN HOA 10-6,KCmoi_General Quotation 5-1-2008_Danh sach nha cung cap ( Vendor List ) - Cap nhat 15-04-2011 3 2" xfId="12700" xr:uid="{00000000-0005-0000-0000-0000142C0000}"/>
    <cellStyle name="T_NHUA TAN HOA 10-6,KCmoi_General Quotation 5-1-2008_Danh sach nha cung cap ( Vendor List ) - Cap nhat 15-04-2011 4" xfId="12701" xr:uid="{00000000-0005-0000-0000-0000152C0000}"/>
    <cellStyle name="T_NHUA TAN HOA 10-6,KCmoi_HUNG" xfId="8358" xr:uid="{00000000-0005-0000-0000-0000162C0000}"/>
    <cellStyle name="T_NHUA TAN HOA 10-6,KCmoi_HUNG 2" xfId="8359" xr:uid="{00000000-0005-0000-0000-0000172C0000}"/>
    <cellStyle name="T_NHUA TAN HOA 10-6,KCmoi_HUNG 2 2" xfId="12702" xr:uid="{00000000-0005-0000-0000-0000182C0000}"/>
    <cellStyle name="T_NHUA TAN HOA 10-6,KCmoi_HUNG 2 2 2" xfId="12703" xr:uid="{00000000-0005-0000-0000-0000192C0000}"/>
    <cellStyle name="T_NHUA TAN HOA 10-6,KCmoi_HUNG 2 3" xfId="12704" xr:uid="{00000000-0005-0000-0000-00001A2C0000}"/>
    <cellStyle name="T_NHUA TAN HOA 10-6,KCmoi_HUNG 3" xfId="12705" xr:uid="{00000000-0005-0000-0000-00001B2C0000}"/>
    <cellStyle name="T_NHUA TAN HOA 10-6,KCmoi_HUNG 3 2" xfId="12706" xr:uid="{00000000-0005-0000-0000-00001C2C0000}"/>
    <cellStyle name="T_NHUA TAN HOA 10-6,KCmoi_HUNG 4" xfId="12707" xr:uid="{00000000-0005-0000-0000-00001D2C0000}"/>
    <cellStyle name="T_NHUA TAN HOA 10-6,KCmoi_HUNG_05  080428- BOQ - Main construction (12 June, 2008)" xfId="8360" xr:uid="{00000000-0005-0000-0000-00001E2C0000}"/>
    <cellStyle name="T_NHUA TAN HOA 10-6,KCmoi_HUNG_05  080428- BOQ - Main construction (12 June, 2008) 2" xfId="8361" xr:uid="{00000000-0005-0000-0000-00001F2C0000}"/>
    <cellStyle name="T_NHUA TAN HOA 10-6,KCmoi_HUNG_05  080428- BOQ - Main construction (12 June, 2008) 2 2" xfId="12708" xr:uid="{00000000-0005-0000-0000-0000202C0000}"/>
    <cellStyle name="T_NHUA TAN HOA 10-6,KCmoi_HUNG_05  080428- BOQ - Main construction (12 June, 2008) 2 2 2" xfId="12709" xr:uid="{00000000-0005-0000-0000-0000212C0000}"/>
    <cellStyle name="T_NHUA TAN HOA 10-6,KCmoi_HUNG_05  080428- BOQ - Main construction (12 June, 2008) 2 3" xfId="12710" xr:uid="{00000000-0005-0000-0000-0000222C0000}"/>
    <cellStyle name="T_NHUA TAN HOA 10-6,KCmoi_HUNG_05  080428- BOQ - Main construction (12 June, 2008) 3" xfId="12711" xr:uid="{00000000-0005-0000-0000-0000232C0000}"/>
    <cellStyle name="T_NHUA TAN HOA 10-6,KCmoi_HUNG_05  080428- BOQ - Main construction (12 June, 2008) 3 2" xfId="12712" xr:uid="{00000000-0005-0000-0000-0000242C0000}"/>
    <cellStyle name="T_NHUA TAN HOA 10-6,KCmoi_HUNG_05  080428- BOQ - Main construction (12 June, 2008) 4" xfId="12713" xr:uid="{00000000-0005-0000-0000-0000252C0000}"/>
    <cellStyle name="T_NHUA TAN HOA 10-6,KCmoi_HUNG_05  080428- BOQ - Main construction (12 June, 2008)_Danh sach nha cung cap ( Vendor List ) - Cap nhat 15-04-2011" xfId="8362" xr:uid="{00000000-0005-0000-0000-0000262C0000}"/>
    <cellStyle name="T_NHUA TAN HOA 10-6,KCmoi_HUNG_05  080428- BOQ - Main construction (12 June, 2008)_Danh sach nha cung cap ( Vendor List ) - Cap nhat 15-04-2011 2" xfId="8363" xr:uid="{00000000-0005-0000-0000-0000272C0000}"/>
    <cellStyle name="T_NHUA TAN HOA 10-6,KCmoi_HUNG_05  080428- BOQ - Main construction (12 June, 2008)_Danh sach nha cung cap ( Vendor List ) - Cap nhat 15-04-2011 2 2" xfId="12714" xr:uid="{00000000-0005-0000-0000-0000282C0000}"/>
    <cellStyle name="T_NHUA TAN HOA 10-6,KCmoi_HUNG_05  080428- BOQ - Main construction (12 June, 2008)_Danh sach nha cung cap ( Vendor List ) - Cap nhat 15-04-2011 2 2 2" xfId="12715" xr:uid="{00000000-0005-0000-0000-0000292C0000}"/>
    <cellStyle name="T_NHUA TAN HOA 10-6,KCmoi_HUNG_05  080428- BOQ - Main construction (12 June, 2008)_Danh sach nha cung cap ( Vendor List ) - Cap nhat 15-04-2011 2 3" xfId="12716" xr:uid="{00000000-0005-0000-0000-00002A2C0000}"/>
    <cellStyle name="T_NHUA TAN HOA 10-6,KCmoi_HUNG_05  080428- BOQ - Main construction (12 June, 2008)_Danh sach nha cung cap ( Vendor List ) - Cap nhat 15-04-2011 3" xfId="12717" xr:uid="{00000000-0005-0000-0000-00002B2C0000}"/>
    <cellStyle name="T_NHUA TAN HOA 10-6,KCmoi_HUNG_05  080428- BOQ - Main construction (12 June, 2008)_Danh sach nha cung cap ( Vendor List ) - Cap nhat 15-04-2011 3 2" xfId="12718" xr:uid="{00000000-0005-0000-0000-00002C2C0000}"/>
    <cellStyle name="T_NHUA TAN HOA 10-6,KCmoi_HUNG_05  080428- BOQ - Main construction (12 June, 2008)_Danh sach nha cung cap ( Vendor List ) - Cap nhat 15-04-2011 4" xfId="12719" xr:uid="{00000000-0005-0000-0000-00002D2C0000}"/>
    <cellStyle name="T_NHUA TAN HOA 10-6,KCmoi_HUNG_BOQ - BUNGE (TVT submit 18 Nov, 2009)" xfId="8364" xr:uid="{00000000-0005-0000-0000-00002E2C0000}"/>
    <cellStyle name="T_NHUA TAN HOA 10-6,KCmoi_HUNG_BOQ - BUNGE (TVT submit 18 Nov, 2009) 2" xfId="8365" xr:uid="{00000000-0005-0000-0000-00002F2C0000}"/>
    <cellStyle name="T_NHUA TAN HOA 10-6,KCmoi_HUNG_BOQ - BUNGE (TVT submit 18 Nov, 2009) 2 2" xfId="12720" xr:uid="{00000000-0005-0000-0000-0000302C0000}"/>
    <cellStyle name="T_NHUA TAN HOA 10-6,KCmoi_HUNG_BOQ - BUNGE (TVT submit 18 Nov, 2009) 2 2 2" xfId="12721" xr:uid="{00000000-0005-0000-0000-0000312C0000}"/>
    <cellStyle name="T_NHUA TAN HOA 10-6,KCmoi_HUNG_BOQ - BUNGE (TVT submit 18 Nov, 2009) 2 3" xfId="12722" xr:uid="{00000000-0005-0000-0000-0000322C0000}"/>
    <cellStyle name="T_NHUA TAN HOA 10-6,KCmoi_HUNG_BOQ - BUNGE (TVT submit 18 Nov, 2009) 3" xfId="12723" xr:uid="{00000000-0005-0000-0000-0000332C0000}"/>
    <cellStyle name="T_NHUA TAN HOA 10-6,KCmoi_HUNG_BOQ - BUNGE (TVT submit 18 Nov, 2009) 3 2" xfId="12724" xr:uid="{00000000-0005-0000-0000-0000342C0000}"/>
    <cellStyle name="T_NHUA TAN HOA 10-6,KCmoi_HUNG_BOQ - BUNGE (TVT submit 18 Nov, 2009) 4" xfId="12725" xr:uid="{00000000-0005-0000-0000-0000352C0000}"/>
    <cellStyle name="T_NHUA TAN HOA 10-6,KCmoi_HUNG_BOQ - BUNGE (TVT submit 18 Nov, 2009)_Danh sach nha cung cap ( Vendor List ) - Cap nhat 15-04-2011" xfId="8366" xr:uid="{00000000-0005-0000-0000-0000362C0000}"/>
    <cellStyle name="T_NHUA TAN HOA 10-6,KCmoi_HUNG_BOQ - BUNGE (TVT submit 18 Nov, 2009)_Danh sach nha cung cap ( Vendor List ) - Cap nhat 15-04-2011 2" xfId="8367" xr:uid="{00000000-0005-0000-0000-0000372C0000}"/>
    <cellStyle name="T_NHUA TAN HOA 10-6,KCmoi_HUNG_BOQ - BUNGE (TVT submit 18 Nov, 2009)_Danh sach nha cung cap ( Vendor List ) - Cap nhat 15-04-2011 2 2" xfId="12726" xr:uid="{00000000-0005-0000-0000-0000382C0000}"/>
    <cellStyle name="T_NHUA TAN HOA 10-6,KCmoi_HUNG_BOQ - BUNGE (TVT submit 18 Nov, 2009)_Danh sach nha cung cap ( Vendor List ) - Cap nhat 15-04-2011 2 2 2" xfId="12727" xr:uid="{00000000-0005-0000-0000-0000392C0000}"/>
    <cellStyle name="T_NHUA TAN HOA 10-6,KCmoi_HUNG_BOQ - BUNGE (TVT submit 18 Nov, 2009)_Danh sach nha cung cap ( Vendor List ) - Cap nhat 15-04-2011 2 3" xfId="12728" xr:uid="{00000000-0005-0000-0000-00003A2C0000}"/>
    <cellStyle name="T_NHUA TAN HOA 10-6,KCmoi_HUNG_BOQ - BUNGE (TVT submit 18 Nov, 2009)_Danh sach nha cung cap ( Vendor List ) - Cap nhat 15-04-2011 3" xfId="12729" xr:uid="{00000000-0005-0000-0000-00003B2C0000}"/>
    <cellStyle name="T_NHUA TAN HOA 10-6,KCmoi_HUNG_BOQ - BUNGE (TVT submit 18 Nov, 2009)_Danh sach nha cung cap ( Vendor List ) - Cap nhat 15-04-2011 3 2" xfId="12730" xr:uid="{00000000-0005-0000-0000-00003C2C0000}"/>
    <cellStyle name="T_NHUA TAN HOA 10-6,KCmoi_HUNG_BOQ - BUNGE (TVT submit 18 Nov, 2009)_Danh sach nha cung cap ( Vendor List ) - Cap nhat 15-04-2011 4" xfId="12731" xr:uid="{00000000-0005-0000-0000-00003D2C0000}"/>
    <cellStyle name="T_NHUA TAN HOA 10-6,KCmoi_HUNG_BOQ - CAB (TVT submit 28 Nov, 2008)" xfId="8368" xr:uid="{00000000-0005-0000-0000-00003E2C0000}"/>
    <cellStyle name="T_NHUA TAN HOA 10-6,KCmoi_HUNG_BOQ - CAB (TVT submit 28 Nov, 2008) 2" xfId="8369" xr:uid="{00000000-0005-0000-0000-00003F2C0000}"/>
    <cellStyle name="T_NHUA TAN HOA 10-6,KCmoi_HUNG_BOQ - CAB (TVT submit 28 Nov, 2008) 2 2" xfId="12732" xr:uid="{00000000-0005-0000-0000-0000402C0000}"/>
    <cellStyle name="T_NHUA TAN HOA 10-6,KCmoi_HUNG_BOQ - CAB (TVT submit 28 Nov, 2008) 2 2 2" xfId="12733" xr:uid="{00000000-0005-0000-0000-0000412C0000}"/>
    <cellStyle name="T_NHUA TAN HOA 10-6,KCmoi_HUNG_BOQ - CAB (TVT submit 28 Nov, 2008) 2 3" xfId="12734" xr:uid="{00000000-0005-0000-0000-0000422C0000}"/>
    <cellStyle name="T_NHUA TAN HOA 10-6,KCmoi_HUNG_BOQ - CAB (TVT submit 28 Nov, 2008) 3" xfId="12735" xr:uid="{00000000-0005-0000-0000-0000432C0000}"/>
    <cellStyle name="T_NHUA TAN HOA 10-6,KCmoi_HUNG_BOQ - CAB (TVT submit 28 Nov, 2008) 3 2" xfId="12736" xr:uid="{00000000-0005-0000-0000-0000442C0000}"/>
    <cellStyle name="T_NHUA TAN HOA 10-6,KCmoi_HUNG_BOQ - CAB (TVT submit 28 Nov, 2008) 4" xfId="12737" xr:uid="{00000000-0005-0000-0000-0000452C0000}"/>
    <cellStyle name="T_NHUA TAN HOA 10-6,KCmoi_HUNG_BOQ - CAB (TVT submit 28 Nov, 2008)_Danh sach nha cung cap ( Vendor List ) - Cap nhat 15-04-2011" xfId="8370" xr:uid="{00000000-0005-0000-0000-0000462C0000}"/>
    <cellStyle name="T_NHUA TAN HOA 10-6,KCmoi_HUNG_BOQ - CAB (TVT submit 28 Nov, 2008)_Danh sach nha cung cap ( Vendor List ) - Cap nhat 15-04-2011 2" xfId="8371" xr:uid="{00000000-0005-0000-0000-0000472C0000}"/>
    <cellStyle name="T_NHUA TAN HOA 10-6,KCmoi_HUNG_BOQ - CAB (TVT submit 28 Nov, 2008)_Danh sach nha cung cap ( Vendor List ) - Cap nhat 15-04-2011 2 2" xfId="12738" xr:uid="{00000000-0005-0000-0000-0000482C0000}"/>
    <cellStyle name="T_NHUA TAN HOA 10-6,KCmoi_HUNG_BOQ - CAB (TVT submit 28 Nov, 2008)_Danh sach nha cung cap ( Vendor List ) - Cap nhat 15-04-2011 2 2 2" xfId="12739" xr:uid="{00000000-0005-0000-0000-0000492C0000}"/>
    <cellStyle name="T_NHUA TAN HOA 10-6,KCmoi_HUNG_BOQ - CAB (TVT submit 28 Nov, 2008)_Danh sach nha cung cap ( Vendor List ) - Cap nhat 15-04-2011 2 3" xfId="12740" xr:uid="{00000000-0005-0000-0000-00004A2C0000}"/>
    <cellStyle name="T_NHUA TAN HOA 10-6,KCmoi_HUNG_BOQ - CAB (TVT submit 28 Nov, 2008)_Danh sach nha cung cap ( Vendor List ) - Cap nhat 15-04-2011 3" xfId="12741" xr:uid="{00000000-0005-0000-0000-00004B2C0000}"/>
    <cellStyle name="T_NHUA TAN HOA 10-6,KCmoi_HUNG_BOQ - CAB (TVT submit 28 Nov, 2008)_Danh sach nha cung cap ( Vendor List ) - Cap nhat 15-04-2011 3 2" xfId="12742" xr:uid="{00000000-0005-0000-0000-00004C2C0000}"/>
    <cellStyle name="T_NHUA TAN HOA 10-6,KCmoi_HUNG_BOQ - CAB (TVT submit 28 Nov, 2008)_Danh sach nha cung cap ( Vendor List ) - Cap nhat 15-04-2011 4" xfId="12743" xr:uid="{00000000-0005-0000-0000-00004D2C0000}"/>
    <cellStyle name="T_NHUA TAN HOA 10-6,KCmoi_HUNG_Danh sach nha cung cap ( Vendor List ) - Cap nhat 15-04-2011" xfId="8372" xr:uid="{00000000-0005-0000-0000-00004E2C0000}"/>
    <cellStyle name="T_NHUA TAN HOA 10-6,KCmoi_HUNG_Danh sach nha cung cap ( Vendor List ) - Cap nhat 15-04-2011 2" xfId="8373" xr:uid="{00000000-0005-0000-0000-00004F2C0000}"/>
    <cellStyle name="T_NHUA TAN HOA 10-6,KCmoi_HUNG_Danh sach nha cung cap ( Vendor List ) - Cap nhat 15-04-2011 2 2" xfId="12744" xr:uid="{00000000-0005-0000-0000-0000502C0000}"/>
    <cellStyle name="T_NHUA TAN HOA 10-6,KCmoi_HUNG_Danh sach nha cung cap ( Vendor List ) - Cap nhat 15-04-2011 2 2 2" xfId="12745" xr:uid="{00000000-0005-0000-0000-0000512C0000}"/>
    <cellStyle name="T_NHUA TAN HOA 10-6,KCmoi_HUNG_Danh sach nha cung cap ( Vendor List ) - Cap nhat 15-04-2011 2 3" xfId="12746" xr:uid="{00000000-0005-0000-0000-0000522C0000}"/>
    <cellStyle name="T_NHUA TAN HOA 10-6,KCmoi_HUNG_Danh sach nha cung cap ( Vendor List ) - Cap nhat 15-04-2011 3" xfId="12747" xr:uid="{00000000-0005-0000-0000-0000532C0000}"/>
    <cellStyle name="T_NHUA TAN HOA 10-6,KCmoi_HUNG_Danh sach nha cung cap ( Vendor List ) - Cap nhat 15-04-2011 3 2" xfId="12748" xr:uid="{00000000-0005-0000-0000-0000542C0000}"/>
    <cellStyle name="T_NHUA TAN HOA 10-6,KCmoi_HUNG_Danh sach nha cung cap ( Vendor List ) - Cap nhat 15-04-2011 4" xfId="12749" xr:uid="{00000000-0005-0000-0000-0000552C0000}"/>
    <cellStyle name="T_NHUA TAN HOA 10-6,KCmoi_puma 16.1" xfId="8374" xr:uid="{00000000-0005-0000-0000-0000562C0000}"/>
    <cellStyle name="T_NHUA TAN HOA 10-6,KCmoi_puma 16.1 2" xfId="8375" xr:uid="{00000000-0005-0000-0000-0000572C0000}"/>
    <cellStyle name="T_NHUA TAN HOA 10-6,KCmoi_puma 16.1 2 2" xfId="12750" xr:uid="{00000000-0005-0000-0000-0000582C0000}"/>
    <cellStyle name="T_NHUA TAN HOA 10-6,KCmoi_puma 16.1 2 2 2" xfId="12751" xr:uid="{00000000-0005-0000-0000-0000592C0000}"/>
    <cellStyle name="T_NHUA TAN HOA 10-6,KCmoi_puma 16.1 2 3" xfId="12752" xr:uid="{00000000-0005-0000-0000-00005A2C0000}"/>
    <cellStyle name="T_NHUA TAN HOA 10-6,KCmoi_puma 16.1 3" xfId="12753" xr:uid="{00000000-0005-0000-0000-00005B2C0000}"/>
    <cellStyle name="T_NHUA TAN HOA 10-6,KCmoi_puma 16.1 3 2" xfId="12754" xr:uid="{00000000-0005-0000-0000-00005C2C0000}"/>
    <cellStyle name="T_NHUA TAN HOA 10-6,KCmoi_puma 16.1 4" xfId="12755" xr:uid="{00000000-0005-0000-0000-00005D2C0000}"/>
    <cellStyle name="T_NHUA TAN HOA 10-6,KCmoi_puma 16.1_05  080428- BOQ - Main construction (12 June, 2008)" xfId="8376" xr:uid="{00000000-0005-0000-0000-00005E2C0000}"/>
    <cellStyle name="T_NHUA TAN HOA 10-6,KCmoi_puma 16.1_05  080428- BOQ - Main construction (12 June, 2008) 2" xfId="8377" xr:uid="{00000000-0005-0000-0000-00005F2C0000}"/>
    <cellStyle name="T_NHUA TAN HOA 10-6,KCmoi_puma 16.1_05  080428- BOQ - Main construction (12 June, 2008) 2 2" xfId="12756" xr:uid="{00000000-0005-0000-0000-0000602C0000}"/>
    <cellStyle name="T_NHUA TAN HOA 10-6,KCmoi_puma 16.1_05  080428- BOQ - Main construction (12 June, 2008) 2 2 2" xfId="12757" xr:uid="{00000000-0005-0000-0000-0000612C0000}"/>
    <cellStyle name="T_NHUA TAN HOA 10-6,KCmoi_puma 16.1_05  080428- BOQ - Main construction (12 June, 2008) 2 3" xfId="12758" xr:uid="{00000000-0005-0000-0000-0000622C0000}"/>
    <cellStyle name="T_NHUA TAN HOA 10-6,KCmoi_puma 16.1_05  080428- BOQ - Main construction (12 June, 2008) 3" xfId="12759" xr:uid="{00000000-0005-0000-0000-0000632C0000}"/>
    <cellStyle name="T_NHUA TAN HOA 10-6,KCmoi_puma 16.1_05  080428- BOQ - Main construction (12 June, 2008) 3 2" xfId="12760" xr:uid="{00000000-0005-0000-0000-0000642C0000}"/>
    <cellStyle name="T_NHUA TAN HOA 10-6,KCmoi_puma 16.1_05  080428- BOQ - Main construction (12 June, 2008) 4" xfId="12761" xr:uid="{00000000-0005-0000-0000-0000652C0000}"/>
    <cellStyle name="T_NHUA TAN HOA 10-6,KCmoi_puma 16.1_05  080428- BOQ - Main construction (12 June, 2008)_Danh sach nha cung cap ( Vendor List ) - Cap nhat 15-04-2011" xfId="8378" xr:uid="{00000000-0005-0000-0000-0000662C0000}"/>
    <cellStyle name="T_NHUA TAN HOA 10-6,KCmoi_puma 16.1_05  080428- BOQ - Main construction (12 June, 2008)_Danh sach nha cung cap ( Vendor List ) - Cap nhat 15-04-2011 2" xfId="8379" xr:uid="{00000000-0005-0000-0000-0000672C0000}"/>
    <cellStyle name="T_NHUA TAN HOA 10-6,KCmoi_puma 16.1_05  080428- BOQ - Main construction (12 June, 2008)_Danh sach nha cung cap ( Vendor List ) - Cap nhat 15-04-2011 2 2" xfId="12762" xr:uid="{00000000-0005-0000-0000-0000682C0000}"/>
    <cellStyle name="T_NHUA TAN HOA 10-6,KCmoi_puma 16.1_05  080428- BOQ - Main construction (12 June, 2008)_Danh sach nha cung cap ( Vendor List ) - Cap nhat 15-04-2011 2 2 2" xfId="12763" xr:uid="{00000000-0005-0000-0000-0000692C0000}"/>
    <cellStyle name="T_NHUA TAN HOA 10-6,KCmoi_puma 16.1_05  080428- BOQ - Main construction (12 June, 2008)_Danh sach nha cung cap ( Vendor List ) - Cap nhat 15-04-2011 2 3" xfId="12764" xr:uid="{00000000-0005-0000-0000-00006A2C0000}"/>
    <cellStyle name="T_NHUA TAN HOA 10-6,KCmoi_puma 16.1_05  080428- BOQ - Main construction (12 June, 2008)_Danh sach nha cung cap ( Vendor List ) - Cap nhat 15-04-2011 3" xfId="12765" xr:uid="{00000000-0005-0000-0000-00006B2C0000}"/>
    <cellStyle name="T_NHUA TAN HOA 10-6,KCmoi_puma 16.1_05  080428- BOQ - Main construction (12 June, 2008)_Danh sach nha cung cap ( Vendor List ) - Cap nhat 15-04-2011 3 2" xfId="12766" xr:uid="{00000000-0005-0000-0000-00006C2C0000}"/>
    <cellStyle name="T_NHUA TAN HOA 10-6,KCmoi_puma 16.1_05  080428- BOQ - Main construction (12 June, 2008)_Danh sach nha cung cap ( Vendor List ) - Cap nhat 15-04-2011 4" xfId="12767" xr:uid="{00000000-0005-0000-0000-00006D2C0000}"/>
    <cellStyle name="T_NHUA TAN HOA 10-6,KCmoi_puma 16.1_BOQ - BUNGE (TVT submit 18 Nov, 2009)" xfId="8380" xr:uid="{00000000-0005-0000-0000-00006E2C0000}"/>
    <cellStyle name="T_NHUA TAN HOA 10-6,KCmoi_puma 16.1_BOQ - BUNGE (TVT submit 18 Nov, 2009) 2" xfId="8381" xr:uid="{00000000-0005-0000-0000-00006F2C0000}"/>
    <cellStyle name="T_NHUA TAN HOA 10-6,KCmoi_puma 16.1_BOQ - BUNGE (TVT submit 18 Nov, 2009) 2 2" xfId="12768" xr:uid="{00000000-0005-0000-0000-0000702C0000}"/>
    <cellStyle name="T_NHUA TAN HOA 10-6,KCmoi_puma 16.1_BOQ - BUNGE (TVT submit 18 Nov, 2009) 2 2 2" xfId="12769" xr:uid="{00000000-0005-0000-0000-0000712C0000}"/>
    <cellStyle name="T_NHUA TAN HOA 10-6,KCmoi_puma 16.1_BOQ - BUNGE (TVT submit 18 Nov, 2009) 2 3" xfId="12770" xr:uid="{00000000-0005-0000-0000-0000722C0000}"/>
    <cellStyle name="T_NHUA TAN HOA 10-6,KCmoi_puma 16.1_BOQ - BUNGE (TVT submit 18 Nov, 2009) 3" xfId="12771" xr:uid="{00000000-0005-0000-0000-0000732C0000}"/>
    <cellStyle name="T_NHUA TAN HOA 10-6,KCmoi_puma 16.1_BOQ - BUNGE (TVT submit 18 Nov, 2009) 3 2" xfId="12772" xr:uid="{00000000-0005-0000-0000-0000742C0000}"/>
    <cellStyle name="T_NHUA TAN HOA 10-6,KCmoi_puma 16.1_BOQ - BUNGE (TVT submit 18 Nov, 2009) 4" xfId="12773" xr:uid="{00000000-0005-0000-0000-0000752C0000}"/>
    <cellStyle name="T_NHUA TAN HOA 10-6,KCmoi_puma 16.1_BOQ - BUNGE (TVT submit 18 Nov, 2009)_Danh sach nha cung cap ( Vendor List ) - Cap nhat 15-04-2011" xfId="8382" xr:uid="{00000000-0005-0000-0000-0000762C0000}"/>
    <cellStyle name="T_NHUA TAN HOA 10-6,KCmoi_puma 16.1_BOQ - BUNGE (TVT submit 18 Nov, 2009)_Danh sach nha cung cap ( Vendor List ) - Cap nhat 15-04-2011 2" xfId="8383" xr:uid="{00000000-0005-0000-0000-0000772C0000}"/>
    <cellStyle name="T_NHUA TAN HOA 10-6,KCmoi_puma 16.1_BOQ - BUNGE (TVT submit 18 Nov, 2009)_Danh sach nha cung cap ( Vendor List ) - Cap nhat 15-04-2011 2 2" xfId="12774" xr:uid="{00000000-0005-0000-0000-0000782C0000}"/>
    <cellStyle name="T_NHUA TAN HOA 10-6,KCmoi_puma 16.1_BOQ - BUNGE (TVT submit 18 Nov, 2009)_Danh sach nha cung cap ( Vendor List ) - Cap nhat 15-04-2011 2 2 2" xfId="12775" xr:uid="{00000000-0005-0000-0000-0000792C0000}"/>
    <cellStyle name="T_NHUA TAN HOA 10-6,KCmoi_puma 16.1_BOQ - BUNGE (TVT submit 18 Nov, 2009)_Danh sach nha cung cap ( Vendor List ) - Cap nhat 15-04-2011 2 3" xfId="12776" xr:uid="{00000000-0005-0000-0000-00007A2C0000}"/>
    <cellStyle name="T_NHUA TAN HOA 10-6,KCmoi_puma 16.1_BOQ - BUNGE (TVT submit 18 Nov, 2009)_Danh sach nha cung cap ( Vendor List ) - Cap nhat 15-04-2011 3" xfId="12777" xr:uid="{00000000-0005-0000-0000-00007B2C0000}"/>
    <cellStyle name="T_NHUA TAN HOA 10-6,KCmoi_puma 16.1_BOQ - BUNGE (TVT submit 18 Nov, 2009)_Danh sach nha cung cap ( Vendor List ) - Cap nhat 15-04-2011 3 2" xfId="12778" xr:uid="{00000000-0005-0000-0000-00007C2C0000}"/>
    <cellStyle name="T_NHUA TAN HOA 10-6,KCmoi_puma 16.1_BOQ - BUNGE (TVT submit 18 Nov, 2009)_Danh sach nha cung cap ( Vendor List ) - Cap nhat 15-04-2011 4" xfId="12779" xr:uid="{00000000-0005-0000-0000-00007D2C0000}"/>
    <cellStyle name="T_NHUA TAN HOA 10-6,KCmoi_puma 16.1_BOQ - CAB (TVT submit 28 Nov, 2008)" xfId="8384" xr:uid="{00000000-0005-0000-0000-00007E2C0000}"/>
    <cellStyle name="T_NHUA TAN HOA 10-6,KCmoi_puma 16.1_BOQ - CAB (TVT submit 28 Nov, 2008) 2" xfId="8385" xr:uid="{00000000-0005-0000-0000-00007F2C0000}"/>
    <cellStyle name="T_NHUA TAN HOA 10-6,KCmoi_puma 16.1_BOQ - CAB (TVT submit 28 Nov, 2008) 2 2" xfId="12780" xr:uid="{00000000-0005-0000-0000-0000802C0000}"/>
    <cellStyle name="T_NHUA TAN HOA 10-6,KCmoi_puma 16.1_BOQ - CAB (TVT submit 28 Nov, 2008) 2 2 2" xfId="12781" xr:uid="{00000000-0005-0000-0000-0000812C0000}"/>
    <cellStyle name="T_NHUA TAN HOA 10-6,KCmoi_puma 16.1_BOQ - CAB (TVT submit 28 Nov, 2008) 2 3" xfId="12782" xr:uid="{00000000-0005-0000-0000-0000822C0000}"/>
    <cellStyle name="T_NHUA TAN HOA 10-6,KCmoi_puma 16.1_BOQ - CAB (TVT submit 28 Nov, 2008) 3" xfId="12783" xr:uid="{00000000-0005-0000-0000-0000832C0000}"/>
    <cellStyle name="T_NHUA TAN HOA 10-6,KCmoi_puma 16.1_BOQ - CAB (TVT submit 28 Nov, 2008) 3 2" xfId="12784" xr:uid="{00000000-0005-0000-0000-0000842C0000}"/>
    <cellStyle name="T_NHUA TAN HOA 10-6,KCmoi_puma 16.1_BOQ - CAB (TVT submit 28 Nov, 2008) 4" xfId="12785" xr:uid="{00000000-0005-0000-0000-0000852C0000}"/>
    <cellStyle name="T_NHUA TAN HOA 10-6,KCmoi_puma 16.1_BOQ - CAB (TVT submit 28 Nov, 2008)_Danh sach nha cung cap ( Vendor List ) - Cap nhat 15-04-2011" xfId="8386" xr:uid="{00000000-0005-0000-0000-0000862C0000}"/>
    <cellStyle name="T_NHUA TAN HOA 10-6,KCmoi_puma 16.1_BOQ - CAB (TVT submit 28 Nov, 2008)_Danh sach nha cung cap ( Vendor List ) - Cap nhat 15-04-2011 2" xfId="8387" xr:uid="{00000000-0005-0000-0000-0000872C0000}"/>
    <cellStyle name="T_NHUA TAN HOA 10-6,KCmoi_puma 16.1_BOQ - CAB (TVT submit 28 Nov, 2008)_Danh sach nha cung cap ( Vendor List ) - Cap nhat 15-04-2011 2 2" xfId="12786" xr:uid="{00000000-0005-0000-0000-0000882C0000}"/>
    <cellStyle name="T_NHUA TAN HOA 10-6,KCmoi_puma 16.1_BOQ - CAB (TVT submit 28 Nov, 2008)_Danh sach nha cung cap ( Vendor List ) - Cap nhat 15-04-2011 2 2 2" xfId="12787" xr:uid="{00000000-0005-0000-0000-0000892C0000}"/>
    <cellStyle name="T_NHUA TAN HOA 10-6,KCmoi_puma 16.1_BOQ - CAB (TVT submit 28 Nov, 2008)_Danh sach nha cung cap ( Vendor List ) - Cap nhat 15-04-2011 2 3" xfId="12788" xr:uid="{00000000-0005-0000-0000-00008A2C0000}"/>
    <cellStyle name="T_NHUA TAN HOA 10-6,KCmoi_puma 16.1_BOQ - CAB (TVT submit 28 Nov, 2008)_Danh sach nha cung cap ( Vendor List ) - Cap nhat 15-04-2011 3" xfId="12789" xr:uid="{00000000-0005-0000-0000-00008B2C0000}"/>
    <cellStyle name="T_NHUA TAN HOA 10-6,KCmoi_puma 16.1_BOQ - CAB (TVT submit 28 Nov, 2008)_Danh sach nha cung cap ( Vendor List ) - Cap nhat 15-04-2011 3 2" xfId="12790" xr:uid="{00000000-0005-0000-0000-00008C2C0000}"/>
    <cellStyle name="T_NHUA TAN HOA 10-6,KCmoi_puma 16.1_BOQ - CAB (TVT submit 28 Nov, 2008)_Danh sach nha cung cap ( Vendor List ) - Cap nhat 15-04-2011 4" xfId="12791" xr:uid="{00000000-0005-0000-0000-00008D2C0000}"/>
    <cellStyle name="T_NHUA TAN HOA 10-6,KCmoi_puma 16.1_Danh sach nha cung cap ( Vendor List ) - Cap nhat 15-04-2011" xfId="8388" xr:uid="{00000000-0005-0000-0000-00008E2C0000}"/>
    <cellStyle name="T_NHUA TAN HOA 10-6,KCmoi_puma 16.1_Danh sach nha cung cap ( Vendor List ) - Cap nhat 15-04-2011 2" xfId="8389" xr:uid="{00000000-0005-0000-0000-00008F2C0000}"/>
    <cellStyle name="T_NHUA TAN HOA 10-6,KCmoi_puma 16.1_Danh sach nha cung cap ( Vendor List ) - Cap nhat 15-04-2011 2 2" xfId="12792" xr:uid="{00000000-0005-0000-0000-0000902C0000}"/>
    <cellStyle name="T_NHUA TAN HOA 10-6,KCmoi_puma 16.1_Danh sach nha cung cap ( Vendor List ) - Cap nhat 15-04-2011 2 2 2" xfId="12793" xr:uid="{00000000-0005-0000-0000-0000912C0000}"/>
    <cellStyle name="T_NHUA TAN HOA 10-6,KCmoi_puma 16.1_Danh sach nha cung cap ( Vendor List ) - Cap nhat 15-04-2011 2 3" xfId="12794" xr:uid="{00000000-0005-0000-0000-0000922C0000}"/>
    <cellStyle name="T_NHUA TAN HOA 10-6,KCmoi_puma 16.1_Danh sach nha cung cap ( Vendor List ) - Cap nhat 15-04-2011 3" xfId="12795" xr:uid="{00000000-0005-0000-0000-0000932C0000}"/>
    <cellStyle name="T_NHUA TAN HOA 10-6,KCmoi_puma 16.1_Danh sach nha cung cap ( Vendor List ) - Cap nhat 15-04-2011 3 2" xfId="12796" xr:uid="{00000000-0005-0000-0000-0000942C0000}"/>
    <cellStyle name="T_NHUA TAN HOA 10-6,KCmoi_puma 16.1_Danh sach nha cung cap ( Vendor List ) - Cap nhat 15-04-2011 4" xfId="12797" xr:uid="{00000000-0005-0000-0000-0000952C0000}"/>
    <cellStyle name="T_NHUA TAN HOA 10-6,KCmoi_puma 17.1" xfId="8390" xr:uid="{00000000-0005-0000-0000-0000962C0000}"/>
    <cellStyle name="T_NHUA TAN HOA 10-6,KCmoi_puma 17.1 2" xfId="8391" xr:uid="{00000000-0005-0000-0000-0000972C0000}"/>
    <cellStyle name="T_NHUA TAN HOA 10-6,KCmoi_puma 17.1 2 2" xfId="12798" xr:uid="{00000000-0005-0000-0000-0000982C0000}"/>
    <cellStyle name="T_NHUA TAN HOA 10-6,KCmoi_puma 17.1 2 2 2" xfId="12799" xr:uid="{00000000-0005-0000-0000-0000992C0000}"/>
    <cellStyle name="T_NHUA TAN HOA 10-6,KCmoi_puma 17.1 2 3" xfId="12800" xr:uid="{00000000-0005-0000-0000-00009A2C0000}"/>
    <cellStyle name="T_NHUA TAN HOA 10-6,KCmoi_puma 17.1 3" xfId="12801" xr:uid="{00000000-0005-0000-0000-00009B2C0000}"/>
    <cellStyle name="T_NHUA TAN HOA 10-6,KCmoi_puma 17.1 3 2" xfId="12802" xr:uid="{00000000-0005-0000-0000-00009C2C0000}"/>
    <cellStyle name="T_NHUA TAN HOA 10-6,KCmoi_puma 17.1 4" xfId="12803" xr:uid="{00000000-0005-0000-0000-00009D2C0000}"/>
    <cellStyle name="T_NHUA TAN HOA 10-6,KCmoi_puma 17.1_Danh sach nha cung cap ( Vendor List ) - Cap nhat 15-04-2011" xfId="8392" xr:uid="{00000000-0005-0000-0000-00009E2C0000}"/>
    <cellStyle name="T_NHUA TAN HOA 10-6,KCmoi_puma 17.1_Danh sach nha cung cap ( Vendor List ) - Cap nhat 15-04-2011 2" xfId="8393" xr:uid="{00000000-0005-0000-0000-00009F2C0000}"/>
    <cellStyle name="T_NHUA TAN HOA 10-6,KCmoi_puma 17.1_Danh sach nha cung cap ( Vendor List ) - Cap nhat 15-04-2011 2 2" xfId="12804" xr:uid="{00000000-0005-0000-0000-0000A02C0000}"/>
    <cellStyle name="T_NHUA TAN HOA 10-6,KCmoi_puma 17.1_Danh sach nha cung cap ( Vendor List ) - Cap nhat 15-04-2011 2 2 2" xfId="12805" xr:uid="{00000000-0005-0000-0000-0000A12C0000}"/>
    <cellStyle name="T_NHUA TAN HOA 10-6,KCmoi_puma 17.1_Danh sach nha cung cap ( Vendor List ) - Cap nhat 15-04-2011 2 3" xfId="12806" xr:uid="{00000000-0005-0000-0000-0000A22C0000}"/>
    <cellStyle name="T_NHUA TAN HOA 10-6,KCmoi_puma 17.1_Danh sach nha cung cap ( Vendor List ) - Cap nhat 15-04-2011 3" xfId="12807" xr:uid="{00000000-0005-0000-0000-0000A32C0000}"/>
    <cellStyle name="T_NHUA TAN HOA 10-6,KCmoi_puma 17.1_Danh sach nha cung cap ( Vendor List ) - Cap nhat 15-04-2011 3 2" xfId="12808" xr:uid="{00000000-0005-0000-0000-0000A42C0000}"/>
    <cellStyle name="T_NHUA TAN HOA 10-6,KCmoi_puma 17.1_Danh sach nha cung cap ( Vendor List ) - Cap nhat 15-04-2011 4" xfId="12809" xr:uid="{00000000-0005-0000-0000-0000A52C0000}"/>
    <cellStyle name="T_NHUA TAN HOA 10-6_05  080428- BOQ - Main construction (12 June, 2008)" xfId="8394" xr:uid="{00000000-0005-0000-0000-0000A62C0000}"/>
    <cellStyle name="T_NHUA TAN HOA 10-6_05  080428- BOQ - Main construction (12 June, 2008) 2" xfId="8395" xr:uid="{00000000-0005-0000-0000-0000A72C0000}"/>
    <cellStyle name="T_NHUA TAN HOA 10-6_05  080428- BOQ - Main construction (12 June, 2008) 2 2" xfId="12810" xr:uid="{00000000-0005-0000-0000-0000A82C0000}"/>
    <cellStyle name="T_NHUA TAN HOA 10-6_05  080428- BOQ - Main construction (12 June, 2008) 2 2 2" xfId="12811" xr:uid="{00000000-0005-0000-0000-0000A92C0000}"/>
    <cellStyle name="T_NHUA TAN HOA 10-6_05  080428- BOQ - Main construction (12 June, 2008) 2 3" xfId="12812" xr:uid="{00000000-0005-0000-0000-0000AA2C0000}"/>
    <cellStyle name="T_NHUA TAN HOA 10-6_05  080428- BOQ - Main construction (12 June, 2008) 3" xfId="12813" xr:uid="{00000000-0005-0000-0000-0000AB2C0000}"/>
    <cellStyle name="T_NHUA TAN HOA 10-6_05  080428- BOQ - Main construction (12 June, 2008) 3 2" xfId="12814" xr:uid="{00000000-0005-0000-0000-0000AC2C0000}"/>
    <cellStyle name="T_NHUA TAN HOA 10-6_05  080428- BOQ - Main construction (12 June, 2008) 4" xfId="12815" xr:uid="{00000000-0005-0000-0000-0000AD2C0000}"/>
    <cellStyle name="T_NHUA TAN HOA 10-6_05  080428- BOQ - Main construction (12 June, 2008)_Danh sach nha cung cap ( Vendor List ) - Cap nhat 15-04-2011" xfId="8396" xr:uid="{00000000-0005-0000-0000-0000AE2C0000}"/>
    <cellStyle name="T_NHUA TAN HOA 10-6_05  080428- BOQ - Main construction (12 June, 2008)_Danh sach nha cung cap ( Vendor List ) - Cap nhat 15-04-2011 2" xfId="8397" xr:uid="{00000000-0005-0000-0000-0000AF2C0000}"/>
    <cellStyle name="T_NHUA TAN HOA 10-6_05  080428- BOQ - Main construction (12 June, 2008)_Danh sach nha cung cap ( Vendor List ) - Cap nhat 15-04-2011 2 2" xfId="12816" xr:uid="{00000000-0005-0000-0000-0000B02C0000}"/>
    <cellStyle name="T_NHUA TAN HOA 10-6_05  080428- BOQ - Main construction (12 June, 2008)_Danh sach nha cung cap ( Vendor List ) - Cap nhat 15-04-2011 2 2 2" xfId="12817" xr:uid="{00000000-0005-0000-0000-0000B12C0000}"/>
    <cellStyle name="T_NHUA TAN HOA 10-6_05  080428- BOQ - Main construction (12 June, 2008)_Danh sach nha cung cap ( Vendor List ) - Cap nhat 15-04-2011 2 3" xfId="12818" xr:uid="{00000000-0005-0000-0000-0000B22C0000}"/>
    <cellStyle name="T_NHUA TAN HOA 10-6_05  080428- BOQ - Main construction (12 June, 2008)_Danh sach nha cung cap ( Vendor List ) - Cap nhat 15-04-2011 3" xfId="12819" xr:uid="{00000000-0005-0000-0000-0000B32C0000}"/>
    <cellStyle name="T_NHUA TAN HOA 10-6_05  080428- BOQ - Main construction (12 June, 2008)_Danh sach nha cung cap ( Vendor List ) - Cap nhat 15-04-2011 3 2" xfId="12820" xr:uid="{00000000-0005-0000-0000-0000B42C0000}"/>
    <cellStyle name="T_NHUA TAN HOA 10-6_05  080428- BOQ - Main construction (12 June, 2008)_Danh sach nha cung cap ( Vendor List ) - Cap nhat 15-04-2011 4" xfId="12821" xr:uid="{00000000-0005-0000-0000-0000B52C0000}"/>
    <cellStyle name="T_NHUA TAN HOA 10-6_BOQ - BUNGE (TVT submit 18 Nov, 2009)" xfId="8398" xr:uid="{00000000-0005-0000-0000-0000B62C0000}"/>
    <cellStyle name="T_NHUA TAN HOA 10-6_BOQ - BUNGE (TVT submit 18 Nov, 2009) 2" xfId="8399" xr:uid="{00000000-0005-0000-0000-0000B72C0000}"/>
    <cellStyle name="T_NHUA TAN HOA 10-6_BOQ - BUNGE (TVT submit 18 Nov, 2009) 2 2" xfId="12822" xr:uid="{00000000-0005-0000-0000-0000B82C0000}"/>
    <cellStyle name="T_NHUA TAN HOA 10-6_BOQ - BUNGE (TVT submit 18 Nov, 2009) 2 2 2" xfId="12823" xr:uid="{00000000-0005-0000-0000-0000B92C0000}"/>
    <cellStyle name="T_NHUA TAN HOA 10-6_BOQ - BUNGE (TVT submit 18 Nov, 2009) 2 3" xfId="12824" xr:uid="{00000000-0005-0000-0000-0000BA2C0000}"/>
    <cellStyle name="T_NHUA TAN HOA 10-6_BOQ - BUNGE (TVT submit 18 Nov, 2009) 3" xfId="12825" xr:uid="{00000000-0005-0000-0000-0000BB2C0000}"/>
    <cellStyle name="T_NHUA TAN HOA 10-6_BOQ - BUNGE (TVT submit 18 Nov, 2009) 3 2" xfId="12826" xr:uid="{00000000-0005-0000-0000-0000BC2C0000}"/>
    <cellStyle name="T_NHUA TAN HOA 10-6_BOQ - BUNGE (TVT submit 18 Nov, 2009) 4" xfId="12827" xr:uid="{00000000-0005-0000-0000-0000BD2C0000}"/>
    <cellStyle name="T_NHUA TAN HOA 10-6_BOQ - BUNGE (TVT submit 18 Nov, 2009)_Danh sach nha cung cap ( Vendor List ) - Cap nhat 15-04-2011" xfId="8400" xr:uid="{00000000-0005-0000-0000-0000BE2C0000}"/>
    <cellStyle name="T_NHUA TAN HOA 10-6_BOQ - BUNGE (TVT submit 18 Nov, 2009)_Danh sach nha cung cap ( Vendor List ) - Cap nhat 15-04-2011 2" xfId="8401" xr:uid="{00000000-0005-0000-0000-0000BF2C0000}"/>
    <cellStyle name="T_NHUA TAN HOA 10-6_BOQ - BUNGE (TVT submit 18 Nov, 2009)_Danh sach nha cung cap ( Vendor List ) - Cap nhat 15-04-2011 2 2" xfId="12828" xr:uid="{00000000-0005-0000-0000-0000C02C0000}"/>
    <cellStyle name="T_NHUA TAN HOA 10-6_BOQ - BUNGE (TVT submit 18 Nov, 2009)_Danh sach nha cung cap ( Vendor List ) - Cap nhat 15-04-2011 2 2 2" xfId="12829" xr:uid="{00000000-0005-0000-0000-0000C12C0000}"/>
    <cellStyle name="T_NHUA TAN HOA 10-6_BOQ - BUNGE (TVT submit 18 Nov, 2009)_Danh sach nha cung cap ( Vendor List ) - Cap nhat 15-04-2011 2 3" xfId="12830" xr:uid="{00000000-0005-0000-0000-0000C22C0000}"/>
    <cellStyle name="T_NHUA TAN HOA 10-6_BOQ - BUNGE (TVT submit 18 Nov, 2009)_Danh sach nha cung cap ( Vendor List ) - Cap nhat 15-04-2011 3" xfId="12831" xr:uid="{00000000-0005-0000-0000-0000C32C0000}"/>
    <cellStyle name="T_NHUA TAN HOA 10-6_BOQ - BUNGE (TVT submit 18 Nov, 2009)_Danh sach nha cung cap ( Vendor List ) - Cap nhat 15-04-2011 3 2" xfId="12832" xr:uid="{00000000-0005-0000-0000-0000C42C0000}"/>
    <cellStyle name="T_NHUA TAN HOA 10-6_BOQ - BUNGE (TVT submit 18 Nov, 2009)_Danh sach nha cung cap ( Vendor List ) - Cap nhat 15-04-2011 4" xfId="12833" xr:uid="{00000000-0005-0000-0000-0000C52C0000}"/>
    <cellStyle name="T_NHUA TAN HOA 10-6_BOQ - CAB (TVT submit 28 Nov, 2008)" xfId="8402" xr:uid="{00000000-0005-0000-0000-0000C62C0000}"/>
    <cellStyle name="T_NHUA TAN HOA 10-6_BOQ - CAB (TVT submit 28 Nov, 2008) 2" xfId="8403" xr:uid="{00000000-0005-0000-0000-0000C72C0000}"/>
    <cellStyle name="T_NHUA TAN HOA 10-6_BOQ - CAB (TVT submit 28 Nov, 2008) 2 2" xfId="12834" xr:uid="{00000000-0005-0000-0000-0000C82C0000}"/>
    <cellStyle name="T_NHUA TAN HOA 10-6_BOQ - CAB (TVT submit 28 Nov, 2008) 2 2 2" xfId="12835" xr:uid="{00000000-0005-0000-0000-0000C92C0000}"/>
    <cellStyle name="T_NHUA TAN HOA 10-6_BOQ - CAB (TVT submit 28 Nov, 2008) 2 3" xfId="12836" xr:uid="{00000000-0005-0000-0000-0000CA2C0000}"/>
    <cellStyle name="T_NHUA TAN HOA 10-6_BOQ - CAB (TVT submit 28 Nov, 2008) 3" xfId="12837" xr:uid="{00000000-0005-0000-0000-0000CB2C0000}"/>
    <cellStyle name="T_NHUA TAN HOA 10-6_BOQ - CAB (TVT submit 28 Nov, 2008) 3 2" xfId="12838" xr:uid="{00000000-0005-0000-0000-0000CC2C0000}"/>
    <cellStyle name="T_NHUA TAN HOA 10-6_BOQ - CAB (TVT submit 28 Nov, 2008) 4" xfId="12839" xr:uid="{00000000-0005-0000-0000-0000CD2C0000}"/>
    <cellStyle name="T_NHUA TAN HOA 10-6_BOQ - CAB (TVT submit 28 Nov, 2008)_Danh sach nha cung cap ( Vendor List ) - Cap nhat 15-04-2011" xfId="8404" xr:uid="{00000000-0005-0000-0000-0000CE2C0000}"/>
    <cellStyle name="T_NHUA TAN HOA 10-6_BOQ - CAB (TVT submit 28 Nov, 2008)_Danh sach nha cung cap ( Vendor List ) - Cap nhat 15-04-2011 2" xfId="8405" xr:uid="{00000000-0005-0000-0000-0000CF2C0000}"/>
    <cellStyle name="T_NHUA TAN HOA 10-6_BOQ - CAB (TVT submit 28 Nov, 2008)_Danh sach nha cung cap ( Vendor List ) - Cap nhat 15-04-2011 2 2" xfId="12840" xr:uid="{00000000-0005-0000-0000-0000D02C0000}"/>
    <cellStyle name="T_NHUA TAN HOA 10-6_BOQ - CAB (TVT submit 28 Nov, 2008)_Danh sach nha cung cap ( Vendor List ) - Cap nhat 15-04-2011 2 2 2" xfId="12841" xr:uid="{00000000-0005-0000-0000-0000D12C0000}"/>
    <cellStyle name="T_NHUA TAN HOA 10-6_BOQ - CAB (TVT submit 28 Nov, 2008)_Danh sach nha cung cap ( Vendor List ) - Cap nhat 15-04-2011 2 3" xfId="12842" xr:uid="{00000000-0005-0000-0000-0000D22C0000}"/>
    <cellStyle name="T_NHUA TAN HOA 10-6_BOQ - CAB (TVT submit 28 Nov, 2008)_Danh sach nha cung cap ( Vendor List ) - Cap nhat 15-04-2011 3" xfId="12843" xr:uid="{00000000-0005-0000-0000-0000D32C0000}"/>
    <cellStyle name="T_NHUA TAN HOA 10-6_BOQ - CAB (TVT submit 28 Nov, 2008)_Danh sach nha cung cap ( Vendor List ) - Cap nhat 15-04-2011 3 2" xfId="12844" xr:uid="{00000000-0005-0000-0000-0000D42C0000}"/>
    <cellStyle name="T_NHUA TAN HOA 10-6_BOQ - CAB (TVT submit 28 Nov, 2008)_Danh sach nha cung cap ( Vendor List ) - Cap nhat 15-04-2011 4" xfId="12845" xr:uid="{00000000-0005-0000-0000-0000D52C0000}"/>
    <cellStyle name="T_NHUA TAN HOA 10-6_Danh sach nha cung cap ( Vendor List ) - Cap nhat 15-04-2011" xfId="8406" xr:uid="{00000000-0005-0000-0000-0000D62C0000}"/>
    <cellStyle name="T_NHUA TAN HOA 10-6_Danh sach nha cung cap ( Vendor List ) - Cap nhat 15-04-2011 2" xfId="8407" xr:uid="{00000000-0005-0000-0000-0000D72C0000}"/>
    <cellStyle name="T_NHUA TAN HOA 10-6_Danh sach nha cung cap ( Vendor List ) - Cap nhat 15-04-2011 2 2" xfId="12846" xr:uid="{00000000-0005-0000-0000-0000D82C0000}"/>
    <cellStyle name="T_NHUA TAN HOA 10-6_Danh sach nha cung cap ( Vendor List ) - Cap nhat 15-04-2011 2 2 2" xfId="12847" xr:uid="{00000000-0005-0000-0000-0000D92C0000}"/>
    <cellStyle name="T_NHUA TAN HOA 10-6_Danh sach nha cung cap ( Vendor List ) - Cap nhat 15-04-2011 2 3" xfId="12848" xr:uid="{00000000-0005-0000-0000-0000DA2C0000}"/>
    <cellStyle name="T_NHUA TAN HOA 10-6_Danh sach nha cung cap ( Vendor List ) - Cap nhat 15-04-2011 3" xfId="12849" xr:uid="{00000000-0005-0000-0000-0000DB2C0000}"/>
    <cellStyle name="T_NHUA TAN HOA 10-6_Danh sach nha cung cap ( Vendor List ) - Cap nhat 15-04-2011 3 2" xfId="12850" xr:uid="{00000000-0005-0000-0000-0000DC2C0000}"/>
    <cellStyle name="T_NHUA TAN HOA 10-6_Danh sach nha cung cap ( Vendor List ) - Cap nhat 15-04-2011 4" xfId="12851" xr:uid="{00000000-0005-0000-0000-0000DD2C0000}"/>
    <cellStyle name="T_NHUA TAN HOA 10-6_Du toan BONFIGLIOLI-071126" xfId="8408" xr:uid="{00000000-0005-0000-0000-0000DE2C0000}"/>
    <cellStyle name="T_NHUA TAN HOA 10-6_Du toan BONFIGLIOLI-071126 2" xfId="8409" xr:uid="{00000000-0005-0000-0000-0000DF2C0000}"/>
    <cellStyle name="T_NHUA TAN HOA 10-6_Du toan BONFIGLIOLI-071126 2 2" xfId="12852" xr:uid="{00000000-0005-0000-0000-0000E02C0000}"/>
    <cellStyle name="T_NHUA TAN HOA 10-6_Du toan BONFIGLIOLI-071126 2 2 2" xfId="12853" xr:uid="{00000000-0005-0000-0000-0000E12C0000}"/>
    <cellStyle name="T_NHUA TAN HOA 10-6_Du toan BONFIGLIOLI-071126 2 3" xfId="12854" xr:uid="{00000000-0005-0000-0000-0000E22C0000}"/>
    <cellStyle name="T_NHUA TAN HOA 10-6_Du toan BONFIGLIOLI-071126 3" xfId="12855" xr:uid="{00000000-0005-0000-0000-0000E32C0000}"/>
    <cellStyle name="T_NHUA TAN HOA 10-6_Du toan BONFIGLIOLI-071126 3 2" xfId="12856" xr:uid="{00000000-0005-0000-0000-0000E42C0000}"/>
    <cellStyle name="T_NHUA TAN HOA 10-6_Du toan BONFIGLIOLI-071126 4" xfId="12857" xr:uid="{00000000-0005-0000-0000-0000E52C0000}"/>
    <cellStyle name="T_NHUA TAN HOA 10-6_Du toan BONFIGLIOLI-071126_Danh sach nha cung cap ( Vendor List ) - Cap nhat 15-04-2011" xfId="8410" xr:uid="{00000000-0005-0000-0000-0000E62C0000}"/>
    <cellStyle name="T_NHUA TAN HOA 10-6_Du toan BONFIGLIOLI-071126_Danh sach nha cung cap ( Vendor List ) - Cap nhat 15-04-2011 2" xfId="8411" xr:uid="{00000000-0005-0000-0000-0000E72C0000}"/>
    <cellStyle name="T_NHUA TAN HOA 10-6_Du toan BONFIGLIOLI-071126_Danh sach nha cung cap ( Vendor List ) - Cap nhat 15-04-2011 2 2" xfId="12858" xr:uid="{00000000-0005-0000-0000-0000E82C0000}"/>
    <cellStyle name="T_NHUA TAN HOA 10-6_Du toan BONFIGLIOLI-071126_Danh sach nha cung cap ( Vendor List ) - Cap nhat 15-04-2011 2 2 2" xfId="12859" xr:uid="{00000000-0005-0000-0000-0000E92C0000}"/>
    <cellStyle name="T_NHUA TAN HOA 10-6_Du toan BONFIGLIOLI-071126_Danh sach nha cung cap ( Vendor List ) - Cap nhat 15-04-2011 2 3" xfId="12860" xr:uid="{00000000-0005-0000-0000-0000EA2C0000}"/>
    <cellStyle name="T_NHUA TAN HOA 10-6_Du toan BONFIGLIOLI-071126_Danh sach nha cung cap ( Vendor List ) - Cap nhat 15-04-2011 3" xfId="12861" xr:uid="{00000000-0005-0000-0000-0000EB2C0000}"/>
    <cellStyle name="T_NHUA TAN HOA 10-6_Du toan BONFIGLIOLI-071126_Danh sach nha cung cap ( Vendor List ) - Cap nhat 15-04-2011 3 2" xfId="12862" xr:uid="{00000000-0005-0000-0000-0000EC2C0000}"/>
    <cellStyle name="T_NHUA TAN HOA 10-6_Du toan BONFIGLIOLI-071126_Danh sach nha cung cap ( Vendor List ) - Cap nhat 15-04-2011 4" xfId="12863" xr:uid="{00000000-0005-0000-0000-0000ED2C0000}"/>
    <cellStyle name="T_NHUA TAN HOA 10-6_Du toan BONFIGLIOLI-071126_General Quotation 5-1-2008" xfId="8412" xr:uid="{00000000-0005-0000-0000-0000EE2C0000}"/>
    <cellStyle name="T_NHUA TAN HOA 10-6_Du toan BONFIGLIOLI-071126_General Quotation 5-1-2008 2" xfId="8413" xr:uid="{00000000-0005-0000-0000-0000EF2C0000}"/>
    <cellStyle name="T_NHUA TAN HOA 10-6_Du toan BONFIGLIOLI-071126_General Quotation 5-1-2008 2 2" xfId="12864" xr:uid="{00000000-0005-0000-0000-0000F02C0000}"/>
    <cellStyle name="T_NHUA TAN HOA 10-6_Du toan BONFIGLIOLI-071126_General Quotation 5-1-2008 2 2 2" xfId="12865" xr:uid="{00000000-0005-0000-0000-0000F12C0000}"/>
    <cellStyle name="T_NHUA TAN HOA 10-6_Du toan BONFIGLIOLI-071126_General Quotation 5-1-2008 2 3" xfId="12866" xr:uid="{00000000-0005-0000-0000-0000F22C0000}"/>
    <cellStyle name="T_NHUA TAN HOA 10-6_Du toan BONFIGLIOLI-071126_General Quotation 5-1-2008 3" xfId="12867" xr:uid="{00000000-0005-0000-0000-0000F32C0000}"/>
    <cellStyle name="T_NHUA TAN HOA 10-6_Du toan BONFIGLIOLI-071126_General Quotation 5-1-2008 3 2" xfId="12868" xr:uid="{00000000-0005-0000-0000-0000F42C0000}"/>
    <cellStyle name="T_NHUA TAN HOA 10-6_Du toan BONFIGLIOLI-071126_General Quotation 5-1-2008 4" xfId="12869" xr:uid="{00000000-0005-0000-0000-0000F52C0000}"/>
    <cellStyle name="T_NHUA TAN HOA 10-6_Du toan BONFIGLIOLI-071126_General Quotation 5-1-2008_Danh sach nha cung cap ( Vendor List ) - Cap nhat 15-04-2011" xfId="8414" xr:uid="{00000000-0005-0000-0000-0000F62C0000}"/>
    <cellStyle name="T_NHUA TAN HOA 10-6_Du toan BONFIGLIOLI-071126_General Quotation 5-1-2008_Danh sach nha cung cap ( Vendor List ) - Cap nhat 15-04-2011 2" xfId="8415" xr:uid="{00000000-0005-0000-0000-0000F72C0000}"/>
    <cellStyle name="T_NHUA TAN HOA 10-6_Du toan BONFIGLIOLI-071126_General Quotation 5-1-2008_Danh sach nha cung cap ( Vendor List ) - Cap nhat 15-04-2011 2 2" xfId="12870" xr:uid="{00000000-0005-0000-0000-0000F82C0000}"/>
    <cellStyle name="T_NHUA TAN HOA 10-6_Du toan BONFIGLIOLI-071126_General Quotation 5-1-2008_Danh sach nha cung cap ( Vendor List ) - Cap nhat 15-04-2011 2 2 2" xfId="12871" xr:uid="{00000000-0005-0000-0000-0000F92C0000}"/>
    <cellStyle name="T_NHUA TAN HOA 10-6_Du toan BONFIGLIOLI-071126_General Quotation 5-1-2008_Danh sach nha cung cap ( Vendor List ) - Cap nhat 15-04-2011 2 3" xfId="12872" xr:uid="{00000000-0005-0000-0000-0000FA2C0000}"/>
    <cellStyle name="T_NHUA TAN HOA 10-6_Du toan BONFIGLIOLI-071126_General Quotation 5-1-2008_Danh sach nha cung cap ( Vendor List ) - Cap nhat 15-04-2011 3" xfId="12873" xr:uid="{00000000-0005-0000-0000-0000FB2C0000}"/>
    <cellStyle name="T_NHUA TAN HOA 10-6_Du toan BONFIGLIOLI-071126_General Quotation 5-1-2008_Danh sach nha cung cap ( Vendor List ) - Cap nhat 15-04-2011 3 2" xfId="12874" xr:uid="{00000000-0005-0000-0000-0000FC2C0000}"/>
    <cellStyle name="T_NHUA TAN HOA 10-6_Du toan BONFIGLIOLI-071126_General Quotation 5-1-2008_Danh sach nha cung cap ( Vendor List ) - Cap nhat 15-04-2011 4" xfId="12875" xr:uid="{00000000-0005-0000-0000-0000FD2C0000}"/>
    <cellStyle name="T_NHUA TAN HOA 10-6_Du toan BONFIGLIOLI-071126_HUNG" xfId="8416" xr:uid="{00000000-0005-0000-0000-0000FE2C0000}"/>
    <cellStyle name="T_NHUA TAN HOA 10-6_Du toan BONFIGLIOLI-071126_HUNG 2" xfId="8417" xr:uid="{00000000-0005-0000-0000-0000FF2C0000}"/>
    <cellStyle name="T_NHUA TAN HOA 10-6_Du toan BONFIGLIOLI-071126_HUNG 2 2" xfId="12876" xr:uid="{00000000-0005-0000-0000-0000002D0000}"/>
    <cellStyle name="T_NHUA TAN HOA 10-6_Du toan BONFIGLIOLI-071126_HUNG 2 2 2" xfId="12877" xr:uid="{00000000-0005-0000-0000-0000012D0000}"/>
    <cellStyle name="T_NHUA TAN HOA 10-6_Du toan BONFIGLIOLI-071126_HUNG 2 3" xfId="12878" xr:uid="{00000000-0005-0000-0000-0000022D0000}"/>
    <cellStyle name="T_NHUA TAN HOA 10-6_Du toan BONFIGLIOLI-071126_HUNG 3" xfId="12879" xr:uid="{00000000-0005-0000-0000-0000032D0000}"/>
    <cellStyle name="T_NHUA TAN HOA 10-6_Du toan BONFIGLIOLI-071126_HUNG 3 2" xfId="12880" xr:uid="{00000000-0005-0000-0000-0000042D0000}"/>
    <cellStyle name="T_NHUA TAN HOA 10-6_Du toan BONFIGLIOLI-071126_HUNG 4" xfId="12881" xr:uid="{00000000-0005-0000-0000-0000052D0000}"/>
    <cellStyle name="T_NHUA TAN HOA 10-6_Du toan BONFIGLIOLI-071126_HUNG_05  080428- BOQ - Main construction (12 June, 2008)" xfId="8418" xr:uid="{00000000-0005-0000-0000-0000062D0000}"/>
    <cellStyle name="T_NHUA TAN HOA 10-6_Du toan BONFIGLIOLI-071126_HUNG_05  080428- BOQ - Main construction (12 June, 2008) 2" xfId="8419" xr:uid="{00000000-0005-0000-0000-0000072D0000}"/>
    <cellStyle name="T_NHUA TAN HOA 10-6_Du toan BONFIGLIOLI-071126_HUNG_05  080428- BOQ - Main construction (12 June, 2008) 2 2" xfId="12882" xr:uid="{00000000-0005-0000-0000-0000082D0000}"/>
    <cellStyle name="T_NHUA TAN HOA 10-6_Du toan BONFIGLIOLI-071126_HUNG_05  080428- BOQ - Main construction (12 June, 2008) 2 2 2" xfId="12883" xr:uid="{00000000-0005-0000-0000-0000092D0000}"/>
    <cellStyle name="T_NHUA TAN HOA 10-6_Du toan BONFIGLIOLI-071126_HUNG_05  080428- BOQ - Main construction (12 June, 2008) 2 3" xfId="12884" xr:uid="{00000000-0005-0000-0000-00000A2D0000}"/>
    <cellStyle name="T_NHUA TAN HOA 10-6_Du toan BONFIGLIOLI-071126_HUNG_05  080428- BOQ - Main construction (12 June, 2008) 3" xfId="12885" xr:uid="{00000000-0005-0000-0000-00000B2D0000}"/>
    <cellStyle name="T_NHUA TAN HOA 10-6_Du toan BONFIGLIOLI-071126_HUNG_05  080428- BOQ - Main construction (12 June, 2008) 3 2" xfId="12886" xr:uid="{00000000-0005-0000-0000-00000C2D0000}"/>
    <cellStyle name="T_NHUA TAN HOA 10-6_Du toan BONFIGLIOLI-071126_HUNG_05  080428- BOQ - Main construction (12 June, 2008) 4" xfId="12887" xr:uid="{00000000-0005-0000-0000-00000D2D0000}"/>
    <cellStyle name="T_NHUA TAN HOA 10-6_Du toan BONFIGLIOLI-071126_HUNG_05  080428- BOQ - Main construction (12 June, 2008)_Danh sach nha cung cap ( Vendor List ) - Cap nhat 15-04-2011" xfId="8420" xr:uid="{00000000-0005-0000-0000-00000E2D0000}"/>
    <cellStyle name="T_NHUA TAN HOA 10-6_Du toan BONFIGLIOLI-071126_HUNG_05  080428- BOQ - Main construction (12 June, 2008)_Danh sach nha cung cap ( Vendor List ) - Cap nhat 15-04-2011 2" xfId="8421" xr:uid="{00000000-0005-0000-0000-00000F2D0000}"/>
    <cellStyle name="T_NHUA TAN HOA 10-6_Du toan BONFIGLIOLI-071126_HUNG_05  080428- BOQ - Main construction (12 June, 2008)_Danh sach nha cung cap ( Vendor List ) - Cap nhat 15-04-2011 2 2" xfId="12888" xr:uid="{00000000-0005-0000-0000-0000102D0000}"/>
    <cellStyle name="T_NHUA TAN HOA 10-6_Du toan BONFIGLIOLI-071126_HUNG_05  080428- BOQ - Main construction (12 June, 2008)_Danh sach nha cung cap ( Vendor List ) - Cap nhat 15-04-2011 2 2 2" xfId="12889" xr:uid="{00000000-0005-0000-0000-0000112D0000}"/>
    <cellStyle name="T_NHUA TAN HOA 10-6_Du toan BONFIGLIOLI-071126_HUNG_05  080428- BOQ - Main construction (12 June, 2008)_Danh sach nha cung cap ( Vendor List ) - Cap nhat 15-04-2011 2 3" xfId="12890" xr:uid="{00000000-0005-0000-0000-0000122D0000}"/>
    <cellStyle name="T_NHUA TAN HOA 10-6_Du toan BONFIGLIOLI-071126_HUNG_05  080428- BOQ - Main construction (12 June, 2008)_Danh sach nha cung cap ( Vendor List ) - Cap nhat 15-04-2011 3" xfId="12891" xr:uid="{00000000-0005-0000-0000-0000132D0000}"/>
    <cellStyle name="T_NHUA TAN HOA 10-6_Du toan BONFIGLIOLI-071126_HUNG_05  080428- BOQ - Main construction (12 June, 2008)_Danh sach nha cung cap ( Vendor List ) - Cap nhat 15-04-2011 3 2" xfId="12892" xr:uid="{00000000-0005-0000-0000-0000142D0000}"/>
    <cellStyle name="T_NHUA TAN HOA 10-6_Du toan BONFIGLIOLI-071126_HUNG_05  080428- BOQ - Main construction (12 June, 2008)_Danh sach nha cung cap ( Vendor List ) - Cap nhat 15-04-2011 4" xfId="12893" xr:uid="{00000000-0005-0000-0000-0000152D0000}"/>
    <cellStyle name="T_NHUA TAN HOA 10-6_Du toan BONFIGLIOLI-071126_HUNG_BOQ - BUNGE (TVT submit 18 Nov, 2009)" xfId="8422" xr:uid="{00000000-0005-0000-0000-0000162D0000}"/>
    <cellStyle name="T_NHUA TAN HOA 10-6_Du toan BONFIGLIOLI-071126_HUNG_BOQ - BUNGE (TVT submit 18 Nov, 2009) 2" xfId="8423" xr:uid="{00000000-0005-0000-0000-0000172D0000}"/>
    <cellStyle name="T_NHUA TAN HOA 10-6_Du toan BONFIGLIOLI-071126_HUNG_BOQ - BUNGE (TVT submit 18 Nov, 2009) 2 2" xfId="12894" xr:uid="{00000000-0005-0000-0000-0000182D0000}"/>
    <cellStyle name="T_NHUA TAN HOA 10-6_Du toan BONFIGLIOLI-071126_HUNG_BOQ - BUNGE (TVT submit 18 Nov, 2009) 2 2 2" xfId="12895" xr:uid="{00000000-0005-0000-0000-0000192D0000}"/>
    <cellStyle name="T_NHUA TAN HOA 10-6_Du toan BONFIGLIOLI-071126_HUNG_BOQ - BUNGE (TVT submit 18 Nov, 2009) 2 3" xfId="12896" xr:uid="{00000000-0005-0000-0000-00001A2D0000}"/>
    <cellStyle name="T_NHUA TAN HOA 10-6_Du toan BONFIGLIOLI-071126_HUNG_BOQ - BUNGE (TVT submit 18 Nov, 2009) 3" xfId="12897" xr:uid="{00000000-0005-0000-0000-00001B2D0000}"/>
    <cellStyle name="T_NHUA TAN HOA 10-6_Du toan BONFIGLIOLI-071126_HUNG_BOQ - BUNGE (TVT submit 18 Nov, 2009) 3 2" xfId="12898" xr:uid="{00000000-0005-0000-0000-00001C2D0000}"/>
    <cellStyle name="T_NHUA TAN HOA 10-6_Du toan BONFIGLIOLI-071126_HUNG_BOQ - BUNGE (TVT submit 18 Nov, 2009) 4" xfId="12899" xr:uid="{00000000-0005-0000-0000-00001D2D0000}"/>
    <cellStyle name="T_NHUA TAN HOA 10-6_Du toan BONFIGLIOLI-071126_HUNG_BOQ - BUNGE (TVT submit 18 Nov, 2009)_Danh sach nha cung cap ( Vendor List ) - Cap nhat 15-04-2011" xfId="8424" xr:uid="{00000000-0005-0000-0000-00001E2D0000}"/>
    <cellStyle name="T_NHUA TAN HOA 10-6_Du toan BONFIGLIOLI-071126_HUNG_BOQ - BUNGE (TVT submit 18 Nov, 2009)_Danh sach nha cung cap ( Vendor List ) - Cap nhat 15-04-2011 2" xfId="8425" xr:uid="{00000000-0005-0000-0000-00001F2D0000}"/>
    <cellStyle name="T_NHUA TAN HOA 10-6_Du toan BONFIGLIOLI-071126_HUNG_BOQ - BUNGE (TVT submit 18 Nov, 2009)_Danh sach nha cung cap ( Vendor List ) - Cap nhat 15-04-2011 2 2" xfId="12900" xr:uid="{00000000-0005-0000-0000-0000202D0000}"/>
    <cellStyle name="T_NHUA TAN HOA 10-6_Du toan BONFIGLIOLI-071126_HUNG_BOQ - BUNGE (TVT submit 18 Nov, 2009)_Danh sach nha cung cap ( Vendor List ) - Cap nhat 15-04-2011 2 2 2" xfId="12901" xr:uid="{00000000-0005-0000-0000-0000212D0000}"/>
    <cellStyle name="T_NHUA TAN HOA 10-6_Du toan BONFIGLIOLI-071126_HUNG_BOQ - BUNGE (TVT submit 18 Nov, 2009)_Danh sach nha cung cap ( Vendor List ) - Cap nhat 15-04-2011 2 3" xfId="12902" xr:uid="{00000000-0005-0000-0000-0000222D0000}"/>
    <cellStyle name="T_NHUA TAN HOA 10-6_Du toan BONFIGLIOLI-071126_HUNG_BOQ - BUNGE (TVT submit 18 Nov, 2009)_Danh sach nha cung cap ( Vendor List ) - Cap nhat 15-04-2011 3" xfId="12903" xr:uid="{00000000-0005-0000-0000-0000232D0000}"/>
    <cellStyle name="T_NHUA TAN HOA 10-6_Du toan BONFIGLIOLI-071126_HUNG_BOQ - BUNGE (TVT submit 18 Nov, 2009)_Danh sach nha cung cap ( Vendor List ) - Cap nhat 15-04-2011 3 2" xfId="12904" xr:uid="{00000000-0005-0000-0000-0000242D0000}"/>
    <cellStyle name="T_NHUA TAN HOA 10-6_Du toan BONFIGLIOLI-071126_HUNG_BOQ - BUNGE (TVT submit 18 Nov, 2009)_Danh sach nha cung cap ( Vendor List ) - Cap nhat 15-04-2011 4" xfId="12905" xr:uid="{00000000-0005-0000-0000-0000252D0000}"/>
    <cellStyle name="T_NHUA TAN HOA 10-6_Du toan BONFIGLIOLI-071126_HUNG_BOQ - CAB (TVT submit 28 Nov, 2008)" xfId="8426" xr:uid="{00000000-0005-0000-0000-0000262D0000}"/>
    <cellStyle name="T_NHUA TAN HOA 10-6_Du toan BONFIGLIOLI-071126_HUNG_BOQ - CAB (TVT submit 28 Nov, 2008) 2" xfId="8427" xr:uid="{00000000-0005-0000-0000-0000272D0000}"/>
    <cellStyle name="T_NHUA TAN HOA 10-6_Du toan BONFIGLIOLI-071126_HUNG_BOQ - CAB (TVT submit 28 Nov, 2008) 2 2" xfId="12906" xr:uid="{00000000-0005-0000-0000-0000282D0000}"/>
    <cellStyle name="T_NHUA TAN HOA 10-6_Du toan BONFIGLIOLI-071126_HUNG_BOQ - CAB (TVT submit 28 Nov, 2008) 2 2 2" xfId="12907" xr:uid="{00000000-0005-0000-0000-0000292D0000}"/>
    <cellStyle name="T_NHUA TAN HOA 10-6_Du toan BONFIGLIOLI-071126_HUNG_BOQ - CAB (TVT submit 28 Nov, 2008) 2 3" xfId="12908" xr:uid="{00000000-0005-0000-0000-00002A2D0000}"/>
    <cellStyle name="T_NHUA TAN HOA 10-6_Du toan BONFIGLIOLI-071126_HUNG_BOQ - CAB (TVT submit 28 Nov, 2008) 3" xfId="12909" xr:uid="{00000000-0005-0000-0000-00002B2D0000}"/>
    <cellStyle name="T_NHUA TAN HOA 10-6_Du toan BONFIGLIOLI-071126_HUNG_BOQ - CAB (TVT submit 28 Nov, 2008) 3 2" xfId="12910" xr:uid="{00000000-0005-0000-0000-00002C2D0000}"/>
    <cellStyle name="T_NHUA TAN HOA 10-6_Du toan BONFIGLIOLI-071126_HUNG_BOQ - CAB (TVT submit 28 Nov, 2008) 4" xfId="12911" xr:uid="{00000000-0005-0000-0000-00002D2D0000}"/>
    <cellStyle name="T_NHUA TAN HOA 10-6_Du toan BONFIGLIOLI-071126_HUNG_BOQ - CAB (TVT submit 28 Nov, 2008)_Danh sach nha cung cap ( Vendor List ) - Cap nhat 15-04-2011" xfId="8428" xr:uid="{00000000-0005-0000-0000-00002E2D0000}"/>
    <cellStyle name="T_NHUA TAN HOA 10-6_Du toan BONFIGLIOLI-071126_HUNG_BOQ - CAB (TVT submit 28 Nov, 2008)_Danh sach nha cung cap ( Vendor List ) - Cap nhat 15-04-2011 2" xfId="8429" xr:uid="{00000000-0005-0000-0000-00002F2D0000}"/>
    <cellStyle name="T_NHUA TAN HOA 10-6_Du toan BONFIGLIOLI-071126_HUNG_BOQ - CAB (TVT submit 28 Nov, 2008)_Danh sach nha cung cap ( Vendor List ) - Cap nhat 15-04-2011 2 2" xfId="12912" xr:uid="{00000000-0005-0000-0000-0000302D0000}"/>
    <cellStyle name="T_NHUA TAN HOA 10-6_Du toan BONFIGLIOLI-071126_HUNG_BOQ - CAB (TVT submit 28 Nov, 2008)_Danh sach nha cung cap ( Vendor List ) - Cap nhat 15-04-2011 2 2 2" xfId="12913" xr:uid="{00000000-0005-0000-0000-0000312D0000}"/>
    <cellStyle name="T_NHUA TAN HOA 10-6_Du toan BONFIGLIOLI-071126_HUNG_BOQ - CAB (TVT submit 28 Nov, 2008)_Danh sach nha cung cap ( Vendor List ) - Cap nhat 15-04-2011 2 3" xfId="12914" xr:uid="{00000000-0005-0000-0000-0000322D0000}"/>
    <cellStyle name="T_NHUA TAN HOA 10-6_Du toan BONFIGLIOLI-071126_HUNG_BOQ - CAB (TVT submit 28 Nov, 2008)_Danh sach nha cung cap ( Vendor List ) - Cap nhat 15-04-2011 3" xfId="12915" xr:uid="{00000000-0005-0000-0000-0000332D0000}"/>
    <cellStyle name="T_NHUA TAN HOA 10-6_Du toan BONFIGLIOLI-071126_HUNG_BOQ - CAB (TVT submit 28 Nov, 2008)_Danh sach nha cung cap ( Vendor List ) - Cap nhat 15-04-2011 3 2" xfId="12916" xr:uid="{00000000-0005-0000-0000-0000342D0000}"/>
    <cellStyle name="T_NHUA TAN HOA 10-6_Du toan BONFIGLIOLI-071126_HUNG_BOQ - CAB (TVT submit 28 Nov, 2008)_Danh sach nha cung cap ( Vendor List ) - Cap nhat 15-04-2011 4" xfId="12917" xr:uid="{00000000-0005-0000-0000-0000352D0000}"/>
    <cellStyle name="T_NHUA TAN HOA 10-6_Du toan BONFIGLIOLI-071126_HUNG_Danh sach nha cung cap ( Vendor List ) - Cap nhat 15-04-2011" xfId="8430" xr:uid="{00000000-0005-0000-0000-0000362D0000}"/>
    <cellStyle name="T_NHUA TAN HOA 10-6_Du toan BONFIGLIOLI-071126_HUNG_Danh sach nha cung cap ( Vendor List ) - Cap nhat 15-04-2011 2" xfId="8431" xr:uid="{00000000-0005-0000-0000-0000372D0000}"/>
    <cellStyle name="T_NHUA TAN HOA 10-6_Du toan BONFIGLIOLI-071126_HUNG_Danh sach nha cung cap ( Vendor List ) - Cap nhat 15-04-2011 2 2" xfId="12918" xr:uid="{00000000-0005-0000-0000-0000382D0000}"/>
    <cellStyle name="T_NHUA TAN HOA 10-6_Du toan BONFIGLIOLI-071126_HUNG_Danh sach nha cung cap ( Vendor List ) - Cap nhat 15-04-2011 2 2 2" xfId="12919" xr:uid="{00000000-0005-0000-0000-0000392D0000}"/>
    <cellStyle name="T_NHUA TAN HOA 10-6_Du toan BONFIGLIOLI-071126_HUNG_Danh sach nha cung cap ( Vendor List ) - Cap nhat 15-04-2011 2 3" xfId="12920" xr:uid="{00000000-0005-0000-0000-00003A2D0000}"/>
    <cellStyle name="T_NHUA TAN HOA 10-6_Du toan BONFIGLIOLI-071126_HUNG_Danh sach nha cung cap ( Vendor List ) - Cap nhat 15-04-2011 3" xfId="12921" xr:uid="{00000000-0005-0000-0000-00003B2D0000}"/>
    <cellStyle name="T_NHUA TAN HOA 10-6_Du toan BONFIGLIOLI-071126_HUNG_Danh sach nha cung cap ( Vendor List ) - Cap nhat 15-04-2011 3 2" xfId="12922" xr:uid="{00000000-0005-0000-0000-00003C2D0000}"/>
    <cellStyle name="T_NHUA TAN HOA 10-6_Du toan BONFIGLIOLI-071126_HUNG_Danh sach nha cung cap ( Vendor List ) - Cap nhat 15-04-2011 4" xfId="12923" xr:uid="{00000000-0005-0000-0000-00003D2D0000}"/>
    <cellStyle name="T_NHUA TAN HOA 10-6_Du toan BONFIGLIOLI-071126_puma 16.1" xfId="8432" xr:uid="{00000000-0005-0000-0000-00003E2D0000}"/>
    <cellStyle name="T_NHUA TAN HOA 10-6_Du toan BONFIGLIOLI-071126_puma 16.1 2" xfId="8433" xr:uid="{00000000-0005-0000-0000-00003F2D0000}"/>
    <cellStyle name="T_NHUA TAN HOA 10-6_Du toan BONFIGLIOLI-071126_puma 16.1 2 2" xfId="12924" xr:uid="{00000000-0005-0000-0000-0000402D0000}"/>
    <cellStyle name="T_NHUA TAN HOA 10-6_Du toan BONFIGLIOLI-071126_puma 16.1 2 2 2" xfId="12925" xr:uid="{00000000-0005-0000-0000-0000412D0000}"/>
    <cellStyle name="T_NHUA TAN HOA 10-6_Du toan BONFIGLIOLI-071126_puma 16.1 2 3" xfId="12926" xr:uid="{00000000-0005-0000-0000-0000422D0000}"/>
    <cellStyle name="T_NHUA TAN HOA 10-6_Du toan BONFIGLIOLI-071126_puma 16.1 3" xfId="12927" xr:uid="{00000000-0005-0000-0000-0000432D0000}"/>
    <cellStyle name="T_NHUA TAN HOA 10-6_Du toan BONFIGLIOLI-071126_puma 16.1 3 2" xfId="12928" xr:uid="{00000000-0005-0000-0000-0000442D0000}"/>
    <cellStyle name="T_NHUA TAN HOA 10-6_Du toan BONFIGLIOLI-071126_puma 16.1 4" xfId="12929" xr:uid="{00000000-0005-0000-0000-0000452D0000}"/>
    <cellStyle name="T_NHUA TAN HOA 10-6_Du toan BONFIGLIOLI-071126_puma 16.1_05  080428- BOQ - Main construction (12 June, 2008)" xfId="8434" xr:uid="{00000000-0005-0000-0000-0000462D0000}"/>
    <cellStyle name="T_NHUA TAN HOA 10-6_Du toan BONFIGLIOLI-071126_puma 16.1_05  080428- BOQ - Main construction (12 June, 2008) 2" xfId="8435" xr:uid="{00000000-0005-0000-0000-0000472D0000}"/>
    <cellStyle name="T_NHUA TAN HOA 10-6_Du toan BONFIGLIOLI-071126_puma 16.1_05  080428- BOQ - Main construction (12 June, 2008) 2 2" xfId="12930" xr:uid="{00000000-0005-0000-0000-0000482D0000}"/>
    <cellStyle name="T_NHUA TAN HOA 10-6_Du toan BONFIGLIOLI-071126_puma 16.1_05  080428- BOQ - Main construction (12 June, 2008) 2 2 2" xfId="12931" xr:uid="{00000000-0005-0000-0000-0000492D0000}"/>
    <cellStyle name="T_NHUA TAN HOA 10-6_Du toan BONFIGLIOLI-071126_puma 16.1_05  080428- BOQ - Main construction (12 June, 2008) 2 3" xfId="12932" xr:uid="{00000000-0005-0000-0000-00004A2D0000}"/>
    <cellStyle name="T_NHUA TAN HOA 10-6_Du toan BONFIGLIOLI-071126_puma 16.1_05  080428- BOQ - Main construction (12 June, 2008) 3" xfId="12933" xr:uid="{00000000-0005-0000-0000-00004B2D0000}"/>
    <cellStyle name="T_NHUA TAN HOA 10-6_Du toan BONFIGLIOLI-071126_puma 16.1_05  080428- BOQ - Main construction (12 June, 2008) 3 2" xfId="12934" xr:uid="{00000000-0005-0000-0000-00004C2D0000}"/>
    <cellStyle name="T_NHUA TAN HOA 10-6_Du toan BONFIGLIOLI-071126_puma 16.1_05  080428- BOQ - Main construction (12 June, 2008) 4" xfId="12935" xr:uid="{00000000-0005-0000-0000-00004D2D0000}"/>
    <cellStyle name="T_NHUA TAN HOA 10-6_Du toan BONFIGLIOLI-071126_puma 16.1_05  080428- BOQ - Main construction (12 June, 2008)_Danh sach nha cung cap ( Vendor List ) - Cap nhat 15-04-2011" xfId="8436" xr:uid="{00000000-0005-0000-0000-00004E2D0000}"/>
    <cellStyle name="T_NHUA TAN HOA 10-6_Du toan BONFIGLIOLI-071126_puma 16.1_05  080428- BOQ - Main construction (12 June, 2008)_Danh sach nha cung cap ( Vendor List ) - Cap nhat 15-04-2011 2" xfId="8437" xr:uid="{00000000-0005-0000-0000-00004F2D0000}"/>
    <cellStyle name="T_NHUA TAN HOA 10-6_Du toan BONFIGLIOLI-071126_puma 16.1_05  080428- BOQ - Main construction (12 June, 2008)_Danh sach nha cung cap ( Vendor List ) - Cap nhat 15-04-2011 2 2" xfId="12936" xr:uid="{00000000-0005-0000-0000-0000502D0000}"/>
    <cellStyle name="T_NHUA TAN HOA 10-6_Du toan BONFIGLIOLI-071126_puma 16.1_05  080428- BOQ - Main construction (12 June, 2008)_Danh sach nha cung cap ( Vendor List ) - Cap nhat 15-04-2011 2 2 2" xfId="12937" xr:uid="{00000000-0005-0000-0000-0000512D0000}"/>
    <cellStyle name="T_NHUA TAN HOA 10-6_Du toan BONFIGLIOLI-071126_puma 16.1_05  080428- BOQ - Main construction (12 June, 2008)_Danh sach nha cung cap ( Vendor List ) - Cap nhat 15-04-2011 2 3" xfId="12938" xr:uid="{00000000-0005-0000-0000-0000522D0000}"/>
    <cellStyle name="T_NHUA TAN HOA 10-6_Du toan BONFIGLIOLI-071126_puma 16.1_05  080428- BOQ - Main construction (12 June, 2008)_Danh sach nha cung cap ( Vendor List ) - Cap nhat 15-04-2011 3" xfId="12939" xr:uid="{00000000-0005-0000-0000-0000532D0000}"/>
    <cellStyle name="T_NHUA TAN HOA 10-6_Du toan BONFIGLIOLI-071126_puma 16.1_05  080428- BOQ - Main construction (12 June, 2008)_Danh sach nha cung cap ( Vendor List ) - Cap nhat 15-04-2011 3 2" xfId="12940" xr:uid="{00000000-0005-0000-0000-0000542D0000}"/>
    <cellStyle name="T_NHUA TAN HOA 10-6_Du toan BONFIGLIOLI-071126_puma 16.1_05  080428- BOQ - Main construction (12 June, 2008)_Danh sach nha cung cap ( Vendor List ) - Cap nhat 15-04-2011 4" xfId="12941" xr:uid="{00000000-0005-0000-0000-0000552D0000}"/>
    <cellStyle name="T_NHUA TAN HOA 10-6_Du toan BONFIGLIOLI-071126_puma 16.1_BOQ - BUNGE (TVT submit 18 Nov, 2009)" xfId="8438" xr:uid="{00000000-0005-0000-0000-0000562D0000}"/>
    <cellStyle name="T_NHUA TAN HOA 10-6_Du toan BONFIGLIOLI-071126_puma 16.1_BOQ - BUNGE (TVT submit 18 Nov, 2009) 2" xfId="8439" xr:uid="{00000000-0005-0000-0000-0000572D0000}"/>
    <cellStyle name="T_NHUA TAN HOA 10-6_Du toan BONFIGLIOLI-071126_puma 16.1_BOQ - BUNGE (TVT submit 18 Nov, 2009) 2 2" xfId="12942" xr:uid="{00000000-0005-0000-0000-0000582D0000}"/>
    <cellStyle name="T_NHUA TAN HOA 10-6_Du toan BONFIGLIOLI-071126_puma 16.1_BOQ - BUNGE (TVT submit 18 Nov, 2009) 2 2 2" xfId="12943" xr:uid="{00000000-0005-0000-0000-0000592D0000}"/>
    <cellStyle name="T_NHUA TAN HOA 10-6_Du toan BONFIGLIOLI-071126_puma 16.1_BOQ - BUNGE (TVT submit 18 Nov, 2009) 2 3" xfId="12944" xr:uid="{00000000-0005-0000-0000-00005A2D0000}"/>
    <cellStyle name="T_NHUA TAN HOA 10-6_Du toan BONFIGLIOLI-071126_puma 16.1_BOQ - BUNGE (TVT submit 18 Nov, 2009) 3" xfId="12945" xr:uid="{00000000-0005-0000-0000-00005B2D0000}"/>
    <cellStyle name="T_NHUA TAN HOA 10-6_Du toan BONFIGLIOLI-071126_puma 16.1_BOQ - BUNGE (TVT submit 18 Nov, 2009) 3 2" xfId="12946" xr:uid="{00000000-0005-0000-0000-00005C2D0000}"/>
    <cellStyle name="T_NHUA TAN HOA 10-6_Du toan BONFIGLIOLI-071126_puma 16.1_BOQ - BUNGE (TVT submit 18 Nov, 2009) 4" xfId="12947" xr:uid="{00000000-0005-0000-0000-00005D2D0000}"/>
    <cellStyle name="T_NHUA TAN HOA 10-6_Du toan BONFIGLIOLI-071126_puma 16.1_BOQ - BUNGE (TVT submit 18 Nov, 2009)_Danh sach nha cung cap ( Vendor List ) - Cap nhat 15-04-2011" xfId="8440" xr:uid="{00000000-0005-0000-0000-00005E2D0000}"/>
    <cellStyle name="T_NHUA TAN HOA 10-6_Du toan BONFIGLIOLI-071126_puma 16.1_BOQ - BUNGE (TVT submit 18 Nov, 2009)_Danh sach nha cung cap ( Vendor List ) - Cap nhat 15-04-2011 2" xfId="8441" xr:uid="{00000000-0005-0000-0000-00005F2D0000}"/>
    <cellStyle name="T_NHUA TAN HOA 10-6_Du toan BONFIGLIOLI-071126_puma 16.1_BOQ - BUNGE (TVT submit 18 Nov, 2009)_Danh sach nha cung cap ( Vendor List ) - Cap nhat 15-04-2011 2 2" xfId="12948" xr:uid="{00000000-0005-0000-0000-0000602D0000}"/>
    <cellStyle name="T_NHUA TAN HOA 10-6_Du toan BONFIGLIOLI-071126_puma 16.1_BOQ - BUNGE (TVT submit 18 Nov, 2009)_Danh sach nha cung cap ( Vendor List ) - Cap nhat 15-04-2011 2 2 2" xfId="12949" xr:uid="{00000000-0005-0000-0000-0000612D0000}"/>
    <cellStyle name="T_NHUA TAN HOA 10-6_Du toan BONFIGLIOLI-071126_puma 16.1_BOQ - BUNGE (TVT submit 18 Nov, 2009)_Danh sach nha cung cap ( Vendor List ) - Cap nhat 15-04-2011 2 3" xfId="12950" xr:uid="{00000000-0005-0000-0000-0000622D0000}"/>
    <cellStyle name="T_NHUA TAN HOA 10-6_Du toan BONFIGLIOLI-071126_puma 16.1_BOQ - BUNGE (TVT submit 18 Nov, 2009)_Danh sach nha cung cap ( Vendor List ) - Cap nhat 15-04-2011 3" xfId="12951" xr:uid="{00000000-0005-0000-0000-0000632D0000}"/>
    <cellStyle name="T_NHUA TAN HOA 10-6_Du toan BONFIGLIOLI-071126_puma 16.1_BOQ - BUNGE (TVT submit 18 Nov, 2009)_Danh sach nha cung cap ( Vendor List ) - Cap nhat 15-04-2011 3 2" xfId="12952" xr:uid="{00000000-0005-0000-0000-0000642D0000}"/>
    <cellStyle name="T_NHUA TAN HOA 10-6_Du toan BONFIGLIOLI-071126_puma 16.1_BOQ - BUNGE (TVT submit 18 Nov, 2009)_Danh sach nha cung cap ( Vendor List ) - Cap nhat 15-04-2011 4" xfId="12953" xr:uid="{00000000-0005-0000-0000-0000652D0000}"/>
    <cellStyle name="T_NHUA TAN HOA 10-6_Du toan BONFIGLIOLI-071126_puma 16.1_BOQ - CAB (TVT submit 28 Nov, 2008)" xfId="8442" xr:uid="{00000000-0005-0000-0000-0000662D0000}"/>
    <cellStyle name="T_NHUA TAN HOA 10-6_Du toan BONFIGLIOLI-071126_puma 16.1_BOQ - CAB (TVT submit 28 Nov, 2008) 2" xfId="8443" xr:uid="{00000000-0005-0000-0000-0000672D0000}"/>
    <cellStyle name="T_NHUA TAN HOA 10-6_Du toan BONFIGLIOLI-071126_puma 16.1_BOQ - CAB (TVT submit 28 Nov, 2008) 2 2" xfId="12954" xr:uid="{00000000-0005-0000-0000-0000682D0000}"/>
    <cellStyle name="T_NHUA TAN HOA 10-6_Du toan BONFIGLIOLI-071126_puma 16.1_BOQ - CAB (TVT submit 28 Nov, 2008) 2 2 2" xfId="12955" xr:uid="{00000000-0005-0000-0000-0000692D0000}"/>
    <cellStyle name="T_NHUA TAN HOA 10-6_Du toan BONFIGLIOLI-071126_puma 16.1_BOQ - CAB (TVT submit 28 Nov, 2008) 2 3" xfId="12956" xr:uid="{00000000-0005-0000-0000-00006A2D0000}"/>
    <cellStyle name="T_NHUA TAN HOA 10-6_Du toan BONFIGLIOLI-071126_puma 16.1_BOQ - CAB (TVT submit 28 Nov, 2008) 3" xfId="12957" xr:uid="{00000000-0005-0000-0000-00006B2D0000}"/>
    <cellStyle name="T_NHUA TAN HOA 10-6_Du toan BONFIGLIOLI-071126_puma 16.1_BOQ - CAB (TVT submit 28 Nov, 2008) 3 2" xfId="12958" xr:uid="{00000000-0005-0000-0000-00006C2D0000}"/>
    <cellStyle name="T_NHUA TAN HOA 10-6_Du toan BONFIGLIOLI-071126_puma 16.1_BOQ - CAB (TVT submit 28 Nov, 2008) 4" xfId="12959" xr:uid="{00000000-0005-0000-0000-00006D2D0000}"/>
    <cellStyle name="T_NHUA TAN HOA 10-6_Du toan BONFIGLIOLI-071126_puma 16.1_BOQ - CAB (TVT submit 28 Nov, 2008)_Danh sach nha cung cap ( Vendor List ) - Cap nhat 15-04-2011" xfId="8444" xr:uid="{00000000-0005-0000-0000-00006E2D0000}"/>
    <cellStyle name="T_NHUA TAN HOA 10-6_Du toan BONFIGLIOLI-071126_puma 16.1_BOQ - CAB (TVT submit 28 Nov, 2008)_Danh sach nha cung cap ( Vendor List ) - Cap nhat 15-04-2011 2" xfId="8445" xr:uid="{00000000-0005-0000-0000-00006F2D0000}"/>
    <cellStyle name="T_NHUA TAN HOA 10-6_Du toan BONFIGLIOLI-071126_puma 16.1_BOQ - CAB (TVT submit 28 Nov, 2008)_Danh sach nha cung cap ( Vendor List ) - Cap nhat 15-04-2011 2 2" xfId="12960" xr:uid="{00000000-0005-0000-0000-0000702D0000}"/>
    <cellStyle name="T_NHUA TAN HOA 10-6_Du toan BONFIGLIOLI-071126_puma 16.1_BOQ - CAB (TVT submit 28 Nov, 2008)_Danh sach nha cung cap ( Vendor List ) - Cap nhat 15-04-2011 2 2 2" xfId="12961" xr:uid="{00000000-0005-0000-0000-0000712D0000}"/>
    <cellStyle name="T_NHUA TAN HOA 10-6_Du toan BONFIGLIOLI-071126_puma 16.1_BOQ - CAB (TVT submit 28 Nov, 2008)_Danh sach nha cung cap ( Vendor List ) - Cap nhat 15-04-2011 2 3" xfId="12962" xr:uid="{00000000-0005-0000-0000-0000722D0000}"/>
    <cellStyle name="T_NHUA TAN HOA 10-6_Du toan BONFIGLIOLI-071126_puma 16.1_BOQ - CAB (TVT submit 28 Nov, 2008)_Danh sach nha cung cap ( Vendor List ) - Cap nhat 15-04-2011 3" xfId="12963" xr:uid="{00000000-0005-0000-0000-0000732D0000}"/>
    <cellStyle name="T_NHUA TAN HOA 10-6_Du toan BONFIGLIOLI-071126_puma 16.1_BOQ - CAB (TVT submit 28 Nov, 2008)_Danh sach nha cung cap ( Vendor List ) - Cap nhat 15-04-2011 3 2" xfId="12964" xr:uid="{00000000-0005-0000-0000-0000742D0000}"/>
    <cellStyle name="T_NHUA TAN HOA 10-6_Du toan BONFIGLIOLI-071126_puma 16.1_BOQ - CAB (TVT submit 28 Nov, 2008)_Danh sach nha cung cap ( Vendor List ) - Cap nhat 15-04-2011 4" xfId="12965" xr:uid="{00000000-0005-0000-0000-0000752D0000}"/>
    <cellStyle name="T_NHUA TAN HOA 10-6_Du toan BONFIGLIOLI-071126_puma 16.1_Danh sach nha cung cap ( Vendor List ) - Cap nhat 15-04-2011" xfId="8446" xr:uid="{00000000-0005-0000-0000-0000762D0000}"/>
    <cellStyle name="T_NHUA TAN HOA 10-6_Du toan BONFIGLIOLI-071126_puma 16.1_Danh sach nha cung cap ( Vendor List ) - Cap nhat 15-04-2011 2" xfId="8447" xr:uid="{00000000-0005-0000-0000-0000772D0000}"/>
    <cellStyle name="T_NHUA TAN HOA 10-6_Du toan BONFIGLIOLI-071126_puma 16.1_Danh sach nha cung cap ( Vendor List ) - Cap nhat 15-04-2011 2 2" xfId="12966" xr:uid="{00000000-0005-0000-0000-0000782D0000}"/>
    <cellStyle name="T_NHUA TAN HOA 10-6_Du toan BONFIGLIOLI-071126_puma 16.1_Danh sach nha cung cap ( Vendor List ) - Cap nhat 15-04-2011 2 2 2" xfId="12967" xr:uid="{00000000-0005-0000-0000-0000792D0000}"/>
    <cellStyle name="T_NHUA TAN HOA 10-6_Du toan BONFIGLIOLI-071126_puma 16.1_Danh sach nha cung cap ( Vendor List ) - Cap nhat 15-04-2011 2 3" xfId="12968" xr:uid="{00000000-0005-0000-0000-00007A2D0000}"/>
    <cellStyle name="T_NHUA TAN HOA 10-6_Du toan BONFIGLIOLI-071126_puma 16.1_Danh sach nha cung cap ( Vendor List ) - Cap nhat 15-04-2011 3" xfId="12969" xr:uid="{00000000-0005-0000-0000-00007B2D0000}"/>
    <cellStyle name="T_NHUA TAN HOA 10-6_Du toan BONFIGLIOLI-071126_puma 16.1_Danh sach nha cung cap ( Vendor List ) - Cap nhat 15-04-2011 3 2" xfId="12970" xr:uid="{00000000-0005-0000-0000-00007C2D0000}"/>
    <cellStyle name="T_NHUA TAN HOA 10-6_Du toan BONFIGLIOLI-071126_puma 16.1_Danh sach nha cung cap ( Vendor List ) - Cap nhat 15-04-2011 4" xfId="12971" xr:uid="{00000000-0005-0000-0000-00007D2D0000}"/>
    <cellStyle name="T_NHUA TAN HOA 10-6_Du toan BONFIGLIOLI-071126_puma 17.1" xfId="8448" xr:uid="{00000000-0005-0000-0000-00007E2D0000}"/>
    <cellStyle name="T_NHUA TAN HOA 10-6_Du toan BONFIGLIOLI-071126_puma 17.1 2" xfId="8449" xr:uid="{00000000-0005-0000-0000-00007F2D0000}"/>
    <cellStyle name="T_NHUA TAN HOA 10-6_Du toan BONFIGLIOLI-071126_puma 17.1 2 2" xfId="12972" xr:uid="{00000000-0005-0000-0000-0000802D0000}"/>
    <cellStyle name="T_NHUA TAN HOA 10-6_Du toan BONFIGLIOLI-071126_puma 17.1 2 2 2" xfId="12973" xr:uid="{00000000-0005-0000-0000-0000812D0000}"/>
    <cellStyle name="T_NHUA TAN HOA 10-6_Du toan BONFIGLIOLI-071126_puma 17.1 2 3" xfId="12974" xr:uid="{00000000-0005-0000-0000-0000822D0000}"/>
    <cellStyle name="T_NHUA TAN HOA 10-6_Du toan BONFIGLIOLI-071126_puma 17.1 3" xfId="12975" xr:uid="{00000000-0005-0000-0000-0000832D0000}"/>
    <cellStyle name="T_NHUA TAN HOA 10-6_Du toan BONFIGLIOLI-071126_puma 17.1 3 2" xfId="12976" xr:uid="{00000000-0005-0000-0000-0000842D0000}"/>
    <cellStyle name="T_NHUA TAN HOA 10-6_Du toan BONFIGLIOLI-071126_puma 17.1 4" xfId="12977" xr:uid="{00000000-0005-0000-0000-0000852D0000}"/>
    <cellStyle name="T_NHUA TAN HOA 10-6_Du toan BONFIGLIOLI-071126_puma 17.1_Danh sach nha cung cap ( Vendor List ) - Cap nhat 15-04-2011" xfId="8450" xr:uid="{00000000-0005-0000-0000-0000862D0000}"/>
    <cellStyle name="T_NHUA TAN HOA 10-6_Du toan BONFIGLIOLI-071126_puma 17.1_Danh sach nha cung cap ( Vendor List ) - Cap nhat 15-04-2011 2" xfId="8451" xr:uid="{00000000-0005-0000-0000-0000872D0000}"/>
    <cellStyle name="T_NHUA TAN HOA 10-6_Du toan BONFIGLIOLI-071126_puma 17.1_Danh sach nha cung cap ( Vendor List ) - Cap nhat 15-04-2011 2 2" xfId="12978" xr:uid="{00000000-0005-0000-0000-0000882D0000}"/>
    <cellStyle name="T_NHUA TAN HOA 10-6_Du toan BONFIGLIOLI-071126_puma 17.1_Danh sach nha cung cap ( Vendor List ) - Cap nhat 15-04-2011 2 2 2" xfId="12979" xr:uid="{00000000-0005-0000-0000-0000892D0000}"/>
    <cellStyle name="T_NHUA TAN HOA 10-6_Du toan BONFIGLIOLI-071126_puma 17.1_Danh sach nha cung cap ( Vendor List ) - Cap nhat 15-04-2011 2 3" xfId="12980" xr:uid="{00000000-0005-0000-0000-00008A2D0000}"/>
    <cellStyle name="T_NHUA TAN HOA 10-6_Du toan BONFIGLIOLI-071126_puma 17.1_Danh sach nha cung cap ( Vendor List ) - Cap nhat 15-04-2011 3" xfId="12981" xr:uid="{00000000-0005-0000-0000-00008B2D0000}"/>
    <cellStyle name="T_NHUA TAN HOA 10-6_Du toan BONFIGLIOLI-071126_puma 17.1_Danh sach nha cung cap ( Vendor List ) - Cap nhat 15-04-2011 3 2" xfId="12982" xr:uid="{00000000-0005-0000-0000-00008C2D0000}"/>
    <cellStyle name="T_NHUA TAN HOA 10-6_Du toan BONFIGLIOLI-071126_puma 17.1_Danh sach nha cung cap ( Vendor List ) - Cap nhat 15-04-2011 4" xfId="12983" xr:uid="{00000000-0005-0000-0000-00008D2D0000}"/>
    <cellStyle name="T_NHUA TAN HOA 10-6_Du toan BONFIGLIOLI-071126-Tram" xfId="8452" xr:uid="{00000000-0005-0000-0000-00008E2D0000}"/>
    <cellStyle name="T_NHUA TAN HOA 10-6_Du toan BONFIGLIOLI-071126-Tram 2" xfId="8453" xr:uid="{00000000-0005-0000-0000-00008F2D0000}"/>
    <cellStyle name="T_NHUA TAN HOA 10-6_Du toan BONFIGLIOLI-071126-Tram 2 2" xfId="12984" xr:uid="{00000000-0005-0000-0000-0000902D0000}"/>
    <cellStyle name="T_NHUA TAN HOA 10-6_Du toan BONFIGLIOLI-071126-Tram 2 2 2" xfId="12985" xr:uid="{00000000-0005-0000-0000-0000912D0000}"/>
    <cellStyle name="T_NHUA TAN HOA 10-6_Du toan BONFIGLIOLI-071126-Tram 2 3" xfId="12986" xr:uid="{00000000-0005-0000-0000-0000922D0000}"/>
    <cellStyle name="T_NHUA TAN HOA 10-6_Du toan BONFIGLIOLI-071126-Tram 3" xfId="12987" xr:uid="{00000000-0005-0000-0000-0000932D0000}"/>
    <cellStyle name="T_NHUA TAN HOA 10-6_Du toan BONFIGLIOLI-071126-Tram 3 2" xfId="12988" xr:uid="{00000000-0005-0000-0000-0000942D0000}"/>
    <cellStyle name="T_NHUA TAN HOA 10-6_Du toan BONFIGLIOLI-071126-Tram 4" xfId="12989" xr:uid="{00000000-0005-0000-0000-0000952D0000}"/>
    <cellStyle name="T_NHUA TAN HOA 10-6_Du toan BONFIGLIOLI-071126-Tram_Danh sach nha cung cap ( Vendor List ) - Cap nhat 15-04-2011" xfId="8454" xr:uid="{00000000-0005-0000-0000-0000962D0000}"/>
    <cellStyle name="T_NHUA TAN HOA 10-6_Du toan BONFIGLIOLI-071126-Tram_Danh sach nha cung cap ( Vendor List ) - Cap nhat 15-04-2011 2" xfId="8455" xr:uid="{00000000-0005-0000-0000-0000972D0000}"/>
    <cellStyle name="T_NHUA TAN HOA 10-6_Du toan BONFIGLIOLI-071126-Tram_Danh sach nha cung cap ( Vendor List ) - Cap nhat 15-04-2011 2 2" xfId="12990" xr:uid="{00000000-0005-0000-0000-0000982D0000}"/>
    <cellStyle name="T_NHUA TAN HOA 10-6_Du toan BONFIGLIOLI-071126-Tram_Danh sach nha cung cap ( Vendor List ) - Cap nhat 15-04-2011 2 2 2" xfId="12991" xr:uid="{00000000-0005-0000-0000-0000992D0000}"/>
    <cellStyle name="T_NHUA TAN HOA 10-6_Du toan BONFIGLIOLI-071126-Tram_Danh sach nha cung cap ( Vendor List ) - Cap nhat 15-04-2011 2 3" xfId="12992" xr:uid="{00000000-0005-0000-0000-00009A2D0000}"/>
    <cellStyle name="T_NHUA TAN HOA 10-6_Du toan BONFIGLIOLI-071126-Tram_Danh sach nha cung cap ( Vendor List ) - Cap nhat 15-04-2011 3" xfId="12993" xr:uid="{00000000-0005-0000-0000-00009B2D0000}"/>
    <cellStyle name="T_NHUA TAN HOA 10-6_Du toan BONFIGLIOLI-071126-Tram_Danh sach nha cung cap ( Vendor List ) - Cap nhat 15-04-2011 3 2" xfId="12994" xr:uid="{00000000-0005-0000-0000-00009C2D0000}"/>
    <cellStyle name="T_NHUA TAN HOA 10-6_Du toan BONFIGLIOLI-071126-Tram_Danh sach nha cung cap ( Vendor List ) - Cap nhat 15-04-2011 4" xfId="12995" xr:uid="{00000000-0005-0000-0000-00009D2D0000}"/>
    <cellStyle name="T_NHUA TAN HOA 10-6_Du toan BONFIGLIOLI-071126-Tram_General Quotation 5-1-2008" xfId="8456" xr:uid="{00000000-0005-0000-0000-00009E2D0000}"/>
    <cellStyle name="T_NHUA TAN HOA 10-6_Du toan BONFIGLIOLI-071126-Tram_General Quotation 5-1-2008 2" xfId="8457" xr:uid="{00000000-0005-0000-0000-00009F2D0000}"/>
    <cellStyle name="T_NHUA TAN HOA 10-6_Du toan BONFIGLIOLI-071126-Tram_General Quotation 5-1-2008 2 2" xfId="12996" xr:uid="{00000000-0005-0000-0000-0000A02D0000}"/>
    <cellStyle name="T_NHUA TAN HOA 10-6_Du toan BONFIGLIOLI-071126-Tram_General Quotation 5-1-2008 2 2 2" xfId="12997" xr:uid="{00000000-0005-0000-0000-0000A12D0000}"/>
    <cellStyle name="T_NHUA TAN HOA 10-6_Du toan BONFIGLIOLI-071126-Tram_General Quotation 5-1-2008 2 3" xfId="12998" xr:uid="{00000000-0005-0000-0000-0000A22D0000}"/>
    <cellStyle name="T_NHUA TAN HOA 10-6_Du toan BONFIGLIOLI-071126-Tram_General Quotation 5-1-2008 3" xfId="12999" xr:uid="{00000000-0005-0000-0000-0000A32D0000}"/>
    <cellStyle name="T_NHUA TAN HOA 10-6_Du toan BONFIGLIOLI-071126-Tram_General Quotation 5-1-2008 3 2" xfId="13000" xr:uid="{00000000-0005-0000-0000-0000A42D0000}"/>
    <cellStyle name="T_NHUA TAN HOA 10-6_Du toan BONFIGLIOLI-071126-Tram_General Quotation 5-1-2008 4" xfId="13001" xr:uid="{00000000-0005-0000-0000-0000A52D0000}"/>
    <cellStyle name="T_NHUA TAN HOA 10-6_Du toan BONFIGLIOLI-071126-Tram_General Quotation 5-1-2008_Danh sach nha cung cap ( Vendor List ) - Cap nhat 15-04-2011" xfId="8458" xr:uid="{00000000-0005-0000-0000-0000A62D0000}"/>
    <cellStyle name="T_NHUA TAN HOA 10-6_Du toan BONFIGLIOLI-071126-Tram_General Quotation 5-1-2008_Danh sach nha cung cap ( Vendor List ) - Cap nhat 15-04-2011 2" xfId="8459" xr:uid="{00000000-0005-0000-0000-0000A72D0000}"/>
    <cellStyle name="T_NHUA TAN HOA 10-6_Du toan BONFIGLIOLI-071126-Tram_General Quotation 5-1-2008_Danh sach nha cung cap ( Vendor List ) - Cap nhat 15-04-2011 2 2" xfId="13002" xr:uid="{00000000-0005-0000-0000-0000A82D0000}"/>
    <cellStyle name="T_NHUA TAN HOA 10-6_Du toan BONFIGLIOLI-071126-Tram_General Quotation 5-1-2008_Danh sach nha cung cap ( Vendor List ) - Cap nhat 15-04-2011 2 2 2" xfId="13003" xr:uid="{00000000-0005-0000-0000-0000A92D0000}"/>
    <cellStyle name="T_NHUA TAN HOA 10-6_Du toan BONFIGLIOLI-071126-Tram_General Quotation 5-1-2008_Danh sach nha cung cap ( Vendor List ) - Cap nhat 15-04-2011 2 3" xfId="13004" xr:uid="{00000000-0005-0000-0000-0000AA2D0000}"/>
    <cellStyle name="T_NHUA TAN HOA 10-6_Du toan BONFIGLIOLI-071126-Tram_General Quotation 5-1-2008_Danh sach nha cung cap ( Vendor List ) - Cap nhat 15-04-2011 3" xfId="13005" xr:uid="{00000000-0005-0000-0000-0000AB2D0000}"/>
    <cellStyle name="T_NHUA TAN HOA 10-6_Du toan BONFIGLIOLI-071126-Tram_General Quotation 5-1-2008_Danh sach nha cung cap ( Vendor List ) - Cap nhat 15-04-2011 3 2" xfId="13006" xr:uid="{00000000-0005-0000-0000-0000AC2D0000}"/>
    <cellStyle name="T_NHUA TAN HOA 10-6_Du toan BONFIGLIOLI-071126-Tram_General Quotation 5-1-2008_Danh sach nha cung cap ( Vendor List ) - Cap nhat 15-04-2011 4" xfId="13007" xr:uid="{00000000-0005-0000-0000-0000AD2D0000}"/>
    <cellStyle name="T_NHUA TAN HOA 10-6_Du toan mau 11-2007" xfId="8460" xr:uid="{00000000-0005-0000-0000-0000AE2D0000}"/>
    <cellStyle name="T_NHUA TAN HOA 10-6_Du toan mau 11-2007 2" xfId="8461" xr:uid="{00000000-0005-0000-0000-0000AF2D0000}"/>
    <cellStyle name="T_NHUA TAN HOA 10-6_Du toan mau 11-2007 2 2" xfId="13008" xr:uid="{00000000-0005-0000-0000-0000B02D0000}"/>
    <cellStyle name="T_NHUA TAN HOA 10-6_Du toan mau 11-2007 2 2 2" xfId="13009" xr:uid="{00000000-0005-0000-0000-0000B12D0000}"/>
    <cellStyle name="T_NHUA TAN HOA 10-6_Du toan mau 11-2007 2 3" xfId="13010" xr:uid="{00000000-0005-0000-0000-0000B22D0000}"/>
    <cellStyle name="T_NHUA TAN HOA 10-6_Du toan mau 11-2007 3" xfId="13011" xr:uid="{00000000-0005-0000-0000-0000B32D0000}"/>
    <cellStyle name="T_NHUA TAN HOA 10-6_Du toan mau 11-2007 3 2" xfId="13012" xr:uid="{00000000-0005-0000-0000-0000B42D0000}"/>
    <cellStyle name="T_NHUA TAN HOA 10-6_Du toan mau 11-2007 4" xfId="13013" xr:uid="{00000000-0005-0000-0000-0000B52D0000}"/>
    <cellStyle name="T_NHUA TAN HOA 10-6_Du toan mau 11-2007_Danh sach nha cung cap ( Vendor List ) - Cap nhat 15-04-2011" xfId="8462" xr:uid="{00000000-0005-0000-0000-0000B62D0000}"/>
    <cellStyle name="T_NHUA TAN HOA 10-6_Du toan mau 11-2007_Danh sach nha cung cap ( Vendor List ) - Cap nhat 15-04-2011 2" xfId="8463" xr:uid="{00000000-0005-0000-0000-0000B72D0000}"/>
    <cellStyle name="T_NHUA TAN HOA 10-6_Du toan mau 11-2007_Danh sach nha cung cap ( Vendor List ) - Cap nhat 15-04-2011 2 2" xfId="13014" xr:uid="{00000000-0005-0000-0000-0000B82D0000}"/>
    <cellStyle name="T_NHUA TAN HOA 10-6_Du toan mau 11-2007_Danh sach nha cung cap ( Vendor List ) - Cap nhat 15-04-2011 2 2 2" xfId="13015" xr:uid="{00000000-0005-0000-0000-0000B92D0000}"/>
    <cellStyle name="T_NHUA TAN HOA 10-6_Du toan mau 11-2007_Danh sach nha cung cap ( Vendor List ) - Cap nhat 15-04-2011 2 3" xfId="13016" xr:uid="{00000000-0005-0000-0000-0000BA2D0000}"/>
    <cellStyle name="T_NHUA TAN HOA 10-6_Du toan mau 11-2007_Danh sach nha cung cap ( Vendor List ) - Cap nhat 15-04-2011 3" xfId="13017" xr:uid="{00000000-0005-0000-0000-0000BB2D0000}"/>
    <cellStyle name="T_NHUA TAN HOA 10-6_Du toan mau 11-2007_Danh sach nha cung cap ( Vendor List ) - Cap nhat 15-04-2011 3 2" xfId="13018" xr:uid="{00000000-0005-0000-0000-0000BC2D0000}"/>
    <cellStyle name="T_NHUA TAN HOA 10-6_Du toan mau 11-2007_Danh sach nha cung cap ( Vendor List ) - Cap nhat 15-04-2011 4" xfId="13019" xr:uid="{00000000-0005-0000-0000-0000BD2D0000}"/>
    <cellStyle name="T_NHUA TAN HOA 10-6_Du toan mau 11-2007_General Quotation 5-1-2008" xfId="8464" xr:uid="{00000000-0005-0000-0000-0000BE2D0000}"/>
    <cellStyle name="T_NHUA TAN HOA 10-6_Du toan mau 11-2007_General Quotation 5-1-2008 2" xfId="8465" xr:uid="{00000000-0005-0000-0000-0000BF2D0000}"/>
    <cellStyle name="T_NHUA TAN HOA 10-6_Du toan mau 11-2007_General Quotation 5-1-2008 2 2" xfId="13020" xr:uid="{00000000-0005-0000-0000-0000C02D0000}"/>
    <cellStyle name="T_NHUA TAN HOA 10-6_Du toan mau 11-2007_General Quotation 5-1-2008 2 2 2" xfId="13021" xr:uid="{00000000-0005-0000-0000-0000C12D0000}"/>
    <cellStyle name="T_NHUA TAN HOA 10-6_Du toan mau 11-2007_General Quotation 5-1-2008 2 3" xfId="13022" xr:uid="{00000000-0005-0000-0000-0000C22D0000}"/>
    <cellStyle name="T_NHUA TAN HOA 10-6_Du toan mau 11-2007_General Quotation 5-1-2008 3" xfId="13023" xr:uid="{00000000-0005-0000-0000-0000C32D0000}"/>
    <cellStyle name="T_NHUA TAN HOA 10-6_Du toan mau 11-2007_General Quotation 5-1-2008 3 2" xfId="13024" xr:uid="{00000000-0005-0000-0000-0000C42D0000}"/>
    <cellStyle name="T_NHUA TAN HOA 10-6_Du toan mau 11-2007_General Quotation 5-1-2008 4" xfId="13025" xr:uid="{00000000-0005-0000-0000-0000C52D0000}"/>
    <cellStyle name="T_NHUA TAN HOA 10-6_Du toan mau 11-2007_General Quotation 5-1-2008_Danh sach nha cung cap ( Vendor List ) - Cap nhat 15-04-2011" xfId="8466" xr:uid="{00000000-0005-0000-0000-0000C62D0000}"/>
    <cellStyle name="T_NHUA TAN HOA 10-6_Du toan mau 11-2007_General Quotation 5-1-2008_Danh sach nha cung cap ( Vendor List ) - Cap nhat 15-04-2011 2" xfId="8467" xr:uid="{00000000-0005-0000-0000-0000C72D0000}"/>
    <cellStyle name="T_NHUA TAN HOA 10-6_Du toan mau 11-2007_General Quotation 5-1-2008_Danh sach nha cung cap ( Vendor List ) - Cap nhat 15-04-2011 2 2" xfId="13026" xr:uid="{00000000-0005-0000-0000-0000C82D0000}"/>
    <cellStyle name="T_NHUA TAN HOA 10-6_Du toan mau 11-2007_General Quotation 5-1-2008_Danh sach nha cung cap ( Vendor List ) - Cap nhat 15-04-2011 2 2 2" xfId="13027" xr:uid="{00000000-0005-0000-0000-0000C92D0000}"/>
    <cellStyle name="T_NHUA TAN HOA 10-6_Du toan mau 11-2007_General Quotation 5-1-2008_Danh sach nha cung cap ( Vendor List ) - Cap nhat 15-04-2011 2 3" xfId="13028" xr:uid="{00000000-0005-0000-0000-0000CA2D0000}"/>
    <cellStyle name="T_NHUA TAN HOA 10-6_Du toan mau 11-2007_General Quotation 5-1-2008_Danh sach nha cung cap ( Vendor List ) - Cap nhat 15-04-2011 3" xfId="13029" xr:uid="{00000000-0005-0000-0000-0000CB2D0000}"/>
    <cellStyle name="T_NHUA TAN HOA 10-6_Du toan mau 11-2007_General Quotation 5-1-2008_Danh sach nha cung cap ( Vendor List ) - Cap nhat 15-04-2011 3 2" xfId="13030" xr:uid="{00000000-0005-0000-0000-0000CC2D0000}"/>
    <cellStyle name="T_NHUA TAN HOA 10-6_Du toan mau 11-2007_General Quotation 5-1-2008_Danh sach nha cung cap ( Vendor List ) - Cap nhat 15-04-2011 4" xfId="13031" xr:uid="{00000000-0005-0000-0000-0000CD2D0000}"/>
    <cellStyle name="T_NHUA TAN HOA 10-6_Du toan mau 11-2007_HUNG" xfId="8468" xr:uid="{00000000-0005-0000-0000-0000CE2D0000}"/>
    <cellStyle name="T_NHUA TAN HOA 10-6_Du toan mau 11-2007_HUNG 2" xfId="8469" xr:uid="{00000000-0005-0000-0000-0000CF2D0000}"/>
    <cellStyle name="T_NHUA TAN HOA 10-6_Du toan mau 11-2007_HUNG 2 2" xfId="13032" xr:uid="{00000000-0005-0000-0000-0000D02D0000}"/>
    <cellStyle name="T_NHUA TAN HOA 10-6_Du toan mau 11-2007_HUNG 2 2 2" xfId="13033" xr:uid="{00000000-0005-0000-0000-0000D12D0000}"/>
    <cellStyle name="T_NHUA TAN HOA 10-6_Du toan mau 11-2007_HUNG 2 3" xfId="13034" xr:uid="{00000000-0005-0000-0000-0000D22D0000}"/>
    <cellStyle name="T_NHUA TAN HOA 10-6_Du toan mau 11-2007_HUNG 3" xfId="13035" xr:uid="{00000000-0005-0000-0000-0000D32D0000}"/>
    <cellStyle name="T_NHUA TAN HOA 10-6_Du toan mau 11-2007_HUNG 3 2" xfId="13036" xr:uid="{00000000-0005-0000-0000-0000D42D0000}"/>
    <cellStyle name="T_NHUA TAN HOA 10-6_Du toan mau 11-2007_HUNG 4" xfId="13037" xr:uid="{00000000-0005-0000-0000-0000D52D0000}"/>
    <cellStyle name="T_NHUA TAN HOA 10-6_Du toan mau 11-2007_HUNG_05  080428- BOQ - Main construction (12 June, 2008)" xfId="8470" xr:uid="{00000000-0005-0000-0000-0000D62D0000}"/>
    <cellStyle name="T_NHUA TAN HOA 10-6_Du toan mau 11-2007_HUNG_05  080428- BOQ - Main construction (12 June, 2008) 2" xfId="8471" xr:uid="{00000000-0005-0000-0000-0000D72D0000}"/>
    <cellStyle name="T_NHUA TAN HOA 10-6_Du toan mau 11-2007_HUNG_05  080428- BOQ - Main construction (12 June, 2008) 2 2" xfId="13038" xr:uid="{00000000-0005-0000-0000-0000D82D0000}"/>
    <cellStyle name="T_NHUA TAN HOA 10-6_Du toan mau 11-2007_HUNG_05  080428- BOQ - Main construction (12 June, 2008) 2 2 2" xfId="13039" xr:uid="{00000000-0005-0000-0000-0000D92D0000}"/>
    <cellStyle name="T_NHUA TAN HOA 10-6_Du toan mau 11-2007_HUNG_05  080428- BOQ - Main construction (12 June, 2008) 2 3" xfId="13040" xr:uid="{00000000-0005-0000-0000-0000DA2D0000}"/>
    <cellStyle name="T_NHUA TAN HOA 10-6_Du toan mau 11-2007_HUNG_05  080428- BOQ - Main construction (12 June, 2008) 3" xfId="13041" xr:uid="{00000000-0005-0000-0000-0000DB2D0000}"/>
    <cellStyle name="T_NHUA TAN HOA 10-6_Du toan mau 11-2007_HUNG_05  080428- BOQ - Main construction (12 June, 2008) 3 2" xfId="13042" xr:uid="{00000000-0005-0000-0000-0000DC2D0000}"/>
    <cellStyle name="T_NHUA TAN HOA 10-6_Du toan mau 11-2007_HUNG_05  080428- BOQ - Main construction (12 June, 2008) 4" xfId="13043" xr:uid="{00000000-0005-0000-0000-0000DD2D0000}"/>
    <cellStyle name="T_NHUA TAN HOA 10-6_Du toan mau 11-2007_HUNG_05  080428- BOQ - Main construction (12 June, 2008)_Danh sach nha cung cap ( Vendor List ) - Cap nhat 15-04-2011" xfId="8472" xr:uid="{00000000-0005-0000-0000-0000DE2D0000}"/>
    <cellStyle name="T_NHUA TAN HOA 10-6_Du toan mau 11-2007_HUNG_05  080428- BOQ - Main construction (12 June, 2008)_Danh sach nha cung cap ( Vendor List ) - Cap nhat 15-04-2011 2" xfId="8473" xr:uid="{00000000-0005-0000-0000-0000DF2D0000}"/>
    <cellStyle name="T_NHUA TAN HOA 10-6_Du toan mau 11-2007_HUNG_05  080428- BOQ - Main construction (12 June, 2008)_Danh sach nha cung cap ( Vendor List ) - Cap nhat 15-04-2011 2 2" xfId="13044" xr:uid="{00000000-0005-0000-0000-0000E02D0000}"/>
    <cellStyle name="T_NHUA TAN HOA 10-6_Du toan mau 11-2007_HUNG_05  080428- BOQ - Main construction (12 June, 2008)_Danh sach nha cung cap ( Vendor List ) - Cap nhat 15-04-2011 2 2 2" xfId="13045" xr:uid="{00000000-0005-0000-0000-0000E12D0000}"/>
    <cellStyle name="T_NHUA TAN HOA 10-6_Du toan mau 11-2007_HUNG_05  080428- BOQ - Main construction (12 June, 2008)_Danh sach nha cung cap ( Vendor List ) - Cap nhat 15-04-2011 2 3" xfId="13046" xr:uid="{00000000-0005-0000-0000-0000E22D0000}"/>
    <cellStyle name="T_NHUA TAN HOA 10-6_Du toan mau 11-2007_HUNG_05  080428- BOQ - Main construction (12 June, 2008)_Danh sach nha cung cap ( Vendor List ) - Cap nhat 15-04-2011 3" xfId="13047" xr:uid="{00000000-0005-0000-0000-0000E32D0000}"/>
    <cellStyle name="T_NHUA TAN HOA 10-6_Du toan mau 11-2007_HUNG_05  080428- BOQ - Main construction (12 June, 2008)_Danh sach nha cung cap ( Vendor List ) - Cap nhat 15-04-2011 3 2" xfId="13048" xr:uid="{00000000-0005-0000-0000-0000E42D0000}"/>
    <cellStyle name="T_NHUA TAN HOA 10-6_Du toan mau 11-2007_HUNG_05  080428- BOQ - Main construction (12 June, 2008)_Danh sach nha cung cap ( Vendor List ) - Cap nhat 15-04-2011 4" xfId="13049" xr:uid="{00000000-0005-0000-0000-0000E52D0000}"/>
    <cellStyle name="T_NHUA TAN HOA 10-6_Du toan mau 11-2007_HUNG_BOQ - BUNGE (TVT submit 18 Nov, 2009)" xfId="8474" xr:uid="{00000000-0005-0000-0000-0000E62D0000}"/>
    <cellStyle name="T_NHUA TAN HOA 10-6_Du toan mau 11-2007_HUNG_BOQ - BUNGE (TVT submit 18 Nov, 2009) 2" xfId="8475" xr:uid="{00000000-0005-0000-0000-0000E72D0000}"/>
    <cellStyle name="T_NHUA TAN HOA 10-6_Du toan mau 11-2007_HUNG_BOQ - BUNGE (TVT submit 18 Nov, 2009) 2 2" xfId="13050" xr:uid="{00000000-0005-0000-0000-0000E82D0000}"/>
    <cellStyle name="T_NHUA TAN HOA 10-6_Du toan mau 11-2007_HUNG_BOQ - BUNGE (TVT submit 18 Nov, 2009) 2 2 2" xfId="13051" xr:uid="{00000000-0005-0000-0000-0000E92D0000}"/>
    <cellStyle name="T_NHUA TAN HOA 10-6_Du toan mau 11-2007_HUNG_BOQ - BUNGE (TVT submit 18 Nov, 2009) 2 3" xfId="13052" xr:uid="{00000000-0005-0000-0000-0000EA2D0000}"/>
    <cellStyle name="T_NHUA TAN HOA 10-6_Du toan mau 11-2007_HUNG_BOQ - BUNGE (TVT submit 18 Nov, 2009) 3" xfId="13053" xr:uid="{00000000-0005-0000-0000-0000EB2D0000}"/>
    <cellStyle name="T_NHUA TAN HOA 10-6_Du toan mau 11-2007_HUNG_BOQ - BUNGE (TVT submit 18 Nov, 2009) 3 2" xfId="13054" xr:uid="{00000000-0005-0000-0000-0000EC2D0000}"/>
    <cellStyle name="T_NHUA TAN HOA 10-6_Du toan mau 11-2007_HUNG_BOQ - BUNGE (TVT submit 18 Nov, 2009) 4" xfId="13055" xr:uid="{00000000-0005-0000-0000-0000ED2D0000}"/>
    <cellStyle name="T_NHUA TAN HOA 10-6_Du toan mau 11-2007_HUNG_BOQ - BUNGE (TVT submit 18 Nov, 2009)_Danh sach nha cung cap ( Vendor List ) - Cap nhat 15-04-2011" xfId="8476" xr:uid="{00000000-0005-0000-0000-0000EE2D0000}"/>
    <cellStyle name="T_NHUA TAN HOA 10-6_Du toan mau 11-2007_HUNG_BOQ - BUNGE (TVT submit 18 Nov, 2009)_Danh sach nha cung cap ( Vendor List ) - Cap nhat 15-04-2011 2" xfId="8477" xr:uid="{00000000-0005-0000-0000-0000EF2D0000}"/>
    <cellStyle name="T_NHUA TAN HOA 10-6_Du toan mau 11-2007_HUNG_BOQ - BUNGE (TVT submit 18 Nov, 2009)_Danh sach nha cung cap ( Vendor List ) - Cap nhat 15-04-2011 2 2" xfId="13056" xr:uid="{00000000-0005-0000-0000-0000F02D0000}"/>
    <cellStyle name="T_NHUA TAN HOA 10-6_Du toan mau 11-2007_HUNG_BOQ - BUNGE (TVT submit 18 Nov, 2009)_Danh sach nha cung cap ( Vendor List ) - Cap nhat 15-04-2011 2 2 2" xfId="13057" xr:uid="{00000000-0005-0000-0000-0000F12D0000}"/>
    <cellStyle name="T_NHUA TAN HOA 10-6_Du toan mau 11-2007_HUNG_BOQ - BUNGE (TVT submit 18 Nov, 2009)_Danh sach nha cung cap ( Vendor List ) - Cap nhat 15-04-2011 2 3" xfId="13058" xr:uid="{00000000-0005-0000-0000-0000F22D0000}"/>
    <cellStyle name="T_NHUA TAN HOA 10-6_Du toan mau 11-2007_HUNG_BOQ - BUNGE (TVT submit 18 Nov, 2009)_Danh sach nha cung cap ( Vendor List ) - Cap nhat 15-04-2011 3" xfId="13059" xr:uid="{00000000-0005-0000-0000-0000F32D0000}"/>
    <cellStyle name="T_NHUA TAN HOA 10-6_Du toan mau 11-2007_HUNG_BOQ - BUNGE (TVT submit 18 Nov, 2009)_Danh sach nha cung cap ( Vendor List ) - Cap nhat 15-04-2011 3 2" xfId="13060" xr:uid="{00000000-0005-0000-0000-0000F42D0000}"/>
    <cellStyle name="T_NHUA TAN HOA 10-6_Du toan mau 11-2007_HUNG_BOQ - BUNGE (TVT submit 18 Nov, 2009)_Danh sach nha cung cap ( Vendor List ) - Cap nhat 15-04-2011 4" xfId="13061" xr:uid="{00000000-0005-0000-0000-0000F52D0000}"/>
    <cellStyle name="T_NHUA TAN HOA 10-6_Du toan mau 11-2007_HUNG_BOQ - CAB (TVT submit 28 Nov, 2008)" xfId="8478" xr:uid="{00000000-0005-0000-0000-0000F62D0000}"/>
    <cellStyle name="T_NHUA TAN HOA 10-6_Du toan mau 11-2007_HUNG_BOQ - CAB (TVT submit 28 Nov, 2008) 2" xfId="8479" xr:uid="{00000000-0005-0000-0000-0000F72D0000}"/>
    <cellStyle name="T_NHUA TAN HOA 10-6_Du toan mau 11-2007_HUNG_BOQ - CAB (TVT submit 28 Nov, 2008) 2 2" xfId="13062" xr:uid="{00000000-0005-0000-0000-0000F82D0000}"/>
    <cellStyle name="T_NHUA TAN HOA 10-6_Du toan mau 11-2007_HUNG_BOQ - CAB (TVT submit 28 Nov, 2008) 2 2 2" xfId="13063" xr:uid="{00000000-0005-0000-0000-0000F92D0000}"/>
    <cellStyle name="T_NHUA TAN HOA 10-6_Du toan mau 11-2007_HUNG_BOQ - CAB (TVT submit 28 Nov, 2008) 2 3" xfId="13064" xr:uid="{00000000-0005-0000-0000-0000FA2D0000}"/>
    <cellStyle name="T_NHUA TAN HOA 10-6_Du toan mau 11-2007_HUNG_BOQ - CAB (TVT submit 28 Nov, 2008) 3" xfId="13065" xr:uid="{00000000-0005-0000-0000-0000FB2D0000}"/>
    <cellStyle name="T_NHUA TAN HOA 10-6_Du toan mau 11-2007_HUNG_BOQ - CAB (TVT submit 28 Nov, 2008) 3 2" xfId="13066" xr:uid="{00000000-0005-0000-0000-0000FC2D0000}"/>
    <cellStyle name="T_NHUA TAN HOA 10-6_Du toan mau 11-2007_HUNG_BOQ - CAB (TVT submit 28 Nov, 2008) 4" xfId="13067" xr:uid="{00000000-0005-0000-0000-0000FD2D0000}"/>
    <cellStyle name="T_NHUA TAN HOA 10-6_Du toan mau 11-2007_HUNG_BOQ - CAB (TVT submit 28 Nov, 2008)_Danh sach nha cung cap ( Vendor List ) - Cap nhat 15-04-2011" xfId="8480" xr:uid="{00000000-0005-0000-0000-0000FE2D0000}"/>
    <cellStyle name="T_NHUA TAN HOA 10-6_Du toan mau 11-2007_HUNG_BOQ - CAB (TVT submit 28 Nov, 2008)_Danh sach nha cung cap ( Vendor List ) - Cap nhat 15-04-2011 2" xfId="8481" xr:uid="{00000000-0005-0000-0000-0000FF2D0000}"/>
    <cellStyle name="T_NHUA TAN HOA 10-6_Du toan mau 11-2007_HUNG_BOQ - CAB (TVT submit 28 Nov, 2008)_Danh sach nha cung cap ( Vendor List ) - Cap nhat 15-04-2011 2 2" xfId="13068" xr:uid="{00000000-0005-0000-0000-0000002E0000}"/>
    <cellStyle name="T_NHUA TAN HOA 10-6_Du toan mau 11-2007_HUNG_BOQ - CAB (TVT submit 28 Nov, 2008)_Danh sach nha cung cap ( Vendor List ) - Cap nhat 15-04-2011 2 2 2" xfId="13069" xr:uid="{00000000-0005-0000-0000-0000012E0000}"/>
    <cellStyle name="T_NHUA TAN HOA 10-6_Du toan mau 11-2007_HUNG_BOQ - CAB (TVT submit 28 Nov, 2008)_Danh sach nha cung cap ( Vendor List ) - Cap nhat 15-04-2011 2 3" xfId="13070" xr:uid="{00000000-0005-0000-0000-0000022E0000}"/>
    <cellStyle name="T_NHUA TAN HOA 10-6_Du toan mau 11-2007_HUNG_BOQ - CAB (TVT submit 28 Nov, 2008)_Danh sach nha cung cap ( Vendor List ) - Cap nhat 15-04-2011 3" xfId="13071" xr:uid="{00000000-0005-0000-0000-0000032E0000}"/>
    <cellStyle name="T_NHUA TAN HOA 10-6_Du toan mau 11-2007_HUNG_BOQ - CAB (TVT submit 28 Nov, 2008)_Danh sach nha cung cap ( Vendor List ) - Cap nhat 15-04-2011 3 2" xfId="13072" xr:uid="{00000000-0005-0000-0000-0000042E0000}"/>
    <cellStyle name="T_NHUA TAN HOA 10-6_Du toan mau 11-2007_HUNG_BOQ - CAB (TVT submit 28 Nov, 2008)_Danh sach nha cung cap ( Vendor List ) - Cap nhat 15-04-2011 4" xfId="13073" xr:uid="{00000000-0005-0000-0000-0000052E0000}"/>
    <cellStyle name="T_NHUA TAN HOA 10-6_Du toan mau 11-2007_HUNG_Danh sach nha cung cap ( Vendor List ) - Cap nhat 15-04-2011" xfId="8482" xr:uid="{00000000-0005-0000-0000-0000062E0000}"/>
    <cellStyle name="T_NHUA TAN HOA 10-6_Du toan mau 11-2007_HUNG_Danh sach nha cung cap ( Vendor List ) - Cap nhat 15-04-2011 2" xfId="8483" xr:uid="{00000000-0005-0000-0000-0000072E0000}"/>
    <cellStyle name="T_NHUA TAN HOA 10-6_Du toan mau 11-2007_HUNG_Danh sach nha cung cap ( Vendor List ) - Cap nhat 15-04-2011 2 2" xfId="13074" xr:uid="{00000000-0005-0000-0000-0000082E0000}"/>
    <cellStyle name="T_NHUA TAN HOA 10-6_Du toan mau 11-2007_HUNG_Danh sach nha cung cap ( Vendor List ) - Cap nhat 15-04-2011 2 2 2" xfId="13075" xr:uid="{00000000-0005-0000-0000-0000092E0000}"/>
    <cellStyle name="T_NHUA TAN HOA 10-6_Du toan mau 11-2007_HUNG_Danh sach nha cung cap ( Vendor List ) - Cap nhat 15-04-2011 2 3" xfId="13076" xr:uid="{00000000-0005-0000-0000-00000A2E0000}"/>
    <cellStyle name="T_NHUA TAN HOA 10-6_Du toan mau 11-2007_HUNG_Danh sach nha cung cap ( Vendor List ) - Cap nhat 15-04-2011 3" xfId="13077" xr:uid="{00000000-0005-0000-0000-00000B2E0000}"/>
    <cellStyle name="T_NHUA TAN HOA 10-6_Du toan mau 11-2007_HUNG_Danh sach nha cung cap ( Vendor List ) - Cap nhat 15-04-2011 3 2" xfId="13078" xr:uid="{00000000-0005-0000-0000-00000C2E0000}"/>
    <cellStyle name="T_NHUA TAN HOA 10-6_Du toan mau 11-2007_HUNG_Danh sach nha cung cap ( Vendor List ) - Cap nhat 15-04-2011 4" xfId="13079" xr:uid="{00000000-0005-0000-0000-00000D2E0000}"/>
    <cellStyle name="T_NHUA TAN HOA 10-6_Du toan mau 11-2007_puma 16.1" xfId="8484" xr:uid="{00000000-0005-0000-0000-00000E2E0000}"/>
    <cellStyle name="T_NHUA TAN HOA 10-6_Du toan mau 11-2007_puma 16.1 2" xfId="8485" xr:uid="{00000000-0005-0000-0000-00000F2E0000}"/>
    <cellStyle name="T_NHUA TAN HOA 10-6_Du toan mau 11-2007_puma 16.1 2 2" xfId="13080" xr:uid="{00000000-0005-0000-0000-0000102E0000}"/>
    <cellStyle name="T_NHUA TAN HOA 10-6_Du toan mau 11-2007_puma 16.1 2 2 2" xfId="13081" xr:uid="{00000000-0005-0000-0000-0000112E0000}"/>
    <cellStyle name="T_NHUA TAN HOA 10-6_Du toan mau 11-2007_puma 16.1 2 3" xfId="13082" xr:uid="{00000000-0005-0000-0000-0000122E0000}"/>
    <cellStyle name="T_NHUA TAN HOA 10-6_Du toan mau 11-2007_puma 16.1 3" xfId="13083" xr:uid="{00000000-0005-0000-0000-0000132E0000}"/>
    <cellStyle name="T_NHUA TAN HOA 10-6_Du toan mau 11-2007_puma 16.1 3 2" xfId="13084" xr:uid="{00000000-0005-0000-0000-0000142E0000}"/>
    <cellStyle name="T_NHUA TAN HOA 10-6_Du toan mau 11-2007_puma 16.1 4" xfId="13085" xr:uid="{00000000-0005-0000-0000-0000152E0000}"/>
    <cellStyle name="T_NHUA TAN HOA 10-6_Du toan mau 11-2007_puma 16.1_05  080428- BOQ - Main construction (12 June, 2008)" xfId="8486" xr:uid="{00000000-0005-0000-0000-0000162E0000}"/>
    <cellStyle name="T_NHUA TAN HOA 10-6_Du toan mau 11-2007_puma 16.1_05  080428- BOQ - Main construction (12 June, 2008) 2" xfId="8487" xr:uid="{00000000-0005-0000-0000-0000172E0000}"/>
    <cellStyle name="T_NHUA TAN HOA 10-6_Du toan mau 11-2007_puma 16.1_05  080428- BOQ - Main construction (12 June, 2008) 2 2" xfId="13086" xr:uid="{00000000-0005-0000-0000-0000182E0000}"/>
    <cellStyle name="T_NHUA TAN HOA 10-6_Du toan mau 11-2007_puma 16.1_05  080428- BOQ - Main construction (12 June, 2008) 2 2 2" xfId="13087" xr:uid="{00000000-0005-0000-0000-0000192E0000}"/>
    <cellStyle name="T_NHUA TAN HOA 10-6_Du toan mau 11-2007_puma 16.1_05  080428- BOQ - Main construction (12 June, 2008) 2 3" xfId="13088" xr:uid="{00000000-0005-0000-0000-00001A2E0000}"/>
    <cellStyle name="T_NHUA TAN HOA 10-6_Du toan mau 11-2007_puma 16.1_05  080428- BOQ - Main construction (12 June, 2008) 3" xfId="13089" xr:uid="{00000000-0005-0000-0000-00001B2E0000}"/>
    <cellStyle name="T_NHUA TAN HOA 10-6_Du toan mau 11-2007_puma 16.1_05  080428- BOQ - Main construction (12 June, 2008) 3 2" xfId="13090" xr:uid="{00000000-0005-0000-0000-00001C2E0000}"/>
    <cellStyle name="T_NHUA TAN HOA 10-6_Du toan mau 11-2007_puma 16.1_05  080428- BOQ - Main construction (12 June, 2008) 4" xfId="13091" xr:uid="{00000000-0005-0000-0000-00001D2E0000}"/>
    <cellStyle name="T_NHUA TAN HOA 10-6_Du toan mau 11-2007_puma 16.1_05  080428- BOQ - Main construction (12 June, 2008)_Danh sach nha cung cap ( Vendor List ) - Cap nhat 15-04-2011" xfId="8488" xr:uid="{00000000-0005-0000-0000-00001E2E0000}"/>
    <cellStyle name="T_NHUA TAN HOA 10-6_Du toan mau 11-2007_puma 16.1_05  080428- BOQ - Main construction (12 June, 2008)_Danh sach nha cung cap ( Vendor List ) - Cap nhat 15-04-2011 2" xfId="8489" xr:uid="{00000000-0005-0000-0000-00001F2E0000}"/>
    <cellStyle name="T_NHUA TAN HOA 10-6_Du toan mau 11-2007_puma 16.1_05  080428- BOQ - Main construction (12 June, 2008)_Danh sach nha cung cap ( Vendor List ) - Cap nhat 15-04-2011 2 2" xfId="13092" xr:uid="{00000000-0005-0000-0000-0000202E0000}"/>
    <cellStyle name="T_NHUA TAN HOA 10-6_Du toan mau 11-2007_puma 16.1_05  080428- BOQ - Main construction (12 June, 2008)_Danh sach nha cung cap ( Vendor List ) - Cap nhat 15-04-2011 2 2 2" xfId="13093" xr:uid="{00000000-0005-0000-0000-0000212E0000}"/>
    <cellStyle name="T_NHUA TAN HOA 10-6_Du toan mau 11-2007_puma 16.1_05  080428- BOQ - Main construction (12 June, 2008)_Danh sach nha cung cap ( Vendor List ) - Cap nhat 15-04-2011 2 3" xfId="13094" xr:uid="{00000000-0005-0000-0000-0000222E0000}"/>
    <cellStyle name="T_NHUA TAN HOA 10-6_Du toan mau 11-2007_puma 16.1_05  080428- BOQ - Main construction (12 June, 2008)_Danh sach nha cung cap ( Vendor List ) - Cap nhat 15-04-2011 3" xfId="13095" xr:uid="{00000000-0005-0000-0000-0000232E0000}"/>
    <cellStyle name="T_NHUA TAN HOA 10-6_Du toan mau 11-2007_puma 16.1_05  080428- BOQ - Main construction (12 June, 2008)_Danh sach nha cung cap ( Vendor List ) - Cap nhat 15-04-2011 3 2" xfId="13096" xr:uid="{00000000-0005-0000-0000-0000242E0000}"/>
    <cellStyle name="T_NHUA TAN HOA 10-6_Du toan mau 11-2007_puma 16.1_05  080428- BOQ - Main construction (12 June, 2008)_Danh sach nha cung cap ( Vendor List ) - Cap nhat 15-04-2011 4" xfId="13097" xr:uid="{00000000-0005-0000-0000-0000252E0000}"/>
    <cellStyle name="T_NHUA TAN HOA 10-6_Du toan mau 11-2007_puma 16.1_BOQ - BUNGE (TVT submit 18 Nov, 2009)" xfId="8490" xr:uid="{00000000-0005-0000-0000-0000262E0000}"/>
    <cellStyle name="T_NHUA TAN HOA 10-6_Du toan mau 11-2007_puma 16.1_BOQ - BUNGE (TVT submit 18 Nov, 2009) 2" xfId="8491" xr:uid="{00000000-0005-0000-0000-0000272E0000}"/>
    <cellStyle name="T_NHUA TAN HOA 10-6_Du toan mau 11-2007_puma 16.1_BOQ - BUNGE (TVT submit 18 Nov, 2009) 2 2" xfId="13098" xr:uid="{00000000-0005-0000-0000-0000282E0000}"/>
    <cellStyle name="T_NHUA TAN HOA 10-6_Du toan mau 11-2007_puma 16.1_BOQ - BUNGE (TVT submit 18 Nov, 2009) 2 2 2" xfId="13099" xr:uid="{00000000-0005-0000-0000-0000292E0000}"/>
    <cellStyle name="T_NHUA TAN HOA 10-6_Du toan mau 11-2007_puma 16.1_BOQ - BUNGE (TVT submit 18 Nov, 2009) 2 3" xfId="13100" xr:uid="{00000000-0005-0000-0000-00002A2E0000}"/>
    <cellStyle name="T_NHUA TAN HOA 10-6_Du toan mau 11-2007_puma 16.1_BOQ - BUNGE (TVT submit 18 Nov, 2009) 3" xfId="13101" xr:uid="{00000000-0005-0000-0000-00002B2E0000}"/>
    <cellStyle name="T_NHUA TAN HOA 10-6_Du toan mau 11-2007_puma 16.1_BOQ - BUNGE (TVT submit 18 Nov, 2009) 3 2" xfId="13102" xr:uid="{00000000-0005-0000-0000-00002C2E0000}"/>
    <cellStyle name="T_NHUA TAN HOA 10-6_Du toan mau 11-2007_puma 16.1_BOQ - BUNGE (TVT submit 18 Nov, 2009) 4" xfId="13103" xr:uid="{00000000-0005-0000-0000-00002D2E0000}"/>
    <cellStyle name="T_NHUA TAN HOA 10-6_Du toan mau 11-2007_puma 16.1_BOQ - BUNGE (TVT submit 18 Nov, 2009)_Danh sach nha cung cap ( Vendor List ) - Cap nhat 15-04-2011" xfId="8492" xr:uid="{00000000-0005-0000-0000-00002E2E0000}"/>
    <cellStyle name="T_NHUA TAN HOA 10-6_Du toan mau 11-2007_puma 16.1_BOQ - BUNGE (TVT submit 18 Nov, 2009)_Danh sach nha cung cap ( Vendor List ) - Cap nhat 15-04-2011 2" xfId="8493" xr:uid="{00000000-0005-0000-0000-00002F2E0000}"/>
    <cellStyle name="T_NHUA TAN HOA 10-6_Du toan mau 11-2007_puma 16.1_BOQ - BUNGE (TVT submit 18 Nov, 2009)_Danh sach nha cung cap ( Vendor List ) - Cap nhat 15-04-2011 2 2" xfId="13104" xr:uid="{00000000-0005-0000-0000-0000302E0000}"/>
    <cellStyle name="T_NHUA TAN HOA 10-6_Du toan mau 11-2007_puma 16.1_BOQ - BUNGE (TVT submit 18 Nov, 2009)_Danh sach nha cung cap ( Vendor List ) - Cap nhat 15-04-2011 2 2 2" xfId="13105" xr:uid="{00000000-0005-0000-0000-0000312E0000}"/>
    <cellStyle name="T_NHUA TAN HOA 10-6_Du toan mau 11-2007_puma 16.1_BOQ - BUNGE (TVT submit 18 Nov, 2009)_Danh sach nha cung cap ( Vendor List ) - Cap nhat 15-04-2011 2 3" xfId="13106" xr:uid="{00000000-0005-0000-0000-0000322E0000}"/>
    <cellStyle name="T_NHUA TAN HOA 10-6_Du toan mau 11-2007_puma 16.1_BOQ - BUNGE (TVT submit 18 Nov, 2009)_Danh sach nha cung cap ( Vendor List ) - Cap nhat 15-04-2011 3" xfId="13107" xr:uid="{00000000-0005-0000-0000-0000332E0000}"/>
    <cellStyle name="T_NHUA TAN HOA 10-6_Du toan mau 11-2007_puma 16.1_BOQ - BUNGE (TVT submit 18 Nov, 2009)_Danh sach nha cung cap ( Vendor List ) - Cap nhat 15-04-2011 3 2" xfId="13108" xr:uid="{00000000-0005-0000-0000-0000342E0000}"/>
    <cellStyle name="T_NHUA TAN HOA 10-6_Du toan mau 11-2007_puma 16.1_BOQ - BUNGE (TVT submit 18 Nov, 2009)_Danh sach nha cung cap ( Vendor List ) - Cap nhat 15-04-2011 4" xfId="13109" xr:uid="{00000000-0005-0000-0000-0000352E0000}"/>
    <cellStyle name="T_NHUA TAN HOA 10-6_Du toan mau 11-2007_puma 16.1_BOQ - CAB (TVT submit 28 Nov, 2008)" xfId="8494" xr:uid="{00000000-0005-0000-0000-0000362E0000}"/>
    <cellStyle name="T_NHUA TAN HOA 10-6_Du toan mau 11-2007_puma 16.1_BOQ - CAB (TVT submit 28 Nov, 2008) 2" xfId="8495" xr:uid="{00000000-0005-0000-0000-0000372E0000}"/>
    <cellStyle name="T_NHUA TAN HOA 10-6_Du toan mau 11-2007_puma 16.1_BOQ - CAB (TVT submit 28 Nov, 2008) 2 2" xfId="13110" xr:uid="{00000000-0005-0000-0000-0000382E0000}"/>
    <cellStyle name="T_NHUA TAN HOA 10-6_Du toan mau 11-2007_puma 16.1_BOQ - CAB (TVT submit 28 Nov, 2008) 2 2 2" xfId="13111" xr:uid="{00000000-0005-0000-0000-0000392E0000}"/>
    <cellStyle name="T_NHUA TAN HOA 10-6_Du toan mau 11-2007_puma 16.1_BOQ - CAB (TVT submit 28 Nov, 2008) 2 3" xfId="13112" xr:uid="{00000000-0005-0000-0000-00003A2E0000}"/>
    <cellStyle name="T_NHUA TAN HOA 10-6_Du toan mau 11-2007_puma 16.1_BOQ - CAB (TVT submit 28 Nov, 2008) 3" xfId="13113" xr:uid="{00000000-0005-0000-0000-00003B2E0000}"/>
    <cellStyle name="T_NHUA TAN HOA 10-6_Du toan mau 11-2007_puma 16.1_BOQ - CAB (TVT submit 28 Nov, 2008) 3 2" xfId="13114" xr:uid="{00000000-0005-0000-0000-00003C2E0000}"/>
    <cellStyle name="T_NHUA TAN HOA 10-6_Du toan mau 11-2007_puma 16.1_BOQ - CAB (TVT submit 28 Nov, 2008) 4" xfId="13115" xr:uid="{00000000-0005-0000-0000-00003D2E0000}"/>
    <cellStyle name="T_NHUA TAN HOA 10-6_Du toan mau 11-2007_puma 16.1_BOQ - CAB (TVT submit 28 Nov, 2008)_Danh sach nha cung cap ( Vendor List ) - Cap nhat 15-04-2011" xfId="8496" xr:uid="{00000000-0005-0000-0000-00003E2E0000}"/>
    <cellStyle name="T_NHUA TAN HOA 10-6_Du toan mau 11-2007_puma 16.1_BOQ - CAB (TVT submit 28 Nov, 2008)_Danh sach nha cung cap ( Vendor List ) - Cap nhat 15-04-2011 2" xfId="8497" xr:uid="{00000000-0005-0000-0000-00003F2E0000}"/>
    <cellStyle name="T_NHUA TAN HOA 10-6_Du toan mau 11-2007_puma 16.1_BOQ - CAB (TVT submit 28 Nov, 2008)_Danh sach nha cung cap ( Vendor List ) - Cap nhat 15-04-2011 2 2" xfId="13116" xr:uid="{00000000-0005-0000-0000-0000402E0000}"/>
    <cellStyle name="T_NHUA TAN HOA 10-6_Du toan mau 11-2007_puma 16.1_BOQ - CAB (TVT submit 28 Nov, 2008)_Danh sach nha cung cap ( Vendor List ) - Cap nhat 15-04-2011 2 2 2" xfId="13117" xr:uid="{00000000-0005-0000-0000-0000412E0000}"/>
    <cellStyle name="T_NHUA TAN HOA 10-6_Du toan mau 11-2007_puma 16.1_BOQ - CAB (TVT submit 28 Nov, 2008)_Danh sach nha cung cap ( Vendor List ) - Cap nhat 15-04-2011 2 3" xfId="13118" xr:uid="{00000000-0005-0000-0000-0000422E0000}"/>
    <cellStyle name="T_NHUA TAN HOA 10-6_Du toan mau 11-2007_puma 16.1_BOQ - CAB (TVT submit 28 Nov, 2008)_Danh sach nha cung cap ( Vendor List ) - Cap nhat 15-04-2011 3" xfId="13119" xr:uid="{00000000-0005-0000-0000-0000432E0000}"/>
    <cellStyle name="T_NHUA TAN HOA 10-6_Du toan mau 11-2007_puma 16.1_BOQ - CAB (TVT submit 28 Nov, 2008)_Danh sach nha cung cap ( Vendor List ) - Cap nhat 15-04-2011 3 2" xfId="13120" xr:uid="{00000000-0005-0000-0000-0000442E0000}"/>
    <cellStyle name="T_NHUA TAN HOA 10-6_Du toan mau 11-2007_puma 16.1_BOQ - CAB (TVT submit 28 Nov, 2008)_Danh sach nha cung cap ( Vendor List ) - Cap nhat 15-04-2011 4" xfId="13121" xr:uid="{00000000-0005-0000-0000-0000452E0000}"/>
    <cellStyle name="T_NHUA TAN HOA 10-6_Du toan mau 11-2007_puma 16.1_Danh sach nha cung cap ( Vendor List ) - Cap nhat 15-04-2011" xfId="8498" xr:uid="{00000000-0005-0000-0000-0000462E0000}"/>
    <cellStyle name="T_NHUA TAN HOA 10-6_Du toan mau 11-2007_puma 16.1_Danh sach nha cung cap ( Vendor List ) - Cap nhat 15-04-2011 2" xfId="8499" xr:uid="{00000000-0005-0000-0000-0000472E0000}"/>
    <cellStyle name="T_NHUA TAN HOA 10-6_Du toan mau 11-2007_puma 16.1_Danh sach nha cung cap ( Vendor List ) - Cap nhat 15-04-2011 2 2" xfId="13122" xr:uid="{00000000-0005-0000-0000-0000482E0000}"/>
    <cellStyle name="T_NHUA TAN HOA 10-6_Du toan mau 11-2007_puma 16.1_Danh sach nha cung cap ( Vendor List ) - Cap nhat 15-04-2011 2 2 2" xfId="13123" xr:uid="{00000000-0005-0000-0000-0000492E0000}"/>
    <cellStyle name="T_NHUA TAN HOA 10-6_Du toan mau 11-2007_puma 16.1_Danh sach nha cung cap ( Vendor List ) - Cap nhat 15-04-2011 2 3" xfId="13124" xr:uid="{00000000-0005-0000-0000-00004A2E0000}"/>
    <cellStyle name="T_NHUA TAN HOA 10-6_Du toan mau 11-2007_puma 16.1_Danh sach nha cung cap ( Vendor List ) - Cap nhat 15-04-2011 3" xfId="13125" xr:uid="{00000000-0005-0000-0000-00004B2E0000}"/>
    <cellStyle name="T_NHUA TAN HOA 10-6_Du toan mau 11-2007_puma 16.1_Danh sach nha cung cap ( Vendor List ) - Cap nhat 15-04-2011 3 2" xfId="13126" xr:uid="{00000000-0005-0000-0000-00004C2E0000}"/>
    <cellStyle name="T_NHUA TAN HOA 10-6_Du toan mau 11-2007_puma 16.1_Danh sach nha cung cap ( Vendor List ) - Cap nhat 15-04-2011 4" xfId="13127" xr:uid="{00000000-0005-0000-0000-00004D2E0000}"/>
    <cellStyle name="T_NHUA TAN HOA 10-6_Du toan mau 11-2007_puma 17.1" xfId="8500" xr:uid="{00000000-0005-0000-0000-00004E2E0000}"/>
    <cellStyle name="T_NHUA TAN HOA 10-6_Du toan mau 11-2007_puma 17.1 2" xfId="8501" xr:uid="{00000000-0005-0000-0000-00004F2E0000}"/>
    <cellStyle name="T_NHUA TAN HOA 10-6_Du toan mau 11-2007_puma 17.1 2 2" xfId="13128" xr:uid="{00000000-0005-0000-0000-0000502E0000}"/>
    <cellStyle name="T_NHUA TAN HOA 10-6_Du toan mau 11-2007_puma 17.1 2 2 2" xfId="13129" xr:uid="{00000000-0005-0000-0000-0000512E0000}"/>
    <cellStyle name="T_NHUA TAN HOA 10-6_Du toan mau 11-2007_puma 17.1 2 3" xfId="13130" xr:uid="{00000000-0005-0000-0000-0000522E0000}"/>
    <cellStyle name="T_NHUA TAN HOA 10-6_Du toan mau 11-2007_puma 17.1 3" xfId="13131" xr:uid="{00000000-0005-0000-0000-0000532E0000}"/>
    <cellStyle name="T_NHUA TAN HOA 10-6_Du toan mau 11-2007_puma 17.1 3 2" xfId="13132" xr:uid="{00000000-0005-0000-0000-0000542E0000}"/>
    <cellStyle name="T_NHUA TAN HOA 10-6_Du toan mau 11-2007_puma 17.1 4" xfId="13133" xr:uid="{00000000-0005-0000-0000-0000552E0000}"/>
    <cellStyle name="T_NHUA TAN HOA 10-6_Du toan mau 11-2007_puma 17.1_Danh sach nha cung cap ( Vendor List ) - Cap nhat 15-04-2011" xfId="8502" xr:uid="{00000000-0005-0000-0000-0000562E0000}"/>
    <cellStyle name="T_NHUA TAN HOA 10-6_Du toan mau 11-2007_puma 17.1_Danh sach nha cung cap ( Vendor List ) - Cap nhat 15-04-2011 2" xfId="8503" xr:uid="{00000000-0005-0000-0000-0000572E0000}"/>
    <cellStyle name="T_NHUA TAN HOA 10-6_Du toan mau 11-2007_puma 17.1_Danh sach nha cung cap ( Vendor List ) - Cap nhat 15-04-2011 2 2" xfId="13134" xr:uid="{00000000-0005-0000-0000-0000582E0000}"/>
    <cellStyle name="T_NHUA TAN HOA 10-6_Du toan mau 11-2007_puma 17.1_Danh sach nha cung cap ( Vendor List ) - Cap nhat 15-04-2011 2 2 2" xfId="13135" xr:uid="{00000000-0005-0000-0000-0000592E0000}"/>
    <cellStyle name="T_NHUA TAN HOA 10-6_Du toan mau 11-2007_puma 17.1_Danh sach nha cung cap ( Vendor List ) - Cap nhat 15-04-2011 2 3" xfId="13136" xr:uid="{00000000-0005-0000-0000-00005A2E0000}"/>
    <cellStyle name="T_NHUA TAN HOA 10-6_Du toan mau 11-2007_puma 17.1_Danh sach nha cung cap ( Vendor List ) - Cap nhat 15-04-2011 3" xfId="13137" xr:uid="{00000000-0005-0000-0000-00005B2E0000}"/>
    <cellStyle name="T_NHUA TAN HOA 10-6_Du toan mau 11-2007_puma 17.1_Danh sach nha cung cap ( Vendor List ) - Cap nhat 15-04-2011 3 2" xfId="13138" xr:uid="{00000000-0005-0000-0000-00005C2E0000}"/>
    <cellStyle name="T_NHUA TAN HOA 10-6_Du toan mau 11-2007_puma 17.1_Danh sach nha cung cap ( Vendor List ) - Cap nhat 15-04-2011 4" xfId="13139" xr:uid="{00000000-0005-0000-0000-00005D2E0000}"/>
    <cellStyle name="T_PL-BOQ President place Rev 0 06102010" xfId="8504" xr:uid="{00000000-0005-0000-0000-00005E2E0000}"/>
    <cellStyle name="T_PL-BOQ President place Rev 0 06102010 2" xfId="8505" xr:uid="{00000000-0005-0000-0000-00005F2E0000}"/>
    <cellStyle name="T_PL-BOQ President place Rev 0 06102010 2 2" xfId="13140" xr:uid="{00000000-0005-0000-0000-0000602E0000}"/>
    <cellStyle name="T_PL-BOQ President place Rev 0 06102010 2 2 2" xfId="13141" xr:uid="{00000000-0005-0000-0000-0000612E0000}"/>
    <cellStyle name="T_PL-BOQ President place Rev 0 06102010 2 3" xfId="13142" xr:uid="{00000000-0005-0000-0000-0000622E0000}"/>
    <cellStyle name="T_PL-BOQ President place Rev 0 06102010 3" xfId="13143" xr:uid="{00000000-0005-0000-0000-0000632E0000}"/>
    <cellStyle name="T_PL-BOQ President place Rev 0 06102010 3 2" xfId="13144" xr:uid="{00000000-0005-0000-0000-0000642E0000}"/>
    <cellStyle name="T_PL-BOQ President place Rev 0 06102010 4" xfId="13145" xr:uid="{00000000-0005-0000-0000-0000652E0000}"/>
    <cellStyle name="T_PSC-IPC2+3 Evaluation" xfId="8506" xr:uid="{00000000-0005-0000-0000-0000662E0000}"/>
    <cellStyle name="T_PSC-IPC2+3 Evaluation 2" xfId="8507" xr:uid="{00000000-0005-0000-0000-0000672E0000}"/>
    <cellStyle name="T_PSC-IPC2+3 Evaluation 2 2" xfId="13146" xr:uid="{00000000-0005-0000-0000-0000682E0000}"/>
    <cellStyle name="T_PSC-IPC2+3 Evaluation 2 2 2" xfId="13147" xr:uid="{00000000-0005-0000-0000-0000692E0000}"/>
    <cellStyle name="T_PSC-IPC2+3 Evaluation 2 3" xfId="13148" xr:uid="{00000000-0005-0000-0000-00006A2E0000}"/>
    <cellStyle name="T_PSC-IPC2+3 Evaluation 3" xfId="13149" xr:uid="{00000000-0005-0000-0000-00006B2E0000}"/>
    <cellStyle name="T_PSC-IPC2+3 Evaluation 3 2" xfId="13150" xr:uid="{00000000-0005-0000-0000-00006C2E0000}"/>
    <cellStyle name="T_PSC-IPC2+3 Evaluation 4" xfId="13151" xr:uid="{00000000-0005-0000-0000-00006D2E0000}"/>
    <cellStyle name="T_QT di chuyen ca phe" xfId="8508" xr:uid="{00000000-0005-0000-0000-00006E2E0000}"/>
    <cellStyle name="T_QT di chuyen ca phe 2" xfId="8509" xr:uid="{00000000-0005-0000-0000-00006F2E0000}"/>
    <cellStyle name="T_QT di chuyen ca phe 2 2" xfId="8510" xr:uid="{00000000-0005-0000-0000-0000702E0000}"/>
    <cellStyle name="T_QT di chuyen ca phe 2 2 2" xfId="13152" xr:uid="{00000000-0005-0000-0000-0000712E0000}"/>
    <cellStyle name="T_QT di chuyen ca phe 2 2 2 2" xfId="13153" xr:uid="{00000000-0005-0000-0000-0000722E0000}"/>
    <cellStyle name="T_QT di chuyen ca phe 2 2 3" xfId="13154" xr:uid="{00000000-0005-0000-0000-0000732E0000}"/>
    <cellStyle name="T_QT di chuyen ca phe 2 3" xfId="13155" xr:uid="{00000000-0005-0000-0000-0000742E0000}"/>
    <cellStyle name="T_QT di chuyen ca phe 2 3 2" xfId="13156" xr:uid="{00000000-0005-0000-0000-0000752E0000}"/>
    <cellStyle name="T_QT di chuyen ca phe 2 4" xfId="13157" xr:uid="{00000000-0005-0000-0000-0000762E0000}"/>
    <cellStyle name="T_QT di chuyen ca phe 3" xfId="8511" xr:uid="{00000000-0005-0000-0000-0000772E0000}"/>
    <cellStyle name="T_QT di chuyen ca phe 3 2" xfId="13158" xr:uid="{00000000-0005-0000-0000-0000782E0000}"/>
    <cellStyle name="T_QT di chuyen ca phe 3 2 2" xfId="13159" xr:uid="{00000000-0005-0000-0000-0000792E0000}"/>
    <cellStyle name="T_QT di chuyen ca phe 3 3" xfId="13160" xr:uid="{00000000-0005-0000-0000-00007A2E0000}"/>
    <cellStyle name="T_QT di chuyen ca phe 4" xfId="13161" xr:uid="{00000000-0005-0000-0000-00007B2E0000}"/>
    <cellStyle name="T_QT di chuyen ca phe 4 2" xfId="13162" xr:uid="{00000000-0005-0000-0000-00007C2E0000}"/>
    <cellStyle name="T_QT di chuyen ca phe 5" xfId="13163" xr:uid="{00000000-0005-0000-0000-00007D2E0000}"/>
    <cellStyle name="T_San luong FECON den het 2007" xfId="8512" xr:uid="{00000000-0005-0000-0000-00007E2E0000}"/>
    <cellStyle name="T_San luong FECON den het 2007 2" xfId="8513" xr:uid="{00000000-0005-0000-0000-00007F2E0000}"/>
    <cellStyle name="T_San luong FECON den het 2007 2 2" xfId="8514" xr:uid="{00000000-0005-0000-0000-0000802E0000}"/>
    <cellStyle name="T_San luong FECON den het 2007 2 2 2" xfId="13164" xr:uid="{00000000-0005-0000-0000-0000812E0000}"/>
    <cellStyle name="T_San luong FECON den het 2007 2 2 2 2" xfId="13165" xr:uid="{00000000-0005-0000-0000-0000822E0000}"/>
    <cellStyle name="T_San luong FECON den het 2007 2 2 3" xfId="13166" xr:uid="{00000000-0005-0000-0000-0000832E0000}"/>
    <cellStyle name="T_San luong FECON den het 2007 2 3" xfId="13167" xr:uid="{00000000-0005-0000-0000-0000842E0000}"/>
    <cellStyle name="T_San luong FECON den het 2007 2 3 2" xfId="13168" xr:uid="{00000000-0005-0000-0000-0000852E0000}"/>
    <cellStyle name="T_San luong FECON den het 2007 2 4" xfId="13169" xr:uid="{00000000-0005-0000-0000-0000862E0000}"/>
    <cellStyle name="T_San luong FECON den het 2007 3" xfId="8515" xr:uid="{00000000-0005-0000-0000-0000872E0000}"/>
    <cellStyle name="T_San luong FECON den het 2007 3 2" xfId="13170" xr:uid="{00000000-0005-0000-0000-0000882E0000}"/>
    <cellStyle name="T_San luong FECON den het 2007 3 2 2" xfId="13171" xr:uid="{00000000-0005-0000-0000-0000892E0000}"/>
    <cellStyle name="T_San luong FECON den het 2007 3 3" xfId="13172" xr:uid="{00000000-0005-0000-0000-00008A2E0000}"/>
    <cellStyle name="T_San luong FECON den het 2007 4" xfId="13173" xr:uid="{00000000-0005-0000-0000-00008B2E0000}"/>
    <cellStyle name="T_San luong FECON den het 2007 4 2" xfId="13174" xr:uid="{00000000-0005-0000-0000-00008C2E0000}"/>
    <cellStyle name="T_San luong FECON den het 2007 5" xfId="13175" xr:uid="{00000000-0005-0000-0000-00008D2E0000}"/>
    <cellStyle name="T_Sheet2" xfId="8516" xr:uid="{00000000-0005-0000-0000-00008E2E0000}"/>
    <cellStyle name="T_Sheet2 2" xfId="8517" xr:uid="{00000000-0005-0000-0000-00008F2E0000}"/>
    <cellStyle name="T_Sheet2 2 2" xfId="8518" xr:uid="{00000000-0005-0000-0000-0000902E0000}"/>
    <cellStyle name="T_Sheet2 2 2 2" xfId="13176" xr:uid="{00000000-0005-0000-0000-0000912E0000}"/>
    <cellStyle name="T_Sheet2 2 2 2 2" xfId="13177" xr:uid="{00000000-0005-0000-0000-0000922E0000}"/>
    <cellStyle name="T_Sheet2 2 2 3" xfId="13178" xr:uid="{00000000-0005-0000-0000-0000932E0000}"/>
    <cellStyle name="T_Sheet2 2 3" xfId="13179" xr:uid="{00000000-0005-0000-0000-0000942E0000}"/>
    <cellStyle name="T_Sheet2 2 3 2" xfId="13180" xr:uid="{00000000-0005-0000-0000-0000952E0000}"/>
    <cellStyle name="T_Sheet2 2 4" xfId="13181" xr:uid="{00000000-0005-0000-0000-0000962E0000}"/>
    <cellStyle name="T_Sheet2 3" xfId="8519" xr:uid="{00000000-0005-0000-0000-0000972E0000}"/>
    <cellStyle name="T_Sheet2 3 2" xfId="13182" xr:uid="{00000000-0005-0000-0000-0000982E0000}"/>
    <cellStyle name="T_Sheet2 3 2 2" xfId="13183" xr:uid="{00000000-0005-0000-0000-0000992E0000}"/>
    <cellStyle name="T_Sheet2 3 3" xfId="13184" xr:uid="{00000000-0005-0000-0000-00009A2E0000}"/>
    <cellStyle name="T_Sheet2 4" xfId="13185" xr:uid="{00000000-0005-0000-0000-00009B2E0000}"/>
    <cellStyle name="T_Sheet2 4 2" xfId="13186" xr:uid="{00000000-0005-0000-0000-00009C2E0000}"/>
    <cellStyle name="T_Sheet2 5" xfId="13187" xr:uid="{00000000-0005-0000-0000-00009D2E0000}"/>
    <cellStyle name="T_SUPOR2806-2" xfId="8520" xr:uid="{00000000-0005-0000-0000-00009E2E0000}"/>
    <cellStyle name="T_SUPOR2806-2 2" xfId="8521" xr:uid="{00000000-0005-0000-0000-00009F2E0000}"/>
    <cellStyle name="T_SUPOR2806-2 2 2" xfId="13188" xr:uid="{00000000-0005-0000-0000-0000A02E0000}"/>
    <cellStyle name="T_SUPOR2806-2 2 2 2" xfId="13189" xr:uid="{00000000-0005-0000-0000-0000A12E0000}"/>
    <cellStyle name="T_SUPOR2806-2 2 3" xfId="13190" xr:uid="{00000000-0005-0000-0000-0000A22E0000}"/>
    <cellStyle name="T_SUPOR2806-2 3" xfId="13191" xr:uid="{00000000-0005-0000-0000-0000A32E0000}"/>
    <cellStyle name="T_SUPOR2806-2 3 2" xfId="13192" xr:uid="{00000000-0005-0000-0000-0000A42E0000}"/>
    <cellStyle name="T_SUPOR2806-2 4" xfId="13193" xr:uid="{00000000-0005-0000-0000-0000A52E0000}"/>
    <cellStyle name="T_SUPOR2806-2_05  080428- BOQ - Main construction (12 June, 2008)" xfId="8522" xr:uid="{00000000-0005-0000-0000-0000A62E0000}"/>
    <cellStyle name="T_SUPOR2806-2_05  080428- BOQ - Main construction (12 June, 2008) 2" xfId="8523" xr:uid="{00000000-0005-0000-0000-0000A72E0000}"/>
    <cellStyle name="T_SUPOR2806-2_05  080428- BOQ - Main construction (12 June, 2008) 2 2" xfId="13194" xr:uid="{00000000-0005-0000-0000-0000A82E0000}"/>
    <cellStyle name="T_SUPOR2806-2_05  080428- BOQ - Main construction (12 June, 2008) 2 2 2" xfId="13195" xr:uid="{00000000-0005-0000-0000-0000A92E0000}"/>
    <cellStyle name="T_SUPOR2806-2_05  080428- BOQ - Main construction (12 June, 2008) 2 3" xfId="13196" xr:uid="{00000000-0005-0000-0000-0000AA2E0000}"/>
    <cellStyle name="T_SUPOR2806-2_05  080428- BOQ - Main construction (12 June, 2008) 3" xfId="13197" xr:uid="{00000000-0005-0000-0000-0000AB2E0000}"/>
    <cellStyle name="T_SUPOR2806-2_05  080428- BOQ - Main construction (12 June, 2008) 3 2" xfId="13198" xr:uid="{00000000-0005-0000-0000-0000AC2E0000}"/>
    <cellStyle name="T_SUPOR2806-2_05  080428- BOQ - Main construction (12 June, 2008) 4" xfId="13199" xr:uid="{00000000-0005-0000-0000-0000AD2E0000}"/>
    <cellStyle name="T_SUPOR2806-2_05  080428- BOQ - Main construction (12 June, 2008)_Danh sach nha cung cap ( Vendor List ) - Cap nhat 15-04-2011" xfId="8524" xr:uid="{00000000-0005-0000-0000-0000AE2E0000}"/>
    <cellStyle name="T_SUPOR2806-2_05  080428- BOQ - Main construction (12 June, 2008)_Danh sach nha cung cap ( Vendor List ) - Cap nhat 15-04-2011 2" xfId="8525" xr:uid="{00000000-0005-0000-0000-0000AF2E0000}"/>
    <cellStyle name="T_SUPOR2806-2_05  080428- BOQ - Main construction (12 June, 2008)_Danh sach nha cung cap ( Vendor List ) - Cap nhat 15-04-2011 2 2" xfId="13200" xr:uid="{00000000-0005-0000-0000-0000B02E0000}"/>
    <cellStyle name="T_SUPOR2806-2_05  080428- BOQ - Main construction (12 June, 2008)_Danh sach nha cung cap ( Vendor List ) - Cap nhat 15-04-2011 2 2 2" xfId="13201" xr:uid="{00000000-0005-0000-0000-0000B12E0000}"/>
    <cellStyle name="T_SUPOR2806-2_05  080428- BOQ - Main construction (12 June, 2008)_Danh sach nha cung cap ( Vendor List ) - Cap nhat 15-04-2011 2 3" xfId="13202" xr:uid="{00000000-0005-0000-0000-0000B22E0000}"/>
    <cellStyle name="T_SUPOR2806-2_05  080428- BOQ - Main construction (12 June, 2008)_Danh sach nha cung cap ( Vendor List ) - Cap nhat 15-04-2011 3" xfId="13203" xr:uid="{00000000-0005-0000-0000-0000B32E0000}"/>
    <cellStyle name="T_SUPOR2806-2_05  080428- BOQ - Main construction (12 June, 2008)_Danh sach nha cung cap ( Vendor List ) - Cap nhat 15-04-2011 3 2" xfId="13204" xr:uid="{00000000-0005-0000-0000-0000B42E0000}"/>
    <cellStyle name="T_SUPOR2806-2_05  080428- BOQ - Main construction (12 June, 2008)_Danh sach nha cung cap ( Vendor List ) - Cap nhat 15-04-2011 4" xfId="13205" xr:uid="{00000000-0005-0000-0000-0000B52E0000}"/>
    <cellStyle name="T_SUPOR2806-2_BOQ - BUNGE (TVT submit 18 Nov, 2009)" xfId="8526" xr:uid="{00000000-0005-0000-0000-0000B62E0000}"/>
    <cellStyle name="T_SUPOR2806-2_BOQ - BUNGE (TVT submit 18 Nov, 2009) 2" xfId="8527" xr:uid="{00000000-0005-0000-0000-0000B72E0000}"/>
    <cellStyle name="T_SUPOR2806-2_BOQ - BUNGE (TVT submit 18 Nov, 2009) 2 2" xfId="13206" xr:uid="{00000000-0005-0000-0000-0000B82E0000}"/>
    <cellStyle name="T_SUPOR2806-2_BOQ - BUNGE (TVT submit 18 Nov, 2009) 2 2 2" xfId="13207" xr:uid="{00000000-0005-0000-0000-0000B92E0000}"/>
    <cellStyle name="T_SUPOR2806-2_BOQ - BUNGE (TVT submit 18 Nov, 2009) 2 3" xfId="13208" xr:uid="{00000000-0005-0000-0000-0000BA2E0000}"/>
    <cellStyle name="T_SUPOR2806-2_BOQ - BUNGE (TVT submit 18 Nov, 2009) 3" xfId="13209" xr:uid="{00000000-0005-0000-0000-0000BB2E0000}"/>
    <cellStyle name="T_SUPOR2806-2_BOQ - BUNGE (TVT submit 18 Nov, 2009) 3 2" xfId="13210" xr:uid="{00000000-0005-0000-0000-0000BC2E0000}"/>
    <cellStyle name="T_SUPOR2806-2_BOQ - BUNGE (TVT submit 18 Nov, 2009) 4" xfId="13211" xr:uid="{00000000-0005-0000-0000-0000BD2E0000}"/>
    <cellStyle name="T_SUPOR2806-2_BOQ - BUNGE (TVT submit 18 Nov, 2009)_Danh sach nha cung cap ( Vendor List ) - Cap nhat 15-04-2011" xfId="8528" xr:uid="{00000000-0005-0000-0000-0000BE2E0000}"/>
    <cellStyle name="T_SUPOR2806-2_BOQ - BUNGE (TVT submit 18 Nov, 2009)_Danh sach nha cung cap ( Vendor List ) - Cap nhat 15-04-2011 2" xfId="8529" xr:uid="{00000000-0005-0000-0000-0000BF2E0000}"/>
    <cellStyle name="T_SUPOR2806-2_BOQ - BUNGE (TVT submit 18 Nov, 2009)_Danh sach nha cung cap ( Vendor List ) - Cap nhat 15-04-2011 2 2" xfId="13212" xr:uid="{00000000-0005-0000-0000-0000C02E0000}"/>
    <cellStyle name="T_SUPOR2806-2_BOQ - BUNGE (TVT submit 18 Nov, 2009)_Danh sach nha cung cap ( Vendor List ) - Cap nhat 15-04-2011 2 2 2" xfId="13213" xr:uid="{00000000-0005-0000-0000-0000C12E0000}"/>
    <cellStyle name="T_SUPOR2806-2_BOQ - BUNGE (TVT submit 18 Nov, 2009)_Danh sach nha cung cap ( Vendor List ) - Cap nhat 15-04-2011 2 3" xfId="13214" xr:uid="{00000000-0005-0000-0000-0000C22E0000}"/>
    <cellStyle name="T_SUPOR2806-2_BOQ - BUNGE (TVT submit 18 Nov, 2009)_Danh sach nha cung cap ( Vendor List ) - Cap nhat 15-04-2011 3" xfId="13215" xr:uid="{00000000-0005-0000-0000-0000C32E0000}"/>
    <cellStyle name="T_SUPOR2806-2_BOQ - BUNGE (TVT submit 18 Nov, 2009)_Danh sach nha cung cap ( Vendor List ) - Cap nhat 15-04-2011 3 2" xfId="13216" xr:uid="{00000000-0005-0000-0000-0000C42E0000}"/>
    <cellStyle name="T_SUPOR2806-2_BOQ - BUNGE (TVT submit 18 Nov, 2009)_Danh sach nha cung cap ( Vendor List ) - Cap nhat 15-04-2011 4" xfId="13217" xr:uid="{00000000-0005-0000-0000-0000C52E0000}"/>
    <cellStyle name="T_SUPOR2806-2_BOQ - CAB (TVT submit 28 Nov, 2008)" xfId="8530" xr:uid="{00000000-0005-0000-0000-0000C62E0000}"/>
    <cellStyle name="T_SUPOR2806-2_BOQ - CAB (TVT submit 28 Nov, 2008) 2" xfId="8531" xr:uid="{00000000-0005-0000-0000-0000C72E0000}"/>
    <cellStyle name="T_SUPOR2806-2_BOQ - CAB (TVT submit 28 Nov, 2008) 2 2" xfId="13218" xr:uid="{00000000-0005-0000-0000-0000C82E0000}"/>
    <cellStyle name="T_SUPOR2806-2_BOQ - CAB (TVT submit 28 Nov, 2008) 2 2 2" xfId="13219" xr:uid="{00000000-0005-0000-0000-0000C92E0000}"/>
    <cellStyle name="T_SUPOR2806-2_BOQ - CAB (TVT submit 28 Nov, 2008) 2 3" xfId="13220" xr:uid="{00000000-0005-0000-0000-0000CA2E0000}"/>
    <cellStyle name="T_SUPOR2806-2_BOQ - CAB (TVT submit 28 Nov, 2008) 3" xfId="13221" xr:uid="{00000000-0005-0000-0000-0000CB2E0000}"/>
    <cellStyle name="T_SUPOR2806-2_BOQ - CAB (TVT submit 28 Nov, 2008) 3 2" xfId="13222" xr:uid="{00000000-0005-0000-0000-0000CC2E0000}"/>
    <cellStyle name="T_SUPOR2806-2_BOQ - CAB (TVT submit 28 Nov, 2008) 4" xfId="13223" xr:uid="{00000000-0005-0000-0000-0000CD2E0000}"/>
    <cellStyle name="T_SUPOR2806-2_BOQ - CAB (TVT submit 28 Nov, 2008)_Danh sach nha cung cap ( Vendor List ) - Cap nhat 15-04-2011" xfId="8532" xr:uid="{00000000-0005-0000-0000-0000CE2E0000}"/>
    <cellStyle name="T_SUPOR2806-2_BOQ - CAB (TVT submit 28 Nov, 2008)_Danh sach nha cung cap ( Vendor List ) - Cap nhat 15-04-2011 2" xfId="8533" xr:uid="{00000000-0005-0000-0000-0000CF2E0000}"/>
    <cellStyle name="T_SUPOR2806-2_BOQ - CAB (TVT submit 28 Nov, 2008)_Danh sach nha cung cap ( Vendor List ) - Cap nhat 15-04-2011 2 2" xfId="13224" xr:uid="{00000000-0005-0000-0000-0000D02E0000}"/>
    <cellStyle name="T_SUPOR2806-2_BOQ - CAB (TVT submit 28 Nov, 2008)_Danh sach nha cung cap ( Vendor List ) - Cap nhat 15-04-2011 2 2 2" xfId="13225" xr:uid="{00000000-0005-0000-0000-0000D12E0000}"/>
    <cellStyle name="T_SUPOR2806-2_BOQ - CAB (TVT submit 28 Nov, 2008)_Danh sach nha cung cap ( Vendor List ) - Cap nhat 15-04-2011 2 3" xfId="13226" xr:uid="{00000000-0005-0000-0000-0000D22E0000}"/>
    <cellStyle name="T_SUPOR2806-2_BOQ - CAB (TVT submit 28 Nov, 2008)_Danh sach nha cung cap ( Vendor List ) - Cap nhat 15-04-2011 3" xfId="13227" xr:uid="{00000000-0005-0000-0000-0000D32E0000}"/>
    <cellStyle name="T_SUPOR2806-2_BOQ - CAB (TVT submit 28 Nov, 2008)_Danh sach nha cung cap ( Vendor List ) - Cap nhat 15-04-2011 3 2" xfId="13228" xr:uid="{00000000-0005-0000-0000-0000D42E0000}"/>
    <cellStyle name="T_SUPOR2806-2_BOQ - CAB (TVT submit 28 Nov, 2008)_Danh sach nha cung cap ( Vendor List ) - Cap nhat 15-04-2011 4" xfId="13229" xr:uid="{00000000-0005-0000-0000-0000D52E0000}"/>
    <cellStyle name="T_SUPOR2806-2_Danh sach nha cung cap ( Vendor List ) - Cap nhat 15-04-2011" xfId="8534" xr:uid="{00000000-0005-0000-0000-0000D62E0000}"/>
    <cellStyle name="T_SUPOR2806-2_Danh sach nha cung cap ( Vendor List ) - Cap nhat 15-04-2011 2" xfId="8535" xr:uid="{00000000-0005-0000-0000-0000D72E0000}"/>
    <cellStyle name="T_SUPOR2806-2_Danh sach nha cung cap ( Vendor List ) - Cap nhat 15-04-2011 2 2" xfId="13230" xr:uid="{00000000-0005-0000-0000-0000D82E0000}"/>
    <cellStyle name="T_SUPOR2806-2_Danh sach nha cung cap ( Vendor List ) - Cap nhat 15-04-2011 2 2 2" xfId="13231" xr:uid="{00000000-0005-0000-0000-0000D92E0000}"/>
    <cellStyle name="T_SUPOR2806-2_Danh sach nha cung cap ( Vendor List ) - Cap nhat 15-04-2011 2 3" xfId="13232" xr:uid="{00000000-0005-0000-0000-0000DA2E0000}"/>
    <cellStyle name="T_SUPOR2806-2_Danh sach nha cung cap ( Vendor List ) - Cap nhat 15-04-2011 3" xfId="13233" xr:uid="{00000000-0005-0000-0000-0000DB2E0000}"/>
    <cellStyle name="T_SUPOR2806-2_Danh sach nha cung cap ( Vendor List ) - Cap nhat 15-04-2011 3 2" xfId="13234" xr:uid="{00000000-0005-0000-0000-0000DC2E0000}"/>
    <cellStyle name="T_SUPOR2806-2_Danh sach nha cung cap ( Vendor List ) - Cap nhat 15-04-2011 4" xfId="13235" xr:uid="{00000000-0005-0000-0000-0000DD2E0000}"/>
    <cellStyle name="T_SUPOR2806-2_Du toan BONFIGLIOLI-071126" xfId="8536" xr:uid="{00000000-0005-0000-0000-0000DE2E0000}"/>
    <cellStyle name="T_SUPOR2806-2_Du toan BONFIGLIOLI-071126 2" xfId="8537" xr:uid="{00000000-0005-0000-0000-0000DF2E0000}"/>
    <cellStyle name="T_SUPOR2806-2_Du toan BONFIGLIOLI-071126 2 2" xfId="13236" xr:uid="{00000000-0005-0000-0000-0000E02E0000}"/>
    <cellStyle name="T_SUPOR2806-2_Du toan BONFIGLIOLI-071126 2 2 2" xfId="13237" xr:uid="{00000000-0005-0000-0000-0000E12E0000}"/>
    <cellStyle name="T_SUPOR2806-2_Du toan BONFIGLIOLI-071126 2 3" xfId="13238" xr:uid="{00000000-0005-0000-0000-0000E22E0000}"/>
    <cellStyle name="T_SUPOR2806-2_Du toan BONFIGLIOLI-071126 3" xfId="13239" xr:uid="{00000000-0005-0000-0000-0000E32E0000}"/>
    <cellStyle name="T_SUPOR2806-2_Du toan BONFIGLIOLI-071126 3 2" xfId="13240" xr:uid="{00000000-0005-0000-0000-0000E42E0000}"/>
    <cellStyle name="T_SUPOR2806-2_Du toan BONFIGLIOLI-071126 4" xfId="13241" xr:uid="{00000000-0005-0000-0000-0000E52E0000}"/>
    <cellStyle name="T_SUPOR2806-2_Du toan BONFIGLIOLI-071126_Danh sach nha cung cap ( Vendor List ) - Cap nhat 15-04-2011" xfId="8538" xr:uid="{00000000-0005-0000-0000-0000E62E0000}"/>
    <cellStyle name="T_SUPOR2806-2_Du toan BONFIGLIOLI-071126_Danh sach nha cung cap ( Vendor List ) - Cap nhat 15-04-2011 2" xfId="8539" xr:uid="{00000000-0005-0000-0000-0000E72E0000}"/>
    <cellStyle name="T_SUPOR2806-2_Du toan BONFIGLIOLI-071126_Danh sach nha cung cap ( Vendor List ) - Cap nhat 15-04-2011 2 2" xfId="13242" xr:uid="{00000000-0005-0000-0000-0000E82E0000}"/>
    <cellStyle name="T_SUPOR2806-2_Du toan BONFIGLIOLI-071126_Danh sach nha cung cap ( Vendor List ) - Cap nhat 15-04-2011 2 2 2" xfId="13243" xr:uid="{00000000-0005-0000-0000-0000E92E0000}"/>
    <cellStyle name="T_SUPOR2806-2_Du toan BONFIGLIOLI-071126_Danh sach nha cung cap ( Vendor List ) - Cap nhat 15-04-2011 2 3" xfId="13244" xr:uid="{00000000-0005-0000-0000-0000EA2E0000}"/>
    <cellStyle name="T_SUPOR2806-2_Du toan BONFIGLIOLI-071126_Danh sach nha cung cap ( Vendor List ) - Cap nhat 15-04-2011 3" xfId="13245" xr:uid="{00000000-0005-0000-0000-0000EB2E0000}"/>
    <cellStyle name="T_SUPOR2806-2_Du toan BONFIGLIOLI-071126_Danh sach nha cung cap ( Vendor List ) - Cap nhat 15-04-2011 3 2" xfId="13246" xr:uid="{00000000-0005-0000-0000-0000EC2E0000}"/>
    <cellStyle name="T_SUPOR2806-2_Du toan BONFIGLIOLI-071126_Danh sach nha cung cap ( Vendor List ) - Cap nhat 15-04-2011 4" xfId="13247" xr:uid="{00000000-0005-0000-0000-0000ED2E0000}"/>
    <cellStyle name="T_SUPOR2806-2_Du toan BONFIGLIOLI-071126_General Quotation 5-1-2008" xfId="8540" xr:uid="{00000000-0005-0000-0000-0000EE2E0000}"/>
    <cellStyle name="T_SUPOR2806-2_Du toan BONFIGLIOLI-071126_General Quotation 5-1-2008 2" xfId="8541" xr:uid="{00000000-0005-0000-0000-0000EF2E0000}"/>
    <cellStyle name="T_SUPOR2806-2_Du toan BONFIGLIOLI-071126_General Quotation 5-1-2008 2 2" xfId="13248" xr:uid="{00000000-0005-0000-0000-0000F02E0000}"/>
    <cellStyle name="T_SUPOR2806-2_Du toan BONFIGLIOLI-071126_General Quotation 5-1-2008 2 2 2" xfId="13249" xr:uid="{00000000-0005-0000-0000-0000F12E0000}"/>
    <cellStyle name="T_SUPOR2806-2_Du toan BONFIGLIOLI-071126_General Quotation 5-1-2008 2 3" xfId="13250" xr:uid="{00000000-0005-0000-0000-0000F22E0000}"/>
    <cellStyle name="T_SUPOR2806-2_Du toan BONFIGLIOLI-071126_General Quotation 5-1-2008 3" xfId="13251" xr:uid="{00000000-0005-0000-0000-0000F32E0000}"/>
    <cellStyle name="T_SUPOR2806-2_Du toan BONFIGLIOLI-071126_General Quotation 5-1-2008 3 2" xfId="13252" xr:uid="{00000000-0005-0000-0000-0000F42E0000}"/>
    <cellStyle name="T_SUPOR2806-2_Du toan BONFIGLIOLI-071126_General Quotation 5-1-2008 4" xfId="13253" xr:uid="{00000000-0005-0000-0000-0000F52E0000}"/>
    <cellStyle name="T_SUPOR2806-2_Du toan BONFIGLIOLI-071126_General Quotation 5-1-2008_Danh sach nha cung cap ( Vendor List ) - Cap nhat 15-04-2011" xfId="8542" xr:uid="{00000000-0005-0000-0000-0000F62E0000}"/>
    <cellStyle name="T_SUPOR2806-2_Du toan BONFIGLIOLI-071126_General Quotation 5-1-2008_Danh sach nha cung cap ( Vendor List ) - Cap nhat 15-04-2011 2" xfId="8543" xr:uid="{00000000-0005-0000-0000-0000F72E0000}"/>
    <cellStyle name="T_SUPOR2806-2_Du toan BONFIGLIOLI-071126_General Quotation 5-1-2008_Danh sach nha cung cap ( Vendor List ) - Cap nhat 15-04-2011 2 2" xfId="13254" xr:uid="{00000000-0005-0000-0000-0000F82E0000}"/>
    <cellStyle name="T_SUPOR2806-2_Du toan BONFIGLIOLI-071126_General Quotation 5-1-2008_Danh sach nha cung cap ( Vendor List ) - Cap nhat 15-04-2011 2 2 2" xfId="13255" xr:uid="{00000000-0005-0000-0000-0000F92E0000}"/>
    <cellStyle name="T_SUPOR2806-2_Du toan BONFIGLIOLI-071126_General Quotation 5-1-2008_Danh sach nha cung cap ( Vendor List ) - Cap nhat 15-04-2011 2 3" xfId="13256" xr:uid="{00000000-0005-0000-0000-0000FA2E0000}"/>
    <cellStyle name="T_SUPOR2806-2_Du toan BONFIGLIOLI-071126_General Quotation 5-1-2008_Danh sach nha cung cap ( Vendor List ) - Cap nhat 15-04-2011 3" xfId="13257" xr:uid="{00000000-0005-0000-0000-0000FB2E0000}"/>
    <cellStyle name="T_SUPOR2806-2_Du toan BONFIGLIOLI-071126_General Quotation 5-1-2008_Danh sach nha cung cap ( Vendor List ) - Cap nhat 15-04-2011 3 2" xfId="13258" xr:uid="{00000000-0005-0000-0000-0000FC2E0000}"/>
    <cellStyle name="T_SUPOR2806-2_Du toan BONFIGLIOLI-071126_General Quotation 5-1-2008_Danh sach nha cung cap ( Vendor List ) - Cap nhat 15-04-2011 4" xfId="13259" xr:uid="{00000000-0005-0000-0000-0000FD2E0000}"/>
    <cellStyle name="T_SUPOR2806-2_Du toan BONFIGLIOLI-071126_HUNG" xfId="8544" xr:uid="{00000000-0005-0000-0000-0000FE2E0000}"/>
    <cellStyle name="T_SUPOR2806-2_Du toan BONFIGLIOLI-071126_HUNG 2" xfId="8545" xr:uid="{00000000-0005-0000-0000-0000FF2E0000}"/>
    <cellStyle name="T_SUPOR2806-2_Du toan BONFIGLIOLI-071126_HUNG 2 2" xfId="13260" xr:uid="{00000000-0005-0000-0000-0000002F0000}"/>
    <cellStyle name="T_SUPOR2806-2_Du toan BONFIGLIOLI-071126_HUNG 2 2 2" xfId="13261" xr:uid="{00000000-0005-0000-0000-0000012F0000}"/>
    <cellStyle name="T_SUPOR2806-2_Du toan BONFIGLIOLI-071126_HUNG 2 3" xfId="13262" xr:uid="{00000000-0005-0000-0000-0000022F0000}"/>
    <cellStyle name="T_SUPOR2806-2_Du toan BONFIGLIOLI-071126_HUNG 3" xfId="13263" xr:uid="{00000000-0005-0000-0000-0000032F0000}"/>
    <cellStyle name="T_SUPOR2806-2_Du toan BONFIGLIOLI-071126_HUNG 3 2" xfId="13264" xr:uid="{00000000-0005-0000-0000-0000042F0000}"/>
    <cellStyle name="T_SUPOR2806-2_Du toan BONFIGLIOLI-071126_HUNG 4" xfId="13265" xr:uid="{00000000-0005-0000-0000-0000052F0000}"/>
    <cellStyle name="T_SUPOR2806-2_Du toan BONFIGLIOLI-071126_HUNG_05  080428- BOQ - Main construction (12 June, 2008)" xfId="8546" xr:uid="{00000000-0005-0000-0000-0000062F0000}"/>
    <cellStyle name="T_SUPOR2806-2_Du toan BONFIGLIOLI-071126_HUNG_05  080428- BOQ - Main construction (12 June, 2008) 2" xfId="8547" xr:uid="{00000000-0005-0000-0000-0000072F0000}"/>
    <cellStyle name="T_SUPOR2806-2_Du toan BONFIGLIOLI-071126_HUNG_05  080428- BOQ - Main construction (12 June, 2008) 2 2" xfId="13266" xr:uid="{00000000-0005-0000-0000-0000082F0000}"/>
    <cellStyle name="T_SUPOR2806-2_Du toan BONFIGLIOLI-071126_HUNG_05  080428- BOQ - Main construction (12 June, 2008) 2 2 2" xfId="13267" xr:uid="{00000000-0005-0000-0000-0000092F0000}"/>
    <cellStyle name="T_SUPOR2806-2_Du toan BONFIGLIOLI-071126_HUNG_05  080428- BOQ - Main construction (12 June, 2008) 2 3" xfId="13268" xr:uid="{00000000-0005-0000-0000-00000A2F0000}"/>
    <cellStyle name="T_SUPOR2806-2_Du toan BONFIGLIOLI-071126_HUNG_05  080428- BOQ - Main construction (12 June, 2008) 3" xfId="13269" xr:uid="{00000000-0005-0000-0000-00000B2F0000}"/>
    <cellStyle name="T_SUPOR2806-2_Du toan BONFIGLIOLI-071126_HUNG_05  080428- BOQ - Main construction (12 June, 2008) 3 2" xfId="13270" xr:uid="{00000000-0005-0000-0000-00000C2F0000}"/>
    <cellStyle name="T_SUPOR2806-2_Du toan BONFIGLIOLI-071126_HUNG_05  080428- BOQ - Main construction (12 June, 2008) 4" xfId="13271" xr:uid="{00000000-0005-0000-0000-00000D2F0000}"/>
    <cellStyle name="T_SUPOR2806-2_Du toan BONFIGLIOLI-071126_HUNG_05  080428- BOQ - Main construction (12 June, 2008)_Danh sach nha cung cap ( Vendor List ) - Cap nhat 15-04-2011" xfId="8548" xr:uid="{00000000-0005-0000-0000-00000E2F0000}"/>
    <cellStyle name="T_SUPOR2806-2_Du toan BONFIGLIOLI-071126_HUNG_05  080428- BOQ - Main construction (12 June, 2008)_Danh sach nha cung cap ( Vendor List ) - Cap nhat 15-04-2011 2" xfId="8549" xr:uid="{00000000-0005-0000-0000-00000F2F0000}"/>
    <cellStyle name="T_SUPOR2806-2_Du toan BONFIGLIOLI-071126_HUNG_05  080428- BOQ - Main construction (12 June, 2008)_Danh sach nha cung cap ( Vendor List ) - Cap nhat 15-04-2011 2 2" xfId="13272" xr:uid="{00000000-0005-0000-0000-0000102F0000}"/>
    <cellStyle name="T_SUPOR2806-2_Du toan BONFIGLIOLI-071126_HUNG_05  080428- BOQ - Main construction (12 June, 2008)_Danh sach nha cung cap ( Vendor List ) - Cap nhat 15-04-2011 2 2 2" xfId="13273" xr:uid="{00000000-0005-0000-0000-0000112F0000}"/>
    <cellStyle name="T_SUPOR2806-2_Du toan BONFIGLIOLI-071126_HUNG_05  080428- BOQ - Main construction (12 June, 2008)_Danh sach nha cung cap ( Vendor List ) - Cap nhat 15-04-2011 2 3" xfId="13274" xr:uid="{00000000-0005-0000-0000-0000122F0000}"/>
    <cellStyle name="T_SUPOR2806-2_Du toan BONFIGLIOLI-071126_HUNG_05  080428- BOQ - Main construction (12 June, 2008)_Danh sach nha cung cap ( Vendor List ) - Cap nhat 15-04-2011 3" xfId="13275" xr:uid="{00000000-0005-0000-0000-0000132F0000}"/>
    <cellStyle name="T_SUPOR2806-2_Du toan BONFIGLIOLI-071126_HUNG_05  080428- BOQ - Main construction (12 June, 2008)_Danh sach nha cung cap ( Vendor List ) - Cap nhat 15-04-2011 3 2" xfId="13276" xr:uid="{00000000-0005-0000-0000-0000142F0000}"/>
    <cellStyle name="T_SUPOR2806-2_Du toan BONFIGLIOLI-071126_HUNG_05  080428- BOQ - Main construction (12 June, 2008)_Danh sach nha cung cap ( Vendor List ) - Cap nhat 15-04-2011 4" xfId="13277" xr:uid="{00000000-0005-0000-0000-0000152F0000}"/>
    <cellStyle name="T_SUPOR2806-2_Du toan BONFIGLIOLI-071126_HUNG_BOQ - BUNGE (TVT submit 18 Nov, 2009)" xfId="8550" xr:uid="{00000000-0005-0000-0000-0000162F0000}"/>
    <cellStyle name="T_SUPOR2806-2_Du toan BONFIGLIOLI-071126_HUNG_BOQ - BUNGE (TVT submit 18 Nov, 2009) 2" xfId="8551" xr:uid="{00000000-0005-0000-0000-0000172F0000}"/>
    <cellStyle name="T_SUPOR2806-2_Du toan BONFIGLIOLI-071126_HUNG_BOQ - BUNGE (TVT submit 18 Nov, 2009) 2 2" xfId="13278" xr:uid="{00000000-0005-0000-0000-0000182F0000}"/>
    <cellStyle name="T_SUPOR2806-2_Du toan BONFIGLIOLI-071126_HUNG_BOQ - BUNGE (TVT submit 18 Nov, 2009) 2 2 2" xfId="13279" xr:uid="{00000000-0005-0000-0000-0000192F0000}"/>
    <cellStyle name="T_SUPOR2806-2_Du toan BONFIGLIOLI-071126_HUNG_BOQ - BUNGE (TVT submit 18 Nov, 2009) 2 3" xfId="13280" xr:uid="{00000000-0005-0000-0000-00001A2F0000}"/>
    <cellStyle name="T_SUPOR2806-2_Du toan BONFIGLIOLI-071126_HUNG_BOQ - BUNGE (TVT submit 18 Nov, 2009) 3" xfId="13281" xr:uid="{00000000-0005-0000-0000-00001B2F0000}"/>
    <cellStyle name="T_SUPOR2806-2_Du toan BONFIGLIOLI-071126_HUNG_BOQ - BUNGE (TVT submit 18 Nov, 2009) 3 2" xfId="13282" xr:uid="{00000000-0005-0000-0000-00001C2F0000}"/>
    <cellStyle name="T_SUPOR2806-2_Du toan BONFIGLIOLI-071126_HUNG_BOQ - BUNGE (TVT submit 18 Nov, 2009) 4" xfId="13283" xr:uid="{00000000-0005-0000-0000-00001D2F0000}"/>
    <cellStyle name="T_SUPOR2806-2_Du toan BONFIGLIOLI-071126_HUNG_BOQ - BUNGE (TVT submit 18 Nov, 2009)_Danh sach nha cung cap ( Vendor List ) - Cap nhat 15-04-2011" xfId="8552" xr:uid="{00000000-0005-0000-0000-00001E2F0000}"/>
    <cellStyle name="T_SUPOR2806-2_Du toan BONFIGLIOLI-071126_HUNG_BOQ - BUNGE (TVT submit 18 Nov, 2009)_Danh sach nha cung cap ( Vendor List ) - Cap nhat 15-04-2011 2" xfId="8553" xr:uid="{00000000-0005-0000-0000-00001F2F0000}"/>
    <cellStyle name="T_SUPOR2806-2_Du toan BONFIGLIOLI-071126_HUNG_BOQ - BUNGE (TVT submit 18 Nov, 2009)_Danh sach nha cung cap ( Vendor List ) - Cap nhat 15-04-2011 2 2" xfId="13284" xr:uid="{00000000-0005-0000-0000-0000202F0000}"/>
    <cellStyle name="T_SUPOR2806-2_Du toan BONFIGLIOLI-071126_HUNG_BOQ - BUNGE (TVT submit 18 Nov, 2009)_Danh sach nha cung cap ( Vendor List ) - Cap nhat 15-04-2011 2 2 2" xfId="13285" xr:uid="{00000000-0005-0000-0000-0000212F0000}"/>
    <cellStyle name="T_SUPOR2806-2_Du toan BONFIGLIOLI-071126_HUNG_BOQ - BUNGE (TVT submit 18 Nov, 2009)_Danh sach nha cung cap ( Vendor List ) - Cap nhat 15-04-2011 2 3" xfId="13286" xr:uid="{00000000-0005-0000-0000-0000222F0000}"/>
    <cellStyle name="T_SUPOR2806-2_Du toan BONFIGLIOLI-071126_HUNG_BOQ - BUNGE (TVT submit 18 Nov, 2009)_Danh sach nha cung cap ( Vendor List ) - Cap nhat 15-04-2011 3" xfId="13287" xr:uid="{00000000-0005-0000-0000-0000232F0000}"/>
    <cellStyle name="T_SUPOR2806-2_Du toan BONFIGLIOLI-071126_HUNG_BOQ - BUNGE (TVT submit 18 Nov, 2009)_Danh sach nha cung cap ( Vendor List ) - Cap nhat 15-04-2011 3 2" xfId="13288" xr:uid="{00000000-0005-0000-0000-0000242F0000}"/>
    <cellStyle name="T_SUPOR2806-2_Du toan BONFIGLIOLI-071126_HUNG_BOQ - BUNGE (TVT submit 18 Nov, 2009)_Danh sach nha cung cap ( Vendor List ) - Cap nhat 15-04-2011 4" xfId="13289" xr:uid="{00000000-0005-0000-0000-0000252F0000}"/>
    <cellStyle name="T_SUPOR2806-2_Du toan BONFIGLIOLI-071126_HUNG_BOQ - CAB (TVT submit 28 Nov, 2008)" xfId="8554" xr:uid="{00000000-0005-0000-0000-0000262F0000}"/>
    <cellStyle name="T_SUPOR2806-2_Du toan BONFIGLIOLI-071126_HUNG_BOQ - CAB (TVT submit 28 Nov, 2008) 2" xfId="8555" xr:uid="{00000000-0005-0000-0000-0000272F0000}"/>
    <cellStyle name="T_SUPOR2806-2_Du toan BONFIGLIOLI-071126_HUNG_BOQ - CAB (TVT submit 28 Nov, 2008) 2 2" xfId="13290" xr:uid="{00000000-0005-0000-0000-0000282F0000}"/>
    <cellStyle name="T_SUPOR2806-2_Du toan BONFIGLIOLI-071126_HUNG_BOQ - CAB (TVT submit 28 Nov, 2008) 2 2 2" xfId="13291" xr:uid="{00000000-0005-0000-0000-0000292F0000}"/>
    <cellStyle name="T_SUPOR2806-2_Du toan BONFIGLIOLI-071126_HUNG_BOQ - CAB (TVT submit 28 Nov, 2008) 2 3" xfId="13292" xr:uid="{00000000-0005-0000-0000-00002A2F0000}"/>
    <cellStyle name="T_SUPOR2806-2_Du toan BONFIGLIOLI-071126_HUNG_BOQ - CAB (TVT submit 28 Nov, 2008) 3" xfId="13293" xr:uid="{00000000-0005-0000-0000-00002B2F0000}"/>
    <cellStyle name="T_SUPOR2806-2_Du toan BONFIGLIOLI-071126_HUNG_BOQ - CAB (TVT submit 28 Nov, 2008) 3 2" xfId="13294" xr:uid="{00000000-0005-0000-0000-00002C2F0000}"/>
    <cellStyle name="T_SUPOR2806-2_Du toan BONFIGLIOLI-071126_HUNG_BOQ - CAB (TVT submit 28 Nov, 2008) 4" xfId="13295" xr:uid="{00000000-0005-0000-0000-00002D2F0000}"/>
    <cellStyle name="T_SUPOR2806-2_Du toan BONFIGLIOLI-071126_HUNG_BOQ - CAB (TVT submit 28 Nov, 2008)_Danh sach nha cung cap ( Vendor List ) - Cap nhat 15-04-2011" xfId="8556" xr:uid="{00000000-0005-0000-0000-00002E2F0000}"/>
    <cellStyle name="T_SUPOR2806-2_Du toan BONFIGLIOLI-071126_HUNG_BOQ - CAB (TVT submit 28 Nov, 2008)_Danh sach nha cung cap ( Vendor List ) - Cap nhat 15-04-2011 2" xfId="8557" xr:uid="{00000000-0005-0000-0000-00002F2F0000}"/>
    <cellStyle name="T_SUPOR2806-2_Du toan BONFIGLIOLI-071126_HUNG_BOQ - CAB (TVT submit 28 Nov, 2008)_Danh sach nha cung cap ( Vendor List ) - Cap nhat 15-04-2011 2 2" xfId="13296" xr:uid="{00000000-0005-0000-0000-0000302F0000}"/>
    <cellStyle name="T_SUPOR2806-2_Du toan BONFIGLIOLI-071126_HUNG_BOQ - CAB (TVT submit 28 Nov, 2008)_Danh sach nha cung cap ( Vendor List ) - Cap nhat 15-04-2011 2 2 2" xfId="13297" xr:uid="{00000000-0005-0000-0000-0000312F0000}"/>
    <cellStyle name="T_SUPOR2806-2_Du toan BONFIGLIOLI-071126_HUNG_BOQ - CAB (TVT submit 28 Nov, 2008)_Danh sach nha cung cap ( Vendor List ) - Cap nhat 15-04-2011 2 3" xfId="13298" xr:uid="{00000000-0005-0000-0000-0000322F0000}"/>
    <cellStyle name="T_SUPOR2806-2_Du toan BONFIGLIOLI-071126_HUNG_BOQ - CAB (TVT submit 28 Nov, 2008)_Danh sach nha cung cap ( Vendor List ) - Cap nhat 15-04-2011 3" xfId="13299" xr:uid="{00000000-0005-0000-0000-0000332F0000}"/>
    <cellStyle name="T_SUPOR2806-2_Du toan BONFIGLIOLI-071126_HUNG_BOQ - CAB (TVT submit 28 Nov, 2008)_Danh sach nha cung cap ( Vendor List ) - Cap nhat 15-04-2011 3 2" xfId="13300" xr:uid="{00000000-0005-0000-0000-0000342F0000}"/>
    <cellStyle name="T_SUPOR2806-2_Du toan BONFIGLIOLI-071126_HUNG_BOQ - CAB (TVT submit 28 Nov, 2008)_Danh sach nha cung cap ( Vendor List ) - Cap nhat 15-04-2011 4" xfId="13301" xr:uid="{00000000-0005-0000-0000-0000352F0000}"/>
    <cellStyle name="T_SUPOR2806-2_Du toan BONFIGLIOLI-071126_HUNG_Danh sach nha cung cap ( Vendor List ) - Cap nhat 15-04-2011" xfId="8558" xr:uid="{00000000-0005-0000-0000-0000362F0000}"/>
    <cellStyle name="T_SUPOR2806-2_Du toan BONFIGLIOLI-071126_HUNG_Danh sach nha cung cap ( Vendor List ) - Cap nhat 15-04-2011 2" xfId="8559" xr:uid="{00000000-0005-0000-0000-0000372F0000}"/>
    <cellStyle name="T_SUPOR2806-2_Du toan BONFIGLIOLI-071126_HUNG_Danh sach nha cung cap ( Vendor List ) - Cap nhat 15-04-2011 2 2" xfId="13302" xr:uid="{00000000-0005-0000-0000-0000382F0000}"/>
    <cellStyle name="T_SUPOR2806-2_Du toan BONFIGLIOLI-071126_HUNG_Danh sach nha cung cap ( Vendor List ) - Cap nhat 15-04-2011 2 2 2" xfId="13303" xr:uid="{00000000-0005-0000-0000-0000392F0000}"/>
    <cellStyle name="T_SUPOR2806-2_Du toan BONFIGLIOLI-071126_HUNG_Danh sach nha cung cap ( Vendor List ) - Cap nhat 15-04-2011 2 3" xfId="13304" xr:uid="{00000000-0005-0000-0000-00003A2F0000}"/>
    <cellStyle name="T_SUPOR2806-2_Du toan BONFIGLIOLI-071126_HUNG_Danh sach nha cung cap ( Vendor List ) - Cap nhat 15-04-2011 3" xfId="13305" xr:uid="{00000000-0005-0000-0000-00003B2F0000}"/>
    <cellStyle name="T_SUPOR2806-2_Du toan BONFIGLIOLI-071126_HUNG_Danh sach nha cung cap ( Vendor List ) - Cap nhat 15-04-2011 3 2" xfId="13306" xr:uid="{00000000-0005-0000-0000-00003C2F0000}"/>
    <cellStyle name="T_SUPOR2806-2_Du toan BONFIGLIOLI-071126_HUNG_Danh sach nha cung cap ( Vendor List ) - Cap nhat 15-04-2011 4" xfId="13307" xr:uid="{00000000-0005-0000-0000-00003D2F0000}"/>
    <cellStyle name="T_SUPOR2806-2_Du toan BONFIGLIOLI-071126_puma 16.1" xfId="8560" xr:uid="{00000000-0005-0000-0000-00003E2F0000}"/>
    <cellStyle name="T_SUPOR2806-2_Du toan BONFIGLIOLI-071126_puma 16.1 2" xfId="8561" xr:uid="{00000000-0005-0000-0000-00003F2F0000}"/>
    <cellStyle name="T_SUPOR2806-2_Du toan BONFIGLIOLI-071126_puma 16.1 2 2" xfId="13308" xr:uid="{00000000-0005-0000-0000-0000402F0000}"/>
    <cellStyle name="T_SUPOR2806-2_Du toan BONFIGLIOLI-071126_puma 16.1 2 2 2" xfId="13309" xr:uid="{00000000-0005-0000-0000-0000412F0000}"/>
    <cellStyle name="T_SUPOR2806-2_Du toan BONFIGLIOLI-071126_puma 16.1 2 3" xfId="13310" xr:uid="{00000000-0005-0000-0000-0000422F0000}"/>
    <cellStyle name="T_SUPOR2806-2_Du toan BONFIGLIOLI-071126_puma 16.1 3" xfId="13311" xr:uid="{00000000-0005-0000-0000-0000432F0000}"/>
    <cellStyle name="T_SUPOR2806-2_Du toan BONFIGLIOLI-071126_puma 16.1 3 2" xfId="13312" xr:uid="{00000000-0005-0000-0000-0000442F0000}"/>
    <cellStyle name="T_SUPOR2806-2_Du toan BONFIGLIOLI-071126_puma 16.1 4" xfId="13313" xr:uid="{00000000-0005-0000-0000-0000452F0000}"/>
    <cellStyle name="T_SUPOR2806-2_Du toan BONFIGLIOLI-071126_puma 16.1_05  080428- BOQ - Main construction (12 June, 2008)" xfId="8562" xr:uid="{00000000-0005-0000-0000-0000462F0000}"/>
    <cellStyle name="T_SUPOR2806-2_Du toan BONFIGLIOLI-071126_puma 16.1_05  080428- BOQ - Main construction (12 June, 2008) 2" xfId="8563" xr:uid="{00000000-0005-0000-0000-0000472F0000}"/>
    <cellStyle name="T_SUPOR2806-2_Du toan BONFIGLIOLI-071126_puma 16.1_05  080428- BOQ - Main construction (12 June, 2008) 2 2" xfId="13314" xr:uid="{00000000-0005-0000-0000-0000482F0000}"/>
    <cellStyle name="T_SUPOR2806-2_Du toan BONFIGLIOLI-071126_puma 16.1_05  080428- BOQ - Main construction (12 June, 2008) 2 2 2" xfId="13315" xr:uid="{00000000-0005-0000-0000-0000492F0000}"/>
    <cellStyle name="T_SUPOR2806-2_Du toan BONFIGLIOLI-071126_puma 16.1_05  080428- BOQ - Main construction (12 June, 2008) 2 3" xfId="13316" xr:uid="{00000000-0005-0000-0000-00004A2F0000}"/>
    <cellStyle name="T_SUPOR2806-2_Du toan BONFIGLIOLI-071126_puma 16.1_05  080428- BOQ - Main construction (12 June, 2008) 3" xfId="13317" xr:uid="{00000000-0005-0000-0000-00004B2F0000}"/>
    <cellStyle name="T_SUPOR2806-2_Du toan BONFIGLIOLI-071126_puma 16.1_05  080428- BOQ - Main construction (12 June, 2008) 3 2" xfId="13318" xr:uid="{00000000-0005-0000-0000-00004C2F0000}"/>
    <cellStyle name="T_SUPOR2806-2_Du toan BONFIGLIOLI-071126_puma 16.1_05  080428- BOQ - Main construction (12 June, 2008) 4" xfId="13319" xr:uid="{00000000-0005-0000-0000-00004D2F0000}"/>
    <cellStyle name="T_SUPOR2806-2_Du toan BONFIGLIOLI-071126_puma 16.1_05  080428- BOQ - Main construction (12 June, 2008)_Danh sach nha cung cap ( Vendor List ) - Cap nhat 15-04-2011" xfId="8564" xr:uid="{00000000-0005-0000-0000-00004E2F0000}"/>
    <cellStyle name="T_SUPOR2806-2_Du toan BONFIGLIOLI-071126_puma 16.1_05  080428- BOQ - Main construction (12 June, 2008)_Danh sach nha cung cap ( Vendor List ) - Cap nhat 15-04-2011 2" xfId="8565" xr:uid="{00000000-0005-0000-0000-00004F2F0000}"/>
    <cellStyle name="T_SUPOR2806-2_Du toan BONFIGLIOLI-071126_puma 16.1_05  080428- BOQ - Main construction (12 June, 2008)_Danh sach nha cung cap ( Vendor List ) - Cap nhat 15-04-2011 2 2" xfId="13320" xr:uid="{00000000-0005-0000-0000-0000502F0000}"/>
    <cellStyle name="T_SUPOR2806-2_Du toan BONFIGLIOLI-071126_puma 16.1_05  080428- BOQ - Main construction (12 June, 2008)_Danh sach nha cung cap ( Vendor List ) - Cap nhat 15-04-2011 2 2 2" xfId="13321" xr:uid="{00000000-0005-0000-0000-0000512F0000}"/>
    <cellStyle name="T_SUPOR2806-2_Du toan BONFIGLIOLI-071126_puma 16.1_05  080428- BOQ - Main construction (12 June, 2008)_Danh sach nha cung cap ( Vendor List ) - Cap nhat 15-04-2011 2 3" xfId="13322" xr:uid="{00000000-0005-0000-0000-0000522F0000}"/>
    <cellStyle name="T_SUPOR2806-2_Du toan BONFIGLIOLI-071126_puma 16.1_05  080428- BOQ - Main construction (12 June, 2008)_Danh sach nha cung cap ( Vendor List ) - Cap nhat 15-04-2011 3" xfId="13323" xr:uid="{00000000-0005-0000-0000-0000532F0000}"/>
    <cellStyle name="T_SUPOR2806-2_Du toan BONFIGLIOLI-071126_puma 16.1_05  080428- BOQ - Main construction (12 June, 2008)_Danh sach nha cung cap ( Vendor List ) - Cap nhat 15-04-2011 3 2" xfId="13324" xr:uid="{00000000-0005-0000-0000-0000542F0000}"/>
    <cellStyle name="T_SUPOR2806-2_Du toan BONFIGLIOLI-071126_puma 16.1_05  080428- BOQ - Main construction (12 June, 2008)_Danh sach nha cung cap ( Vendor List ) - Cap nhat 15-04-2011 4" xfId="13325" xr:uid="{00000000-0005-0000-0000-0000552F0000}"/>
    <cellStyle name="T_SUPOR2806-2_Du toan BONFIGLIOLI-071126_puma 16.1_BOQ - BUNGE (TVT submit 18 Nov, 2009)" xfId="8566" xr:uid="{00000000-0005-0000-0000-0000562F0000}"/>
    <cellStyle name="T_SUPOR2806-2_Du toan BONFIGLIOLI-071126_puma 16.1_BOQ - BUNGE (TVT submit 18 Nov, 2009) 2" xfId="8567" xr:uid="{00000000-0005-0000-0000-0000572F0000}"/>
    <cellStyle name="T_SUPOR2806-2_Du toan BONFIGLIOLI-071126_puma 16.1_BOQ - BUNGE (TVT submit 18 Nov, 2009) 2 2" xfId="13326" xr:uid="{00000000-0005-0000-0000-0000582F0000}"/>
    <cellStyle name="T_SUPOR2806-2_Du toan BONFIGLIOLI-071126_puma 16.1_BOQ - BUNGE (TVT submit 18 Nov, 2009) 2 2 2" xfId="13327" xr:uid="{00000000-0005-0000-0000-0000592F0000}"/>
    <cellStyle name="T_SUPOR2806-2_Du toan BONFIGLIOLI-071126_puma 16.1_BOQ - BUNGE (TVT submit 18 Nov, 2009) 2 3" xfId="13328" xr:uid="{00000000-0005-0000-0000-00005A2F0000}"/>
    <cellStyle name="T_SUPOR2806-2_Du toan BONFIGLIOLI-071126_puma 16.1_BOQ - BUNGE (TVT submit 18 Nov, 2009) 3" xfId="13329" xr:uid="{00000000-0005-0000-0000-00005B2F0000}"/>
    <cellStyle name="T_SUPOR2806-2_Du toan BONFIGLIOLI-071126_puma 16.1_BOQ - BUNGE (TVT submit 18 Nov, 2009) 3 2" xfId="13330" xr:uid="{00000000-0005-0000-0000-00005C2F0000}"/>
    <cellStyle name="T_SUPOR2806-2_Du toan BONFIGLIOLI-071126_puma 16.1_BOQ - BUNGE (TVT submit 18 Nov, 2009) 4" xfId="13331" xr:uid="{00000000-0005-0000-0000-00005D2F0000}"/>
    <cellStyle name="T_SUPOR2806-2_Du toan BONFIGLIOLI-071126_puma 16.1_BOQ - BUNGE (TVT submit 18 Nov, 2009)_Danh sach nha cung cap ( Vendor List ) - Cap nhat 15-04-2011" xfId="8568" xr:uid="{00000000-0005-0000-0000-00005E2F0000}"/>
    <cellStyle name="T_SUPOR2806-2_Du toan BONFIGLIOLI-071126_puma 16.1_BOQ - BUNGE (TVT submit 18 Nov, 2009)_Danh sach nha cung cap ( Vendor List ) - Cap nhat 15-04-2011 2" xfId="8569" xr:uid="{00000000-0005-0000-0000-00005F2F0000}"/>
    <cellStyle name="T_SUPOR2806-2_Du toan BONFIGLIOLI-071126_puma 16.1_BOQ - BUNGE (TVT submit 18 Nov, 2009)_Danh sach nha cung cap ( Vendor List ) - Cap nhat 15-04-2011 2 2" xfId="13332" xr:uid="{00000000-0005-0000-0000-0000602F0000}"/>
    <cellStyle name="T_SUPOR2806-2_Du toan BONFIGLIOLI-071126_puma 16.1_BOQ - BUNGE (TVT submit 18 Nov, 2009)_Danh sach nha cung cap ( Vendor List ) - Cap nhat 15-04-2011 2 2 2" xfId="13333" xr:uid="{00000000-0005-0000-0000-0000612F0000}"/>
    <cellStyle name="T_SUPOR2806-2_Du toan BONFIGLIOLI-071126_puma 16.1_BOQ - BUNGE (TVT submit 18 Nov, 2009)_Danh sach nha cung cap ( Vendor List ) - Cap nhat 15-04-2011 2 3" xfId="13334" xr:uid="{00000000-0005-0000-0000-0000622F0000}"/>
    <cellStyle name="T_SUPOR2806-2_Du toan BONFIGLIOLI-071126_puma 16.1_BOQ - BUNGE (TVT submit 18 Nov, 2009)_Danh sach nha cung cap ( Vendor List ) - Cap nhat 15-04-2011 3" xfId="13335" xr:uid="{00000000-0005-0000-0000-0000632F0000}"/>
    <cellStyle name="T_SUPOR2806-2_Du toan BONFIGLIOLI-071126_puma 16.1_BOQ - BUNGE (TVT submit 18 Nov, 2009)_Danh sach nha cung cap ( Vendor List ) - Cap nhat 15-04-2011 3 2" xfId="13336" xr:uid="{00000000-0005-0000-0000-0000642F0000}"/>
    <cellStyle name="T_SUPOR2806-2_Du toan BONFIGLIOLI-071126_puma 16.1_BOQ - BUNGE (TVT submit 18 Nov, 2009)_Danh sach nha cung cap ( Vendor List ) - Cap nhat 15-04-2011 4" xfId="13337" xr:uid="{00000000-0005-0000-0000-0000652F0000}"/>
    <cellStyle name="T_SUPOR2806-2_Du toan BONFIGLIOLI-071126_puma 16.1_BOQ - CAB (TVT submit 28 Nov, 2008)" xfId="8570" xr:uid="{00000000-0005-0000-0000-0000662F0000}"/>
    <cellStyle name="T_SUPOR2806-2_Du toan BONFIGLIOLI-071126_puma 16.1_BOQ - CAB (TVT submit 28 Nov, 2008) 2" xfId="8571" xr:uid="{00000000-0005-0000-0000-0000672F0000}"/>
    <cellStyle name="T_SUPOR2806-2_Du toan BONFIGLIOLI-071126_puma 16.1_BOQ - CAB (TVT submit 28 Nov, 2008) 2 2" xfId="13338" xr:uid="{00000000-0005-0000-0000-0000682F0000}"/>
    <cellStyle name="T_SUPOR2806-2_Du toan BONFIGLIOLI-071126_puma 16.1_BOQ - CAB (TVT submit 28 Nov, 2008) 2 2 2" xfId="13339" xr:uid="{00000000-0005-0000-0000-0000692F0000}"/>
    <cellStyle name="T_SUPOR2806-2_Du toan BONFIGLIOLI-071126_puma 16.1_BOQ - CAB (TVT submit 28 Nov, 2008) 2 3" xfId="13340" xr:uid="{00000000-0005-0000-0000-00006A2F0000}"/>
    <cellStyle name="T_SUPOR2806-2_Du toan BONFIGLIOLI-071126_puma 16.1_BOQ - CAB (TVT submit 28 Nov, 2008) 3" xfId="13341" xr:uid="{00000000-0005-0000-0000-00006B2F0000}"/>
    <cellStyle name="T_SUPOR2806-2_Du toan BONFIGLIOLI-071126_puma 16.1_BOQ - CAB (TVT submit 28 Nov, 2008) 3 2" xfId="13342" xr:uid="{00000000-0005-0000-0000-00006C2F0000}"/>
    <cellStyle name="T_SUPOR2806-2_Du toan BONFIGLIOLI-071126_puma 16.1_BOQ - CAB (TVT submit 28 Nov, 2008) 4" xfId="13343" xr:uid="{00000000-0005-0000-0000-00006D2F0000}"/>
    <cellStyle name="T_SUPOR2806-2_Du toan BONFIGLIOLI-071126_puma 16.1_BOQ - CAB (TVT submit 28 Nov, 2008)_Danh sach nha cung cap ( Vendor List ) - Cap nhat 15-04-2011" xfId="8572" xr:uid="{00000000-0005-0000-0000-00006E2F0000}"/>
    <cellStyle name="T_SUPOR2806-2_Du toan BONFIGLIOLI-071126_puma 16.1_BOQ - CAB (TVT submit 28 Nov, 2008)_Danh sach nha cung cap ( Vendor List ) - Cap nhat 15-04-2011 2" xfId="8573" xr:uid="{00000000-0005-0000-0000-00006F2F0000}"/>
    <cellStyle name="T_SUPOR2806-2_Du toan BONFIGLIOLI-071126_puma 16.1_BOQ - CAB (TVT submit 28 Nov, 2008)_Danh sach nha cung cap ( Vendor List ) - Cap nhat 15-04-2011 2 2" xfId="13344" xr:uid="{00000000-0005-0000-0000-0000702F0000}"/>
    <cellStyle name="T_SUPOR2806-2_Du toan BONFIGLIOLI-071126_puma 16.1_BOQ - CAB (TVT submit 28 Nov, 2008)_Danh sach nha cung cap ( Vendor List ) - Cap nhat 15-04-2011 2 2 2" xfId="13345" xr:uid="{00000000-0005-0000-0000-0000712F0000}"/>
    <cellStyle name="T_SUPOR2806-2_Du toan BONFIGLIOLI-071126_puma 16.1_BOQ - CAB (TVT submit 28 Nov, 2008)_Danh sach nha cung cap ( Vendor List ) - Cap nhat 15-04-2011 2 3" xfId="13346" xr:uid="{00000000-0005-0000-0000-0000722F0000}"/>
    <cellStyle name="T_SUPOR2806-2_Du toan BONFIGLIOLI-071126_puma 16.1_BOQ - CAB (TVT submit 28 Nov, 2008)_Danh sach nha cung cap ( Vendor List ) - Cap nhat 15-04-2011 3" xfId="13347" xr:uid="{00000000-0005-0000-0000-0000732F0000}"/>
    <cellStyle name="T_SUPOR2806-2_Du toan BONFIGLIOLI-071126_puma 16.1_BOQ - CAB (TVT submit 28 Nov, 2008)_Danh sach nha cung cap ( Vendor List ) - Cap nhat 15-04-2011 3 2" xfId="13348" xr:uid="{00000000-0005-0000-0000-0000742F0000}"/>
    <cellStyle name="T_SUPOR2806-2_Du toan BONFIGLIOLI-071126_puma 16.1_BOQ - CAB (TVT submit 28 Nov, 2008)_Danh sach nha cung cap ( Vendor List ) - Cap nhat 15-04-2011 4" xfId="13349" xr:uid="{00000000-0005-0000-0000-0000752F0000}"/>
    <cellStyle name="T_SUPOR2806-2_Du toan BONFIGLIOLI-071126_puma 16.1_Danh sach nha cung cap ( Vendor List ) - Cap nhat 15-04-2011" xfId="8574" xr:uid="{00000000-0005-0000-0000-0000762F0000}"/>
    <cellStyle name="T_SUPOR2806-2_Du toan BONFIGLIOLI-071126_puma 16.1_Danh sach nha cung cap ( Vendor List ) - Cap nhat 15-04-2011 2" xfId="8575" xr:uid="{00000000-0005-0000-0000-0000772F0000}"/>
    <cellStyle name="T_SUPOR2806-2_Du toan BONFIGLIOLI-071126_puma 16.1_Danh sach nha cung cap ( Vendor List ) - Cap nhat 15-04-2011 2 2" xfId="13350" xr:uid="{00000000-0005-0000-0000-0000782F0000}"/>
    <cellStyle name="T_SUPOR2806-2_Du toan BONFIGLIOLI-071126_puma 16.1_Danh sach nha cung cap ( Vendor List ) - Cap nhat 15-04-2011 2 2 2" xfId="13351" xr:uid="{00000000-0005-0000-0000-0000792F0000}"/>
    <cellStyle name="T_SUPOR2806-2_Du toan BONFIGLIOLI-071126_puma 16.1_Danh sach nha cung cap ( Vendor List ) - Cap nhat 15-04-2011 2 3" xfId="13352" xr:uid="{00000000-0005-0000-0000-00007A2F0000}"/>
    <cellStyle name="T_SUPOR2806-2_Du toan BONFIGLIOLI-071126_puma 16.1_Danh sach nha cung cap ( Vendor List ) - Cap nhat 15-04-2011 3" xfId="13353" xr:uid="{00000000-0005-0000-0000-00007B2F0000}"/>
    <cellStyle name="T_SUPOR2806-2_Du toan BONFIGLIOLI-071126_puma 16.1_Danh sach nha cung cap ( Vendor List ) - Cap nhat 15-04-2011 3 2" xfId="13354" xr:uid="{00000000-0005-0000-0000-00007C2F0000}"/>
    <cellStyle name="T_SUPOR2806-2_Du toan BONFIGLIOLI-071126_puma 16.1_Danh sach nha cung cap ( Vendor List ) - Cap nhat 15-04-2011 4" xfId="13355" xr:uid="{00000000-0005-0000-0000-00007D2F0000}"/>
    <cellStyle name="T_SUPOR2806-2_Du toan BONFIGLIOLI-071126_puma 17.1" xfId="8576" xr:uid="{00000000-0005-0000-0000-00007E2F0000}"/>
    <cellStyle name="T_SUPOR2806-2_Du toan BONFIGLIOLI-071126_puma 17.1 2" xfId="8577" xr:uid="{00000000-0005-0000-0000-00007F2F0000}"/>
    <cellStyle name="T_SUPOR2806-2_Du toan BONFIGLIOLI-071126_puma 17.1 2 2" xfId="13356" xr:uid="{00000000-0005-0000-0000-0000802F0000}"/>
    <cellStyle name="T_SUPOR2806-2_Du toan BONFIGLIOLI-071126_puma 17.1 2 2 2" xfId="13357" xr:uid="{00000000-0005-0000-0000-0000812F0000}"/>
    <cellStyle name="T_SUPOR2806-2_Du toan BONFIGLIOLI-071126_puma 17.1 2 3" xfId="13358" xr:uid="{00000000-0005-0000-0000-0000822F0000}"/>
    <cellStyle name="T_SUPOR2806-2_Du toan BONFIGLIOLI-071126_puma 17.1 3" xfId="13359" xr:uid="{00000000-0005-0000-0000-0000832F0000}"/>
    <cellStyle name="T_SUPOR2806-2_Du toan BONFIGLIOLI-071126_puma 17.1 3 2" xfId="13360" xr:uid="{00000000-0005-0000-0000-0000842F0000}"/>
    <cellStyle name="T_SUPOR2806-2_Du toan BONFIGLIOLI-071126_puma 17.1 4" xfId="13361" xr:uid="{00000000-0005-0000-0000-0000852F0000}"/>
    <cellStyle name="T_SUPOR2806-2_Du toan BONFIGLIOLI-071126_puma 17.1_Danh sach nha cung cap ( Vendor List ) - Cap nhat 15-04-2011" xfId="8578" xr:uid="{00000000-0005-0000-0000-0000862F0000}"/>
    <cellStyle name="T_SUPOR2806-2_Du toan BONFIGLIOLI-071126_puma 17.1_Danh sach nha cung cap ( Vendor List ) - Cap nhat 15-04-2011 2" xfId="8579" xr:uid="{00000000-0005-0000-0000-0000872F0000}"/>
    <cellStyle name="T_SUPOR2806-2_Du toan BONFIGLIOLI-071126_puma 17.1_Danh sach nha cung cap ( Vendor List ) - Cap nhat 15-04-2011 2 2" xfId="13362" xr:uid="{00000000-0005-0000-0000-0000882F0000}"/>
    <cellStyle name="T_SUPOR2806-2_Du toan BONFIGLIOLI-071126_puma 17.1_Danh sach nha cung cap ( Vendor List ) - Cap nhat 15-04-2011 2 2 2" xfId="13363" xr:uid="{00000000-0005-0000-0000-0000892F0000}"/>
    <cellStyle name="T_SUPOR2806-2_Du toan BONFIGLIOLI-071126_puma 17.1_Danh sach nha cung cap ( Vendor List ) - Cap nhat 15-04-2011 2 3" xfId="13364" xr:uid="{00000000-0005-0000-0000-00008A2F0000}"/>
    <cellStyle name="T_SUPOR2806-2_Du toan BONFIGLIOLI-071126_puma 17.1_Danh sach nha cung cap ( Vendor List ) - Cap nhat 15-04-2011 3" xfId="13365" xr:uid="{00000000-0005-0000-0000-00008B2F0000}"/>
    <cellStyle name="T_SUPOR2806-2_Du toan BONFIGLIOLI-071126_puma 17.1_Danh sach nha cung cap ( Vendor List ) - Cap nhat 15-04-2011 3 2" xfId="13366" xr:uid="{00000000-0005-0000-0000-00008C2F0000}"/>
    <cellStyle name="T_SUPOR2806-2_Du toan BONFIGLIOLI-071126_puma 17.1_Danh sach nha cung cap ( Vendor List ) - Cap nhat 15-04-2011 4" xfId="13367" xr:uid="{00000000-0005-0000-0000-00008D2F0000}"/>
    <cellStyle name="T_SUPOR2806-2_Du toan BONFIGLIOLI-071126-Tram" xfId="8580" xr:uid="{00000000-0005-0000-0000-00008E2F0000}"/>
    <cellStyle name="T_SUPOR2806-2_Du toan BONFIGLIOLI-071126-Tram 2" xfId="8581" xr:uid="{00000000-0005-0000-0000-00008F2F0000}"/>
    <cellStyle name="T_SUPOR2806-2_Du toan BONFIGLIOLI-071126-Tram 2 2" xfId="13368" xr:uid="{00000000-0005-0000-0000-0000902F0000}"/>
    <cellStyle name="T_SUPOR2806-2_Du toan BONFIGLIOLI-071126-Tram 2 2 2" xfId="13369" xr:uid="{00000000-0005-0000-0000-0000912F0000}"/>
    <cellStyle name="T_SUPOR2806-2_Du toan BONFIGLIOLI-071126-Tram 2 3" xfId="13370" xr:uid="{00000000-0005-0000-0000-0000922F0000}"/>
    <cellStyle name="T_SUPOR2806-2_Du toan BONFIGLIOLI-071126-Tram 3" xfId="13371" xr:uid="{00000000-0005-0000-0000-0000932F0000}"/>
    <cellStyle name="T_SUPOR2806-2_Du toan BONFIGLIOLI-071126-Tram 3 2" xfId="13372" xr:uid="{00000000-0005-0000-0000-0000942F0000}"/>
    <cellStyle name="T_SUPOR2806-2_Du toan BONFIGLIOLI-071126-Tram 4" xfId="13373" xr:uid="{00000000-0005-0000-0000-0000952F0000}"/>
    <cellStyle name="T_SUPOR2806-2_Du toan BONFIGLIOLI-071126-Tram_Danh sach nha cung cap ( Vendor List ) - Cap nhat 15-04-2011" xfId="8582" xr:uid="{00000000-0005-0000-0000-0000962F0000}"/>
    <cellStyle name="T_SUPOR2806-2_Du toan BONFIGLIOLI-071126-Tram_Danh sach nha cung cap ( Vendor List ) - Cap nhat 15-04-2011 2" xfId="8583" xr:uid="{00000000-0005-0000-0000-0000972F0000}"/>
    <cellStyle name="T_SUPOR2806-2_Du toan BONFIGLIOLI-071126-Tram_Danh sach nha cung cap ( Vendor List ) - Cap nhat 15-04-2011 2 2" xfId="13374" xr:uid="{00000000-0005-0000-0000-0000982F0000}"/>
    <cellStyle name="T_SUPOR2806-2_Du toan BONFIGLIOLI-071126-Tram_Danh sach nha cung cap ( Vendor List ) - Cap nhat 15-04-2011 2 2 2" xfId="13375" xr:uid="{00000000-0005-0000-0000-0000992F0000}"/>
    <cellStyle name="T_SUPOR2806-2_Du toan BONFIGLIOLI-071126-Tram_Danh sach nha cung cap ( Vendor List ) - Cap nhat 15-04-2011 2 3" xfId="13376" xr:uid="{00000000-0005-0000-0000-00009A2F0000}"/>
    <cellStyle name="T_SUPOR2806-2_Du toan BONFIGLIOLI-071126-Tram_Danh sach nha cung cap ( Vendor List ) - Cap nhat 15-04-2011 3" xfId="13377" xr:uid="{00000000-0005-0000-0000-00009B2F0000}"/>
    <cellStyle name="T_SUPOR2806-2_Du toan BONFIGLIOLI-071126-Tram_Danh sach nha cung cap ( Vendor List ) - Cap nhat 15-04-2011 3 2" xfId="13378" xr:uid="{00000000-0005-0000-0000-00009C2F0000}"/>
    <cellStyle name="T_SUPOR2806-2_Du toan BONFIGLIOLI-071126-Tram_Danh sach nha cung cap ( Vendor List ) - Cap nhat 15-04-2011 4" xfId="13379" xr:uid="{00000000-0005-0000-0000-00009D2F0000}"/>
    <cellStyle name="T_SUPOR2806-2_Du toan BONFIGLIOLI-071126-Tram_General Quotation 5-1-2008" xfId="8584" xr:uid="{00000000-0005-0000-0000-00009E2F0000}"/>
    <cellStyle name="T_SUPOR2806-2_Du toan BONFIGLIOLI-071126-Tram_General Quotation 5-1-2008 2" xfId="8585" xr:uid="{00000000-0005-0000-0000-00009F2F0000}"/>
    <cellStyle name="T_SUPOR2806-2_Du toan BONFIGLIOLI-071126-Tram_General Quotation 5-1-2008 2 2" xfId="13380" xr:uid="{00000000-0005-0000-0000-0000A02F0000}"/>
    <cellStyle name="T_SUPOR2806-2_Du toan BONFIGLIOLI-071126-Tram_General Quotation 5-1-2008 2 2 2" xfId="13381" xr:uid="{00000000-0005-0000-0000-0000A12F0000}"/>
    <cellStyle name="T_SUPOR2806-2_Du toan BONFIGLIOLI-071126-Tram_General Quotation 5-1-2008 2 3" xfId="13382" xr:uid="{00000000-0005-0000-0000-0000A22F0000}"/>
    <cellStyle name="T_SUPOR2806-2_Du toan BONFIGLIOLI-071126-Tram_General Quotation 5-1-2008 3" xfId="13383" xr:uid="{00000000-0005-0000-0000-0000A32F0000}"/>
    <cellStyle name="T_SUPOR2806-2_Du toan BONFIGLIOLI-071126-Tram_General Quotation 5-1-2008 3 2" xfId="13384" xr:uid="{00000000-0005-0000-0000-0000A42F0000}"/>
    <cellStyle name="T_SUPOR2806-2_Du toan BONFIGLIOLI-071126-Tram_General Quotation 5-1-2008 4" xfId="13385" xr:uid="{00000000-0005-0000-0000-0000A52F0000}"/>
    <cellStyle name="T_SUPOR2806-2_Du toan BONFIGLIOLI-071126-Tram_General Quotation 5-1-2008_Danh sach nha cung cap ( Vendor List ) - Cap nhat 15-04-2011" xfId="8586" xr:uid="{00000000-0005-0000-0000-0000A62F0000}"/>
    <cellStyle name="T_SUPOR2806-2_Du toan BONFIGLIOLI-071126-Tram_General Quotation 5-1-2008_Danh sach nha cung cap ( Vendor List ) - Cap nhat 15-04-2011 2" xfId="8587" xr:uid="{00000000-0005-0000-0000-0000A72F0000}"/>
    <cellStyle name="T_SUPOR2806-2_Du toan BONFIGLIOLI-071126-Tram_General Quotation 5-1-2008_Danh sach nha cung cap ( Vendor List ) - Cap nhat 15-04-2011 2 2" xfId="13386" xr:uid="{00000000-0005-0000-0000-0000A82F0000}"/>
    <cellStyle name="T_SUPOR2806-2_Du toan BONFIGLIOLI-071126-Tram_General Quotation 5-1-2008_Danh sach nha cung cap ( Vendor List ) - Cap nhat 15-04-2011 2 2 2" xfId="13387" xr:uid="{00000000-0005-0000-0000-0000A92F0000}"/>
    <cellStyle name="T_SUPOR2806-2_Du toan BONFIGLIOLI-071126-Tram_General Quotation 5-1-2008_Danh sach nha cung cap ( Vendor List ) - Cap nhat 15-04-2011 2 3" xfId="13388" xr:uid="{00000000-0005-0000-0000-0000AA2F0000}"/>
    <cellStyle name="T_SUPOR2806-2_Du toan BONFIGLIOLI-071126-Tram_General Quotation 5-1-2008_Danh sach nha cung cap ( Vendor List ) - Cap nhat 15-04-2011 3" xfId="13389" xr:uid="{00000000-0005-0000-0000-0000AB2F0000}"/>
    <cellStyle name="T_SUPOR2806-2_Du toan BONFIGLIOLI-071126-Tram_General Quotation 5-1-2008_Danh sach nha cung cap ( Vendor List ) - Cap nhat 15-04-2011 3 2" xfId="13390" xr:uid="{00000000-0005-0000-0000-0000AC2F0000}"/>
    <cellStyle name="T_SUPOR2806-2_Du toan BONFIGLIOLI-071126-Tram_General Quotation 5-1-2008_Danh sach nha cung cap ( Vendor List ) - Cap nhat 15-04-2011 4" xfId="13391" xr:uid="{00000000-0005-0000-0000-0000AD2F0000}"/>
    <cellStyle name="T_SUPOR2806-2_Du toan mau 11-2007" xfId="8588" xr:uid="{00000000-0005-0000-0000-0000AE2F0000}"/>
    <cellStyle name="T_SUPOR2806-2_Du toan mau 11-2007 2" xfId="8589" xr:uid="{00000000-0005-0000-0000-0000AF2F0000}"/>
    <cellStyle name="T_SUPOR2806-2_Du toan mau 11-2007 2 2" xfId="13392" xr:uid="{00000000-0005-0000-0000-0000B02F0000}"/>
    <cellStyle name="T_SUPOR2806-2_Du toan mau 11-2007 2 2 2" xfId="13393" xr:uid="{00000000-0005-0000-0000-0000B12F0000}"/>
    <cellStyle name="T_SUPOR2806-2_Du toan mau 11-2007 2 3" xfId="13394" xr:uid="{00000000-0005-0000-0000-0000B22F0000}"/>
    <cellStyle name="T_SUPOR2806-2_Du toan mau 11-2007 3" xfId="13395" xr:uid="{00000000-0005-0000-0000-0000B32F0000}"/>
    <cellStyle name="T_SUPOR2806-2_Du toan mau 11-2007 3 2" xfId="13396" xr:uid="{00000000-0005-0000-0000-0000B42F0000}"/>
    <cellStyle name="T_SUPOR2806-2_Du toan mau 11-2007 4" xfId="13397" xr:uid="{00000000-0005-0000-0000-0000B52F0000}"/>
    <cellStyle name="T_SUPOR2806-2_Du toan mau 11-2007_Danh sach nha cung cap ( Vendor List ) - Cap nhat 15-04-2011" xfId="8590" xr:uid="{00000000-0005-0000-0000-0000B62F0000}"/>
    <cellStyle name="T_SUPOR2806-2_Du toan mau 11-2007_Danh sach nha cung cap ( Vendor List ) - Cap nhat 15-04-2011 2" xfId="8591" xr:uid="{00000000-0005-0000-0000-0000B72F0000}"/>
    <cellStyle name="T_SUPOR2806-2_Du toan mau 11-2007_Danh sach nha cung cap ( Vendor List ) - Cap nhat 15-04-2011 2 2" xfId="13398" xr:uid="{00000000-0005-0000-0000-0000B82F0000}"/>
    <cellStyle name="T_SUPOR2806-2_Du toan mau 11-2007_Danh sach nha cung cap ( Vendor List ) - Cap nhat 15-04-2011 2 2 2" xfId="13399" xr:uid="{00000000-0005-0000-0000-0000B92F0000}"/>
    <cellStyle name="T_SUPOR2806-2_Du toan mau 11-2007_Danh sach nha cung cap ( Vendor List ) - Cap nhat 15-04-2011 2 3" xfId="13400" xr:uid="{00000000-0005-0000-0000-0000BA2F0000}"/>
    <cellStyle name="T_SUPOR2806-2_Du toan mau 11-2007_Danh sach nha cung cap ( Vendor List ) - Cap nhat 15-04-2011 3" xfId="13401" xr:uid="{00000000-0005-0000-0000-0000BB2F0000}"/>
    <cellStyle name="T_SUPOR2806-2_Du toan mau 11-2007_Danh sach nha cung cap ( Vendor List ) - Cap nhat 15-04-2011 3 2" xfId="13402" xr:uid="{00000000-0005-0000-0000-0000BC2F0000}"/>
    <cellStyle name="T_SUPOR2806-2_Du toan mau 11-2007_Danh sach nha cung cap ( Vendor List ) - Cap nhat 15-04-2011 4" xfId="13403" xr:uid="{00000000-0005-0000-0000-0000BD2F0000}"/>
    <cellStyle name="T_SUPOR2806-2_Du toan mau 11-2007_General Quotation 5-1-2008" xfId="8592" xr:uid="{00000000-0005-0000-0000-0000BE2F0000}"/>
    <cellStyle name="T_SUPOR2806-2_Du toan mau 11-2007_General Quotation 5-1-2008 2" xfId="8593" xr:uid="{00000000-0005-0000-0000-0000BF2F0000}"/>
    <cellStyle name="T_SUPOR2806-2_Du toan mau 11-2007_General Quotation 5-1-2008 2 2" xfId="13404" xr:uid="{00000000-0005-0000-0000-0000C02F0000}"/>
    <cellStyle name="T_SUPOR2806-2_Du toan mau 11-2007_General Quotation 5-1-2008 2 2 2" xfId="13405" xr:uid="{00000000-0005-0000-0000-0000C12F0000}"/>
    <cellStyle name="T_SUPOR2806-2_Du toan mau 11-2007_General Quotation 5-1-2008 2 3" xfId="13406" xr:uid="{00000000-0005-0000-0000-0000C22F0000}"/>
    <cellStyle name="T_SUPOR2806-2_Du toan mau 11-2007_General Quotation 5-1-2008 3" xfId="13407" xr:uid="{00000000-0005-0000-0000-0000C32F0000}"/>
    <cellStyle name="T_SUPOR2806-2_Du toan mau 11-2007_General Quotation 5-1-2008 3 2" xfId="13408" xr:uid="{00000000-0005-0000-0000-0000C42F0000}"/>
    <cellStyle name="T_SUPOR2806-2_Du toan mau 11-2007_General Quotation 5-1-2008 4" xfId="13409" xr:uid="{00000000-0005-0000-0000-0000C52F0000}"/>
    <cellStyle name="T_SUPOR2806-2_Du toan mau 11-2007_General Quotation 5-1-2008_Danh sach nha cung cap ( Vendor List ) - Cap nhat 15-04-2011" xfId="8594" xr:uid="{00000000-0005-0000-0000-0000C62F0000}"/>
    <cellStyle name="T_SUPOR2806-2_Du toan mau 11-2007_General Quotation 5-1-2008_Danh sach nha cung cap ( Vendor List ) - Cap nhat 15-04-2011 2" xfId="8595" xr:uid="{00000000-0005-0000-0000-0000C72F0000}"/>
    <cellStyle name="T_SUPOR2806-2_Du toan mau 11-2007_General Quotation 5-1-2008_Danh sach nha cung cap ( Vendor List ) - Cap nhat 15-04-2011 2 2" xfId="13410" xr:uid="{00000000-0005-0000-0000-0000C82F0000}"/>
    <cellStyle name="T_SUPOR2806-2_Du toan mau 11-2007_General Quotation 5-1-2008_Danh sach nha cung cap ( Vendor List ) - Cap nhat 15-04-2011 2 2 2" xfId="13411" xr:uid="{00000000-0005-0000-0000-0000C92F0000}"/>
    <cellStyle name="T_SUPOR2806-2_Du toan mau 11-2007_General Quotation 5-1-2008_Danh sach nha cung cap ( Vendor List ) - Cap nhat 15-04-2011 2 3" xfId="13412" xr:uid="{00000000-0005-0000-0000-0000CA2F0000}"/>
    <cellStyle name="T_SUPOR2806-2_Du toan mau 11-2007_General Quotation 5-1-2008_Danh sach nha cung cap ( Vendor List ) - Cap nhat 15-04-2011 3" xfId="13413" xr:uid="{00000000-0005-0000-0000-0000CB2F0000}"/>
    <cellStyle name="T_SUPOR2806-2_Du toan mau 11-2007_General Quotation 5-1-2008_Danh sach nha cung cap ( Vendor List ) - Cap nhat 15-04-2011 3 2" xfId="13414" xr:uid="{00000000-0005-0000-0000-0000CC2F0000}"/>
    <cellStyle name="T_SUPOR2806-2_Du toan mau 11-2007_General Quotation 5-1-2008_Danh sach nha cung cap ( Vendor List ) - Cap nhat 15-04-2011 4" xfId="13415" xr:uid="{00000000-0005-0000-0000-0000CD2F0000}"/>
    <cellStyle name="T_SUPOR2806-2_Du toan mau 11-2007_HUNG" xfId="8596" xr:uid="{00000000-0005-0000-0000-0000CE2F0000}"/>
    <cellStyle name="T_SUPOR2806-2_Du toan mau 11-2007_HUNG 2" xfId="8597" xr:uid="{00000000-0005-0000-0000-0000CF2F0000}"/>
    <cellStyle name="T_SUPOR2806-2_Du toan mau 11-2007_HUNG 2 2" xfId="13416" xr:uid="{00000000-0005-0000-0000-0000D02F0000}"/>
    <cellStyle name="T_SUPOR2806-2_Du toan mau 11-2007_HUNG 2 2 2" xfId="13417" xr:uid="{00000000-0005-0000-0000-0000D12F0000}"/>
    <cellStyle name="T_SUPOR2806-2_Du toan mau 11-2007_HUNG 2 3" xfId="13418" xr:uid="{00000000-0005-0000-0000-0000D22F0000}"/>
    <cellStyle name="T_SUPOR2806-2_Du toan mau 11-2007_HUNG 3" xfId="13419" xr:uid="{00000000-0005-0000-0000-0000D32F0000}"/>
    <cellStyle name="T_SUPOR2806-2_Du toan mau 11-2007_HUNG 3 2" xfId="13420" xr:uid="{00000000-0005-0000-0000-0000D42F0000}"/>
    <cellStyle name="T_SUPOR2806-2_Du toan mau 11-2007_HUNG 4" xfId="13421" xr:uid="{00000000-0005-0000-0000-0000D52F0000}"/>
    <cellStyle name="T_SUPOR2806-2_Du toan mau 11-2007_HUNG_05  080428- BOQ - Main construction (12 June, 2008)" xfId="8598" xr:uid="{00000000-0005-0000-0000-0000D62F0000}"/>
    <cellStyle name="T_SUPOR2806-2_Du toan mau 11-2007_HUNG_05  080428- BOQ - Main construction (12 June, 2008) 2" xfId="8599" xr:uid="{00000000-0005-0000-0000-0000D72F0000}"/>
    <cellStyle name="T_SUPOR2806-2_Du toan mau 11-2007_HUNG_05  080428- BOQ - Main construction (12 June, 2008) 2 2" xfId="13422" xr:uid="{00000000-0005-0000-0000-0000D82F0000}"/>
    <cellStyle name="T_SUPOR2806-2_Du toan mau 11-2007_HUNG_05  080428- BOQ - Main construction (12 June, 2008) 2 2 2" xfId="13423" xr:uid="{00000000-0005-0000-0000-0000D92F0000}"/>
    <cellStyle name="T_SUPOR2806-2_Du toan mau 11-2007_HUNG_05  080428- BOQ - Main construction (12 June, 2008) 2 3" xfId="13424" xr:uid="{00000000-0005-0000-0000-0000DA2F0000}"/>
    <cellStyle name="T_SUPOR2806-2_Du toan mau 11-2007_HUNG_05  080428- BOQ - Main construction (12 June, 2008) 3" xfId="13425" xr:uid="{00000000-0005-0000-0000-0000DB2F0000}"/>
    <cellStyle name="T_SUPOR2806-2_Du toan mau 11-2007_HUNG_05  080428- BOQ - Main construction (12 June, 2008) 3 2" xfId="13426" xr:uid="{00000000-0005-0000-0000-0000DC2F0000}"/>
    <cellStyle name="T_SUPOR2806-2_Du toan mau 11-2007_HUNG_05  080428- BOQ - Main construction (12 June, 2008) 4" xfId="13427" xr:uid="{00000000-0005-0000-0000-0000DD2F0000}"/>
    <cellStyle name="T_SUPOR2806-2_Du toan mau 11-2007_HUNG_05  080428- BOQ - Main construction (12 June, 2008)_Danh sach nha cung cap ( Vendor List ) - Cap nhat 15-04-2011" xfId="8600" xr:uid="{00000000-0005-0000-0000-0000DE2F0000}"/>
    <cellStyle name="T_SUPOR2806-2_Du toan mau 11-2007_HUNG_05  080428- BOQ - Main construction (12 June, 2008)_Danh sach nha cung cap ( Vendor List ) - Cap nhat 15-04-2011 2" xfId="8601" xr:uid="{00000000-0005-0000-0000-0000DF2F0000}"/>
    <cellStyle name="T_SUPOR2806-2_Du toan mau 11-2007_HUNG_05  080428- BOQ - Main construction (12 June, 2008)_Danh sach nha cung cap ( Vendor List ) - Cap nhat 15-04-2011 2 2" xfId="13428" xr:uid="{00000000-0005-0000-0000-0000E02F0000}"/>
    <cellStyle name="T_SUPOR2806-2_Du toan mau 11-2007_HUNG_05  080428- BOQ - Main construction (12 June, 2008)_Danh sach nha cung cap ( Vendor List ) - Cap nhat 15-04-2011 2 2 2" xfId="13429" xr:uid="{00000000-0005-0000-0000-0000E12F0000}"/>
    <cellStyle name="T_SUPOR2806-2_Du toan mau 11-2007_HUNG_05  080428- BOQ - Main construction (12 June, 2008)_Danh sach nha cung cap ( Vendor List ) - Cap nhat 15-04-2011 2 3" xfId="13430" xr:uid="{00000000-0005-0000-0000-0000E22F0000}"/>
    <cellStyle name="T_SUPOR2806-2_Du toan mau 11-2007_HUNG_05  080428- BOQ - Main construction (12 June, 2008)_Danh sach nha cung cap ( Vendor List ) - Cap nhat 15-04-2011 3" xfId="13431" xr:uid="{00000000-0005-0000-0000-0000E32F0000}"/>
    <cellStyle name="T_SUPOR2806-2_Du toan mau 11-2007_HUNG_05  080428- BOQ - Main construction (12 June, 2008)_Danh sach nha cung cap ( Vendor List ) - Cap nhat 15-04-2011 3 2" xfId="13432" xr:uid="{00000000-0005-0000-0000-0000E42F0000}"/>
    <cellStyle name="T_SUPOR2806-2_Du toan mau 11-2007_HUNG_05  080428- BOQ - Main construction (12 June, 2008)_Danh sach nha cung cap ( Vendor List ) - Cap nhat 15-04-2011 4" xfId="13433" xr:uid="{00000000-0005-0000-0000-0000E52F0000}"/>
    <cellStyle name="T_SUPOR2806-2_Du toan mau 11-2007_HUNG_BOQ - BUNGE (TVT submit 18 Nov, 2009)" xfId="8602" xr:uid="{00000000-0005-0000-0000-0000E62F0000}"/>
    <cellStyle name="T_SUPOR2806-2_Du toan mau 11-2007_HUNG_BOQ - BUNGE (TVT submit 18 Nov, 2009) 2" xfId="8603" xr:uid="{00000000-0005-0000-0000-0000E72F0000}"/>
    <cellStyle name="T_SUPOR2806-2_Du toan mau 11-2007_HUNG_BOQ - BUNGE (TVT submit 18 Nov, 2009) 2 2" xfId="13434" xr:uid="{00000000-0005-0000-0000-0000E82F0000}"/>
    <cellStyle name="T_SUPOR2806-2_Du toan mau 11-2007_HUNG_BOQ - BUNGE (TVT submit 18 Nov, 2009) 2 2 2" xfId="13435" xr:uid="{00000000-0005-0000-0000-0000E92F0000}"/>
    <cellStyle name="T_SUPOR2806-2_Du toan mau 11-2007_HUNG_BOQ - BUNGE (TVT submit 18 Nov, 2009) 2 3" xfId="13436" xr:uid="{00000000-0005-0000-0000-0000EA2F0000}"/>
    <cellStyle name="T_SUPOR2806-2_Du toan mau 11-2007_HUNG_BOQ - BUNGE (TVT submit 18 Nov, 2009) 3" xfId="13437" xr:uid="{00000000-0005-0000-0000-0000EB2F0000}"/>
    <cellStyle name="T_SUPOR2806-2_Du toan mau 11-2007_HUNG_BOQ - BUNGE (TVT submit 18 Nov, 2009) 3 2" xfId="13438" xr:uid="{00000000-0005-0000-0000-0000EC2F0000}"/>
    <cellStyle name="T_SUPOR2806-2_Du toan mau 11-2007_HUNG_BOQ - BUNGE (TVT submit 18 Nov, 2009) 4" xfId="13439" xr:uid="{00000000-0005-0000-0000-0000ED2F0000}"/>
    <cellStyle name="T_SUPOR2806-2_Du toan mau 11-2007_HUNG_BOQ - BUNGE (TVT submit 18 Nov, 2009)_Danh sach nha cung cap ( Vendor List ) - Cap nhat 15-04-2011" xfId="8604" xr:uid="{00000000-0005-0000-0000-0000EE2F0000}"/>
    <cellStyle name="T_SUPOR2806-2_Du toan mau 11-2007_HUNG_BOQ - BUNGE (TVT submit 18 Nov, 2009)_Danh sach nha cung cap ( Vendor List ) - Cap nhat 15-04-2011 2" xfId="8605" xr:uid="{00000000-0005-0000-0000-0000EF2F0000}"/>
    <cellStyle name="T_SUPOR2806-2_Du toan mau 11-2007_HUNG_BOQ - BUNGE (TVT submit 18 Nov, 2009)_Danh sach nha cung cap ( Vendor List ) - Cap nhat 15-04-2011 2 2" xfId="13440" xr:uid="{00000000-0005-0000-0000-0000F02F0000}"/>
    <cellStyle name="T_SUPOR2806-2_Du toan mau 11-2007_HUNG_BOQ - BUNGE (TVT submit 18 Nov, 2009)_Danh sach nha cung cap ( Vendor List ) - Cap nhat 15-04-2011 2 2 2" xfId="13441" xr:uid="{00000000-0005-0000-0000-0000F12F0000}"/>
    <cellStyle name="T_SUPOR2806-2_Du toan mau 11-2007_HUNG_BOQ - BUNGE (TVT submit 18 Nov, 2009)_Danh sach nha cung cap ( Vendor List ) - Cap nhat 15-04-2011 2 3" xfId="13442" xr:uid="{00000000-0005-0000-0000-0000F22F0000}"/>
    <cellStyle name="T_SUPOR2806-2_Du toan mau 11-2007_HUNG_BOQ - BUNGE (TVT submit 18 Nov, 2009)_Danh sach nha cung cap ( Vendor List ) - Cap nhat 15-04-2011 3" xfId="13443" xr:uid="{00000000-0005-0000-0000-0000F32F0000}"/>
    <cellStyle name="T_SUPOR2806-2_Du toan mau 11-2007_HUNG_BOQ - BUNGE (TVT submit 18 Nov, 2009)_Danh sach nha cung cap ( Vendor List ) - Cap nhat 15-04-2011 3 2" xfId="13444" xr:uid="{00000000-0005-0000-0000-0000F42F0000}"/>
    <cellStyle name="T_SUPOR2806-2_Du toan mau 11-2007_HUNG_BOQ - BUNGE (TVT submit 18 Nov, 2009)_Danh sach nha cung cap ( Vendor List ) - Cap nhat 15-04-2011 4" xfId="13445" xr:uid="{00000000-0005-0000-0000-0000F52F0000}"/>
    <cellStyle name="T_SUPOR2806-2_Du toan mau 11-2007_HUNG_BOQ - CAB (TVT submit 28 Nov, 2008)" xfId="8606" xr:uid="{00000000-0005-0000-0000-0000F62F0000}"/>
    <cellStyle name="T_SUPOR2806-2_Du toan mau 11-2007_HUNG_BOQ - CAB (TVT submit 28 Nov, 2008) 2" xfId="8607" xr:uid="{00000000-0005-0000-0000-0000F72F0000}"/>
    <cellStyle name="T_SUPOR2806-2_Du toan mau 11-2007_HUNG_BOQ - CAB (TVT submit 28 Nov, 2008) 2 2" xfId="13446" xr:uid="{00000000-0005-0000-0000-0000F82F0000}"/>
    <cellStyle name="T_SUPOR2806-2_Du toan mau 11-2007_HUNG_BOQ - CAB (TVT submit 28 Nov, 2008) 2 2 2" xfId="13447" xr:uid="{00000000-0005-0000-0000-0000F92F0000}"/>
    <cellStyle name="T_SUPOR2806-2_Du toan mau 11-2007_HUNG_BOQ - CAB (TVT submit 28 Nov, 2008) 2 3" xfId="13448" xr:uid="{00000000-0005-0000-0000-0000FA2F0000}"/>
    <cellStyle name="T_SUPOR2806-2_Du toan mau 11-2007_HUNG_BOQ - CAB (TVT submit 28 Nov, 2008) 3" xfId="13449" xr:uid="{00000000-0005-0000-0000-0000FB2F0000}"/>
    <cellStyle name="T_SUPOR2806-2_Du toan mau 11-2007_HUNG_BOQ - CAB (TVT submit 28 Nov, 2008) 3 2" xfId="13450" xr:uid="{00000000-0005-0000-0000-0000FC2F0000}"/>
    <cellStyle name="T_SUPOR2806-2_Du toan mau 11-2007_HUNG_BOQ - CAB (TVT submit 28 Nov, 2008) 4" xfId="13451" xr:uid="{00000000-0005-0000-0000-0000FD2F0000}"/>
    <cellStyle name="T_SUPOR2806-2_Du toan mau 11-2007_HUNG_BOQ - CAB (TVT submit 28 Nov, 2008)_Danh sach nha cung cap ( Vendor List ) - Cap nhat 15-04-2011" xfId="8608" xr:uid="{00000000-0005-0000-0000-0000FE2F0000}"/>
    <cellStyle name="T_SUPOR2806-2_Du toan mau 11-2007_HUNG_BOQ - CAB (TVT submit 28 Nov, 2008)_Danh sach nha cung cap ( Vendor List ) - Cap nhat 15-04-2011 2" xfId="8609" xr:uid="{00000000-0005-0000-0000-0000FF2F0000}"/>
    <cellStyle name="T_SUPOR2806-2_Du toan mau 11-2007_HUNG_BOQ - CAB (TVT submit 28 Nov, 2008)_Danh sach nha cung cap ( Vendor List ) - Cap nhat 15-04-2011 2 2" xfId="13452" xr:uid="{00000000-0005-0000-0000-000000300000}"/>
    <cellStyle name="T_SUPOR2806-2_Du toan mau 11-2007_HUNG_BOQ - CAB (TVT submit 28 Nov, 2008)_Danh sach nha cung cap ( Vendor List ) - Cap nhat 15-04-2011 2 2 2" xfId="13453" xr:uid="{00000000-0005-0000-0000-000001300000}"/>
    <cellStyle name="T_SUPOR2806-2_Du toan mau 11-2007_HUNG_BOQ - CAB (TVT submit 28 Nov, 2008)_Danh sach nha cung cap ( Vendor List ) - Cap nhat 15-04-2011 2 3" xfId="13454" xr:uid="{00000000-0005-0000-0000-000002300000}"/>
    <cellStyle name="T_SUPOR2806-2_Du toan mau 11-2007_HUNG_BOQ - CAB (TVT submit 28 Nov, 2008)_Danh sach nha cung cap ( Vendor List ) - Cap nhat 15-04-2011 3" xfId="13455" xr:uid="{00000000-0005-0000-0000-000003300000}"/>
    <cellStyle name="T_SUPOR2806-2_Du toan mau 11-2007_HUNG_BOQ - CAB (TVT submit 28 Nov, 2008)_Danh sach nha cung cap ( Vendor List ) - Cap nhat 15-04-2011 3 2" xfId="13456" xr:uid="{00000000-0005-0000-0000-000004300000}"/>
    <cellStyle name="T_SUPOR2806-2_Du toan mau 11-2007_HUNG_BOQ - CAB (TVT submit 28 Nov, 2008)_Danh sach nha cung cap ( Vendor List ) - Cap nhat 15-04-2011 4" xfId="13457" xr:uid="{00000000-0005-0000-0000-000005300000}"/>
    <cellStyle name="T_SUPOR2806-2_Du toan mau 11-2007_HUNG_Danh sach nha cung cap ( Vendor List ) - Cap nhat 15-04-2011" xfId="8610" xr:uid="{00000000-0005-0000-0000-000006300000}"/>
    <cellStyle name="T_SUPOR2806-2_Du toan mau 11-2007_HUNG_Danh sach nha cung cap ( Vendor List ) - Cap nhat 15-04-2011 2" xfId="8611" xr:uid="{00000000-0005-0000-0000-000007300000}"/>
    <cellStyle name="T_SUPOR2806-2_Du toan mau 11-2007_HUNG_Danh sach nha cung cap ( Vendor List ) - Cap nhat 15-04-2011 2 2" xfId="13458" xr:uid="{00000000-0005-0000-0000-000008300000}"/>
    <cellStyle name="T_SUPOR2806-2_Du toan mau 11-2007_HUNG_Danh sach nha cung cap ( Vendor List ) - Cap nhat 15-04-2011 2 2 2" xfId="13459" xr:uid="{00000000-0005-0000-0000-000009300000}"/>
    <cellStyle name="T_SUPOR2806-2_Du toan mau 11-2007_HUNG_Danh sach nha cung cap ( Vendor List ) - Cap nhat 15-04-2011 2 3" xfId="13460" xr:uid="{00000000-0005-0000-0000-00000A300000}"/>
    <cellStyle name="T_SUPOR2806-2_Du toan mau 11-2007_HUNG_Danh sach nha cung cap ( Vendor List ) - Cap nhat 15-04-2011 3" xfId="13461" xr:uid="{00000000-0005-0000-0000-00000B300000}"/>
    <cellStyle name="T_SUPOR2806-2_Du toan mau 11-2007_HUNG_Danh sach nha cung cap ( Vendor List ) - Cap nhat 15-04-2011 3 2" xfId="13462" xr:uid="{00000000-0005-0000-0000-00000C300000}"/>
    <cellStyle name="T_SUPOR2806-2_Du toan mau 11-2007_HUNG_Danh sach nha cung cap ( Vendor List ) - Cap nhat 15-04-2011 4" xfId="13463" xr:uid="{00000000-0005-0000-0000-00000D300000}"/>
    <cellStyle name="T_SUPOR2806-2_Du toan mau 11-2007_puma 16.1" xfId="8612" xr:uid="{00000000-0005-0000-0000-00000E300000}"/>
    <cellStyle name="T_SUPOR2806-2_Du toan mau 11-2007_puma 16.1 2" xfId="8613" xr:uid="{00000000-0005-0000-0000-00000F300000}"/>
    <cellStyle name="T_SUPOR2806-2_Du toan mau 11-2007_puma 16.1 2 2" xfId="13464" xr:uid="{00000000-0005-0000-0000-000010300000}"/>
    <cellStyle name="T_SUPOR2806-2_Du toan mau 11-2007_puma 16.1 2 2 2" xfId="13465" xr:uid="{00000000-0005-0000-0000-000011300000}"/>
    <cellStyle name="T_SUPOR2806-2_Du toan mau 11-2007_puma 16.1 2 3" xfId="13466" xr:uid="{00000000-0005-0000-0000-000012300000}"/>
    <cellStyle name="T_SUPOR2806-2_Du toan mau 11-2007_puma 16.1 3" xfId="13467" xr:uid="{00000000-0005-0000-0000-000013300000}"/>
    <cellStyle name="T_SUPOR2806-2_Du toan mau 11-2007_puma 16.1 3 2" xfId="13468" xr:uid="{00000000-0005-0000-0000-000014300000}"/>
    <cellStyle name="T_SUPOR2806-2_Du toan mau 11-2007_puma 16.1 4" xfId="13469" xr:uid="{00000000-0005-0000-0000-000015300000}"/>
    <cellStyle name="T_SUPOR2806-2_Du toan mau 11-2007_puma 16.1_05  080428- BOQ - Main construction (12 June, 2008)" xfId="8614" xr:uid="{00000000-0005-0000-0000-000016300000}"/>
    <cellStyle name="T_SUPOR2806-2_Du toan mau 11-2007_puma 16.1_05  080428- BOQ - Main construction (12 June, 2008) 2" xfId="8615" xr:uid="{00000000-0005-0000-0000-000017300000}"/>
    <cellStyle name="T_SUPOR2806-2_Du toan mau 11-2007_puma 16.1_05  080428- BOQ - Main construction (12 June, 2008) 2 2" xfId="13470" xr:uid="{00000000-0005-0000-0000-000018300000}"/>
    <cellStyle name="T_SUPOR2806-2_Du toan mau 11-2007_puma 16.1_05  080428- BOQ - Main construction (12 June, 2008) 2 2 2" xfId="13471" xr:uid="{00000000-0005-0000-0000-000019300000}"/>
    <cellStyle name="T_SUPOR2806-2_Du toan mau 11-2007_puma 16.1_05  080428- BOQ - Main construction (12 June, 2008) 2 3" xfId="13472" xr:uid="{00000000-0005-0000-0000-00001A300000}"/>
    <cellStyle name="T_SUPOR2806-2_Du toan mau 11-2007_puma 16.1_05  080428- BOQ - Main construction (12 June, 2008) 3" xfId="13473" xr:uid="{00000000-0005-0000-0000-00001B300000}"/>
    <cellStyle name="T_SUPOR2806-2_Du toan mau 11-2007_puma 16.1_05  080428- BOQ - Main construction (12 June, 2008) 3 2" xfId="13474" xr:uid="{00000000-0005-0000-0000-00001C300000}"/>
    <cellStyle name="T_SUPOR2806-2_Du toan mau 11-2007_puma 16.1_05  080428- BOQ - Main construction (12 June, 2008) 4" xfId="13475" xr:uid="{00000000-0005-0000-0000-00001D300000}"/>
    <cellStyle name="T_SUPOR2806-2_Du toan mau 11-2007_puma 16.1_05  080428- BOQ - Main construction (12 June, 2008)_Danh sach nha cung cap ( Vendor List ) - Cap nhat 15-04-2011" xfId="8616" xr:uid="{00000000-0005-0000-0000-00001E300000}"/>
    <cellStyle name="T_SUPOR2806-2_Du toan mau 11-2007_puma 16.1_05  080428- BOQ - Main construction (12 June, 2008)_Danh sach nha cung cap ( Vendor List ) - Cap nhat 15-04-2011 2" xfId="8617" xr:uid="{00000000-0005-0000-0000-00001F300000}"/>
    <cellStyle name="T_SUPOR2806-2_Du toan mau 11-2007_puma 16.1_05  080428- BOQ - Main construction (12 June, 2008)_Danh sach nha cung cap ( Vendor List ) - Cap nhat 15-04-2011 2 2" xfId="13476" xr:uid="{00000000-0005-0000-0000-000020300000}"/>
    <cellStyle name="T_SUPOR2806-2_Du toan mau 11-2007_puma 16.1_05  080428- BOQ - Main construction (12 June, 2008)_Danh sach nha cung cap ( Vendor List ) - Cap nhat 15-04-2011 2 2 2" xfId="13477" xr:uid="{00000000-0005-0000-0000-000021300000}"/>
    <cellStyle name="T_SUPOR2806-2_Du toan mau 11-2007_puma 16.1_05  080428- BOQ - Main construction (12 June, 2008)_Danh sach nha cung cap ( Vendor List ) - Cap nhat 15-04-2011 2 3" xfId="13478" xr:uid="{00000000-0005-0000-0000-000022300000}"/>
    <cellStyle name="T_SUPOR2806-2_Du toan mau 11-2007_puma 16.1_05  080428- BOQ - Main construction (12 June, 2008)_Danh sach nha cung cap ( Vendor List ) - Cap nhat 15-04-2011 3" xfId="13479" xr:uid="{00000000-0005-0000-0000-000023300000}"/>
    <cellStyle name="T_SUPOR2806-2_Du toan mau 11-2007_puma 16.1_05  080428- BOQ - Main construction (12 June, 2008)_Danh sach nha cung cap ( Vendor List ) - Cap nhat 15-04-2011 3 2" xfId="13480" xr:uid="{00000000-0005-0000-0000-000024300000}"/>
    <cellStyle name="T_SUPOR2806-2_Du toan mau 11-2007_puma 16.1_05  080428- BOQ - Main construction (12 June, 2008)_Danh sach nha cung cap ( Vendor List ) - Cap nhat 15-04-2011 4" xfId="13481" xr:uid="{00000000-0005-0000-0000-000025300000}"/>
    <cellStyle name="T_SUPOR2806-2_Du toan mau 11-2007_puma 16.1_BOQ - BUNGE (TVT submit 18 Nov, 2009)" xfId="8618" xr:uid="{00000000-0005-0000-0000-000026300000}"/>
    <cellStyle name="T_SUPOR2806-2_Du toan mau 11-2007_puma 16.1_BOQ - BUNGE (TVT submit 18 Nov, 2009) 2" xfId="8619" xr:uid="{00000000-0005-0000-0000-000027300000}"/>
    <cellStyle name="T_SUPOR2806-2_Du toan mau 11-2007_puma 16.1_BOQ - BUNGE (TVT submit 18 Nov, 2009) 2 2" xfId="13482" xr:uid="{00000000-0005-0000-0000-000028300000}"/>
    <cellStyle name="T_SUPOR2806-2_Du toan mau 11-2007_puma 16.1_BOQ - BUNGE (TVT submit 18 Nov, 2009) 2 2 2" xfId="13483" xr:uid="{00000000-0005-0000-0000-000029300000}"/>
    <cellStyle name="T_SUPOR2806-2_Du toan mau 11-2007_puma 16.1_BOQ - BUNGE (TVT submit 18 Nov, 2009) 2 3" xfId="13484" xr:uid="{00000000-0005-0000-0000-00002A300000}"/>
    <cellStyle name="T_SUPOR2806-2_Du toan mau 11-2007_puma 16.1_BOQ - BUNGE (TVT submit 18 Nov, 2009) 3" xfId="13485" xr:uid="{00000000-0005-0000-0000-00002B300000}"/>
    <cellStyle name="T_SUPOR2806-2_Du toan mau 11-2007_puma 16.1_BOQ - BUNGE (TVT submit 18 Nov, 2009) 3 2" xfId="13486" xr:uid="{00000000-0005-0000-0000-00002C300000}"/>
    <cellStyle name="T_SUPOR2806-2_Du toan mau 11-2007_puma 16.1_BOQ - BUNGE (TVT submit 18 Nov, 2009) 4" xfId="13487" xr:uid="{00000000-0005-0000-0000-00002D300000}"/>
    <cellStyle name="T_SUPOR2806-2_Du toan mau 11-2007_puma 16.1_BOQ - BUNGE (TVT submit 18 Nov, 2009)_Danh sach nha cung cap ( Vendor List ) - Cap nhat 15-04-2011" xfId="8620" xr:uid="{00000000-0005-0000-0000-00002E300000}"/>
    <cellStyle name="T_SUPOR2806-2_Du toan mau 11-2007_puma 16.1_BOQ - BUNGE (TVT submit 18 Nov, 2009)_Danh sach nha cung cap ( Vendor List ) - Cap nhat 15-04-2011 2" xfId="8621" xr:uid="{00000000-0005-0000-0000-00002F300000}"/>
    <cellStyle name="T_SUPOR2806-2_Du toan mau 11-2007_puma 16.1_BOQ - BUNGE (TVT submit 18 Nov, 2009)_Danh sach nha cung cap ( Vendor List ) - Cap nhat 15-04-2011 2 2" xfId="13488" xr:uid="{00000000-0005-0000-0000-000030300000}"/>
    <cellStyle name="T_SUPOR2806-2_Du toan mau 11-2007_puma 16.1_BOQ - BUNGE (TVT submit 18 Nov, 2009)_Danh sach nha cung cap ( Vendor List ) - Cap nhat 15-04-2011 2 2 2" xfId="13489" xr:uid="{00000000-0005-0000-0000-000031300000}"/>
    <cellStyle name="T_SUPOR2806-2_Du toan mau 11-2007_puma 16.1_BOQ - BUNGE (TVT submit 18 Nov, 2009)_Danh sach nha cung cap ( Vendor List ) - Cap nhat 15-04-2011 2 3" xfId="13490" xr:uid="{00000000-0005-0000-0000-000032300000}"/>
    <cellStyle name="T_SUPOR2806-2_Du toan mau 11-2007_puma 16.1_BOQ - BUNGE (TVT submit 18 Nov, 2009)_Danh sach nha cung cap ( Vendor List ) - Cap nhat 15-04-2011 3" xfId="13491" xr:uid="{00000000-0005-0000-0000-000033300000}"/>
    <cellStyle name="T_SUPOR2806-2_Du toan mau 11-2007_puma 16.1_BOQ - BUNGE (TVT submit 18 Nov, 2009)_Danh sach nha cung cap ( Vendor List ) - Cap nhat 15-04-2011 3 2" xfId="13492" xr:uid="{00000000-0005-0000-0000-000034300000}"/>
    <cellStyle name="T_SUPOR2806-2_Du toan mau 11-2007_puma 16.1_BOQ - BUNGE (TVT submit 18 Nov, 2009)_Danh sach nha cung cap ( Vendor List ) - Cap nhat 15-04-2011 4" xfId="13493" xr:uid="{00000000-0005-0000-0000-000035300000}"/>
    <cellStyle name="T_SUPOR2806-2_Du toan mau 11-2007_puma 16.1_BOQ - CAB (TVT submit 28 Nov, 2008)" xfId="8622" xr:uid="{00000000-0005-0000-0000-000036300000}"/>
    <cellStyle name="T_SUPOR2806-2_Du toan mau 11-2007_puma 16.1_BOQ - CAB (TVT submit 28 Nov, 2008) 2" xfId="8623" xr:uid="{00000000-0005-0000-0000-000037300000}"/>
    <cellStyle name="T_SUPOR2806-2_Du toan mau 11-2007_puma 16.1_BOQ - CAB (TVT submit 28 Nov, 2008) 2 2" xfId="13494" xr:uid="{00000000-0005-0000-0000-000038300000}"/>
    <cellStyle name="T_SUPOR2806-2_Du toan mau 11-2007_puma 16.1_BOQ - CAB (TVT submit 28 Nov, 2008) 2 2 2" xfId="13495" xr:uid="{00000000-0005-0000-0000-000039300000}"/>
    <cellStyle name="T_SUPOR2806-2_Du toan mau 11-2007_puma 16.1_BOQ - CAB (TVT submit 28 Nov, 2008) 2 3" xfId="13496" xr:uid="{00000000-0005-0000-0000-00003A300000}"/>
    <cellStyle name="T_SUPOR2806-2_Du toan mau 11-2007_puma 16.1_BOQ - CAB (TVT submit 28 Nov, 2008) 3" xfId="13497" xr:uid="{00000000-0005-0000-0000-00003B300000}"/>
    <cellStyle name="T_SUPOR2806-2_Du toan mau 11-2007_puma 16.1_BOQ - CAB (TVT submit 28 Nov, 2008) 3 2" xfId="13498" xr:uid="{00000000-0005-0000-0000-00003C300000}"/>
    <cellStyle name="T_SUPOR2806-2_Du toan mau 11-2007_puma 16.1_BOQ - CAB (TVT submit 28 Nov, 2008) 4" xfId="13499" xr:uid="{00000000-0005-0000-0000-00003D300000}"/>
    <cellStyle name="T_SUPOR2806-2_Du toan mau 11-2007_puma 16.1_BOQ - CAB (TVT submit 28 Nov, 2008)_Danh sach nha cung cap ( Vendor List ) - Cap nhat 15-04-2011" xfId="8624" xr:uid="{00000000-0005-0000-0000-00003E300000}"/>
    <cellStyle name="T_SUPOR2806-2_Du toan mau 11-2007_puma 16.1_BOQ - CAB (TVT submit 28 Nov, 2008)_Danh sach nha cung cap ( Vendor List ) - Cap nhat 15-04-2011 2" xfId="8625" xr:uid="{00000000-0005-0000-0000-00003F300000}"/>
    <cellStyle name="T_SUPOR2806-2_Du toan mau 11-2007_puma 16.1_BOQ - CAB (TVT submit 28 Nov, 2008)_Danh sach nha cung cap ( Vendor List ) - Cap nhat 15-04-2011 2 2" xfId="13500" xr:uid="{00000000-0005-0000-0000-000040300000}"/>
    <cellStyle name="T_SUPOR2806-2_Du toan mau 11-2007_puma 16.1_BOQ - CAB (TVT submit 28 Nov, 2008)_Danh sach nha cung cap ( Vendor List ) - Cap nhat 15-04-2011 2 2 2" xfId="13501" xr:uid="{00000000-0005-0000-0000-000041300000}"/>
    <cellStyle name="T_SUPOR2806-2_Du toan mau 11-2007_puma 16.1_BOQ - CAB (TVT submit 28 Nov, 2008)_Danh sach nha cung cap ( Vendor List ) - Cap nhat 15-04-2011 2 3" xfId="13502" xr:uid="{00000000-0005-0000-0000-000042300000}"/>
    <cellStyle name="T_SUPOR2806-2_Du toan mau 11-2007_puma 16.1_BOQ - CAB (TVT submit 28 Nov, 2008)_Danh sach nha cung cap ( Vendor List ) - Cap nhat 15-04-2011 3" xfId="13503" xr:uid="{00000000-0005-0000-0000-000043300000}"/>
    <cellStyle name="T_SUPOR2806-2_Du toan mau 11-2007_puma 16.1_BOQ - CAB (TVT submit 28 Nov, 2008)_Danh sach nha cung cap ( Vendor List ) - Cap nhat 15-04-2011 3 2" xfId="13504" xr:uid="{00000000-0005-0000-0000-000044300000}"/>
    <cellStyle name="T_SUPOR2806-2_Du toan mau 11-2007_puma 16.1_BOQ - CAB (TVT submit 28 Nov, 2008)_Danh sach nha cung cap ( Vendor List ) - Cap nhat 15-04-2011 4" xfId="13505" xr:uid="{00000000-0005-0000-0000-000045300000}"/>
    <cellStyle name="T_SUPOR2806-2_Du toan mau 11-2007_puma 16.1_Danh sach nha cung cap ( Vendor List ) - Cap nhat 15-04-2011" xfId="8626" xr:uid="{00000000-0005-0000-0000-000046300000}"/>
    <cellStyle name="T_SUPOR2806-2_Du toan mau 11-2007_puma 16.1_Danh sach nha cung cap ( Vendor List ) - Cap nhat 15-04-2011 2" xfId="8627" xr:uid="{00000000-0005-0000-0000-000047300000}"/>
    <cellStyle name="T_SUPOR2806-2_Du toan mau 11-2007_puma 16.1_Danh sach nha cung cap ( Vendor List ) - Cap nhat 15-04-2011 2 2" xfId="13506" xr:uid="{00000000-0005-0000-0000-000048300000}"/>
    <cellStyle name="T_SUPOR2806-2_Du toan mau 11-2007_puma 16.1_Danh sach nha cung cap ( Vendor List ) - Cap nhat 15-04-2011 2 2 2" xfId="13507" xr:uid="{00000000-0005-0000-0000-000049300000}"/>
    <cellStyle name="T_SUPOR2806-2_Du toan mau 11-2007_puma 16.1_Danh sach nha cung cap ( Vendor List ) - Cap nhat 15-04-2011 2 3" xfId="13508" xr:uid="{00000000-0005-0000-0000-00004A300000}"/>
    <cellStyle name="T_SUPOR2806-2_Du toan mau 11-2007_puma 16.1_Danh sach nha cung cap ( Vendor List ) - Cap nhat 15-04-2011 3" xfId="13509" xr:uid="{00000000-0005-0000-0000-00004B300000}"/>
    <cellStyle name="T_SUPOR2806-2_Du toan mau 11-2007_puma 16.1_Danh sach nha cung cap ( Vendor List ) - Cap nhat 15-04-2011 3 2" xfId="13510" xr:uid="{00000000-0005-0000-0000-00004C300000}"/>
    <cellStyle name="T_SUPOR2806-2_Du toan mau 11-2007_puma 16.1_Danh sach nha cung cap ( Vendor List ) - Cap nhat 15-04-2011 4" xfId="13511" xr:uid="{00000000-0005-0000-0000-00004D300000}"/>
    <cellStyle name="T_SUPOR2806-2_Du toan mau 11-2007_puma 17.1" xfId="8628" xr:uid="{00000000-0005-0000-0000-00004E300000}"/>
    <cellStyle name="T_SUPOR2806-2_Du toan mau 11-2007_puma 17.1 2" xfId="8629" xr:uid="{00000000-0005-0000-0000-00004F300000}"/>
    <cellStyle name="T_SUPOR2806-2_Du toan mau 11-2007_puma 17.1 2 2" xfId="13512" xr:uid="{00000000-0005-0000-0000-000050300000}"/>
    <cellStyle name="T_SUPOR2806-2_Du toan mau 11-2007_puma 17.1 2 2 2" xfId="13513" xr:uid="{00000000-0005-0000-0000-000051300000}"/>
    <cellStyle name="T_SUPOR2806-2_Du toan mau 11-2007_puma 17.1 2 3" xfId="13514" xr:uid="{00000000-0005-0000-0000-000052300000}"/>
    <cellStyle name="T_SUPOR2806-2_Du toan mau 11-2007_puma 17.1 3" xfId="13515" xr:uid="{00000000-0005-0000-0000-000053300000}"/>
    <cellStyle name="T_SUPOR2806-2_Du toan mau 11-2007_puma 17.1 3 2" xfId="13516" xr:uid="{00000000-0005-0000-0000-000054300000}"/>
    <cellStyle name="T_SUPOR2806-2_Du toan mau 11-2007_puma 17.1 4" xfId="13517" xr:uid="{00000000-0005-0000-0000-000055300000}"/>
    <cellStyle name="T_SUPOR2806-2_Du toan mau 11-2007_puma 17.1_Danh sach nha cung cap ( Vendor List ) - Cap nhat 15-04-2011" xfId="8630" xr:uid="{00000000-0005-0000-0000-000056300000}"/>
    <cellStyle name="T_SUPOR2806-2_Du toan mau 11-2007_puma 17.1_Danh sach nha cung cap ( Vendor List ) - Cap nhat 15-04-2011 2" xfId="8631" xr:uid="{00000000-0005-0000-0000-000057300000}"/>
    <cellStyle name="T_SUPOR2806-2_Du toan mau 11-2007_puma 17.1_Danh sach nha cung cap ( Vendor List ) - Cap nhat 15-04-2011 2 2" xfId="13518" xr:uid="{00000000-0005-0000-0000-000058300000}"/>
    <cellStyle name="T_SUPOR2806-2_Du toan mau 11-2007_puma 17.1_Danh sach nha cung cap ( Vendor List ) - Cap nhat 15-04-2011 2 2 2" xfId="13519" xr:uid="{00000000-0005-0000-0000-000059300000}"/>
    <cellStyle name="T_SUPOR2806-2_Du toan mau 11-2007_puma 17.1_Danh sach nha cung cap ( Vendor List ) - Cap nhat 15-04-2011 2 3" xfId="13520" xr:uid="{00000000-0005-0000-0000-00005A300000}"/>
    <cellStyle name="T_SUPOR2806-2_Du toan mau 11-2007_puma 17.1_Danh sach nha cung cap ( Vendor List ) - Cap nhat 15-04-2011 3" xfId="13521" xr:uid="{00000000-0005-0000-0000-00005B300000}"/>
    <cellStyle name="T_SUPOR2806-2_Du toan mau 11-2007_puma 17.1_Danh sach nha cung cap ( Vendor List ) - Cap nhat 15-04-2011 3 2" xfId="13522" xr:uid="{00000000-0005-0000-0000-00005C300000}"/>
    <cellStyle name="T_SUPOR2806-2_Du toan mau 11-2007_puma 17.1_Danh sach nha cung cap ( Vendor List ) - Cap nhat 15-04-2011 4" xfId="13523" xr:uid="{00000000-0005-0000-0000-00005D300000}"/>
    <cellStyle name="T_T.Toan KL-blang" xfId="8632" xr:uid="{00000000-0005-0000-0000-00005E300000}"/>
    <cellStyle name="T_T.Toan KL-blang 2" xfId="8633" xr:uid="{00000000-0005-0000-0000-00005F300000}"/>
    <cellStyle name="T_T.Toan KL-blang 2 2" xfId="8634" xr:uid="{00000000-0005-0000-0000-000060300000}"/>
    <cellStyle name="T_T.Toan KL-blang 2 2 2" xfId="13524" xr:uid="{00000000-0005-0000-0000-000061300000}"/>
    <cellStyle name="T_T.Toan KL-blang 2 2 2 2" xfId="13525" xr:uid="{00000000-0005-0000-0000-000062300000}"/>
    <cellStyle name="T_T.Toan KL-blang 2 2 3" xfId="13526" xr:uid="{00000000-0005-0000-0000-000063300000}"/>
    <cellStyle name="T_T.Toan KL-blang 2 3" xfId="13527" xr:uid="{00000000-0005-0000-0000-000064300000}"/>
    <cellStyle name="T_T.Toan KL-blang 2 3 2" xfId="13528" xr:uid="{00000000-0005-0000-0000-000065300000}"/>
    <cellStyle name="T_T.Toan KL-blang 2 4" xfId="13529" xr:uid="{00000000-0005-0000-0000-000066300000}"/>
    <cellStyle name="T_T.Toan KL-blang 3" xfId="8635" xr:uid="{00000000-0005-0000-0000-000067300000}"/>
    <cellStyle name="T_T.Toan KL-blang 3 2" xfId="13530" xr:uid="{00000000-0005-0000-0000-000068300000}"/>
    <cellStyle name="T_T.Toan KL-blang 3 2 2" xfId="13531" xr:uid="{00000000-0005-0000-0000-000069300000}"/>
    <cellStyle name="T_T.Toan KL-blang 3 3" xfId="13532" xr:uid="{00000000-0005-0000-0000-00006A300000}"/>
    <cellStyle name="T_T.Toan KL-blang 4" xfId="13533" xr:uid="{00000000-0005-0000-0000-00006B300000}"/>
    <cellStyle name="T_T.Toan KL-blang 4 2" xfId="13534" xr:uid="{00000000-0005-0000-0000-00006C300000}"/>
    <cellStyle name="T_T.Toan KL-blang 5" xfId="13535" xr:uid="{00000000-0005-0000-0000-00006D300000}"/>
    <cellStyle name="T_TB" xfId="8636" xr:uid="{00000000-0005-0000-0000-00006E300000}"/>
    <cellStyle name="T_TB 2" xfId="13536" xr:uid="{00000000-0005-0000-0000-00006F300000}"/>
    <cellStyle name="T_TB 2 2" xfId="13537" xr:uid="{00000000-0005-0000-0000-000070300000}"/>
    <cellStyle name="T_TB 3" xfId="13538" xr:uid="{00000000-0005-0000-0000-000071300000}"/>
    <cellStyle name="T_THAO DIEN PEARL  - CAP THOAT NUOC (5-9-2011)" xfId="8637" xr:uid="{00000000-0005-0000-0000-000072300000}"/>
    <cellStyle name="T_THAO DIEN PEARL  - CAP THOAT NUOC (5-9-2011) 2" xfId="8638" xr:uid="{00000000-0005-0000-0000-000073300000}"/>
    <cellStyle name="T_THAO DIEN PEARL  - CAP THOAT NUOC (5-9-2011) 2 2" xfId="13539" xr:uid="{00000000-0005-0000-0000-000074300000}"/>
    <cellStyle name="T_THAO DIEN PEARL  - CAP THOAT NUOC (5-9-2011) 2 2 2" xfId="13540" xr:uid="{00000000-0005-0000-0000-000075300000}"/>
    <cellStyle name="T_THAO DIEN PEARL  - CAP THOAT NUOC (5-9-2011) 2 3" xfId="13541" xr:uid="{00000000-0005-0000-0000-000076300000}"/>
    <cellStyle name="T_THAO DIEN PEARL  - CAP THOAT NUOC (5-9-2011) 3" xfId="13542" xr:uid="{00000000-0005-0000-0000-000077300000}"/>
    <cellStyle name="T_THAO DIEN PEARL  - CAP THOAT NUOC (5-9-2011) 3 2" xfId="13543" xr:uid="{00000000-0005-0000-0000-000078300000}"/>
    <cellStyle name="T_THAO DIEN PEARL  - CAP THOAT NUOC (5-9-2011) 4" xfId="13544" xr:uid="{00000000-0005-0000-0000-000079300000}"/>
    <cellStyle name="T_Tram bom cuu hoa" xfId="8639" xr:uid="{00000000-0005-0000-0000-00007A300000}"/>
    <cellStyle name="T_Tram bom cuu hoa 2" xfId="8640" xr:uid="{00000000-0005-0000-0000-00007B300000}"/>
    <cellStyle name="T_Tram bom cuu hoa 2 2" xfId="8641" xr:uid="{00000000-0005-0000-0000-00007C300000}"/>
    <cellStyle name="T_Tram bom cuu hoa 2 2 2" xfId="13545" xr:uid="{00000000-0005-0000-0000-00007D300000}"/>
    <cellStyle name="T_Tram bom cuu hoa 2 2 2 2" xfId="13546" xr:uid="{00000000-0005-0000-0000-00007E300000}"/>
    <cellStyle name="T_Tram bom cuu hoa 2 2 3" xfId="13547" xr:uid="{00000000-0005-0000-0000-00007F300000}"/>
    <cellStyle name="T_Tram bom cuu hoa 2 3" xfId="13548" xr:uid="{00000000-0005-0000-0000-000080300000}"/>
    <cellStyle name="T_Tram bom cuu hoa 2 3 2" xfId="13549" xr:uid="{00000000-0005-0000-0000-000081300000}"/>
    <cellStyle name="T_Tram bom cuu hoa 2 4" xfId="13550" xr:uid="{00000000-0005-0000-0000-000082300000}"/>
    <cellStyle name="T_Tram bom cuu hoa 3" xfId="8642" xr:uid="{00000000-0005-0000-0000-000083300000}"/>
    <cellStyle name="T_Tram bom cuu hoa 3 2" xfId="13551" xr:uid="{00000000-0005-0000-0000-000084300000}"/>
    <cellStyle name="T_Tram bom cuu hoa 3 2 2" xfId="13552" xr:uid="{00000000-0005-0000-0000-000085300000}"/>
    <cellStyle name="T_Tram bom cuu hoa 3 3" xfId="13553" xr:uid="{00000000-0005-0000-0000-000086300000}"/>
    <cellStyle name="T_Tram bom cuu hoa 4" xfId="13554" xr:uid="{00000000-0005-0000-0000-000087300000}"/>
    <cellStyle name="T_Tram bom cuu hoa 4 2" xfId="13555" xr:uid="{00000000-0005-0000-0000-000088300000}"/>
    <cellStyle name="T_Tram bom cuu hoa 5" xfId="13556" xr:uid="{00000000-0005-0000-0000-000089300000}"/>
    <cellStyle name="T_Vat tu boc tach Goldola" xfId="8643" xr:uid="{00000000-0005-0000-0000-00008A300000}"/>
    <cellStyle name="T_Vat tu boc tach Goldola 2" xfId="8644" xr:uid="{00000000-0005-0000-0000-00008B300000}"/>
    <cellStyle name="T_Vat tu boc tach Goldola 2 2" xfId="8645" xr:uid="{00000000-0005-0000-0000-00008C300000}"/>
    <cellStyle name="T_Vat tu boc tach Goldola 2 2 2" xfId="13557" xr:uid="{00000000-0005-0000-0000-00008D300000}"/>
    <cellStyle name="T_Vat tu boc tach Goldola 2 2 2 2" xfId="13558" xr:uid="{00000000-0005-0000-0000-00008E300000}"/>
    <cellStyle name="T_Vat tu boc tach Goldola 2 2 3" xfId="13559" xr:uid="{00000000-0005-0000-0000-00008F300000}"/>
    <cellStyle name="T_Vat tu boc tach Goldola 2 3" xfId="13560" xr:uid="{00000000-0005-0000-0000-000090300000}"/>
    <cellStyle name="T_Vat tu boc tach Goldola 2 3 2" xfId="13561" xr:uid="{00000000-0005-0000-0000-000091300000}"/>
    <cellStyle name="T_Vat tu boc tach Goldola 2 4" xfId="13562" xr:uid="{00000000-0005-0000-0000-000092300000}"/>
    <cellStyle name="T_Vat tu boc tach Goldola 3" xfId="8646" xr:uid="{00000000-0005-0000-0000-000093300000}"/>
    <cellStyle name="T_Vat tu boc tach Goldola 3 2" xfId="13563" xr:uid="{00000000-0005-0000-0000-000094300000}"/>
    <cellStyle name="T_Vat tu boc tach Goldola 3 2 2" xfId="13564" xr:uid="{00000000-0005-0000-0000-000095300000}"/>
    <cellStyle name="T_Vat tu boc tach Goldola 3 3" xfId="13565" xr:uid="{00000000-0005-0000-0000-000096300000}"/>
    <cellStyle name="T_Vat tu boc tach Goldola 4" xfId="13566" xr:uid="{00000000-0005-0000-0000-000097300000}"/>
    <cellStyle name="T_Vat tu boc tach Goldola 4 2" xfId="13567" xr:uid="{00000000-0005-0000-0000-000098300000}"/>
    <cellStyle name="T_Vat tu boc tach Goldola 5" xfId="13568" xr:uid="{00000000-0005-0000-0000-000099300000}"/>
    <cellStyle name="Table  - Style6" xfId="8647" xr:uid="{00000000-0005-0000-0000-00009A300000}"/>
    <cellStyle name="Table  - Style6 2" xfId="8648" xr:uid="{00000000-0005-0000-0000-00009B300000}"/>
    <cellStyle name="Table  - Style6 2 2" xfId="13569" xr:uid="{00000000-0005-0000-0000-00009C300000}"/>
    <cellStyle name="Table  - Style6 2 2 2" xfId="13570" xr:uid="{00000000-0005-0000-0000-00009D300000}"/>
    <cellStyle name="Table  - Style6 2 3" xfId="13571" xr:uid="{00000000-0005-0000-0000-00009E300000}"/>
    <cellStyle name="Table  - Style6 3" xfId="13572" xr:uid="{00000000-0005-0000-0000-00009F300000}"/>
    <cellStyle name="Table  - Style6 3 2" xfId="13573" xr:uid="{00000000-0005-0000-0000-0000A0300000}"/>
    <cellStyle name="Table  - Style6 4" xfId="13574" xr:uid="{00000000-0005-0000-0000-0000A1300000}"/>
    <cellStyle name="Tan" xfId="8649" xr:uid="{00000000-0005-0000-0000-0000A2300000}"/>
    <cellStyle name="Tan 2" xfId="8650" xr:uid="{00000000-0005-0000-0000-0000A3300000}"/>
    <cellStyle name="Tan 2 2" xfId="13575" xr:uid="{00000000-0005-0000-0000-0000A4300000}"/>
    <cellStyle name="Tan 2 2 2" xfId="13576" xr:uid="{00000000-0005-0000-0000-0000A5300000}"/>
    <cellStyle name="Tan 2 3" xfId="13577" xr:uid="{00000000-0005-0000-0000-0000A6300000}"/>
    <cellStyle name="Tan 2 4" xfId="13578" xr:uid="{00000000-0005-0000-0000-0000A7300000}"/>
    <cellStyle name="Tan 3" xfId="13579" xr:uid="{00000000-0005-0000-0000-0000A8300000}"/>
    <cellStyle name="Tan 3 2" xfId="13580" xr:uid="{00000000-0005-0000-0000-0000A9300000}"/>
    <cellStyle name="Tan 4" xfId="13581" xr:uid="{00000000-0005-0000-0000-0000AA300000}"/>
    <cellStyle name="Tan 5" xfId="13582" xr:uid="{00000000-0005-0000-0000-0000AB300000}"/>
    <cellStyle name="tde" xfId="8651" xr:uid="{00000000-0005-0000-0000-0000AC300000}"/>
    <cellStyle name="Text Indent A" xfId="8652" xr:uid="{00000000-0005-0000-0000-0000AD300000}"/>
    <cellStyle name="Text Indent B" xfId="8653" xr:uid="{00000000-0005-0000-0000-0000AE300000}"/>
    <cellStyle name="Text Indent C" xfId="8654" xr:uid="{00000000-0005-0000-0000-0000AF300000}"/>
    <cellStyle name="Tiêu đề" xfId="8783" xr:uid="{00000000-0005-0000-0000-000080320000}"/>
    <cellStyle name="Tính toán" xfId="8784" xr:uid="{00000000-0005-0000-0000-000081320000}"/>
    <cellStyle name="Tính toán 2" xfId="13919" xr:uid="{00000000-0005-0000-0000-000082320000}"/>
    <cellStyle name="Tính toán 2 2" xfId="13920" xr:uid="{00000000-0005-0000-0000-000083320000}"/>
    <cellStyle name="Tính toán 3" xfId="13921" xr:uid="{00000000-0005-0000-0000-000084320000}"/>
    <cellStyle name="Title  - Style1" xfId="8785" xr:uid="{00000000-0005-0000-0000-000085320000}"/>
    <cellStyle name="Title 10" xfId="8786" xr:uid="{00000000-0005-0000-0000-000086320000}"/>
    <cellStyle name="Title 11" xfId="8787" xr:uid="{00000000-0005-0000-0000-000087320000}"/>
    <cellStyle name="Title 2" xfId="8788" xr:uid="{00000000-0005-0000-0000-000088320000}"/>
    <cellStyle name="Title 2 2" xfId="8789" xr:uid="{00000000-0005-0000-0000-000089320000}"/>
    <cellStyle name="Title 2 3" xfId="10421" xr:uid="{00000000-0005-0000-0000-00008A320000}"/>
    <cellStyle name="Title 3" xfId="8790" xr:uid="{00000000-0005-0000-0000-00008B320000}"/>
    <cellStyle name="Title 4" xfId="8791" xr:uid="{00000000-0005-0000-0000-00008C320000}"/>
    <cellStyle name="Title 5" xfId="8792" xr:uid="{00000000-0005-0000-0000-00008D320000}"/>
    <cellStyle name="Title 6" xfId="8793" xr:uid="{00000000-0005-0000-0000-00008E320000}"/>
    <cellStyle name="Title 7" xfId="8794" xr:uid="{00000000-0005-0000-0000-00008F320000}"/>
    <cellStyle name="Title 8" xfId="8795" xr:uid="{00000000-0005-0000-0000-000090320000}"/>
    <cellStyle name="Title 9" xfId="8796" xr:uid="{00000000-0005-0000-0000-000091320000}"/>
    <cellStyle name="Title Row" xfId="8797" xr:uid="{00000000-0005-0000-0000-000092320000}"/>
    <cellStyle name="TNN" xfId="8798" xr:uid="{00000000-0005-0000-0000-000093320000}"/>
    <cellStyle name="Total 10" xfId="8801" xr:uid="{00000000-0005-0000-0000-000099320000}"/>
    <cellStyle name="Total 10 2" xfId="8802" xr:uid="{00000000-0005-0000-0000-00009A320000}"/>
    <cellStyle name="Total 10 2 2" xfId="9897" xr:uid="{00000000-0005-0000-0000-00009B320000}"/>
    <cellStyle name="Total 10 3" xfId="8803" xr:uid="{00000000-0005-0000-0000-00009C320000}"/>
    <cellStyle name="Total 11" xfId="8804" xr:uid="{00000000-0005-0000-0000-00009D320000}"/>
    <cellStyle name="Total 11 2" xfId="8805" xr:uid="{00000000-0005-0000-0000-00009E320000}"/>
    <cellStyle name="Total 11 2 2" xfId="9898" xr:uid="{00000000-0005-0000-0000-00009F320000}"/>
    <cellStyle name="Total 11 3" xfId="8806" xr:uid="{00000000-0005-0000-0000-0000A0320000}"/>
    <cellStyle name="Total 12" xfId="8807" xr:uid="{00000000-0005-0000-0000-0000A1320000}"/>
    <cellStyle name="Total 12 2" xfId="8808" xr:uid="{00000000-0005-0000-0000-0000A2320000}"/>
    <cellStyle name="Total 12 2 2" xfId="9899" xr:uid="{00000000-0005-0000-0000-0000A3320000}"/>
    <cellStyle name="Total 12 3" xfId="8809" xr:uid="{00000000-0005-0000-0000-0000A4320000}"/>
    <cellStyle name="Total 13" xfId="8810" xr:uid="{00000000-0005-0000-0000-0000A5320000}"/>
    <cellStyle name="Total 13 2" xfId="8811" xr:uid="{00000000-0005-0000-0000-0000A6320000}"/>
    <cellStyle name="Total 13 2 2" xfId="9900" xr:uid="{00000000-0005-0000-0000-0000A7320000}"/>
    <cellStyle name="Total 13 3" xfId="8812" xr:uid="{00000000-0005-0000-0000-0000A8320000}"/>
    <cellStyle name="Total 14" xfId="8813" xr:uid="{00000000-0005-0000-0000-0000A9320000}"/>
    <cellStyle name="Total 14 2" xfId="8814" xr:uid="{00000000-0005-0000-0000-0000AA320000}"/>
    <cellStyle name="Total 14 2 2" xfId="9901" xr:uid="{00000000-0005-0000-0000-0000AB320000}"/>
    <cellStyle name="Total 14 3" xfId="8815" xr:uid="{00000000-0005-0000-0000-0000AC320000}"/>
    <cellStyle name="Total 15" xfId="8816" xr:uid="{00000000-0005-0000-0000-0000AD320000}"/>
    <cellStyle name="Total 15 2" xfId="8817" xr:uid="{00000000-0005-0000-0000-0000AE320000}"/>
    <cellStyle name="Total 15 2 2" xfId="9902" xr:uid="{00000000-0005-0000-0000-0000AF320000}"/>
    <cellStyle name="Total 15 3" xfId="8818" xr:uid="{00000000-0005-0000-0000-0000B0320000}"/>
    <cellStyle name="Total 16" xfId="8819" xr:uid="{00000000-0005-0000-0000-0000B1320000}"/>
    <cellStyle name="Total 16 2" xfId="8820" xr:uid="{00000000-0005-0000-0000-0000B2320000}"/>
    <cellStyle name="Total 16 2 2" xfId="9903" xr:uid="{00000000-0005-0000-0000-0000B3320000}"/>
    <cellStyle name="Total 16 3" xfId="8821" xr:uid="{00000000-0005-0000-0000-0000B4320000}"/>
    <cellStyle name="Total 17" xfId="8822" xr:uid="{00000000-0005-0000-0000-0000B5320000}"/>
    <cellStyle name="Total 17 2" xfId="8823" xr:uid="{00000000-0005-0000-0000-0000B6320000}"/>
    <cellStyle name="Total 17 2 2" xfId="9904" xr:uid="{00000000-0005-0000-0000-0000B7320000}"/>
    <cellStyle name="Total 17 3" xfId="8824" xr:uid="{00000000-0005-0000-0000-0000B8320000}"/>
    <cellStyle name="Total 18" xfId="8825" xr:uid="{00000000-0005-0000-0000-0000B9320000}"/>
    <cellStyle name="Total 18 2" xfId="8826" xr:uid="{00000000-0005-0000-0000-0000BA320000}"/>
    <cellStyle name="Total 18 2 2" xfId="9905" xr:uid="{00000000-0005-0000-0000-0000BB320000}"/>
    <cellStyle name="Total 18 3" xfId="8827" xr:uid="{00000000-0005-0000-0000-0000BC320000}"/>
    <cellStyle name="Total 19" xfId="8828" xr:uid="{00000000-0005-0000-0000-0000BD320000}"/>
    <cellStyle name="Total 19 2" xfId="8829" xr:uid="{00000000-0005-0000-0000-0000BE320000}"/>
    <cellStyle name="Total 19 2 2" xfId="9906" xr:uid="{00000000-0005-0000-0000-0000BF320000}"/>
    <cellStyle name="Total 19 3" xfId="8830" xr:uid="{00000000-0005-0000-0000-0000C0320000}"/>
    <cellStyle name="Total 2" xfId="8831" xr:uid="{00000000-0005-0000-0000-0000C1320000}"/>
    <cellStyle name="Total 2 10" xfId="8832" xr:uid="{00000000-0005-0000-0000-0000C2320000}"/>
    <cellStyle name="Total 2 10 2" xfId="8833" xr:uid="{00000000-0005-0000-0000-0000C3320000}"/>
    <cellStyle name="Total 2 10 2 2" xfId="9907" xr:uid="{00000000-0005-0000-0000-0000C4320000}"/>
    <cellStyle name="Total 2 10 3" xfId="8834" xr:uid="{00000000-0005-0000-0000-0000C5320000}"/>
    <cellStyle name="Total 2 11" xfId="8835" xr:uid="{00000000-0005-0000-0000-0000C6320000}"/>
    <cellStyle name="Total 2 11 2" xfId="8836" xr:uid="{00000000-0005-0000-0000-0000C7320000}"/>
    <cellStyle name="Total 2 11 2 2" xfId="9908" xr:uid="{00000000-0005-0000-0000-0000C8320000}"/>
    <cellStyle name="Total 2 11 3" xfId="8837" xr:uid="{00000000-0005-0000-0000-0000C9320000}"/>
    <cellStyle name="Total 2 12" xfId="8838" xr:uid="{00000000-0005-0000-0000-0000CA320000}"/>
    <cellStyle name="Total 2 12 2" xfId="8839" xr:uid="{00000000-0005-0000-0000-0000CB320000}"/>
    <cellStyle name="Total 2 12 2 2" xfId="9909" xr:uid="{00000000-0005-0000-0000-0000CC320000}"/>
    <cellStyle name="Total 2 12 3" xfId="8840" xr:uid="{00000000-0005-0000-0000-0000CD320000}"/>
    <cellStyle name="Total 2 13" xfId="13925" xr:uid="{00000000-0005-0000-0000-0000CE320000}"/>
    <cellStyle name="Total 2 13 2" xfId="13926" xr:uid="{00000000-0005-0000-0000-0000CF320000}"/>
    <cellStyle name="Total 2 14" xfId="13927" xr:uid="{00000000-0005-0000-0000-0000D0320000}"/>
    <cellStyle name="Total 2 2" xfId="8841" xr:uid="{00000000-0005-0000-0000-0000D1320000}"/>
    <cellStyle name="Total 2 2 2" xfId="8842" xr:uid="{00000000-0005-0000-0000-0000D2320000}"/>
    <cellStyle name="Total 2 2 2 2" xfId="9910" xr:uid="{00000000-0005-0000-0000-0000D3320000}"/>
    <cellStyle name="Total 2 2 3" xfId="8843" xr:uid="{00000000-0005-0000-0000-0000D4320000}"/>
    <cellStyle name="Total 2 3" xfId="8844" xr:uid="{00000000-0005-0000-0000-0000D5320000}"/>
    <cellStyle name="Total 2 3 2" xfId="8845" xr:uid="{00000000-0005-0000-0000-0000D6320000}"/>
    <cellStyle name="Total 2 3 2 2" xfId="9911" xr:uid="{00000000-0005-0000-0000-0000D7320000}"/>
    <cellStyle name="Total 2 3 3" xfId="8846" xr:uid="{00000000-0005-0000-0000-0000D8320000}"/>
    <cellStyle name="Total 2 4" xfId="8847" xr:uid="{00000000-0005-0000-0000-0000D9320000}"/>
    <cellStyle name="Total 2 4 2" xfId="8848" xr:uid="{00000000-0005-0000-0000-0000DA320000}"/>
    <cellStyle name="Total 2 4 2 2" xfId="9912" xr:uid="{00000000-0005-0000-0000-0000DB320000}"/>
    <cellStyle name="Total 2 4 3" xfId="8849" xr:uid="{00000000-0005-0000-0000-0000DC320000}"/>
    <cellStyle name="Total 2 5" xfId="8850" xr:uid="{00000000-0005-0000-0000-0000DD320000}"/>
    <cellStyle name="Total 2 5 2" xfId="8851" xr:uid="{00000000-0005-0000-0000-0000DE320000}"/>
    <cellStyle name="Total 2 5 2 2" xfId="9913" xr:uid="{00000000-0005-0000-0000-0000DF320000}"/>
    <cellStyle name="Total 2 5 3" xfId="8852" xr:uid="{00000000-0005-0000-0000-0000E0320000}"/>
    <cellStyle name="Total 2 6" xfId="8853" xr:uid="{00000000-0005-0000-0000-0000E1320000}"/>
    <cellStyle name="Total 2 6 2" xfId="8854" xr:uid="{00000000-0005-0000-0000-0000E2320000}"/>
    <cellStyle name="Total 2 6 2 2" xfId="9914" xr:uid="{00000000-0005-0000-0000-0000E3320000}"/>
    <cellStyle name="Total 2 6 3" xfId="8855" xr:uid="{00000000-0005-0000-0000-0000E4320000}"/>
    <cellStyle name="Total 2 7" xfId="8856" xr:uid="{00000000-0005-0000-0000-0000E5320000}"/>
    <cellStyle name="Total 2 7 2" xfId="8857" xr:uid="{00000000-0005-0000-0000-0000E6320000}"/>
    <cellStyle name="Total 2 7 2 2" xfId="9915" xr:uid="{00000000-0005-0000-0000-0000E7320000}"/>
    <cellStyle name="Total 2 7 3" xfId="8858" xr:uid="{00000000-0005-0000-0000-0000E8320000}"/>
    <cellStyle name="Total 2 8" xfId="8859" xr:uid="{00000000-0005-0000-0000-0000E9320000}"/>
    <cellStyle name="Total 2 8 2" xfId="8860" xr:uid="{00000000-0005-0000-0000-0000EA320000}"/>
    <cellStyle name="Total 2 8 2 2" xfId="9916" xr:uid="{00000000-0005-0000-0000-0000EB320000}"/>
    <cellStyle name="Total 2 8 3" xfId="8861" xr:uid="{00000000-0005-0000-0000-0000EC320000}"/>
    <cellStyle name="Total 2 9" xfId="8862" xr:uid="{00000000-0005-0000-0000-0000ED320000}"/>
    <cellStyle name="Total 2 9 2" xfId="8863" xr:uid="{00000000-0005-0000-0000-0000EE320000}"/>
    <cellStyle name="Total 2 9 2 2" xfId="9917" xr:uid="{00000000-0005-0000-0000-0000EF320000}"/>
    <cellStyle name="Total 2 9 3" xfId="8864" xr:uid="{00000000-0005-0000-0000-0000F0320000}"/>
    <cellStyle name="Total 20" xfId="8865" xr:uid="{00000000-0005-0000-0000-0000F1320000}"/>
    <cellStyle name="Total 20 2" xfId="8866" xr:uid="{00000000-0005-0000-0000-0000F2320000}"/>
    <cellStyle name="Total 20 2 2" xfId="9918" xr:uid="{00000000-0005-0000-0000-0000F3320000}"/>
    <cellStyle name="Total 20 3" xfId="8867" xr:uid="{00000000-0005-0000-0000-0000F4320000}"/>
    <cellStyle name="Total 21" xfId="8868" xr:uid="{00000000-0005-0000-0000-0000F5320000}"/>
    <cellStyle name="Total 21 2" xfId="8869" xr:uid="{00000000-0005-0000-0000-0000F6320000}"/>
    <cellStyle name="Total 21 2 2" xfId="9919" xr:uid="{00000000-0005-0000-0000-0000F7320000}"/>
    <cellStyle name="Total 21 3" xfId="8870" xr:uid="{00000000-0005-0000-0000-0000F8320000}"/>
    <cellStyle name="Total 22" xfId="8871" xr:uid="{00000000-0005-0000-0000-0000F9320000}"/>
    <cellStyle name="Total 22 2" xfId="8872" xr:uid="{00000000-0005-0000-0000-0000FA320000}"/>
    <cellStyle name="Total 22 2 2" xfId="9920" xr:uid="{00000000-0005-0000-0000-0000FB320000}"/>
    <cellStyle name="Total 22 3" xfId="8873" xr:uid="{00000000-0005-0000-0000-0000FC320000}"/>
    <cellStyle name="Total 23" xfId="8874" xr:uid="{00000000-0005-0000-0000-0000FD320000}"/>
    <cellStyle name="Total 23 2" xfId="8875" xr:uid="{00000000-0005-0000-0000-0000FE320000}"/>
    <cellStyle name="Total 23 2 2" xfId="9921" xr:uid="{00000000-0005-0000-0000-0000FF320000}"/>
    <cellStyle name="Total 23 3" xfId="8876" xr:uid="{00000000-0005-0000-0000-000000330000}"/>
    <cellStyle name="Total 24" xfId="8877" xr:uid="{00000000-0005-0000-0000-000001330000}"/>
    <cellStyle name="Total 24 2" xfId="8878" xr:uid="{00000000-0005-0000-0000-000002330000}"/>
    <cellStyle name="Total 24 2 2" xfId="9922" xr:uid="{00000000-0005-0000-0000-000003330000}"/>
    <cellStyle name="Total 24 3" xfId="8879" xr:uid="{00000000-0005-0000-0000-000004330000}"/>
    <cellStyle name="Total 25" xfId="8880" xr:uid="{00000000-0005-0000-0000-000005330000}"/>
    <cellStyle name="Total 25 2" xfId="8881" xr:uid="{00000000-0005-0000-0000-000006330000}"/>
    <cellStyle name="Total 25 2 2" xfId="9923" xr:uid="{00000000-0005-0000-0000-000007330000}"/>
    <cellStyle name="Total 25 3" xfId="8882" xr:uid="{00000000-0005-0000-0000-000008330000}"/>
    <cellStyle name="Total 26" xfId="8883" xr:uid="{00000000-0005-0000-0000-000009330000}"/>
    <cellStyle name="Total 26 2" xfId="8884" xr:uid="{00000000-0005-0000-0000-00000A330000}"/>
    <cellStyle name="Total 26 2 2" xfId="9924" xr:uid="{00000000-0005-0000-0000-00000B330000}"/>
    <cellStyle name="Total 26 3" xfId="8885" xr:uid="{00000000-0005-0000-0000-00000C330000}"/>
    <cellStyle name="Total 27" xfId="8886" xr:uid="{00000000-0005-0000-0000-00000D330000}"/>
    <cellStyle name="Total 27 2" xfId="8887" xr:uid="{00000000-0005-0000-0000-00000E330000}"/>
    <cellStyle name="Total 27 2 2" xfId="9925" xr:uid="{00000000-0005-0000-0000-00000F330000}"/>
    <cellStyle name="Total 27 3" xfId="8888" xr:uid="{00000000-0005-0000-0000-000010330000}"/>
    <cellStyle name="Total 28" xfId="8889" xr:uid="{00000000-0005-0000-0000-000011330000}"/>
    <cellStyle name="Total 28 2" xfId="8890" xr:uid="{00000000-0005-0000-0000-000012330000}"/>
    <cellStyle name="Total 28 2 2" xfId="9926" xr:uid="{00000000-0005-0000-0000-000013330000}"/>
    <cellStyle name="Total 28 3" xfId="8891" xr:uid="{00000000-0005-0000-0000-000014330000}"/>
    <cellStyle name="Total 29" xfId="8892" xr:uid="{00000000-0005-0000-0000-000015330000}"/>
    <cellStyle name="Total 29 2" xfId="8893" xr:uid="{00000000-0005-0000-0000-000016330000}"/>
    <cellStyle name="Total 29 2 2" xfId="9927" xr:uid="{00000000-0005-0000-0000-000017330000}"/>
    <cellStyle name="Total 29 3" xfId="8894" xr:uid="{00000000-0005-0000-0000-000018330000}"/>
    <cellStyle name="Total 3" xfId="8895" xr:uid="{00000000-0005-0000-0000-000019330000}"/>
    <cellStyle name="Total 3 10" xfId="8896" xr:uid="{00000000-0005-0000-0000-00001A330000}"/>
    <cellStyle name="Total 3 10 2" xfId="8897" xr:uid="{00000000-0005-0000-0000-00001B330000}"/>
    <cellStyle name="Total 3 10 2 2" xfId="9928" xr:uid="{00000000-0005-0000-0000-00001C330000}"/>
    <cellStyle name="Total 3 10 3" xfId="8898" xr:uid="{00000000-0005-0000-0000-00001D330000}"/>
    <cellStyle name="Total 3 11" xfId="8899" xr:uid="{00000000-0005-0000-0000-00001E330000}"/>
    <cellStyle name="Total 3 11 2" xfId="8900" xr:uid="{00000000-0005-0000-0000-00001F330000}"/>
    <cellStyle name="Total 3 11 2 2" xfId="9929" xr:uid="{00000000-0005-0000-0000-000020330000}"/>
    <cellStyle name="Total 3 11 3" xfId="8901" xr:uid="{00000000-0005-0000-0000-000021330000}"/>
    <cellStyle name="Total 3 12" xfId="8902" xr:uid="{00000000-0005-0000-0000-000022330000}"/>
    <cellStyle name="Total 3 12 2" xfId="8903" xr:uid="{00000000-0005-0000-0000-000023330000}"/>
    <cellStyle name="Total 3 12 2 2" xfId="9930" xr:uid="{00000000-0005-0000-0000-000024330000}"/>
    <cellStyle name="Total 3 12 3" xfId="8904" xr:uid="{00000000-0005-0000-0000-000025330000}"/>
    <cellStyle name="Total 3 13" xfId="8905" xr:uid="{00000000-0005-0000-0000-000026330000}"/>
    <cellStyle name="Total 3 13 2" xfId="9931" xr:uid="{00000000-0005-0000-0000-000027330000}"/>
    <cellStyle name="Total 3 14" xfId="8906" xr:uid="{00000000-0005-0000-0000-000028330000}"/>
    <cellStyle name="Total 3 2" xfId="8907" xr:uid="{00000000-0005-0000-0000-000029330000}"/>
    <cellStyle name="Total 3 2 2" xfId="8908" xr:uid="{00000000-0005-0000-0000-00002A330000}"/>
    <cellStyle name="Total 3 2 2 2" xfId="9932" xr:uid="{00000000-0005-0000-0000-00002B330000}"/>
    <cellStyle name="Total 3 2 3" xfId="8909" xr:uid="{00000000-0005-0000-0000-00002C330000}"/>
    <cellStyle name="Total 3 3" xfId="8910" xr:uid="{00000000-0005-0000-0000-00002D330000}"/>
    <cellStyle name="Total 3 3 2" xfId="8911" xr:uid="{00000000-0005-0000-0000-00002E330000}"/>
    <cellStyle name="Total 3 3 2 2" xfId="9933" xr:uid="{00000000-0005-0000-0000-00002F330000}"/>
    <cellStyle name="Total 3 3 3" xfId="8912" xr:uid="{00000000-0005-0000-0000-000030330000}"/>
    <cellStyle name="Total 3 4" xfId="8913" xr:uid="{00000000-0005-0000-0000-000031330000}"/>
    <cellStyle name="Total 3 4 2" xfId="8914" xr:uid="{00000000-0005-0000-0000-000032330000}"/>
    <cellStyle name="Total 3 4 2 2" xfId="9934" xr:uid="{00000000-0005-0000-0000-000033330000}"/>
    <cellStyle name="Total 3 4 3" xfId="8915" xr:uid="{00000000-0005-0000-0000-000034330000}"/>
    <cellStyle name="Total 3 5" xfId="8916" xr:uid="{00000000-0005-0000-0000-000035330000}"/>
    <cellStyle name="Total 3 5 2" xfId="8917" xr:uid="{00000000-0005-0000-0000-000036330000}"/>
    <cellStyle name="Total 3 5 2 2" xfId="9935" xr:uid="{00000000-0005-0000-0000-000037330000}"/>
    <cellStyle name="Total 3 5 3" xfId="8918" xr:uid="{00000000-0005-0000-0000-000038330000}"/>
    <cellStyle name="Total 3 6" xfId="8919" xr:uid="{00000000-0005-0000-0000-000039330000}"/>
    <cellStyle name="Total 3 6 2" xfId="8920" xr:uid="{00000000-0005-0000-0000-00003A330000}"/>
    <cellStyle name="Total 3 6 2 2" xfId="9936" xr:uid="{00000000-0005-0000-0000-00003B330000}"/>
    <cellStyle name="Total 3 6 3" xfId="8921" xr:uid="{00000000-0005-0000-0000-00003C330000}"/>
    <cellStyle name="Total 3 7" xfId="8922" xr:uid="{00000000-0005-0000-0000-00003D330000}"/>
    <cellStyle name="Total 3 7 2" xfId="8923" xr:uid="{00000000-0005-0000-0000-00003E330000}"/>
    <cellStyle name="Total 3 7 2 2" xfId="9937" xr:uid="{00000000-0005-0000-0000-00003F330000}"/>
    <cellStyle name="Total 3 7 3" xfId="8924" xr:uid="{00000000-0005-0000-0000-000040330000}"/>
    <cellStyle name="Total 3 8" xfId="8925" xr:uid="{00000000-0005-0000-0000-000041330000}"/>
    <cellStyle name="Total 3 8 2" xfId="8926" xr:uid="{00000000-0005-0000-0000-000042330000}"/>
    <cellStyle name="Total 3 8 2 2" xfId="9938" xr:uid="{00000000-0005-0000-0000-000043330000}"/>
    <cellStyle name="Total 3 8 3" xfId="8927" xr:uid="{00000000-0005-0000-0000-000044330000}"/>
    <cellStyle name="Total 3 9" xfId="8928" xr:uid="{00000000-0005-0000-0000-000045330000}"/>
    <cellStyle name="Total 3 9 2" xfId="8929" xr:uid="{00000000-0005-0000-0000-000046330000}"/>
    <cellStyle name="Total 3 9 2 2" xfId="9939" xr:uid="{00000000-0005-0000-0000-000047330000}"/>
    <cellStyle name="Total 3 9 3" xfId="8930" xr:uid="{00000000-0005-0000-0000-000048330000}"/>
    <cellStyle name="Total 30" xfId="8931" xr:uid="{00000000-0005-0000-0000-000049330000}"/>
    <cellStyle name="Total 30 2" xfId="8932" xr:uid="{00000000-0005-0000-0000-00004A330000}"/>
    <cellStyle name="Total 30 2 2" xfId="9940" xr:uid="{00000000-0005-0000-0000-00004B330000}"/>
    <cellStyle name="Total 30 3" xfId="8933" xr:uid="{00000000-0005-0000-0000-00004C330000}"/>
    <cellStyle name="Total 31" xfId="8934" xr:uid="{00000000-0005-0000-0000-00004D330000}"/>
    <cellStyle name="Total 31 2" xfId="8935" xr:uid="{00000000-0005-0000-0000-00004E330000}"/>
    <cellStyle name="Total 31 2 2" xfId="9941" xr:uid="{00000000-0005-0000-0000-00004F330000}"/>
    <cellStyle name="Total 31 3" xfId="8936" xr:uid="{00000000-0005-0000-0000-000050330000}"/>
    <cellStyle name="Total 32" xfId="8937" xr:uid="{00000000-0005-0000-0000-000051330000}"/>
    <cellStyle name="Total 32 2" xfId="8938" xr:uid="{00000000-0005-0000-0000-000052330000}"/>
    <cellStyle name="Total 32 2 2" xfId="9942" xr:uid="{00000000-0005-0000-0000-000053330000}"/>
    <cellStyle name="Total 32 3" xfId="8939" xr:uid="{00000000-0005-0000-0000-000054330000}"/>
    <cellStyle name="Total 33" xfId="8940" xr:uid="{00000000-0005-0000-0000-000055330000}"/>
    <cellStyle name="Total 33 2" xfId="8941" xr:uid="{00000000-0005-0000-0000-000056330000}"/>
    <cellStyle name="Total 33 2 2" xfId="9943" xr:uid="{00000000-0005-0000-0000-000057330000}"/>
    <cellStyle name="Total 33 3" xfId="8942" xr:uid="{00000000-0005-0000-0000-000058330000}"/>
    <cellStyle name="Total 34" xfId="8943" xr:uid="{00000000-0005-0000-0000-000059330000}"/>
    <cellStyle name="Total 34 2" xfId="8944" xr:uid="{00000000-0005-0000-0000-00005A330000}"/>
    <cellStyle name="Total 34 2 2" xfId="9944" xr:uid="{00000000-0005-0000-0000-00005B330000}"/>
    <cellStyle name="Total 34 3" xfId="8945" xr:uid="{00000000-0005-0000-0000-00005C330000}"/>
    <cellStyle name="Total 35" xfId="8946" xr:uid="{00000000-0005-0000-0000-00005D330000}"/>
    <cellStyle name="Total 35 2" xfId="8947" xr:uid="{00000000-0005-0000-0000-00005E330000}"/>
    <cellStyle name="Total 35 2 2" xfId="9945" xr:uid="{00000000-0005-0000-0000-00005F330000}"/>
    <cellStyle name="Total 35 3" xfId="8948" xr:uid="{00000000-0005-0000-0000-000060330000}"/>
    <cellStyle name="Total 36" xfId="8949" xr:uid="{00000000-0005-0000-0000-000061330000}"/>
    <cellStyle name="Total 36 2" xfId="8950" xr:uid="{00000000-0005-0000-0000-000062330000}"/>
    <cellStyle name="Total 36 2 2" xfId="9946" xr:uid="{00000000-0005-0000-0000-000063330000}"/>
    <cellStyle name="Total 36 3" xfId="8951" xr:uid="{00000000-0005-0000-0000-000064330000}"/>
    <cellStyle name="Total 37" xfId="8952" xr:uid="{00000000-0005-0000-0000-000065330000}"/>
    <cellStyle name="Total 37 2" xfId="8953" xr:uid="{00000000-0005-0000-0000-000066330000}"/>
    <cellStyle name="Total 37 2 2" xfId="9947" xr:uid="{00000000-0005-0000-0000-000067330000}"/>
    <cellStyle name="Total 37 3" xfId="8954" xr:uid="{00000000-0005-0000-0000-000068330000}"/>
    <cellStyle name="Total 38" xfId="8955" xr:uid="{00000000-0005-0000-0000-000069330000}"/>
    <cellStyle name="Total 38 2" xfId="8956" xr:uid="{00000000-0005-0000-0000-00006A330000}"/>
    <cellStyle name="Total 38 2 2" xfId="9948" xr:uid="{00000000-0005-0000-0000-00006B330000}"/>
    <cellStyle name="Total 38 3" xfId="8957" xr:uid="{00000000-0005-0000-0000-00006C330000}"/>
    <cellStyle name="Total 39" xfId="8958" xr:uid="{00000000-0005-0000-0000-00006D330000}"/>
    <cellStyle name="Total 39 2" xfId="8959" xr:uid="{00000000-0005-0000-0000-00006E330000}"/>
    <cellStyle name="Total 39 2 2" xfId="9949" xr:uid="{00000000-0005-0000-0000-00006F330000}"/>
    <cellStyle name="Total 39 3" xfId="8960" xr:uid="{00000000-0005-0000-0000-000070330000}"/>
    <cellStyle name="Total 4" xfId="8961" xr:uid="{00000000-0005-0000-0000-000071330000}"/>
    <cellStyle name="Total 4 10" xfId="8962" xr:uid="{00000000-0005-0000-0000-000072330000}"/>
    <cellStyle name="Total 4 10 2" xfId="8963" xr:uid="{00000000-0005-0000-0000-000073330000}"/>
    <cellStyle name="Total 4 10 2 2" xfId="9950" xr:uid="{00000000-0005-0000-0000-000074330000}"/>
    <cellStyle name="Total 4 10 3" xfId="8964" xr:uid="{00000000-0005-0000-0000-000075330000}"/>
    <cellStyle name="Total 4 11" xfId="8965" xr:uid="{00000000-0005-0000-0000-000076330000}"/>
    <cellStyle name="Total 4 11 2" xfId="8966" xr:uid="{00000000-0005-0000-0000-000077330000}"/>
    <cellStyle name="Total 4 11 2 2" xfId="9951" xr:uid="{00000000-0005-0000-0000-000078330000}"/>
    <cellStyle name="Total 4 11 3" xfId="8967" xr:uid="{00000000-0005-0000-0000-000079330000}"/>
    <cellStyle name="Total 4 12" xfId="8968" xr:uid="{00000000-0005-0000-0000-00007A330000}"/>
    <cellStyle name="Total 4 12 2" xfId="8969" xr:uid="{00000000-0005-0000-0000-00007B330000}"/>
    <cellStyle name="Total 4 12 2 2" xfId="9952" xr:uid="{00000000-0005-0000-0000-00007C330000}"/>
    <cellStyle name="Total 4 12 3" xfId="8970" xr:uid="{00000000-0005-0000-0000-00007D330000}"/>
    <cellStyle name="Total 4 13" xfId="8971" xr:uid="{00000000-0005-0000-0000-00007E330000}"/>
    <cellStyle name="Total 4 13 2" xfId="9953" xr:uid="{00000000-0005-0000-0000-00007F330000}"/>
    <cellStyle name="Total 4 14" xfId="8972" xr:uid="{00000000-0005-0000-0000-000080330000}"/>
    <cellStyle name="Total 4 2" xfId="8973" xr:uid="{00000000-0005-0000-0000-000081330000}"/>
    <cellStyle name="Total 4 2 2" xfId="8974" xr:uid="{00000000-0005-0000-0000-000082330000}"/>
    <cellStyle name="Total 4 2 2 2" xfId="9954" xr:uid="{00000000-0005-0000-0000-000083330000}"/>
    <cellStyle name="Total 4 2 3" xfId="8975" xr:uid="{00000000-0005-0000-0000-000084330000}"/>
    <cellStyle name="Total 4 3" xfId="8976" xr:uid="{00000000-0005-0000-0000-000085330000}"/>
    <cellStyle name="Total 4 3 2" xfId="8977" xr:uid="{00000000-0005-0000-0000-000086330000}"/>
    <cellStyle name="Total 4 3 2 2" xfId="9955" xr:uid="{00000000-0005-0000-0000-000087330000}"/>
    <cellStyle name="Total 4 3 3" xfId="8978" xr:uid="{00000000-0005-0000-0000-000088330000}"/>
    <cellStyle name="Total 4 4" xfId="8979" xr:uid="{00000000-0005-0000-0000-000089330000}"/>
    <cellStyle name="Total 4 4 2" xfId="8980" xr:uid="{00000000-0005-0000-0000-00008A330000}"/>
    <cellStyle name="Total 4 4 2 2" xfId="9956" xr:uid="{00000000-0005-0000-0000-00008B330000}"/>
    <cellStyle name="Total 4 4 3" xfId="8981" xr:uid="{00000000-0005-0000-0000-00008C330000}"/>
    <cellStyle name="Total 4 5" xfId="8982" xr:uid="{00000000-0005-0000-0000-00008D330000}"/>
    <cellStyle name="Total 4 5 2" xfId="8983" xr:uid="{00000000-0005-0000-0000-00008E330000}"/>
    <cellStyle name="Total 4 5 2 2" xfId="9957" xr:uid="{00000000-0005-0000-0000-00008F330000}"/>
    <cellStyle name="Total 4 5 3" xfId="8984" xr:uid="{00000000-0005-0000-0000-000090330000}"/>
    <cellStyle name="Total 4 6" xfId="8985" xr:uid="{00000000-0005-0000-0000-000091330000}"/>
    <cellStyle name="Total 4 6 2" xfId="8986" xr:uid="{00000000-0005-0000-0000-000092330000}"/>
    <cellStyle name="Total 4 6 2 2" xfId="9958" xr:uid="{00000000-0005-0000-0000-000093330000}"/>
    <cellStyle name="Total 4 6 3" xfId="8987" xr:uid="{00000000-0005-0000-0000-000094330000}"/>
    <cellStyle name="Total 4 7" xfId="8988" xr:uid="{00000000-0005-0000-0000-000095330000}"/>
    <cellStyle name="Total 4 7 2" xfId="8989" xr:uid="{00000000-0005-0000-0000-000096330000}"/>
    <cellStyle name="Total 4 7 2 2" xfId="9959" xr:uid="{00000000-0005-0000-0000-000097330000}"/>
    <cellStyle name="Total 4 7 3" xfId="8990" xr:uid="{00000000-0005-0000-0000-000098330000}"/>
    <cellStyle name="Total 4 8" xfId="8991" xr:uid="{00000000-0005-0000-0000-000099330000}"/>
    <cellStyle name="Total 4 8 2" xfId="8992" xr:uid="{00000000-0005-0000-0000-00009A330000}"/>
    <cellStyle name="Total 4 8 2 2" xfId="9960" xr:uid="{00000000-0005-0000-0000-00009B330000}"/>
    <cellStyle name="Total 4 8 3" xfId="8993" xr:uid="{00000000-0005-0000-0000-00009C330000}"/>
    <cellStyle name="Total 4 9" xfId="8994" xr:uid="{00000000-0005-0000-0000-00009D330000}"/>
    <cellStyle name="Total 4 9 2" xfId="8995" xr:uid="{00000000-0005-0000-0000-00009E330000}"/>
    <cellStyle name="Total 4 9 2 2" xfId="9961" xr:uid="{00000000-0005-0000-0000-00009F330000}"/>
    <cellStyle name="Total 4 9 3" xfId="8996" xr:uid="{00000000-0005-0000-0000-0000A0330000}"/>
    <cellStyle name="Total 40" xfId="8997" xr:uid="{00000000-0005-0000-0000-0000A1330000}"/>
    <cellStyle name="Total 40 2" xfId="8998" xr:uid="{00000000-0005-0000-0000-0000A2330000}"/>
    <cellStyle name="Total 40 2 2" xfId="9962" xr:uid="{00000000-0005-0000-0000-0000A3330000}"/>
    <cellStyle name="Total 40 3" xfId="8999" xr:uid="{00000000-0005-0000-0000-0000A4330000}"/>
    <cellStyle name="Total 41" xfId="9000" xr:uid="{00000000-0005-0000-0000-0000A5330000}"/>
    <cellStyle name="Total 41 2" xfId="9001" xr:uid="{00000000-0005-0000-0000-0000A6330000}"/>
    <cellStyle name="Total 41 2 2" xfId="9963" xr:uid="{00000000-0005-0000-0000-0000A7330000}"/>
    <cellStyle name="Total 41 3" xfId="9002" xr:uid="{00000000-0005-0000-0000-0000A8330000}"/>
    <cellStyle name="Total 42" xfId="9003" xr:uid="{00000000-0005-0000-0000-0000A9330000}"/>
    <cellStyle name="Total 42 2" xfId="9004" xr:uid="{00000000-0005-0000-0000-0000AA330000}"/>
    <cellStyle name="Total 42 2 2" xfId="9964" xr:uid="{00000000-0005-0000-0000-0000AB330000}"/>
    <cellStyle name="Total 42 3" xfId="9005" xr:uid="{00000000-0005-0000-0000-0000AC330000}"/>
    <cellStyle name="Total 43" xfId="9006" xr:uid="{00000000-0005-0000-0000-0000AD330000}"/>
    <cellStyle name="Total 43 2" xfId="9007" xr:uid="{00000000-0005-0000-0000-0000AE330000}"/>
    <cellStyle name="Total 43 2 2" xfId="9965" xr:uid="{00000000-0005-0000-0000-0000AF330000}"/>
    <cellStyle name="Total 43 3" xfId="9008" xr:uid="{00000000-0005-0000-0000-0000B0330000}"/>
    <cellStyle name="Total 44" xfId="9009" xr:uid="{00000000-0005-0000-0000-0000B1330000}"/>
    <cellStyle name="Total 44 2" xfId="9010" xr:uid="{00000000-0005-0000-0000-0000B2330000}"/>
    <cellStyle name="Total 44 2 2" xfId="9966" xr:uid="{00000000-0005-0000-0000-0000B3330000}"/>
    <cellStyle name="Total 44 3" xfId="9011" xr:uid="{00000000-0005-0000-0000-0000B4330000}"/>
    <cellStyle name="Total 45" xfId="9012" xr:uid="{00000000-0005-0000-0000-0000B5330000}"/>
    <cellStyle name="Total 45 2" xfId="9013" xr:uid="{00000000-0005-0000-0000-0000B6330000}"/>
    <cellStyle name="Total 45 2 2" xfId="9967" xr:uid="{00000000-0005-0000-0000-0000B7330000}"/>
    <cellStyle name="Total 45 3" xfId="9014" xr:uid="{00000000-0005-0000-0000-0000B8330000}"/>
    <cellStyle name="Total 46" xfId="9015" xr:uid="{00000000-0005-0000-0000-0000B9330000}"/>
    <cellStyle name="Total 46 2" xfId="9016" xr:uid="{00000000-0005-0000-0000-0000BA330000}"/>
    <cellStyle name="Total 46 2 2" xfId="9968" xr:uid="{00000000-0005-0000-0000-0000BB330000}"/>
    <cellStyle name="Total 46 3" xfId="9017" xr:uid="{00000000-0005-0000-0000-0000BC330000}"/>
    <cellStyle name="Total 47" xfId="9018" xr:uid="{00000000-0005-0000-0000-0000BD330000}"/>
    <cellStyle name="Total 47 2" xfId="9019" xr:uid="{00000000-0005-0000-0000-0000BE330000}"/>
    <cellStyle name="Total 47 2 2" xfId="9969" xr:uid="{00000000-0005-0000-0000-0000BF330000}"/>
    <cellStyle name="Total 47 3" xfId="9020" xr:uid="{00000000-0005-0000-0000-0000C0330000}"/>
    <cellStyle name="Total 48" xfId="9021" xr:uid="{00000000-0005-0000-0000-0000C1330000}"/>
    <cellStyle name="Total 48 2" xfId="9022" xr:uid="{00000000-0005-0000-0000-0000C2330000}"/>
    <cellStyle name="Total 48 2 2" xfId="9970" xr:uid="{00000000-0005-0000-0000-0000C3330000}"/>
    <cellStyle name="Total 48 3" xfId="9023" xr:uid="{00000000-0005-0000-0000-0000C4330000}"/>
    <cellStyle name="Total 49" xfId="9024" xr:uid="{00000000-0005-0000-0000-0000C5330000}"/>
    <cellStyle name="Total 49 2" xfId="9025" xr:uid="{00000000-0005-0000-0000-0000C6330000}"/>
    <cellStyle name="Total 49 2 2" xfId="9971" xr:uid="{00000000-0005-0000-0000-0000C7330000}"/>
    <cellStyle name="Total 49 3" xfId="9026" xr:uid="{00000000-0005-0000-0000-0000C8330000}"/>
    <cellStyle name="Total 5" xfId="9027" xr:uid="{00000000-0005-0000-0000-0000C9330000}"/>
    <cellStyle name="Total 5 10" xfId="9028" xr:uid="{00000000-0005-0000-0000-0000CA330000}"/>
    <cellStyle name="Total 5 10 2" xfId="9029" xr:uid="{00000000-0005-0000-0000-0000CB330000}"/>
    <cellStyle name="Total 5 10 2 2" xfId="9972" xr:uid="{00000000-0005-0000-0000-0000CC330000}"/>
    <cellStyle name="Total 5 10 3" xfId="9030" xr:uid="{00000000-0005-0000-0000-0000CD330000}"/>
    <cellStyle name="Total 5 11" xfId="9031" xr:uid="{00000000-0005-0000-0000-0000CE330000}"/>
    <cellStyle name="Total 5 11 2" xfId="9032" xr:uid="{00000000-0005-0000-0000-0000CF330000}"/>
    <cellStyle name="Total 5 11 2 2" xfId="9973" xr:uid="{00000000-0005-0000-0000-0000D0330000}"/>
    <cellStyle name="Total 5 11 3" xfId="9033" xr:uid="{00000000-0005-0000-0000-0000D1330000}"/>
    <cellStyle name="Total 5 12" xfId="9034" xr:uid="{00000000-0005-0000-0000-0000D2330000}"/>
    <cellStyle name="Total 5 12 2" xfId="9035" xr:uid="{00000000-0005-0000-0000-0000D3330000}"/>
    <cellStyle name="Total 5 12 2 2" xfId="9974" xr:uid="{00000000-0005-0000-0000-0000D4330000}"/>
    <cellStyle name="Total 5 12 3" xfId="9036" xr:uid="{00000000-0005-0000-0000-0000D5330000}"/>
    <cellStyle name="Total 5 13" xfId="9037" xr:uid="{00000000-0005-0000-0000-0000D6330000}"/>
    <cellStyle name="Total 5 13 2" xfId="9975" xr:uid="{00000000-0005-0000-0000-0000D7330000}"/>
    <cellStyle name="Total 5 14" xfId="9038" xr:uid="{00000000-0005-0000-0000-0000D8330000}"/>
    <cellStyle name="Total 5 2" xfId="9039" xr:uid="{00000000-0005-0000-0000-0000D9330000}"/>
    <cellStyle name="Total 5 2 2" xfId="9040" xr:uid="{00000000-0005-0000-0000-0000DA330000}"/>
    <cellStyle name="Total 5 2 2 2" xfId="9976" xr:uid="{00000000-0005-0000-0000-0000DB330000}"/>
    <cellStyle name="Total 5 2 3" xfId="9041" xr:uid="{00000000-0005-0000-0000-0000DC330000}"/>
    <cellStyle name="Total 5 3" xfId="9042" xr:uid="{00000000-0005-0000-0000-0000DD330000}"/>
    <cellStyle name="Total 5 3 2" xfId="9043" xr:uid="{00000000-0005-0000-0000-0000DE330000}"/>
    <cellStyle name="Total 5 3 2 2" xfId="9977" xr:uid="{00000000-0005-0000-0000-0000DF330000}"/>
    <cellStyle name="Total 5 3 3" xfId="9044" xr:uid="{00000000-0005-0000-0000-0000E0330000}"/>
    <cellStyle name="Total 5 4" xfId="9045" xr:uid="{00000000-0005-0000-0000-0000E1330000}"/>
    <cellStyle name="Total 5 4 2" xfId="9046" xr:uid="{00000000-0005-0000-0000-0000E2330000}"/>
    <cellStyle name="Total 5 4 2 2" xfId="9978" xr:uid="{00000000-0005-0000-0000-0000E3330000}"/>
    <cellStyle name="Total 5 4 3" xfId="9047" xr:uid="{00000000-0005-0000-0000-0000E4330000}"/>
    <cellStyle name="Total 5 5" xfId="9048" xr:uid="{00000000-0005-0000-0000-0000E5330000}"/>
    <cellStyle name="Total 5 5 2" xfId="9049" xr:uid="{00000000-0005-0000-0000-0000E6330000}"/>
    <cellStyle name="Total 5 5 2 2" xfId="9979" xr:uid="{00000000-0005-0000-0000-0000E7330000}"/>
    <cellStyle name="Total 5 5 3" xfId="9050" xr:uid="{00000000-0005-0000-0000-0000E8330000}"/>
    <cellStyle name="Total 5 6" xfId="9051" xr:uid="{00000000-0005-0000-0000-0000E9330000}"/>
    <cellStyle name="Total 5 6 2" xfId="9052" xr:uid="{00000000-0005-0000-0000-0000EA330000}"/>
    <cellStyle name="Total 5 6 2 2" xfId="9980" xr:uid="{00000000-0005-0000-0000-0000EB330000}"/>
    <cellStyle name="Total 5 6 3" xfId="9053" xr:uid="{00000000-0005-0000-0000-0000EC330000}"/>
    <cellStyle name="Total 5 7" xfId="9054" xr:uid="{00000000-0005-0000-0000-0000ED330000}"/>
    <cellStyle name="Total 5 7 2" xfId="9055" xr:uid="{00000000-0005-0000-0000-0000EE330000}"/>
    <cellStyle name="Total 5 7 2 2" xfId="9981" xr:uid="{00000000-0005-0000-0000-0000EF330000}"/>
    <cellStyle name="Total 5 7 3" xfId="9056" xr:uid="{00000000-0005-0000-0000-0000F0330000}"/>
    <cellStyle name="Total 5 8" xfId="9057" xr:uid="{00000000-0005-0000-0000-0000F1330000}"/>
    <cellStyle name="Total 5 8 2" xfId="9058" xr:uid="{00000000-0005-0000-0000-0000F2330000}"/>
    <cellStyle name="Total 5 8 2 2" xfId="9982" xr:uid="{00000000-0005-0000-0000-0000F3330000}"/>
    <cellStyle name="Total 5 8 3" xfId="9059" xr:uid="{00000000-0005-0000-0000-0000F4330000}"/>
    <cellStyle name="Total 5 9" xfId="9060" xr:uid="{00000000-0005-0000-0000-0000F5330000}"/>
    <cellStyle name="Total 5 9 2" xfId="9061" xr:uid="{00000000-0005-0000-0000-0000F6330000}"/>
    <cellStyle name="Total 5 9 2 2" xfId="9983" xr:uid="{00000000-0005-0000-0000-0000F7330000}"/>
    <cellStyle name="Total 5 9 3" xfId="9062" xr:uid="{00000000-0005-0000-0000-0000F8330000}"/>
    <cellStyle name="Total 50" xfId="9063" xr:uid="{00000000-0005-0000-0000-0000F9330000}"/>
    <cellStyle name="Total 50 2" xfId="9064" xr:uid="{00000000-0005-0000-0000-0000FA330000}"/>
    <cellStyle name="Total 50 2 2" xfId="9984" xr:uid="{00000000-0005-0000-0000-0000FB330000}"/>
    <cellStyle name="Total 50 3" xfId="9065" xr:uid="{00000000-0005-0000-0000-0000FC330000}"/>
    <cellStyle name="Total 51" xfId="9066" xr:uid="{00000000-0005-0000-0000-0000FD330000}"/>
    <cellStyle name="Total 51 2" xfId="9067" xr:uid="{00000000-0005-0000-0000-0000FE330000}"/>
    <cellStyle name="Total 51 2 2" xfId="9985" xr:uid="{00000000-0005-0000-0000-0000FF330000}"/>
    <cellStyle name="Total 51 3" xfId="9068" xr:uid="{00000000-0005-0000-0000-000000340000}"/>
    <cellStyle name="Total 52" xfId="9069" xr:uid="{00000000-0005-0000-0000-000001340000}"/>
    <cellStyle name="Total 52 2" xfId="9070" xr:uid="{00000000-0005-0000-0000-000002340000}"/>
    <cellStyle name="Total 52 2 2" xfId="9986" xr:uid="{00000000-0005-0000-0000-000003340000}"/>
    <cellStyle name="Total 52 3" xfId="9071" xr:uid="{00000000-0005-0000-0000-000004340000}"/>
    <cellStyle name="Total 53" xfId="9072" xr:uid="{00000000-0005-0000-0000-000005340000}"/>
    <cellStyle name="Total 53 2" xfId="9073" xr:uid="{00000000-0005-0000-0000-000006340000}"/>
    <cellStyle name="Total 53 2 2" xfId="9987" xr:uid="{00000000-0005-0000-0000-000007340000}"/>
    <cellStyle name="Total 53 3" xfId="9074" xr:uid="{00000000-0005-0000-0000-000008340000}"/>
    <cellStyle name="Total 54" xfId="9075" xr:uid="{00000000-0005-0000-0000-000009340000}"/>
    <cellStyle name="Total 54 2" xfId="9076" xr:uid="{00000000-0005-0000-0000-00000A340000}"/>
    <cellStyle name="Total 54 2 2" xfId="9988" xr:uid="{00000000-0005-0000-0000-00000B340000}"/>
    <cellStyle name="Total 54 3" xfId="9077" xr:uid="{00000000-0005-0000-0000-00000C340000}"/>
    <cellStyle name="Total 55" xfId="9078" xr:uid="{00000000-0005-0000-0000-00000D340000}"/>
    <cellStyle name="Total 55 2" xfId="9079" xr:uid="{00000000-0005-0000-0000-00000E340000}"/>
    <cellStyle name="Total 55 2 2" xfId="9989" xr:uid="{00000000-0005-0000-0000-00000F340000}"/>
    <cellStyle name="Total 55 3" xfId="9080" xr:uid="{00000000-0005-0000-0000-000010340000}"/>
    <cellStyle name="Total 56" xfId="9081" xr:uid="{00000000-0005-0000-0000-000011340000}"/>
    <cellStyle name="Total 56 2" xfId="9082" xr:uid="{00000000-0005-0000-0000-000012340000}"/>
    <cellStyle name="Total 56 2 2" xfId="9990" xr:uid="{00000000-0005-0000-0000-000013340000}"/>
    <cellStyle name="Total 56 3" xfId="9083" xr:uid="{00000000-0005-0000-0000-000014340000}"/>
    <cellStyle name="Total 57" xfId="9084" xr:uid="{00000000-0005-0000-0000-000015340000}"/>
    <cellStyle name="Total 57 2" xfId="9085" xr:uid="{00000000-0005-0000-0000-000016340000}"/>
    <cellStyle name="Total 57 2 2" xfId="9991" xr:uid="{00000000-0005-0000-0000-000017340000}"/>
    <cellStyle name="Total 57 3" xfId="9086" xr:uid="{00000000-0005-0000-0000-000018340000}"/>
    <cellStyle name="Total 58" xfId="9087" xr:uid="{00000000-0005-0000-0000-000019340000}"/>
    <cellStyle name="Total 58 2" xfId="9088" xr:uid="{00000000-0005-0000-0000-00001A340000}"/>
    <cellStyle name="Total 58 2 2" xfId="9992" xr:uid="{00000000-0005-0000-0000-00001B340000}"/>
    <cellStyle name="Total 58 3" xfId="9089" xr:uid="{00000000-0005-0000-0000-00001C340000}"/>
    <cellStyle name="Total 59" xfId="9090" xr:uid="{00000000-0005-0000-0000-00001D340000}"/>
    <cellStyle name="Total 59 2" xfId="9091" xr:uid="{00000000-0005-0000-0000-00001E340000}"/>
    <cellStyle name="Total 59 2 2" xfId="9993" xr:uid="{00000000-0005-0000-0000-00001F340000}"/>
    <cellStyle name="Total 59 3" xfId="9092" xr:uid="{00000000-0005-0000-0000-000020340000}"/>
    <cellStyle name="Total 6" xfId="9093" xr:uid="{00000000-0005-0000-0000-000021340000}"/>
    <cellStyle name="Total 6 10" xfId="9094" xr:uid="{00000000-0005-0000-0000-000022340000}"/>
    <cellStyle name="Total 6 10 2" xfId="9095" xr:uid="{00000000-0005-0000-0000-000023340000}"/>
    <cellStyle name="Total 6 10 2 2" xfId="9994" xr:uid="{00000000-0005-0000-0000-000024340000}"/>
    <cellStyle name="Total 6 10 3" xfId="9096" xr:uid="{00000000-0005-0000-0000-000025340000}"/>
    <cellStyle name="Total 6 11" xfId="9097" xr:uid="{00000000-0005-0000-0000-000026340000}"/>
    <cellStyle name="Total 6 11 2" xfId="9098" xr:uid="{00000000-0005-0000-0000-000027340000}"/>
    <cellStyle name="Total 6 11 2 2" xfId="9995" xr:uid="{00000000-0005-0000-0000-000028340000}"/>
    <cellStyle name="Total 6 11 3" xfId="9099" xr:uid="{00000000-0005-0000-0000-000029340000}"/>
    <cellStyle name="Total 6 12" xfId="9100" xr:uid="{00000000-0005-0000-0000-00002A340000}"/>
    <cellStyle name="Total 6 12 2" xfId="9101" xr:uid="{00000000-0005-0000-0000-00002B340000}"/>
    <cellStyle name="Total 6 12 2 2" xfId="9996" xr:uid="{00000000-0005-0000-0000-00002C340000}"/>
    <cellStyle name="Total 6 12 3" xfId="9102" xr:uid="{00000000-0005-0000-0000-00002D340000}"/>
    <cellStyle name="Total 6 13" xfId="9103" xr:uid="{00000000-0005-0000-0000-00002E340000}"/>
    <cellStyle name="Total 6 13 2" xfId="9997" xr:uid="{00000000-0005-0000-0000-00002F340000}"/>
    <cellStyle name="Total 6 14" xfId="9104" xr:uid="{00000000-0005-0000-0000-000030340000}"/>
    <cellStyle name="Total 6 2" xfId="9105" xr:uid="{00000000-0005-0000-0000-000031340000}"/>
    <cellStyle name="Total 6 2 2" xfId="9106" xr:uid="{00000000-0005-0000-0000-000032340000}"/>
    <cellStyle name="Total 6 2 2 2" xfId="9998" xr:uid="{00000000-0005-0000-0000-000033340000}"/>
    <cellStyle name="Total 6 2 3" xfId="9107" xr:uid="{00000000-0005-0000-0000-000034340000}"/>
    <cellStyle name="Total 6 3" xfId="9108" xr:uid="{00000000-0005-0000-0000-000035340000}"/>
    <cellStyle name="Total 6 3 2" xfId="9109" xr:uid="{00000000-0005-0000-0000-000036340000}"/>
    <cellStyle name="Total 6 3 2 2" xfId="9999" xr:uid="{00000000-0005-0000-0000-000037340000}"/>
    <cellStyle name="Total 6 3 3" xfId="9110" xr:uid="{00000000-0005-0000-0000-000038340000}"/>
    <cellStyle name="Total 6 4" xfId="9111" xr:uid="{00000000-0005-0000-0000-000039340000}"/>
    <cellStyle name="Total 6 4 2" xfId="9112" xr:uid="{00000000-0005-0000-0000-00003A340000}"/>
    <cellStyle name="Total 6 4 2 2" xfId="10000" xr:uid="{00000000-0005-0000-0000-00003B340000}"/>
    <cellStyle name="Total 6 4 3" xfId="9113" xr:uid="{00000000-0005-0000-0000-00003C340000}"/>
    <cellStyle name="Total 6 5" xfId="9114" xr:uid="{00000000-0005-0000-0000-00003D340000}"/>
    <cellStyle name="Total 6 5 2" xfId="9115" xr:uid="{00000000-0005-0000-0000-00003E340000}"/>
    <cellStyle name="Total 6 5 2 2" xfId="10001" xr:uid="{00000000-0005-0000-0000-00003F340000}"/>
    <cellStyle name="Total 6 5 3" xfId="9116" xr:uid="{00000000-0005-0000-0000-000040340000}"/>
    <cellStyle name="Total 6 6" xfId="9117" xr:uid="{00000000-0005-0000-0000-000041340000}"/>
    <cellStyle name="Total 6 6 2" xfId="9118" xr:uid="{00000000-0005-0000-0000-000042340000}"/>
    <cellStyle name="Total 6 6 2 2" xfId="10002" xr:uid="{00000000-0005-0000-0000-000043340000}"/>
    <cellStyle name="Total 6 6 3" xfId="9119" xr:uid="{00000000-0005-0000-0000-000044340000}"/>
    <cellStyle name="Total 6 7" xfId="9120" xr:uid="{00000000-0005-0000-0000-000045340000}"/>
    <cellStyle name="Total 6 7 2" xfId="9121" xr:uid="{00000000-0005-0000-0000-000046340000}"/>
    <cellStyle name="Total 6 7 2 2" xfId="10003" xr:uid="{00000000-0005-0000-0000-000047340000}"/>
    <cellStyle name="Total 6 7 3" xfId="9122" xr:uid="{00000000-0005-0000-0000-000048340000}"/>
    <cellStyle name="Total 6 8" xfId="9123" xr:uid="{00000000-0005-0000-0000-000049340000}"/>
    <cellStyle name="Total 6 8 2" xfId="9124" xr:uid="{00000000-0005-0000-0000-00004A340000}"/>
    <cellStyle name="Total 6 8 2 2" xfId="10004" xr:uid="{00000000-0005-0000-0000-00004B340000}"/>
    <cellStyle name="Total 6 8 3" xfId="9125" xr:uid="{00000000-0005-0000-0000-00004C340000}"/>
    <cellStyle name="Total 6 9" xfId="9126" xr:uid="{00000000-0005-0000-0000-00004D340000}"/>
    <cellStyle name="Total 6 9 2" xfId="9127" xr:uid="{00000000-0005-0000-0000-00004E340000}"/>
    <cellStyle name="Total 6 9 2 2" xfId="10005" xr:uid="{00000000-0005-0000-0000-00004F340000}"/>
    <cellStyle name="Total 6 9 3" xfId="9128" xr:uid="{00000000-0005-0000-0000-000050340000}"/>
    <cellStyle name="Total 60" xfId="9129" xr:uid="{00000000-0005-0000-0000-000051340000}"/>
    <cellStyle name="Total 60 2" xfId="9130" xr:uid="{00000000-0005-0000-0000-000052340000}"/>
    <cellStyle name="Total 60 2 2" xfId="10006" xr:uid="{00000000-0005-0000-0000-000053340000}"/>
    <cellStyle name="Total 60 3" xfId="9131" xr:uid="{00000000-0005-0000-0000-000054340000}"/>
    <cellStyle name="Total 61" xfId="9132" xr:uid="{00000000-0005-0000-0000-000055340000}"/>
    <cellStyle name="Total 61 2" xfId="9133" xr:uid="{00000000-0005-0000-0000-000056340000}"/>
    <cellStyle name="Total 61 2 2" xfId="10007" xr:uid="{00000000-0005-0000-0000-000057340000}"/>
    <cellStyle name="Total 61 3" xfId="9134" xr:uid="{00000000-0005-0000-0000-000058340000}"/>
    <cellStyle name="Total 62" xfId="9135" xr:uid="{00000000-0005-0000-0000-000059340000}"/>
    <cellStyle name="Total 62 2" xfId="9136" xr:uid="{00000000-0005-0000-0000-00005A340000}"/>
    <cellStyle name="Total 62 2 2" xfId="10008" xr:uid="{00000000-0005-0000-0000-00005B340000}"/>
    <cellStyle name="Total 62 3" xfId="9137" xr:uid="{00000000-0005-0000-0000-00005C340000}"/>
    <cellStyle name="Total 63" xfId="9138" xr:uid="{00000000-0005-0000-0000-00005D340000}"/>
    <cellStyle name="Total 63 2" xfId="9139" xr:uid="{00000000-0005-0000-0000-00005E340000}"/>
    <cellStyle name="Total 63 2 2" xfId="10009" xr:uid="{00000000-0005-0000-0000-00005F340000}"/>
    <cellStyle name="Total 63 3" xfId="9140" xr:uid="{00000000-0005-0000-0000-000060340000}"/>
    <cellStyle name="Total 64" xfId="9141" xr:uid="{00000000-0005-0000-0000-000061340000}"/>
    <cellStyle name="Total 64 2" xfId="9142" xr:uid="{00000000-0005-0000-0000-000062340000}"/>
    <cellStyle name="Total 64 2 2" xfId="10010" xr:uid="{00000000-0005-0000-0000-000063340000}"/>
    <cellStyle name="Total 64 3" xfId="9143" xr:uid="{00000000-0005-0000-0000-000064340000}"/>
    <cellStyle name="Total 65" xfId="9144" xr:uid="{00000000-0005-0000-0000-000065340000}"/>
    <cellStyle name="Total 65 2" xfId="9145" xr:uid="{00000000-0005-0000-0000-000066340000}"/>
    <cellStyle name="Total 65 2 2" xfId="10011" xr:uid="{00000000-0005-0000-0000-000067340000}"/>
    <cellStyle name="Total 65 3" xfId="9146" xr:uid="{00000000-0005-0000-0000-000068340000}"/>
    <cellStyle name="Total 66" xfId="9147" xr:uid="{00000000-0005-0000-0000-000069340000}"/>
    <cellStyle name="Total 66 2" xfId="9148" xr:uid="{00000000-0005-0000-0000-00006A340000}"/>
    <cellStyle name="Total 66 2 2" xfId="10012" xr:uid="{00000000-0005-0000-0000-00006B340000}"/>
    <cellStyle name="Total 66 3" xfId="9149" xr:uid="{00000000-0005-0000-0000-00006C340000}"/>
    <cellStyle name="Total 67" xfId="9150" xr:uid="{00000000-0005-0000-0000-00006D340000}"/>
    <cellStyle name="Total 67 2" xfId="9151" xr:uid="{00000000-0005-0000-0000-00006E340000}"/>
    <cellStyle name="Total 67 2 2" xfId="10013" xr:uid="{00000000-0005-0000-0000-00006F340000}"/>
    <cellStyle name="Total 67 3" xfId="9152" xr:uid="{00000000-0005-0000-0000-000070340000}"/>
    <cellStyle name="Total 68" xfId="9153" xr:uid="{00000000-0005-0000-0000-000071340000}"/>
    <cellStyle name="Total 68 2" xfId="9154" xr:uid="{00000000-0005-0000-0000-000072340000}"/>
    <cellStyle name="Total 68 2 2" xfId="10014" xr:uid="{00000000-0005-0000-0000-000073340000}"/>
    <cellStyle name="Total 68 3" xfId="9155" xr:uid="{00000000-0005-0000-0000-000074340000}"/>
    <cellStyle name="Total 69" xfId="9156" xr:uid="{00000000-0005-0000-0000-000075340000}"/>
    <cellStyle name="Total 69 2" xfId="9157" xr:uid="{00000000-0005-0000-0000-000076340000}"/>
    <cellStyle name="Total 69 2 2" xfId="10015" xr:uid="{00000000-0005-0000-0000-000077340000}"/>
    <cellStyle name="Total 69 3" xfId="9158" xr:uid="{00000000-0005-0000-0000-000078340000}"/>
    <cellStyle name="Total 7" xfId="9159" xr:uid="{00000000-0005-0000-0000-000079340000}"/>
    <cellStyle name="Total 7 10" xfId="9160" xr:uid="{00000000-0005-0000-0000-00007A340000}"/>
    <cellStyle name="Total 7 10 2" xfId="9161" xr:uid="{00000000-0005-0000-0000-00007B340000}"/>
    <cellStyle name="Total 7 10 2 2" xfId="10016" xr:uid="{00000000-0005-0000-0000-00007C340000}"/>
    <cellStyle name="Total 7 10 3" xfId="9162" xr:uid="{00000000-0005-0000-0000-00007D340000}"/>
    <cellStyle name="Total 7 11" xfId="9163" xr:uid="{00000000-0005-0000-0000-00007E340000}"/>
    <cellStyle name="Total 7 11 2" xfId="9164" xr:uid="{00000000-0005-0000-0000-00007F340000}"/>
    <cellStyle name="Total 7 11 2 2" xfId="10017" xr:uid="{00000000-0005-0000-0000-000080340000}"/>
    <cellStyle name="Total 7 11 3" xfId="9165" xr:uid="{00000000-0005-0000-0000-000081340000}"/>
    <cellStyle name="Total 7 12" xfId="9166" xr:uid="{00000000-0005-0000-0000-000082340000}"/>
    <cellStyle name="Total 7 12 2" xfId="9167" xr:uid="{00000000-0005-0000-0000-000083340000}"/>
    <cellStyle name="Total 7 12 2 2" xfId="10018" xr:uid="{00000000-0005-0000-0000-000084340000}"/>
    <cellStyle name="Total 7 12 3" xfId="9168" xr:uid="{00000000-0005-0000-0000-000085340000}"/>
    <cellStyle name="Total 7 13" xfId="9169" xr:uid="{00000000-0005-0000-0000-000086340000}"/>
    <cellStyle name="Total 7 13 2" xfId="10019" xr:uid="{00000000-0005-0000-0000-000087340000}"/>
    <cellStyle name="Total 7 14" xfId="9170" xr:uid="{00000000-0005-0000-0000-000088340000}"/>
    <cellStyle name="Total 7 2" xfId="9171" xr:uid="{00000000-0005-0000-0000-000089340000}"/>
    <cellStyle name="Total 7 2 2" xfId="9172" xr:uid="{00000000-0005-0000-0000-00008A340000}"/>
    <cellStyle name="Total 7 2 2 2" xfId="10020" xr:uid="{00000000-0005-0000-0000-00008B340000}"/>
    <cellStyle name="Total 7 2 3" xfId="9173" xr:uid="{00000000-0005-0000-0000-00008C340000}"/>
    <cellStyle name="Total 7 3" xfId="9174" xr:uid="{00000000-0005-0000-0000-00008D340000}"/>
    <cellStyle name="Total 7 3 2" xfId="9175" xr:uid="{00000000-0005-0000-0000-00008E340000}"/>
    <cellStyle name="Total 7 3 2 2" xfId="10021" xr:uid="{00000000-0005-0000-0000-00008F340000}"/>
    <cellStyle name="Total 7 3 3" xfId="9176" xr:uid="{00000000-0005-0000-0000-000090340000}"/>
    <cellStyle name="Total 7 4" xfId="9177" xr:uid="{00000000-0005-0000-0000-000091340000}"/>
    <cellStyle name="Total 7 4 2" xfId="9178" xr:uid="{00000000-0005-0000-0000-000092340000}"/>
    <cellStyle name="Total 7 4 2 2" xfId="10022" xr:uid="{00000000-0005-0000-0000-000093340000}"/>
    <cellStyle name="Total 7 4 3" xfId="9179" xr:uid="{00000000-0005-0000-0000-000094340000}"/>
    <cellStyle name="Total 7 5" xfId="9180" xr:uid="{00000000-0005-0000-0000-000095340000}"/>
    <cellStyle name="Total 7 5 2" xfId="9181" xr:uid="{00000000-0005-0000-0000-000096340000}"/>
    <cellStyle name="Total 7 5 2 2" xfId="10023" xr:uid="{00000000-0005-0000-0000-000097340000}"/>
    <cellStyle name="Total 7 5 3" xfId="9182" xr:uid="{00000000-0005-0000-0000-000098340000}"/>
    <cellStyle name="Total 7 6" xfId="9183" xr:uid="{00000000-0005-0000-0000-000099340000}"/>
    <cellStyle name="Total 7 6 2" xfId="9184" xr:uid="{00000000-0005-0000-0000-00009A340000}"/>
    <cellStyle name="Total 7 6 2 2" xfId="10024" xr:uid="{00000000-0005-0000-0000-00009B340000}"/>
    <cellStyle name="Total 7 6 3" xfId="9185" xr:uid="{00000000-0005-0000-0000-00009C340000}"/>
    <cellStyle name="Total 7 7" xfId="9186" xr:uid="{00000000-0005-0000-0000-00009D340000}"/>
    <cellStyle name="Total 7 7 2" xfId="9187" xr:uid="{00000000-0005-0000-0000-00009E340000}"/>
    <cellStyle name="Total 7 7 2 2" xfId="10025" xr:uid="{00000000-0005-0000-0000-00009F340000}"/>
    <cellStyle name="Total 7 7 3" xfId="9188" xr:uid="{00000000-0005-0000-0000-0000A0340000}"/>
    <cellStyle name="Total 7 8" xfId="9189" xr:uid="{00000000-0005-0000-0000-0000A1340000}"/>
    <cellStyle name="Total 7 8 2" xfId="9190" xr:uid="{00000000-0005-0000-0000-0000A2340000}"/>
    <cellStyle name="Total 7 8 2 2" xfId="10026" xr:uid="{00000000-0005-0000-0000-0000A3340000}"/>
    <cellStyle name="Total 7 8 3" xfId="9191" xr:uid="{00000000-0005-0000-0000-0000A4340000}"/>
    <cellStyle name="Total 7 9" xfId="9192" xr:uid="{00000000-0005-0000-0000-0000A5340000}"/>
    <cellStyle name="Total 7 9 2" xfId="9193" xr:uid="{00000000-0005-0000-0000-0000A6340000}"/>
    <cellStyle name="Total 7 9 2 2" xfId="10027" xr:uid="{00000000-0005-0000-0000-0000A7340000}"/>
    <cellStyle name="Total 7 9 3" xfId="9194" xr:uid="{00000000-0005-0000-0000-0000A8340000}"/>
    <cellStyle name="Total 70" xfId="9195" xr:uid="{00000000-0005-0000-0000-0000A9340000}"/>
    <cellStyle name="Total 70 2" xfId="9196" xr:uid="{00000000-0005-0000-0000-0000AA340000}"/>
    <cellStyle name="Total 70 2 2" xfId="10028" xr:uid="{00000000-0005-0000-0000-0000AB340000}"/>
    <cellStyle name="Total 70 3" xfId="9197" xr:uid="{00000000-0005-0000-0000-0000AC340000}"/>
    <cellStyle name="Total 71" xfId="9198" xr:uid="{00000000-0005-0000-0000-0000AD340000}"/>
    <cellStyle name="Total 71 2" xfId="9199" xr:uid="{00000000-0005-0000-0000-0000AE340000}"/>
    <cellStyle name="Total 71 2 2" xfId="10029" xr:uid="{00000000-0005-0000-0000-0000AF340000}"/>
    <cellStyle name="Total 71 3" xfId="9200" xr:uid="{00000000-0005-0000-0000-0000B0340000}"/>
    <cellStyle name="Total 72" xfId="9201" xr:uid="{00000000-0005-0000-0000-0000B1340000}"/>
    <cellStyle name="Total 72 2" xfId="9202" xr:uid="{00000000-0005-0000-0000-0000B2340000}"/>
    <cellStyle name="Total 72 2 2" xfId="10030" xr:uid="{00000000-0005-0000-0000-0000B3340000}"/>
    <cellStyle name="Total 72 3" xfId="9203" xr:uid="{00000000-0005-0000-0000-0000B4340000}"/>
    <cellStyle name="Total 73" xfId="9204" xr:uid="{00000000-0005-0000-0000-0000B5340000}"/>
    <cellStyle name="Total 73 2" xfId="9205" xr:uid="{00000000-0005-0000-0000-0000B6340000}"/>
    <cellStyle name="Total 73 2 2" xfId="10031" xr:uid="{00000000-0005-0000-0000-0000B7340000}"/>
    <cellStyle name="Total 73 3" xfId="9206" xr:uid="{00000000-0005-0000-0000-0000B8340000}"/>
    <cellStyle name="Total 74" xfId="9207" xr:uid="{00000000-0005-0000-0000-0000B9340000}"/>
    <cellStyle name="Total 74 2" xfId="9208" xr:uid="{00000000-0005-0000-0000-0000BA340000}"/>
    <cellStyle name="Total 74 2 2" xfId="10032" xr:uid="{00000000-0005-0000-0000-0000BB340000}"/>
    <cellStyle name="Total 74 3" xfId="9209" xr:uid="{00000000-0005-0000-0000-0000BC340000}"/>
    <cellStyle name="Total 75" xfId="9210" xr:uid="{00000000-0005-0000-0000-0000BD340000}"/>
    <cellStyle name="Total 75 2" xfId="9211" xr:uid="{00000000-0005-0000-0000-0000BE340000}"/>
    <cellStyle name="Total 75 2 2" xfId="10033" xr:uid="{00000000-0005-0000-0000-0000BF340000}"/>
    <cellStyle name="Total 75 3" xfId="9212" xr:uid="{00000000-0005-0000-0000-0000C0340000}"/>
    <cellStyle name="Total 76" xfId="9213" xr:uid="{00000000-0005-0000-0000-0000C1340000}"/>
    <cellStyle name="Total 76 2" xfId="9214" xr:uid="{00000000-0005-0000-0000-0000C2340000}"/>
    <cellStyle name="Total 76 2 2" xfId="10034" xr:uid="{00000000-0005-0000-0000-0000C3340000}"/>
    <cellStyle name="Total 76 3" xfId="9215" xr:uid="{00000000-0005-0000-0000-0000C4340000}"/>
    <cellStyle name="Total 77" xfId="9216" xr:uid="{00000000-0005-0000-0000-0000C5340000}"/>
    <cellStyle name="Total 77 2" xfId="9217" xr:uid="{00000000-0005-0000-0000-0000C6340000}"/>
    <cellStyle name="Total 77 2 2" xfId="10035" xr:uid="{00000000-0005-0000-0000-0000C7340000}"/>
    <cellStyle name="Total 77 3" xfId="9218" xr:uid="{00000000-0005-0000-0000-0000C8340000}"/>
    <cellStyle name="Total 78" xfId="9219" xr:uid="{00000000-0005-0000-0000-0000C9340000}"/>
    <cellStyle name="Total 78 2" xfId="9220" xr:uid="{00000000-0005-0000-0000-0000CA340000}"/>
    <cellStyle name="Total 78 2 2" xfId="10036" xr:uid="{00000000-0005-0000-0000-0000CB340000}"/>
    <cellStyle name="Total 78 3" xfId="9221" xr:uid="{00000000-0005-0000-0000-0000CC340000}"/>
    <cellStyle name="Total 79" xfId="9222" xr:uid="{00000000-0005-0000-0000-0000CD340000}"/>
    <cellStyle name="Total 79 2" xfId="9223" xr:uid="{00000000-0005-0000-0000-0000CE340000}"/>
    <cellStyle name="Total 79 2 2" xfId="10037" xr:uid="{00000000-0005-0000-0000-0000CF340000}"/>
    <cellStyle name="Total 79 3" xfId="9224" xr:uid="{00000000-0005-0000-0000-0000D0340000}"/>
    <cellStyle name="Total 8" xfId="9225" xr:uid="{00000000-0005-0000-0000-0000D1340000}"/>
    <cellStyle name="Total 8 2" xfId="9226" xr:uid="{00000000-0005-0000-0000-0000D2340000}"/>
    <cellStyle name="Total 8 2 2" xfId="10038" xr:uid="{00000000-0005-0000-0000-0000D3340000}"/>
    <cellStyle name="Total 8 3" xfId="9227" xr:uid="{00000000-0005-0000-0000-0000D4340000}"/>
    <cellStyle name="Total 80" xfId="9228" xr:uid="{00000000-0005-0000-0000-0000D5340000}"/>
    <cellStyle name="Total 80 2" xfId="9229" xr:uid="{00000000-0005-0000-0000-0000D6340000}"/>
    <cellStyle name="Total 80 2 2" xfId="10039" xr:uid="{00000000-0005-0000-0000-0000D7340000}"/>
    <cellStyle name="Total 80 3" xfId="9230" xr:uid="{00000000-0005-0000-0000-0000D8340000}"/>
    <cellStyle name="Total 81" xfId="9231" xr:uid="{00000000-0005-0000-0000-0000D9340000}"/>
    <cellStyle name="Total 81 2" xfId="9232" xr:uid="{00000000-0005-0000-0000-0000DA340000}"/>
    <cellStyle name="Total 81 2 2" xfId="10040" xr:uid="{00000000-0005-0000-0000-0000DB340000}"/>
    <cellStyle name="Total 81 3" xfId="9233" xr:uid="{00000000-0005-0000-0000-0000DC340000}"/>
    <cellStyle name="Total 82" xfId="9234" xr:uid="{00000000-0005-0000-0000-0000DD340000}"/>
    <cellStyle name="Total 82 2" xfId="9235" xr:uid="{00000000-0005-0000-0000-0000DE340000}"/>
    <cellStyle name="Total 82 2 2" xfId="10041" xr:uid="{00000000-0005-0000-0000-0000DF340000}"/>
    <cellStyle name="Total 82 3" xfId="9236" xr:uid="{00000000-0005-0000-0000-0000E0340000}"/>
    <cellStyle name="Total 83" xfId="9237" xr:uid="{00000000-0005-0000-0000-0000E1340000}"/>
    <cellStyle name="Total 83 2" xfId="9238" xr:uid="{00000000-0005-0000-0000-0000E2340000}"/>
    <cellStyle name="Total 83 2 2" xfId="10042" xr:uid="{00000000-0005-0000-0000-0000E3340000}"/>
    <cellStyle name="Total 83 3" xfId="9239" xr:uid="{00000000-0005-0000-0000-0000E4340000}"/>
    <cellStyle name="Total 84" xfId="9240" xr:uid="{00000000-0005-0000-0000-0000E5340000}"/>
    <cellStyle name="Total 84 2" xfId="9241" xr:uid="{00000000-0005-0000-0000-0000E6340000}"/>
    <cellStyle name="Total 84 2 2" xfId="10043" xr:uid="{00000000-0005-0000-0000-0000E7340000}"/>
    <cellStyle name="Total 84 3" xfId="9242" xr:uid="{00000000-0005-0000-0000-0000E8340000}"/>
    <cellStyle name="Total 85" xfId="9243" xr:uid="{00000000-0005-0000-0000-0000E9340000}"/>
    <cellStyle name="Total 85 2" xfId="9244" xr:uid="{00000000-0005-0000-0000-0000EA340000}"/>
    <cellStyle name="Total 85 2 2" xfId="10044" xr:uid="{00000000-0005-0000-0000-0000EB340000}"/>
    <cellStyle name="Total 85 3" xfId="9245" xr:uid="{00000000-0005-0000-0000-0000EC340000}"/>
    <cellStyle name="Total 86" xfId="9246" xr:uid="{00000000-0005-0000-0000-0000ED340000}"/>
    <cellStyle name="Total 86 2" xfId="9247" xr:uid="{00000000-0005-0000-0000-0000EE340000}"/>
    <cellStyle name="Total 86 2 2" xfId="10045" xr:uid="{00000000-0005-0000-0000-0000EF340000}"/>
    <cellStyle name="Total 86 3" xfId="9248" xr:uid="{00000000-0005-0000-0000-0000F0340000}"/>
    <cellStyle name="Total 87" xfId="9249" xr:uid="{00000000-0005-0000-0000-0000F1340000}"/>
    <cellStyle name="Total 87 2" xfId="9250" xr:uid="{00000000-0005-0000-0000-0000F2340000}"/>
    <cellStyle name="Total 87 2 2" xfId="10046" xr:uid="{00000000-0005-0000-0000-0000F3340000}"/>
    <cellStyle name="Total 87 3" xfId="9251" xr:uid="{00000000-0005-0000-0000-0000F4340000}"/>
    <cellStyle name="Total 88" xfId="9252" xr:uid="{00000000-0005-0000-0000-0000F5340000}"/>
    <cellStyle name="Total 88 2" xfId="9253" xr:uid="{00000000-0005-0000-0000-0000F6340000}"/>
    <cellStyle name="Total 88 2 2" xfId="10047" xr:uid="{00000000-0005-0000-0000-0000F7340000}"/>
    <cellStyle name="Total 88 3" xfId="9254" xr:uid="{00000000-0005-0000-0000-0000F8340000}"/>
    <cellStyle name="Total 89" xfId="9255" xr:uid="{00000000-0005-0000-0000-0000F9340000}"/>
    <cellStyle name="Total 89 2" xfId="9256" xr:uid="{00000000-0005-0000-0000-0000FA340000}"/>
    <cellStyle name="Total 89 2 2" xfId="10048" xr:uid="{00000000-0005-0000-0000-0000FB340000}"/>
    <cellStyle name="Total 89 3" xfId="9257" xr:uid="{00000000-0005-0000-0000-0000FC340000}"/>
    <cellStyle name="Total 9" xfId="9258" xr:uid="{00000000-0005-0000-0000-0000FD340000}"/>
    <cellStyle name="Total 9 2" xfId="9259" xr:uid="{00000000-0005-0000-0000-0000FE340000}"/>
    <cellStyle name="Total 9 2 2" xfId="10049" xr:uid="{00000000-0005-0000-0000-0000FF340000}"/>
    <cellStyle name="Total 9 3" xfId="9260" xr:uid="{00000000-0005-0000-0000-000000350000}"/>
    <cellStyle name="Total 90" xfId="9261" xr:uid="{00000000-0005-0000-0000-000001350000}"/>
    <cellStyle name="Total 90 2" xfId="9262" xr:uid="{00000000-0005-0000-0000-000002350000}"/>
    <cellStyle name="Total 90 2 2" xfId="10050" xr:uid="{00000000-0005-0000-0000-000003350000}"/>
    <cellStyle name="Total 90 3" xfId="9263" xr:uid="{00000000-0005-0000-0000-000004350000}"/>
    <cellStyle name="Total 91" xfId="9264" xr:uid="{00000000-0005-0000-0000-000005350000}"/>
    <cellStyle name="Total 91 2" xfId="9265" xr:uid="{00000000-0005-0000-0000-000006350000}"/>
    <cellStyle name="Total 91 2 2" xfId="10051" xr:uid="{00000000-0005-0000-0000-000007350000}"/>
    <cellStyle name="Total 91 3" xfId="9266" xr:uid="{00000000-0005-0000-0000-000008350000}"/>
    <cellStyle name="Total 92" xfId="9267" xr:uid="{00000000-0005-0000-0000-000009350000}"/>
    <cellStyle name="Total 92 2" xfId="9268" xr:uid="{00000000-0005-0000-0000-00000A350000}"/>
    <cellStyle name="Total 92 2 2" xfId="10052" xr:uid="{00000000-0005-0000-0000-00000B350000}"/>
    <cellStyle name="Total 92 3" xfId="9269" xr:uid="{00000000-0005-0000-0000-00000C350000}"/>
    <cellStyle name="Total 93" xfId="9270" xr:uid="{00000000-0005-0000-0000-00000D350000}"/>
    <cellStyle name="Total 93 2" xfId="9271" xr:uid="{00000000-0005-0000-0000-00000E350000}"/>
    <cellStyle name="Total 93 2 2" xfId="10053" xr:uid="{00000000-0005-0000-0000-00000F350000}"/>
    <cellStyle name="Total 93 3" xfId="9272" xr:uid="{00000000-0005-0000-0000-000010350000}"/>
    <cellStyle name="Total 94" xfId="9273" xr:uid="{00000000-0005-0000-0000-000011350000}"/>
    <cellStyle name="Total 94 2" xfId="9274" xr:uid="{00000000-0005-0000-0000-000012350000}"/>
    <cellStyle name="Total 94 2 2" xfId="10054" xr:uid="{00000000-0005-0000-0000-000013350000}"/>
    <cellStyle name="Total 94 3" xfId="9275" xr:uid="{00000000-0005-0000-0000-000014350000}"/>
    <cellStyle name="Total 95" xfId="9276" xr:uid="{00000000-0005-0000-0000-000015350000}"/>
    <cellStyle name="Total 95 2" xfId="9277" xr:uid="{00000000-0005-0000-0000-000016350000}"/>
    <cellStyle name="Total 95 2 2" xfId="10055" xr:uid="{00000000-0005-0000-0000-000017350000}"/>
    <cellStyle name="Total 95 3" xfId="9278" xr:uid="{00000000-0005-0000-0000-000018350000}"/>
    <cellStyle name="Total 96" xfId="9279" xr:uid="{00000000-0005-0000-0000-000019350000}"/>
    <cellStyle name="Total 96 2" xfId="9280" xr:uid="{00000000-0005-0000-0000-00001A350000}"/>
    <cellStyle name="Total 96 2 2" xfId="10056" xr:uid="{00000000-0005-0000-0000-00001B350000}"/>
    <cellStyle name="Total 96 3" xfId="9281" xr:uid="{00000000-0005-0000-0000-00001C350000}"/>
    <cellStyle name="Total 97" xfId="9282" xr:uid="{00000000-0005-0000-0000-00001D350000}"/>
    <cellStyle name="Total 97 2" xfId="9283" xr:uid="{00000000-0005-0000-0000-00001E350000}"/>
    <cellStyle name="Total 97 2 2" xfId="10057" xr:uid="{00000000-0005-0000-0000-00001F350000}"/>
    <cellStyle name="Total 97 3" xfId="9284" xr:uid="{00000000-0005-0000-0000-000020350000}"/>
    <cellStyle name="Total 98" xfId="9285" xr:uid="{00000000-0005-0000-0000-000021350000}"/>
    <cellStyle name="Total 98 2" xfId="9286" xr:uid="{00000000-0005-0000-0000-000022350000}"/>
    <cellStyle name="Total 98 2 2" xfId="10058" xr:uid="{00000000-0005-0000-0000-000023350000}"/>
    <cellStyle name="Total 98 3" xfId="9287" xr:uid="{00000000-0005-0000-0000-000024350000}"/>
    <cellStyle name="Total 99" xfId="9288" xr:uid="{00000000-0005-0000-0000-000025350000}"/>
    <cellStyle name="Total 99 2" xfId="9289" xr:uid="{00000000-0005-0000-0000-000026350000}"/>
    <cellStyle name="Total 99 2 2" xfId="10059" xr:uid="{00000000-0005-0000-0000-000027350000}"/>
    <cellStyle name="Total 99 3" xfId="9290" xr:uid="{00000000-0005-0000-0000-000028350000}"/>
    <cellStyle name="TotCol - Style5" xfId="9291" xr:uid="{00000000-0005-0000-0000-000029350000}"/>
    <cellStyle name="TotCol - Style5 2" xfId="9292" xr:uid="{00000000-0005-0000-0000-00002A350000}"/>
    <cellStyle name="TotCol - Style5 2 2" xfId="10060" xr:uid="{00000000-0005-0000-0000-00002B350000}"/>
    <cellStyle name="TotCol - Style5 3" xfId="9293" xr:uid="{00000000-0005-0000-0000-00002C350000}"/>
    <cellStyle name="TotRow - Style4" xfId="9294" xr:uid="{00000000-0005-0000-0000-00002D350000}"/>
    <cellStyle name="TotRow - Style4 2" xfId="9295" xr:uid="{00000000-0005-0000-0000-00002E350000}"/>
    <cellStyle name="TotRow - Style4 2 2" xfId="13928" xr:uid="{00000000-0005-0000-0000-00002F350000}"/>
    <cellStyle name="TotRow - Style4 2 2 2" xfId="13929" xr:uid="{00000000-0005-0000-0000-000030350000}"/>
    <cellStyle name="TotRow - Style4 2 3" xfId="13930" xr:uid="{00000000-0005-0000-0000-000031350000}"/>
    <cellStyle name="TotRow - Style4 3" xfId="13931" xr:uid="{00000000-0005-0000-0000-000032350000}"/>
    <cellStyle name="TotRow - Style4 3 2" xfId="13932" xr:uid="{00000000-0005-0000-0000-000033350000}"/>
    <cellStyle name="TotRow - Style4 4" xfId="13933" xr:uid="{00000000-0005-0000-0000-000034350000}"/>
    <cellStyle name="Tổng" xfId="8799" xr:uid="{00000000-0005-0000-0000-000094320000}"/>
    <cellStyle name="Tổng 2" xfId="13922" xr:uid="{00000000-0005-0000-0000-000095320000}"/>
    <cellStyle name="Tổng 2 2" xfId="13923" xr:uid="{00000000-0005-0000-0000-000096320000}"/>
    <cellStyle name="Tổng 3" xfId="13924" xr:uid="{00000000-0005-0000-0000-000097320000}"/>
    <cellStyle name="Tốt" xfId="8800" xr:uid="{00000000-0005-0000-0000-000098320000}"/>
    <cellStyle name="TS" xfId="9300" xr:uid="{00000000-0005-0000-0000-00005A350000}"/>
    <cellStyle name="Tusental (0)_pldt" xfId="9301" xr:uid="{00000000-0005-0000-0000-00005B350000}"/>
    <cellStyle name="Tusental_pldt" xfId="9302" xr:uid="{00000000-0005-0000-0000-00005C350000}"/>
    <cellStyle name="th" xfId="8655" xr:uid="{00000000-0005-0000-0000-0000B0300000}"/>
    <cellStyle name="th 10" xfId="8656" xr:uid="{00000000-0005-0000-0000-0000B1300000}"/>
    <cellStyle name="th 10 2" xfId="13583" xr:uid="{00000000-0005-0000-0000-0000B2300000}"/>
    <cellStyle name="th 10 2 2" xfId="13584" xr:uid="{00000000-0005-0000-0000-0000B3300000}"/>
    <cellStyle name="th 10 3" xfId="13585" xr:uid="{00000000-0005-0000-0000-0000B4300000}"/>
    <cellStyle name="th 100" xfId="8657" xr:uid="{00000000-0005-0000-0000-0000B5300000}"/>
    <cellStyle name="th 100 2" xfId="13586" xr:uid="{00000000-0005-0000-0000-0000B6300000}"/>
    <cellStyle name="th 100 2 2" xfId="13587" xr:uid="{00000000-0005-0000-0000-0000B7300000}"/>
    <cellStyle name="th 100 3" xfId="13588" xr:uid="{00000000-0005-0000-0000-0000B8300000}"/>
    <cellStyle name="th 101" xfId="8658" xr:uid="{00000000-0005-0000-0000-0000B9300000}"/>
    <cellStyle name="th 101 2" xfId="13589" xr:uid="{00000000-0005-0000-0000-0000BA300000}"/>
    <cellStyle name="th 101 2 2" xfId="13590" xr:uid="{00000000-0005-0000-0000-0000BB300000}"/>
    <cellStyle name="th 101 3" xfId="13591" xr:uid="{00000000-0005-0000-0000-0000BC300000}"/>
    <cellStyle name="th 102" xfId="8659" xr:uid="{00000000-0005-0000-0000-0000BD300000}"/>
    <cellStyle name="th 102 2" xfId="13592" xr:uid="{00000000-0005-0000-0000-0000BE300000}"/>
    <cellStyle name="th 102 2 2" xfId="13593" xr:uid="{00000000-0005-0000-0000-0000BF300000}"/>
    <cellStyle name="th 102 3" xfId="13594" xr:uid="{00000000-0005-0000-0000-0000C0300000}"/>
    <cellStyle name="th 103" xfId="8660" xr:uid="{00000000-0005-0000-0000-0000C1300000}"/>
    <cellStyle name="th 103 2" xfId="13595" xr:uid="{00000000-0005-0000-0000-0000C2300000}"/>
    <cellStyle name="th 103 2 2" xfId="13596" xr:uid="{00000000-0005-0000-0000-0000C3300000}"/>
    <cellStyle name="th 103 3" xfId="13597" xr:uid="{00000000-0005-0000-0000-0000C4300000}"/>
    <cellStyle name="th 104" xfId="8661" xr:uid="{00000000-0005-0000-0000-0000C5300000}"/>
    <cellStyle name="th 104 2" xfId="13598" xr:uid="{00000000-0005-0000-0000-0000C6300000}"/>
    <cellStyle name="th 104 2 2" xfId="13599" xr:uid="{00000000-0005-0000-0000-0000C7300000}"/>
    <cellStyle name="th 104 3" xfId="13600" xr:uid="{00000000-0005-0000-0000-0000C8300000}"/>
    <cellStyle name="th 105" xfId="8662" xr:uid="{00000000-0005-0000-0000-0000C9300000}"/>
    <cellStyle name="th 105 2" xfId="13601" xr:uid="{00000000-0005-0000-0000-0000CA300000}"/>
    <cellStyle name="th 105 2 2" xfId="13602" xr:uid="{00000000-0005-0000-0000-0000CB300000}"/>
    <cellStyle name="th 105 3" xfId="13603" xr:uid="{00000000-0005-0000-0000-0000CC300000}"/>
    <cellStyle name="th 106" xfId="8663" xr:uid="{00000000-0005-0000-0000-0000CD300000}"/>
    <cellStyle name="th 106 2" xfId="13604" xr:uid="{00000000-0005-0000-0000-0000CE300000}"/>
    <cellStyle name="th 106 2 2" xfId="13605" xr:uid="{00000000-0005-0000-0000-0000CF300000}"/>
    <cellStyle name="th 106 3" xfId="13606" xr:uid="{00000000-0005-0000-0000-0000D0300000}"/>
    <cellStyle name="th 107" xfId="8664" xr:uid="{00000000-0005-0000-0000-0000D1300000}"/>
    <cellStyle name="th 107 2" xfId="13607" xr:uid="{00000000-0005-0000-0000-0000D2300000}"/>
    <cellStyle name="th 107 2 2" xfId="13608" xr:uid="{00000000-0005-0000-0000-0000D3300000}"/>
    <cellStyle name="th 107 3" xfId="13609" xr:uid="{00000000-0005-0000-0000-0000D4300000}"/>
    <cellStyle name="th 108" xfId="8665" xr:uid="{00000000-0005-0000-0000-0000D5300000}"/>
    <cellStyle name="th 108 2" xfId="13610" xr:uid="{00000000-0005-0000-0000-0000D6300000}"/>
    <cellStyle name="th 108 2 2" xfId="13611" xr:uid="{00000000-0005-0000-0000-0000D7300000}"/>
    <cellStyle name="th 108 3" xfId="13612" xr:uid="{00000000-0005-0000-0000-0000D8300000}"/>
    <cellStyle name="th 109" xfId="8666" xr:uid="{00000000-0005-0000-0000-0000D9300000}"/>
    <cellStyle name="th 109 2" xfId="13613" xr:uid="{00000000-0005-0000-0000-0000DA300000}"/>
    <cellStyle name="th 109 2 2" xfId="13614" xr:uid="{00000000-0005-0000-0000-0000DB300000}"/>
    <cellStyle name="th 109 3" xfId="13615" xr:uid="{00000000-0005-0000-0000-0000DC300000}"/>
    <cellStyle name="th 11" xfId="8667" xr:uid="{00000000-0005-0000-0000-0000DD300000}"/>
    <cellStyle name="th 11 2" xfId="13616" xr:uid="{00000000-0005-0000-0000-0000DE300000}"/>
    <cellStyle name="th 11 2 2" xfId="13617" xr:uid="{00000000-0005-0000-0000-0000DF300000}"/>
    <cellStyle name="th 11 3" xfId="13618" xr:uid="{00000000-0005-0000-0000-0000E0300000}"/>
    <cellStyle name="th 110" xfId="8668" xr:uid="{00000000-0005-0000-0000-0000E1300000}"/>
    <cellStyle name="th 110 2" xfId="13619" xr:uid="{00000000-0005-0000-0000-0000E2300000}"/>
    <cellStyle name="th 110 2 2" xfId="13620" xr:uid="{00000000-0005-0000-0000-0000E3300000}"/>
    <cellStyle name="th 110 3" xfId="13621" xr:uid="{00000000-0005-0000-0000-0000E4300000}"/>
    <cellStyle name="th 111" xfId="8669" xr:uid="{00000000-0005-0000-0000-0000E5300000}"/>
    <cellStyle name="th 111 2" xfId="13622" xr:uid="{00000000-0005-0000-0000-0000E6300000}"/>
    <cellStyle name="th 111 2 2" xfId="13623" xr:uid="{00000000-0005-0000-0000-0000E7300000}"/>
    <cellStyle name="th 111 3" xfId="13624" xr:uid="{00000000-0005-0000-0000-0000E8300000}"/>
    <cellStyle name="th 112" xfId="13625" xr:uid="{00000000-0005-0000-0000-0000E9300000}"/>
    <cellStyle name="th 112 2" xfId="13626" xr:uid="{00000000-0005-0000-0000-0000EA300000}"/>
    <cellStyle name="th 113" xfId="13627" xr:uid="{00000000-0005-0000-0000-0000EB300000}"/>
    <cellStyle name="th 12" xfId="8670" xr:uid="{00000000-0005-0000-0000-0000EC300000}"/>
    <cellStyle name="th 12 2" xfId="13628" xr:uid="{00000000-0005-0000-0000-0000ED300000}"/>
    <cellStyle name="th 12 2 2" xfId="13629" xr:uid="{00000000-0005-0000-0000-0000EE300000}"/>
    <cellStyle name="th 12 3" xfId="13630" xr:uid="{00000000-0005-0000-0000-0000EF300000}"/>
    <cellStyle name="th 13" xfId="8671" xr:uid="{00000000-0005-0000-0000-0000F0300000}"/>
    <cellStyle name="th 13 2" xfId="13631" xr:uid="{00000000-0005-0000-0000-0000F1300000}"/>
    <cellStyle name="th 13 2 2" xfId="13632" xr:uid="{00000000-0005-0000-0000-0000F2300000}"/>
    <cellStyle name="th 13 3" xfId="13633" xr:uid="{00000000-0005-0000-0000-0000F3300000}"/>
    <cellStyle name="th 14" xfId="8672" xr:uid="{00000000-0005-0000-0000-0000F4300000}"/>
    <cellStyle name="th 14 2" xfId="13634" xr:uid="{00000000-0005-0000-0000-0000F5300000}"/>
    <cellStyle name="th 14 2 2" xfId="13635" xr:uid="{00000000-0005-0000-0000-0000F6300000}"/>
    <cellStyle name="th 14 3" xfId="13636" xr:uid="{00000000-0005-0000-0000-0000F7300000}"/>
    <cellStyle name="th 15" xfId="8673" xr:uid="{00000000-0005-0000-0000-0000F8300000}"/>
    <cellStyle name="th 15 2" xfId="13637" xr:uid="{00000000-0005-0000-0000-0000F9300000}"/>
    <cellStyle name="th 15 2 2" xfId="13638" xr:uid="{00000000-0005-0000-0000-0000FA300000}"/>
    <cellStyle name="th 15 3" xfId="13639" xr:uid="{00000000-0005-0000-0000-0000FB300000}"/>
    <cellStyle name="th 16" xfId="8674" xr:uid="{00000000-0005-0000-0000-0000FC300000}"/>
    <cellStyle name="th 16 2" xfId="13640" xr:uid="{00000000-0005-0000-0000-0000FD300000}"/>
    <cellStyle name="th 16 2 2" xfId="13641" xr:uid="{00000000-0005-0000-0000-0000FE300000}"/>
    <cellStyle name="th 16 3" xfId="13642" xr:uid="{00000000-0005-0000-0000-0000FF300000}"/>
    <cellStyle name="th 17" xfId="8675" xr:uid="{00000000-0005-0000-0000-000000310000}"/>
    <cellStyle name="th 17 2" xfId="13643" xr:uid="{00000000-0005-0000-0000-000001310000}"/>
    <cellStyle name="th 17 2 2" xfId="13644" xr:uid="{00000000-0005-0000-0000-000002310000}"/>
    <cellStyle name="th 17 3" xfId="13645" xr:uid="{00000000-0005-0000-0000-000003310000}"/>
    <cellStyle name="th 18" xfId="8676" xr:uid="{00000000-0005-0000-0000-000004310000}"/>
    <cellStyle name="th 18 2" xfId="13646" xr:uid="{00000000-0005-0000-0000-000005310000}"/>
    <cellStyle name="th 18 2 2" xfId="13647" xr:uid="{00000000-0005-0000-0000-000006310000}"/>
    <cellStyle name="th 18 3" xfId="13648" xr:uid="{00000000-0005-0000-0000-000007310000}"/>
    <cellStyle name="th 19" xfId="8677" xr:uid="{00000000-0005-0000-0000-000008310000}"/>
    <cellStyle name="th 19 2" xfId="13649" xr:uid="{00000000-0005-0000-0000-000009310000}"/>
    <cellStyle name="th 19 2 2" xfId="13650" xr:uid="{00000000-0005-0000-0000-00000A310000}"/>
    <cellStyle name="th 19 3" xfId="13651" xr:uid="{00000000-0005-0000-0000-00000B310000}"/>
    <cellStyle name="th 2" xfId="8678" xr:uid="{00000000-0005-0000-0000-00000C310000}"/>
    <cellStyle name="th 2 2" xfId="8679" xr:uid="{00000000-0005-0000-0000-00000D310000}"/>
    <cellStyle name="th 2 2 2" xfId="13652" xr:uid="{00000000-0005-0000-0000-00000E310000}"/>
    <cellStyle name="th 2 2 2 2" xfId="13653" xr:uid="{00000000-0005-0000-0000-00000F310000}"/>
    <cellStyle name="th 2 2 3" xfId="13654" xr:uid="{00000000-0005-0000-0000-000010310000}"/>
    <cellStyle name="th 2 3" xfId="13655" xr:uid="{00000000-0005-0000-0000-000011310000}"/>
    <cellStyle name="th 2 3 2" xfId="13656" xr:uid="{00000000-0005-0000-0000-000012310000}"/>
    <cellStyle name="th 2 4" xfId="13657" xr:uid="{00000000-0005-0000-0000-000013310000}"/>
    <cellStyle name="th 20" xfId="8680" xr:uid="{00000000-0005-0000-0000-000014310000}"/>
    <cellStyle name="th 20 2" xfId="13658" xr:uid="{00000000-0005-0000-0000-000015310000}"/>
    <cellStyle name="th 20 2 2" xfId="13659" xr:uid="{00000000-0005-0000-0000-000016310000}"/>
    <cellStyle name="th 20 3" xfId="13660" xr:uid="{00000000-0005-0000-0000-000017310000}"/>
    <cellStyle name="th 21" xfId="8681" xr:uid="{00000000-0005-0000-0000-000018310000}"/>
    <cellStyle name="th 21 2" xfId="13661" xr:uid="{00000000-0005-0000-0000-000019310000}"/>
    <cellStyle name="th 21 2 2" xfId="13662" xr:uid="{00000000-0005-0000-0000-00001A310000}"/>
    <cellStyle name="th 21 3" xfId="13663" xr:uid="{00000000-0005-0000-0000-00001B310000}"/>
    <cellStyle name="th 22" xfId="8682" xr:uid="{00000000-0005-0000-0000-00001C310000}"/>
    <cellStyle name="th 22 2" xfId="13664" xr:uid="{00000000-0005-0000-0000-00001D310000}"/>
    <cellStyle name="th 22 2 2" xfId="13665" xr:uid="{00000000-0005-0000-0000-00001E310000}"/>
    <cellStyle name="th 22 3" xfId="13666" xr:uid="{00000000-0005-0000-0000-00001F310000}"/>
    <cellStyle name="th 23" xfId="8683" xr:uid="{00000000-0005-0000-0000-000020310000}"/>
    <cellStyle name="th 23 2" xfId="13667" xr:uid="{00000000-0005-0000-0000-000021310000}"/>
    <cellStyle name="th 23 2 2" xfId="13668" xr:uid="{00000000-0005-0000-0000-000022310000}"/>
    <cellStyle name="th 23 3" xfId="13669" xr:uid="{00000000-0005-0000-0000-000023310000}"/>
    <cellStyle name="th 24" xfId="8684" xr:uid="{00000000-0005-0000-0000-000024310000}"/>
    <cellStyle name="th 24 2" xfId="13670" xr:uid="{00000000-0005-0000-0000-000025310000}"/>
    <cellStyle name="th 24 2 2" xfId="13671" xr:uid="{00000000-0005-0000-0000-000026310000}"/>
    <cellStyle name="th 24 3" xfId="13672" xr:uid="{00000000-0005-0000-0000-000027310000}"/>
    <cellStyle name="th 25" xfId="8685" xr:uid="{00000000-0005-0000-0000-000028310000}"/>
    <cellStyle name="th 25 2" xfId="13673" xr:uid="{00000000-0005-0000-0000-000029310000}"/>
    <cellStyle name="th 25 2 2" xfId="13674" xr:uid="{00000000-0005-0000-0000-00002A310000}"/>
    <cellStyle name="th 25 3" xfId="13675" xr:uid="{00000000-0005-0000-0000-00002B310000}"/>
    <cellStyle name="th 26" xfId="8686" xr:uid="{00000000-0005-0000-0000-00002C310000}"/>
    <cellStyle name="th 26 2" xfId="13676" xr:uid="{00000000-0005-0000-0000-00002D310000}"/>
    <cellStyle name="th 26 2 2" xfId="13677" xr:uid="{00000000-0005-0000-0000-00002E310000}"/>
    <cellStyle name="th 26 3" xfId="13678" xr:uid="{00000000-0005-0000-0000-00002F310000}"/>
    <cellStyle name="th 27" xfId="8687" xr:uid="{00000000-0005-0000-0000-000030310000}"/>
    <cellStyle name="th 27 2" xfId="13679" xr:uid="{00000000-0005-0000-0000-000031310000}"/>
    <cellStyle name="th 27 2 2" xfId="13680" xr:uid="{00000000-0005-0000-0000-000032310000}"/>
    <cellStyle name="th 27 3" xfId="13681" xr:uid="{00000000-0005-0000-0000-000033310000}"/>
    <cellStyle name="th 28" xfId="8688" xr:uid="{00000000-0005-0000-0000-000034310000}"/>
    <cellStyle name="th 28 2" xfId="13682" xr:uid="{00000000-0005-0000-0000-000035310000}"/>
    <cellStyle name="th 28 2 2" xfId="13683" xr:uid="{00000000-0005-0000-0000-000036310000}"/>
    <cellStyle name="th 28 3" xfId="13684" xr:uid="{00000000-0005-0000-0000-000037310000}"/>
    <cellStyle name="th 29" xfId="8689" xr:uid="{00000000-0005-0000-0000-000038310000}"/>
    <cellStyle name="th 29 2" xfId="13685" xr:uid="{00000000-0005-0000-0000-000039310000}"/>
    <cellStyle name="th 29 2 2" xfId="13686" xr:uid="{00000000-0005-0000-0000-00003A310000}"/>
    <cellStyle name="th 29 3" xfId="13687" xr:uid="{00000000-0005-0000-0000-00003B310000}"/>
    <cellStyle name="th 3" xfId="8690" xr:uid="{00000000-0005-0000-0000-00003C310000}"/>
    <cellStyle name="th 3 2" xfId="13688" xr:uid="{00000000-0005-0000-0000-00003D310000}"/>
    <cellStyle name="th 3 2 2" xfId="13689" xr:uid="{00000000-0005-0000-0000-00003E310000}"/>
    <cellStyle name="th 3 3" xfId="13690" xr:uid="{00000000-0005-0000-0000-00003F310000}"/>
    <cellStyle name="th 30" xfId="8691" xr:uid="{00000000-0005-0000-0000-000040310000}"/>
    <cellStyle name="th 30 2" xfId="13691" xr:uid="{00000000-0005-0000-0000-000041310000}"/>
    <cellStyle name="th 30 2 2" xfId="13692" xr:uid="{00000000-0005-0000-0000-000042310000}"/>
    <cellStyle name="th 30 3" xfId="13693" xr:uid="{00000000-0005-0000-0000-000043310000}"/>
    <cellStyle name="th 31" xfId="8692" xr:uid="{00000000-0005-0000-0000-000044310000}"/>
    <cellStyle name="th 31 2" xfId="13694" xr:uid="{00000000-0005-0000-0000-000045310000}"/>
    <cellStyle name="th 31 2 2" xfId="13695" xr:uid="{00000000-0005-0000-0000-000046310000}"/>
    <cellStyle name="th 31 3" xfId="13696" xr:uid="{00000000-0005-0000-0000-000047310000}"/>
    <cellStyle name="th 32" xfId="8693" xr:uid="{00000000-0005-0000-0000-000048310000}"/>
    <cellStyle name="th 32 2" xfId="13697" xr:uid="{00000000-0005-0000-0000-000049310000}"/>
    <cellStyle name="th 32 2 2" xfId="13698" xr:uid="{00000000-0005-0000-0000-00004A310000}"/>
    <cellStyle name="th 32 3" xfId="13699" xr:uid="{00000000-0005-0000-0000-00004B310000}"/>
    <cellStyle name="th 33" xfId="8694" xr:uid="{00000000-0005-0000-0000-00004C310000}"/>
    <cellStyle name="th 33 2" xfId="13700" xr:uid="{00000000-0005-0000-0000-00004D310000}"/>
    <cellStyle name="th 33 2 2" xfId="13701" xr:uid="{00000000-0005-0000-0000-00004E310000}"/>
    <cellStyle name="th 33 3" xfId="13702" xr:uid="{00000000-0005-0000-0000-00004F310000}"/>
    <cellStyle name="th 34" xfId="8695" xr:uid="{00000000-0005-0000-0000-000050310000}"/>
    <cellStyle name="th 34 2" xfId="13703" xr:uid="{00000000-0005-0000-0000-000051310000}"/>
    <cellStyle name="th 34 2 2" xfId="13704" xr:uid="{00000000-0005-0000-0000-000052310000}"/>
    <cellStyle name="th 34 3" xfId="13705" xr:uid="{00000000-0005-0000-0000-000053310000}"/>
    <cellStyle name="th 35" xfId="8696" xr:uid="{00000000-0005-0000-0000-000054310000}"/>
    <cellStyle name="th 35 2" xfId="13706" xr:uid="{00000000-0005-0000-0000-000055310000}"/>
    <cellStyle name="th 35 2 2" xfId="13707" xr:uid="{00000000-0005-0000-0000-000056310000}"/>
    <cellStyle name="th 35 3" xfId="13708" xr:uid="{00000000-0005-0000-0000-000057310000}"/>
    <cellStyle name="th 36" xfId="8697" xr:uid="{00000000-0005-0000-0000-000058310000}"/>
    <cellStyle name="th 36 2" xfId="13709" xr:uid="{00000000-0005-0000-0000-000059310000}"/>
    <cellStyle name="th 36 2 2" xfId="13710" xr:uid="{00000000-0005-0000-0000-00005A310000}"/>
    <cellStyle name="th 36 3" xfId="13711" xr:uid="{00000000-0005-0000-0000-00005B310000}"/>
    <cellStyle name="th 37" xfId="8698" xr:uid="{00000000-0005-0000-0000-00005C310000}"/>
    <cellStyle name="th 37 2" xfId="13712" xr:uid="{00000000-0005-0000-0000-00005D310000}"/>
    <cellStyle name="th 37 2 2" xfId="13713" xr:uid="{00000000-0005-0000-0000-00005E310000}"/>
    <cellStyle name="th 37 3" xfId="13714" xr:uid="{00000000-0005-0000-0000-00005F310000}"/>
    <cellStyle name="th 38" xfId="8699" xr:uid="{00000000-0005-0000-0000-000060310000}"/>
    <cellStyle name="th 38 2" xfId="13715" xr:uid="{00000000-0005-0000-0000-000061310000}"/>
    <cellStyle name="th 38 2 2" xfId="13716" xr:uid="{00000000-0005-0000-0000-000062310000}"/>
    <cellStyle name="th 38 3" xfId="13717" xr:uid="{00000000-0005-0000-0000-000063310000}"/>
    <cellStyle name="th 39" xfId="8700" xr:uid="{00000000-0005-0000-0000-000064310000}"/>
    <cellStyle name="th 39 2" xfId="13718" xr:uid="{00000000-0005-0000-0000-000065310000}"/>
    <cellStyle name="th 39 2 2" xfId="13719" xr:uid="{00000000-0005-0000-0000-000066310000}"/>
    <cellStyle name="th 39 3" xfId="13720" xr:uid="{00000000-0005-0000-0000-000067310000}"/>
    <cellStyle name="th 4" xfId="8701" xr:uid="{00000000-0005-0000-0000-000068310000}"/>
    <cellStyle name="th 4 2" xfId="13721" xr:uid="{00000000-0005-0000-0000-000069310000}"/>
    <cellStyle name="th 4 2 2" xfId="13722" xr:uid="{00000000-0005-0000-0000-00006A310000}"/>
    <cellStyle name="th 4 3" xfId="13723" xr:uid="{00000000-0005-0000-0000-00006B310000}"/>
    <cellStyle name="th 40" xfId="8702" xr:uid="{00000000-0005-0000-0000-00006C310000}"/>
    <cellStyle name="th 40 2" xfId="13724" xr:uid="{00000000-0005-0000-0000-00006D310000}"/>
    <cellStyle name="th 40 2 2" xfId="13725" xr:uid="{00000000-0005-0000-0000-00006E310000}"/>
    <cellStyle name="th 40 3" xfId="13726" xr:uid="{00000000-0005-0000-0000-00006F310000}"/>
    <cellStyle name="th 41" xfId="8703" xr:uid="{00000000-0005-0000-0000-000070310000}"/>
    <cellStyle name="th 41 2" xfId="13727" xr:uid="{00000000-0005-0000-0000-000071310000}"/>
    <cellStyle name="th 41 2 2" xfId="13728" xr:uid="{00000000-0005-0000-0000-000072310000}"/>
    <cellStyle name="th 41 3" xfId="13729" xr:uid="{00000000-0005-0000-0000-000073310000}"/>
    <cellStyle name="th 42" xfId="8704" xr:uid="{00000000-0005-0000-0000-000074310000}"/>
    <cellStyle name="th 42 2" xfId="13730" xr:uid="{00000000-0005-0000-0000-000075310000}"/>
    <cellStyle name="th 42 2 2" xfId="13731" xr:uid="{00000000-0005-0000-0000-000076310000}"/>
    <cellStyle name="th 42 3" xfId="13732" xr:uid="{00000000-0005-0000-0000-000077310000}"/>
    <cellStyle name="th 43" xfId="8705" xr:uid="{00000000-0005-0000-0000-000078310000}"/>
    <cellStyle name="th 43 2" xfId="13733" xr:uid="{00000000-0005-0000-0000-000079310000}"/>
    <cellStyle name="th 43 2 2" xfId="13734" xr:uid="{00000000-0005-0000-0000-00007A310000}"/>
    <cellStyle name="th 43 3" xfId="13735" xr:uid="{00000000-0005-0000-0000-00007B310000}"/>
    <cellStyle name="th 44" xfId="8706" xr:uid="{00000000-0005-0000-0000-00007C310000}"/>
    <cellStyle name="th 44 2" xfId="13736" xr:uid="{00000000-0005-0000-0000-00007D310000}"/>
    <cellStyle name="th 44 2 2" xfId="13737" xr:uid="{00000000-0005-0000-0000-00007E310000}"/>
    <cellStyle name="th 44 3" xfId="13738" xr:uid="{00000000-0005-0000-0000-00007F310000}"/>
    <cellStyle name="th 45" xfId="8707" xr:uid="{00000000-0005-0000-0000-000080310000}"/>
    <cellStyle name="th 45 2" xfId="13739" xr:uid="{00000000-0005-0000-0000-000081310000}"/>
    <cellStyle name="th 45 2 2" xfId="13740" xr:uid="{00000000-0005-0000-0000-000082310000}"/>
    <cellStyle name="th 45 3" xfId="13741" xr:uid="{00000000-0005-0000-0000-000083310000}"/>
    <cellStyle name="th 46" xfId="8708" xr:uid="{00000000-0005-0000-0000-000084310000}"/>
    <cellStyle name="th 46 2" xfId="13742" xr:uid="{00000000-0005-0000-0000-000085310000}"/>
    <cellStyle name="th 46 2 2" xfId="13743" xr:uid="{00000000-0005-0000-0000-000086310000}"/>
    <cellStyle name="th 46 3" xfId="13744" xr:uid="{00000000-0005-0000-0000-000087310000}"/>
    <cellStyle name="th 47" xfId="8709" xr:uid="{00000000-0005-0000-0000-000088310000}"/>
    <cellStyle name="th 47 2" xfId="13745" xr:uid="{00000000-0005-0000-0000-000089310000}"/>
    <cellStyle name="th 47 2 2" xfId="13746" xr:uid="{00000000-0005-0000-0000-00008A310000}"/>
    <cellStyle name="th 47 3" xfId="13747" xr:uid="{00000000-0005-0000-0000-00008B310000}"/>
    <cellStyle name="th 48" xfId="8710" xr:uid="{00000000-0005-0000-0000-00008C310000}"/>
    <cellStyle name="th 48 2" xfId="13748" xr:uid="{00000000-0005-0000-0000-00008D310000}"/>
    <cellStyle name="th 48 2 2" xfId="13749" xr:uid="{00000000-0005-0000-0000-00008E310000}"/>
    <cellStyle name="th 48 3" xfId="13750" xr:uid="{00000000-0005-0000-0000-00008F310000}"/>
    <cellStyle name="th 49" xfId="8711" xr:uid="{00000000-0005-0000-0000-000090310000}"/>
    <cellStyle name="th 49 2" xfId="13751" xr:uid="{00000000-0005-0000-0000-000091310000}"/>
    <cellStyle name="th 49 2 2" xfId="13752" xr:uid="{00000000-0005-0000-0000-000092310000}"/>
    <cellStyle name="th 49 3" xfId="13753" xr:uid="{00000000-0005-0000-0000-000093310000}"/>
    <cellStyle name="th 5" xfId="8712" xr:uid="{00000000-0005-0000-0000-000094310000}"/>
    <cellStyle name="th 5 2" xfId="13754" xr:uid="{00000000-0005-0000-0000-000095310000}"/>
    <cellStyle name="th 5 2 2" xfId="13755" xr:uid="{00000000-0005-0000-0000-000096310000}"/>
    <cellStyle name="th 5 3" xfId="13756" xr:uid="{00000000-0005-0000-0000-000097310000}"/>
    <cellStyle name="th 50" xfId="8713" xr:uid="{00000000-0005-0000-0000-000098310000}"/>
    <cellStyle name="th 50 2" xfId="13757" xr:uid="{00000000-0005-0000-0000-000099310000}"/>
    <cellStyle name="th 50 2 2" xfId="13758" xr:uid="{00000000-0005-0000-0000-00009A310000}"/>
    <cellStyle name="th 50 3" xfId="13759" xr:uid="{00000000-0005-0000-0000-00009B310000}"/>
    <cellStyle name="th 51" xfId="8714" xr:uid="{00000000-0005-0000-0000-00009C310000}"/>
    <cellStyle name="th 51 2" xfId="13760" xr:uid="{00000000-0005-0000-0000-00009D310000}"/>
    <cellStyle name="th 51 2 2" xfId="13761" xr:uid="{00000000-0005-0000-0000-00009E310000}"/>
    <cellStyle name="th 51 3" xfId="13762" xr:uid="{00000000-0005-0000-0000-00009F310000}"/>
    <cellStyle name="th 52" xfId="8715" xr:uid="{00000000-0005-0000-0000-0000A0310000}"/>
    <cellStyle name="th 52 2" xfId="13763" xr:uid="{00000000-0005-0000-0000-0000A1310000}"/>
    <cellStyle name="th 52 2 2" xfId="13764" xr:uid="{00000000-0005-0000-0000-0000A2310000}"/>
    <cellStyle name="th 52 3" xfId="13765" xr:uid="{00000000-0005-0000-0000-0000A3310000}"/>
    <cellStyle name="th 53" xfId="8716" xr:uid="{00000000-0005-0000-0000-0000A4310000}"/>
    <cellStyle name="th 53 2" xfId="13766" xr:uid="{00000000-0005-0000-0000-0000A5310000}"/>
    <cellStyle name="th 53 2 2" xfId="13767" xr:uid="{00000000-0005-0000-0000-0000A6310000}"/>
    <cellStyle name="th 53 3" xfId="13768" xr:uid="{00000000-0005-0000-0000-0000A7310000}"/>
    <cellStyle name="th 54" xfId="8717" xr:uid="{00000000-0005-0000-0000-0000A8310000}"/>
    <cellStyle name="th 54 2" xfId="13769" xr:uid="{00000000-0005-0000-0000-0000A9310000}"/>
    <cellStyle name="th 54 2 2" xfId="13770" xr:uid="{00000000-0005-0000-0000-0000AA310000}"/>
    <cellStyle name="th 54 3" xfId="13771" xr:uid="{00000000-0005-0000-0000-0000AB310000}"/>
    <cellStyle name="th 55" xfId="8718" xr:uid="{00000000-0005-0000-0000-0000AC310000}"/>
    <cellStyle name="th 55 2" xfId="13772" xr:uid="{00000000-0005-0000-0000-0000AD310000}"/>
    <cellStyle name="th 55 2 2" xfId="13773" xr:uid="{00000000-0005-0000-0000-0000AE310000}"/>
    <cellStyle name="th 55 3" xfId="13774" xr:uid="{00000000-0005-0000-0000-0000AF310000}"/>
    <cellStyle name="th 56" xfId="8719" xr:uid="{00000000-0005-0000-0000-0000B0310000}"/>
    <cellStyle name="th 56 2" xfId="13775" xr:uid="{00000000-0005-0000-0000-0000B1310000}"/>
    <cellStyle name="th 56 2 2" xfId="13776" xr:uid="{00000000-0005-0000-0000-0000B2310000}"/>
    <cellStyle name="th 56 3" xfId="13777" xr:uid="{00000000-0005-0000-0000-0000B3310000}"/>
    <cellStyle name="th 57" xfId="8720" xr:uid="{00000000-0005-0000-0000-0000B4310000}"/>
    <cellStyle name="th 57 2" xfId="13778" xr:uid="{00000000-0005-0000-0000-0000B5310000}"/>
    <cellStyle name="th 57 2 2" xfId="13779" xr:uid="{00000000-0005-0000-0000-0000B6310000}"/>
    <cellStyle name="th 57 3" xfId="13780" xr:uid="{00000000-0005-0000-0000-0000B7310000}"/>
    <cellStyle name="th 58" xfId="8721" xr:uid="{00000000-0005-0000-0000-0000B8310000}"/>
    <cellStyle name="th 58 2" xfId="13781" xr:uid="{00000000-0005-0000-0000-0000B9310000}"/>
    <cellStyle name="th 58 2 2" xfId="13782" xr:uid="{00000000-0005-0000-0000-0000BA310000}"/>
    <cellStyle name="th 58 3" xfId="13783" xr:uid="{00000000-0005-0000-0000-0000BB310000}"/>
    <cellStyle name="th 59" xfId="8722" xr:uid="{00000000-0005-0000-0000-0000BC310000}"/>
    <cellStyle name="th 59 2" xfId="13784" xr:uid="{00000000-0005-0000-0000-0000BD310000}"/>
    <cellStyle name="th 59 2 2" xfId="13785" xr:uid="{00000000-0005-0000-0000-0000BE310000}"/>
    <cellStyle name="th 59 3" xfId="13786" xr:uid="{00000000-0005-0000-0000-0000BF310000}"/>
    <cellStyle name="th 6" xfId="8723" xr:uid="{00000000-0005-0000-0000-0000C0310000}"/>
    <cellStyle name="th 6 2" xfId="13787" xr:uid="{00000000-0005-0000-0000-0000C1310000}"/>
    <cellStyle name="th 6 2 2" xfId="13788" xr:uid="{00000000-0005-0000-0000-0000C2310000}"/>
    <cellStyle name="th 6 3" xfId="13789" xr:uid="{00000000-0005-0000-0000-0000C3310000}"/>
    <cellStyle name="th 60" xfId="8724" xr:uid="{00000000-0005-0000-0000-0000C4310000}"/>
    <cellStyle name="th 60 2" xfId="13790" xr:uid="{00000000-0005-0000-0000-0000C5310000}"/>
    <cellStyle name="th 60 2 2" xfId="13791" xr:uid="{00000000-0005-0000-0000-0000C6310000}"/>
    <cellStyle name="th 60 3" xfId="13792" xr:uid="{00000000-0005-0000-0000-0000C7310000}"/>
    <cellStyle name="th 61" xfId="8725" xr:uid="{00000000-0005-0000-0000-0000C8310000}"/>
    <cellStyle name="th 61 2" xfId="13793" xr:uid="{00000000-0005-0000-0000-0000C9310000}"/>
    <cellStyle name="th 61 2 2" xfId="13794" xr:uid="{00000000-0005-0000-0000-0000CA310000}"/>
    <cellStyle name="th 61 3" xfId="13795" xr:uid="{00000000-0005-0000-0000-0000CB310000}"/>
    <cellStyle name="th 62" xfId="8726" xr:uid="{00000000-0005-0000-0000-0000CC310000}"/>
    <cellStyle name="th 62 2" xfId="13796" xr:uid="{00000000-0005-0000-0000-0000CD310000}"/>
    <cellStyle name="th 62 2 2" xfId="13797" xr:uid="{00000000-0005-0000-0000-0000CE310000}"/>
    <cellStyle name="th 62 3" xfId="13798" xr:uid="{00000000-0005-0000-0000-0000CF310000}"/>
    <cellStyle name="th 63" xfId="8727" xr:uid="{00000000-0005-0000-0000-0000D0310000}"/>
    <cellStyle name="th 63 2" xfId="13799" xr:uid="{00000000-0005-0000-0000-0000D1310000}"/>
    <cellStyle name="th 63 2 2" xfId="13800" xr:uid="{00000000-0005-0000-0000-0000D2310000}"/>
    <cellStyle name="th 63 3" xfId="13801" xr:uid="{00000000-0005-0000-0000-0000D3310000}"/>
    <cellStyle name="th 64" xfId="8728" xr:uid="{00000000-0005-0000-0000-0000D4310000}"/>
    <cellStyle name="th 64 2" xfId="13802" xr:uid="{00000000-0005-0000-0000-0000D5310000}"/>
    <cellStyle name="th 64 2 2" xfId="13803" xr:uid="{00000000-0005-0000-0000-0000D6310000}"/>
    <cellStyle name="th 64 3" xfId="13804" xr:uid="{00000000-0005-0000-0000-0000D7310000}"/>
    <cellStyle name="th 65" xfId="8729" xr:uid="{00000000-0005-0000-0000-0000D8310000}"/>
    <cellStyle name="th 65 2" xfId="13805" xr:uid="{00000000-0005-0000-0000-0000D9310000}"/>
    <cellStyle name="th 65 2 2" xfId="13806" xr:uid="{00000000-0005-0000-0000-0000DA310000}"/>
    <cellStyle name="th 65 3" xfId="13807" xr:uid="{00000000-0005-0000-0000-0000DB310000}"/>
    <cellStyle name="th 66" xfId="8730" xr:uid="{00000000-0005-0000-0000-0000DC310000}"/>
    <cellStyle name="th 66 2" xfId="13808" xr:uid="{00000000-0005-0000-0000-0000DD310000}"/>
    <cellStyle name="th 66 2 2" xfId="13809" xr:uid="{00000000-0005-0000-0000-0000DE310000}"/>
    <cellStyle name="th 66 3" xfId="13810" xr:uid="{00000000-0005-0000-0000-0000DF310000}"/>
    <cellStyle name="th 67" xfId="8731" xr:uid="{00000000-0005-0000-0000-0000E0310000}"/>
    <cellStyle name="th 67 2" xfId="13811" xr:uid="{00000000-0005-0000-0000-0000E1310000}"/>
    <cellStyle name="th 67 2 2" xfId="13812" xr:uid="{00000000-0005-0000-0000-0000E2310000}"/>
    <cellStyle name="th 67 3" xfId="13813" xr:uid="{00000000-0005-0000-0000-0000E3310000}"/>
    <cellStyle name="th 68" xfId="8732" xr:uid="{00000000-0005-0000-0000-0000E4310000}"/>
    <cellStyle name="th 68 2" xfId="13814" xr:uid="{00000000-0005-0000-0000-0000E5310000}"/>
    <cellStyle name="th 68 2 2" xfId="13815" xr:uid="{00000000-0005-0000-0000-0000E6310000}"/>
    <cellStyle name="th 68 3" xfId="13816" xr:uid="{00000000-0005-0000-0000-0000E7310000}"/>
    <cellStyle name="th 69" xfId="8733" xr:uid="{00000000-0005-0000-0000-0000E8310000}"/>
    <cellStyle name="th 69 2" xfId="13817" xr:uid="{00000000-0005-0000-0000-0000E9310000}"/>
    <cellStyle name="th 69 2 2" xfId="13818" xr:uid="{00000000-0005-0000-0000-0000EA310000}"/>
    <cellStyle name="th 69 3" xfId="13819" xr:uid="{00000000-0005-0000-0000-0000EB310000}"/>
    <cellStyle name="th 7" xfId="8734" xr:uid="{00000000-0005-0000-0000-0000EC310000}"/>
    <cellStyle name="th 7 2" xfId="13820" xr:uid="{00000000-0005-0000-0000-0000ED310000}"/>
    <cellStyle name="th 7 2 2" xfId="13821" xr:uid="{00000000-0005-0000-0000-0000EE310000}"/>
    <cellStyle name="th 7 3" xfId="13822" xr:uid="{00000000-0005-0000-0000-0000EF310000}"/>
    <cellStyle name="th 70" xfId="8735" xr:uid="{00000000-0005-0000-0000-0000F0310000}"/>
    <cellStyle name="th 70 2" xfId="13823" xr:uid="{00000000-0005-0000-0000-0000F1310000}"/>
    <cellStyle name="th 70 2 2" xfId="13824" xr:uid="{00000000-0005-0000-0000-0000F2310000}"/>
    <cellStyle name="th 70 3" xfId="13825" xr:uid="{00000000-0005-0000-0000-0000F3310000}"/>
    <cellStyle name="th 71" xfId="8736" xr:uid="{00000000-0005-0000-0000-0000F4310000}"/>
    <cellStyle name="th 71 2" xfId="13826" xr:uid="{00000000-0005-0000-0000-0000F5310000}"/>
    <cellStyle name="th 71 2 2" xfId="13827" xr:uid="{00000000-0005-0000-0000-0000F6310000}"/>
    <cellStyle name="th 71 3" xfId="13828" xr:uid="{00000000-0005-0000-0000-0000F7310000}"/>
    <cellStyle name="th 72" xfId="8737" xr:uid="{00000000-0005-0000-0000-0000F8310000}"/>
    <cellStyle name="th 72 2" xfId="13829" xr:uid="{00000000-0005-0000-0000-0000F9310000}"/>
    <cellStyle name="th 72 2 2" xfId="13830" xr:uid="{00000000-0005-0000-0000-0000FA310000}"/>
    <cellStyle name="th 72 3" xfId="13831" xr:uid="{00000000-0005-0000-0000-0000FB310000}"/>
    <cellStyle name="th 73" xfId="8738" xr:uid="{00000000-0005-0000-0000-0000FC310000}"/>
    <cellStyle name="th 73 2" xfId="13832" xr:uid="{00000000-0005-0000-0000-0000FD310000}"/>
    <cellStyle name="th 73 2 2" xfId="13833" xr:uid="{00000000-0005-0000-0000-0000FE310000}"/>
    <cellStyle name="th 73 3" xfId="13834" xr:uid="{00000000-0005-0000-0000-0000FF310000}"/>
    <cellStyle name="th 74" xfId="8739" xr:uid="{00000000-0005-0000-0000-000000320000}"/>
    <cellStyle name="th 74 2" xfId="13835" xr:uid="{00000000-0005-0000-0000-000001320000}"/>
    <cellStyle name="th 74 2 2" xfId="13836" xr:uid="{00000000-0005-0000-0000-000002320000}"/>
    <cellStyle name="th 74 3" xfId="13837" xr:uid="{00000000-0005-0000-0000-000003320000}"/>
    <cellStyle name="th 75" xfId="8740" xr:uid="{00000000-0005-0000-0000-000004320000}"/>
    <cellStyle name="th 75 2" xfId="13838" xr:uid="{00000000-0005-0000-0000-000005320000}"/>
    <cellStyle name="th 75 2 2" xfId="13839" xr:uid="{00000000-0005-0000-0000-000006320000}"/>
    <cellStyle name="th 75 3" xfId="13840" xr:uid="{00000000-0005-0000-0000-000007320000}"/>
    <cellStyle name="th 76" xfId="8741" xr:uid="{00000000-0005-0000-0000-000008320000}"/>
    <cellStyle name="th 76 2" xfId="13841" xr:uid="{00000000-0005-0000-0000-000009320000}"/>
    <cellStyle name="th 76 2 2" xfId="13842" xr:uid="{00000000-0005-0000-0000-00000A320000}"/>
    <cellStyle name="th 76 3" xfId="13843" xr:uid="{00000000-0005-0000-0000-00000B320000}"/>
    <cellStyle name="th 77" xfId="8742" xr:uid="{00000000-0005-0000-0000-00000C320000}"/>
    <cellStyle name="th 77 2" xfId="13844" xr:uid="{00000000-0005-0000-0000-00000D320000}"/>
    <cellStyle name="th 77 2 2" xfId="13845" xr:uid="{00000000-0005-0000-0000-00000E320000}"/>
    <cellStyle name="th 77 3" xfId="13846" xr:uid="{00000000-0005-0000-0000-00000F320000}"/>
    <cellStyle name="th 78" xfId="8743" xr:uid="{00000000-0005-0000-0000-000010320000}"/>
    <cellStyle name="th 78 2" xfId="13847" xr:uid="{00000000-0005-0000-0000-000011320000}"/>
    <cellStyle name="th 78 2 2" xfId="13848" xr:uid="{00000000-0005-0000-0000-000012320000}"/>
    <cellStyle name="th 78 3" xfId="13849" xr:uid="{00000000-0005-0000-0000-000013320000}"/>
    <cellStyle name="th 79" xfId="8744" xr:uid="{00000000-0005-0000-0000-000014320000}"/>
    <cellStyle name="th 79 2" xfId="13850" xr:uid="{00000000-0005-0000-0000-000015320000}"/>
    <cellStyle name="th 79 2 2" xfId="13851" xr:uid="{00000000-0005-0000-0000-000016320000}"/>
    <cellStyle name="th 79 3" xfId="13852" xr:uid="{00000000-0005-0000-0000-000017320000}"/>
    <cellStyle name="th 8" xfId="8745" xr:uid="{00000000-0005-0000-0000-000018320000}"/>
    <cellStyle name="th 8 2" xfId="13853" xr:uid="{00000000-0005-0000-0000-000019320000}"/>
    <cellStyle name="th 8 2 2" xfId="13854" xr:uid="{00000000-0005-0000-0000-00001A320000}"/>
    <cellStyle name="th 8 3" xfId="13855" xr:uid="{00000000-0005-0000-0000-00001B320000}"/>
    <cellStyle name="th 80" xfId="8746" xr:uid="{00000000-0005-0000-0000-00001C320000}"/>
    <cellStyle name="th 80 2" xfId="13856" xr:uid="{00000000-0005-0000-0000-00001D320000}"/>
    <cellStyle name="th 80 2 2" xfId="13857" xr:uid="{00000000-0005-0000-0000-00001E320000}"/>
    <cellStyle name="th 80 3" xfId="13858" xr:uid="{00000000-0005-0000-0000-00001F320000}"/>
    <cellStyle name="th 81" xfId="8747" xr:uid="{00000000-0005-0000-0000-000020320000}"/>
    <cellStyle name="th 81 2" xfId="13859" xr:uid="{00000000-0005-0000-0000-000021320000}"/>
    <cellStyle name="th 81 2 2" xfId="13860" xr:uid="{00000000-0005-0000-0000-000022320000}"/>
    <cellStyle name="th 81 3" xfId="13861" xr:uid="{00000000-0005-0000-0000-000023320000}"/>
    <cellStyle name="th 82" xfId="8748" xr:uid="{00000000-0005-0000-0000-000024320000}"/>
    <cellStyle name="th 82 2" xfId="13862" xr:uid="{00000000-0005-0000-0000-000025320000}"/>
    <cellStyle name="th 82 2 2" xfId="13863" xr:uid="{00000000-0005-0000-0000-000026320000}"/>
    <cellStyle name="th 82 3" xfId="13864" xr:uid="{00000000-0005-0000-0000-000027320000}"/>
    <cellStyle name="th 83" xfId="8749" xr:uid="{00000000-0005-0000-0000-000028320000}"/>
    <cellStyle name="th 83 2" xfId="13865" xr:uid="{00000000-0005-0000-0000-000029320000}"/>
    <cellStyle name="th 83 2 2" xfId="13866" xr:uid="{00000000-0005-0000-0000-00002A320000}"/>
    <cellStyle name="th 83 3" xfId="13867" xr:uid="{00000000-0005-0000-0000-00002B320000}"/>
    <cellStyle name="th 84" xfId="8750" xr:uid="{00000000-0005-0000-0000-00002C320000}"/>
    <cellStyle name="th 84 2" xfId="13868" xr:uid="{00000000-0005-0000-0000-00002D320000}"/>
    <cellStyle name="th 84 2 2" xfId="13869" xr:uid="{00000000-0005-0000-0000-00002E320000}"/>
    <cellStyle name="th 84 3" xfId="13870" xr:uid="{00000000-0005-0000-0000-00002F320000}"/>
    <cellStyle name="th 85" xfId="8751" xr:uid="{00000000-0005-0000-0000-000030320000}"/>
    <cellStyle name="th 85 2" xfId="13871" xr:uid="{00000000-0005-0000-0000-000031320000}"/>
    <cellStyle name="th 85 2 2" xfId="13872" xr:uid="{00000000-0005-0000-0000-000032320000}"/>
    <cellStyle name="th 85 3" xfId="13873" xr:uid="{00000000-0005-0000-0000-000033320000}"/>
    <cellStyle name="th 86" xfId="8752" xr:uid="{00000000-0005-0000-0000-000034320000}"/>
    <cellStyle name="th 86 2" xfId="13874" xr:uid="{00000000-0005-0000-0000-000035320000}"/>
    <cellStyle name="th 86 2 2" xfId="13875" xr:uid="{00000000-0005-0000-0000-000036320000}"/>
    <cellStyle name="th 86 3" xfId="13876" xr:uid="{00000000-0005-0000-0000-000037320000}"/>
    <cellStyle name="th 87" xfId="8753" xr:uid="{00000000-0005-0000-0000-000038320000}"/>
    <cellStyle name="th 87 2" xfId="13877" xr:uid="{00000000-0005-0000-0000-000039320000}"/>
    <cellStyle name="th 87 2 2" xfId="13878" xr:uid="{00000000-0005-0000-0000-00003A320000}"/>
    <cellStyle name="th 87 3" xfId="13879" xr:uid="{00000000-0005-0000-0000-00003B320000}"/>
    <cellStyle name="th 88" xfId="8754" xr:uid="{00000000-0005-0000-0000-00003C320000}"/>
    <cellStyle name="th 88 2" xfId="13880" xr:uid="{00000000-0005-0000-0000-00003D320000}"/>
    <cellStyle name="th 88 2 2" xfId="13881" xr:uid="{00000000-0005-0000-0000-00003E320000}"/>
    <cellStyle name="th 88 3" xfId="13882" xr:uid="{00000000-0005-0000-0000-00003F320000}"/>
    <cellStyle name="th 89" xfId="8755" xr:uid="{00000000-0005-0000-0000-000040320000}"/>
    <cellStyle name="th 89 2" xfId="13883" xr:uid="{00000000-0005-0000-0000-000041320000}"/>
    <cellStyle name="th 89 2 2" xfId="13884" xr:uid="{00000000-0005-0000-0000-000042320000}"/>
    <cellStyle name="th 89 3" xfId="13885" xr:uid="{00000000-0005-0000-0000-000043320000}"/>
    <cellStyle name="th 9" xfId="8756" xr:uid="{00000000-0005-0000-0000-000044320000}"/>
    <cellStyle name="th 9 2" xfId="13886" xr:uid="{00000000-0005-0000-0000-000045320000}"/>
    <cellStyle name="th 9 2 2" xfId="13887" xr:uid="{00000000-0005-0000-0000-000046320000}"/>
    <cellStyle name="th 9 3" xfId="13888" xr:uid="{00000000-0005-0000-0000-000047320000}"/>
    <cellStyle name="th 90" xfId="8757" xr:uid="{00000000-0005-0000-0000-000048320000}"/>
    <cellStyle name="th 90 2" xfId="13889" xr:uid="{00000000-0005-0000-0000-000049320000}"/>
    <cellStyle name="th 90 2 2" xfId="13890" xr:uid="{00000000-0005-0000-0000-00004A320000}"/>
    <cellStyle name="th 90 3" xfId="13891" xr:uid="{00000000-0005-0000-0000-00004B320000}"/>
    <cellStyle name="th 91" xfId="8758" xr:uid="{00000000-0005-0000-0000-00004C320000}"/>
    <cellStyle name="th 91 2" xfId="13892" xr:uid="{00000000-0005-0000-0000-00004D320000}"/>
    <cellStyle name="th 91 2 2" xfId="13893" xr:uid="{00000000-0005-0000-0000-00004E320000}"/>
    <cellStyle name="th 91 3" xfId="13894" xr:uid="{00000000-0005-0000-0000-00004F320000}"/>
    <cellStyle name="th 92" xfId="8759" xr:uid="{00000000-0005-0000-0000-000050320000}"/>
    <cellStyle name="th 92 2" xfId="13895" xr:uid="{00000000-0005-0000-0000-000051320000}"/>
    <cellStyle name="th 92 2 2" xfId="13896" xr:uid="{00000000-0005-0000-0000-000052320000}"/>
    <cellStyle name="th 92 3" xfId="13897" xr:uid="{00000000-0005-0000-0000-000053320000}"/>
    <cellStyle name="th 93" xfId="8760" xr:uid="{00000000-0005-0000-0000-000054320000}"/>
    <cellStyle name="th 93 2" xfId="13898" xr:uid="{00000000-0005-0000-0000-000055320000}"/>
    <cellStyle name="th 93 2 2" xfId="13899" xr:uid="{00000000-0005-0000-0000-000056320000}"/>
    <cellStyle name="th 93 3" xfId="13900" xr:uid="{00000000-0005-0000-0000-000057320000}"/>
    <cellStyle name="th 94" xfId="8761" xr:uid="{00000000-0005-0000-0000-000058320000}"/>
    <cellStyle name="th 94 2" xfId="13901" xr:uid="{00000000-0005-0000-0000-000059320000}"/>
    <cellStyle name="th 94 2 2" xfId="13902" xr:uid="{00000000-0005-0000-0000-00005A320000}"/>
    <cellStyle name="th 94 3" xfId="13903" xr:uid="{00000000-0005-0000-0000-00005B320000}"/>
    <cellStyle name="th 95" xfId="8762" xr:uid="{00000000-0005-0000-0000-00005C320000}"/>
    <cellStyle name="th 95 2" xfId="13904" xr:uid="{00000000-0005-0000-0000-00005D320000}"/>
    <cellStyle name="th 95 2 2" xfId="13905" xr:uid="{00000000-0005-0000-0000-00005E320000}"/>
    <cellStyle name="th 95 3" xfId="13906" xr:uid="{00000000-0005-0000-0000-00005F320000}"/>
    <cellStyle name="th 96" xfId="8763" xr:uid="{00000000-0005-0000-0000-000060320000}"/>
    <cellStyle name="th 96 2" xfId="13907" xr:uid="{00000000-0005-0000-0000-000061320000}"/>
    <cellStyle name="th 96 2 2" xfId="13908" xr:uid="{00000000-0005-0000-0000-000062320000}"/>
    <cellStyle name="th 96 3" xfId="13909" xr:uid="{00000000-0005-0000-0000-000063320000}"/>
    <cellStyle name="th 97" xfId="8764" xr:uid="{00000000-0005-0000-0000-000064320000}"/>
    <cellStyle name="th 97 2" xfId="13910" xr:uid="{00000000-0005-0000-0000-000065320000}"/>
    <cellStyle name="th 97 2 2" xfId="13911" xr:uid="{00000000-0005-0000-0000-000066320000}"/>
    <cellStyle name="th 97 3" xfId="13912" xr:uid="{00000000-0005-0000-0000-000067320000}"/>
    <cellStyle name="th 98" xfId="8765" xr:uid="{00000000-0005-0000-0000-000068320000}"/>
    <cellStyle name="th 98 2" xfId="13913" xr:uid="{00000000-0005-0000-0000-000069320000}"/>
    <cellStyle name="th 98 2 2" xfId="13914" xr:uid="{00000000-0005-0000-0000-00006A320000}"/>
    <cellStyle name="th 98 3" xfId="13915" xr:uid="{00000000-0005-0000-0000-00006B320000}"/>
    <cellStyle name="th 99" xfId="8766" xr:uid="{00000000-0005-0000-0000-00006C320000}"/>
    <cellStyle name="th 99 2" xfId="13916" xr:uid="{00000000-0005-0000-0000-00006D320000}"/>
    <cellStyle name="th 99 2 2" xfId="13917" xr:uid="{00000000-0005-0000-0000-00006E320000}"/>
    <cellStyle name="th 99 3" xfId="13918" xr:uid="{00000000-0005-0000-0000-00006F320000}"/>
    <cellStyle name="than" xfId="8767" xr:uid="{00000000-0005-0000-0000-000070320000}"/>
    <cellStyle name="þ_x001d_ð¤_x000c_¯þ_x0014__x000a_¨þU_x0001_À_x0004_ _x0015__x000f__x0001__x0001_" xfId="8768" xr:uid="{00000000-0005-0000-0000-000071320000}"/>
    <cellStyle name="þ_x001d_ð¤_x000c_¯þ_x0014__x000a_¨þU_x0001_À_x0004_ _x0015__x000f__x0001__x0001_?_x0002_ÿÿÿÿÿÿÿÿÿÿÿÿÿÿÿ¯?(_x0002__x001d__x0017_ ???º%ÿÿÿÿ????_x0006__x0016_??????????????Í!Ë??????????           ?????           ?????????_x000a__x000a_U_x000a_H\D2_x000a_D2\DEMO.MSC_x000a_S;C:\DOS;C:\HANH\D3;C:\HANH\D2;C:\NC_x000a_????????????????????????????????????????????????????????????" xfId="8769" xr:uid="{00000000-0005-0000-0000-000072320000}"/>
    <cellStyle name="þ_x001d_ð¤_x000c_¯þ_x0014__x000d_¨þU_x0001_À_x0004_ _x0015__x000f__x0001__x0001_" xfId="8770" xr:uid="{00000000-0005-0000-0000-000073320000}"/>
    <cellStyle name="þ_x001d_ð¤_x000c_¯þ_x0014__x000d_¨þU_x0001_À_x0004_ _x0015__x000f__x0001__x0001_?_x0002_ÿÿÿÿÿÿÿÿÿÿÿÿÿÿÿ¯?(_x0002__x001d__x0017_ ???º%ÿÿÿÿ????_x0006__x0016_??????????????Í!Ë??????????           ?????           ?????????_x000d__x000d_U_x000d_H\D2_x000d_D2\DEMO.MSC_x000d_S;C:\DOS;C:\HANH\D3;C:\HANH\D2;C:\NC_x000d_????????????????????????????????????????????????????????????" xfId="8771" xr:uid="{00000000-0005-0000-0000-000074320000}"/>
    <cellStyle name="þ_x001d_ð·_x000c_æþ'_x000a_ßþU_x0001_Ø_x0005_ü_x0014__x0007__x0001__x0001_" xfId="8772" xr:uid="{00000000-0005-0000-0000-000075320000}"/>
    <cellStyle name="þ_x001d_ð·_x000c_æþ'_x000a_ßþU_x0001_Ø_x0005_ü_x0014__x0007__x0001__x0001_?_x0002_ÿÿÿÿÿÿÿÿÿÿÿÿÿÿÿ¯?(_x0002__x001e__x0016_ ???¼$ÿÿÿÿ????_x0006__x0016_??????????????Í!Ë??????????           ?????           ?????????_x000a_C:\WINDOWS\_x000a_V_x000a_S\TEMP_x000a_NC;C:\NU;C:\VIRUS;_x000a_?????????????????????????????????????????????????????????????????????????????" xfId="8773" xr:uid="{00000000-0005-0000-0000-000076320000}"/>
    <cellStyle name="þ_x001d_ð·_x000c_æþ'_x000a_ßþU_x0001_Ø_x0005_ü_x0014__x0007__x0001__x0001_?_x0002_ÿÿÿÿÿÿÿÿÿÿÿÿÿÿÿ¯?(_x0002__x001e__x0016_ ???¼$ÿÿÿÿ????_x0006__x0016_??????????????Í!Ë??????????           ?????           ????Fþ_x0016_?_x000a_FÆ_x0016_Pš_x001a_7_x0014__x000b_Àt_x0019_‹F_x0006_‹V_x0008_‰Fö‰VøÿvþFÆ_x0016_Pš‚C_x0014_ÉË¸ÿ_x0013_U‹ì_x001e_ŽØ‹F_x000a_‹V_x000c_Ä^_x0006_&amp;‰G_x0008_&amp;‰W_x000a__x001f_ÉË?¸ÿ_x0013_È_x0006_??WV_x001e_ŽØ‹^_x000a_‹v_x0006_ƒûÿt_x0007_ŽF_x0008_&amp;‰\_x000a_ƒ~_x000c_?u.ŽF_x0008_&amp;ÿt_x0002_&amp;ÿ4&amp;" xfId="8774" xr:uid="{00000000-0005-0000-0000-000077320000}"/>
    <cellStyle name="þ_x001d_ð·_x000c_æþ'_x000d_ßþU_x0001_Ø_x0005_ü_x0014__x0007__x0001__x0001_" xfId="8775" xr:uid="{00000000-0005-0000-0000-000078320000}"/>
    <cellStyle name="þ_x001d_ð·_x000c_æþ'_x000d_ßþU_x0001_Ø_x0005_ü_x0014__x0007__x0001__x0001_?_x0002_ÿÿÿÿÿÿÿÿÿÿÿÿÿÿÿ¯?(_x0002__x001e__x0016_ ???¼$ÿÿÿÿ????_x0006__x0016_??????????????Í!Ë??????????           ?????           ?????????_x000d_C:\WINDOWS\_x000d_V_x000d_S\TEMP_x000d_NC;C:\NU;C:\VIRUS;_x000d_?????????????????????????????????????????????????????????????????????????????" xfId="8776" xr:uid="{00000000-0005-0000-0000-000079320000}"/>
    <cellStyle name="þ_x001d_ð·_x000c_æþ'_x000d_ßþU_x0001_Ø_x0005_ü_x0014__x0007__x0001__x0001_?_x0002_ÿÿÿÿÿÿÿÿÿÿÿÿÿÿÿ¯?(_x0002__x001e__x0016_ ???¼$ÿÿÿÿ????_x0006__x0016_??????????????Í!Ë??????????           ?????           ????Fþ_x0016_?_x000d_FÆ_x0016_Pš_x001a_7_x0014__x000b_Àt_x0019_‹F_x0006_‹V_x0008_‰Fö‰VøÿvþFÆ_x0016_Pš‚C_x0014_ÉË¸ÿ_x0013_U‹ì_x001e_ŽØ‹F_x000a_‹V_x000c_Ä^_x0006_&amp;‰G_x0008_&amp;‰W_x000a__x001f_ÉË?¸ÿ_x0013_È_x0006_??WV_x001e_ŽØ‹^_x000a_‹v_x0006_ƒûÿt_x0007_ŽF_x0008_&amp;‰\_x000a_ƒ~_x000c_?u.ŽF_x0008_&amp;ÿt_x0002_&amp;ÿ4&amp;" xfId="8777" xr:uid="{00000000-0005-0000-0000-00007A320000}"/>
    <cellStyle name="þ_x001d_ðÇ%Uý—&amp;Hý9_x0008_Ÿ s_x000a__x0007__x0001__x0001_" xfId="8778" xr:uid="{00000000-0005-0000-0000-00007B320000}"/>
    <cellStyle name="þ_x001d_ðÇ%Uý—&amp;Hý9_x0008_Ÿ s_x000a__x0007__x0001__x0001_?_x0002_ÿÿÿÿÿÿÿÿÿÿÿÿÿÿÿ_x0001_(_x0002_—_x000a_???Î_x001f_ÿÿÿÿ????_x0007_???????????????Í!Ë??????????           ?????           ?????????_x000a_C:\WINDOWS\country.sys_x000a_??????????????????????????????????????????????????????????????????????????????????????????????" xfId="8779" xr:uid="{00000000-0005-0000-0000-00007C320000}"/>
    <cellStyle name="þ_x001d_ðÇ%Uý—&amp;Hý9_x0008_Ÿ s_x000a__x0007__x0001__x0001_?_x0002_ÿÿÿÿÿÿÿÿÿÿÿÿÿÿÿ_x0001_(_x0002_—_x000d_???Î_x001f_ÿÿÿÿ????_x0007_???????????????Í!Ë??????????           ?????           ?????????_x000d_C:\WINDOWS\country.sys_x000d_??????????????????????????????????????????????????????????????????????????????????????????????" xfId="8780" xr:uid="{00000000-0005-0000-0000-00007D320000}"/>
    <cellStyle name="þ_x001d_ðK_x000c_Fý_x001b__x000d_9ýU_x0001_Ð_x0008_¦)_x0007__x0001__x0001_" xfId="8781" xr:uid="{00000000-0005-0000-0000-00007E320000}"/>
    <cellStyle name="Thuyet minh" xfId="8782" xr:uid="{00000000-0005-0000-0000-00007F320000}"/>
    <cellStyle name="trang" xfId="9296" xr:uid="{00000000-0005-0000-0000-000035350000}"/>
    <cellStyle name="trang 2" xfId="9297" xr:uid="{00000000-0005-0000-0000-000036350000}"/>
    <cellStyle name="trang 2 2" xfId="10061" xr:uid="{00000000-0005-0000-0000-000037350000}"/>
    <cellStyle name="trang 2 2 2" xfId="10422" xr:uid="{00000000-0005-0000-0000-000038350000}"/>
    <cellStyle name="trang 2 2 3" xfId="10423" xr:uid="{00000000-0005-0000-0000-000039350000}"/>
    <cellStyle name="trang 2 2 4" xfId="10424" xr:uid="{00000000-0005-0000-0000-00003A350000}"/>
    <cellStyle name="trang 2 2 5" xfId="10425" xr:uid="{00000000-0005-0000-0000-00003B350000}"/>
    <cellStyle name="trang 2 2 6" xfId="10426" xr:uid="{00000000-0005-0000-0000-00003C350000}"/>
    <cellStyle name="trang 2 3" xfId="10062" xr:uid="{00000000-0005-0000-0000-00003D350000}"/>
    <cellStyle name="trang 2 3 2" xfId="10427" xr:uid="{00000000-0005-0000-0000-00003E350000}"/>
    <cellStyle name="trang 2 3 3" xfId="10428" xr:uid="{00000000-0005-0000-0000-00003F350000}"/>
    <cellStyle name="trang 2 3 4" xfId="10429" xr:uid="{00000000-0005-0000-0000-000040350000}"/>
    <cellStyle name="trang 2 3 5" xfId="10430" xr:uid="{00000000-0005-0000-0000-000041350000}"/>
    <cellStyle name="trang 2 3 6" xfId="10431" xr:uid="{00000000-0005-0000-0000-000042350000}"/>
    <cellStyle name="trang 2 4" xfId="10432" xr:uid="{00000000-0005-0000-0000-000043350000}"/>
    <cellStyle name="trang 2 5" xfId="10433" xr:uid="{00000000-0005-0000-0000-000044350000}"/>
    <cellStyle name="trang 2 6" xfId="10434" xr:uid="{00000000-0005-0000-0000-000045350000}"/>
    <cellStyle name="trang 2 7" xfId="10435" xr:uid="{00000000-0005-0000-0000-000046350000}"/>
    <cellStyle name="trang 2 8" xfId="10436" xr:uid="{00000000-0005-0000-0000-000047350000}"/>
    <cellStyle name="trang 3" xfId="9298" xr:uid="{00000000-0005-0000-0000-000048350000}"/>
    <cellStyle name="trang 3 2" xfId="10063" xr:uid="{00000000-0005-0000-0000-000049350000}"/>
    <cellStyle name="trang 3 2 2" xfId="10437" xr:uid="{00000000-0005-0000-0000-00004A350000}"/>
    <cellStyle name="trang 3 2 3" xfId="10438" xr:uid="{00000000-0005-0000-0000-00004B350000}"/>
    <cellStyle name="trang 3 2 4" xfId="10439" xr:uid="{00000000-0005-0000-0000-00004C350000}"/>
    <cellStyle name="trang 3 2 5" xfId="10440" xr:uid="{00000000-0005-0000-0000-00004D350000}"/>
    <cellStyle name="trang 3 2 6" xfId="10441" xr:uid="{00000000-0005-0000-0000-00004E350000}"/>
    <cellStyle name="trang 3 3" xfId="10442" xr:uid="{00000000-0005-0000-0000-00004F350000}"/>
    <cellStyle name="trang 3 4" xfId="10443" xr:uid="{00000000-0005-0000-0000-000050350000}"/>
    <cellStyle name="trang 3 5" xfId="10444" xr:uid="{00000000-0005-0000-0000-000051350000}"/>
    <cellStyle name="trang 3 6" xfId="10445" xr:uid="{00000000-0005-0000-0000-000052350000}"/>
    <cellStyle name="trang 3 7" xfId="10446" xr:uid="{00000000-0005-0000-0000-000053350000}"/>
    <cellStyle name="trang 4" xfId="10447" xr:uid="{00000000-0005-0000-0000-000054350000}"/>
    <cellStyle name="trang 5" xfId="10448" xr:uid="{00000000-0005-0000-0000-000055350000}"/>
    <cellStyle name="trang 6" xfId="10449" xr:uid="{00000000-0005-0000-0000-000056350000}"/>
    <cellStyle name="trang 7" xfId="10450" xr:uid="{00000000-0005-0000-0000-000057350000}"/>
    <cellStyle name="trang 8" xfId="10451" xr:uid="{00000000-0005-0000-0000-000058350000}"/>
    <cellStyle name="Trung tính" xfId="9299" xr:uid="{00000000-0005-0000-0000-000059350000}"/>
    <cellStyle name="Unit" xfId="9303" xr:uid="{00000000-0005-0000-0000-00005D350000}"/>
    <cellStyle name="Unit 2" xfId="9304" xr:uid="{00000000-0005-0000-0000-00005E350000}"/>
    <cellStyle name="Unit 3" xfId="9305" xr:uid="{00000000-0005-0000-0000-00005F350000}"/>
    <cellStyle name="Unit 4" xfId="9306" xr:uid="{00000000-0005-0000-0000-000060350000}"/>
    <cellStyle name="Unit 5" xfId="9307" xr:uid="{00000000-0005-0000-0000-000061350000}"/>
    <cellStyle name="UnitText" xfId="14611" xr:uid="{6F077B96-7811-4D8A-92A5-77BB3BFFF9D6}"/>
    <cellStyle name="Unprot" xfId="9308" xr:uid="{00000000-0005-0000-0000-000062350000}"/>
    <cellStyle name="Unprot$" xfId="9309" xr:uid="{00000000-0005-0000-0000-000063350000}"/>
    <cellStyle name="Unprotect" xfId="9310" xr:uid="{00000000-0005-0000-0000-000064350000}"/>
    <cellStyle name="User_Defined_A" xfId="9311" xr:uid="{00000000-0005-0000-0000-000065350000}"/>
    <cellStyle name="Valuta (0)_CALPREZZ" xfId="9312" xr:uid="{00000000-0005-0000-0000-000066350000}"/>
    <cellStyle name="Valuta_ PESO ELETTR." xfId="9313" xr:uid="{00000000-0005-0000-0000-000067350000}"/>
    <cellStyle name="Văn bản Cảnh báo" xfId="9314" xr:uid="{00000000-0005-0000-0000-000068350000}"/>
    <cellStyle name="Văn bản Giải thích" xfId="9315" xr:uid="{00000000-0005-0000-0000-000069350000}"/>
    <cellStyle name="viet" xfId="9316" xr:uid="{00000000-0005-0000-0000-00006A350000}"/>
    <cellStyle name="viet 10" xfId="9317" xr:uid="{00000000-0005-0000-0000-00006B350000}"/>
    <cellStyle name="viet 100" xfId="9318" xr:uid="{00000000-0005-0000-0000-00006C350000}"/>
    <cellStyle name="viet 101" xfId="9319" xr:uid="{00000000-0005-0000-0000-00006D350000}"/>
    <cellStyle name="viet 102" xfId="9320" xr:uid="{00000000-0005-0000-0000-00006E350000}"/>
    <cellStyle name="viet 103" xfId="9321" xr:uid="{00000000-0005-0000-0000-00006F350000}"/>
    <cellStyle name="viet 104" xfId="9322" xr:uid="{00000000-0005-0000-0000-000070350000}"/>
    <cellStyle name="viet 105" xfId="9323" xr:uid="{00000000-0005-0000-0000-000071350000}"/>
    <cellStyle name="viet 106" xfId="9324" xr:uid="{00000000-0005-0000-0000-000072350000}"/>
    <cellStyle name="viet 107" xfId="9325" xr:uid="{00000000-0005-0000-0000-000073350000}"/>
    <cellStyle name="viet 108" xfId="9326" xr:uid="{00000000-0005-0000-0000-000074350000}"/>
    <cellStyle name="viet 109" xfId="9327" xr:uid="{00000000-0005-0000-0000-000075350000}"/>
    <cellStyle name="viet 11" xfId="9328" xr:uid="{00000000-0005-0000-0000-000076350000}"/>
    <cellStyle name="viet 110" xfId="9329" xr:uid="{00000000-0005-0000-0000-000077350000}"/>
    <cellStyle name="viet 111" xfId="9330" xr:uid="{00000000-0005-0000-0000-000078350000}"/>
    <cellStyle name="viet 12" xfId="9331" xr:uid="{00000000-0005-0000-0000-000079350000}"/>
    <cellStyle name="viet 13" xfId="9332" xr:uid="{00000000-0005-0000-0000-00007A350000}"/>
    <cellStyle name="viet 14" xfId="9333" xr:uid="{00000000-0005-0000-0000-00007B350000}"/>
    <cellStyle name="viet 15" xfId="9334" xr:uid="{00000000-0005-0000-0000-00007C350000}"/>
    <cellStyle name="viet 16" xfId="9335" xr:uid="{00000000-0005-0000-0000-00007D350000}"/>
    <cellStyle name="viet 17" xfId="9336" xr:uid="{00000000-0005-0000-0000-00007E350000}"/>
    <cellStyle name="viet 18" xfId="9337" xr:uid="{00000000-0005-0000-0000-00007F350000}"/>
    <cellStyle name="viet 19" xfId="9338" xr:uid="{00000000-0005-0000-0000-000080350000}"/>
    <cellStyle name="viet 2" xfId="9339" xr:uid="{00000000-0005-0000-0000-000081350000}"/>
    <cellStyle name="viet 20" xfId="9340" xr:uid="{00000000-0005-0000-0000-000082350000}"/>
    <cellStyle name="viet 21" xfId="9341" xr:uid="{00000000-0005-0000-0000-000083350000}"/>
    <cellStyle name="viet 22" xfId="9342" xr:uid="{00000000-0005-0000-0000-000084350000}"/>
    <cellStyle name="viet 23" xfId="9343" xr:uid="{00000000-0005-0000-0000-000085350000}"/>
    <cellStyle name="viet 24" xfId="9344" xr:uid="{00000000-0005-0000-0000-000086350000}"/>
    <cellStyle name="viet 25" xfId="9345" xr:uid="{00000000-0005-0000-0000-000087350000}"/>
    <cellStyle name="viet 26" xfId="9346" xr:uid="{00000000-0005-0000-0000-000088350000}"/>
    <cellStyle name="viet 27" xfId="9347" xr:uid="{00000000-0005-0000-0000-000089350000}"/>
    <cellStyle name="viet 28" xfId="9348" xr:uid="{00000000-0005-0000-0000-00008A350000}"/>
    <cellStyle name="viet 29" xfId="9349" xr:uid="{00000000-0005-0000-0000-00008B350000}"/>
    <cellStyle name="viet 3" xfId="9350" xr:uid="{00000000-0005-0000-0000-00008C350000}"/>
    <cellStyle name="viet 30" xfId="9351" xr:uid="{00000000-0005-0000-0000-00008D350000}"/>
    <cellStyle name="viet 31" xfId="9352" xr:uid="{00000000-0005-0000-0000-00008E350000}"/>
    <cellStyle name="viet 32" xfId="9353" xr:uid="{00000000-0005-0000-0000-00008F350000}"/>
    <cellStyle name="viet 33" xfId="9354" xr:uid="{00000000-0005-0000-0000-000090350000}"/>
    <cellStyle name="viet 34" xfId="9355" xr:uid="{00000000-0005-0000-0000-000091350000}"/>
    <cellStyle name="viet 35" xfId="9356" xr:uid="{00000000-0005-0000-0000-000092350000}"/>
    <cellStyle name="viet 36" xfId="9357" xr:uid="{00000000-0005-0000-0000-000093350000}"/>
    <cellStyle name="viet 37" xfId="9358" xr:uid="{00000000-0005-0000-0000-000094350000}"/>
    <cellStyle name="viet 38" xfId="9359" xr:uid="{00000000-0005-0000-0000-000095350000}"/>
    <cellStyle name="viet 39" xfId="9360" xr:uid="{00000000-0005-0000-0000-000096350000}"/>
    <cellStyle name="viet 4" xfId="9361" xr:uid="{00000000-0005-0000-0000-000097350000}"/>
    <cellStyle name="viet 40" xfId="9362" xr:uid="{00000000-0005-0000-0000-000098350000}"/>
    <cellStyle name="viet 41" xfId="9363" xr:uid="{00000000-0005-0000-0000-000099350000}"/>
    <cellStyle name="viet 42" xfId="9364" xr:uid="{00000000-0005-0000-0000-00009A350000}"/>
    <cellStyle name="viet 43" xfId="9365" xr:uid="{00000000-0005-0000-0000-00009B350000}"/>
    <cellStyle name="viet 44" xfId="9366" xr:uid="{00000000-0005-0000-0000-00009C350000}"/>
    <cellStyle name="viet 45" xfId="9367" xr:uid="{00000000-0005-0000-0000-00009D350000}"/>
    <cellStyle name="viet 46" xfId="9368" xr:uid="{00000000-0005-0000-0000-00009E350000}"/>
    <cellStyle name="viet 47" xfId="9369" xr:uid="{00000000-0005-0000-0000-00009F350000}"/>
    <cellStyle name="viet 48" xfId="9370" xr:uid="{00000000-0005-0000-0000-0000A0350000}"/>
    <cellStyle name="viet 49" xfId="9371" xr:uid="{00000000-0005-0000-0000-0000A1350000}"/>
    <cellStyle name="viet 5" xfId="9372" xr:uid="{00000000-0005-0000-0000-0000A2350000}"/>
    <cellStyle name="viet 50" xfId="9373" xr:uid="{00000000-0005-0000-0000-0000A3350000}"/>
    <cellStyle name="viet 51" xfId="9374" xr:uid="{00000000-0005-0000-0000-0000A4350000}"/>
    <cellStyle name="viet 52" xfId="9375" xr:uid="{00000000-0005-0000-0000-0000A5350000}"/>
    <cellStyle name="viet 53" xfId="9376" xr:uid="{00000000-0005-0000-0000-0000A6350000}"/>
    <cellStyle name="viet 54" xfId="9377" xr:uid="{00000000-0005-0000-0000-0000A7350000}"/>
    <cellStyle name="viet 55" xfId="9378" xr:uid="{00000000-0005-0000-0000-0000A8350000}"/>
    <cellStyle name="viet 56" xfId="9379" xr:uid="{00000000-0005-0000-0000-0000A9350000}"/>
    <cellStyle name="viet 57" xfId="9380" xr:uid="{00000000-0005-0000-0000-0000AA350000}"/>
    <cellStyle name="viet 58" xfId="9381" xr:uid="{00000000-0005-0000-0000-0000AB350000}"/>
    <cellStyle name="viet 59" xfId="9382" xr:uid="{00000000-0005-0000-0000-0000AC350000}"/>
    <cellStyle name="viet 6" xfId="9383" xr:uid="{00000000-0005-0000-0000-0000AD350000}"/>
    <cellStyle name="viet 60" xfId="9384" xr:uid="{00000000-0005-0000-0000-0000AE350000}"/>
    <cellStyle name="viet 61" xfId="9385" xr:uid="{00000000-0005-0000-0000-0000AF350000}"/>
    <cellStyle name="viet 62" xfId="9386" xr:uid="{00000000-0005-0000-0000-0000B0350000}"/>
    <cellStyle name="viet 63" xfId="9387" xr:uid="{00000000-0005-0000-0000-0000B1350000}"/>
    <cellStyle name="viet 64" xfId="9388" xr:uid="{00000000-0005-0000-0000-0000B2350000}"/>
    <cellStyle name="viet 65" xfId="9389" xr:uid="{00000000-0005-0000-0000-0000B3350000}"/>
    <cellStyle name="viet 66" xfId="9390" xr:uid="{00000000-0005-0000-0000-0000B4350000}"/>
    <cellStyle name="viet 67" xfId="9391" xr:uid="{00000000-0005-0000-0000-0000B5350000}"/>
    <cellStyle name="viet 68" xfId="9392" xr:uid="{00000000-0005-0000-0000-0000B6350000}"/>
    <cellStyle name="viet 69" xfId="9393" xr:uid="{00000000-0005-0000-0000-0000B7350000}"/>
    <cellStyle name="viet 7" xfId="9394" xr:uid="{00000000-0005-0000-0000-0000B8350000}"/>
    <cellStyle name="viet 70" xfId="9395" xr:uid="{00000000-0005-0000-0000-0000B9350000}"/>
    <cellStyle name="viet 71" xfId="9396" xr:uid="{00000000-0005-0000-0000-0000BA350000}"/>
    <cellStyle name="viet 72" xfId="9397" xr:uid="{00000000-0005-0000-0000-0000BB350000}"/>
    <cellStyle name="viet 73" xfId="9398" xr:uid="{00000000-0005-0000-0000-0000BC350000}"/>
    <cellStyle name="viet 74" xfId="9399" xr:uid="{00000000-0005-0000-0000-0000BD350000}"/>
    <cellStyle name="viet 75" xfId="9400" xr:uid="{00000000-0005-0000-0000-0000BE350000}"/>
    <cellStyle name="viet 76" xfId="9401" xr:uid="{00000000-0005-0000-0000-0000BF350000}"/>
    <cellStyle name="viet 77" xfId="9402" xr:uid="{00000000-0005-0000-0000-0000C0350000}"/>
    <cellStyle name="viet 78" xfId="9403" xr:uid="{00000000-0005-0000-0000-0000C1350000}"/>
    <cellStyle name="viet 79" xfId="9404" xr:uid="{00000000-0005-0000-0000-0000C2350000}"/>
    <cellStyle name="viet 8" xfId="9405" xr:uid="{00000000-0005-0000-0000-0000C3350000}"/>
    <cellStyle name="viet 80" xfId="9406" xr:uid="{00000000-0005-0000-0000-0000C4350000}"/>
    <cellStyle name="viet 81" xfId="9407" xr:uid="{00000000-0005-0000-0000-0000C5350000}"/>
    <cellStyle name="viet 82" xfId="9408" xr:uid="{00000000-0005-0000-0000-0000C6350000}"/>
    <cellStyle name="viet 83" xfId="9409" xr:uid="{00000000-0005-0000-0000-0000C7350000}"/>
    <cellStyle name="viet 84" xfId="9410" xr:uid="{00000000-0005-0000-0000-0000C8350000}"/>
    <cellStyle name="viet 85" xfId="9411" xr:uid="{00000000-0005-0000-0000-0000C9350000}"/>
    <cellStyle name="viet 86" xfId="9412" xr:uid="{00000000-0005-0000-0000-0000CA350000}"/>
    <cellStyle name="viet 87" xfId="9413" xr:uid="{00000000-0005-0000-0000-0000CB350000}"/>
    <cellStyle name="viet 88" xfId="9414" xr:uid="{00000000-0005-0000-0000-0000CC350000}"/>
    <cellStyle name="viet 89" xfId="9415" xr:uid="{00000000-0005-0000-0000-0000CD350000}"/>
    <cellStyle name="viet 9" xfId="9416" xr:uid="{00000000-0005-0000-0000-0000CE350000}"/>
    <cellStyle name="viet 90" xfId="9417" xr:uid="{00000000-0005-0000-0000-0000CF350000}"/>
    <cellStyle name="viet 91" xfId="9418" xr:uid="{00000000-0005-0000-0000-0000D0350000}"/>
    <cellStyle name="viet 92" xfId="9419" xr:uid="{00000000-0005-0000-0000-0000D1350000}"/>
    <cellStyle name="viet 93" xfId="9420" xr:uid="{00000000-0005-0000-0000-0000D2350000}"/>
    <cellStyle name="viet 94" xfId="9421" xr:uid="{00000000-0005-0000-0000-0000D3350000}"/>
    <cellStyle name="viet 95" xfId="9422" xr:uid="{00000000-0005-0000-0000-0000D4350000}"/>
    <cellStyle name="viet 96" xfId="9423" xr:uid="{00000000-0005-0000-0000-0000D5350000}"/>
    <cellStyle name="viet 97" xfId="9424" xr:uid="{00000000-0005-0000-0000-0000D6350000}"/>
    <cellStyle name="viet 98" xfId="9425" xr:uid="{00000000-0005-0000-0000-0000D7350000}"/>
    <cellStyle name="viet 99" xfId="9426" xr:uid="{00000000-0005-0000-0000-0000D8350000}"/>
    <cellStyle name="viet2" xfId="9427" xr:uid="{00000000-0005-0000-0000-0000D9350000}"/>
    <cellStyle name="viet2 10" xfId="9428" xr:uid="{00000000-0005-0000-0000-0000DA350000}"/>
    <cellStyle name="viet2 10 2" xfId="13934" xr:uid="{00000000-0005-0000-0000-0000DB350000}"/>
    <cellStyle name="viet2 10 2 2" xfId="13935" xr:uid="{00000000-0005-0000-0000-0000DC350000}"/>
    <cellStyle name="viet2 10 3" xfId="13936" xr:uid="{00000000-0005-0000-0000-0000DD350000}"/>
    <cellStyle name="viet2 10 4" xfId="13937" xr:uid="{00000000-0005-0000-0000-0000DE350000}"/>
    <cellStyle name="viet2 100" xfId="9429" xr:uid="{00000000-0005-0000-0000-0000DF350000}"/>
    <cellStyle name="viet2 100 2" xfId="13938" xr:uid="{00000000-0005-0000-0000-0000E0350000}"/>
    <cellStyle name="viet2 100 2 2" xfId="13939" xr:uid="{00000000-0005-0000-0000-0000E1350000}"/>
    <cellStyle name="viet2 100 3" xfId="13940" xr:uid="{00000000-0005-0000-0000-0000E2350000}"/>
    <cellStyle name="viet2 100 4" xfId="13941" xr:uid="{00000000-0005-0000-0000-0000E3350000}"/>
    <cellStyle name="viet2 101" xfId="9430" xr:uid="{00000000-0005-0000-0000-0000E4350000}"/>
    <cellStyle name="viet2 101 2" xfId="13942" xr:uid="{00000000-0005-0000-0000-0000E5350000}"/>
    <cellStyle name="viet2 101 2 2" xfId="13943" xr:uid="{00000000-0005-0000-0000-0000E6350000}"/>
    <cellStyle name="viet2 101 3" xfId="13944" xr:uid="{00000000-0005-0000-0000-0000E7350000}"/>
    <cellStyle name="viet2 101 4" xfId="13945" xr:uid="{00000000-0005-0000-0000-0000E8350000}"/>
    <cellStyle name="viet2 102" xfId="9431" xr:uid="{00000000-0005-0000-0000-0000E9350000}"/>
    <cellStyle name="viet2 102 2" xfId="13946" xr:uid="{00000000-0005-0000-0000-0000EA350000}"/>
    <cellStyle name="viet2 102 2 2" xfId="13947" xr:uid="{00000000-0005-0000-0000-0000EB350000}"/>
    <cellStyle name="viet2 102 3" xfId="13948" xr:uid="{00000000-0005-0000-0000-0000EC350000}"/>
    <cellStyle name="viet2 102 4" xfId="13949" xr:uid="{00000000-0005-0000-0000-0000ED350000}"/>
    <cellStyle name="viet2 103" xfId="9432" xr:uid="{00000000-0005-0000-0000-0000EE350000}"/>
    <cellStyle name="viet2 103 2" xfId="13950" xr:uid="{00000000-0005-0000-0000-0000EF350000}"/>
    <cellStyle name="viet2 103 2 2" xfId="13951" xr:uid="{00000000-0005-0000-0000-0000F0350000}"/>
    <cellStyle name="viet2 103 3" xfId="13952" xr:uid="{00000000-0005-0000-0000-0000F1350000}"/>
    <cellStyle name="viet2 103 4" xfId="13953" xr:uid="{00000000-0005-0000-0000-0000F2350000}"/>
    <cellStyle name="viet2 104" xfId="9433" xr:uid="{00000000-0005-0000-0000-0000F3350000}"/>
    <cellStyle name="viet2 104 2" xfId="13954" xr:uid="{00000000-0005-0000-0000-0000F4350000}"/>
    <cellStyle name="viet2 104 2 2" xfId="13955" xr:uid="{00000000-0005-0000-0000-0000F5350000}"/>
    <cellStyle name="viet2 104 3" xfId="13956" xr:uid="{00000000-0005-0000-0000-0000F6350000}"/>
    <cellStyle name="viet2 104 4" xfId="13957" xr:uid="{00000000-0005-0000-0000-0000F7350000}"/>
    <cellStyle name="viet2 105" xfId="9434" xr:uid="{00000000-0005-0000-0000-0000F8350000}"/>
    <cellStyle name="viet2 105 2" xfId="13958" xr:uid="{00000000-0005-0000-0000-0000F9350000}"/>
    <cellStyle name="viet2 105 2 2" xfId="13959" xr:uid="{00000000-0005-0000-0000-0000FA350000}"/>
    <cellStyle name="viet2 105 3" xfId="13960" xr:uid="{00000000-0005-0000-0000-0000FB350000}"/>
    <cellStyle name="viet2 105 4" xfId="13961" xr:uid="{00000000-0005-0000-0000-0000FC350000}"/>
    <cellStyle name="viet2 106" xfId="9435" xr:uid="{00000000-0005-0000-0000-0000FD350000}"/>
    <cellStyle name="viet2 106 2" xfId="13962" xr:uid="{00000000-0005-0000-0000-0000FE350000}"/>
    <cellStyle name="viet2 106 2 2" xfId="13963" xr:uid="{00000000-0005-0000-0000-0000FF350000}"/>
    <cellStyle name="viet2 106 3" xfId="13964" xr:uid="{00000000-0005-0000-0000-000000360000}"/>
    <cellStyle name="viet2 106 4" xfId="13965" xr:uid="{00000000-0005-0000-0000-000001360000}"/>
    <cellStyle name="viet2 107" xfId="9436" xr:uid="{00000000-0005-0000-0000-000002360000}"/>
    <cellStyle name="viet2 107 2" xfId="13966" xr:uid="{00000000-0005-0000-0000-000003360000}"/>
    <cellStyle name="viet2 107 2 2" xfId="13967" xr:uid="{00000000-0005-0000-0000-000004360000}"/>
    <cellStyle name="viet2 107 3" xfId="13968" xr:uid="{00000000-0005-0000-0000-000005360000}"/>
    <cellStyle name="viet2 107 4" xfId="13969" xr:uid="{00000000-0005-0000-0000-000006360000}"/>
    <cellStyle name="viet2 108" xfId="9437" xr:uid="{00000000-0005-0000-0000-000007360000}"/>
    <cellStyle name="viet2 108 2" xfId="13970" xr:uid="{00000000-0005-0000-0000-000008360000}"/>
    <cellStyle name="viet2 108 2 2" xfId="13971" xr:uid="{00000000-0005-0000-0000-000009360000}"/>
    <cellStyle name="viet2 108 3" xfId="13972" xr:uid="{00000000-0005-0000-0000-00000A360000}"/>
    <cellStyle name="viet2 108 4" xfId="13973" xr:uid="{00000000-0005-0000-0000-00000B360000}"/>
    <cellStyle name="viet2 109" xfId="9438" xr:uid="{00000000-0005-0000-0000-00000C360000}"/>
    <cellStyle name="viet2 109 2" xfId="13974" xr:uid="{00000000-0005-0000-0000-00000D360000}"/>
    <cellStyle name="viet2 109 2 2" xfId="13975" xr:uid="{00000000-0005-0000-0000-00000E360000}"/>
    <cellStyle name="viet2 109 3" xfId="13976" xr:uid="{00000000-0005-0000-0000-00000F360000}"/>
    <cellStyle name="viet2 109 4" xfId="13977" xr:uid="{00000000-0005-0000-0000-000010360000}"/>
    <cellStyle name="viet2 11" xfId="9439" xr:uid="{00000000-0005-0000-0000-000011360000}"/>
    <cellStyle name="viet2 11 2" xfId="13978" xr:uid="{00000000-0005-0000-0000-000012360000}"/>
    <cellStyle name="viet2 11 2 2" xfId="13979" xr:uid="{00000000-0005-0000-0000-000013360000}"/>
    <cellStyle name="viet2 11 3" xfId="13980" xr:uid="{00000000-0005-0000-0000-000014360000}"/>
    <cellStyle name="viet2 11 4" xfId="13981" xr:uid="{00000000-0005-0000-0000-000015360000}"/>
    <cellStyle name="viet2 110" xfId="9440" xr:uid="{00000000-0005-0000-0000-000016360000}"/>
    <cellStyle name="viet2 110 2" xfId="13982" xr:uid="{00000000-0005-0000-0000-000017360000}"/>
    <cellStyle name="viet2 110 2 2" xfId="13983" xr:uid="{00000000-0005-0000-0000-000018360000}"/>
    <cellStyle name="viet2 110 3" xfId="13984" xr:uid="{00000000-0005-0000-0000-000019360000}"/>
    <cellStyle name="viet2 110 4" xfId="13985" xr:uid="{00000000-0005-0000-0000-00001A360000}"/>
    <cellStyle name="viet2 111" xfId="9441" xr:uid="{00000000-0005-0000-0000-00001B360000}"/>
    <cellStyle name="viet2 111 2" xfId="13986" xr:uid="{00000000-0005-0000-0000-00001C360000}"/>
    <cellStyle name="viet2 111 2 2" xfId="13987" xr:uid="{00000000-0005-0000-0000-00001D360000}"/>
    <cellStyle name="viet2 111 3" xfId="13988" xr:uid="{00000000-0005-0000-0000-00001E360000}"/>
    <cellStyle name="viet2 111 4" xfId="13989" xr:uid="{00000000-0005-0000-0000-00001F360000}"/>
    <cellStyle name="viet2 112" xfId="13990" xr:uid="{00000000-0005-0000-0000-000020360000}"/>
    <cellStyle name="viet2 112 2" xfId="13991" xr:uid="{00000000-0005-0000-0000-000021360000}"/>
    <cellStyle name="viet2 113" xfId="13992" xr:uid="{00000000-0005-0000-0000-000022360000}"/>
    <cellStyle name="viet2 114" xfId="13993" xr:uid="{00000000-0005-0000-0000-000023360000}"/>
    <cellStyle name="viet2 12" xfId="9442" xr:uid="{00000000-0005-0000-0000-000024360000}"/>
    <cellStyle name="viet2 12 2" xfId="13994" xr:uid="{00000000-0005-0000-0000-000025360000}"/>
    <cellStyle name="viet2 12 2 2" xfId="13995" xr:uid="{00000000-0005-0000-0000-000026360000}"/>
    <cellStyle name="viet2 12 3" xfId="13996" xr:uid="{00000000-0005-0000-0000-000027360000}"/>
    <cellStyle name="viet2 12 4" xfId="13997" xr:uid="{00000000-0005-0000-0000-000028360000}"/>
    <cellStyle name="viet2 13" xfId="9443" xr:uid="{00000000-0005-0000-0000-000029360000}"/>
    <cellStyle name="viet2 13 2" xfId="13998" xr:uid="{00000000-0005-0000-0000-00002A360000}"/>
    <cellStyle name="viet2 13 2 2" xfId="13999" xr:uid="{00000000-0005-0000-0000-00002B360000}"/>
    <cellStyle name="viet2 13 3" xfId="14000" xr:uid="{00000000-0005-0000-0000-00002C360000}"/>
    <cellStyle name="viet2 13 4" xfId="14001" xr:uid="{00000000-0005-0000-0000-00002D360000}"/>
    <cellStyle name="viet2 14" xfId="9444" xr:uid="{00000000-0005-0000-0000-00002E360000}"/>
    <cellStyle name="viet2 14 2" xfId="14002" xr:uid="{00000000-0005-0000-0000-00002F360000}"/>
    <cellStyle name="viet2 14 2 2" xfId="14003" xr:uid="{00000000-0005-0000-0000-000030360000}"/>
    <cellStyle name="viet2 14 3" xfId="14004" xr:uid="{00000000-0005-0000-0000-000031360000}"/>
    <cellStyle name="viet2 14 4" xfId="14005" xr:uid="{00000000-0005-0000-0000-000032360000}"/>
    <cellStyle name="viet2 15" xfId="9445" xr:uid="{00000000-0005-0000-0000-000033360000}"/>
    <cellStyle name="viet2 15 2" xfId="14006" xr:uid="{00000000-0005-0000-0000-000034360000}"/>
    <cellStyle name="viet2 15 2 2" xfId="14007" xr:uid="{00000000-0005-0000-0000-000035360000}"/>
    <cellStyle name="viet2 15 3" xfId="14008" xr:uid="{00000000-0005-0000-0000-000036360000}"/>
    <cellStyle name="viet2 15 4" xfId="14009" xr:uid="{00000000-0005-0000-0000-000037360000}"/>
    <cellStyle name="viet2 16" xfId="9446" xr:uid="{00000000-0005-0000-0000-000038360000}"/>
    <cellStyle name="viet2 16 2" xfId="14010" xr:uid="{00000000-0005-0000-0000-000039360000}"/>
    <cellStyle name="viet2 16 2 2" xfId="14011" xr:uid="{00000000-0005-0000-0000-00003A360000}"/>
    <cellStyle name="viet2 16 3" xfId="14012" xr:uid="{00000000-0005-0000-0000-00003B360000}"/>
    <cellStyle name="viet2 16 4" xfId="14013" xr:uid="{00000000-0005-0000-0000-00003C360000}"/>
    <cellStyle name="viet2 17" xfId="9447" xr:uid="{00000000-0005-0000-0000-00003D360000}"/>
    <cellStyle name="viet2 17 2" xfId="14014" xr:uid="{00000000-0005-0000-0000-00003E360000}"/>
    <cellStyle name="viet2 17 2 2" xfId="14015" xr:uid="{00000000-0005-0000-0000-00003F360000}"/>
    <cellStyle name="viet2 17 3" xfId="14016" xr:uid="{00000000-0005-0000-0000-000040360000}"/>
    <cellStyle name="viet2 17 4" xfId="14017" xr:uid="{00000000-0005-0000-0000-000041360000}"/>
    <cellStyle name="viet2 18" xfId="9448" xr:uid="{00000000-0005-0000-0000-000042360000}"/>
    <cellStyle name="viet2 18 2" xfId="14018" xr:uid="{00000000-0005-0000-0000-000043360000}"/>
    <cellStyle name="viet2 18 2 2" xfId="14019" xr:uid="{00000000-0005-0000-0000-000044360000}"/>
    <cellStyle name="viet2 18 3" xfId="14020" xr:uid="{00000000-0005-0000-0000-000045360000}"/>
    <cellStyle name="viet2 18 4" xfId="14021" xr:uid="{00000000-0005-0000-0000-000046360000}"/>
    <cellStyle name="viet2 19" xfId="9449" xr:uid="{00000000-0005-0000-0000-000047360000}"/>
    <cellStyle name="viet2 19 2" xfId="14022" xr:uid="{00000000-0005-0000-0000-000048360000}"/>
    <cellStyle name="viet2 19 2 2" xfId="14023" xr:uid="{00000000-0005-0000-0000-000049360000}"/>
    <cellStyle name="viet2 19 3" xfId="14024" xr:uid="{00000000-0005-0000-0000-00004A360000}"/>
    <cellStyle name="viet2 19 4" xfId="14025" xr:uid="{00000000-0005-0000-0000-00004B360000}"/>
    <cellStyle name="viet2 2" xfId="9450" xr:uid="{00000000-0005-0000-0000-00004C360000}"/>
    <cellStyle name="viet2 2 2" xfId="14026" xr:uid="{00000000-0005-0000-0000-00004D360000}"/>
    <cellStyle name="viet2 2 2 2" xfId="14027" xr:uid="{00000000-0005-0000-0000-00004E360000}"/>
    <cellStyle name="viet2 2 3" xfId="14028" xr:uid="{00000000-0005-0000-0000-00004F360000}"/>
    <cellStyle name="viet2 2 4" xfId="14029" xr:uid="{00000000-0005-0000-0000-000050360000}"/>
    <cellStyle name="viet2 20" xfId="9451" xr:uid="{00000000-0005-0000-0000-000051360000}"/>
    <cellStyle name="viet2 20 2" xfId="14030" xr:uid="{00000000-0005-0000-0000-000052360000}"/>
    <cellStyle name="viet2 20 2 2" xfId="14031" xr:uid="{00000000-0005-0000-0000-000053360000}"/>
    <cellStyle name="viet2 20 3" xfId="14032" xr:uid="{00000000-0005-0000-0000-000054360000}"/>
    <cellStyle name="viet2 20 4" xfId="14033" xr:uid="{00000000-0005-0000-0000-000055360000}"/>
    <cellStyle name="viet2 21" xfId="9452" xr:uid="{00000000-0005-0000-0000-000056360000}"/>
    <cellStyle name="viet2 21 2" xfId="14034" xr:uid="{00000000-0005-0000-0000-000057360000}"/>
    <cellStyle name="viet2 21 2 2" xfId="14035" xr:uid="{00000000-0005-0000-0000-000058360000}"/>
    <cellStyle name="viet2 21 3" xfId="14036" xr:uid="{00000000-0005-0000-0000-000059360000}"/>
    <cellStyle name="viet2 21 4" xfId="14037" xr:uid="{00000000-0005-0000-0000-00005A360000}"/>
    <cellStyle name="viet2 22" xfId="9453" xr:uid="{00000000-0005-0000-0000-00005B360000}"/>
    <cellStyle name="viet2 22 2" xfId="14038" xr:uid="{00000000-0005-0000-0000-00005C360000}"/>
    <cellStyle name="viet2 22 2 2" xfId="14039" xr:uid="{00000000-0005-0000-0000-00005D360000}"/>
    <cellStyle name="viet2 22 3" xfId="14040" xr:uid="{00000000-0005-0000-0000-00005E360000}"/>
    <cellStyle name="viet2 22 4" xfId="14041" xr:uid="{00000000-0005-0000-0000-00005F360000}"/>
    <cellStyle name="viet2 23" xfId="9454" xr:uid="{00000000-0005-0000-0000-000060360000}"/>
    <cellStyle name="viet2 23 2" xfId="14042" xr:uid="{00000000-0005-0000-0000-000061360000}"/>
    <cellStyle name="viet2 23 2 2" xfId="14043" xr:uid="{00000000-0005-0000-0000-000062360000}"/>
    <cellStyle name="viet2 23 3" xfId="14044" xr:uid="{00000000-0005-0000-0000-000063360000}"/>
    <cellStyle name="viet2 23 4" xfId="14045" xr:uid="{00000000-0005-0000-0000-000064360000}"/>
    <cellStyle name="viet2 24" xfId="9455" xr:uid="{00000000-0005-0000-0000-000065360000}"/>
    <cellStyle name="viet2 24 2" xfId="14046" xr:uid="{00000000-0005-0000-0000-000066360000}"/>
    <cellStyle name="viet2 24 2 2" xfId="14047" xr:uid="{00000000-0005-0000-0000-000067360000}"/>
    <cellStyle name="viet2 24 3" xfId="14048" xr:uid="{00000000-0005-0000-0000-000068360000}"/>
    <cellStyle name="viet2 24 4" xfId="14049" xr:uid="{00000000-0005-0000-0000-000069360000}"/>
    <cellStyle name="viet2 25" xfId="9456" xr:uid="{00000000-0005-0000-0000-00006A360000}"/>
    <cellStyle name="viet2 25 2" xfId="14050" xr:uid="{00000000-0005-0000-0000-00006B360000}"/>
    <cellStyle name="viet2 25 2 2" xfId="14051" xr:uid="{00000000-0005-0000-0000-00006C360000}"/>
    <cellStyle name="viet2 25 3" xfId="14052" xr:uid="{00000000-0005-0000-0000-00006D360000}"/>
    <cellStyle name="viet2 25 4" xfId="14053" xr:uid="{00000000-0005-0000-0000-00006E360000}"/>
    <cellStyle name="viet2 26" xfId="9457" xr:uid="{00000000-0005-0000-0000-00006F360000}"/>
    <cellStyle name="viet2 26 2" xfId="14054" xr:uid="{00000000-0005-0000-0000-000070360000}"/>
    <cellStyle name="viet2 26 2 2" xfId="14055" xr:uid="{00000000-0005-0000-0000-000071360000}"/>
    <cellStyle name="viet2 26 3" xfId="14056" xr:uid="{00000000-0005-0000-0000-000072360000}"/>
    <cellStyle name="viet2 26 4" xfId="14057" xr:uid="{00000000-0005-0000-0000-000073360000}"/>
    <cellStyle name="viet2 27" xfId="9458" xr:uid="{00000000-0005-0000-0000-000074360000}"/>
    <cellStyle name="viet2 27 2" xfId="14058" xr:uid="{00000000-0005-0000-0000-000075360000}"/>
    <cellStyle name="viet2 27 2 2" xfId="14059" xr:uid="{00000000-0005-0000-0000-000076360000}"/>
    <cellStyle name="viet2 27 3" xfId="14060" xr:uid="{00000000-0005-0000-0000-000077360000}"/>
    <cellStyle name="viet2 27 4" xfId="14061" xr:uid="{00000000-0005-0000-0000-000078360000}"/>
    <cellStyle name="viet2 28" xfId="9459" xr:uid="{00000000-0005-0000-0000-000079360000}"/>
    <cellStyle name="viet2 28 2" xfId="14062" xr:uid="{00000000-0005-0000-0000-00007A360000}"/>
    <cellStyle name="viet2 28 2 2" xfId="14063" xr:uid="{00000000-0005-0000-0000-00007B360000}"/>
    <cellStyle name="viet2 28 3" xfId="14064" xr:uid="{00000000-0005-0000-0000-00007C360000}"/>
    <cellStyle name="viet2 28 4" xfId="14065" xr:uid="{00000000-0005-0000-0000-00007D360000}"/>
    <cellStyle name="viet2 29" xfId="9460" xr:uid="{00000000-0005-0000-0000-00007E360000}"/>
    <cellStyle name="viet2 29 2" xfId="14066" xr:uid="{00000000-0005-0000-0000-00007F360000}"/>
    <cellStyle name="viet2 29 2 2" xfId="14067" xr:uid="{00000000-0005-0000-0000-000080360000}"/>
    <cellStyle name="viet2 29 3" xfId="14068" xr:uid="{00000000-0005-0000-0000-000081360000}"/>
    <cellStyle name="viet2 29 4" xfId="14069" xr:uid="{00000000-0005-0000-0000-000082360000}"/>
    <cellStyle name="viet2 3" xfId="9461" xr:uid="{00000000-0005-0000-0000-000083360000}"/>
    <cellStyle name="viet2 3 2" xfId="14070" xr:uid="{00000000-0005-0000-0000-000084360000}"/>
    <cellStyle name="viet2 3 2 2" xfId="14071" xr:uid="{00000000-0005-0000-0000-000085360000}"/>
    <cellStyle name="viet2 3 3" xfId="14072" xr:uid="{00000000-0005-0000-0000-000086360000}"/>
    <cellStyle name="viet2 3 4" xfId="14073" xr:uid="{00000000-0005-0000-0000-000087360000}"/>
    <cellStyle name="viet2 30" xfId="9462" xr:uid="{00000000-0005-0000-0000-000088360000}"/>
    <cellStyle name="viet2 30 2" xfId="14074" xr:uid="{00000000-0005-0000-0000-000089360000}"/>
    <cellStyle name="viet2 30 2 2" xfId="14075" xr:uid="{00000000-0005-0000-0000-00008A360000}"/>
    <cellStyle name="viet2 30 3" xfId="14076" xr:uid="{00000000-0005-0000-0000-00008B360000}"/>
    <cellStyle name="viet2 30 4" xfId="14077" xr:uid="{00000000-0005-0000-0000-00008C360000}"/>
    <cellStyle name="viet2 31" xfId="9463" xr:uid="{00000000-0005-0000-0000-00008D360000}"/>
    <cellStyle name="viet2 31 2" xfId="14078" xr:uid="{00000000-0005-0000-0000-00008E360000}"/>
    <cellStyle name="viet2 31 2 2" xfId="14079" xr:uid="{00000000-0005-0000-0000-00008F360000}"/>
    <cellStyle name="viet2 31 3" xfId="14080" xr:uid="{00000000-0005-0000-0000-000090360000}"/>
    <cellStyle name="viet2 31 4" xfId="14081" xr:uid="{00000000-0005-0000-0000-000091360000}"/>
    <cellStyle name="viet2 32" xfId="9464" xr:uid="{00000000-0005-0000-0000-000092360000}"/>
    <cellStyle name="viet2 32 2" xfId="14082" xr:uid="{00000000-0005-0000-0000-000093360000}"/>
    <cellStyle name="viet2 32 2 2" xfId="14083" xr:uid="{00000000-0005-0000-0000-000094360000}"/>
    <cellStyle name="viet2 32 3" xfId="14084" xr:uid="{00000000-0005-0000-0000-000095360000}"/>
    <cellStyle name="viet2 32 4" xfId="14085" xr:uid="{00000000-0005-0000-0000-000096360000}"/>
    <cellStyle name="viet2 33" xfId="9465" xr:uid="{00000000-0005-0000-0000-000097360000}"/>
    <cellStyle name="viet2 33 2" xfId="14086" xr:uid="{00000000-0005-0000-0000-000098360000}"/>
    <cellStyle name="viet2 33 2 2" xfId="14087" xr:uid="{00000000-0005-0000-0000-000099360000}"/>
    <cellStyle name="viet2 33 3" xfId="14088" xr:uid="{00000000-0005-0000-0000-00009A360000}"/>
    <cellStyle name="viet2 33 4" xfId="14089" xr:uid="{00000000-0005-0000-0000-00009B360000}"/>
    <cellStyle name="viet2 34" xfId="9466" xr:uid="{00000000-0005-0000-0000-00009C360000}"/>
    <cellStyle name="viet2 34 2" xfId="14090" xr:uid="{00000000-0005-0000-0000-00009D360000}"/>
    <cellStyle name="viet2 34 2 2" xfId="14091" xr:uid="{00000000-0005-0000-0000-00009E360000}"/>
    <cellStyle name="viet2 34 3" xfId="14092" xr:uid="{00000000-0005-0000-0000-00009F360000}"/>
    <cellStyle name="viet2 34 4" xfId="14093" xr:uid="{00000000-0005-0000-0000-0000A0360000}"/>
    <cellStyle name="viet2 35" xfId="9467" xr:uid="{00000000-0005-0000-0000-0000A1360000}"/>
    <cellStyle name="viet2 35 2" xfId="14094" xr:uid="{00000000-0005-0000-0000-0000A2360000}"/>
    <cellStyle name="viet2 35 2 2" xfId="14095" xr:uid="{00000000-0005-0000-0000-0000A3360000}"/>
    <cellStyle name="viet2 35 3" xfId="14096" xr:uid="{00000000-0005-0000-0000-0000A4360000}"/>
    <cellStyle name="viet2 35 4" xfId="14097" xr:uid="{00000000-0005-0000-0000-0000A5360000}"/>
    <cellStyle name="viet2 36" xfId="9468" xr:uid="{00000000-0005-0000-0000-0000A6360000}"/>
    <cellStyle name="viet2 36 2" xfId="14098" xr:uid="{00000000-0005-0000-0000-0000A7360000}"/>
    <cellStyle name="viet2 36 2 2" xfId="14099" xr:uid="{00000000-0005-0000-0000-0000A8360000}"/>
    <cellStyle name="viet2 36 3" xfId="14100" xr:uid="{00000000-0005-0000-0000-0000A9360000}"/>
    <cellStyle name="viet2 36 4" xfId="14101" xr:uid="{00000000-0005-0000-0000-0000AA360000}"/>
    <cellStyle name="viet2 37" xfId="9469" xr:uid="{00000000-0005-0000-0000-0000AB360000}"/>
    <cellStyle name="viet2 37 2" xfId="14102" xr:uid="{00000000-0005-0000-0000-0000AC360000}"/>
    <cellStyle name="viet2 37 2 2" xfId="14103" xr:uid="{00000000-0005-0000-0000-0000AD360000}"/>
    <cellStyle name="viet2 37 3" xfId="14104" xr:uid="{00000000-0005-0000-0000-0000AE360000}"/>
    <cellStyle name="viet2 37 4" xfId="14105" xr:uid="{00000000-0005-0000-0000-0000AF360000}"/>
    <cellStyle name="viet2 38" xfId="9470" xr:uid="{00000000-0005-0000-0000-0000B0360000}"/>
    <cellStyle name="viet2 38 2" xfId="14106" xr:uid="{00000000-0005-0000-0000-0000B1360000}"/>
    <cellStyle name="viet2 38 2 2" xfId="14107" xr:uid="{00000000-0005-0000-0000-0000B2360000}"/>
    <cellStyle name="viet2 38 3" xfId="14108" xr:uid="{00000000-0005-0000-0000-0000B3360000}"/>
    <cellStyle name="viet2 38 4" xfId="14109" xr:uid="{00000000-0005-0000-0000-0000B4360000}"/>
    <cellStyle name="viet2 39" xfId="9471" xr:uid="{00000000-0005-0000-0000-0000B5360000}"/>
    <cellStyle name="viet2 39 2" xfId="14110" xr:uid="{00000000-0005-0000-0000-0000B6360000}"/>
    <cellStyle name="viet2 39 2 2" xfId="14111" xr:uid="{00000000-0005-0000-0000-0000B7360000}"/>
    <cellStyle name="viet2 39 3" xfId="14112" xr:uid="{00000000-0005-0000-0000-0000B8360000}"/>
    <cellStyle name="viet2 39 4" xfId="14113" xr:uid="{00000000-0005-0000-0000-0000B9360000}"/>
    <cellStyle name="viet2 4" xfId="9472" xr:uid="{00000000-0005-0000-0000-0000BA360000}"/>
    <cellStyle name="viet2 4 2" xfId="14114" xr:uid="{00000000-0005-0000-0000-0000BB360000}"/>
    <cellStyle name="viet2 4 2 2" xfId="14115" xr:uid="{00000000-0005-0000-0000-0000BC360000}"/>
    <cellStyle name="viet2 4 3" xfId="14116" xr:uid="{00000000-0005-0000-0000-0000BD360000}"/>
    <cellStyle name="viet2 4 4" xfId="14117" xr:uid="{00000000-0005-0000-0000-0000BE360000}"/>
    <cellStyle name="viet2 40" xfId="9473" xr:uid="{00000000-0005-0000-0000-0000BF360000}"/>
    <cellStyle name="viet2 40 2" xfId="14118" xr:uid="{00000000-0005-0000-0000-0000C0360000}"/>
    <cellStyle name="viet2 40 2 2" xfId="14119" xr:uid="{00000000-0005-0000-0000-0000C1360000}"/>
    <cellStyle name="viet2 40 3" xfId="14120" xr:uid="{00000000-0005-0000-0000-0000C2360000}"/>
    <cellStyle name="viet2 40 4" xfId="14121" xr:uid="{00000000-0005-0000-0000-0000C3360000}"/>
    <cellStyle name="viet2 41" xfId="9474" xr:uid="{00000000-0005-0000-0000-0000C4360000}"/>
    <cellStyle name="viet2 41 2" xfId="14122" xr:uid="{00000000-0005-0000-0000-0000C5360000}"/>
    <cellStyle name="viet2 41 2 2" xfId="14123" xr:uid="{00000000-0005-0000-0000-0000C6360000}"/>
    <cellStyle name="viet2 41 3" xfId="14124" xr:uid="{00000000-0005-0000-0000-0000C7360000}"/>
    <cellStyle name="viet2 41 4" xfId="14125" xr:uid="{00000000-0005-0000-0000-0000C8360000}"/>
    <cellStyle name="viet2 42" xfId="9475" xr:uid="{00000000-0005-0000-0000-0000C9360000}"/>
    <cellStyle name="viet2 42 2" xfId="14126" xr:uid="{00000000-0005-0000-0000-0000CA360000}"/>
    <cellStyle name="viet2 42 2 2" xfId="14127" xr:uid="{00000000-0005-0000-0000-0000CB360000}"/>
    <cellStyle name="viet2 42 3" xfId="14128" xr:uid="{00000000-0005-0000-0000-0000CC360000}"/>
    <cellStyle name="viet2 42 4" xfId="14129" xr:uid="{00000000-0005-0000-0000-0000CD360000}"/>
    <cellStyle name="viet2 43" xfId="9476" xr:uid="{00000000-0005-0000-0000-0000CE360000}"/>
    <cellStyle name="viet2 43 2" xfId="14130" xr:uid="{00000000-0005-0000-0000-0000CF360000}"/>
    <cellStyle name="viet2 43 2 2" xfId="14131" xr:uid="{00000000-0005-0000-0000-0000D0360000}"/>
    <cellStyle name="viet2 43 3" xfId="14132" xr:uid="{00000000-0005-0000-0000-0000D1360000}"/>
    <cellStyle name="viet2 43 4" xfId="14133" xr:uid="{00000000-0005-0000-0000-0000D2360000}"/>
    <cellStyle name="viet2 44" xfId="9477" xr:uid="{00000000-0005-0000-0000-0000D3360000}"/>
    <cellStyle name="viet2 44 2" xfId="14134" xr:uid="{00000000-0005-0000-0000-0000D4360000}"/>
    <cellStyle name="viet2 44 2 2" xfId="14135" xr:uid="{00000000-0005-0000-0000-0000D5360000}"/>
    <cellStyle name="viet2 44 3" xfId="14136" xr:uid="{00000000-0005-0000-0000-0000D6360000}"/>
    <cellStyle name="viet2 44 4" xfId="14137" xr:uid="{00000000-0005-0000-0000-0000D7360000}"/>
    <cellStyle name="viet2 45" xfId="9478" xr:uid="{00000000-0005-0000-0000-0000D8360000}"/>
    <cellStyle name="viet2 45 2" xfId="14138" xr:uid="{00000000-0005-0000-0000-0000D9360000}"/>
    <cellStyle name="viet2 45 2 2" xfId="14139" xr:uid="{00000000-0005-0000-0000-0000DA360000}"/>
    <cellStyle name="viet2 45 3" xfId="14140" xr:uid="{00000000-0005-0000-0000-0000DB360000}"/>
    <cellStyle name="viet2 45 4" xfId="14141" xr:uid="{00000000-0005-0000-0000-0000DC360000}"/>
    <cellStyle name="viet2 46" xfId="9479" xr:uid="{00000000-0005-0000-0000-0000DD360000}"/>
    <cellStyle name="viet2 46 2" xfId="14142" xr:uid="{00000000-0005-0000-0000-0000DE360000}"/>
    <cellStyle name="viet2 46 2 2" xfId="14143" xr:uid="{00000000-0005-0000-0000-0000DF360000}"/>
    <cellStyle name="viet2 46 3" xfId="14144" xr:uid="{00000000-0005-0000-0000-0000E0360000}"/>
    <cellStyle name="viet2 46 4" xfId="14145" xr:uid="{00000000-0005-0000-0000-0000E1360000}"/>
    <cellStyle name="viet2 47" xfId="9480" xr:uid="{00000000-0005-0000-0000-0000E2360000}"/>
    <cellStyle name="viet2 47 2" xfId="14146" xr:uid="{00000000-0005-0000-0000-0000E3360000}"/>
    <cellStyle name="viet2 47 2 2" xfId="14147" xr:uid="{00000000-0005-0000-0000-0000E4360000}"/>
    <cellStyle name="viet2 47 3" xfId="14148" xr:uid="{00000000-0005-0000-0000-0000E5360000}"/>
    <cellStyle name="viet2 47 4" xfId="14149" xr:uid="{00000000-0005-0000-0000-0000E6360000}"/>
    <cellStyle name="viet2 48" xfId="9481" xr:uid="{00000000-0005-0000-0000-0000E7360000}"/>
    <cellStyle name="viet2 48 2" xfId="14150" xr:uid="{00000000-0005-0000-0000-0000E8360000}"/>
    <cellStyle name="viet2 48 2 2" xfId="14151" xr:uid="{00000000-0005-0000-0000-0000E9360000}"/>
    <cellStyle name="viet2 48 3" xfId="14152" xr:uid="{00000000-0005-0000-0000-0000EA360000}"/>
    <cellStyle name="viet2 48 4" xfId="14153" xr:uid="{00000000-0005-0000-0000-0000EB360000}"/>
    <cellStyle name="viet2 49" xfId="9482" xr:uid="{00000000-0005-0000-0000-0000EC360000}"/>
    <cellStyle name="viet2 49 2" xfId="14154" xr:uid="{00000000-0005-0000-0000-0000ED360000}"/>
    <cellStyle name="viet2 49 2 2" xfId="14155" xr:uid="{00000000-0005-0000-0000-0000EE360000}"/>
    <cellStyle name="viet2 49 3" xfId="14156" xr:uid="{00000000-0005-0000-0000-0000EF360000}"/>
    <cellStyle name="viet2 49 4" xfId="14157" xr:uid="{00000000-0005-0000-0000-0000F0360000}"/>
    <cellStyle name="viet2 5" xfId="9483" xr:uid="{00000000-0005-0000-0000-0000F1360000}"/>
    <cellStyle name="viet2 5 2" xfId="14158" xr:uid="{00000000-0005-0000-0000-0000F2360000}"/>
    <cellStyle name="viet2 5 2 2" xfId="14159" xr:uid="{00000000-0005-0000-0000-0000F3360000}"/>
    <cellStyle name="viet2 5 3" xfId="14160" xr:uid="{00000000-0005-0000-0000-0000F4360000}"/>
    <cellStyle name="viet2 5 4" xfId="14161" xr:uid="{00000000-0005-0000-0000-0000F5360000}"/>
    <cellStyle name="viet2 50" xfId="9484" xr:uid="{00000000-0005-0000-0000-0000F6360000}"/>
    <cellStyle name="viet2 50 2" xfId="14162" xr:uid="{00000000-0005-0000-0000-0000F7360000}"/>
    <cellStyle name="viet2 50 2 2" xfId="14163" xr:uid="{00000000-0005-0000-0000-0000F8360000}"/>
    <cellStyle name="viet2 50 3" xfId="14164" xr:uid="{00000000-0005-0000-0000-0000F9360000}"/>
    <cellStyle name="viet2 50 4" xfId="14165" xr:uid="{00000000-0005-0000-0000-0000FA360000}"/>
    <cellStyle name="viet2 51" xfId="9485" xr:uid="{00000000-0005-0000-0000-0000FB360000}"/>
    <cellStyle name="viet2 51 2" xfId="14166" xr:uid="{00000000-0005-0000-0000-0000FC360000}"/>
    <cellStyle name="viet2 51 2 2" xfId="14167" xr:uid="{00000000-0005-0000-0000-0000FD360000}"/>
    <cellStyle name="viet2 51 3" xfId="14168" xr:uid="{00000000-0005-0000-0000-0000FE360000}"/>
    <cellStyle name="viet2 51 4" xfId="14169" xr:uid="{00000000-0005-0000-0000-0000FF360000}"/>
    <cellStyle name="viet2 52" xfId="9486" xr:uid="{00000000-0005-0000-0000-000000370000}"/>
    <cellStyle name="viet2 52 2" xfId="14170" xr:uid="{00000000-0005-0000-0000-000001370000}"/>
    <cellStyle name="viet2 52 2 2" xfId="14171" xr:uid="{00000000-0005-0000-0000-000002370000}"/>
    <cellStyle name="viet2 52 3" xfId="14172" xr:uid="{00000000-0005-0000-0000-000003370000}"/>
    <cellStyle name="viet2 52 4" xfId="14173" xr:uid="{00000000-0005-0000-0000-000004370000}"/>
    <cellStyle name="viet2 53" xfId="9487" xr:uid="{00000000-0005-0000-0000-000005370000}"/>
    <cellStyle name="viet2 53 2" xfId="14174" xr:uid="{00000000-0005-0000-0000-000006370000}"/>
    <cellStyle name="viet2 53 2 2" xfId="14175" xr:uid="{00000000-0005-0000-0000-000007370000}"/>
    <cellStyle name="viet2 53 3" xfId="14176" xr:uid="{00000000-0005-0000-0000-000008370000}"/>
    <cellStyle name="viet2 53 4" xfId="14177" xr:uid="{00000000-0005-0000-0000-000009370000}"/>
    <cellStyle name="viet2 54" xfId="9488" xr:uid="{00000000-0005-0000-0000-00000A370000}"/>
    <cellStyle name="viet2 54 2" xfId="14178" xr:uid="{00000000-0005-0000-0000-00000B370000}"/>
    <cellStyle name="viet2 54 2 2" xfId="14179" xr:uid="{00000000-0005-0000-0000-00000C370000}"/>
    <cellStyle name="viet2 54 3" xfId="14180" xr:uid="{00000000-0005-0000-0000-00000D370000}"/>
    <cellStyle name="viet2 54 4" xfId="14181" xr:uid="{00000000-0005-0000-0000-00000E370000}"/>
    <cellStyle name="viet2 55" xfId="9489" xr:uid="{00000000-0005-0000-0000-00000F370000}"/>
    <cellStyle name="viet2 55 2" xfId="14182" xr:uid="{00000000-0005-0000-0000-000010370000}"/>
    <cellStyle name="viet2 55 2 2" xfId="14183" xr:uid="{00000000-0005-0000-0000-000011370000}"/>
    <cellStyle name="viet2 55 3" xfId="14184" xr:uid="{00000000-0005-0000-0000-000012370000}"/>
    <cellStyle name="viet2 55 4" xfId="14185" xr:uid="{00000000-0005-0000-0000-000013370000}"/>
    <cellStyle name="viet2 56" xfId="9490" xr:uid="{00000000-0005-0000-0000-000014370000}"/>
    <cellStyle name="viet2 56 2" xfId="14186" xr:uid="{00000000-0005-0000-0000-000015370000}"/>
    <cellStyle name="viet2 56 2 2" xfId="14187" xr:uid="{00000000-0005-0000-0000-000016370000}"/>
    <cellStyle name="viet2 56 3" xfId="14188" xr:uid="{00000000-0005-0000-0000-000017370000}"/>
    <cellStyle name="viet2 56 4" xfId="14189" xr:uid="{00000000-0005-0000-0000-000018370000}"/>
    <cellStyle name="viet2 57" xfId="9491" xr:uid="{00000000-0005-0000-0000-000019370000}"/>
    <cellStyle name="viet2 57 2" xfId="14190" xr:uid="{00000000-0005-0000-0000-00001A370000}"/>
    <cellStyle name="viet2 57 2 2" xfId="14191" xr:uid="{00000000-0005-0000-0000-00001B370000}"/>
    <cellStyle name="viet2 57 3" xfId="14192" xr:uid="{00000000-0005-0000-0000-00001C370000}"/>
    <cellStyle name="viet2 57 4" xfId="14193" xr:uid="{00000000-0005-0000-0000-00001D370000}"/>
    <cellStyle name="viet2 58" xfId="9492" xr:uid="{00000000-0005-0000-0000-00001E370000}"/>
    <cellStyle name="viet2 58 2" xfId="14194" xr:uid="{00000000-0005-0000-0000-00001F370000}"/>
    <cellStyle name="viet2 58 2 2" xfId="14195" xr:uid="{00000000-0005-0000-0000-000020370000}"/>
    <cellStyle name="viet2 58 3" xfId="14196" xr:uid="{00000000-0005-0000-0000-000021370000}"/>
    <cellStyle name="viet2 58 4" xfId="14197" xr:uid="{00000000-0005-0000-0000-000022370000}"/>
    <cellStyle name="viet2 59" xfId="9493" xr:uid="{00000000-0005-0000-0000-000023370000}"/>
    <cellStyle name="viet2 59 2" xfId="14198" xr:uid="{00000000-0005-0000-0000-000024370000}"/>
    <cellStyle name="viet2 59 2 2" xfId="14199" xr:uid="{00000000-0005-0000-0000-000025370000}"/>
    <cellStyle name="viet2 59 3" xfId="14200" xr:uid="{00000000-0005-0000-0000-000026370000}"/>
    <cellStyle name="viet2 59 4" xfId="14201" xr:uid="{00000000-0005-0000-0000-000027370000}"/>
    <cellStyle name="viet2 6" xfId="9494" xr:uid="{00000000-0005-0000-0000-000028370000}"/>
    <cellStyle name="viet2 6 2" xfId="14202" xr:uid="{00000000-0005-0000-0000-000029370000}"/>
    <cellStyle name="viet2 6 2 2" xfId="14203" xr:uid="{00000000-0005-0000-0000-00002A370000}"/>
    <cellStyle name="viet2 6 3" xfId="14204" xr:uid="{00000000-0005-0000-0000-00002B370000}"/>
    <cellStyle name="viet2 6 4" xfId="14205" xr:uid="{00000000-0005-0000-0000-00002C370000}"/>
    <cellStyle name="viet2 60" xfId="9495" xr:uid="{00000000-0005-0000-0000-00002D370000}"/>
    <cellStyle name="viet2 60 2" xfId="14206" xr:uid="{00000000-0005-0000-0000-00002E370000}"/>
    <cellStyle name="viet2 60 2 2" xfId="14207" xr:uid="{00000000-0005-0000-0000-00002F370000}"/>
    <cellStyle name="viet2 60 3" xfId="14208" xr:uid="{00000000-0005-0000-0000-000030370000}"/>
    <cellStyle name="viet2 60 4" xfId="14209" xr:uid="{00000000-0005-0000-0000-000031370000}"/>
    <cellStyle name="viet2 61" xfId="9496" xr:uid="{00000000-0005-0000-0000-000032370000}"/>
    <cellStyle name="viet2 61 2" xfId="14210" xr:uid="{00000000-0005-0000-0000-000033370000}"/>
    <cellStyle name="viet2 61 2 2" xfId="14211" xr:uid="{00000000-0005-0000-0000-000034370000}"/>
    <cellStyle name="viet2 61 3" xfId="14212" xr:uid="{00000000-0005-0000-0000-000035370000}"/>
    <cellStyle name="viet2 61 4" xfId="14213" xr:uid="{00000000-0005-0000-0000-000036370000}"/>
    <cellStyle name="viet2 62" xfId="9497" xr:uid="{00000000-0005-0000-0000-000037370000}"/>
    <cellStyle name="viet2 62 2" xfId="14214" xr:uid="{00000000-0005-0000-0000-000038370000}"/>
    <cellStyle name="viet2 62 2 2" xfId="14215" xr:uid="{00000000-0005-0000-0000-000039370000}"/>
    <cellStyle name="viet2 62 3" xfId="14216" xr:uid="{00000000-0005-0000-0000-00003A370000}"/>
    <cellStyle name="viet2 62 4" xfId="14217" xr:uid="{00000000-0005-0000-0000-00003B370000}"/>
    <cellStyle name="viet2 63" xfId="9498" xr:uid="{00000000-0005-0000-0000-00003C370000}"/>
    <cellStyle name="viet2 63 2" xfId="14218" xr:uid="{00000000-0005-0000-0000-00003D370000}"/>
    <cellStyle name="viet2 63 2 2" xfId="14219" xr:uid="{00000000-0005-0000-0000-00003E370000}"/>
    <cellStyle name="viet2 63 3" xfId="14220" xr:uid="{00000000-0005-0000-0000-00003F370000}"/>
    <cellStyle name="viet2 63 4" xfId="14221" xr:uid="{00000000-0005-0000-0000-000040370000}"/>
    <cellStyle name="viet2 64" xfId="9499" xr:uid="{00000000-0005-0000-0000-000041370000}"/>
    <cellStyle name="viet2 64 2" xfId="14222" xr:uid="{00000000-0005-0000-0000-000042370000}"/>
    <cellStyle name="viet2 64 2 2" xfId="14223" xr:uid="{00000000-0005-0000-0000-000043370000}"/>
    <cellStyle name="viet2 64 3" xfId="14224" xr:uid="{00000000-0005-0000-0000-000044370000}"/>
    <cellStyle name="viet2 64 4" xfId="14225" xr:uid="{00000000-0005-0000-0000-000045370000}"/>
    <cellStyle name="viet2 65" xfId="9500" xr:uid="{00000000-0005-0000-0000-000046370000}"/>
    <cellStyle name="viet2 65 2" xfId="14226" xr:uid="{00000000-0005-0000-0000-000047370000}"/>
    <cellStyle name="viet2 65 2 2" xfId="14227" xr:uid="{00000000-0005-0000-0000-000048370000}"/>
    <cellStyle name="viet2 65 3" xfId="14228" xr:uid="{00000000-0005-0000-0000-000049370000}"/>
    <cellStyle name="viet2 65 4" xfId="14229" xr:uid="{00000000-0005-0000-0000-00004A370000}"/>
    <cellStyle name="viet2 66" xfId="9501" xr:uid="{00000000-0005-0000-0000-00004B370000}"/>
    <cellStyle name="viet2 66 2" xfId="14230" xr:uid="{00000000-0005-0000-0000-00004C370000}"/>
    <cellStyle name="viet2 66 2 2" xfId="14231" xr:uid="{00000000-0005-0000-0000-00004D370000}"/>
    <cellStyle name="viet2 66 3" xfId="14232" xr:uid="{00000000-0005-0000-0000-00004E370000}"/>
    <cellStyle name="viet2 66 4" xfId="14233" xr:uid="{00000000-0005-0000-0000-00004F370000}"/>
    <cellStyle name="viet2 67" xfId="9502" xr:uid="{00000000-0005-0000-0000-000050370000}"/>
    <cellStyle name="viet2 67 2" xfId="14234" xr:uid="{00000000-0005-0000-0000-000051370000}"/>
    <cellStyle name="viet2 67 2 2" xfId="14235" xr:uid="{00000000-0005-0000-0000-000052370000}"/>
    <cellStyle name="viet2 67 3" xfId="14236" xr:uid="{00000000-0005-0000-0000-000053370000}"/>
    <cellStyle name="viet2 67 4" xfId="14237" xr:uid="{00000000-0005-0000-0000-000054370000}"/>
    <cellStyle name="viet2 68" xfId="9503" xr:uid="{00000000-0005-0000-0000-000055370000}"/>
    <cellStyle name="viet2 68 2" xfId="14238" xr:uid="{00000000-0005-0000-0000-000056370000}"/>
    <cellStyle name="viet2 68 2 2" xfId="14239" xr:uid="{00000000-0005-0000-0000-000057370000}"/>
    <cellStyle name="viet2 68 3" xfId="14240" xr:uid="{00000000-0005-0000-0000-000058370000}"/>
    <cellStyle name="viet2 68 4" xfId="14241" xr:uid="{00000000-0005-0000-0000-000059370000}"/>
    <cellStyle name="viet2 69" xfId="9504" xr:uid="{00000000-0005-0000-0000-00005A370000}"/>
    <cellStyle name="viet2 69 2" xfId="14242" xr:uid="{00000000-0005-0000-0000-00005B370000}"/>
    <cellStyle name="viet2 69 2 2" xfId="14243" xr:uid="{00000000-0005-0000-0000-00005C370000}"/>
    <cellStyle name="viet2 69 3" xfId="14244" xr:uid="{00000000-0005-0000-0000-00005D370000}"/>
    <cellStyle name="viet2 69 4" xfId="14245" xr:uid="{00000000-0005-0000-0000-00005E370000}"/>
    <cellStyle name="viet2 7" xfId="9505" xr:uid="{00000000-0005-0000-0000-00005F370000}"/>
    <cellStyle name="viet2 7 2" xfId="14246" xr:uid="{00000000-0005-0000-0000-000060370000}"/>
    <cellStyle name="viet2 7 2 2" xfId="14247" xr:uid="{00000000-0005-0000-0000-000061370000}"/>
    <cellStyle name="viet2 7 3" xfId="14248" xr:uid="{00000000-0005-0000-0000-000062370000}"/>
    <cellStyle name="viet2 7 4" xfId="14249" xr:uid="{00000000-0005-0000-0000-000063370000}"/>
    <cellStyle name="viet2 70" xfId="9506" xr:uid="{00000000-0005-0000-0000-000064370000}"/>
    <cellStyle name="viet2 70 2" xfId="14250" xr:uid="{00000000-0005-0000-0000-000065370000}"/>
    <cellStyle name="viet2 70 2 2" xfId="14251" xr:uid="{00000000-0005-0000-0000-000066370000}"/>
    <cellStyle name="viet2 70 3" xfId="14252" xr:uid="{00000000-0005-0000-0000-000067370000}"/>
    <cellStyle name="viet2 70 4" xfId="14253" xr:uid="{00000000-0005-0000-0000-000068370000}"/>
    <cellStyle name="viet2 71" xfId="9507" xr:uid="{00000000-0005-0000-0000-000069370000}"/>
    <cellStyle name="viet2 71 2" xfId="14254" xr:uid="{00000000-0005-0000-0000-00006A370000}"/>
    <cellStyle name="viet2 71 2 2" xfId="14255" xr:uid="{00000000-0005-0000-0000-00006B370000}"/>
    <cellStyle name="viet2 71 3" xfId="14256" xr:uid="{00000000-0005-0000-0000-00006C370000}"/>
    <cellStyle name="viet2 71 4" xfId="14257" xr:uid="{00000000-0005-0000-0000-00006D370000}"/>
    <cellStyle name="viet2 72" xfId="9508" xr:uid="{00000000-0005-0000-0000-00006E370000}"/>
    <cellStyle name="viet2 72 2" xfId="14258" xr:uid="{00000000-0005-0000-0000-00006F370000}"/>
    <cellStyle name="viet2 72 2 2" xfId="14259" xr:uid="{00000000-0005-0000-0000-000070370000}"/>
    <cellStyle name="viet2 72 3" xfId="14260" xr:uid="{00000000-0005-0000-0000-000071370000}"/>
    <cellStyle name="viet2 72 4" xfId="14261" xr:uid="{00000000-0005-0000-0000-000072370000}"/>
    <cellStyle name="viet2 73" xfId="9509" xr:uid="{00000000-0005-0000-0000-000073370000}"/>
    <cellStyle name="viet2 73 2" xfId="14262" xr:uid="{00000000-0005-0000-0000-000074370000}"/>
    <cellStyle name="viet2 73 2 2" xfId="14263" xr:uid="{00000000-0005-0000-0000-000075370000}"/>
    <cellStyle name="viet2 73 3" xfId="14264" xr:uid="{00000000-0005-0000-0000-000076370000}"/>
    <cellStyle name="viet2 73 4" xfId="14265" xr:uid="{00000000-0005-0000-0000-000077370000}"/>
    <cellStyle name="viet2 74" xfId="9510" xr:uid="{00000000-0005-0000-0000-000078370000}"/>
    <cellStyle name="viet2 74 2" xfId="14266" xr:uid="{00000000-0005-0000-0000-000079370000}"/>
    <cellStyle name="viet2 74 2 2" xfId="14267" xr:uid="{00000000-0005-0000-0000-00007A370000}"/>
    <cellStyle name="viet2 74 3" xfId="14268" xr:uid="{00000000-0005-0000-0000-00007B370000}"/>
    <cellStyle name="viet2 74 4" xfId="14269" xr:uid="{00000000-0005-0000-0000-00007C370000}"/>
    <cellStyle name="viet2 75" xfId="9511" xr:uid="{00000000-0005-0000-0000-00007D370000}"/>
    <cellStyle name="viet2 75 2" xfId="14270" xr:uid="{00000000-0005-0000-0000-00007E370000}"/>
    <cellStyle name="viet2 75 2 2" xfId="14271" xr:uid="{00000000-0005-0000-0000-00007F370000}"/>
    <cellStyle name="viet2 75 3" xfId="14272" xr:uid="{00000000-0005-0000-0000-000080370000}"/>
    <cellStyle name="viet2 75 4" xfId="14273" xr:uid="{00000000-0005-0000-0000-000081370000}"/>
    <cellStyle name="viet2 76" xfId="9512" xr:uid="{00000000-0005-0000-0000-000082370000}"/>
    <cellStyle name="viet2 76 2" xfId="14274" xr:uid="{00000000-0005-0000-0000-000083370000}"/>
    <cellStyle name="viet2 76 2 2" xfId="14275" xr:uid="{00000000-0005-0000-0000-000084370000}"/>
    <cellStyle name="viet2 76 3" xfId="14276" xr:uid="{00000000-0005-0000-0000-000085370000}"/>
    <cellStyle name="viet2 76 4" xfId="14277" xr:uid="{00000000-0005-0000-0000-000086370000}"/>
    <cellStyle name="viet2 77" xfId="9513" xr:uid="{00000000-0005-0000-0000-000087370000}"/>
    <cellStyle name="viet2 77 2" xfId="14278" xr:uid="{00000000-0005-0000-0000-000088370000}"/>
    <cellStyle name="viet2 77 2 2" xfId="14279" xr:uid="{00000000-0005-0000-0000-000089370000}"/>
    <cellStyle name="viet2 77 3" xfId="14280" xr:uid="{00000000-0005-0000-0000-00008A370000}"/>
    <cellStyle name="viet2 77 4" xfId="14281" xr:uid="{00000000-0005-0000-0000-00008B370000}"/>
    <cellStyle name="viet2 78" xfId="9514" xr:uid="{00000000-0005-0000-0000-00008C370000}"/>
    <cellStyle name="viet2 78 2" xfId="14282" xr:uid="{00000000-0005-0000-0000-00008D370000}"/>
    <cellStyle name="viet2 78 2 2" xfId="14283" xr:uid="{00000000-0005-0000-0000-00008E370000}"/>
    <cellStyle name="viet2 78 3" xfId="14284" xr:uid="{00000000-0005-0000-0000-00008F370000}"/>
    <cellStyle name="viet2 78 4" xfId="14285" xr:uid="{00000000-0005-0000-0000-000090370000}"/>
    <cellStyle name="viet2 79" xfId="9515" xr:uid="{00000000-0005-0000-0000-000091370000}"/>
    <cellStyle name="viet2 79 2" xfId="14286" xr:uid="{00000000-0005-0000-0000-000092370000}"/>
    <cellStyle name="viet2 79 2 2" xfId="14287" xr:uid="{00000000-0005-0000-0000-000093370000}"/>
    <cellStyle name="viet2 79 3" xfId="14288" xr:uid="{00000000-0005-0000-0000-000094370000}"/>
    <cellStyle name="viet2 79 4" xfId="14289" xr:uid="{00000000-0005-0000-0000-000095370000}"/>
    <cellStyle name="viet2 8" xfId="9516" xr:uid="{00000000-0005-0000-0000-000096370000}"/>
    <cellStyle name="viet2 8 2" xfId="14290" xr:uid="{00000000-0005-0000-0000-000097370000}"/>
    <cellStyle name="viet2 8 2 2" xfId="14291" xr:uid="{00000000-0005-0000-0000-000098370000}"/>
    <cellStyle name="viet2 8 3" xfId="14292" xr:uid="{00000000-0005-0000-0000-000099370000}"/>
    <cellStyle name="viet2 8 4" xfId="14293" xr:uid="{00000000-0005-0000-0000-00009A370000}"/>
    <cellStyle name="viet2 80" xfId="9517" xr:uid="{00000000-0005-0000-0000-00009B370000}"/>
    <cellStyle name="viet2 80 2" xfId="14294" xr:uid="{00000000-0005-0000-0000-00009C370000}"/>
    <cellStyle name="viet2 80 2 2" xfId="14295" xr:uid="{00000000-0005-0000-0000-00009D370000}"/>
    <cellStyle name="viet2 80 3" xfId="14296" xr:uid="{00000000-0005-0000-0000-00009E370000}"/>
    <cellStyle name="viet2 80 4" xfId="14297" xr:uid="{00000000-0005-0000-0000-00009F370000}"/>
    <cellStyle name="viet2 81" xfId="9518" xr:uid="{00000000-0005-0000-0000-0000A0370000}"/>
    <cellStyle name="viet2 81 2" xfId="14298" xr:uid="{00000000-0005-0000-0000-0000A1370000}"/>
    <cellStyle name="viet2 81 2 2" xfId="14299" xr:uid="{00000000-0005-0000-0000-0000A2370000}"/>
    <cellStyle name="viet2 81 3" xfId="14300" xr:uid="{00000000-0005-0000-0000-0000A3370000}"/>
    <cellStyle name="viet2 81 4" xfId="14301" xr:uid="{00000000-0005-0000-0000-0000A4370000}"/>
    <cellStyle name="viet2 82" xfId="9519" xr:uid="{00000000-0005-0000-0000-0000A5370000}"/>
    <cellStyle name="viet2 82 2" xfId="14302" xr:uid="{00000000-0005-0000-0000-0000A6370000}"/>
    <cellStyle name="viet2 82 2 2" xfId="14303" xr:uid="{00000000-0005-0000-0000-0000A7370000}"/>
    <cellStyle name="viet2 82 3" xfId="14304" xr:uid="{00000000-0005-0000-0000-0000A8370000}"/>
    <cellStyle name="viet2 82 4" xfId="14305" xr:uid="{00000000-0005-0000-0000-0000A9370000}"/>
    <cellStyle name="viet2 83" xfId="9520" xr:uid="{00000000-0005-0000-0000-0000AA370000}"/>
    <cellStyle name="viet2 83 2" xfId="14306" xr:uid="{00000000-0005-0000-0000-0000AB370000}"/>
    <cellStyle name="viet2 83 2 2" xfId="14307" xr:uid="{00000000-0005-0000-0000-0000AC370000}"/>
    <cellStyle name="viet2 83 3" xfId="14308" xr:uid="{00000000-0005-0000-0000-0000AD370000}"/>
    <cellStyle name="viet2 83 4" xfId="14309" xr:uid="{00000000-0005-0000-0000-0000AE370000}"/>
    <cellStyle name="viet2 84" xfId="9521" xr:uid="{00000000-0005-0000-0000-0000AF370000}"/>
    <cellStyle name="viet2 84 2" xfId="14310" xr:uid="{00000000-0005-0000-0000-0000B0370000}"/>
    <cellStyle name="viet2 84 2 2" xfId="14311" xr:uid="{00000000-0005-0000-0000-0000B1370000}"/>
    <cellStyle name="viet2 84 3" xfId="14312" xr:uid="{00000000-0005-0000-0000-0000B2370000}"/>
    <cellStyle name="viet2 84 4" xfId="14313" xr:uid="{00000000-0005-0000-0000-0000B3370000}"/>
    <cellStyle name="viet2 85" xfId="9522" xr:uid="{00000000-0005-0000-0000-0000B4370000}"/>
    <cellStyle name="viet2 85 2" xfId="14314" xr:uid="{00000000-0005-0000-0000-0000B5370000}"/>
    <cellStyle name="viet2 85 2 2" xfId="14315" xr:uid="{00000000-0005-0000-0000-0000B6370000}"/>
    <cellStyle name="viet2 85 3" xfId="14316" xr:uid="{00000000-0005-0000-0000-0000B7370000}"/>
    <cellStyle name="viet2 85 4" xfId="14317" xr:uid="{00000000-0005-0000-0000-0000B8370000}"/>
    <cellStyle name="viet2 86" xfId="9523" xr:uid="{00000000-0005-0000-0000-0000B9370000}"/>
    <cellStyle name="viet2 86 2" xfId="14318" xr:uid="{00000000-0005-0000-0000-0000BA370000}"/>
    <cellStyle name="viet2 86 2 2" xfId="14319" xr:uid="{00000000-0005-0000-0000-0000BB370000}"/>
    <cellStyle name="viet2 86 3" xfId="14320" xr:uid="{00000000-0005-0000-0000-0000BC370000}"/>
    <cellStyle name="viet2 86 4" xfId="14321" xr:uid="{00000000-0005-0000-0000-0000BD370000}"/>
    <cellStyle name="viet2 87" xfId="9524" xr:uid="{00000000-0005-0000-0000-0000BE370000}"/>
    <cellStyle name="viet2 87 2" xfId="14322" xr:uid="{00000000-0005-0000-0000-0000BF370000}"/>
    <cellStyle name="viet2 87 2 2" xfId="14323" xr:uid="{00000000-0005-0000-0000-0000C0370000}"/>
    <cellStyle name="viet2 87 3" xfId="14324" xr:uid="{00000000-0005-0000-0000-0000C1370000}"/>
    <cellStyle name="viet2 87 4" xfId="14325" xr:uid="{00000000-0005-0000-0000-0000C2370000}"/>
    <cellStyle name="viet2 88" xfId="9525" xr:uid="{00000000-0005-0000-0000-0000C3370000}"/>
    <cellStyle name="viet2 88 2" xfId="14326" xr:uid="{00000000-0005-0000-0000-0000C4370000}"/>
    <cellStyle name="viet2 88 2 2" xfId="14327" xr:uid="{00000000-0005-0000-0000-0000C5370000}"/>
    <cellStyle name="viet2 88 3" xfId="14328" xr:uid="{00000000-0005-0000-0000-0000C6370000}"/>
    <cellStyle name="viet2 88 4" xfId="14329" xr:uid="{00000000-0005-0000-0000-0000C7370000}"/>
    <cellStyle name="viet2 89" xfId="9526" xr:uid="{00000000-0005-0000-0000-0000C8370000}"/>
    <cellStyle name="viet2 89 2" xfId="14330" xr:uid="{00000000-0005-0000-0000-0000C9370000}"/>
    <cellStyle name="viet2 89 2 2" xfId="14331" xr:uid="{00000000-0005-0000-0000-0000CA370000}"/>
    <cellStyle name="viet2 89 3" xfId="14332" xr:uid="{00000000-0005-0000-0000-0000CB370000}"/>
    <cellStyle name="viet2 89 4" xfId="14333" xr:uid="{00000000-0005-0000-0000-0000CC370000}"/>
    <cellStyle name="viet2 9" xfId="9527" xr:uid="{00000000-0005-0000-0000-0000CD370000}"/>
    <cellStyle name="viet2 9 2" xfId="14334" xr:uid="{00000000-0005-0000-0000-0000CE370000}"/>
    <cellStyle name="viet2 9 2 2" xfId="14335" xr:uid="{00000000-0005-0000-0000-0000CF370000}"/>
    <cellStyle name="viet2 9 3" xfId="14336" xr:uid="{00000000-0005-0000-0000-0000D0370000}"/>
    <cellStyle name="viet2 9 4" xfId="14337" xr:uid="{00000000-0005-0000-0000-0000D1370000}"/>
    <cellStyle name="viet2 90" xfId="9528" xr:uid="{00000000-0005-0000-0000-0000D2370000}"/>
    <cellStyle name="viet2 90 2" xfId="14338" xr:uid="{00000000-0005-0000-0000-0000D3370000}"/>
    <cellStyle name="viet2 90 2 2" xfId="14339" xr:uid="{00000000-0005-0000-0000-0000D4370000}"/>
    <cellStyle name="viet2 90 3" xfId="14340" xr:uid="{00000000-0005-0000-0000-0000D5370000}"/>
    <cellStyle name="viet2 90 4" xfId="14341" xr:uid="{00000000-0005-0000-0000-0000D6370000}"/>
    <cellStyle name="viet2 91" xfId="9529" xr:uid="{00000000-0005-0000-0000-0000D7370000}"/>
    <cellStyle name="viet2 91 2" xfId="14342" xr:uid="{00000000-0005-0000-0000-0000D8370000}"/>
    <cellStyle name="viet2 91 2 2" xfId="14343" xr:uid="{00000000-0005-0000-0000-0000D9370000}"/>
    <cellStyle name="viet2 91 3" xfId="14344" xr:uid="{00000000-0005-0000-0000-0000DA370000}"/>
    <cellStyle name="viet2 91 4" xfId="14345" xr:uid="{00000000-0005-0000-0000-0000DB370000}"/>
    <cellStyle name="viet2 92" xfId="9530" xr:uid="{00000000-0005-0000-0000-0000DC370000}"/>
    <cellStyle name="viet2 92 2" xfId="14346" xr:uid="{00000000-0005-0000-0000-0000DD370000}"/>
    <cellStyle name="viet2 92 2 2" xfId="14347" xr:uid="{00000000-0005-0000-0000-0000DE370000}"/>
    <cellStyle name="viet2 92 3" xfId="14348" xr:uid="{00000000-0005-0000-0000-0000DF370000}"/>
    <cellStyle name="viet2 92 4" xfId="14349" xr:uid="{00000000-0005-0000-0000-0000E0370000}"/>
    <cellStyle name="viet2 93" xfId="9531" xr:uid="{00000000-0005-0000-0000-0000E1370000}"/>
    <cellStyle name="viet2 93 2" xfId="14350" xr:uid="{00000000-0005-0000-0000-0000E2370000}"/>
    <cellStyle name="viet2 93 2 2" xfId="14351" xr:uid="{00000000-0005-0000-0000-0000E3370000}"/>
    <cellStyle name="viet2 93 3" xfId="14352" xr:uid="{00000000-0005-0000-0000-0000E4370000}"/>
    <cellStyle name="viet2 93 4" xfId="14353" xr:uid="{00000000-0005-0000-0000-0000E5370000}"/>
    <cellStyle name="viet2 94" xfId="9532" xr:uid="{00000000-0005-0000-0000-0000E6370000}"/>
    <cellStyle name="viet2 94 2" xfId="14354" xr:uid="{00000000-0005-0000-0000-0000E7370000}"/>
    <cellStyle name="viet2 94 2 2" xfId="14355" xr:uid="{00000000-0005-0000-0000-0000E8370000}"/>
    <cellStyle name="viet2 94 3" xfId="14356" xr:uid="{00000000-0005-0000-0000-0000E9370000}"/>
    <cellStyle name="viet2 94 4" xfId="14357" xr:uid="{00000000-0005-0000-0000-0000EA370000}"/>
    <cellStyle name="viet2 95" xfId="9533" xr:uid="{00000000-0005-0000-0000-0000EB370000}"/>
    <cellStyle name="viet2 95 2" xfId="14358" xr:uid="{00000000-0005-0000-0000-0000EC370000}"/>
    <cellStyle name="viet2 95 2 2" xfId="14359" xr:uid="{00000000-0005-0000-0000-0000ED370000}"/>
    <cellStyle name="viet2 95 3" xfId="14360" xr:uid="{00000000-0005-0000-0000-0000EE370000}"/>
    <cellStyle name="viet2 95 4" xfId="14361" xr:uid="{00000000-0005-0000-0000-0000EF370000}"/>
    <cellStyle name="viet2 96" xfId="9534" xr:uid="{00000000-0005-0000-0000-0000F0370000}"/>
    <cellStyle name="viet2 96 2" xfId="14362" xr:uid="{00000000-0005-0000-0000-0000F1370000}"/>
    <cellStyle name="viet2 96 2 2" xfId="14363" xr:uid="{00000000-0005-0000-0000-0000F2370000}"/>
    <cellStyle name="viet2 96 3" xfId="14364" xr:uid="{00000000-0005-0000-0000-0000F3370000}"/>
    <cellStyle name="viet2 96 4" xfId="14365" xr:uid="{00000000-0005-0000-0000-0000F4370000}"/>
    <cellStyle name="viet2 97" xfId="9535" xr:uid="{00000000-0005-0000-0000-0000F5370000}"/>
    <cellStyle name="viet2 97 2" xfId="14366" xr:uid="{00000000-0005-0000-0000-0000F6370000}"/>
    <cellStyle name="viet2 97 2 2" xfId="14367" xr:uid="{00000000-0005-0000-0000-0000F7370000}"/>
    <cellStyle name="viet2 97 3" xfId="14368" xr:uid="{00000000-0005-0000-0000-0000F8370000}"/>
    <cellStyle name="viet2 97 4" xfId="14369" xr:uid="{00000000-0005-0000-0000-0000F9370000}"/>
    <cellStyle name="viet2 98" xfId="9536" xr:uid="{00000000-0005-0000-0000-0000FA370000}"/>
    <cellStyle name="viet2 98 2" xfId="14370" xr:uid="{00000000-0005-0000-0000-0000FB370000}"/>
    <cellStyle name="viet2 98 2 2" xfId="14371" xr:uid="{00000000-0005-0000-0000-0000FC370000}"/>
    <cellStyle name="viet2 98 3" xfId="14372" xr:uid="{00000000-0005-0000-0000-0000FD370000}"/>
    <cellStyle name="viet2 98 4" xfId="14373" xr:uid="{00000000-0005-0000-0000-0000FE370000}"/>
    <cellStyle name="viet2 99" xfId="9537" xr:uid="{00000000-0005-0000-0000-0000FF370000}"/>
    <cellStyle name="viet2 99 2" xfId="14374" xr:uid="{00000000-0005-0000-0000-000000380000}"/>
    <cellStyle name="viet2 99 2 2" xfId="14375" xr:uid="{00000000-0005-0000-0000-000001380000}"/>
    <cellStyle name="viet2 99 3" xfId="14376" xr:uid="{00000000-0005-0000-0000-000002380000}"/>
    <cellStyle name="viet2 99 4" xfId="14377" xr:uid="{00000000-0005-0000-0000-000003380000}"/>
    <cellStyle name="Vietnam 1" xfId="9538" xr:uid="{00000000-0005-0000-0000-000004380000}"/>
    <cellStyle name="VN new romanNormal" xfId="9539" xr:uid="{00000000-0005-0000-0000-000005380000}"/>
    <cellStyle name="VN new romanNormal 2" xfId="9540" xr:uid="{00000000-0005-0000-0000-000006380000}"/>
    <cellStyle name="Vn Time 13" xfId="9541" xr:uid="{00000000-0005-0000-0000-000007380000}"/>
    <cellStyle name="Vn Time 14" xfId="9542" xr:uid="{00000000-0005-0000-0000-000008380000}"/>
    <cellStyle name="VN time new roman" xfId="9543" xr:uid="{00000000-0005-0000-0000-000009380000}"/>
    <cellStyle name="VN time new roman 2" xfId="9544" xr:uid="{00000000-0005-0000-0000-00000A380000}"/>
    <cellStyle name="vnbo" xfId="9545" xr:uid="{00000000-0005-0000-0000-00000B380000}"/>
    <cellStyle name="vnbo 2" xfId="9546" xr:uid="{00000000-0005-0000-0000-00000C380000}"/>
    <cellStyle name="vnbo 2 2" xfId="14378" xr:uid="{00000000-0005-0000-0000-00000D380000}"/>
    <cellStyle name="vnbo 2 2 2" xfId="14379" xr:uid="{00000000-0005-0000-0000-00000E380000}"/>
    <cellStyle name="vnbo 2 3" xfId="14380" xr:uid="{00000000-0005-0000-0000-00000F380000}"/>
    <cellStyle name="vnbo 2 4" xfId="14381" xr:uid="{00000000-0005-0000-0000-000010380000}"/>
    <cellStyle name="vnbo 3" xfId="14382" xr:uid="{00000000-0005-0000-0000-000011380000}"/>
    <cellStyle name="vnbo 3 2" xfId="14383" xr:uid="{00000000-0005-0000-0000-000012380000}"/>
    <cellStyle name="vnbo 4" xfId="14384" xr:uid="{00000000-0005-0000-0000-000013380000}"/>
    <cellStyle name="vnbo 5" xfId="14385" xr:uid="{00000000-0005-0000-0000-000014380000}"/>
    <cellStyle name="vntxt1" xfId="9554" xr:uid="{00000000-0005-0000-0000-000034380000}"/>
    <cellStyle name="vntxt2" xfId="9555" xr:uid="{00000000-0005-0000-0000-000035380000}"/>
    <cellStyle name="vnhead1" xfId="9547" xr:uid="{00000000-0005-0000-0000-000015380000}"/>
    <cellStyle name="vnhead1 2" xfId="9548" xr:uid="{00000000-0005-0000-0000-000016380000}"/>
    <cellStyle name="vnhead1 2 2" xfId="14386" xr:uid="{00000000-0005-0000-0000-000017380000}"/>
    <cellStyle name="vnhead1 2 2 2" xfId="14387" xr:uid="{00000000-0005-0000-0000-000018380000}"/>
    <cellStyle name="vnhead1 2 3" xfId="14388" xr:uid="{00000000-0005-0000-0000-000019380000}"/>
    <cellStyle name="vnhead1 2 4" xfId="14389" xr:uid="{00000000-0005-0000-0000-00001A380000}"/>
    <cellStyle name="vnhead1 3" xfId="14390" xr:uid="{00000000-0005-0000-0000-00001B380000}"/>
    <cellStyle name="vnhead1 3 2" xfId="14391" xr:uid="{00000000-0005-0000-0000-00001C380000}"/>
    <cellStyle name="vnhead1 4" xfId="14392" xr:uid="{00000000-0005-0000-0000-00001D380000}"/>
    <cellStyle name="vnhead1 5" xfId="14393" xr:uid="{00000000-0005-0000-0000-00001E380000}"/>
    <cellStyle name="vnhead2" xfId="9549" xr:uid="{00000000-0005-0000-0000-00001F380000}"/>
    <cellStyle name="vnhead2 2" xfId="9550" xr:uid="{00000000-0005-0000-0000-000020380000}"/>
    <cellStyle name="vnhead2 2 2" xfId="14394" xr:uid="{00000000-0005-0000-0000-000021380000}"/>
    <cellStyle name="vnhead2 2 2 2" xfId="14395" xr:uid="{00000000-0005-0000-0000-000022380000}"/>
    <cellStyle name="vnhead2 2 3" xfId="14396" xr:uid="{00000000-0005-0000-0000-000023380000}"/>
    <cellStyle name="vnhead2 2 4" xfId="14397" xr:uid="{00000000-0005-0000-0000-000024380000}"/>
    <cellStyle name="vnhead2 3" xfId="14398" xr:uid="{00000000-0005-0000-0000-000025380000}"/>
    <cellStyle name="vnhead2 3 2" xfId="14399" xr:uid="{00000000-0005-0000-0000-000026380000}"/>
    <cellStyle name="vnhead2 4" xfId="14400" xr:uid="{00000000-0005-0000-0000-000027380000}"/>
    <cellStyle name="vnhead2 5" xfId="14401" xr:uid="{00000000-0005-0000-0000-000028380000}"/>
    <cellStyle name="vnhead3" xfId="9551" xr:uid="{00000000-0005-0000-0000-000029380000}"/>
    <cellStyle name="vnhead3 2" xfId="9552" xr:uid="{00000000-0005-0000-0000-00002A380000}"/>
    <cellStyle name="vnhead3 2 2" xfId="14402" xr:uid="{00000000-0005-0000-0000-00002B380000}"/>
    <cellStyle name="vnhead3 2 2 2" xfId="14403" xr:uid="{00000000-0005-0000-0000-00002C380000}"/>
    <cellStyle name="vnhead3 2 3" xfId="14404" xr:uid="{00000000-0005-0000-0000-00002D380000}"/>
    <cellStyle name="vnhead3 2 4" xfId="14405" xr:uid="{00000000-0005-0000-0000-00002E380000}"/>
    <cellStyle name="vnhead3 3" xfId="14406" xr:uid="{00000000-0005-0000-0000-00002F380000}"/>
    <cellStyle name="vnhead3 3 2" xfId="14407" xr:uid="{00000000-0005-0000-0000-000030380000}"/>
    <cellStyle name="vnhead3 4" xfId="14408" xr:uid="{00000000-0005-0000-0000-000031380000}"/>
    <cellStyle name="vnhead3 5" xfId="14409" xr:uid="{00000000-0005-0000-0000-000032380000}"/>
    <cellStyle name="vnhead4" xfId="9553" xr:uid="{00000000-0005-0000-0000-000033380000}"/>
    <cellStyle name="W36" xfId="9556" xr:uid="{00000000-0005-0000-0000-000036380000}"/>
    <cellStyle name="Währung [0]_22002151167317Diagrammanpower" xfId="9557" xr:uid="{00000000-0005-0000-0000-000037380000}"/>
    <cellStyle name="Währung_UXO VII" xfId="9558" xr:uid="{00000000-0005-0000-0000-000038380000}"/>
    <cellStyle name="Walutowy [0]_Invoices2001Slovakia" xfId="9559" xr:uid="{00000000-0005-0000-0000-000039380000}"/>
    <cellStyle name="Walutowy_Invoices2001Slovakia" xfId="9560" xr:uid="{00000000-0005-0000-0000-00003A380000}"/>
    <cellStyle name="Warning Text 2" xfId="9561" xr:uid="{00000000-0005-0000-0000-00003B380000}"/>
    <cellStyle name="Xấu" xfId="9562" xr:uid="{00000000-0005-0000-0000-00003C380000}"/>
    <cellStyle name="xuan" xfId="9563" xr:uid="{00000000-0005-0000-0000-00003D380000}"/>
    <cellStyle name="アクセント 1" xfId="9564" xr:uid="{00000000-0005-0000-0000-00003E380000}"/>
    <cellStyle name="アクセント 2" xfId="9565" xr:uid="{00000000-0005-0000-0000-00003F380000}"/>
    <cellStyle name="アクセント 3" xfId="9566" xr:uid="{00000000-0005-0000-0000-000040380000}"/>
    <cellStyle name="アクセント 4" xfId="9567" xr:uid="{00000000-0005-0000-0000-000041380000}"/>
    <cellStyle name="アクセント 5" xfId="9568" xr:uid="{00000000-0005-0000-0000-000042380000}"/>
    <cellStyle name="アクセント 6" xfId="9569" xr:uid="{00000000-0005-0000-0000-000043380000}"/>
    <cellStyle name="ｳｬｼｶﾁｴｽﾓ" xfId="9570" xr:uid="{00000000-0005-0000-0000-000044380000}"/>
    <cellStyle name="ｺﾌｳｬｼｶﾁｴｽﾓ" xfId="9571" xr:uid="{00000000-0005-0000-0000-000045380000}"/>
    <cellStyle name="スタイル 1" xfId="9572" xr:uid="{00000000-0005-0000-0000-000046380000}"/>
    <cellStyle name="スタイル 1 2" xfId="9573" xr:uid="{00000000-0005-0000-0000-000047380000}"/>
    <cellStyle name="タイトル" xfId="9574" xr:uid="{00000000-0005-0000-0000-000048380000}"/>
    <cellStyle name="チェック セル" xfId="9575" xr:uid="{00000000-0005-0000-0000-000049380000}"/>
    <cellStyle name="チェック セル 2" xfId="9576" xr:uid="{00000000-0005-0000-0000-00004A380000}"/>
    <cellStyle name="チェック セル 2 2" xfId="10064" xr:uid="{00000000-0005-0000-0000-00004B380000}"/>
    <cellStyle name="チェック セル 3" xfId="9577" xr:uid="{00000000-0005-0000-0000-00004C380000}"/>
    <cellStyle name="どちらでもない" xfId="9578" xr:uid="{00000000-0005-0000-0000-00004D380000}"/>
    <cellStyle name="メモ" xfId="9579" xr:uid="{00000000-0005-0000-0000-00004E380000}"/>
    <cellStyle name="メモ 2" xfId="14410" xr:uid="{00000000-0005-0000-0000-00004F380000}"/>
    <cellStyle name="メモ 2 2" xfId="14411" xr:uid="{00000000-0005-0000-0000-000050380000}"/>
    <cellStyle name="メモ 3" xfId="14412" xr:uid="{00000000-0005-0000-0000-000051380000}"/>
    <cellStyle name="リンク セル" xfId="9580" xr:uid="{00000000-0005-0000-0000-000052380000}"/>
    <cellStyle name="เครื่องหมายสกุลเงิน [0]_FTC_OFFER" xfId="9581" xr:uid="{00000000-0005-0000-0000-000053380000}"/>
    <cellStyle name="เครื่องหมายสกุลเงิน_FTC_OFFER" xfId="9582" xr:uid="{00000000-0005-0000-0000-000054380000}"/>
    <cellStyle name="ปกติ_FTC_OFFER" xfId="9583" xr:uid="{00000000-0005-0000-0000-000055380000}"/>
    <cellStyle name=" [0.00]_ Att. 1- Cover" xfId="9584" xr:uid="{00000000-0005-0000-0000-000056380000}"/>
    <cellStyle name="_ Att. 1- Cover" xfId="9585" xr:uid="{00000000-0005-0000-0000-000057380000}"/>
    <cellStyle name="?_ Att. 1- Cover" xfId="9586" xr:uid="{00000000-0005-0000-0000-000058380000}"/>
    <cellStyle name="똿뗦먛귟 [0.00]_PRODUCT DETAIL Q1" xfId="9587" xr:uid="{00000000-0005-0000-0000-000059380000}"/>
    <cellStyle name="똿뗦먛귟_PRODUCT DETAIL Q1" xfId="9588" xr:uid="{00000000-0005-0000-0000-00005A380000}"/>
    <cellStyle name="믅됞 [0.00]_PRODUCT DETAIL Q1" xfId="9589" xr:uid="{00000000-0005-0000-0000-00005B380000}"/>
    <cellStyle name="믅됞_PRODUCT DETAIL Q1" xfId="9590" xr:uid="{00000000-0005-0000-0000-00005C380000}"/>
    <cellStyle name="백분율 10" xfId="9591" xr:uid="{00000000-0005-0000-0000-00005D380000}"/>
    <cellStyle name="백분율 2" xfId="9592" xr:uid="{00000000-0005-0000-0000-00005E380000}"/>
    <cellStyle name="백분율_95" xfId="9593" xr:uid="{00000000-0005-0000-0000-00005F380000}"/>
    <cellStyle name="뷭?_BOOKSHIP" xfId="9594" xr:uid="{00000000-0005-0000-0000-000060380000}"/>
    <cellStyle name="쉼표 [0] 2" xfId="9595" xr:uid="{00000000-0005-0000-0000-000061380000}"/>
    <cellStyle name="쉼표 [0] 3" xfId="9596" xr:uid="{00000000-0005-0000-0000-000062380000}"/>
    <cellStyle name="쉼표 [0] 4" xfId="9597" xr:uid="{00000000-0005-0000-0000-000063380000}"/>
    <cellStyle name="쉼표 [0] 5" xfId="9598" xr:uid="{00000000-0005-0000-0000-000064380000}"/>
    <cellStyle name="쉼표 [0] 6" xfId="9599" xr:uid="{00000000-0005-0000-0000-000065380000}"/>
    <cellStyle name="쉼표 [0] 7" xfId="9600" xr:uid="{00000000-0005-0000-0000-000066380000}"/>
    <cellStyle name="쉼표 [0]_PCS-3~1" xfId="9601" xr:uid="{00000000-0005-0000-0000-000067380000}"/>
    <cellStyle name="쉼표 2" xfId="9602" xr:uid="{00000000-0005-0000-0000-000068380000}"/>
    <cellStyle name="쉼표 3" xfId="9603" xr:uid="{00000000-0005-0000-0000-000069380000}"/>
    <cellStyle name="쉼표 4" xfId="9604" xr:uid="{00000000-0005-0000-0000-00006A380000}"/>
    <cellStyle name="쉼표 5" xfId="9605" xr:uid="{00000000-0005-0000-0000-00006B380000}"/>
    <cellStyle name="쉼표 6" xfId="9606" xr:uid="{00000000-0005-0000-0000-00006C380000}"/>
    <cellStyle name="쉼표 7" xfId="9607" xr:uid="{00000000-0005-0000-0000-00006D380000}"/>
    <cellStyle name="콤마 [0]_ 비목별 월별기술 " xfId="9608" xr:uid="{00000000-0005-0000-0000-00006E380000}"/>
    <cellStyle name="콤마_ 비목별 월별기술 " xfId="9609" xr:uid="{00000000-0005-0000-0000-00006F380000}"/>
    <cellStyle name="통화 [0]_††††† " xfId="9610" xr:uid="{00000000-0005-0000-0000-000070380000}"/>
    <cellStyle name="통화_††††† " xfId="9611" xr:uid="{00000000-0005-0000-0000-000071380000}"/>
    <cellStyle name="표10" xfId="9612" xr:uid="{00000000-0005-0000-0000-000072380000}"/>
    <cellStyle name="표13" xfId="9613" xr:uid="{00000000-0005-0000-0000-000073380000}"/>
    <cellStyle name="표준_ 97년 경영분석(안)" xfId="9614" xr:uid="{00000000-0005-0000-0000-000074380000}"/>
    <cellStyle name="一般_00Q3902REV.1" xfId="9615" xr:uid="{00000000-0005-0000-0000-000075380000}"/>
    <cellStyle name="入力" xfId="9616" xr:uid="{00000000-0005-0000-0000-000076380000}"/>
    <cellStyle name="入力 2" xfId="14413" xr:uid="{00000000-0005-0000-0000-000077380000}"/>
    <cellStyle name="入力 2 2" xfId="14414" xr:uid="{00000000-0005-0000-0000-000078380000}"/>
    <cellStyle name="入力 3" xfId="14415" xr:uid="{00000000-0005-0000-0000-000079380000}"/>
    <cellStyle name="出力" xfId="9617" xr:uid="{00000000-0005-0000-0000-00007A380000}"/>
    <cellStyle name="出力 2" xfId="14416" xr:uid="{00000000-0005-0000-0000-00007B380000}"/>
    <cellStyle name="出力 2 2" xfId="14417" xr:uid="{00000000-0005-0000-0000-00007C380000}"/>
    <cellStyle name="出力 3" xfId="14418" xr:uid="{00000000-0005-0000-0000-00007D380000}"/>
    <cellStyle name="千位[0]_laroux" xfId="9618" xr:uid="{00000000-0005-0000-0000-00007E380000}"/>
    <cellStyle name="千位_laroux" xfId="9619" xr:uid="{00000000-0005-0000-0000-00007F380000}"/>
    <cellStyle name="千分位[0]_00Q3902REV.1" xfId="9620" xr:uid="{00000000-0005-0000-0000-000080380000}"/>
    <cellStyle name="千分位_00Q3902REV.1" xfId="9621" xr:uid="{00000000-0005-0000-0000-000081380000}"/>
    <cellStyle name="好" xfId="9622" xr:uid="{00000000-0005-0000-0000-000082380000}"/>
    <cellStyle name="好_BOSCH-Lth-101-BUDGET-080728" xfId="9623" xr:uid="{00000000-0005-0000-0000-000083380000}"/>
    <cellStyle name="好_Lth101-BoQ-Mechanical" xfId="9624" xr:uid="{00000000-0005-0000-0000-000084380000}"/>
    <cellStyle name="差" xfId="9625" xr:uid="{00000000-0005-0000-0000-000085380000}"/>
    <cellStyle name="差_BOSCH-Lth-101-BUDGET-080728" xfId="9626" xr:uid="{00000000-0005-0000-0000-000086380000}"/>
    <cellStyle name="差_Lth101-BoQ-Mechanical" xfId="9627" xr:uid="{00000000-0005-0000-0000-000087380000}"/>
    <cellStyle name="常?_faｘ（蘇）" xfId="9628" xr:uid="{00000000-0005-0000-0000-000088380000}"/>
    <cellStyle name="常规_Book1" xfId="9629" xr:uid="{00000000-0005-0000-0000-000089380000}"/>
    <cellStyle name="强调文字颜色 1" xfId="9630" xr:uid="{00000000-0005-0000-0000-00008A380000}"/>
    <cellStyle name="强调文字颜色 2" xfId="9631" xr:uid="{00000000-0005-0000-0000-00008B380000}"/>
    <cellStyle name="强调文字颜色 3" xfId="9632" xr:uid="{00000000-0005-0000-0000-00008C380000}"/>
    <cellStyle name="强调文字颜色 4" xfId="9633" xr:uid="{00000000-0005-0000-0000-00008D380000}"/>
    <cellStyle name="强调文字颜色 5" xfId="9634" xr:uid="{00000000-0005-0000-0000-00008E380000}"/>
    <cellStyle name="强调文字颜色 6" xfId="9635" xr:uid="{00000000-0005-0000-0000-00008F380000}"/>
    <cellStyle name="悪い" xfId="9636" xr:uid="{00000000-0005-0000-0000-000090380000}"/>
    <cellStyle name="文字列" xfId="9637" xr:uid="{00000000-0005-0000-0000-000091380000}"/>
    <cellStyle name="未定義" xfId="9638" xr:uid="{00000000-0005-0000-0000-000092380000}"/>
    <cellStyle name="标题" xfId="9639" xr:uid="{00000000-0005-0000-0000-000093380000}"/>
    <cellStyle name="标题 1" xfId="9640" xr:uid="{00000000-0005-0000-0000-000094380000}"/>
    <cellStyle name="标题 2" xfId="9641" xr:uid="{00000000-0005-0000-0000-000095380000}"/>
    <cellStyle name="标题 3" xfId="9642" xr:uid="{00000000-0005-0000-0000-000096380000}"/>
    <cellStyle name="标题 4" xfId="9643" xr:uid="{00000000-0005-0000-0000-000097380000}"/>
    <cellStyle name="桁区切り [0.00]_02 Tel課金　見積" xfId="9644" xr:uid="{00000000-0005-0000-0000-000098380000}"/>
    <cellStyle name="桁区切り_08-00 NET Summary" xfId="9645" xr:uid="{00000000-0005-0000-0000-000099380000}"/>
    <cellStyle name="检查单元格" xfId="9646" xr:uid="{00000000-0005-0000-0000-00009A380000}"/>
    <cellStyle name="检查单元格 2" xfId="9647" xr:uid="{00000000-0005-0000-0000-00009B380000}"/>
    <cellStyle name="检查单元格 2 2" xfId="10065" xr:uid="{00000000-0005-0000-0000-00009C380000}"/>
    <cellStyle name="检查单元格 3" xfId="9648" xr:uid="{00000000-0005-0000-0000-00009D380000}"/>
    <cellStyle name="標準 2" xfId="10066" xr:uid="{00000000-0005-0000-0000-00009E380000}"/>
    <cellStyle name="標準 3" xfId="9649" xr:uid="{00000000-0005-0000-0000-00009F380000}"/>
    <cellStyle name="標準 6" xfId="9650" xr:uid="{00000000-0005-0000-0000-0000A0380000}"/>
    <cellStyle name="標準 7" xfId="9651" xr:uid="{00000000-0005-0000-0000-0000A1380000}"/>
    <cellStyle name="標準 8" xfId="9652" xr:uid="{00000000-0005-0000-0000-0000A2380000}"/>
    <cellStyle name="標準_(A1)BOQ " xfId="9653" xr:uid="{00000000-0005-0000-0000-0000A3380000}"/>
    <cellStyle name="機器表用" xfId="9654" xr:uid="{00000000-0005-0000-0000-0000A4380000}"/>
    <cellStyle name="汇总" xfId="9655" xr:uid="{00000000-0005-0000-0000-0000A5380000}"/>
    <cellStyle name="汇总 2" xfId="14419" xr:uid="{00000000-0005-0000-0000-0000A6380000}"/>
    <cellStyle name="汇总 2 2" xfId="14420" xr:uid="{00000000-0005-0000-0000-0000A7380000}"/>
    <cellStyle name="汇总 3" xfId="14421" xr:uid="{00000000-0005-0000-0000-0000A8380000}"/>
    <cellStyle name="注释" xfId="9656" xr:uid="{00000000-0005-0000-0000-0000A9380000}"/>
    <cellStyle name="注释 2" xfId="9657" xr:uid="{00000000-0005-0000-0000-0000AA380000}"/>
    <cellStyle name="注释 2 2" xfId="14422" xr:uid="{00000000-0005-0000-0000-0000AB380000}"/>
    <cellStyle name="注释 2 2 2" xfId="14423" xr:uid="{00000000-0005-0000-0000-0000AC380000}"/>
    <cellStyle name="注释 2 3" xfId="14424" xr:uid="{00000000-0005-0000-0000-0000AD380000}"/>
    <cellStyle name="注释 3" xfId="14425" xr:uid="{00000000-0005-0000-0000-0000AE380000}"/>
    <cellStyle name="注释 3 2" xfId="14426" xr:uid="{00000000-0005-0000-0000-0000AF380000}"/>
    <cellStyle name="注释 4" xfId="14427" xr:uid="{00000000-0005-0000-0000-0000B0380000}"/>
    <cellStyle name="磨葬e義" xfId="9658" xr:uid="{00000000-0005-0000-0000-0000B1380000}"/>
    <cellStyle name="聃urrency [0]_9월경비 (2)_97회비 (2)" xfId="9659" xr:uid="{00000000-0005-0000-0000-0000B2380000}"/>
    <cellStyle name="良い" xfId="9660" xr:uid="{00000000-0005-0000-0000-0000B3380000}"/>
    <cellStyle name="見出し 1" xfId="9661" xr:uid="{00000000-0005-0000-0000-0000B4380000}"/>
    <cellStyle name="見出し 2" xfId="9662" xr:uid="{00000000-0005-0000-0000-0000B5380000}"/>
    <cellStyle name="見出し 3" xfId="9663" xr:uid="{00000000-0005-0000-0000-0000B6380000}"/>
    <cellStyle name="見出し 4" xfId="9664" xr:uid="{00000000-0005-0000-0000-0000B7380000}"/>
    <cellStyle name="見積" xfId="9665" xr:uid="{00000000-0005-0000-0000-0000B8380000}"/>
    <cellStyle name="解释性文本" xfId="9666" xr:uid="{00000000-0005-0000-0000-0000B9380000}"/>
    <cellStyle name="計算" xfId="9667" xr:uid="{00000000-0005-0000-0000-0000BA380000}"/>
    <cellStyle name="計算 2" xfId="14428" xr:uid="{00000000-0005-0000-0000-0000BB380000}"/>
    <cellStyle name="計算 2 2" xfId="14429" xr:uid="{00000000-0005-0000-0000-0000BC380000}"/>
    <cellStyle name="計算 3" xfId="14430" xr:uid="{00000000-0005-0000-0000-0000BD380000}"/>
    <cellStyle name="説明文" xfId="9668" xr:uid="{00000000-0005-0000-0000-0000BE380000}"/>
    <cellStyle name="警告文" xfId="9669" xr:uid="{00000000-0005-0000-0000-0000BF380000}"/>
    <cellStyle name="警告文本" xfId="9670" xr:uid="{00000000-0005-0000-0000-0000C0380000}"/>
    <cellStyle name="计算" xfId="9671" xr:uid="{00000000-0005-0000-0000-0000C1380000}"/>
    <cellStyle name="计算 2" xfId="14431" xr:uid="{00000000-0005-0000-0000-0000C2380000}"/>
    <cellStyle name="计算 2 2" xfId="14432" xr:uid="{00000000-0005-0000-0000-0000C3380000}"/>
    <cellStyle name="计算 3" xfId="14433" xr:uid="{00000000-0005-0000-0000-0000C4380000}"/>
    <cellStyle name="貨幣 [0]_00Q3902REV.1" xfId="9672" xr:uid="{00000000-0005-0000-0000-0000C5380000}"/>
    <cellStyle name="貨幣[0]_BRE" xfId="9673" xr:uid="{00000000-0005-0000-0000-0000C6380000}"/>
    <cellStyle name="貨幣_00Q3902REV.1" xfId="9674" xr:uid="{00000000-0005-0000-0000-0000C7380000}"/>
    <cellStyle name="输入" xfId="9675" xr:uid="{00000000-0005-0000-0000-0000C8380000}"/>
    <cellStyle name="输入 2" xfId="14434" xr:uid="{00000000-0005-0000-0000-0000C9380000}"/>
    <cellStyle name="输入 2 2" xfId="14435" xr:uid="{00000000-0005-0000-0000-0000CA380000}"/>
    <cellStyle name="输入 3" xfId="14436" xr:uid="{00000000-0005-0000-0000-0000CB380000}"/>
    <cellStyle name="输出" xfId="9676" xr:uid="{00000000-0005-0000-0000-0000CC380000}"/>
    <cellStyle name="输出 2" xfId="14437" xr:uid="{00000000-0005-0000-0000-0000CD380000}"/>
    <cellStyle name="输出 2 2" xfId="14438" xr:uid="{00000000-0005-0000-0000-0000CE380000}"/>
    <cellStyle name="输出 3" xfId="14439" xr:uid="{00000000-0005-0000-0000-0000CF380000}"/>
    <cellStyle name="适中" xfId="9677" xr:uid="{00000000-0005-0000-0000-0000D0380000}"/>
    <cellStyle name="通貨 [0.00]_BE-BQ" xfId="9678" xr:uid="{00000000-0005-0000-0000-0000D1380000}"/>
    <cellStyle name="通貨_BE-BQ" xfId="9679" xr:uid="{00000000-0005-0000-0000-0000D2380000}"/>
    <cellStyle name="链接单元格" xfId="9680" xr:uid="{00000000-0005-0000-0000-0000D3380000}"/>
    <cellStyle name="集計" xfId="9681" xr:uid="{00000000-0005-0000-0000-0000D4380000}"/>
    <cellStyle name="集計 2" xfId="14440" xr:uid="{00000000-0005-0000-0000-0000D5380000}"/>
    <cellStyle name="集計 2 2" xfId="14441" xr:uid="{00000000-0005-0000-0000-0000D6380000}"/>
    <cellStyle name="集計 3" xfId="14442" xr:uid="{00000000-0005-0000-0000-0000D7380000}"/>
    <cellStyle name="非表示" xfId="9682" xr:uid="{00000000-0005-0000-0000-0000D8380000}"/>
    <cellStyle name="非表示 2" xfId="9683" xr:uid="{00000000-0005-0000-0000-0000D9380000}"/>
    <cellStyle name="非表示 2 2" xfId="14443" xr:uid="{00000000-0005-0000-0000-0000DA380000}"/>
    <cellStyle name="非表示 2 2 2" xfId="14444" xr:uid="{00000000-0005-0000-0000-0000DB380000}"/>
    <cellStyle name="非表示 2 3" xfId="14445" xr:uid="{00000000-0005-0000-0000-0000DC380000}"/>
    <cellStyle name="非表示 3" xfId="14446" xr:uid="{00000000-0005-0000-0000-0000DD380000}"/>
    <cellStyle name="非表示 3 2" xfId="14447" xr:uid="{00000000-0005-0000-0000-0000DE380000}"/>
    <cellStyle name="非表示 4" xfId="14448" xr:uid="{00000000-0005-0000-0000-0000DF380000}"/>
  </cellStyles>
  <dxfs count="3">
    <dxf>
      <font>
        <color theme="0"/>
      </font>
    </dxf>
    <dxf>
      <font>
        <color theme="0"/>
      </font>
    </dxf>
    <dxf>
      <font>
        <color theme="0"/>
      </font>
    </dxf>
  </dxfs>
  <tableStyles count="0" defaultTableStyle="TableStyleMedium9" defaultPivotStyle="PivotStyleLight16"/>
  <colors>
    <mruColors>
      <color rgb="FFACE06E"/>
      <color rgb="FF0000FF"/>
      <color rgb="FF00FFFF"/>
      <color rgb="FFCCFFCC"/>
      <color rgb="FFCEEAA8"/>
      <color rgb="FFC3E39D"/>
      <color rgb="FFCCFF99"/>
      <color rgb="FFBEF1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694D-3613-486F-9484-DCBA1F73EDA4}">
  <sheetPr codeName="Sheet35">
    <tabColor rgb="FFACE06E"/>
    <pageSetUpPr fitToPage="1"/>
  </sheetPr>
  <dimension ref="A1:E29"/>
  <sheetViews>
    <sheetView tabSelected="1" zoomScale="115" zoomScaleNormal="115" zoomScaleSheetLayoutView="85" workbookViewId="0">
      <pane xSplit="5" ySplit="11" topLeftCell="F21" activePane="bottomRight" state="frozen"/>
      <selection activeCell="S52" sqref="S52"/>
      <selection pane="topRight" activeCell="S52" sqref="S52"/>
      <selection pane="bottomLeft" activeCell="S52" sqref="S52"/>
      <selection pane="bottomRight" activeCell="S52" sqref="S52"/>
    </sheetView>
  </sheetViews>
  <sheetFormatPr defaultColWidth="8.85546875" defaultRowHeight="15" outlineLevelRow="1"/>
  <cols>
    <col min="1" max="1" width="7.28515625" style="2" customWidth="1"/>
    <col min="2" max="2" width="56.5703125" style="3" customWidth="1"/>
    <col min="3" max="3" width="18.85546875" style="18" customWidth="1"/>
    <col min="4" max="4" width="18.85546875" style="3" customWidth="1"/>
    <col min="5" max="5" width="23.28515625" style="3" customWidth="1"/>
    <col min="6" max="16384" width="8.85546875" style="3"/>
  </cols>
  <sheetData>
    <row r="1" spans="1:5">
      <c r="E1" s="1" t="s">
        <v>768</v>
      </c>
    </row>
    <row r="2" spans="1:5">
      <c r="A2" s="22" t="s">
        <v>1044</v>
      </c>
      <c r="E2" s="1"/>
    </row>
    <row r="3" spans="1:5">
      <c r="A3" s="22" t="s">
        <v>1043</v>
      </c>
      <c r="E3" s="1"/>
    </row>
    <row r="4" spans="1:5">
      <c r="A4" s="22" t="s">
        <v>1045</v>
      </c>
      <c r="E4" s="1"/>
    </row>
    <row r="5" spans="1:5">
      <c r="E5" s="1"/>
    </row>
    <row r="6" spans="1:5" ht="28.9" customHeight="1">
      <c r="A6" s="553" t="s">
        <v>767</v>
      </c>
      <c r="B6" s="553"/>
      <c r="C6" s="553"/>
      <c r="D6" s="553"/>
      <c r="E6" s="553"/>
    </row>
    <row r="8" spans="1:5" ht="16.899999999999999" customHeight="1">
      <c r="A8" s="554" t="s">
        <v>685</v>
      </c>
      <c r="B8" s="554" t="s">
        <v>763</v>
      </c>
      <c r="C8" s="554" t="s">
        <v>722</v>
      </c>
      <c r="D8" s="554"/>
      <c r="E8" s="554" t="s">
        <v>543</v>
      </c>
    </row>
    <row r="9" spans="1:5" ht="16.899999999999999" customHeight="1">
      <c r="A9" s="554"/>
      <c r="B9" s="554"/>
      <c r="C9" s="532" t="s">
        <v>1009</v>
      </c>
      <c r="D9" s="316" t="s">
        <v>764</v>
      </c>
      <c r="E9" s="554"/>
    </row>
    <row r="10" spans="1:5" ht="23.45" customHeight="1">
      <c r="A10" s="9" t="s">
        <v>2</v>
      </c>
      <c r="B10" s="10" t="s">
        <v>1010</v>
      </c>
      <c r="C10" s="20">
        <f>SUBTOTAL(9,C11:C18)</f>
        <v>175399999999.70663</v>
      </c>
      <c r="D10" s="20">
        <f>SUBTOTAL(9,D11:D18)</f>
        <v>175399999999.70663</v>
      </c>
      <c r="E10" s="11"/>
    </row>
    <row r="11" spans="1:5" ht="23.45" customHeight="1">
      <c r="A11" s="13" t="s">
        <v>3</v>
      </c>
      <c r="B11" s="14" t="s">
        <v>1011</v>
      </c>
      <c r="C11" s="16">
        <f>'1. HT điện'!Q2731</f>
        <v>86074206430.200012</v>
      </c>
      <c r="D11" s="16">
        <f>'1. HT điện'!R2731</f>
        <v>86074206430.200012</v>
      </c>
      <c r="E11" s="4"/>
    </row>
    <row r="12" spans="1:5" s="5" customFormat="1" ht="23.45" customHeight="1">
      <c r="A12" s="13" t="s">
        <v>5</v>
      </c>
      <c r="B12" s="14" t="s">
        <v>1012</v>
      </c>
      <c r="C12" s="16">
        <f>'2. HT điện nhẹ'!Q61</f>
        <v>1806831740</v>
      </c>
      <c r="D12" s="16">
        <f>'2. HT điện nhẹ'!R61</f>
        <v>1806831740</v>
      </c>
      <c r="E12" s="4"/>
    </row>
    <row r="13" spans="1:5" s="5" customFormat="1" ht="23.45" customHeight="1">
      <c r="A13" s="13" t="s">
        <v>9</v>
      </c>
      <c r="B13" s="14" t="s">
        <v>1013</v>
      </c>
      <c r="C13" s="16">
        <f>'3. HT CTN'!Q905</f>
        <v>34968185356.899994</v>
      </c>
      <c r="D13" s="16">
        <f>'3. HT CTN'!R905</f>
        <v>34968185356.899994</v>
      </c>
      <c r="E13" s="4"/>
    </row>
    <row r="14" spans="1:5" s="5" customFormat="1" ht="23.45" customHeight="1">
      <c r="A14" s="13" t="s">
        <v>10</v>
      </c>
      <c r="B14" s="14" t="s">
        <v>1014</v>
      </c>
      <c r="C14" s="16">
        <f>SUBTOTAL(9,C15:C17)</f>
        <v>50616173994.717491</v>
      </c>
      <c r="D14" s="16">
        <f>SUBTOTAL(9,D15:D17)</f>
        <v>50616173994.717491</v>
      </c>
      <c r="E14" s="4"/>
    </row>
    <row r="15" spans="1:5" s="5" customFormat="1" ht="23.45" customHeight="1">
      <c r="A15" s="442">
        <v>4.0999999999999996</v>
      </c>
      <c r="B15" s="443" t="s">
        <v>4090</v>
      </c>
      <c r="C15" s="444">
        <f>'4.1 ĐH VRV'!AF51</f>
        <v>1437739800</v>
      </c>
      <c r="D15" s="444">
        <f>'4.1 ĐH VRV'!AG51</f>
        <v>1437739800</v>
      </c>
      <c r="E15" s="441"/>
    </row>
    <row r="16" spans="1:5" s="5" customFormat="1" ht="23.45" customHeight="1">
      <c r="A16" s="442">
        <v>4.2</v>
      </c>
      <c r="B16" s="443" t="s">
        <v>4091</v>
      </c>
      <c r="C16" s="444">
        <f>'4.2 Quạt'!AC148</f>
        <v>4227522600</v>
      </c>
      <c r="D16" s="444">
        <f>'4.2 Quạt'!AD148</f>
        <v>4227522600</v>
      </c>
      <c r="E16" s="441"/>
    </row>
    <row r="17" spans="1:5" s="5" customFormat="1" ht="23.45" customHeight="1">
      <c r="A17" s="442">
        <v>4.3</v>
      </c>
      <c r="B17" s="443" t="s">
        <v>4092</v>
      </c>
      <c r="C17" s="444">
        <f>'4.3 DHKK &amp; TG'!Q1116</f>
        <v>44950911594.717491</v>
      </c>
      <c r="D17" s="444">
        <f>'4.3 DHKK &amp; TG'!R1116</f>
        <v>44950911594.717491</v>
      </c>
      <c r="E17" s="441"/>
    </row>
    <row r="18" spans="1:5" s="5" customFormat="1" ht="23.45" customHeight="1">
      <c r="A18" s="13" t="s">
        <v>477</v>
      </c>
      <c r="B18" s="14" t="s">
        <v>1015</v>
      </c>
      <c r="C18" s="16">
        <f>'5. Ngăn cháy lan'!Q27</f>
        <v>1934602477.8891158</v>
      </c>
      <c r="D18" s="16">
        <f>'5. Ngăn cháy lan'!R27</f>
        <v>1934602477.8891158</v>
      </c>
      <c r="E18" s="4"/>
    </row>
    <row r="19" spans="1:5" ht="23.45" customHeight="1">
      <c r="A19" s="9" t="s">
        <v>19</v>
      </c>
      <c r="B19" s="10" t="s">
        <v>1016</v>
      </c>
      <c r="C19" s="20">
        <f>SUBTOTAL(9,C20:C20)</f>
        <v>0</v>
      </c>
      <c r="D19" s="20">
        <f>SUBTOTAL(9,D20:D20)</f>
        <v>0</v>
      </c>
      <c r="E19" s="11"/>
    </row>
    <row r="20" spans="1:5" outlineLevel="1">
      <c r="A20" s="8"/>
      <c r="B20" s="7"/>
      <c r="C20" s="15"/>
      <c r="D20" s="15">
        <v>0</v>
      </c>
      <c r="E20" s="7"/>
    </row>
    <row r="21" spans="1:5" ht="24.6" customHeight="1">
      <c r="A21" s="9" t="s">
        <v>21</v>
      </c>
      <c r="B21" s="17" t="s">
        <v>4096</v>
      </c>
      <c r="C21" s="20">
        <f>SUBTOTAL(9,C11:C19)</f>
        <v>175399999999.70663</v>
      </c>
      <c r="D21" s="20">
        <f>SUBTOTAL(9,D11:D19)</f>
        <v>175399999999.70663</v>
      </c>
      <c r="E21" s="533"/>
    </row>
    <row r="22" spans="1:5" ht="24.6" customHeight="1">
      <c r="A22" s="6"/>
      <c r="B22" s="12" t="s">
        <v>4097</v>
      </c>
      <c r="C22" s="19">
        <f>C21*10%</f>
        <v>17539999999.970665</v>
      </c>
      <c r="D22" s="19">
        <f>D21*10%</f>
        <v>17539999999.970665</v>
      </c>
      <c r="E22" s="7"/>
    </row>
    <row r="23" spans="1:5" ht="24.6" customHeight="1">
      <c r="A23" s="9" t="s">
        <v>107</v>
      </c>
      <c r="B23" s="10" t="s">
        <v>4095</v>
      </c>
      <c r="C23" s="20">
        <f>C21+C22</f>
        <v>192939999999.67731</v>
      </c>
      <c r="D23" s="20">
        <f>D21+D22</f>
        <v>192939999999.67731</v>
      </c>
      <c r="E23" s="533"/>
    </row>
    <row r="24" spans="1:5" ht="11.45" customHeight="1">
      <c r="A24" s="317"/>
      <c r="B24" s="318"/>
      <c r="C24" s="319"/>
      <c r="D24" s="319"/>
    </row>
    <row r="25" spans="1:5">
      <c r="A25" s="21" t="s">
        <v>1042</v>
      </c>
    </row>
    <row r="26" spans="1:5">
      <c r="C26" s="3"/>
    </row>
    <row r="27" spans="1:5">
      <c r="C27" s="3"/>
    </row>
    <row r="28" spans="1:5">
      <c r="C28" s="552"/>
      <c r="D28" s="552"/>
      <c r="E28" s="552"/>
    </row>
    <row r="29" spans="1:5">
      <c r="C29" s="552"/>
      <c r="D29" s="552"/>
      <c r="E29" s="552"/>
    </row>
  </sheetData>
  <mergeCells count="7">
    <mergeCell ref="C28:E28"/>
    <mergeCell ref="C29:E29"/>
    <mergeCell ref="A6:E6"/>
    <mergeCell ref="A8:A9"/>
    <mergeCell ref="B8:B9"/>
    <mergeCell ref="C8:D8"/>
    <mergeCell ref="E8:E9"/>
  </mergeCells>
  <phoneticPr fontId="281" type="noConversion"/>
  <pageMargins left="0.70866141732283472" right="0.70866141732283472" top="0.74803149606299213" bottom="0.74803149606299213" header="0.31496062992125984" footer="0.31496062992125984"/>
  <pageSetup paperSize="9" scale="69" fitToHeight="0" orientation="portrait" r:id="rId1"/>
  <headerFooter>
    <oddFooter>&amp;L&amp;A&amp;CSEAREFICO&amp;RTrang &amp;P/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DD28-47B0-49FB-B6F7-0E1129B91A82}">
  <sheetPr codeName="Sheet3">
    <tabColor rgb="FF00B0F0"/>
    <pageSetUpPr fitToPage="1"/>
  </sheetPr>
  <dimension ref="A1:S2731"/>
  <sheetViews>
    <sheetView zoomScale="115" zoomScaleNormal="115" zoomScaleSheetLayoutView="55" workbookViewId="0">
      <pane xSplit="6" ySplit="9" topLeftCell="L2724" activePane="bottomRight" state="frozen"/>
      <selection pane="topRight" activeCell="G1" sqref="G1"/>
      <selection pane="bottomLeft" activeCell="A10" sqref="A10"/>
      <selection pane="bottomRight" activeCell="S2731" sqref="S2731"/>
    </sheetView>
  </sheetViews>
  <sheetFormatPr defaultColWidth="8.85546875" defaultRowHeight="15" outlineLevelRow="2"/>
  <cols>
    <col min="1" max="1" width="6.7109375" style="368" customWidth="1"/>
    <col min="2" max="2" width="42.7109375" style="369" customWidth="1"/>
    <col min="3" max="3" width="9.28515625" style="370" customWidth="1"/>
    <col min="4" max="4" width="10.42578125" style="331" bestFit="1" customWidth="1"/>
    <col min="5" max="5" width="13.7109375" style="357" customWidth="1"/>
    <col min="6" max="6" width="10.42578125" style="343" bestFit="1" customWidth="1"/>
    <col min="7" max="7" width="20.5703125" style="119" customWidth="1"/>
    <col min="8" max="8" width="13.85546875" style="297" customWidth="1"/>
    <col min="9" max="9" width="18.7109375" style="297" customWidth="1"/>
    <col min="10" max="10" width="13.28515625" style="297" bestFit="1" customWidth="1"/>
    <col min="11" max="11" width="15.42578125" style="551" customWidth="1"/>
    <col min="12" max="12" width="6.85546875" style="551" customWidth="1"/>
    <col min="13" max="13" width="15.7109375" style="551" bestFit="1" customWidth="1"/>
    <col min="14" max="14" width="11.85546875" style="551" customWidth="1"/>
    <col min="15" max="15" width="12.85546875" style="551" customWidth="1"/>
    <col min="16" max="16" width="16.5703125" style="551" customWidth="1"/>
    <col min="17" max="17" width="18.28515625" style="551" customWidth="1"/>
    <col min="18" max="18" width="18.140625" style="551" customWidth="1"/>
    <col min="19" max="19" width="18.42578125" style="357" customWidth="1"/>
    <col min="20" max="16384" width="8.85546875" style="366"/>
  </cols>
  <sheetData>
    <row r="1" spans="1:19" s="314" customFormat="1">
      <c r="A1" s="29" t="s">
        <v>672</v>
      </c>
      <c r="B1" s="30"/>
      <c r="C1" s="293"/>
      <c r="D1" s="320"/>
      <c r="E1" s="128"/>
      <c r="F1" s="321"/>
      <c r="G1" s="300"/>
      <c r="H1" s="330"/>
      <c r="I1" s="330"/>
      <c r="J1" s="330"/>
      <c r="K1" s="534"/>
      <c r="L1" s="534"/>
      <c r="M1" s="534"/>
      <c r="N1" s="534"/>
      <c r="O1" s="534"/>
      <c r="P1" s="534"/>
      <c r="Q1" s="534"/>
      <c r="R1" s="534"/>
      <c r="S1" s="128"/>
    </row>
    <row r="2" spans="1:19" s="314" customFormat="1">
      <c r="A2" s="29" t="s">
        <v>670</v>
      </c>
      <c r="B2" s="30"/>
      <c r="C2" s="293"/>
      <c r="D2" s="320"/>
      <c r="E2" s="128"/>
      <c r="F2" s="321"/>
      <c r="G2" s="300"/>
      <c r="H2" s="330"/>
      <c r="I2" s="330"/>
      <c r="J2" s="330"/>
      <c r="K2" s="534"/>
      <c r="L2" s="534"/>
      <c r="M2" s="534"/>
      <c r="N2" s="534"/>
      <c r="O2" s="534"/>
      <c r="P2" s="534"/>
      <c r="Q2" s="534"/>
      <c r="R2" s="534"/>
      <c r="S2" s="128"/>
    </row>
    <row r="3" spans="1:19" s="314" customFormat="1">
      <c r="A3" s="29" t="s">
        <v>671</v>
      </c>
      <c r="B3" s="32"/>
      <c r="C3" s="294"/>
      <c r="D3" s="320"/>
      <c r="E3" s="128"/>
      <c r="F3" s="321"/>
      <c r="G3" s="300"/>
      <c r="H3" s="330"/>
      <c r="I3" s="330"/>
      <c r="J3" s="330"/>
      <c r="K3" s="534"/>
      <c r="L3" s="534"/>
      <c r="M3" s="534"/>
      <c r="N3" s="534"/>
      <c r="O3" s="534"/>
      <c r="P3" s="534"/>
      <c r="Q3" s="534"/>
      <c r="R3" s="534"/>
      <c r="S3" s="128"/>
    </row>
    <row r="4" spans="1:19">
      <c r="A4" s="33"/>
      <c r="B4" s="34"/>
      <c r="C4" s="295"/>
      <c r="E4" s="35"/>
      <c r="F4" s="322"/>
      <c r="K4" s="535"/>
      <c r="L4" s="535"/>
      <c r="M4" s="535"/>
      <c r="N4" s="535"/>
      <c r="O4" s="535"/>
      <c r="P4" s="535"/>
      <c r="Q4" s="535"/>
      <c r="R4" s="535"/>
      <c r="S4" s="35"/>
    </row>
    <row r="5" spans="1:19">
      <c r="A5" s="556" t="s">
        <v>1166</v>
      </c>
      <c r="B5" s="557"/>
      <c r="C5" s="557"/>
      <c r="D5" s="557"/>
      <c r="E5" s="558"/>
      <c r="F5" s="559" t="s">
        <v>4093</v>
      </c>
      <c r="G5" s="559"/>
      <c r="H5" s="559"/>
      <c r="I5" s="559"/>
      <c r="J5" s="559"/>
      <c r="K5" s="559"/>
      <c r="L5" s="559"/>
      <c r="M5" s="559"/>
      <c r="N5" s="559"/>
      <c r="O5" s="559"/>
      <c r="P5" s="559"/>
      <c r="Q5" s="559"/>
      <c r="R5" s="559"/>
      <c r="S5" s="559"/>
    </row>
    <row r="6" spans="1:19" ht="35.450000000000003" customHeight="1">
      <c r="A6" s="560" t="s">
        <v>0</v>
      </c>
      <c r="B6" s="562" t="s">
        <v>1</v>
      </c>
      <c r="C6" s="564" t="s">
        <v>481</v>
      </c>
      <c r="D6" s="566" t="s">
        <v>1165</v>
      </c>
      <c r="E6" s="568" t="s">
        <v>543</v>
      </c>
      <c r="F6" s="570" t="s">
        <v>1167</v>
      </c>
      <c r="G6" s="571" t="s">
        <v>1168</v>
      </c>
      <c r="H6" s="571"/>
      <c r="I6" s="571"/>
      <c r="J6" s="571"/>
      <c r="K6" s="572" t="s">
        <v>1169</v>
      </c>
      <c r="L6" s="572"/>
      <c r="M6" s="572"/>
      <c r="N6" s="572"/>
      <c r="O6" s="572"/>
      <c r="P6" s="572"/>
      <c r="Q6" s="573" t="s">
        <v>1170</v>
      </c>
      <c r="R6" s="574"/>
      <c r="S6" s="575" t="s">
        <v>543</v>
      </c>
    </row>
    <row r="7" spans="1:19" ht="30" customHeight="1">
      <c r="A7" s="561"/>
      <c r="B7" s="563"/>
      <c r="C7" s="565"/>
      <c r="D7" s="567"/>
      <c r="E7" s="569"/>
      <c r="F7" s="570"/>
      <c r="G7" s="475" t="s">
        <v>1171</v>
      </c>
      <c r="H7" s="475" t="s">
        <v>799</v>
      </c>
      <c r="I7" s="475" t="s">
        <v>1008</v>
      </c>
      <c r="J7" s="475" t="s">
        <v>721</v>
      </c>
      <c r="K7" s="536" t="s">
        <v>765</v>
      </c>
      <c r="L7" s="536" t="s">
        <v>1172</v>
      </c>
      <c r="M7" s="536" t="s">
        <v>1173</v>
      </c>
      <c r="N7" s="536" t="s">
        <v>1174</v>
      </c>
      <c r="O7" s="536" t="s">
        <v>766</v>
      </c>
      <c r="P7" s="536" t="s">
        <v>1175</v>
      </c>
      <c r="Q7" s="536" t="s">
        <v>1176</v>
      </c>
      <c r="R7" s="536" t="s">
        <v>1177</v>
      </c>
      <c r="S7" s="575"/>
    </row>
    <row r="8" spans="1:19" ht="42.75">
      <c r="A8" s="433">
        <v>1</v>
      </c>
      <c r="B8" s="425">
        <v>2</v>
      </c>
      <c r="C8" s="434" t="s">
        <v>716</v>
      </c>
      <c r="D8" s="435">
        <v>4</v>
      </c>
      <c r="E8" s="381">
        <v>5</v>
      </c>
      <c r="F8" s="381">
        <v>6</v>
      </c>
      <c r="G8" s="478">
        <v>7</v>
      </c>
      <c r="H8" s="478">
        <v>8</v>
      </c>
      <c r="I8" s="478">
        <v>9</v>
      </c>
      <c r="J8" s="478">
        <v>10</v>
      </c>
      <c r="K8" s="537">
        <v>11</v>
      </c>
      <c r="L8" s="537">
        <v>12</v>
      </c>
      <c r="M8" s="537">
        <v>13</v>
      </c>
      <c r="N8" s="537">
        <v>14</v>
      </c>
      <c r="O8" s="537">
        <v>15</v>
      </c>
      <c r="P8" s="537" t="s">
        <v>1178</v>
      </c>
      <c r="Q8" s="537" t="s">
        <v>1179</v>
      </c>
      <c r="R8" s="537" t="s">
        <v>1180</v>
      </c>
      <c r="S8" s="381">
        <v>19</v>
      </c>
    </row>
    <row r="9" spans="1:19">
      <c r="A9" s="385" t="s">
        <v>2</v>
      </c>
      <c r="B9" s="383" t="s">
        <v>1010</v>
      </c>
      <c r="C9" s="244"/>
      <c r="D9" s="276"/>
      <c r="E9" s="399"/>
      <c r="F9" s="398"/>
      <c r="G9" s="429"/>
      <c r="H9" s="430"/>
      <c r="I9" s="430"/>
      <c r="J9" s="430"/>
      <c r="K9" s="538"/>
      <c r="L9" s="538"/>
      <c r="M9" s="538"/>
      <c r="N9" s="538"/>
      <c r="O9" s="538"/>
      <c r="P9" s="538"/>
      <c r="Q9" s="538"/>
      <c r="R9" s="538"/>
      <c r="S9" s="399"/>
    </row>
    <row r="10" spans="1:19">
      <c r="A10" s="36" t="s">
        <v>3</v>
      </c>
      <c r="B10" s="37" t="s">
        <v>1046</v>
      </c>
      <c r="C10" s="296"/>
      <c r="D10" s="210"/>
      <c r="E10" s="367"/>
      <c r="F10" s="344"/>
      <c r="G10" s="445"/>
      <c r="H10" s="446"/>
      <c r="I10" s="446"/>
      <c r="J10" s="446"/>
      <c r="K10" s="539"/>
      <c r="L10" s="539"/>
      <c r="M10" s="539"/>
      <c r="N10" s="539"/>
      <c r="O10" s="539"/>
      <c r="P10" s="539"/>
      <c r="Q10" s="539"/>
      <c r="R10" s="539"/>
      <c r="S10" s="367"/>
    </row>
    <row r="11" spans="1:19" ht="60" outlineLevel="1">
      <c r="A11" s="57">
        <v>1</v>
      </c>
      <c r="B11" s="44" t="s">
        <v>22</v>
      </c>
      <c r="C11" s="58" t="s">
        <v>6</v>
      </c>
      <c r="D11" s="102">
        <v>1</v>
      </c>
      <c r="E11" s="80"/>
      <c r="F11" s="334">
        <v>1</v>
      </c>
      <c r="G11" s="112" t="s">
        <v>827</v>
      </c>
      <c r="H11" s="120" t="s">
        <v>1075</v>
      </c>
      <c r="I11" s="120" t="s">
        <v>828</v>
      </c>
      <c r="J11" s="120" t="s">
        <v>829</v>
      </c>
      <c r="K11" s="110">
        <v>1910614577</v>
      </c>
      <c r="L11" s="118"/>
      <c r="M11" s="110">
        <v>42500200</v>
      </c>
      <c r="N11" s="118"/>
      <c r="O11" s="118"/>
      <c r="P11" s="118">
        <f>+K11+L11+M11+N11+O11</f>
        <v>1953114777</v>
      </c>
      <c r="Q11" s="118">
        <f>+P11*D11</f>
        <v>1953114777</v>
      </c>
      <c r="R11" s="118">
        <f>P11*F11</f>
        <v>1953114777</v>
      </c>
      <c r="S11" s="112" t="s">
        <v>4094</v>
      </c>
    </row>
    <row r="12" spans="1:19" hidden="1" outlineLevel="2">
      <c r="A12" s="39"/>
      <c r="B12" s="40" t="s">
        <v>1047</v>
      </c>
      <c r="C12" s="41" t="s">
        <v>4</v>
      </c>
      <c r="D12" s="26">
        <v>1</v>
      </c>
      <c r="E12" s="77"/>
      <c r="F12" s="334"/>
      <c r="G12" s="112">
        <v>0</v>
      </c>
      <c r="H12" s="120">
        <v>0</v>
      </c>
      <c r="I12" s="120">
        <v>0</v>
      </c>
      <c r="J12" s="120">
        <v>0</v>
      </c>
      <c r="K12" s="110">
        <v>0</v>
      </c>
      <c r="L12" s="118"/>
      <c r="M12" s="110">
        <v>0</v>
      </c>
      <c r="N12" s="118"/>
      <c r="O12" s="118"/>
      <c r="P12" s="118">
        <f>+K12+L12+M12+N12+O12</f>
        <v>0</v>
      </c>
      <c r="Q12" s="118">
        <f>+P12*D12</f>
        <v>0</v>
      </c>
      <c r="R12" s="118">
        <f>P12*F12</f>
        <v>0</v>
      </c>
      <c r="S12" s="112">
        <v>0</v>
      </c>
    </row>
    <row r="13" spans="1:19" hidden="1" outlineLevel="2">
      <c r="A13" s="39"/>
      <c r="B13" s="44" t="s">
        <v>13</v>
      </c>
      <c r="C13" s="41"/>
      <c r="D13" s="26"/>
      <c r="E13" s="77"/>
      <c r="F13" s="76"/>
      <c r="G13" s="112"/>
      <c r="H13" s="120"/>
      <c r="I13" s="120"/>
      <c r="J13" s="120"/>
      <c r="K13" s="118"/>
      <c r="L13" s="118"/>
      <c r="M13" s="118"/>
      <c r="N13" s="118"/>
      <c r="O13" s="118"/>
      <c r="P13" s="118"/>
      <c r="Q13" s="118"/>
      <c r="R13" s="118"/>
      <c r="S13" s="112">
        <v>0</v>
      </c>
    </row>
    <row r="14" spans="1:19" ht="45" hidden="1" outlineLevel="2">
      <c r="A14" s="39"/>
      <c r="B14" s="40" t="s">
        <v>23</v>
      </c>
      <c r="C14" s="41" t="s">
        <v>4</v>
      </c>
      <c r="D14" s="26">
        <v>2</v>
      </c>
      <c r="E14" s="77"/>
      <c r="F14" s="334"/>
      <c r="G14" s="112">
        <v>0</v>
      </c>
      <c r="H14" s="120">
        <v>0</v>
      </c>
      <c r="I14" s="120">
        <v>0</v>
      </c>
      <c r="J14" s="120">
        <v>0</v>
      </c>
      <c r="K14" s="110">
        <v>0</v>
      </c>
      <c r="L14" s="118"/>
      <c r="M14" s="110">
        <v>0</v>
      </c>
      <c r="N14" s="118"/>
      <c r="O14" s="118"/>
      <c r="P14" s="118">
        <f t="shared" ref="P14:P27" si="0">+K14+L14+M14+N14+O14</f>
        <v>0</v>
      </c>
      <c r="Q14" s="118">
        <f t="shared" ref="Q14:Q27" si="1">+P14*D14</f>
        <v>0</v>
      </c>
      <c r="R14" s="118">
        <f t="shared" ref="R14:R27" si="2">P14*F14</f>
        <v>0</v>
      </c>
      <c r="S14" s="112">
        <v>0</v>
      </c>
    </row>
    <row r="15" spans="1:19" ht="30" hidden="1" outlineLevel="2">
      <c r="A15" s="39"/>
      <c r="B15" s="45" t="s">
        <v>675</v>
      </c>
      <c r="C15" s="41" t="s">
        <v>4</v>
      </c>
      <c r="D15" s="26">
        <v>2</v>
      </c>
      <c r="E15" s="77"/>
      <c r="F15" s="334"/>
      <c r="G15" s="112">
        <v>0</v>
      </c>
      <c r="H15" s="120">
        <v>0</v>
      </c>
      <c r="I15" s="120">
        <v>0</v>
      </c>
      <c r="J15" s="120">
        <v>0</v>
      </c>
      <c r="K15" s="110">
        <v>0</v>
      </c>
      <c r="L15" s="118"/>
      <c r="M15" s="110">
        <v>0</v>
      </c>
      <c r="N15" s="118"/>
      <c r="O15" s="118"/>
      <c r="P15" s="118">
        <f t="shared" si="0"/>
        <v>0</v>
      </c>
      <c r="Q15" s="118">
        <f t="shared" si="1"/>
        <v>0</v>
      </c>
      <c r="R15" s="118">
        <f t="shared" si="2"/>
        <v>0</v>
      </c>
      <c r="S15" s="112">
        <v>0</v>
      </c>
    </row>
    <row r="16" spans="1:19" ht="30" hidden="1" outlineLevel="2">
      <c r="A16" s="39"/>
      <c r="B16" s="45" t="s">
        <v>676</v>
      </c>
      <c r="C16" s="41" t="s">
        <v>4</v>
      </c>
      <c r="D16" s="26">
        <v>2</v>
      </c>
      <c r="E16" s="77"/>
      <c r="F16" s="334"/>
      <c r="G16" s="112">
        <v>0</v>
      </c>
      <c r="H16" s="120">
        <v>0</v>
      </c>
      <c r="I16" s="120">
        <v>0</v>
      </c>
      <c r="J16" s="120">
        <v>0</v>
      </c>
      <c r="K16" s="110">
        <v>0</v>
      </c>
      <c r="L16" s="118"/>
      <c r="M16" s="110">
        <v>0</v>
      </c>
      <c r="N16" s="118"/>
      <c r="O16" s="118"/>
      <c r="P16" s="118">
        <f t="shared" si="0"/>
        <v>0</v>
      </c>
      <c r="Q16" s="118">
        <f t="shared" si="1"/>
        <v>0</v>
      </c>
      <c r="R16" s="118">
        <f t="shared" si="2"/>
        <v>0</v>
      </c>
      <c r="S16" s="112">
        <v>0</v>
      </c>
    </row>
    <row r="17" spans="1:19" hidden="1" outlineLevel="2">
      <c r="A17" s="39"/>
      <c r="B17" s="40" t="s">
        <v>24</v>
      </c>
      <c r="C17" s="41" t="s">
        <v>4</v>
      </c>
      <c r="D17" s="26">
        <v>2</v>
      </c>
      <c r="E17" s="77"/>
      <c r="F17" s="334"/>
      <c r="G17" s="112">
        <v>0</v>
      </c>
      <c r="H17" s="120">
        <v>0</v>
      </c>
      <c r="I17" s="120">
        <v>0</v>
      </c>
      <c r="J17" s="120">
        <v>0</v>
      </c>
      <c r="K17" s="110">
        <v>0</v>
      </c>
      <c r="L17" s="118"/>
      <c r="M17" s="110">
        <v>0</v>
      </c>
      <c r="N17" s="118"/>
      <c r="O17" s="118"/>
      <c r="P17" s="118">
        <f t="shared" si="0"/>
        <v>0</v>
      </c>
      <c r="Q17" s="118">
        <f t="shared" si="1"/>
        <v>0</v>
      </c>
      <c r="R17" s="118">
        <f t="shared" si="2"/>
        <v>0</v>
      </c>
      <c r="S17" s="112">
        <v>0</v>
      </c>
    </row>
    <row r="18" spans="1:19" hidden="1" outlineLevel="2">
      <c r="A18" s="39"/>
      <c r="B18" s="40" t="s">
        <v>25</v>
      </c>
      <c r="C18" s="41" t="s">
        <v>4</v>
      </c>
      <c r="D18" s="26">
        <v>2</v>
      </c>
      <c r="E18" s="77"/>
      <c r="F18" s="334"/>
      <c r="G18" s="112">
        <v>0</v>
      </c>
      <c r="H18" s="120">
        <v>0</v>
      </c>
      <c r="I18" s="120">
        <v>0</v>
      </c>
      <c r="J18" s="120">
        <v>0</v>
      </c>
      <c r="K18" s="110">
        <v>0</v>
      </c>
      <c r="L18" s="118"/>
      <c r="M18" s="110">
        <v>0</v>
      </c>
      <c r="N18" s="118"/>
      <c r="O18" s="118"/>
      <c r="P18" s="118">
        <f t="shared" si="0"/>
        <v>0</v>
      </c>
      <c r="Q18" s="118">
        <f t="shared" si="1"/>
        <v>0</v>
      </c>
      <c r="R18" s="118">
        <f t="shared" si="2"/>
        <v>0</v>
      </c>
      <c r="S18" s="112">
        <v>0</v>
      </c>
    </row>
    <row r="19" spans="1:19" hidden="1" outlineLevel="2">
      <c r="A19" s="39"/>
      <c r="B19" s="40" t="s">
        <v>26</v>
      </c>
      <c r="C19" s="41" t="s">
        <v>4</v>
      </c>
      <c r="D19" s="26">
        <v>2</v>
      </c>
      <c r="E19" s="77"/>
      <c r="F19" s="334"/>
      <c r="G19" s="112">
        <v>0</v>
      </c>
      <c r="H19" s="120">
        <v>0</v>
      </c>
      <c r="I19" s="120">
        <v>0</v>
      </c>
      <c r="J19" s="120">
        <v>0</v>
      </c>
      <c r="K19" s="110">
        <v>0</v>
      </c>
      <c r="L19" s="118"/>
      <c r="M19" s="110">
        <v>0</v>
      </c>
      <c r="N19" s="118"/>
      <c r="O19" s="118"/>
      <c r="P19" s="118">
        <f t="shared" si="0"/>
        <v>0</v>
      </c>
      <c r="Q19" s="118">
        <f t="shared" si="1"/>
        <v>0</v>
      </c>
      <c r="R19" s="118">
        <f t="shared" si="2"/>
        <v>0</v>
      </c>
      <c r="S19" s="112">
        <v>0</v>
      </c>
    </row>
    <row r="20" spans="1:19" hidden="1" outlineLevel="2">
      <c r="A20" s="39"/>
      <c r="B20" s="40" t="s">
        <v>27</v>
      </c>
      <c r="C20" s="41" t="s">
        <v>8</v>
      </c>
      <c r="D20" s="26">
        <v>1</v>
      </c>
      <c r="E20" s="77"/>
      <c r="F20" s="334"/>
      <c r="G20" s="112">
        <v>0</v>
      </c>
      <c r="H20" s="120">
        <v>0</v>
      </c>
      <c r="I20" s="120">
        <v>0</v>
      </c>
      <c r="J20" s="120">
        <v>0</v>
      </c>
      <c r="K20" s="110">
        <v>0</v>
      </c>
      <c r="L20" s="118"/>
      <c r="M20" s="110">
        <v>0</v>
      </c>
      <c r="N20" s="118"/>
      <c r="O20" s="118"/>
      <c r="P20" s="118">
        <f t="shared" si="0"/>
        <v>0</v>
      </c>
      <c r="Q20" s="118">
        <f t="shared" si="1"/>
        <v>0</v>
      </c>
      <c r="R20" s="118">
        <f t="shared" si="2"/>
        <v>0</v>
      </c>
      <c r="S20" s="112">
        <v>0</v>
      </c>
    </row>
    <row r="21" spans="1:19" hidden="1" outlineLevel="2">
      <c r="A21" s="39"/>
      <c r="B21" s="40" t="s">
        <v>28</v>
      </c>
      <c r="C21" s="41" t="s">
        <v>4</v>
      </c>
      <c r="D21" s="26">
        <v>6</v>
      </c>
      <c r="E21" s="77"/>
      <c r="F21" s="334"/>
      <c r="G21" s="112">
        <v>0</v>
      </c>
      <c r="H21" s="120">
        <v>0</v>
      </c>
      <c r="I21" s="120">
        <v>0</v>
      </c>
      <c r="J21" s="120">
        <v>0</v>
      </c>
      <c r="K21" s="110">
        <v>0</v>
      </c>
      <c r="L21" s="118"/>
      <c r="M21" s="110">
        <v>0</v>
      </c>
      <c r="N21" s="118"/>
      <c r="O21" s="118"/>
      <c r="P21" s="118">
        <f t="shared" si="0"/>
        <v>0</v>
      </c>
      <c r="Q21" s="118">
        <f t="shared" si="1"/>
        <v>0</v>
      </c>
      <c r="R21" s="118">
        <f t="shared" si="2"/>
        <v>0</v>
      </c>
      <c r="S21" s="112">
        <v>0</v>
      </c>
    </row>
    <row r="22" spans="1:19" hidden="1" outlineLevel="2">
      <c r="A22" s="46"/>
      <c r="B22" s="47" t="s">
        <v>11</v>
      </c>
      <c r="C22" s="48" t="s">
        <v>12</v>
      </c>
      <c r="D22" s="26">
        <v>12</v>
      </c>
      <c r="E22" s="77"/>
      <c r="F22" s="334"/>
      <c r="G22" s="112">
        <v>0</v>
      </c>
      <c r="H22" s="120">
        <v>0</v>
      </c>
      <c r="I22" s="120">
        <v>0</v>
      </c>
      <c r="J22" s="120">
        <v>0</v>
      </c>
      <c r="K22" s="110">
        <v>0</v>
      </c>
      <c r="L22" s="118"/>
      <c r="M22" s="110">
        <v>0</v>
      </c>
      <c r="N22" s="118"/>
      <c r="O22" s="118"/>
      <c r="P22" s="118">
        <f t="shared" si="0"/>
        <v>0</v>
      </c>
      <c r="Q22" s="118">
        <f t="shared" si="1"/>
        <v>0</v>
      </c>
      <c r="R22" s="118">
        <f t="shared" si="2"/>
        <v>0</v>
      </c>
      <c r="S22" s="112">
        <v>0</v>
      </c>
    </row>
    <row r="23" spans="1:19" hidden="1" outlineLevel="2">
      <c r="A23" s="46"/>
      <c r="B23" s="47" t="s">
        <v>29</v>
      </c>
      <c r="C23" s="48" t="s">
        <v>4</v>
      </c>
      <c r="D23" s="26">
        <v>2</v>
      </c>
      <c r="E23" s="77"/>
      <c r="F23" s="334"/>
      <c r="G23" s="112">
        <v>0</v>
      </c>
      <c r="H23" s="120">
        <v>0</v>
      </c>
      <c r="I23" s="120">
        <v>0</v>
      </c>
      <c r="J23" s="120">
        <v>0</v>
      </c>
      <c r="K23" s="110">
        <v>0</v>
      </c>
      <c r="L23" s="118"/>
      <c r="M23" s="110">
        <v>0</v>
      </c>
      <c r="N23" s="118"/>
      <c r="O23" s="118"/>
      <c r="P23" s="118">
        <f t="shared" si="0"/>
        <v>0</v>
      </c>
      <c r="Q23" s="118">
        <f t="shared" si="1"/>
        <v>0</v>
      </c>
      <c r="R23" s="118">
        <f t="shared" si="2"/>
        <v>0</v>
      </c>
      <c r="S23" s="112">
        <v>0</v>
      </c>
    </row>
    <row r="24" spans="1:19" hidden="1" outlineLevel="2">
      <c r="A24" s="46"/>
      <c r="B24" s="47" t="s">
        <v>30</v>
      </c>
      <c r="C24" s="48" t="s">
        <v>4</v>
      </c>
      <c r="D24" s="26">
        <v>2</v>
      </c>
      <c r="E24" s="77"/>
      <c r="F24" s="334"/>
      <c r="G24" s="112">
        <v>0</v>
      </c>
      <c r="H24" s="120">
        <v>0</v>
      </c>
      <c r="I24" s="120">
        <v>0</v>
      </c>
      <c r="J24" s="120">
        <v>0</v>
      </c>
      <c r="K24" s="110">
        <v>0</v>
      </c>
      <c r="L24" s="118"/>
      <c r="M24" s="110">
        <v>0</v>
      </c>
      <c r="N24" s="118"/>
      <c r="O24" s="118"/>
      <c r="P24" s="118">
        <f t="shared" si="0"/>
        <v>0</v>
      </c>
      <c r="Q24" s="118">
        <f t="shared" si="1"/>
        <v>0</v>
      </c>
      <c r="R24" s="118">
        <f t="shared" si="2"/>
        <v>0</v>
      </c>
      <c r="S24" s="112">
        <v>0</v>
      </c>
    </row>
    <row r="25" spans="1:19" hidden="1" outlineLevel="2">
      <c r="A25" s="46"/>
      <c r="B25" s="47" t="s">
        <v>31</v>
      </c>
      <c r="C25" s="48" t="s">
        <v>4</v>
      </c>
      <c r="D25" s="26">
        <v>6</v>
      </c>
      <c r="E25" s="77"/>
      <c r="F25" s="334"/>
      <c r="G25" s="112">
        <v>0</v>
      </c>
      <c r="H25" s="120">
        <v>0</v>
      </c>
      <c r="I25" s="120">
        <v>0</v>
      </c>
      <c r="J25" s="120">
        <v>0</v>
      </c>
      <c r="K25" s="110">
        <v>0</v>
      </c>
      <c r="L25" s="118"/>
      <c r="M25" s="110">
        <v>0</v>
      </c>
      <c r="N25" s="118"/>
      <c r="O25" s="118"/>
      <c r="P25" s="118">
        <f t="shared" si="0"/>
        <v>0</v>
      </c>
      <c r="Q25" s="118">
        <f t="shared" si="1"/>
        <v>0</v>
      </c>
      <c r="R25" s="118">
        <f t="shared" si="2"/>
        <v>0</v>
      </c>
      <c r="S25" s="112">
        <v>0</v>
      </c>
    </row>
    <row r="26" spans="1:19" hidden="1" outlineLevel="2">
      <c r="A26" s="39"/>
      <c r="B26" s="40" t="s">
        <v>14</v>
      </c>
      <c r="C26" s="41" t="s">
        <v>4</v>
      </c>
      <c r="D26" s="26">
        <v>6</v>
      </c>
      <c r="E26" s="77"/>
      <c r="F26" s="334"/>
      <c r="G26" s="112">
        <v>0</v>
      </c>
      <c r="H26" s="120">
        <v>0</v>
      </c>
      <c r="I26" s="120">
        <v>0</v>
      </c>
      <c r="J26" s="120">
        <v>0</v>
      </c>
      <c r="K26" s="110">
        <v>0</v>
      </c>
      <c r="L26" s="118"/>
      <c r="M26" s="110">
        <v>0</v>
      </c>
      <c r="N26" s="118"/>
      <c r="O26" s="118"/>
      <c r="P26" s="118">
        <f t="shared" si="0"/>
        <v>0</v>
      </c>
      <c r="Q26" s="118">
        <f t="shared" si="1"/>
        <v>0</v>
      </c>
      <c r="R26" s="118">
        <f t="shared" si="2"/>
        <v>0</v>
      </c>
      <c r="S26" s="112">
        <v>0</v>
      </c>
    </row>
    <row r="27" spans="1:19" hidden="1" outlineLevel="2">
      <c r="A27" s="39"/>
      <c r="B27" s="40" t="s">
        <v>32</v>
      </c>
      <c r="C27" s="49" t="s">
        <v>4</v>
      </c>
      <c r="D27" s="26">
        <v>18</v>
      </c>
      <c r="E27" s="77"/>
      <c r="F27" s="334"/>
      <c r="G27" s="112">
        <v>0</v>
      </c>
      <c r="H27" s="120">
        <v>0</v>
      </c>
      <c r="I27" s="120">
        <v>0</v>
      </c>
      <c r="J27" s="120">
        <v>0</v>
      </c>
      <c r="K27" s="110">
        <v>0</v>
      </c>
      <c r="L27" s="118"/>
      <c r="M27" s="110">
        <v>0</v>
      </c>
      <c r="N27" s="118"/>
      <c r="O27" s="118"/>
      <c r="P27" s="118">
        <f t="shared" si="0"/>
        <v>0</v>
      </c>
      <c r="Q27" s="118">
        <f t="shared" si="1"/>
        <v>0</v>
      </c>
      <c r="R27" s="118">
        <f t="shared" si="2"/>
        <v>0</v>
      </c>
      <c r="S27" s="112">
        <v>0</v>
      </c>
    </row>
    <row r="28" spans="1:19" hidden="1" outlineLevel="2">
      <c r="A28" s="39"/>
      <c r="B28" s="44" t="s">
        <v>16</v>
      </c>
      <c r="C28" s="41"/>
      <c r="D28" s="26"/>
      <c r="E28" s="77"/>
      <c r="F28" s="76"/>
      <c r="G28" s="112"/>
      <c r="H28" s="120"/>
      <c r="I28" s="120"/>
      <c r="J28" s="120"/>
      <c r="K28" s="118"/>
      <c r="L28" s="118"/>
      <c r="M28" s="118"/>
      <c r="N28" s="118"/>
      <c r="O28" s="118"/>
      <c r="P28" s="118"/>
      <c r="Q28" s="118"/>
      <c r="R28" s="118"/>
      <c r="S28" s="112">
        <v>0</v>
      </c>
    </row>
    <row r="29" spans="1:19" hidden="1" outlineLevel="2">
      <c r="A29" s="39"/>
      <c r="B29" s="40" t="s">
        <v>33</v>
      </c>
      <c r="C29" s="41" t="s">
        <v>4</v>
      </c>
      <c r="D29" s="26">
        <v>1</v>
      </c>
      <c r="E29" s="77"/>
      <c r="F29" s="334"/>
      <c r="G29" s="112">
        <v>0</v>
      </c>
      <c r="H29" s="120">
        <v>0</v>
      </c>
      <c r="I29" s="120">
        <v>0</v>
      </c>
      <c r="J29" s="120">
        <v>0</v>
      </c>
      <c r="K29" s="110">
        <v>0</v>
      </c>
      <c r="L29" s="118"/>
      <c r="M29" s="110">
        <v>0</v>
      </c>
      <c r="N29" s="118"/>
      <c r="O29" s="118"/>
      <c r="P29" s="118">
        <f t="shared" ref="P29:P55" si="3">+K29+L29+M29+N29+O29</f>
        <v>0</v>
      </c>
      <c r="Q29" s="118">
        <f t="shared" ref="Q29:Q55" si="4">+P29*D29</f>
        <v>0</v>
      </c>
      <c r="R29" s="118">
        <f t="shared" ref="R29:R55" si="5">P29*F29</f>
        <v>0</v>
      </c>
      <c r="S29" s="112">
        <v>0</v>
      </c>
    </row>
    <row r="30" spans="1:19" ht="30" hidden="1" outlineLevel="2">
      <c r="A30" s="39"/>
      <c r="B30" s="45" t="s">
        <v>4015</v>
      </c>
      <c r="C30" s="41" t="s">
        <v>4</v>
      </c>
      <c r="D30" s="26">
        <v>1</v>
      </c>
      <c r="E30" s="77"/>
      <c r="F30" s="334"/>
      <c r="G30" s="112">
        <v>0</v>
      </c>
      <c r="H30" s="120">
        <v>0</v>
      </c>
      <c r="I30" s="120">
        <v>0</v>
      </c>
      <c r="J30" s="120">
        <v>0</v>
      </c>
      <c r="K30" s="110">
        <v>0</v>
      </c>
      <c r="L30" s="118"/>
      <c r="M30" s="110">
        <v>0</v>
      </c>
      <c r="N30" s="118"/>
      <c r="O30" s="118"/>
      <c r="P30" s="118">
        <f t="shared" si="3"/>
        <v>0</v>
      </c>
      <c r="Q30" s="118">
        <f t="shared" si="4"/>
        <v>0</v>
      </c>
      <c r="R30" s="118">
        <f t="shared" si="5"/>
        <v>0</v>
      </c>
      <c r="S30" s="112">
        <v>0</v>
      </c>
    </row>
    <row r="31" spans="1:19" ht="30" hidden="1" outlineLevel="2">
      <c r="A31" s="39"/>
      <c r="B31" s="45" t="s">
        <v>4016</v>
      </c>
      <c r="C31" s="41" t="s">
        <v>4</v>
      </c>
      <c r="D31" s="26">
        <v>1</v>
      </c>
      <c r="E31" s="117"/>
      <c r="F31" s="334"/>
      <c r="G31" s="112">
        <v>0</v>
      </c>
      <c r="H31" s="120">
        <v>0</v>
      </c>
      <c r="I31" s="120">
        <v>0</v>
      </c>
      <c r="J31" s="120">
        <v>0</v>
      </c>
      <c r="K31" s="110">
        <v>0</v>
      </c>
      <c r="L31" s="118"/>
      <c r="M31" s="110">
        <v>0</v>
      </c>
      <c r="N31" s="118"/>
      <c r="O31" s="118"/>
      <c r="P31" s="118">
        <f t="shared" si="3"/>
        <v>0</v>
      </c>
      <c r="Q31" s="118">
        <f t="shared" si="4"/>
        <v>0</v>
      </c>
      <c r="R31" s="118">
        <f t="shared" si="5"/>
        <v>0</v>
      </c>
      <c r="S31" s="112">
        <v>0</v>
      </c>
    </row>
    <row r="32" spans="1:19" hidden="1" outlineLevel="2">
      <c r="A32" s="39"/>
      <c r="B32" s="40" t="s">
        <v>24</v>
      </c>
      <c r="C32" s="41" t="s">
        <v>4</v>
      </c>
      <c r="D32" s="26">
        <v>1</v>
      </c>
      <c r="E32" s="117"/>
      <c r="F32" s="334"/>
      <c r="G32" s="112">
        <v>0</v>
      </c>
      <c r="H32" s="120">
        <v>0</v>
      </c>
      <c r="I32" s="120">
        <v>0</v>
      </c>
      <c r="J32" s="120">
        <v>0</v>
      </c>
      <c r="K32" s="110">
        <v>0</v>
      </c>
      <c r="L32" s="118"/>
      <c r="M32" s="110">
        <v>0</v>
      </c>
      <c r="N32" s="118"/>
      <c r="O32" s="118"/>
      <c r="P32" s="118">
        <f t="shared" si="3"/>
        <v>0</v>
      </c>
      <c r="Q32" s="118">
        <f t="shared" si="4"/>
        <v>0</v>
      </c>
      <c r="R32" s="118">
        <f t="shared" si="5"/>
        <v>0</v>
      </c>
      <c r="S32" s="112">
        <v>0</v>
      </c>
    </row>
    <row r="33" spans="1:19" hidden="1" outlineLevel="2">
      <c r="A33" s="50"/>
      <c r="B33" s="51" t="s">
        <v>18</v>
      </c>
      <c r="C33" s="52" t="s">
        <v>4</v>
      </c>
      <c r="D33" s="26">
        <v>1</v>
      </c>
      <c r="E33" s="117"/>
      <c r="F33" s="334"/>
      <c r="G33" s="112">
        <v>0</v>
      </c>
      <c r="H33" s="120">
        <v>0</v>
      </c>
      <c r="I33" s="120">
        <v>0</v>
      </c>
      <c r="J33" s="120">
        <v>0</v>
      </c>
      <c r="K33" s="110">
        <v>0</v>
      </c>
      <c r="L33" s="118"/>
      <c r="M33" s="110">
        <v>0</v>
      </c>
      <c r="N33" s="118"/>
      <c r="O33" s="118"/>
      <c r="P33" s="118">
        <f t="shared" si="3"/>
        <v>0</v>
      </c>
      <c r="Q33" s="118">
        <f t="shared" si="4"/>
        <v>0</v>
      </c>
      <c r="R33" s="118">
        <f t="shared" si="5"/>
        <v>0</v>
      </c>
      <c r="S33" s="112">
        <v>0</v>
      </c>
    </row>
    <row r="34" spans="1:19" ht="30" hidden="1" outlineLevel="2">
      <c r="A34" s="50"/>
      <c r="B34" s="45" t="s">
        <v>4017</v>
      </c>
      <c r="C34" s="27" t="s">
        <v>4</v>
      </c>
      <c r="D34" s="26">
        <v>1</v>
      </c>
      <c r="E34" s="117"/>
      <c r="F34" s="334"/>
      <c r="G34" s="112">
        <v>0</v>
      </c>
      <c r="H34" s="120">
        <v>0</v>
      </c>
      <c r="I34" s="120">
        <v>0</v>
      </c>
      <c r="J34" s="120">
        <v>0</v>
      </c>
      <c r="K34" s="110">
        <v>0</v>
      </c>
      <c r="L34" s="118"/>
      <c r="M34" s="110">
        <v>0</v>
      </c>
      <c r="N34" s="118"/>
      <c r="O34" s="118"/>
      <c r="P34" s="118">
        <f t="shared" si="3"/>
        <v>0</v>
      </c>
      <c r="Q34" s="118">
        <f t="shared" si="4"/>
        <v>0</v>
      </c>
      <c r="R34" s="118">
        <f t="shared" si="5"/>
        <v>0</v>
      </c>
      <c r="S34" s="112">
        <v>0</v>
      </c>
    </row>
    <row r="35" spans="1:19" ht="30" hidden="1" outlineLevel="2">
      <c r="A35" s="50"/>
      <c r="B35" s="45" t="s">
        <v>4018</v>
      </c>
      <c r="C35" s="27" t="s">
        <v>4</v>
      </c>
      <c r="D35" s="26">
        <v>1</v>
      </c>
      <c r="E35" s="117"/>
      <c r="F35" s="334"/>
      <c r="G35" s="112">
        <v>0</v>
      </c>
      <c r="H35" s="120">
        <v>0</v>
      </c>
      <c r="I35" s="120">
        <v>0</v>
      </c>
      <c r="J35" s="120">
        <v>0</v>
      </c>
      <c r="K35" s="110">
        <v>0</v>
      </c>
      <c r="L35" s="118"/>
      <c r="M35" s="110">
        <v>0</v>
      </c>
      <c r="N35" s="118"/>
      <c r="O35" s="118"/>
      <c r="P35" s="118">
        <f t="shared" si="3"/>
        <v>0</v>
      </c>
      <c r="Q35" s="118">
        <f t="shared" si="4"/>
        <v>0</v>
      </c>
      <c r="R35" s="118">
        <f t="shared" si="5"/>
        <v>0</v>
      </c>
      <c r="S35" s="112">
        <v>0</v>
      </c>
    </row>
    <row r="36" spans="1:19" ht="30" hidden="1" outlineLevel="2">
      <c r="A36" s="50"/>
      <c r="B36" s="45" t="s">
        <v>4019</v>
      </c>
      <c r="C36" s="27" t="s">
        <v>4</v>
      </c>
      <c r="D36" s="26">
        <v>2</v>
      </c>
      <c r="E36" s="117"/>
      <c r="F36" s="334"/>
      <c r="G36" s="112">
        <v>0</v>
      </c>
      <c r="H36" s="120">
        <v>0</v>
      </c>
      <c r="I36" s="120">
        <v>0</v>
      </c>
      <c r="J36" s="120">
        <v>0</v>
      </c>
      <c r="K36" s="110">
        <v>0</v>
      </c>
      <c r="L36" s="118"/>
      <c r="M36" s="110">
        <v>0</v>
      </c>
      <c r="N36" s="118"/>
      <c r="O36" s="118"/>
      <c r="P36" s="118">
        <f t="shared" si="3"/>
        <v>0</v>
      </c>
      <c r="Q36" s="118">
        <f t="shared" si="4"/>
        <v>0</v>
      </c>
      <c r="R36" s="118">
        <f t="shared" si="5"/>
        <v>0</v>
      </c>
      <c r="S36" s="112">
        <v>0</v>
      </c>
    </row>
    <row r="37" spans="1:19" hidden="1" outlineLevel="2">
      <c r="A37" s="39"/>
      <c r="B37" s="40" t="s">
        <v>28</v>
      </c>
      <c r="C37" s="41" t="s">
        <v>4</v>
      </c>
      <c r="D37" s="26">
        <v>6</v>
      </c>
      <c r="E37" s="117"/>
      <c r="F37" s="334"/>
      <c r="G37" s="112">
        <v>0</v>
      </c>
      <c r="H37" s="120">
        <v>0</v>
      </c>
      <c r="I37" s="120">
        <v>0</v>
      </c>
      <c r="J37" s="120">
        <v>0</v>
      </c>
      <c r="K37" s="110">
        <v>0</v>
      </c>
      <c r="L37" s="118"/>
      <c r="M37" s="110">
        <v>0</v>
      </c>
      <c r="N37" s="118"/>
      <c r="O37" s="118"/>
      <c r="P37" s="118">
        <f t="shared" si="3"/>
        <v>0</v>
      </c>
      <c r="Q37" s="118">
        <f t="shared" si="4"/>
        <v>0</v>
      </c>
      <c r="R37" s="118">
        <f t="shared" si="5"/>
        <v>0</v>
      </c>
      <c r="S37" s="112">
        <v>0</v>
      </c>
    </row>
    <row r="38" spans="1:19" hidden="1" outlineLevel="2">
      <c r="A38" s="50"/>
      <c r="B38" s="45" t="s">
        <v>26</v>
      </c>
      <c r="C38" s="27" t="s">
        <v>4</v>
      </c>
      <c r="D38" s="26">
        <v>2</v>
      </c>
      <c r="E38" s="117"/>
      <c r="F38" s="334"/>
      <c r="G38" s="112">
        <v>0</v>
      </c>
      <c r="H38" s="120">
        <v>0</v>
      </c>
      <c r="I38" s="120">
        <v>0</v>
      </c>
      <c r="J38" s="120">
        <v>0</v>
      </c>
      <c r="K38" s="110">
        <v>0</v>
      </c>
      <c r="L38" s="118"/>
      <c r="M38" s="110">
        <v>0</v>
      </c>
      <c r="N38" s="118"/>
      <c r="O38" s="118"/>
      <c r="P38" s="118">
        <f t="shared" si="3"/>
        <v>0</v>
      </c>
      <c r="Q38" s="118">
        <f t="shared" si="4"/>
        <v>0</v>
      </c>
      <c r="R38" s="118">
        <f t="shared" si="5"/>
        <v>0</v>
      </c>
      <c r="S38" s="112">
        <v>0</v>
      </c>
    </row>
    <row r="39" spans="1:19" hidden="1" outlineLevel="2">
      <c r="A39" s="39"/>
      <c r="B39" s="40" t="s">
        <v>34</v>
      </c>
      <c r="C39" s="41" t="s">
        <v>4</v>
      </c>
      <c r="D39" s="26">
        <v>1</v>
      </c>
      <c r="E39" s="117"/>
      <c r="F39" s="334"/>
      <c r="G39" s="112">
        <v>0</v>
      </c>
      <c r="H39" s="120">
        <v>0</v>
      </c>
      <c r="I39" s="120">
        <v>0</v>
      </c>
      <c r="J39" s="120">
        <v>0</v>
      </c>
      <c r="K39" s="110">
        <v>0</v>
      </c>
      <c r="L39" s="118"/>
      <c r="M39" s="110">
        <v>0</v>
      </c>
      <c r="N39" s="118"/>
      <c r="O39" s="118"/>
      <c r="P39" s="118">
        <f t="shared" si="3"/>
        <v>0</v>
      </c>
      <c r="Q39" s="118">
        <f t="shared" si="4"/>
        <v>0</v>
      </c>
      <c r="R39" s="118">
        <f t="shared" si="5"/>
        <v>0</v>
      </c>
      <c r="S39" s="112">
        <v>0</v>
      </c>
    </row>
    <row r="40" spans="1:19" ht="30" hidden="1" outlineLevel="2">
      <c r="A40" s="50"/>
      <c r="B40" s="45" t="s">
        <v>4020</v>
      </c>
      <c r="C40" s="27" t="s">
        <v>4</v>
      </c>
      <c r="D40" s="26">
        <v>2</v>
      </c>
      <c r="E40" s="117"/>
      <c r="F40" s="334"/>
      <c r="G40" s="112">
        <v>0</v>
      </c>
      <c r="H40" s="120">
        <v>0</v>
      </c>
      <c r="I40" s="120">
        <v>0</v>
      </c>
      <c r="J40" s="120">
        <v>0</v>
      </c>
      <c r="K40" s="110">
        <v>0</v>
      </c>
      <c r="L40" s="118"/>
      <c r="M40" s="110">
        <v>0</v>
      </c>
      <c r="N40" s="118"/>
      <c r="O40" s="118"/>
      <c r="P40" s="118">
        <f t="shared" si="3"/>
        <v>0</v>
      </c>
      <c r="Q40" s="118">
        <f t="shared" si="4"/>
        <v>0</v>
      </c>
      <c r="R40" s="118">
        <f t="shared" si="5"/>
        <v>0</v>
      </c>
      <c r="S40" s="112">
        <v>0</v>
      </c>
    </row>
    <row r="41" spans="1:19" hidden="1" outlineLevel="2">
      <c r="A41" s="39"/>
      <c r="B41" s="40" t="s">
        <v>35</v>
      </c>
      <c r="C41" s="41" t="s">
        <v>4</v>
      </c>
      <c r="D41" s="26">
        <v>1</v>
      </c>
      <c r="E41" s="339"/>
      <c r="F41" s="334"/>
      <c r="G41" s="112">
        <v>0</v>
      </c>
      <c r="H41" s="120">
        <v>0</v>
      </c>
      <c r="I41" s="120">
        <v>0</v>
      </c>
      <c r="J41" s="120">
        <v>0</v>
      </c>
      <c r="K41" s="110">
        <v>0</v>
      </c>
      <c r="L41" s="118"/>
      <c r="M41" s="110">
        <v>0</v>
      </c>
      <c r="N41" s="118"/>
      <c r="O41" s="118"/>
      <c r="P41" s="118">
        <f t="shared" si="3"/>
        <v>0</v>
      </c>
      <c r="Q41" s="118">
        <f t="shared" si="4"/>
        <v>0</v>
      </c>
      <c r="R41" s="118">
        <f t="shared" si="5"/>
        <v>0</v>
      </c>
      <c r="S41" s="112">
        <v>0</v>
      </c>
    </row>
    <row r="42" spans="1:19" ht="30" hidden="1" outlineLevel="2">
      <c r="A42" s="50"/>
      <c r="B42" s="45" t="s">
        <v>4021</v>
      </c>
      <c r="C42" s="27" t="s">
        <v>4</v>
      </c>
      <c r="D42" s="26">
        <v>2</v>
      </c>
      <c r="E42" s="339"/>
      <c r="F42" s="334"/>
      <c r="G42" s="112">
        <v>0</v>
      </c>
      <c r="H42" s="120">
        <v>0</v>
      </c>
      <c r="I42" s="120">
        <v>0</v>
      </c>
      <c r="J42" s="120">
        <v>0</v>
      </c>
      <c r="K42" s="110">
        <v>0</v>
      </c>
      <c r="L42" s="118"/>
      <c r="M42" s="110">
        <v>0</v>
      </c>
      <c r="N42" s="118"/>
      <c r="O42" s="118"/>
      <c r="P42" s="118">
        <f t="shared" si="3"/>
        <v>0</v>
      </c>
      <c r="Q42" s="118">
        <f t="shared" si="4"/>
        <v>0</v>
      </c>
      <c r="R42" s="118">
        <f t="shared" si="5"/>
        <v>0</v>
      </c>
      <c r="S42" s="112">
        <v>0</v>
      </c>
    </row>
    <row r="43" spans="1:19" hidden="1" outlineLevel="2">
      <c r="A43" s="39"/>
      <c r="B43" s="40" t="s">
        <v>36</v>
      </c>
      <c r="C43" s="41" t="s">
        <v>4</v>
      </c>
      <c r="D43" s="26">
        <v>2</v>
      </c>
      <c r="E43" s="117"/>
      <c r="F43" s="334"/>
      <c r="G43" s="112">
        <v>0</v>
      </c>
      <c r="H43" s="120">
        <v>0</v>
      </c>
      <c r="I43" s="120">
        <v>0</v>
      </c>
      <c r="J43" s="120">
        <v>0</v>
      </c>
      <c r="K43" s="110">
        <v>0</v>
      </c>
      <c r="L43" s="118"/>
      <c r="M43" s="110">
        <v>0</v>
      </c>
      <c r="N43" s="118"/>
      <c r="O43" s="118"/>
      <c r="P43" s="118">
        <f t="shared" si="3"/>
        <v>0</v>
      </c>
      <c r="Q43" s="118">
        <f t="shared" si="4"/>
        <v>0</v>
      </c>
      <c r="R43" s="118">
        <f t="shared" si="5"/>
        <v>0</v>
      </c>
      <c r="S43" s="112">
        <v>0</v>
      </c>
    </row>
    <row r="44" spans="1:19" ht="30" hidden="1" outlineLevel="2">
      <c r="A44" s="50"/>
      <c r="B44" s="45" t="s">
        <v>4022</v>
      </c>
      <c r="C44" s="27" t="s">
        <v>4</v>
      </c>
      <c r="D44" s="26">
        <v>4</v>
      </c>
      <c r="E44" s="77"/>
      <c r="F44" s="334"/>
      <c r="G44" s="112">
        <v>0</v>
      </c>
      <c r="H44" s="120">
        <v>0</v>
      </c>
      <c r="I44" s="120">
        <v>0</v>
      </c>
      <c r="J44" s="120">
        <v>0</v>
      </c>
      <c r="K44" s="110">
        <v>0</v>
      </c>
      <c r="L44" s="118"/>
      <c r="M44" s="110">
        <v>0</v>
      </c>
      <c r="N44" s="118"/>
      <c r="O44" s="118"/>
      <c r="P44" s="118">
        <f t="shared" si="3"/>
        <v>0</v>
      </c>
      <c r="Q44" s="118">
        <f t="shared" si="4"/>
        <v>0</v>
      </c>
      <c r="R44" s="118">
        <f t="shared" si="5"/>
        <v>0</v>
      </c>
      <c r="S44" s="112">
        <v>0</v>
      </c>
    </row>
    <row r="45" spans="1:19" hidden="1" outlineLevel="2">
      <c r="A45" s="39"/>
      <c r="B45" s="40" t="s">
        <v>37</v>
      </c>
      <c r="C45" s="41" t="s">
        <v>4</v>
      </c>
      <c r="D45" s="26">
        <v>1</v>
      </c>
      <c r="E45" s="77"/>
      <c r="F45" s="334"/>
      <c r="G45" s="112">
        <v>0</v>
      </c>
      <c r="H45" s="120">
        <v>0</v>
      </c>
      <c r="I45" s="120">
        <v>0</v>
      </c>
      <c r="J45" s="120">
        <v>0</v>
      </c>
      <c r="K45" s="110">
        <v>0</v>
      </c>
      <c r="L45" s="118"/>
      <c r="M45" s="110">
        <v>0</v>
      </c>
      <c r="N45" s="118"/>
      <c r="O45" s="118"/>
      <c r="P45" s="118">
        <f t="shared" si="3"/>
        <v>0</v>
      </c>
      <c r="Q45" s="118">
        <f t="shared" si="4"/>
        <v>0</v>
      </c>
      <c r="R45" s="118">
        <f t="shared" si="5"/>
        <v>0</v>
      </c>
      <c r="S45" s="112">
        <v>0</v>
      </c>
    </row>
    <row r="46" spans="1:19" ht="30" hidden="1" outlineLevel="2">
      <c r="A46" s="50"/>
      <c r="B46" s="45" t="s">
        <v>4023</v>
      </c>
      <c r="C46" s="27" t="s">
        <v>4</v>
      </c>
      <c r="D46" s="26">
        <v>2</v>
      </c>
      <c r="E46" s="77"/>
      <c r="F46" s="334"/>
      <c r="G46" s="112">
        <v>0</v>
      </c>
      <c r="H46" s="120">
        <v>0</v>
      </c>
      <c r="I46" s="120">
        <v>0</v>
      </c>
      <c r="J46" s="120">
        <v>0</v>
      </c>
      <c r="K46" s="110">
        <v>0</v>
      </c>
      <c r="L46" s="118"/>
      <c r="M46" s="110">
        <v>0</v>
      </c>
      <c r="N46" s="118"/>
      <c r="O46" s="118"/>
      <c r="P46" s="118">
        <f t="shared" si="3"/>
        <v>0</v>
      </c>
      <c r="Q46" s="118">
        <f t="shared" si="4"/>
        <v>0</v>
      </c>
      <c r="R46" s="118">
        <f t="shared" si="5"/>
        <v>0</v>
      </c>
      <c r="S46" s="112">
        <v>0</v>
      </c>
    </row>
    <row r="47" spans="1:19" hidden="1" outlineLevel="2">
      <c r="A47" s="39"/>
      <c r="B47" s="40" t="s">
        <v>38</v>
      </c>
      <c r="C47" s="41" t="s">
        <v>4</v>
      </c>
      <c r="D47" s="26">
        <v>1</v>
      </c>
      <c r="E47" s="77"/>
      <c r="F47" s="334"/>
      <c r="G47" s="112">
        <v>0</v>
      </c>
      <c r="H47" s="120">
        <v>0</v>
      </c>
      <c r="I47" s="120">
        <v>0</v>
      </c>
      <c r="J47" s="120">
        <v>0</v>
      </c>
      <c r="K47" s="110">
        <v>0</v>
      </c>
      <c r="L47" s="118"/>
      <c r="M47" s="110">
        <v>0</v>
      </c>
      <c r="N47" s="118"/>
      <c r="O47" s="118"/>
      <c r="P47" s="118">
        <f t="shared" si="3"/>
        <v>0</v>
      </c>
      <c r="Q47" s="118">
        <f t="shared" si="4"/>
        <v>0</v>
      </c>
      <c r="R47" s="118">
        <f t="shared" si="5"/>
        <v>0</v>
      </c>
      <c r="S47" s="112">
        <v>0</v>
      </c>
    </row>
    <row r="48" spans="1:19" ht="30" hidden="1" outlineLevel="2">
      <c r="A48" s="50"/>
      <c r="B48" s="45" t="s">
        <v>4024</v>
      </c>
      <c r="C48" s="27" t="s">
        <v>4</v>
      </c>
      <c r="D48" s="26">
        <v>2</v>
      </c>
      <c r="E48" s="77"/>
      <c r="F48" s="334"/>
      <c r="G48" s="112">
        <v>0</v>
      </c>
      <c r="H48" s="120">
        <v>0</v>
      </c>
      <c r="I48" s="120">
        <v>0</v>
      </c>
      <c r="J48" s="120">
        <v>0</v>
      </c>
      <c r="K48" s="110">
        <v>0</v>
      </c>
      <c r="L48" s="118"/>
      <c r="M48" s="110">
        <v>0</v>
      </c>
      <c r="N48" s="118"/>
      <c r="O48" s="118"/>
      <c r="P48" s="118">
        <f t="shared" si="3"/>
        <v>0</v>
      </c>
      <c r="Q48" s="118">
        <f t="shared" si="4"/>
        <v>0</v>
      </c>
      <c r="R48" s="118">
        <f t="shared" si="5"/>
        <v>0</v>
      </c>
      <c r="S48" s="112">
        <v>0</v>
      </c>
    </row>
    <row r="49" spans="1:19" ht="30" hidden="1" outlineLevel="2">
      <c r="A49" s="39"/>
      <c r="B49" s="40" t="s">
        <v>39</v>
      </c>
      <c r="C49" s="41" t="s">
        <v>8</v>
      </c>
      <c r="D49" s="26">
        <v>1</v>
      </c>
      <c r="E49" s="77"/>
      <c r="F49" s="334"/>
      <c r="G49" s="112">
        <v>0</v>
      </c>
      <c r="H49" s="120">
        <v>0</v>
      </c>
      <c r="I49" s="120">
        <v>0</v>
      </c>
      <c r="J49" s="120">
        <v>0</v>
      </c>
      <c r="K49" s="110">
        <v>0</v>
      </c>
      <c r="L49" s="118"/>
      <c r="M49" s="110">
        <v>0</v>
      </c>
      <c r="N49" s="118"/>
      <c r="O49" s="118"/>
      <c r="P49" s="118">
        <f t="shared" si="3"/>
        <v>0</v>
      </c>
      <c r="Q49" s="118">
        <f t="shared" si="4"/>
        <v>0</v>
      </c>
      <c r="R49" s="118">
        <f t="shared" si="5"/>
        <v>0</v>
      </c>
      <c r="S49" s="112">
        <v>0</v>
      </c>
    </row>
    <row r="50" spans="1:19" hidden="1" outlineLevel="2">
      <c r="A50" s="39"/>
      <c r="B50" s="53" t="s">
        <v>40</v>
      </c>
      <c r="C50" s="54" t="s">
        <v>8</v>
      </c>
      <c r="D50" s="26">
        <v>1</v>
      </c>
      <c r="E50" s="77"/>
      <c r="F50" s="334"/>
      <c r="G50" s="112">
        <v>0</v>
      </c>
      <c r="H50" s="120">
        <v>0</v>
      </c>
      <c r="I50" s="120">
        <v>0</v>
      </c>
      <c r="J50" s="120">
        <v>0</v>
      </c>
      <c r="K50" s="110">
        <v>0</v>
      </c>
      <c r="L50" s="118"/>
      <c r="M50" s="110">
        <v>0</v>
      </c>
      <c r="N50" s="118"/>
      <c r="O50" s="118"/>
      <c r="P50" s="118">
        <f t="shared" si="3"/>
        <v>0</v>
      </c>
      <c r="Q50" s="118">
        <f t="shared" si="4"/>
        <v>0</v>
      </c>
      <c r="R50" s="118">
        <f t="shared" si="5"/>
        <v>0</v>
      </c>
      <c r="S50" s="112">
        <v>0</v>
      </c>
    </row>
    <row r="51" spans="1:19" ht="45" hidden="1" outlineLevel="2">
      <c r="A51" s="50"/>
      <c r="B51" s="55" t="s">
        <v>41</v>
      </c>
      <c r="C51" s="56" t="s">
        <v>8</v>
      </c>
      <c r="D51" s="26">
        <v>1</v>
      </c>
      <c r="E51" s="77"/>
      <c r="F51" s="334"/>
      <c r="G51" s="112">
        <v>0</v>
      </c>
      <c r="H51" s="120">
        <v>0</v>
      </c>
      <c r="I51" s="120">
        <v>0</v>
      </c>
      <c r="J51" s="120">
        <v>0</v>
      </c>
      <c r="K51" s="110">
        <v>0</v>
      </c>
      <c r="L51" s="118"/>
      <c r="M51" s="110">
        <v>0</v>
      </c>
      <c r="N51" s="118"/>
      <c r="O51" s="118"/>
      <c r="P51" s="118">
        <f t="shared" si="3"/>
        <v>0</v>
      </c>
      <c r="Q51" s="118">
        <f t="shared" si="4"/>
        <v>0</v>
      </c>
      <c r="R51" s="118">
        <f t="shared" si="5"/>
        <v>0</v>
      </c>
      <c r="S51" s="112">
        <v>0</v>
      </c>
    </row>
    <row r="52" spans="1:19" ht="45" hidden="1" outlineLevel="2">
      <c r="A52" s="50"/>
      <c r="B52" s="55" t="s">
        <v>42</v>
      </c>
      <c r="C52" s="56" t="s">
        <v>8</v>
      </c>
      <c r="D52" s="26">
        <v>1</v>
      </c>
      <c r="E52" s="77"/>
      <c r="F52" s="334"/>
      <c r="G52" s="112">
        <v>0</v>
      </c>
      <c r="H52" s="120">
        <v>0</v>
      </c>
      <c r="I52" s="120">
        <v>0</v>
      </c>
      <c r="J52" s="120">
        <v>0</v>
      </c>
      <c r="K52" s="110">
        <v>0</v>
      </c>
      <c r="L52" s="118"/>
      <c r="M52" s="110">
        <v>0</v>
      </c>
      <c r="N52" s="118"/>
      <c r="O52" s="118"/>
      <c r="P52" s="118">
        <f t="shared" si="3"/>
        <v>0</v>
      </c>
      <c r="Q52" s="118">
        <f t="shared" si="4"/>
        <v>0</v>
      </c>
      <c r="R52" s="118">
        <f t="shared" si="5"/>
        <v>0</v>
      </c>
      <c r="S52" s="112">
        <v>0</v>
      </c>
    </row>
    <row r="53" spans="1:19" hidden="1" outlineLevel="2">
      <c r="A53" s="39"/>
      <c r="B53" s="53" t="s">
        <v>43</v>
      </c>
      <c r="C53" s="54" t="s">
        <v>6</v>
      </c>
      <c r="D53" s="26">
        <v>1</v>
      </c>
      <c r="E53" s="77"/>
      <c r="F53" s="334"/>
      <c r="G53" s="112">
        <v>0</v>
      </c>
      <c r="H53" s="120">
        <v>0</v>
      </c>
      <c r="I53" s="120">
        <v>0</v>
      </c>
      <c r="J53" s="120">
        <v>0</v>
      </c>
      <c r="K53" s="110">
        <v>0</v>
      </c>
      <c r="L53" s="118"/>
      <c r="M53" s="110">
        <v>0</v>
      </c>
      <c r="N53" s="118"/>
      <c r="O53" s="118"/>
      <c r="P53" s="118">
        <f t="shared" si="3"/>
        <v>0</v>
      </c>
      <c r="Q53" s="118">
        <f t="shared" si="4"/>
        <v>0</v>
      </c>
      <c r="R53" s="118">
        <f t="shared" si="5"/>
        <v>0</v>
      </c>
      <c r="S53" s="112">
        <v>0</v>
      </c>
    </row>
    <row r="54" spans="1:19" ht="60" outlineLevel="1" collapsed="1">
      <c r="A54" s="57">
        <v>2</v>
      </c>
      <c r="B54" s="44" t="s">
        <v>44</v>
      </c>
      <c r="C54" s="58" t="s">
        <v>6</v>
      </c>
      <c r="D54" s="102">
        <v>1</v>
      </c>
      <c r="E54" s="80"/>
      <c r="F54" s="334">
        <v>1</v>
      </c>
      <c r="G54" s="112" t="s">
        <v>44</v>
      </c>
      <c r="H54" s="120" t="s">
        <v>1075</v>
      </c>
      <c r="I54" s="120" t="s">
        <v>828</v>
      </c>
      <c r="J54" s="120" t="s">
        <v>829</v>
      </c>
      <c r="K54" s="110">
        <v>228249100</v>
      </c>
      <c r="L54" s="118"/>
      <c r="M54" s="110">
        <v>8060000</v>
      </c>
      <c r="N54" s="118"/>
      <c r="O54" s="118"/>
      <c r="P54" s="118">
        <f t="shared" si="3"/>
        <v>236309100</v>
      </c>
      <c r="Q54" s="118">
        <f t="shared" si="4"/>
        <v>236309100</v>
      </c>
      <c r="R54" s="118">
        <f t="shared" si="5"/>
        <v>236309100</v>
      </c>
      <c r="S54" s="112" t="s">
        <v>4094</v>
      </c>
    </row>
    <row r="55" spans="1:19" hidden="1" outlineLevel="2">
      <c r="A55" s="39"/>
      <c r="B55" s="40" t="s">
        <v>1047</v>
      </c>
      <c r="C55" s="41" t="s">
        <v>4</v>
      </c>
      <c r="D55" s="26">
        <v>1</v>
      </c>
      <c r="E55" s="77"/>
      <c r="F55" s="334"/>
      <c r="G55" s="112">
        <v>0</v>
      </c>
      <c r="H55" s="120">
        <v>0</v>
      </c>
      <c r="I55" s="120">
        <v>0</v>
      </c>
      <c r="J55" s="120">
        <v>0</v>
      </c>
      <c r="K55" s="110">
        <v>0</v>
      </c>
      <c r="L55" s="118"/>
      <c r="M55" s="110">
        <v>0</v>
      </c>
      <c r="N55" s="118"/>
      <c r="O55" s="118"/>
      <c r="P55" s="118">
        <f t="shared" si="3"/>
        <v>0</v>
      </c>
      <c r="Q55" s="118">
        <f t="shared" si="4"/>
        <v>0</v>
      </c>
      <c r="R55" s="118">
        <f t="shared" si="5"/>
        <v>0</v>
      </c>
      <c r="S55" s="112">
        <v>0</v>
      </c>
    </row>
    <row r="56" spans="1:19" hidden="1" outlineLevel="2">
      <c r="A56" s="39"/>
      <c r="B56" s="44" t="s">
        <v>13</v>
      </c>
      <c r="C56" s="41"/>
      <c r="D56" s="26"/>
      <c r="E56" s="77"/>
      <c r="F56" s="76"/>
      <c r="G56" s="112"/>
      <c r="H56" s="120"/>
      <c r="I56" s="120"/>
      <c r="J56" s="120"/>
      <c r="K56" s="118"/>
      <c r="L56" s="118"/>
      <c r="M56" s="118"/>
      <c r="N56" s="118"/>
      <c r="O56" s="118"/>
      <c r="P56" s="118"/>
      <c r="Q56" s="118"/>
      <c r="R56" s="118"/>
      <c r="S56" s="112">
        <v>0</v>
      </c>
    </row>
    <row r="57" spans="1:19" ht="30" hidden="1" outlineLevel="2">
      <c r="A57" s="39"/>
      <c r="B57" s="40" t="s">
        <v>45</v>
      </c>
      <c r="C57" s="41" t="s">
        <v>4</v>
      </c>
      <c r="D57" s="26">
        <v>1</v>
      </c>
      <c r="E57" s="77"/>
      <c r="F57" s="334"/>
      <c r="G57" s="112">
        <v>0</v>
      </c>
      <c r="H57" s="120">
        <v>0</v>
      </c>
      <c r="I57" s="120">
        <v>0</v>
      </c>
      <c r="J57" s="120">
        <v>0</v>
      </c>
      <c r="K57" s="110">
        <v>0</v>
      </c>
      <c r="L57" s="118"/>
      <c r="M57" s="110">
        <v>0</v>
      </c>
      <c r="N57" s="118"/>
      <c r="O57" s="118"/>
      <c r="P57" s="118">
        <f t="shared" ref="P57:P67" si="6">+K57+L57+M57+N57+O57</f>
        <v>0</v>
      </c>
      <c r="Q57" s="118">
        <f t="shared" ref="Q57:Q67" si="7">+P57*D57</f>
        <v>0</v>
      </c>
      <c r="R57" s="118">
        <f t="shared" ref="R57:R67" si="8">P57*F57</f>
        <v>0</v>
      </c>
      <c r="S57" s="112">
        <v>0</v>
      </c>
    </row>
    <row r="58" spans="1:19" ht="30" hidden="1" outlineLevel="2">
      <c r="A58" s="50"/>
      <c r="B58" s="45" t="s">
        <v>677</v>
      </c>
      <c r="C58" s="27" t="s">
        <v>4</v>
      </c>
      <c r="D58" s="26">
        <v>2</v>
      </c>
      <c r="E58" s="77"/>
      <c r="F58" s="334"/>
      <c r="G58" s="112">
        <v>0</v>
      </c>
      <c r="H58" s="120">
        <v>0</v>
      </c>
      <c r="I58" s="120">
        <v>0</v>
      </c>
      <c r="J58" s="120">
        <v>0</v>
      </c>
      <c r="K58" s="110">
        <v>0</v>
      </c>
      <c r="L58" s="118"/>
      <c r="M58" s="110">
        <v>0</v>
      </c>
      <c r="N58" s="118"/>
      <c r="O58" s="118"/>
      <c r="P58" s="118">
        <f t="shared" si="6"/>
        <v>0</v>
      </c>
      <c r="Q58" s="118">
        <f t="shared" si="7"/>
        <v>0</v>
      </c>
      <c r="R58" s="118">
        <f t="shared" si="8"/>
        <v>0</v>
      </c>
      <c r="S58" s="112">
        <v>0</v>
      </c>
    </row>
    <row r="59" spans="1:19" hidden="1" outlineLevel="2">
      <c r="A59" s="50"/>
      <c r="B59" s="45" t="s">
        <v>678</v>
      </c>
      <c r="C59" s="27" t="s">
        <v>4</v>
      </c>
      <c r="D59" s="26">
        <v>2</v>
      </c>
      <c r="E59" s="77"/>
      <c r="F59" s="334"/>
      <c r="G59" s="112">
        <v>0</v>
      </c>
      <c r="H59" s="120">
        <v>0</v>
      </c>
      <c r="I59" s="120">
        <v>0</v>
      </c>
      <c r="J59" s="120">
        <v>0</v>
      </c>
      <c r="K59" s="110">
        <v>0</v>
      </c>
      <c r="L59" s="118"/>
      <c r="M59" s="110">
        <v>0</v>
      </c>
      <c r="N59" s="118"/>
      <c r="O59" s="118"/>
      <c r="P59" s="118">
        <f t="shared" si="6"/>
        <v>0</v>
      </c>
      <c r="Q59" s="118">
        <f t="shared" si="7"/>
        <v>0</v>
      </c>
      <c r="R59" s="118">
        <f t="shared" si="8"/>
        <v>0</v>
      </c>
      <c r="S59" s="112">
        <v>0</v>
      </c>
    </row>
    <row r="60" spans="1:19" hidden="1" outlineLevel="2">
      <c r="A60" s="39"/>
      <c r="B60" s="40" t="s">
        <v>46</v>
      </c>
      <c r="C60" s="41" t="s">
        <v>4</v>
      </c>
      <c r="D60" s="26">
        <v>1</v>
      </c>
      <c r="E60" s="77"/>
      <c r="F60" s="334"/>
      <c r="G60" s="112">
        <v>0</v>
      </c>
      <c r="H60" s="120">
        <v>0</v>
      </c>
      <c r="I60" s="120">
        <v>0</v>
      </c>
      <c r="J60" s="120">
        <v>0</v>
      </c>
      <c r="K60" s="110">
        <v>0</v>
      </c>
      <c r="L60" s="118"/>
      <c r="M60" s="110">
        <v>0</v>
      </c>
      <c r="N60" s="118"/>
      <c r="O60" s="118"/>
      <c r="P60" s="118">
        <f t="shared" si="6"/>
        <v>0</v>
      </c>
      <c r="Q60" s="118">
        <f t="shared" si="7"/>
        <v>0</v>
      </c>
      <c r="R60" s="118">
        <f t="shared" si="8"/>
        <v>0</v>
      </c>
      <c r="S60" s="112">
        <v>0</v>
      </c>
    </row>
    <row r="61" spans="1:19" hidden="1" outlineLevel="2">
      <c r="A61" s="39"/>
      <c r="B61" s="40" t="s">
        <v>47</v>
      </c>
      <c r="C61" s="41" t="s">
        <v>4</v>
      </c>
      <c r="D61" s="26">
        <v>1</v>
      </c>
      <c r="E61" s="77"/>
      <c r="F61" s="334"/>
      <c r="G61" s="112">
        <v>0</v>
      </c>
      <c r="H61" s="120">
        <v>0</v>
      </c>
      <c r="I61" s="120">
        <v>0</v>
      </c>
      <c r="J61" s="120">
        <v>0</v>
      </c>
      <c r="K61" s="110">
        <v>0</v>
      </c>
      <c r="L61" s="118"/>
      <c r="M61" s="110">
        <v>0</v>
      </c>
      <c r="N61" s="118"/>
      <c r="O61" s="118"/>
      <c r="P61" s="118">
        <f t="shared" si="6"/>
        <v>0</v>
      </c>
      <c r="Q61" s="118">
        <f t="shared" si="7"/>
        <v>0</v>
      </c>
      <c r="R61" s="118">
        <f t="shared" si="8"/>
        <v>0</v>
      </c>
      <c r="S61" s="112">
        <v>0</v>
      </c>
    </row>
    <row r="62" spans="1:19" hidden="1" outlineLevel="2">
      <c r="A62" s="46"/>
      <c r="B62" s="47" t="s">
        <v>48</v>
      </c>
      <c r="C62" s="48" t="s">
        <v>12</v>
      </c>
      <c r="D62" s="26">
        <v>6</v>
      </c>
      <c r="E62" s="77"/>
      <c r="F62" s="334"/>
      <c r="G62" s="112">
        <v>0</v>
      </c>
      <c r="H62" s="120">
        <v>0</v>
      </c>
      <c r="I62" s="120">
        <v>0</v>
      </c>
      <c r="J62" s="120">
        <v>0</v>
      </c>
      <c r="K62" s="110">
        <v>0</v>
      </c>
      <c r="L62" s="118"/>
      <c r="M62" s="110">
        <v>0</v>
      </c>
      <c r="N62" s="118"/>
      <c r="O62" s="118"/>
      <c r="P62" s="118">
        <f t="shared" si="6"/>
        <v>0</v>
      </c>
      <c r="Q62" s="118">
        <f t="shared" si="7"/>
        <v>0</v>
      </c>
      <c r="R62" s="118">
        <f t="shared" si="8"/>
        <v>0</v>
      </c>
      <c r="S62" s="112">
        <v>0</v>
      </c>
    </row>
    <row r="63" spans="1:19" hidden="1" outlineLevel="2">
      <c r="A63" s="46"/>
      <c r="B63" s="47" t="s">
        <v>29</v>
      </c>
      <c r="C63" s="48" t="s">
        <v>4</v>
      </c>
      <c r="D63" s="26">
        <v>2</v>
      </c>
      <c r="E63" s="87"/>
      <c r="F63" s="334"/>
      <c r="G63" s="112">
        <v>0</v>
      </c>
      <c r="H63" s="120">
        <v>0</v>
      </c>
      <c r="I63" s="120">
        <v>0</v>
      </c>
      <c r="J63" s="120">
        <v>0</v>
      </c>
      <c r="K63" s="110">
        <v>0</v>
      </c>
      <c r="L63" s="118"/>
      <c r="M63" s="110">
        <v>0</v>
      </c>
      <c r="N63" s="118"/>
      <c r="O63" s="118"/>
      <c r="P63" s="118">
        <f t="shared" si="6"/>
        <v>0</v>
      </c>
      <c r="Q63" s="118">
        <f t="shared" si="7"/>
        <v>0</v>
      </c>
      <c r="R63" s="118">
        <f t="shared" si="8"/>
        <v>0</v>
      </c>
      <c r="S63" s="112">
        <v>0</v>
      </c>
    </row>
    <row r="64" spans="1:19" hidden="1" outlineLevel="2">
      <c r="A64" s="46"/>
      <c r="B64" s="47" t="s">
        <v>30</v>
      </c>
      <c r="C64" s="48" t="s">
        <v>4</v>
      </c>
      <c r="D64" s="26">
        <v>2</v>
      </c>
      <c r="E64" s="77"/>
      <c r="F64" s="334"/>
      <c r="G64" s="112">
        <v>0</v>
      </c>
      <c r="H64" s="120">
        <v>0</v>
      </c>
      <c r="I64" s="120">
        <v>0</v>
      </c>
      <c r="J64" s="120">
        <v>0</v>
      </c>
      <c r="K64" s="110">
        <v>0</v>
      </c>
      <c r="L64" s="118"/>
      <c r="M64" s="110">
        <v>0</v>
      </c>
      <c r="N64" s="118"/>
      <c r="O64" s="118"/>
      <c r="P64" s="118">
        <f t="shared" si="6"/>
        <v>0</v>
      </c>
      <c r="Q64" s="118">
        <f t="shared" si="7"/>
        <v>0</v>
      </c>
      <c r="R64" s="118">
        <f t="shared" si="8"/>
        <v>0</v>
      </c>
      <c r="S64" s="112">
        <v>0</v>
      </c>
    </row>
    <row r="65" spans="1:19" ht="45" hidden="1" outlineLevel="2">
      <c r="A65" s="46"/>
      <c r="B65" s="47" t="s">
        <v>49</v>
      </c>
      <c r="C65" s="48" t="s">
        <v>4</v>
      </c>
      <c r="D65" s="26">
        <v>2</v>
      </c>
      <c r="E65" s="77"/>
      <c r="F65" s="334"/>
      <c r="G65" s="112">
        <v>0</v>
      </c>
      <c r="H65" s="120">
        <v>0</v>
      </c>
      <c r="I65" s="120">
        <v>0</v>
      </c>
      <c r="J65" s="120">
        <v>0</v>
      </c>
      <c r="K65" s="110">
        <v>0</v>
      </c>
      <c r="L65" s="118"/>
      <c r="M65" s="110">
        <v>0</v>
      </c>
      <c r="N65" s="118"/>
      <c r="O65" s="118"/>
      <c r="P65" s="118">
        <f t="shared" si="6"/>
        <v>0</v>
      </c>
      <c r="Q65" s="118">
        <f t="shared" si="7"/>
        <v>0</v>
      </c>
      <c r="R65" s="118">
        <f t="shared" si="8"/>
        <v>0</v>
      </c>
      <c r="S65" s="112">
        <v>0</v>
      </c>
    </row>
    <row r="66" spans="1:19" hidden="1" outlineLevel="2">
      <c r="A66" s="39"/>
      <c r="B66" s="40" t="s">
        <v>14</v>
      </c>
      <c r="C66" s="41" t="s">
        <v>4</v>
      </c>
      <c r="D66" s="26">
        <v>6</v>
      </c>
      <c r="E66" s="77"/>
      <c r="F66" s="334"/>
      <c r="G66" s="112">
        <v>0</v>
      </c>
      <c r="H66" s="120">
        <v>0</v>
      </c>
      <c r="I66" s="120">
        <v>0</v>
      </c>
      <c r="J66" s="120">
        <v>0</v>
      </c>
      <c r="K66" s="110">
        <v>0</v>
      </c>
      <c r="L66" s="118"/>
      <c r="M66" s="110">
        <v>0</v>
      </c>
      <c r="N66" s="118"/>
      <c r="O66" s="118"/>
      <c r="P66" s="118">
        <f t="shared" si="6"/>
        <v>0</v>
      </c>
      <c r="Q66" s="118">
        <f t="shared" si="7"/>
        <v>0</v>
      </c>
      <c r="R66" s="118">
        <f t="shared" si="8"/>
        <v>0</v>
      </c>
      <c r="S66" s="112">
        <v>0</v>
      </c>
    </row>
    <row r="67" spans="1:19" hidden="1" outlineLevel="2">
      <c r="A67" s="39"/>
      <c r="B67" s="40" t="s">
        <v>32</v>
      </c>
      <c r="C67" s="49" t="s">
        <v>4</v>
      </c>
      <c r="D67" s="26">
        <v>6</v>
      </c>
      <c r="E67" s="77"/>
      <c r="F67" s="334"/>
      <c r="G67" s="112">
        <v>0</v>
      </c>
      <c r="H67" s="120">
        <v>0</v>
      </c>
      <c r="I67" s="120">
        <v>0</v>
      </c>
      <c r="J67" s="120">
        <v>0</v>
      </c>
      <c r="K67" s="110">
        <v>0</v>
      </c>
      <c r="L67" s="118"/>
      <c r="M67" s="110">
        <v>0</v>
      </c>
      <c r="N67" s="118"/>
      <c r="O67" s="118"/>
      <c r="P67" s="118">
        <f t="shared" si="6"/>
        <v>0</v>
      </c>
      <c r="Q67" s="118">
        <f t="shared" si="7"/>
        <v>0</v>
      </c>
      <c r="R67" s="118">
        <f t="shared" si="8"/>
        <v>0</v>
      </c>
      <c r="S67" s="112">
        <v>0</v>
      </c>
    </row>
    <row r="68" spans="1:19" hidden="1" outlineLevel="2">
      <c r="A68" s="39"/>
      <c r="B68" s="44" t="s">
        <v>16</v>
      </c>
      <c r="C68" s="41"/>
      <c r="D68" s="26"/>
      <c r="E68" s="77"/>
      <c r="F68" s="76"/>
      <c r="G68" s="112"/>
      <c r="H68" s="120"/>
      <c r="I68" s="120"/>
      <c r="J68" s="120"/>
      <c r="K68" s="118"/>
      <c r="L68" s="118"/>
      <c r="M68" s="118"/>
      <c r="N68" s="118"/>
      <c r="O68" s="118"/>
      <c r="P68" s="118"/>
      <c r="Q68" s="118"/>
      <c r="R68" s="118"/>
      <c r="S68" s="112">
        <v>0</v>
      </c>
    </row>
    <row r="69" spans="1:19" hidden="1" outlineLevel="2">
      <c r="A69" s="39"/>
      <c r="B69" s="40" t="s">
        <v>50</v>
      </c>
      <c r="C69" s="41" t="s">
        <v>4</v>
      </c>
      <c r="D69" s="26">
        <v>1</v>
      </c>
      <c r="E69" s="77"/>
      <c r="F69" s="334"/>
      <c r="G69" s="112">
        <v>0</v>
      </c>
      <c r="H69" s="120">
        <v>0</v>
      </c>
      <c r="I69" s="120">
        <v>0</v>
      </c>
      <c r="J69" s="120">
        <v>0</v>
      </c>
      <c r="K69" s="110">
        <v>0</v>
      </c>
      <c r="L69" s="118"/>
      <c r="M69" s="110">
        <v>0</v>
      </c>
      <c r="N69" s="118"/>
      <c r="O69" s="118"/>
      <c r="P69" s="118">
        <f t="shared" ref="P69:P82" si="9">+K69+L69+M69+N69+O69</f>
        <v>0</v>
      </c>
      <c r="Q69" s="118">
        <f t="shared" ref="Q69:Q82" si="10">+P69*D69</f>
        <v>0</v>
      </c>
      <c r="R69" s="118">
        <f t="shared" ref="R69:R82" si="11">P69*F69</f>
        <v>0</v>
      </c>
      <c r="S69" s="112">
        <v>0</v>
      </c>
    </row>
    <row r="70" spans="1:19" hidden="1" outlineLevel="2">
      <c r="A70" s="39"/>
      <c r="B70" s="40" t="s">
        <v>51</v>
      </c>
      <c r="C70" s="41" t="s">
        <v>4</v>
      </c>
      <c r="D70" s="26">
        <v>1</v>
      </c>
      <c r="E70" s="77"/>
      <c r="F70" s="334"/>
      <c r="G70" s="112">
        <v>0</v>
      </c>
      <c r="H70" s="120">
        <v>0</v>
      </c>
      <c r="I70" s="120">
        <v>0</v>
      </c>
      <c r="J70" s="120">
        <v>0</v>
      </c>
      <c r="K70" s="110">
        <v>0</v>
      </c>
      <c r="L70" s="118"/>
      <c r="M70" s="110">
        <v>0</v>
      </c>
      <c r="N70" s="118"/>
      <c r="O70" s="118"/>
      <c r="P70" s="118">
        <f t="shared" si="9"/>
        <v>0</v>
      </c>
      <c r="Q70" s="118">
        <f t="shared" si="10"/>
        <v>0</v>
      </c>
      <c r="R70" s="118">
        <f t="shared" si="11"/>
        <v>0</v>
      </c>
      <c r="S70" s="112">
        <v>0</v>
      </c>
    </row>
    <row r="71" spans="1:19" hidden="1" outlineLevel="2">
      <c r="A71" s="39"/>
      <c r="B71" s="40" t="s">
        <v>52</v>
      </c>
      <c r="C71" s="41" t="s">
        <v>4</v>
      </c>
      <c r="D71" s="26">
        <v>2</v>
      </c>
      <c r="E71" s="77"/>
      <c r="F71" s="334"/>
      <c r="G71" s="112">
        <v>0</v>
      </c>
      <c r="H71" s="120">
        <v>0</v>
      </c>
      <c r="I71" s="120">
        <v>0</v>
      </c>
      <c r="J71" s="120">
        <v>0</v>
      </c>
      <c r="K71" s="110">
        <v>0</v>
      </c>
      <c r="L71" s="118"/>
      <c r="M71" s="110">
        <v>0</v>
      </c>
      <c r="N71" s="118"/>
      <c r="O71" s="118"/>
      <c r="P71" s="118">
        <f t="shared" si="9"/>
        <v>0</v>
      </c>
      <c r="Q71" s="118">
        <f t="shared" si="10"/>
        <v>0</v>
      </c>
      <c r="R71" s="118">
        <f t="shared" si="11"/>
        <v>0</v>
      </c>
      <c r="S71" s="112">
        <v>0</v>
      </c>
    </row>
    <row r="72" spans="1:19" hidden="1" outlineLevel="2">
      <c r="A72" s="39"/>
      <c r="B72" s="40" t="s">
        <v>53</v>
      </c>
      <c r="C72" s="41" t="s">
        <v>4</v>
      </c>
      <c r="D72" s="26">
        <v>2</v>
      </c>
      <c r="E72" s="77"/>
      <c r="F72" s="334"/>
      <c r="G72" s="112">
        <v>0</v>
      </c>
      <c r="H72" s="120">
        <v>0</v>
      </c>
      <c r="I72" s="120">
        <v>0</v>
      </c>
      <c r="J72" s="120">
        <v>0</v>
      </c>
      <c r="K72" s="110">
        <v>0</v>
      </c>
      <c r="L72" s="118"/>
      <c r="M72" s="110">
        <v>0</v>
      </c>
      <c r="N72" s="118"/>
      <c r="O72" s="118"/>
      <c r="P72" s="118">
        <f t="shared" si="9"/>
        <v>0</v>
      </c>
      <c r="Q72" s="118">
        <f t="shared" si="10"/>
        <v>0</v>
      </c>
      <c r="R72" s="118">
        <f t="shared" si="11"/>
        <v>0</v>
      </c>
      <c r="S72" s="112">
        <v>0</v>
      </c>
    </row>
    <row r="73" spans="1:19" hidden="1" outlineLevel="2">
      <c r="A73" s="39"/>
      <c r="B73" s="40" t="s">
        <v>54</v>
      </c>
      <c r="C73" s="41" t="s">
        <v>4</v>
      </c>
      <c r="D73" s="26">
        <v>2</v>
      </c>
      <c r="E73" s="77"/>
      <c r="F73" s="334"/>
      <c r="G73" s="112">
        <v>0</v>
      </c>
      <c r="H73" s="120">
        <v>0</v>
      </c>
      <c r="I73" s="120">
        <v>0</v>
      </c>
      <c r="J73" s="120">
        <v>0</v>
      </c>
      <c r="K73" s="110">
        <v>0</v>
      </c>
      <c r="L73" s="118"/>
      <c r="M73" s="110">
        <v>0</v>
      </c>
      <c r="N73" s="118"/>
      <c r="O73" s="118"/>
      <c r="P73" s="118">
        <f t="shared" si="9"/>
        <v>0</v>
      </c>
      <c r="Q73" s="118">
        <f t="shared" si="10"/>
        <v>0</v>
      </c>
      <c r="R73" s="118">
        <f t="shared" si="11"/>
        <v>0</v>
      </c>
      <c r="S73" s="112">
        <v>0</v>
      </c>
    </row>
    <row r="74" spans="1:19" hidden="1" outlineLevel="2">
      <c r="A74" s="39"/>
      <c r="B74" s="40" t="s">
        <v>55</v>
      </c>
      <c r="C74" s="41" t="s">
        <v>4</v>
      </c>
      <c r="D74" s="26">
        <v>3</v>
      </c>
      <c r="E74" s="77"/>
      <c r="F74" s="334"/>
      <c r="G74" s="112">
        <v>0</v>
      </c>
      <c r="H74" s="120">
        <v>0</v>
      </c>
      <c r="I74" s="120">
        <v>0</v>
      </c>
      <c r="J74" s="120">
        <v>0</v>
      </c>
      <c r="K74" s="110">
        <v>0</v>
      </c>
      <c r="L74" s="118"/>
      <c r="M74" s="110">
        <v>0</v>
      </c>
      <c r="N74" s="118"/>
      <c r="O74" s="118"/>
      <c r="P74" s="118">
        <f t="shared" si="9"/>
        <v>0</v>
      </c>
      <c r="Q74" s="118">
        <f t="shared" si="10"/>
        <v>0</v>
      </c>
      <c r="R74" s="118">
        <f t="shared" si="11"/>
        <v>0</v>
      </c>
      <c r="S74" s="112">
        <v>0</v>
      </c>
    </row>
    <row r="75" spans="1:19" hidden="1" outlineLevel="2">
      <c r="A75" s="46"/>
      <c r="B75" s="47" t="s">
        <v>56</v>
      </c>
      <c r="C75" s="48" t="s">
        <v>4</v>
      </c>
      <c r="D75" s="26">
        <v>1</v>
      </c>
      <c r="E75" s="77"/>
      <c r="F75" s="334"/>
      <c r="G75" s="112">
        <v>0</v>
      </c>
      <c r="H75" s="120">
        <v>0</v>
      </c>
      <c r="I75" s="120">
        <v>0</v>
      </c>
      <c r="J75" s="120">
        <v>0</v>
      </c>
      <c r="K75" s="110">
        <v>0</v>
      </c>
      <c r="L75" s="118"/>
      <c r="M75" s="110">
        <v>0</v>
      </c>
      <c r="N75" s="118"/>
      <c r="O75" s="118"/>
      <c r="P75" s="118">
        <f t="shared" si="9"/>
        <v>0</v>
      </c>
      <c r="Q75" s="118">
        <f t="shared" si="10"/>
        <v>0</v>
      </c>
      <c r="R75" s="118">
        <f t="shared" si="11"/>
        <v>0</v>
      </c>
      <c r="S75" s="112">
        <v>0</v>
      </c>
    </row>
    <row r="76" spans="1:19" hidden="1" outlineLevel="2">
      <c r="A76" s="46"/>
      <c r="B76" s="47" t="s">
        <v>57</v>
      </c>
      <c r="C76" s="48" t="s">
        <v>4</v>
      </c>
      <c r="D76" s="26">
        <v>3</v>
      </c>
      <c r="E76" s="77"/>
      <c r="F76" s="334"/>
      <c r="G76" s="112">
        <v>0</v>
      </c>
      <c r="H76" s="120">
        <v>0</v>
      </c>
      <c r="I76" s="120">
        <v>0</v>
      </c>
      <c r="J76" s="120">
        <v>0</v>
      </c>
      <c r="K76" s="110">
        <v>0</v>
      </c>
      <c r="L76" s="118"/>
      <c r="M76" s="110">
        <v>0</v>
      </c>
      <c r="N76" s="118"/>
      <c r="O76" s="118"/>
      <c r="P76" s="118">
        <f t="shared" si="9"/>
        <v>0</v>
      </c>
      <c r="Q76" s="118">
        <f t="shared" si="10"/>
        <v>0</v>
      </c>
      <c r="R76" s="118">
        <f t="shared" si="11"/>
        <v>0</v>
      </c>
      <c r="S76" s="112">
        <v>0</v>
      </c>
    </row>
    <row r="77" spans="1:19" hidden="1" outlineLevel="2">
      <c r="A77" s="39"/>
      <c r="B77" s="40" t="s">
        <v>58</v>
      </c>
      <c r="C77" s="41" t="s">
        <v>4</v>
      </c>
      <c r="D77" s="26">
        <v>1</v>
      </c>
      <c r="E77" s="77"/>
      <c r="F77" s="334"/>
      <c r="G77" s="112">
        <v>0</v>
      </c>
      <c r="H77" s="120">
        <v>0</v>
      </c>
      <c r="I77" s="120">
        <v>0</v>
      </c>
      <c r="J77" s="120">
        <v>0</v>
      </c>
      <c r="K77" s="110">
        <v>0</v>
      </c>
      <c r="L77" s="118"/>
      <c r="M77" s="110">
        <v>0</v>
      </c>
      <c r="N77" s="118"/>
      <c r="O77" s="118"/>
      <c r="P77" s="118">
        <f t="shared" si="9"/>
        <v>0</v>
      </c>
      <c r="Q77" s="118">
        <f t="shared" si="10"/>
        <v>0</v>
      </c>
      <c r="R77" s="118">
        <f t="shared" si="11"/>
        <v>0</v>
      </c>
      <c r="S77" s="112">
        <v>0</v>
      </c>
    </row>
    <row r="78" spans="1:19" ht="30" hidden="1" outlineLevel="2">
      <c r="A78" s="39"/>
      <c r="B78" s="40" t="s">
        <v>59</v>
      </c>
      <c r="C78" s="41" t="s">
        <v>8</v>
      </c>
      <c r="D78" s="26">
        <v>1</v>
      </c>
      <c r="E78" s="59"/>
      <c r="F78" s="334"/>
      <c r="G78" s="112">
        <v>0</v>
      </c>
      <c r="H78" s="120">
        <v>0</v>
      </c>
      <c r="I78" s="120">
        <v>0</v>
      </c>
      <c r="J78" s="120">
        <v>0</v>
      </c>
      <c r="K78" s="110">
        <v>0</v>
      </c>
      <c r="L78" s="118"/>
      <c r="M78" s="110">
        <v>0</v>
      </c>
      <c r="N78" s="118"/>
      <c r="O78" s="118"/>
      <c r="P78" s="118">
        <f t="shared" si="9"/>
        <v>0</v>
      </c>
      <c r="Q78" s="118">
        <f t="shared" si="10"/>
        <v>0</v>
      </c>
      <c r="R78" s="118">
        <f t="shared" si="11"/>
        <v>0</v>
      </c>
      <c r="S78" s="112">
        <v>0</v>
      </c>
    </row>
    <row r="79" spans="1:19" hidden="1" outlineLevel="2">
      <c r="A79" s="39"/>
      <c r="B79" s="53" t="s">
        <v>40</v>
      </c>
      <c r="C79" s="54" t="s">
        <v>8</v>
      </c>
      <c r="D79" s="26">
        <v>1</v>
      </c>
      <c r="E79" s="60"/>
      <c r="F79" s="334"/>
      <c r="G79" s="112">
        <v>0</v>
      </c>
      <c r="H79" s="120">
        <v>0</v>
      </c>
      <c r="I79" s="120">
        <v>0</v>
      </c>
      <c r="J79" s="120">
        <v>0</v>
      </c>
      <c r="K79" s="110">
        <v>0</v>
      </c>
      <c r="L79" s="118"/>
      <c r="M79" s="110">
        <v>0</v>
      </c>
      <c r="N79" s="118"/>
      <c r="O79" s="118"/>
      <c r="P79" s="118">
        <f t="shared" si="9"/>
        <v>0</v>
      </c>
      <c r="Q79" s="118">
        <f t="shared" si="10"/>
        <v>0</v>
      </c>
      <c r="R79" s="118">
        <f t="shared" si="11"/>
        <v>0</v>
      </c>
      <c r="S79" s="112">
        <v>0</v>
      </c>
    </row>
    <row r="80" spans="1:19" hidden="1" outlineLevel="2">
      <c r="A80" s="39"/>
      <c r="B80" s="53" t="s">
        <v>60</v>
      </c>
      <c r="C80" s="54" t="s">
        <v>6</v>
      </c>
      <c r="D80" s="26">
        <v>1</v>
      </c>
      <c r="E80" s="61"/>
      <c r="F80" s="334"/>
      <c r="G80" s="112">
        <v>0</v>
      </c>
      <c r="H80" s="120">
        <v>0</v>
      </c>
      <c r="I80" s="120">
        <v>0</v>
      </c>
      <c r="J80" s="120">
        <v>0</v>
      </c>
      <c r="K80" s="110">
        <v>0</v>
      </c>
      <c r="L80" s="118"/>
      <c r="M80" s="110">
        <v>0</v>
      </c>
      <c r="N80" s="118"/>
      <c r="O80" s="118"/>
      <c r="P80" s="118">
        <f t="shared" si="9"/>
        <v>0</v>
      </c>
      <c r="Q80" s="118">
        <f t="shared" si="10"/>
        <v>0</v>
      </c>
      <c r="R80" s="118">
        <f t="shared" si="11"/>
        <v>0</v>
      </c>
      <c r="S80" s="112">
        <v>0</v>
      </c>
    </row>
    <row r="81" spans="1:19" ht="60" outlineLevel="1" collapsed="1">
      <c r="A81" s="57">
        <v>3</v>
      </c>
      <c r="B81" s="44" t="s">
        <v>61</v>
      </c>
      <c r="C81" s="58" t="s">
        <v>6</v>
      </c>
      <c r="D81" s="102">
        <v>1</v>
      </c>
      <c r="E81" s="372"/>
      <c r="F81" s="334">
        <v>1</v>
      </c>
      <c r="G81" s="112" t="s">
        <v>61</v>
      </c>
      <c r="H81" s="120" t="s">
        <v>1075</v>
      </c>
      <c r="I81" s="120" t="s">
        <v>828</v>
      </c>
      <c r="J81" s="120" t="s">
        <v>829</v>
      </c>
      <c r="K81" s="110">
        <v>283760500</v>
      </c>
      <c r="L81" s="118"/>
      <c r="M81" s="110">
        <v>8060000</v>
      </c>
      <c r="N81" s="118"/>
      <c r="O81" s="118"/>
      <c r="P81" s="118">
        <f t="shared" si="9"/>
        <v>291820500</v>
      </c>
      <c r="Q81" s="118">
        <f t="shared" si="10"/>
        <v>291820500</v>
      </c>
      <c r="R81" s="118">
        <f t="shared" si="11"/>
        <v>291820500</v>
      </c>
      <c r="S81" s="112" t="s">
        <v>4094</v>
      </c>
    </row>
    <row r="82" spans="1:19" hidden="1" outlineLevel="2">
      <c r="A82" s="39"/>
      <c r="B82" s="40" t="s">
        <v>1047</v>
      </c>
      <c r="C82" s="41" t="s">
        <v>4</v>
      </c>
      <c r="D82" s="26">
        <v>1</v>
      </c>
      <c r="E82" s="62"/>
      <c r="F82" s="334"/>
      <c r="G82" s="112">
        <v>0</v>
      </c>
      <c r="H82" s="120">
        <v>0</v>
      </c>
      <c r="I82" s="120">
        <v>0</v>
      </c>
      <c r="J82" s="120">
        <v>0</v>
      </c>
      <c r="K82" s="110">
        <v>0</v>
      </c>
      <c r="L82" s="118"/>
      <c r="M82" s="110">
        <v>0</v>
      </c>
      <c r="N82" s="118"/>
      <c r="O82" s="118"/>
      <c r="P82" s="118">
        <f t="shared" si="9"/>
        <v>0</v>
      </c>
      <c r="Q82" s="118">
        <f t="shared" si="10"/>
        <v>0</v>
      </c>
      <c r="R82" s="118">
        <f t="shared" si="11"/>
        <v>0</v>
      </c>
      <c r="S82" s="112">
        <v>0</v>
      </c>
    </row>
    <row r="83" spans="1:19" hidden="1" outlineLevel="2">
      <c r="A83" s="39"/>
      <c r="B83" s="44" t="s">
        <v>13</v>
      </c>
      <c r="C83" s="41"/>
      <c r="D83" s="26"/>
      <c r="E83" s="62"/>
      <c r="F83" s="323"/>
      <c r="G83" s="112"/>
      <c r="H83" s="120"/>
      <c r="I83" s="120"/>
      <c r="J83" s="120"/>
      <c r="K83" s="540"/>
      <c r="L83" s="540"/>
      <c r="M83" s="540"/>
      <c r="N83" s="540"/>
      <c r="O83" s="540"/>
      <c r="P83" s="540"/>
      <c r="Q83" s="540"/>
      <c r="R83" s="540"/>
      <c r="S83" s="112">
        <v>0</v>
      </c>
    </row>
    <row r="84" spans="1:19" ht="30" hidden="1" outlineLevel="2">
      <c r="A84" s="39"/>
      <c r="B84" s="40" t="s">
        <v>62</v>
      </c>
      <c r="C84" s="41" t="s">
        <v>4</v>
      </c>
      <c r="D84" s="26">
        <v>1</v>
      </c>
      <c r="E84" s="63"/>
      <c r="F84" s="334"/>
      <c r="G84" s="112">
        <v>0</v>
      </c>
      <c r="H84" s="120">
        <v>0</v>
      </c>
      <c r="I84" s="120">
        <v>0</v>
      </c>
      <c r="J84" s="120">
        <v>0</v>
      </c>
      <c r="K84" s="110">
        <v>0</v>
      </c>
      <c r="L84" s="118"/>
      <c r="M84" s="110">
        <v>0</v>
      </c>
      <c r="N84" s="118"/>
      <c r="O84" s="118"/>
      <c r="P84" s="118">
        <f t="shared" ref="P84:P94" si="12">+K84+L84+M84+N84+O84</f>
        <v>0</v>
      </c>
      <c r="Q84" s="118">
        <f t="shared" ref="Q84:Q94" si="13">+P84*D84</f>
        <v>0</v>
      </c>
      <c r="R84" s="118">
        <f t="shared" ref="R84:R94" si="14">P84*F84</f>
        <v>0</v>
      </c>
      <c r="S84" s="112">
        <v>0</v>
      </c>
    </row>
    <row r="85" spans="1:19" ht="30" hidden="1" outlineLevel="2">
      <c r="A85" s="50"/>
      <c r="B85" s="45" t="s">
        <v>679</v>
      </c>
      <c r="C85" s="27" t="s">
        <v>4</v>
      </c>
      <c r="D85" s="26">
        <v>2</v>
      </c>
      <c r="E85" s="64"/>
      <c r="F85" s="334"/>
      <c r="G85" s="112">
        <v>0</v>
      </c>
      <c r="H85" s="120">
        <v>0</v>
      </c>
      <c r="I85" s="120">
        <v>0</v>
      </c>
      <c r="J85" s="120">
        <v>0</v>
      </c>
      <c r="K85" s="110">
        <v>0</v>
      </c>
      <c r="L85" s="118"/>
      <c r="M85" s="110">
        <v>0</v>
      </c>
      <c r="N85" s="118"/>
      <c r="O85" s="118"/>
      <c r="P85" s="118">
        <f t="shared" si="12"/>
        <v>0</v>
      </c>
      <c r="Q85" s="118">
        <f t="shared" si="13"/>
        <v>0</v>
      </c>
      <c r="R85" s="118">
        <f t="shared" si="14"/>
        <v>0</v>
      </c>
      <c r="S85" s="112">
        <v>0</v>
      </c>
    </row>
    <row r="86" spans="1:19" hidden="1" outlineLevel="2">
      <c r="A86" s="50"/>
      <c r="B86" s="45" t="s">
        <v>680</v>
      </c>
      <c r="C86" s="27" t="s">
        <v>4</v>
      </c>
      <c r="D86" s="26">
        <v>2</v>
      </c>
      <c r="E86" s="65"/>
      <c r="F86" s="334"/>
      <c r="G86" s="112">
        <v>0</v>
      </c>
      <c r="H86" s="120">
        <v>0</v>
      </c>
      <c r="I86" s="120">
        <v>0</v>
      </c>
      <c r="J86" s="120">
        <v>0</v>
      </c>
      <c r="K86" s="110">
        <v>0</v>
      </c>
      <c r="L86" s="118"/>
      <c r="M86" s="110">
        <v>0</v>
      </c>
      <c r="N86" s="118"/>
      <c r="O86" s="118"/>
      <c r="P86" s="118">
        <f t="shared" si="12"/>
        <v>0</v>
      </c>
      <c r="Q86" s="118">
        <f t="shared" si="13"/>
        <v>0</v>
      </c>
      <c r="R86" s="118">
        <f t="shared" si="14"/>
        <v>0</v>
      </c>
      <c r="S86" s="112">
        <v>0</v>
      </c>
    </row>
    <row r="87" spans="1:19" hidden="1" outlineLevel="2">
      <c r="A87" s="39"/>
      <c r="B87" s="40" t="s">
        <v>63</v>
      </c>
      <c r="C87" s="41" t="s">
        <v>4</v>
      </c>
      <c r="D87" s="26">
        <v>1</v>
      </c>
      <c r="E87" s="65"/>
      <c r="F87" s="334"/>
      <c r="G87" s="112">
        <v>0</v>
      </c>
      <c r="H87" s="120">
        <v>0</v>
      </c>
      <c r="I87" s="120">
        <v>0</v>
      </c>
      <c r="J87" s="120">
        <v>0</v>
      </c>
      <c r="K87" s="110">
        <v>0</v>
      </c>
      <c r="L87" s="118"/>
      <c r="M87" s="110">
        <v>0</v>
      </c>
      <c r="N87" s="118"/>
      <c r="O87" s="118"/>
      <c r="P87" s="118">
        <f t="shared" si="12"/>
        <v>0</v>
      </c>
      <c r="Q87" s="118">
        <f t="shared" si="13"/>
        <v>0</v>
      </c>
      <c r="R87" s="118">
        <f t="shared" si="14"/>
        <v>0</v>
      </c>
      <c r="S87" s="112">
        <v>0</v>
      </c>
    </row>
    <row r="88" spans="1:19" hidden="1" outlineLevel="2">
      <c r="A88" s="39"/>
      <c r="B88" s="40" t="s">
        <v>47</v>
      </c>
      <c r="C88" s="41" t="s">
        <v>4</v>
      </c>
      <c r="D88" s="26">
        <v>1</v>
      </c>
      <c r="E88" s="436"/>
      <c r="F88" s="334"/>
      <c r="G88" s="112">
        <v>0</v>
      </c>
      <c r="H88" s="120">
        <v>0</v>
      </c>
      <c r="I88" s="120">
        <v>0</v>
      </c>
      <c r="J88" s="120">
        <v>0</v>
      </c>
      <c r="K88" s="110">
        <v>0</v>
      </c>
      <c r="L88" s="118"/>
      <c r="M88" s="110">
        <v>0</v>
      </c>
      <c r="N88" s="118"/>
      <c r="O88" s="118"/>
      <c r="P88" s="118">
        <f t="shared" si="12"/>
        <v>0</v>
      </c>
      <c r="Q88" s="118">
        <f t="shared" si="13"/>
        <v>0</v>
      </c>
      <c r="R88" s="118">
        <f t="shared" si="14"/>
        <v>0</v>
      </c>
      <c r="S88" s="112">
        <v>0</v>
      </c>
    </row>
    <row r="89" spans="1:19" hidden="1" outlineLevel="2">
      <c r="A89" s="46"/>
      <c r="B89" s="47" t="s">
        <v>64</v>
      </c>
      <c r="C89" s="48" t="s">
        <v>12</v>
      </c>
      <c r="D89" s="26">
        <v>6</v>
      </c>
      <c r="E89" s="66"/>
      <c r="F89" s="334"/>
      <c r="G89" s="112">
        <v>0</v>
      </c>
      <c r="H89" s="120">
        <v>0</v>
      </c>
      <c r="I89" s="120">
        <v>0</v>
      </c>
      <c r="J89" s="120">
        <v>0</v>
      </c>
      <c r="K89" s="110">
        <v>0</v>
      </c>
      <c r="L89" s="118"/>
      <c r="M89" s="110">
        <v>0</v>
      </c>
      <c r="N89" s="118"/>
      <c r="O89" s="118"/>
      <c r="P89" s="118">
        <f t="shared" si="12"/>
        <v>0</v>
      </c>
      <c r="Q89" s="118">
        <f t="shared" si="13"/>
        <v>0</v>
      </c>
      <c r="R89" s="118">
        <f t="shared" si="14"/>
        <v>0</v>
      </c>
      <c r="S89" s="112">
        <v>0</v>
      </c>
    </row>
    <row r="90" spans="1:19" hidden="1" outlineLevel="2">
      <c r="A90" s="46"/>
      <c r="B90" s="47" t="s">
        <v>29</v>
      </c>
      <c r="C90" s="48" t="s">
        <v>4</v>
      </c>
      <c r="D90" s="26">
        <v>2</v>
      </c>
      <c r="E90" s="66"/>
      <c r="F90" s="334"/>
      <c r="G90" s="112">
        <v>0</v>
      </c>
      <c r="H90" s="120">
        <v>0</v>
      </c>
      <c r="I90" s="120">
        <v>0</v>
      </c>
      <c r="J90" s="120">
        <v>0</v>
      </c>
      <c r="K90" s="110">
        <v>0</v>
      </c>
      <c r="L90" s="118"/>
      <c r="M90" s="110">
        <v>0</v>
      </c>
      <c r="N90" s="118"/>
      <c r="O90" s="118"/>
      <c r="P90" s="118">
        <f t="shared" si="12"/>
        <v>0</v>
      </c>
      <c r="Q90" s="118">
        <f t="shared" si="13"/>
        <v>0</v>
      </c>
      <c r="R90" s="118">
        <f t="shared" si="14"/>
        <v>0</v>
      </c>
      <c r="S90" s="112">
        <v>0</v>
      </c>
    </row>
    <row r="91" spans="1:19" hidden="1" outlineLevel="2">
      <c r="A91" s="46"/>
      <c r="B91" s="47" t="s">
        <v>30</v>
      </c>
      <c r="C91" s="48" t="s">
        <v>4</v>
      </c>
      <c r="D91" s="26">
        <v>2</v>
      </c>
      <c r="E91" s="66"/>
      <c r="F91" s="334"/>
      <c r="G91" s="112">
        <v>0</v>
      </c>
      <c r="H91" s="120">
        <v>0</v>
      </c>
      <c r="I91" s="120">
        <v>0</v>
      </c>
      <c r="J91" s="120">
        <v>0</v>
      </c>
      <c r="K91" s="110">
        <v>0</v>
      </c>
      <c r="L91" s="118"/>
      <c r="M91" s="110">
        <v>0</v>
      </c>
      <c r="N91" s="118"/>
      <c r="O91" s="118"/>
      <c r="P91" s="118">
        <f t="shared" si="12"/>
        <v>0</v>
      </c>
      <c r="Q91" s="118">
        <f t="shared" si="13"/>
        <v>0</v>
      </c>
      <c r="R91" s="118">
        <f t="shared" si="14"/>
        <v>0</v>
      </c>
      <c r="S91" s="112">
        <v>0</v>
      </c>
    </row>
    <row r="92" spans="1:19" ht="45" hidden="1" outlineLevel="2">
      <c r="A92" s="46"/>
      <c r="B92" s="47" t="s">
        <v>49</v>
      </c>
      <c r="C92" s="48" t="s">
        <v>4</v>
      </c>
      <c r="D92" s="26">
        <v>2</v>
      </c>
      <c r="E92" s="66"/>
      <c r="F92" s="334"/>
      <c r="G92" s="112">
        <v>0</v>
      </c>
      <c r="H92" s="120">
        <v>0</v>
      </c>
      <c r="I92" s="120">
        <v>0</v>
      </c>
      <c r="J92" s="120">
        <v>0</v>
      </c>
      <c r="K92" s="110">
        <v>0</v>
      </c>
      <c r="L92" s="118"/>
      <c r="M92" s="110">
        <v>0</v>
      </c>
      <c r="N92" s="118"/>
      <c r="O92" s="118"/>
      <c r="P92" s="118">
        <f t="shared" si="12"/>
        <v>0</v>
      </c>
      <c r="Q92" s="118">
        <f t="shared" si="13"/>
        <v>0</v>
      </c>
      <c r="R92" s="118">
        <f t="shared" si="14"/>
        <v>0</v>
      </c>
      <c r="S92" s="112">
        <v>0</v>
      </c>
    </row>
    <row r="93" spans="1:19" hidden="1" outlineLevel="2">
      <c r="A93" s="39"/>
      <c r="B93" s="40" t="s">
        <v>14</v>
      </c>
      <c r="C93" s="41" t="s">
        <v>4</v>
      </c>
      <c r="D93" s="26">
        <v>6</v>
      </c>
      <c r="E93" s="67"/>
      <c r="F93" s="334"/>
      <c r="G93" s="112">
        <v>0</v>
      </c>
      <c r="H93" s="120">
        <v>0</v>
      </c>
      <c r="I93" s="120">
        <v>0</v>
      </c>
      <c r="J93" s="120">
        <v>0</v>
      </c>
      <c r="K93" s="110">
        <v>0</v>
      </c>
      <c r="L93" s="118"/>
      <c r="M93" s="110">
        <v>0</v>
      </c>
      <c r="N93" s="118"/>
      <c r="O93" s="118"/>
      <c r="P93" s="118">
        <f t="shared" si="12"/>
        <v>0</v>
      </c>
      <c r="Q93" s="118">
        <f t="shared" si="13"/>
        <v>0</v>
      </c>
      <c r="R93" s="118">
        <f t="shared" si="14"/>
        <v>0</v>
      </c>
      <c r="S93" s="112">
        <v>0</v>
      </c>
    </row>
    <row r="94" spans="1:19" hidden="1" outlineLevel="2">
      <c r="A94" s="39"/>
      <c r="B94" s="40" t="s">
        <v>32</v>
      </c>
      <c r="C94" s="49" t="s">
        <v>4</v>
      </c>
      <c r="D94" s="26">
        <v>6</v>
      </c>
      <c r="E94" s="66"/>
      <c r="F94" s="334"/>
      <c r="G94" s="112">
        <v>0</v>
      </c>
      <c r="H94" s="120">
        <v>0</v>
      </c>
      <c r="I94" s="120">
        <v>0</v>
      </c>
      <c r="J94" s="120">
        <v>0</v>
      </c>
      <c r="K94" s="110">
        <v>0</v>
      </c>
      <c r="L94" s="118"/>
      <c r="M94" s="110">
        <v>0</v>
      </c>
      <c r="N94" s="118"/>
      <c r="O94" s="118"/>
      <c r="P94" s="118">
        <f t="shared" si="12"/>
        <v>0</v>
      </c>
      <c r="Q94" s="118">
        <f t="shared" si="13"/>
        <v>0</v>
      </c>
      <c r="R94" s="118">
        <f t="shared" si="14"/>
        <v>0</v>
      </c>
      <c r="S94" s="112">
        <v>0</v>
      </c>
    </row>
    <row r="95" spans="1:19" hidden="1" outlineLevel="2">
      <c r="A95" s="39"/>
      <c r="B95" s="44" t="s">
        <v>16</v>
      </c>
      <c r="C95" s="41"/>
      <c r="D95" s="26"/>
      <c r="E95" s="66"/>
      <c r="F95" s="324"/>
      <c r="G95" s="112"/>
      <c r="H95" s="120"/>
      <c r="I95" s="120"/>
      <c r="J95" s="120"/>
      <c r="K95" s="66"/>
      <c r="L95" s="66"/>
      <c r="M95" s="66"/>
      <c r="N95" s="66"/>
      <c r="O95" s="66"/>
      <c r="P95" s="66"/>
      <c r="Q95" s="66"/>
      <c r="R95" s="66"/>
      <c r="S95" s="112">
        <v>0</v>
      </c>
    </row>
    <row r="96" spans="1:19" hidden="1" outlineLevel="2">
      <c r="A96" s="39"/>
      <c r="B96" s="40" t="s">
        <v>50</v>
      </c>
      <c r="C96" s="41" t="s">
        <v>4</v>
      </c>
      <c r="D96" s="26">
        <v>1</v>
      </c>
      <c r="E96" s="60"/>
      <c r="F96" s="334"/>
      <c r="G96" s="112">
        <v>0</v>
      </c>
      <c r="H96" s="120">
        <v>0</v>
      </c>
      <c r="I96" s="120">
        <v>0</v>
      </c>
      <c r="J96" s="120">
        <v>0</v>
      </c>
      <c r="K96" s="110">
        <v>0</v>
      </c>
      <c r="L96" s="118"/>
      <c r="M96" s="110">
        <v>0</v>
      </c>
      <c r="N96" s="118"/>
      <c r="O96" s="118"/>
      <c r="P96" s="118">
        <f t="shared" ref="P96:P107" si="15">+K96+L96+M96+N96+O96</f>
        <v>0</v>
      </c>
      <c r="Q96" s="118">
        <f t="shared" ref="Q96:Q107" si="16">+P96*D96</f>
        <v>0</v>
      </c>
      <c r="R96" s="118">
        <f t="shared" ref="R96:R107" si="17">P96*F96</f>
        <v>0</v>
      </c>
      <c r="S96" s="112">
        <v>0</v>
      </c>
    </row>
    <row r="97" spans="1:19" hidden="1" outlineLevel="2">
      <c r="A97" s="39"/>
      <c r="B97" s="40" t="s">
        <v>51</v>
      </c>
      <c r="C97" s="41" t="s">
        <v>4</v>
      </c>
      <c r="D97" s="26">
        <v>1</v>
      </c>
      <c r="E97" s="60"/>
      <c r="F97" s="334"/>
      <c r="G97" s="112">
        <v>0</v>
      </c>
      <c r="H97" s="120">
        <v>0</v>
      </c>
      <c r="I97" s="120">
        <v>0</v>
      </c>
      <c r="J97" s="120">
        <v>0</v>
      </c>
      <c r="K97" s="110">
        <v>0</v>
      </c>
      <c r="L97" s="118"/>
      <c r="M97" s="110">
        <v>0</v>
      </c>
      <c r="N97" s="118"/>
      <c r="O97" s="118"/>
      <c r="P97" s="118">
        <f t="shared" si="15"/>
        <v>0</v>
      </c>
      <c r="Q97" s="118">
        <f t="shared" si="16"/>
        <v>0</v>
      </c>
      <c r="R97" s="118">
        <f t="shared" si="17"/>
        <v>0</v>
      </c>
      <c r="S97" s="112">
        <v>0</v>
      </c>
    </row>
    <row r="98" spans="1:19" hidden="1" outlineLevel="2">
      <c r="A98" s="39"/>
      <c r="B98" s="40" t="s">
        <v>52</v>
      </c>
      <c r="C98" s="41" t="s">
        <v>4</v>
      </c>
      <c r="D98" s="26">
        <v>2</v>
      </c>
      <c r="E98" s="60"/>
      <c r="F98" s="334"/>
      <c r="G98" s="112">
        <v>0</v>
      </c>
      <c r="H98" s="120">
        <v>0</v>
      </c>
      <c r="I98" s="120">
        <v>0</v>
      </c>
      <c r="J98" s="120">
        <v>0</v>
      </c>
      <c r="K98" s="110">
        <v>0</v>
      </c>
      <c r="L98" s="118"/>
      <c r="M98" s="110">
        <v>0</v>
      </c>
      <c r="N98" s="118"/>
      <c r="O98" s="118"/>
      <c r="P98" s="118">
        <f t="shared" si="15"/>
        <v>0</v>
      </c>
      <c r="Q98" s="118">
        <f t="shared" si="16"/>
        <v>0</v>
      </c>
      <c r="R98" s="118">
        <f t="shared" si="17"/>
        <v>0</v>
      </c>
      <c r="S98" s="112">
        <v>0</v>
      </c>
    </row>
    <row r="99" spans="1:19" hidden="1" outlineLevel="2">
      <c r="A99" s="39"/>
      <c r="B99" s="40" t="s">
        <v>53</v>
      </c>
      <c r="C99" s="41" t="s">
        <v>4</v>
      </c>
      <c r="D99" s="26">
        <v>3</v>
      </c>
      <c r="E99" s="68"/>
      <c r="F99" s="334"/>
      <c r="G99" s="112">
        <v>0</v>
      </c>
      <c r="H99" s="120">
        <v>0</v>
      </c>
      <c r="I99" s="120">
        <v>0</v>
      </c>
      <c r="J99" s="120">
        <v>0</v>
      </c>
      <c r="K99" s="110">
        <v>0</v>
      </c>
      <c r="L99" s="118"/>
      <c r="M99" s="110">
        <v>0</v>
      </c>
      <c r="N99" s="118"/>
      <c r="O99" s="118"/>
      <c r="P99" s="118">
        <f t="shared" si="15"/>
        <v>0</v>
      </c>
      <c r="Q99" s="118">
        <f t="shared" si="16"/>
        <v>0</v>
      </c>
      <c r="R99" s="118">
        <f t="shared" si="17"/>
        <v>0</v>
      </c>
      <c r="S99" s="112">
        <v>0</v>
      </c>
    </row>
    <row r="100" spans="1:19" hidden="1" outlineLevel="2">
      <c r="A100" s="39"/>
      <c r="B100" s="40" t="s">
        <v>65</v>
      </c>
      <c r="C100" s="41" t="s">
        <v>4</v>
      </c>
      <c r="D100" s="26">
        <v>1</v>
      </c>
      <c r="E100" s="68"/>
      <c r="F100" s="334"/>
      <c r="G100" s="112">
        <v>0</v>
      </c>
      <c r="H100" s="120">
        <v>0</v>
      </c>
      <c r="I100" s="120">
        <v>0</v>
      </c>
      <c r="J100" s="120">
        <v>0</v>
      </c>
      <c r="K100" s="110">
        <v>0</v>
      </c>
      <c r="L100" s="118"/>
      <c r="M100" s="110">
        <v>0</v>
      </c>
      <c r="N100" s="118"/>
      <c r="O100" s="118"/>
      <c r="P100" s="118">
        <f t="shared" si="15"/>
        <v>0</v>
      </c>
      <c r="Q100" s="118">
        <f t="shared" si="16"/>
        <v>0</v>
      </c>
      <c r="R100" s="118">
        <f t="shared" si="17"/>
        <v>0</v>
      </c>
      <c r="S100" s="112">
        <v>0</v>
      </c>
    </row>
    <row r="101" spans="1:19" hidden="1" outlineLevel="2">
      <c r="A101" s="39"/>
      <c r="B101" s="40" t="s">
        <v>55</v>
      </c>
      <c r="C101" s="41" t="s">
        <v>4</v>
      </c>
      <c r="D101" s="26">
        <v>2</v>
      </c>
      <c r="E101" s="68"/>
      <c r="F101" s="334"/>
      <c r="G101" s="112">
        <v>0</v>
      </c>
      <c r="H101" s="120">
        <v>0</v>
      </c>
      <c r="I101" s="120">
        <v>0</v>
      </c>
      <c r="J101" s="120">
        <v>0</v>
      </c>
      <c r="K101" s="110">
        <v>0</v>
      </c>
      <c r="L101" s="118"/>
      <c r="M101" s="110">
        <v>0</v>
      </c>
      <c r="N101" s="118"/>
      <c r="O101" s="118"/>
      <c r="P101" s="118">
        <f t="shared" si="15"/>
        <v>0</v>
      </c>
      <c r="Q101" s="118">
        <f t="shared" si="16"/>
        <v>0</v>
      </c>
      <c r="R101" s="118">
        <f t="shared" si="17"/>
        <v>0</v>
      </c>
      <c r="S101" s="112">
        <v>0</v>
      </c>
    </row>
    <row r="102" spans="1:19" hidden="1" outlineLevel="2">
      <c r="A102" s="39"/>
      <c r="B102" s="40" t="s">
        <v>58</v>
      </c>
      <c r="C102" s="41" t="s">
        <v>4</v>
      </c>
      <c r="D102" s="26">
        <v>1</v>
      </c>
      <c r="E102" s="340"/>
      <c r="F102" s="334"/>
      <c r="G102" s="112">
        <v>0</v>
      </c>
      <c r="H102" s="120">
        <v>0</v>
      </c>
      <c r="I102" s="120">
        <v>0</v>
      </c>
      <c r="J102" s="120">
        <v>0</v>
      </c>
      <c r="K102" s="110">
        <v>0</v>
      </c>
      <c r="L102" s="118"/>
      <c r="M102" s="110">
        <v>0</v>
      </c>
      <c r="N102" s="118"/>
      <c r="O102" s="118"/>
      <c r="P102" s="118">
        <f t="shared" si="15"/>
        <v>0</v>
      </c>
      <c r="Q102" s="118">
        <f t="shared" si="16"/>
        <v>0</v>
      </c>
      <c r="R102" s="118">
        <f t="shared" si="17"/>
        <v>0</v>
      </c>
      <c r="S102" s="112">
        <v>0</v>
      </c>
    </row>
    <row r="103" spans="1:19" ht="30" hidden="1" outlineLevel="2">
      <c r="A103" s="39"/>
      <c r="B103" s="40" t="s">
        <v>66</v>
      </c>
      <c r="C103" s="41" t="s">
        <v>8</v>
      </c>
      <c r="D103" s="26">
        <v>1</v>
      </c>
      <c r="E103" s="66"/>
      <c r="F103" s="334"/>
      <c r="G103" s="112">
        <v>0</v>
      </c>
      <c r="H103" s="120">
        <v>0</v>
      </c>
      <c r="I103" s="120">
        <v>0</v>
      </c>
      <c r="J103" s="120">
        <v>0</v>
      </c>
      <c r="K103" s="110">
        <v>0</v>
      </c>
      <c r="L103" s="118"/>
      <c r="M103" s="110">
        <v>0</v>
      </c>
      <c r="N103" s="118"/>
      <c r="O103" s="118"/>
      <c r="P103" s="118">
        <f t="shared" si="15"/>
        <v>0</v>
      </c>
      <c r="Q103" s="118">
        <f t="shared" si="16"/>
        <v>0</v>
      </c>
      <c r="R103" s="118">
        <f t="shared" si="17"/>
        <v>0</v>
      </c>
      <c r="S103" s="112">
        <v>0</v>
      </c>
    </row>
    <row r="104" spans="1:19" hidden="1" outlineLevel="2">
      <c r="A104" s="39"/>
      <c r="B104" s="53" t="s">
        <v>40</v>
      </c>
      <c r="C104" s="54" t="s">
        <v>8</v>
      </c>
      <c r="D104" s="26">
        <v>1</v>
      </c>
      <c r="E104" s="62"/>
      <c r="F104" s="334"/>
      <c r="G104" s="112">
        <v>0</v>
      </c>
      <c r="H104" s="120">
        <v>0</v>
      </c>
      <c r="I104" s="120">
        <v>0</v>
      </c>
      <c r="J104" s="120">
        <v>0</v>
      </c>
      <c r="K104" s="110">
        <v>0</v>
      </c>
      <c r="L104" s="118"/>
      <c r="M104" s="110">
        <v>0</v>
      </c>
      <c r="N104" s="118"/>
      <c r="O104" s="118"/>
      <c r="P104" s="118">
        <f t="shared" si="15"/>
        <v>0</v>
      </c>
      <c r="Q104" s="118">
        <f t="shared" si="16"/>
        <v>0</v>
      </c>
      <c r="R104" s="118">
        <f t="shared" si="17"/>
        <v>0</v>
      </c>
      <c r="S104" s="112">
        <v>0</v>
      </c>
    </row>
    <row r="105" spans="1:19" hidden="1" outlineLevel="2">
      <c r="A105" s="39"/>
      <c r="B105" s="53" t="s">
        <v>60</v>
      </c>
      <c r="C105" s="54" t="s">
        <v>6</v>
      </c>
      <c r="D105" s="26">
        <v>1</v>
      </c>
      <c r="E105" s="61"/>
      <c r="F105" s="334"/>
      <c r="G105" s="112">
        <v>0</v>
      </c>
      <c r="H105" s="120">
        <v>0</v>
      </c>
      <c r="I105" s="120">
        <v>0</v>
      </c>
      <c r="J105" s="120">
        <v>0</v>
      </c>
      <c r="K105" s="110">
        <v>0</v>
      </c>
      <c r="L105" s="118"/>
      <c r="M105" s="110">
        <v>0</v>
      </c>
      <c r="N105" s="118"/>
      <c r="O105" s="118"/>
      <c r="P105" s="118">
        <f t="shared" si="15"/>
        <v>0</v>
      </c>
      <c r="Q105" s="118">
        <f t="shared" si="16"/>
        <v>0</v>
      </c>
      <c r="R105" s="118">
        <f t="shared" si="17"/>
        <v>0</v>
      </c>
      <c r="S105" s="112">
        <v>0</v>
      </c>
    </row>
    <row r="106" spans="1:19" ht="60" outlineLevel="1" collapsed="1">
      <c r="A106" s="57">
        <v>4</v>
      </c>
      <c r="B106" s="44" t="s">
        <v>67</v>
      </c>
      <c r="C106" s="58" t="s">
        <v>6</v>
      </c>
      <c r="D106" s="102">
        <v>1</v>
      </c>
      <c r="E106" s="372"/>
      <c r="F106" s="334">
        <v>1</v>
      </c>
      <c r="G106" s="112" t="s">
        <v>67</v>
      </c>
      <c r="H106" s="120" t="s">
        <v>1075</v>
      </c>
      <c r="I106" s="120" t="s">
        <v>828</v>
      </c>
      <c r="J106" s="120" t="s">
        <v>829</v>
      </c>
      <c r="K106" s="110">
        <v>1703359400</v>
      </c>
      <c r="L106" s="118"/>
      <c r="M106" s="110">
        <v>37200000</v>
      </c>
      <c r="N106" s="118"/>
      <c r="O106" s="118"/>
      <c r="P106" s="118">
        <f t="shared" si="15"/>
        <v>1740559400</v>
      </c>
      <c r="Q106" s="118">
        <f t="shared" si="16"/>
        <v>1740559400</v>
      </c>
      <c r="R106" s="118">
        <f t="shared" si="17"/>
        <v>1740559400</v>
      </c>
      <c r="S106" s="112" t="s">
        <v>4094</v>
      </c>
    </row>
    <row r="107" spans="1:19" hidden="1" outlineLevel="2">
      <c r="A107" s="39"/>
      <c r="B107" s="40" t="s">
        <v>1047</v>
      </c>
      <c r="C107" s="41" t="s">
        <v>4</v>
      </c>
      <c r="D107" s="26">
        <v>1</v>
      </c>
      <c r="E107" s="62"/>
      <c r="F107" s="334"/>
      <c r="G107" s="112">
        <v>0</v>
      </c>
      <c r="H107" s="120">
        <v>0</v>
      </c>
      <c r="I107" s="120">
        <v>0</v>
      </c>
      <c r="J107" s="120">
        <v>0</v>
      </c>
      <c r="K107" s="110">
        <v>0</v>
      </c>
      <c r="L107" s="118"/>
      <c r="M107" s="110">
        <v>0</v>
      </c>
      <c r="N107" s="118"/>
      <c r="O107" s="118"/>
      <c r="P107" s="118">
        <f t="shared" si="15"/>
        <v>0</v>
      </c>
      <c r="Q107" s="118">
        <f t="shared" si="16"/>
        <v>0</v>
      </c>
      <c r="R107" s="118">
        <f t="shared" si="17"/>
        <v>0</v>
      </c>
      <c r="S107" s="112">
        <v>0</v>
      </c>
    </row>
    <row r="108" spans="1:19" hidden="1" outlineLevel="2">
      <c r="A108" s="39"/>
      <c r="B108" s="44" t="s">
        <v>13</v>
      </c>
      <c r="C108" s="41"/>
      <c r="D108" s="26"/>
      <c r="E108" s="62"/>
      <c r="F108" s="323"/>
      <c r="G108" s="112"/>
      <c r="H108" s="120"/>
      <c r="I108" s="120"/>
      <c r="J108" s="120"/>
      <c r="K108" s="540"/>
      <c r="L108" s="540"/>
      <c r="M108" s="540"/>
      <c r="N108" s="540"/>
      <c r="O108" s="540"/>
      <c r="P108" s="540"/>
      <c r="Q108" s="540"/>
      <c r="R108" s="540"/>
      <c r="S108" s="112">
        <v>0</v>
      </c>
    </row>
    <row r="109" spans="1:19" ht="45" hidden="1" outlineLevel="2">
      <c r="A109" s="39"/>
      <c r="B109" s="40" t="s">
        <v>23</v>
      </c>
      <c r="C109" s="41" t="s">
        <v>4</v>
      </c>
      <c r="D109" s="26">
        <v>1</v>
      </c>
      <c r="E109" s="62"/>
      <c r="F109" s="334"/>
      <c r="G109" s="112">
        <v>0</v>
      </c>
      <c r="H109" s="120">
        <v>0</v>
      </c>
      <c r="I109" s="120">
        <v>0</v>
      </c>
      <c r="J109" s="120">
        <v>0</v>
      </c>
      <c r="K109" s="110">
        <v>0</v>
      </c>
      <c r="L109" s="118"/>
      <c r="M109" s="110">
        <v>0</v>
      </c>
      <c r="N109" s="118"/>
      <c r="O109" s="118"/>
      <c r="P109" s="118">
        <f t="shared" ref="P109:P122" si="18">+K109+L109+M109+N109+O109</f>
        <v>0</v>
      </c>
      <c r="Q109" s="118">
        <f t="shared" ref="Q109:Q122" si="19">+P109*D109</f>
        <v>0</v>
      </c>
      <c r="R109" s="118">
        <f t="shared" ref="R109:R122" si="20">P109*F109</f>
        <v>0</v>
      </c>
      <c r="S109" s="112">
        <v>0</v>
      </c>
    </row>
    <row r="110" spans="1:19" ht="30" hidden="1" outlineLevel="2">
      <c r="A110" s="39"/>
      <c r="B110" s="45" t="s">
        <v>675</v>
      </c>
      <c r="C110" s="41" t="s">
        <v>4</v>
      </c>
      <c r="D110" s="26">
        <v>1</v>
      </c>
      <c r="E110" s="62"/>
      <c r="F110" s="334"/>
      <c r="G110" s="112">
        <v>0</v>
      </c>
      <c r="H110" s="120">
        <v>0</v>
      </c>
      <c r="I110" s="120">
        <v>0</v>
      </c>
      <c r="J110" s="120">
        <v>0</v>
      </c>
      <c r="K110" s="110">
        <v>0</v>
      </c>
      <c r="L110" s="118"/>
      <c r="M110" s="110">
        <v>0</v>
      </c>
      <c r="N110" s="118"/>
      <c r="O110" s="118"/>
      <c r="P110" s="118">
        <f t="shared" si="18"/>
        <v>0</v>
      </c>
      <c r="Q110" s="118">
        <f t="shared" si="19"/>
        <v>0</v>
      </c>
      <c r="R110" s="118">
        <f t="shared" si="20"/>
        <v>0</v>
      </c>
      <c r="S110" s="112">
        <v>0</v>
      </c>
    </row>
    <row r="111" spans="1:19" ht="30" hidden="1" outlineLevel="2">
      <c r="A111" s="39"/>
      <c r="B111" s="45" t="s">
        <v>676</v>
      </c>
      <c r="C111" s="41" t="s">
        <v>4</v>
      </c>
      <c r="D111" s="26">
        <v>1</v>
      </c>
      <c r="E111" s="62"/>
      <c r="F111" s="334"/>
      <c r="G111" s="112">
        <v>0</v>
      </c>
      <c r="H111" s="120">
        <v>0</v>
      </c>
      <c r="I111" s="120">
        <v>0</v>
      </c>
      <c r="J111" s="120">
        <v>0</v>
      </c>
      <c r="K111" s="110">
        <v>0</v>
      </c>
      <c r="L111" s="118"/>
      <c r="M111" s="110">
        <v>0</v>
      </c>
      <c r="N111" s="118"/>
      <c r="O111" s="118"/>
      <c r="P111" s="118">
        <f t="shared" si="18"/>
        <v>0</v>
      </c>
      <c r="Q111" s="118">
        <f t="shared" si="19"/>
        <v>0</v>
      </c>
      <c r="R111" s="118">
        <f t="shared" si="20"/>
        <v>0</v>
      </c>
      <c r="S111" s="112">
        <v>0</v>
      </c>
    </row>
    <row r="112" spans="1:19" hidden="1" outlineLevel="2">
      <c r="A112" s="39"/>
      <c r="B112" s="40" t="s">
        <v>24</v>
      </c>
      <c r="C112" s="41" t="s">
        <v>4</v>
      </c>
      <c r="D112" s="26">
        <v>1</v>
      </c>
      <c r="E112" s="62"/>
      <c r="F112" s="334"/>
      <c r="G112" s="112">
        <v>0</v>
      </c>
      <c r="H112" s="120">
        <v>0</v>
      </c>
      <c r="I112" s="120">
        <v>0</v>
      </c>
      <c r="J112" s="120">
        <v>0</v>
      </c>
      <c r="K112" s="110">
        <v>0</v>
      </c>
      <c r="L112" s="118"/>
      <c r="M112" s="110">
        <v>0</v>
      </c>
      <c r="N112" s="118"/>
      <c r="O112" s="118"/>
      <c r="P112" s="118">
        <f t="shared" si="18"/>
        <v>0</v>
      </c>
      <c r="Q112" s="118">
        <f t="shared" si="19"/>
        <v>0</v>
      </c>
      <c r="R112" s="118">
        <f t="shared" si="20"/>
        <v>0</v>
      </c>
      <c r="S112" s="112">
        <v>0</v>
      </c>
    </row>
    <row r="113" spans="1:19" hidden="1" outlineLevel="2">
      <c r="A113" s="39"/>
      <c r="B113" s="40" t="s">
        <v>26</v>
      </c>
      <c r="C113" s="41" t="s">
        <v>4</v>
      </c>
      <c r="D113" s="26">
        <v>1</v>
      </c>
      <c r="E113" s="62"/>
      <c r="F113" s="334"/>
      <c r="G113" s="112">
        <v>0</v>
      </c>
      <c r="H113" s="120">
        <v>0</v>
      </c>
      <c r="I113" s="120">
        <v>0</v>
      </c>
      <c r="J113" s="120">
        <v>0</v>
      </c>
      <c r="K113" s="110">
        <v>0</v>
      </c>
      <c r="L113" s="118"/>
      <c r="M113" s="110">
        <v>0</v>
      </c>
      <c r="N113" s="118"/>
      <c r="O113" s="118"/>
      <c r="P113" s="118">
        <f t="shared" si="18"/>
        <v>0</v>
      </c>
      <c r="Q113" s="118">
        <f t="shared" si="19"/>
        <v>0</v>
      </c>
      <c r="R113" s="118">
        <f t="shared" si="20"/>
        <v>0</v>
      </c>
      <c r="S113" s="112">
        <v>0</v>
      </c>
    </row>
    <row r="114" spans="1:19" hidden="1" outlineLevel="2">
      <c r="A114" s="39"/>
      <c r="B114" s="40" t="s">
        <v>28</v>
      </c>
      <c r="C114" s="41" t="s">
        <v>4</v>
      </c>
      <c r="D114" s="26">
        <v>3</v>
      </c>
      <c r="E114" s="62"/>
      <c r="F114" s="334"/>
      <c r="G114" s="112">
        <v>0</v>
      </c>
      <c r="H114" s="120">
        <v>0</v>
      </c>
      <c r="I114" s="120">
        <v>0</v>
      </c>
      <c r="J114" s="120">
        <v>0</v>
      </c>
      <c r="K114" s="110">
        <v>0</v>
      </c>
      <c r="L114" s="118"/>
      <c r="M114" s="110">
        <v>0</v>
      </c>
      <c r="N114" s="118"/>
      <c r="O114" s="118"/>
      <c r="P114" s="118">
        <f t="shared" si="18"/>
        <v>0</v>
      </c>
      <c r="Q114" s="118">
        <f t="shared" si="19"/>
        <v>0</v>
      </c>
      <c r="R114" s="118">
        <f t="shared" si="20"/>
        <v>0</v>
      </c>
      <c r="S114" s="112">
        <v>0</v>
      </c>
    </row>
    <row r="115" spans="1:19" hidden="1" outlineLevel="2">
      <c r="A115" s="46"/>
      <c r="B115" s="47" t="s">
        <v>11</v>
      </c>
      <c r="C115" s="48" t="s">
        <v>12</v>
      </c>
      <c r="D115" s="26">
        <v>9</v>
      </c>
      <c r="E115" s="62"/>
      <c r="F115" s="334"/>
      <c r="G115" s="112">
        <v>0</v>
      </c>
      <c r="H115" s="120">
        <v>0</v>
      </c>
      <c r="I115" s="120">
        <v>0</v>
      </c>
      <c r="J115" s="120">
        <v>0</v>
      </c>
      <c r="K115" s="110">
        <v>0</v>
      </c>
      <c r="L115" s="118"/>
      <c r="M115" s="110">
        <v>0</v>
      </c>
      <c r="N115" s="118"/>
      <c r="O115" s="118"/>
      <c r="P115" s="118">
        <f t="shared" si="18"/>
        <v>0</v>
      </c>
      <c r="Q115" s="118">
        <f t="shared" si="19"/>
        <v>0</v>
      </c>
      <c r="R115" s="118">
        <f t="shared" si="20"/>
        <v>0</v>
      </c>
      <c r="S115" s="112">
        <v>0</v>
      </c>
    </row>
    <row r="116" spans="1:19" hidden="1" outlineLevel="2">
      <c r="A116" s="46"/>
      <c r="B116" s="47" t="s">
        <v>29</v>
      </c>
      <c r="C116" s="48" t="s">
        <v>4</v>
      </c>
      <c r="D116" s="26">
        <v>1</v>
      </c>
      <c r="E116" s="60"/>
      <c r="F116" s="334"/>
      <c r="G116" s="112">
        <v>0</v>
      </c>
      <c r="H116" s="120">
        <v>0</v>
      </c>
      <c r="I116" s="120">
        <v>0</v>
      </c>
      <c r="J116" s="120">
        <v>0</v>
      </c>
      <c r="K116" s="110">
        <v>0</v>
      </c>
      <c r="L116" s="118"/>
      <c r="M116" s="110">
        <v>0</v>
      </c>
      <c r="N116" s="118"/>
      <c r="O116" s="118"/>
      <c r="P116" s="118">
        <f t="shared" si="18"/>
        <v>0</v>
      </c>
      <c r="Q116" s="118">
        <f t="shared" si="19"/>
        <v>0</v>
      </c>
      <c r="R116" s="118">
        <f t="shared" si="20"/>
        <v>0</v>
      </c>
      <c r="S116" s="112">
        <v>0</v>
      </c>
    </row>
    <row r="117" spans="1:19" hidden="1" outlineLevel="2">
      <c r="A117" s="46"/>
      <c r="B117" s="47" t="s">
        <v>30</v>
      </c>
      <c r="C117" s="48" t="s">
        <v>4</v>
      </c>
      <c r="D117" s="26">
        <v>1</v>
      </c>
      <c r="E117" s="61"/>
      <c r="F117" s="334"/>
      <c r="G117" s="112">
        <v>0</v>
      </c>
      <c r="H117" s="120">
        <v>0</v>
      </c>
      <c r="I117" s="120">
        <v>0</v>
      </c>
      <c r="J117" s="120">
        <v>0</v>
      </c>
      <c r="K117" s="110">
        <v>0</v>
      </c>
      <c r="L117" s="118"/>
      <c r="M117" s="110">
        <v>0</v>
      </c>
      <c r="N117" s="118"/>
      <c r="O117" s="118"/>
      <c r="P117" s="118">
        <f t="shared" si="18"/>
        <v>0</v>
      </c>
      <c r="Q117" s="118">
        <f t="shared" si="19"/>
        <v>0</v>
      </c>
      <c r="R117" s="118">
        <f t="shared" si="20"/>
        <v>0</v>
      </c>
      <c r="S117" s="112">
        <v>0</v>
      </c>
    </row>
    <row r="118" spans="1:19" hidden="1" outlineLevel="2">
      <c r="A118" s="39"/>
      <c r="B118" s="40" t="s">
        <v>14</v>
      </c>
      <c r="C118" s="41" t="s">
        <v>4</v>
      </c>
      <c r="D118" s="26">
        <v>9</v>
      </c>
      <c r="E118" s="63"/>
      <c r="F118" s="334"/>
      <c r="G118" s="112">
        <v>0</v>
      </c>
      <c r="H118" s="120">
        <v>0</v>
      </c>
      <c r="I118" s="120">
        <v>0</v>
      </c>
      <c r="J118" s="120">
        <v>0</v>
      </c>
      <c r="K118" s="110">
        <v>0</v>
      </c>
      <c r="L118" s="118"/>
      <c r="M118" s="110">
        <v>0</v>
      </c>
      <c r="N118" s="118"/>
      <c r="O118" s="118"/>
      <c r="P118" s="118">
        <f t="shared" si="18"/>
        <v>0</v>
      </c>
      <c r="Q118" s="118">
        <f t="shared" si="19"/>
        <v>0</v>
      </c>
      <c r="R118" s="118">
        <f t="shared" si="20"/>
        <v>0</v>
      </c>
      <c r="S118" s="112">
        <v>0</v>
      </c>
    </row>
    <row r="119" spans="1:19" hidden="1" outlineLevel="2">
      <c r="A119" s="39"/>
      <c r="B119" s="40" t="s">
        <v>32</v>
      </c>
      <c r="C119" s="49" t="s">
        <v>4</v>
      </c>
      <c r="D119" s="26">
        <v>9</v>
      </c>
      <c r="E119" s="66"/>
      <c r="F119" s="334"/>
      <c r="G119" s="112">
        <v>0</v>
      </c>
      <c r="H119" s="120">
        <v>0</v>
      </c>
      <c r="I119" s="120">
        <v>0</v>
      </c>
      <c r="J119" s="120">
        <v>0</v>
      </c>
      <c r="K119" s="110">
        <v>0</v>
      </c>
      <c r="L119" s="118"/>
      <c r="M119" s="110">
        <v>0</v>
      </c>
      <c r="N119" s="118"/>
      <c r="O119" s="118"/>
      <c r="P119" s="118">
        <f t="shared" si="18"/>
        <v>0</v>
      </c>
      <c r="Q119" s="118">
        <f t="shared" si="19"/>
        <v>0</v>
      </c>
      <c r="R119" s="118">
        <f t="shared" si="20"/>
        <v>0</v>
      </c>
      <c r="S119" s="112">
        <v>0</v>
      </c>
    </row>
    <row r="120" spans="1:19" ht="45" hidden="1" outlineLevel="2">
      <c r="A120" s="46"/>
      <c r="B120" s="47" t="s">
        <v>49</v>
      </c>
      <c r="C120" s="48" t="s">
        <v>4</v>
      </c>
      <c r="D120" s="26">
        <v>1</v>
      </c>
      <c r="E120" s="50"/>
      <c r="F120" s="334"/>
      <c r="G120" s="112">
        <v>0</v>
      </c>
      <c r="H120" s="120">
        <v>0</v>
      </c>
      <c r="I120" s="120">
        <v>0</v>
      </c>
      <c r="J120" s="120">
        <v>0</v>
      </c>
      <c r="K120" s="110">
        <v>0</v>
      </c>
      <c r="L120" s="118"/>
      <c r="M120" s="110">
        <v>0</v>
      </c>
      <c r="N120" s="118"/>
      <c r="O120" s="118"/>
      <c r="P120" s="118">
        <f t="shared" si="18"/>
        <v>0</v>
      </c>
      <c r="Q120" s="118">
        <f t="shared" si="19"/>
        <v>0</v>
      </c>
      <c r="R120" s="118">
        <f t="shared" si="20"/>
        <v>0</v>
      </c>
      <c r="S120" s="112">
        <v>0</v>
      </c>
    </row>
    <row r="121" spans="1:19" hidden="1" outlineLevel="2">
      <c r="A121" s="39"/>
      <c r="B121" s="40" t="s">
        <v>15</v>
      </c>
      <c r="C121" s="41" t="s">
        <v>4</v>
      </c>
      <c r="D121" s="26">
        <v>1</v>
      </c>
      <c r="E121" s="66"/>
      <c r="F121" s="334"/>
      <c r="G121" s="112">
        <v>0</v>
      </c>
      <c r="H121" s="120">
        <v>0</v>
      </c>
      <c r="I121" s="120">
        <v>0</v>
      </c>
      <c r="J121" s="120">
        <v>0</v>
      </c>
      <c r="K121" s="110">
        <v>0</v>
      </c>
      <c r="L121" s="118"/>
      <c r="M121" s="110">
        <v>0</v>
      </c>
      <c r="N121" s="118"/>
      <c r="O121" s="118"/>
      <c r="P121" s="118">
        <f t="shared" si="18"/>
        <v>0</v>
      </c>
      <c r="Q121" s="118">
        <f t="shared" si="19"/>
        <v>0</v>
      </c>
      <c r="R121" s="118">
        <f t="shared" si="20"/>
        <v>0</v>
      </c>
      <c r="S121" s="112">
        <v>0</v>
      </c>
    </row>
    <row r="122" spans="1:19" ht="30" hidden="1" outlineLevel="2">
      <c r="A122" s="39"/>
      <c r="B122" s="40" t="s">
        <v>68</v>
      </c>
      <c r="C122" s="41" t="s">
        <v>4</v>
      </c>
      <c r="D122" s="26">
        <v>1</v>
      </c>
      <c r="E122" s="63"/>
      <c r="F122" s="334"/>
      <c r="G122" s="112">
        <v>0</v>
      </c>
      <c r="H122" s="120">
        <v>0</v>
      </c>
      <c r="I122" s="120">
        <v>0</v>
      </c>
      <c r="J122" s="120">
        <v>0</v>
      </c>
      <c r="K122" s="110">
        <v>0</v>
      </c>
      <c r="L122" s="118"/>
      <c r="M122" s="110">
        <v>0</v>
      </c>
      <c r="N122" s="118"/>
      <c r="O122" s="118"/>
      <c r="P122" s="118">
        <f t="shared" si="18"/>
        <v>0</v>
      </c>
      <c r="Q122" s="118">
        <f t="shared" si="19"/>
        <v>0</v>
      </c>
      <c r="R122" s="118">
        <f t="shared" si="20"/>
        <v>0</v>
      </c>
      <c r="S122" s="112">
        <v>0</v>
      </c>
    </row>
    <row r="123" spans="1:19" hidden="1" outlineLevel="2">
      <c r="A123" s="39"/>
      <c r="B123" s="44" t="s">
        <v>16</v>
      </c>
      <c r="C123" s="41"/>
      <c r="D123" s="26"/>
      <c r="E123" s="69"/>
      <c r="F123" s="69"/>
      <c r="G123" s="120"/>
      <c r="H123" s="120"/>
      <c r="I123" s="120"/>
      <c r="J123" s="120"/>
      <c r="K123" s="541"/>
      <c r="L123" s="541"/>
      <c r="M123" s="541"/>
      <c r="N123" s="541"/>
      <c r="O123" s="541"/>
      <c r="P123" s="541"/>
      <c r="Q123" s="541"/>
      <c r="R123" s="541"/>
      <c r="S123" s="112">
        <v>0</v>
      </c>
    </row>
    <row r="124" spans="1:19" hidden="1" outlineLevel="2">
      <c r="A124" s="39"/>
      <c r="B124" s="40" t="s">
        <v>69</v>
      </c>
      <c r="C124" s="41" t="s">
        <v>4</v>
      </c>
      <c r="D124" s="26">
        <v>2</v>
      </c>
      <c r="E124" s="66"/>
      <c r="F124" s="334"/>
      <c r="G124" s="112">
        <v>0</v>
      </c>
      <c r="H124" s="120">
        <v>0</v>
      </c>
      <c r="I124" s="120">
        <v>0</v>
      </c>
      <c r="J124" s="120">
        <v>0</v>
      </c>
      <c r="K124" s="110">
        <v>0</v>
      </c>
      <c r="L124" s="118"/>
      <c r="M124" s="110">
        <v>0</v>
      </c>
      <c r="N124" s="118"/>
      <c r="O124" s="118"/>
      <c r="P124" s="118">
        <f t="shared" ref="P124:P133" si="21">+K124+L124+M124+N124+O124</f>
        <v>0</v>
      </c>
      <c r="Q124" s="118">
        <f t="shared" ref="Q124:Q133" si="22">+P124*D124</f>
        <v>0</v>
      </c>
      <c r="R124" s="118">
        <f t="shared" ref="R124:R133" si="23">P124*F124</f>
        <v>0</v>
      </c>
      <c r="S124" s="112">
        <v>0</v>
      </c>
    </row>
    <row r="125" spans="1:19" ht="30" hidden="1" outlineLevel="2">
      <c r="A125" s="39"/>
      <c r="B125" s="45" t="s">
        <v>4025</v>
      </c>
      <c r="C125" s="41" t="s">
        <v>4</v>
      </c>
      <c r="D125" s="26">
        <v>2</v>
      </c>
      <c r="E125" s="65"/>
      <c r="F125" s="334"/>
      <c r="G125" s="112">
        <v>0</v>
      </c>
      <c r="H125" s="120">
        <v>0</v>
      </c>
      <c r="I125" s="120">
        <v>0</v>
      </c>
      <c r="J125" s="120">
        <v>0</v>
      </c>
      <c r="K125" s="110">
        <v>0</v>
      </c>
      <c r="L125" s="118"/>
      <c r="M125" s="110">
        <v>0</v>
      </c>
      <c r="N125" s="118"/>
      <c r="O125" s="118"/>
      <c r="P125" s="118">
        <f t="shared" si="21"/>
        <v>0</v>
      </c>
      <c r="Q125" s="118">
        <f t="shared" si="22"/>
        <v>0</v>
      </c>
      <c r="R125" s="118">
        <f t="shared" si="23"/>
        <v>0</v>
      </c>
      <c r="S125" s="112">
        <v>0</v>
      </c>
    </row>
    <row r="126" spans="1:19" ht="30" hidden="1" outlineLevel="2">
      <c r="A126" s="39"/>
      <c r="B126" s="45" t="s">
        <v>4026</v>
      </c>
      <c r="C126" s="41" t="s">
        <v>4</v>
      </c>
      <c r="D126" s="26">
        <v>2</v>
      </c>
      <c r="E126" s="61"/>
      <c r="F126" s="334"/>
      <c r="G126" s="112">
        <v>0</v>
      </c>
      <c r="H126" s="120">
        <v>0</v>
      </c>
      <c r="I126" s="120">
        <v>0</v>
      </c>
      <c r="J126" s="120">
        <v>0</v>
      </c>
      <c r="K126" s="110">
        <v>0</v>
      </c>
      <c r="L126" s="118"/>
      <c r="M126" s="110">
        <v>0</v>
      </c>
      <c r="N126" s="118"/>
      <c r="O126" s="118"/>
      <c r="P126" s="118">
        <f t="shared" si="21"/>
        <v>0</v>
      </c>
      <c r="Q126" s="118">
        <f t="shared" si="22"/>
        <v>0</v>
      </c>
      <c r="R126" s="118">
        <f t="shared" si="23"/>
        <v>0</v>
      </c>
      <c r="S126" s="112">
        <v>0</v>
      </c>
    </row>
    <row r="127" spans="1:19" hidden="1" outlineLevel="2">
      <c r="A127" s="39"/>
      <c r="B127" s="40" t="s">
        <v>24</v>
      </c>
      <c r="C127" s="41" t="s">
        <v>4</v>
      </c>
      <c r="D127" s="26">
        <v>2</v>
      </c>
      <c r="E127" s="66"/>
      <c r="F127" s="334"/>
      <c r="G127" s="112">
        <v>0</v>
      </c>
      <c r="H127" s="120">
        <v>0</v>
      </c>
      <c r="I127" s="120">
        <v>0</v>
      </c>
      <c r="J127" s="120">
        <v>0</v>
      </c>
      <c r="K127" s="110">
        <v>0</v>
      </c>
      <c r="L127" s="118"/>
      <c r="M127" s="110">
        <v>0</v>
      </c>
      <c r="N127" s="118"/>
      <c r="O127" s="118"/>
      <c r="P127" s="118">
        <f t="shared" si="21"/>
        <v>0</v>
      </c>
      <c r="Q127" s="118">
        <f t="shared" si="22"/>
        <v>0</v>
      </c>
      <c r="R127" s="118">
        <f t="shared" si="23"/>
        <v>0</v>
      </c>
      <c r="S127" s="112">
        <v>0</v>
      </c>
    </row>
    <row r="128" spans="1:19" hidden="1" outlineLevel="2">
      <c r="A128" s="46"/>
      <c r="B128" s="47" t="s">
        <v>11</v>
      </c>
      <c r="C128" s="48" t="s">
        <v>12</v>
      </c>
      <c r="D128" s="26">
        <v>6</v>
      </c>
      <c r="E128" s="66"/>
      <c r="F128" s="334"/>
      <c r="G128" s="112">
        <v>0</v>
      </c>
      <c r="H128" s="120">
        <v>0</v>
      </c>
      <c r="I128" s="120">
        <v>0</v>
      </c>
      <c r="J128" s="120">
        <v>0</v>
      </c>
      <c r="K128" s="110">
        <v>0</v>
      </c>
      <c r="L128" s="118"/>
      <c r="M128" s="110">
        <v>0</v>
      </c>
      <c r="N128" s="118"/>
      <c r="O128" s="118"/>
      <c r="P128" s="118">
        <f t="shared" si="21"/>
        <v>0</v>
      </c>
      <c r="Q128" s="118">
        <f t="shared" si="22"/>
        <v>0</v>
      </c>
      <c r="R128" s="118">
        <f t="shared" si="23"/>
        <v>0</v>
      </c>
      <c r="S128" s="112">
        <v>0</v>
      </c>
    </row>
    <row r="129" spans="1:19" hidden="1" outlineLevel="2">
      <c r="A129" s="46"/>
      <c r="B129" s="47" t="s">
        <v>29</v>
      </c>
      <c r="C129" s="48" t="s">
        <v>4</v>
      </c>
      <c r="D129" s="26">
        <v>2</v>
      </c>
      <c r="E129" s="66"/>
      <c r="F129" s="334"/>
      <c r="G129" s="112">
        <v>0</v>
      </c>
      <c r="H129" s="120">
        <v>0</v>
      </c>
      <c r="I129" s="120">
        <v>0</v>
      </c>
      <c r="J129" s="120">
        <v>0</v>
      </c>
      <c r="K129" s="110">
        <v>0</v>
      </c>
      <c r="L129" s="118"/>
      <c r="M129" s="110">
        <v>0</v>
      </c>
      <c r="N129" s="118"/>
      <c r="O129" s="118"/>
      <c r="P129" s="118">
        <f t="shared" si="21"/>
        <v>0</v>
      </c>
      <c r="Q129" s="118">
        <f t="shared" si="22"/>
        <v>0</v>
      </c>
      <c r="R129" s="118">
        <f t="shared" si="23"/>
        <v>0</v>
      </c>
      <c r="S129" s="112">
        <v>0</v>
      </c>
    </row>
    <row r="130" spans="1:19" hidden="1" outlineLevel="2">
      <c r="A130" s="46"/>
      <c r="B130" s="47" t="s">
        <v>30</v>
      </c>
      <c r="C130" s="48" t="s">
        <v>4</v>
      </c>
      <c r="D130" s="26">
        <v>2</v>
      </c>
      <c r="E130" s="66"/>
      <c r="F130" s="334"/>
      <c r="G130" s="112">
        <v>0</v>
      </c>
      <c r="H130" s="120">
        <v>0</v>
      </c>
      <c r="I130" s="120">
        <v>0</v>
      </c>
      <c r="J130" s="120">
        <v>0</v>
      </c>
      <c r="K130" s="110">
        <v>0</v>
      </c>
      <c r="L130" s="118"/>
      <c r="M130" s="110">
        <v>0</v>
      </c>
      <c r="N130" s="118"/>
      <c r="O130" s="118"/>
      <c r="P130" s="118">
        <f t="shared" si="21"/>
        <v>0</v>
      </c>
      <c r="Q130" s="118">
        <f t="shared" si="22"/>
        <v>0</v>
      </c>
      <c r="R130" s="118">
        <f t="shared" si="23"/>
        <v>0</v>
      </c>
      <c r="S130" s="112">
        <v>0</v>
      </c>
    </row>
    <row r="131" spans="1:19" hidden="1" outlineLevel="2">
      <c r="A131" s="39"/>
      <c r="B131" s="40" t="s">
        <v>14</v>
      </c>
      <c r="C131" s="41" t="s">
        <v>4</v>
      </c>
      <c r="D131" s="26">
        <v>6</v>
      </c>
      <c r="E131" s="66"/>
      <c r="F131" s="334"/>
      <c r="G131" s="112">
        <v>0</v>
      </c>
      <c r="H131" s="120">
        <v>0</v>
      </c>
      <c r="I131" s="120">
        <v>0</v>
      </c>
      <c r="J131" s="120">
        <v>0</v>
      </c>
      <c r="K131" s="110">
        <v>0</v>
      </c>
      <c r="L131" s="118"/>
      <c r="M131" s="110">
        <v>0</v>
      </c>
      <c r="N131" s="118"/>
      <c r="O131" s="118"/>
      <c r="P131" s="118">
        <f t="shared" si="21"/>
        <v>0</v>
      </c>
      <c r="Q131" s="118">
        <f t="shared" si="22"/>
        <v>0</v>
      </c>
      <c r="R131" s="118">
        <f t="shared" si="23"/>
        <v>0</v>
      </c>
      <c r="S131" s="112">
        <v>0</v>
      </c>
    </row>
    <row r="132" spans="1:19" hidden="1" outlineLevel="2">
      <c r="A132" s="39"/>
      <c r="B132" s="40" t="s">
        <v>32</v>
      </c>
      <c r="C132" s="49" t="s">
        <v>4</v>
      </c>
      <c r="D132" s="26">
        <v>6</v>
      </c>
      <c r="E132" s="60"/>
      <c r="F132" s="334"/>
      <c r="G132" s="112">
        <v>0</v>
      </c>
      <c r="H132" s="120">
        <v>0</v>
      </c>
      <c r="I132" s="120">
        <v>0</v>
      </c>
      <c r="J132" s="120">
        <v>0</v>
      </c>
      <c r="K132" s="110">
        <v>0</v>
      </c>
      <c r="L132" s="118"/>
      <c r="M132" s="110">
        <v>0</v>
      </c>
      <c r="N132" s="118"/>
      <c r="O132" s="118"/>
      <c r="P132" s="118">
        <f t="shared" si="21"/>
        <v>0</v>
      </c>
      <c r="Q132" s="118">
        <f t="shared" si="22"/>
        <v>0</v>
      </c>
      <c r="R132" s="118">
        <f t="shared" si="23"/>
        <v>0</v>
      </c>
      <c r="S132" s="112">
        <v>0</v>
      </c>
    </row>
    <row r="133" spans="1:19" ht="45" hidden="1" outlineLevel="2">
      <c r="A133" s="46"/>
      <c r="B133" s="47" t="s">
        <v>49</v>
      </c>
      <c r="C133" s="48" t="s">
        <v>4</v>
      </c>
      <c r="D133" s="26">
        <v>2</v>
      </c>
      <c r="E133" s="60"/>
      <c r="F133" s="334"/>
      <c r="G133" s="112">
        <v>0</v>
      </c>
      <c r="H133" s="120">
        <v>0</v>
      </c>
      <c r="I133" s="120">
        <v>0</v>
      </c>
      <c r="J133" s="120">
        <v>0</v>
      </c>
      <c r="K133" s="110">
        <v>0</v>
      </c>
      <c r="L133" s="118"/>
      <c r="M133" s="110">
        <v>0</v>
      </c>
      <c r="N133" s="118"/>
      <c r="O133" s="118"/>
      <c r="P133" s="118">
        <f t="shared" si="21"/>
        <v>0</v>
      </c>
      <c r="Q133" s="118">
        <f t="shared" si="22"/>
        <v>0</v>
      </c>
      <c r="R133" s="118">
        <f t="shared" si="23"/>
        <v>0</v>
      </c>
      <c r="S133" s="112">
        <v>0</v>
      </c>
    </row>
    <row r="134" spans="1:19" hidden="1" outlineLevel="2">
      <c r="A134" s="57"/>
      <c r="B134" s="70" t="s">
        <v>70</v>
      </c>
      <c r="C134" s="23"/>
      <c r="D134" s="26"/>
      <c r="E134" s="60"/>
      <c r="F134" s="325"/>
      <c r="G134" s="112"/>
      <c r="H134" s="120"/>
      <c r="I134" s="120"/>
      <c r="J134" s="120"/>
      <c r="K134" s="118"/>
      <c r="L134" s="118"/>
      <c r="M134" s="118"/>
      <c r="N134" s="118"/>
      <c r="O134" s="118"/>
      <c r="P134" s="118"/>
      <c r="Q134" s="118"/>
      <c r="R134" s="118"/>
      <c r="S134" s="112">
        <v>0</v>
      </c>
    </row>
    <row r="135" spans="1:19" hidden="1" outlineLevel="2">
      <c r="A135" s="555"/>
      <c r="B135" s="45" t="s">
        <v>71</v>
      </c>
      <c r="C135" s="27" t="s">
        <v>4</v>
      </c>
      <c r="D135" s="26">
        <v>4</v>
      </c>
      <c r="E135" s="60"/>
      <c r="F135" s="334"/>
      <c r="G135" s="112">
        <v>0</v>
      </c>
      <c r="H135" s="120">
        <v>0</v>
      </c>
      <c r="I135" s="120">
        <v>0</v>
      </c>
      <c r="J135" s="120">
        <v>0</v>
      </c>
      <c r="K135" s="110">
        <v>0</v>
      </c>
      <c r="L135" s="118"/>
      <c r="M135" s="110">
        <v>0</v>
      </c>
      <c r="N135" s="118"/>
      <c r="O135" s="118"/>
      <c r="P135" s="118">
        <f t="shared" ref="P135:P155" si="24">+K135+L135+M135+N135+O135</f>
        <v>0</v>
      </c>
      <c r="Q135" s="118">
        <f t="shared" ref="Q135:Q155" si="25">+P135*D135</f>
        <v>0</v>
      </c>
      <c r="R135" s="118">
        <f t="shared" ref="R135:R155" si="26">P135*F135</f>
        <v>0</v>
      </c>
      <c r="S135" s="112">
        <v>0</v>
      </c>
    </row>
    <row r="136" spans="1:19" hidden="1" outlineLevel="2">
      <c r="A136" s="555"/>
      <c r="B136" s="45" t="s">
        <v>72</v>
      </c>
      <c r="C136" s="27" t="s">
        <v>4</v>
      </c>
      <c r="D136" s="26">
        <v>1</v>
      </c>
      <c r="E136" s="66"/>
      <c r="F136" s="334"/>
      <c r="G136" s="112">
        <v>0</v>
      </c>
      <c r="H136" s="120">
        <v>0</v>
      </c>
      <c r="I136" s="120">
        <v>0</v>
      </c>
      <c r="J136" s="120">
        <v>0</v>
      </c>
      <c r="K136" s="110">
        <v>0</v>
      </c>
      <c r="L136" s="118"/>
      <c r="M136" s="110">
        <v>0</v>
      </c>
      <c r="N136" s="118"/>
      <c r="O136" s="118"/>
      <c r="P136" s="118">
        <f t="shared" si="24"/>
        <v>0</v>
      </c>
      <c r="Q136" s="118">
        <f t="shared" si="25"/>
        <v>0</v>
      </c>
      <c r="R136" s="118">
        <f t="shared" si="26"/>
        <v>0</v>
      </c>
      <c r="S136" s="112">
        <v>0</v>
      </c>
    </row>
    <row r="137" spans="1:19" hidden="1" outlineLevel="2">
      <c r="A137" s="555"/>
      <c r="B137" s="45" t="s">
        <v>73</v>
      </c>
      <c r="C137" s="27" t="s">
        <v>4</v>
      </c>
      <c r="D137" s="26">
        <v>1</v>
      </c>
      <c r="E137" s="66"/>
      <c r="F137" s="334"/>
      <c r="G137" s="112">
        <v>0</v>
      </c>
      <c r="H137" s="120">
        <v>0</v>
      </c>
      <c r="I137" s="120">
        <v>0</v>
      </c>
      <c r="J137" s="120">
        <v>0</v>
      </c>
      <c r="K137" s="110">
        <v>0</v>
      </c>
      <c r="L137" s="118"/>
      <c r="M137" s="110">
        <v>0</v>
      </c>
      <c r="N137" s="118"/>
      <c r="O137" s="118"/>
      <c r="P137" s="118">
        <f t="shared" si="24"/>
        <v>0</v>
      </c>
      <c r="Q137" s="118">
        <f t="shared" si="25"/>
        <v>0</v>
      </c>
      <c r="R137" s="118">
        <f t="shared" si="26"/>
        <v>0</v>
      </c>
      <c r="S137" s="112">
        <v>0</v>
      </c>
    </row>
    <row r="138" spans="1:19" hidden="1" outlineLevel="2">
      <c r="A138" s="555"/>
      <c r="B138" s="45" t="s">
        <v>74</v>
      </c>
      <c r="C138" s="27" t="s">
        <v>4</v>
      </c>
      <c r="D138" s="26">
        <v>2</v>
      </c>
      <c r="E138" s="61"/>
      <c r="F138" s="334"/>
      <c r="G138" s="112">
        <v>0</v>
      </c>
      <c r="H138" s="120">
        <v>0</v>
      </c>
      <c r="I138" s="120">
        <v>0</v>
      </c>
      <c r="J138" s="120">
        <v>0</v>
      </c>
      <c r="K138" s="110">
        <v>0</v>
      </c>
      <c r="L138" s="118"/>
      <c r="M138" s="110">
        <v>0</v>
      </c>
      <c r="N138" s="118"/>
      <c r="O138" s="118"/>
      <c r="P138" s="118">
        <f t="shared" si="24"/>
        <v>0</v>
      </c>
      <c r="Q138" s="118">
        <f t="shared" si="25"/>
        <v>0</v>
      </c>
      <c r="R138" s="118">
        <f t="shared" si="26"/>
        <v>0</v>
      </c>
      <c r="S138" s="112">
        <v>0</v>
      </c>
    </row>
    <row r="139" spans="1:19" hidden="1" outlineLevel="2">
      <c r="A139" s="555"/>
      <c r="B139" s="45" t="s">
        <v>75</v>
      </c>
      <c r="C139" s="27" t="s">
        <v>4</v>
      </c>
      <c r="D139" s="26">
        <v>1</v>
      </c>
      <c r="E139" s="63"/>
      <c r="F139" s="334"/>
      <c r="G139" s="112">
        <v>0</v>
      </c>
      <c r="H139" s="120">
        <v>0</v>
      </c>
      <c r="I139" s="120">
        <v>0</v>
      </c>
      <c r="J139" s="120">
        <v>0</v>
      </c>
      <c r="K139" s="110">
        <v>0</v>
      </c>
      <c r="L139" s="118"/>
      <c r="M139" s="110">
        <v>0</v>
      </c>
      <c r="N139" s="118"/>
      <c r="O139" s="118"/>
      <c r="P139" s="118">
        <f t="shared" si="24"/>
        <v>0</v>
      </c>
      <c r="Q139" s="118">
        <f t="shared" si="25"/>
        <v>0</v>
      </c>
      <c r="R139" s="118">
        <f t="shared" si="26"/>
        <v>0</v>
      </c>
      <c r="S139" s="112">
        <v>0</v>
      </c>
    </row>
    <row r="140" spans="1:19" hidden="1" outlineLevel="2">
      <c r="A140" s="555"/>
      <c r="B140" s="45" t="s">
        <v>76</v>
      </c>
      <c r="C140" s="27" t="s">
        <v>4</v>
      </c>
      <c r="D140" s="26">
        <v>1</v>
      </c>
      <c r="E140" s="64"/>
      <c r="F140" s="334"/>
      <c r="G140" s="112">
        <v>0</v>
      </c>
      <c r="H140" s="120">
        <v>0</v>
      </c>
      <c r="I140" s="120">
        <v>0</v>
      </c>
      <c r="J140" s="120">
        <v>0</v>
      </c>
      <c r="K140" s="110">
        <v>0</v>
      </c>
      <c r="L140" s="118"/>
      <c r="M140" s="110">
        <v>0</v>
      </c>
      <c r="N140" s="118"/>
      <c r="O140" s="118"/>
      <c r="P140" s="118">
        <f t="shared" si="24"/>
        <v>0</v>
      </c>
      <c r="Q140" s="118">
        <f t="shared" si="25"/>
        <v>0</v>
      </c>
      <c r="R140" s="118">
        <f t="shared" si="26"/>
        <v>0</v>
      </c>
      <c r="S140" s="112">
        <v>0</v>
      </c>
    </row>
    <row r="141" spans="1:19" hidden="1" outlineLevel="2">
      <c r="A141" s="555"/>
      <c r="B141" s="45" t="s">
        <v>77</v>
      </c>
      <c r="C141" s="27" t="s">
        <v>17</v>
      </c>
      <c r="D141" s="26">
        <v>1</v>
      </c>
      <c r="E141" s="50"/>
      <c r="F141" s="334"/>
      <c r="G141" s="112">
        <v>0</v>
      </c>
      <c r="H141" s="120">
        <v>0</v>
      </c>
      <c r="I141" s="120">
        <v>0</v>
      </c>
      <c r="J141" s="120">
        <v>0</v>
      </c>
      <c r="K141" s="110">
        <v>0</v>
      </c>
      <c r="L141" s="118"/>
      <c r="M141" s="110">
        <v>0</v>
      </c>
      <c r="N141" s="118"/>
      <c r="O141" s="118"/>
      <c r="P141" s="118">
        <f t="shared" si="24"/>
        <v>0</v>
      </c>
      <c r="Q141" s="118">
        <f t="shared" si="25"/>
        <v>0</v>
      </c>
      <c r="R141" s="118">
        <f t="shared" si="26"/>
        <v>0</v>
      </c>
      <c r="S141" s="112">
        <v>0</v>
      </c>
    </row>
    <row r="142" spans="1:19" ht="45" hidden="1" outlineLevel="2">
      <c r="A142" s="50"/>
      <c r="B142" s="40" t="s">
        <v>78</v>
      </c>
      <c r="C142" s="52" t="s">
        <v>4</v>
      </c>
      <c r="D142" s="26">
        <v>2</v>
      </c>
      <c r="E142" s="66"/>
      <c r="F142" s="334"/>
      <c r="G142" s="112">
        <v>0</v>
      </c>
      <c r="H142" s="120">
        <v>0</v>
      </c>
      <c r="I142" s="120">
        <v>0</v>
      </c>
      <c r="J142" s="120">
        <v>0</v>
      </c>
      <c r="K142" s="110">
        <v>0</v>
      </c>
      <c r="L142" s="118"/>
      <c r="M142" s="110">
        <v>0</v>
      </c>
      <c r="N142" s="118"/>
      <c r="O142" s="118"/>
      <c r="P142" s="118">
        <f t="shared" si="24"/>
        <v>0</v>
      </c>
      <c r="Q142" s="118">
        <f t="shared" si="25"/>
        <v>0</v>
      </c>
      <c r="R142" s="118">
        <f t="shared" si="26"/>
        <v>0</v>
      </c>
      <c r="S142" s="112">
        <v>0</v>
      </c>
    </row>
    <row r="143" spans="1:19" ht="30" hidden="1" outlineLevel="2">
      <c r="A143" s="50"/>
      <c r="B143" s="45" t="s">
        <v>681</v>
      </c>
      <c r="C143" s="27" t="s">
        <v>4</v>
      </c>
      <c r="D143" s="26">
        <v>2</v>
      </c>
      <c r="E143" s="60"/>
      <c r="F143" s="334"/>
      <c r="G143" s="112">
        <v>0</v>
      </c>
      <c r="H143" s="120">
        <v>0</v>
      </c>
      <c r="I143" s="120">
        <v>0</v>
      </c>
      <c r="J143" s="120">
        <v>0</v>
      </c>
      <c r="K143" s="110">
        <v>0</v>
      </c>
      <c r="L143" s="118"/>
      <c r="M143" s="110">
        <v>0</v>
      </c>
      <c r="N143" s="118"/>
      <c r="O143" s="118"/>
      <c r="P143" s="118">
        <f t="shared" si="24"/>
        <v>0</v>
      </c>
      <c r="Q143" s="118">
        <f t="shared" si="25"/>
        <v>0</v>
      </c>
      <c r="R143" s="118">
        <f t="shared" si="26"/>
        <v>0</v>
      </c>
      <c r="S143" s="112">
        <v>0</v>
      </c>
    </row>
    <row r="144" spans="1:19" ht="30" hidden="1" outlineLevel="2">
      <c r="A144" s="50"/>
      <c r="B144" s="45" t="s">
        <v>682</v>
      </c>
      <c r="C144" s="27" t="s">
        <v>4</v>
      </c>
      <c r="D144" s="26">
        <v>2</v>
      </c>
      <c r="E144" s="71"/>
      <c r="F144" s="334"/>
      <c r="G144" s="112">
        <v>0</v>
      </c>
      <c r="H144" s="120">
        <v>0</v>
      </c>
      <c r="I144" s="120">
        <v>0</v>
      </c>
      <c r="J144" s="120">
        <v>0</v>
      </c>
      <c r="K144" s="110">
        <v>0</v>
      </c>
      <c r="L144" s="118"/>
      <c r="M144" s="110">
        <v>0</v>
      </c>
      <c r="N144" s="118"/>
      <c r="O144" s="118"/>
      <c r="P144" s="118">
        <f t="shared" si="24"/>
        <v>0</v>
      </c>
      <c r="Q144" s="118">
        <f t="shared" si="25"/>
        <v>0</v>
      </c>
      <c r="R144" s="118">
        <f t="shared" si="26"/>
        <v>0</v>
      </c>
      <c r="S144" s="112">
        <v>0</v>
      </c>
    </row>
    <row r="145" spans="1:19" ht="30" hidden="1" outlineLevel="2">
      <c r="A145" s="50"/>
      <c r="B145" s="45" t="s">
        <v>683</v>
      </c>
      <c r="C145" s="27" t="s">
        <v>4</v>
      </c>
      <c r="D145" s="26">
        <v>2</v>
      </c>
      <c r="E145" s="50"/>
      <c r="F145" s="334"/>
      <c r="G145" s="112">
        <v>0</v>
      </c>
      <c r="H145" s="120">
        <v>0</v>
      </c>
      <c r="I145" s="120">
        <v>0</v>
      </c>
      <c r="J145" s="120">
        <v>0</v>
      </c>
      <c r="K145" s="110">
        <v>0</v>
      </c>
      <c r="L145" s="118"/>
      <c r="M145" s="110">
        <v>0</v>
      </c>
      <c r="N145" s="118"/>
      <c r="O145" s="118"/>
      <c r="P145" s="118">
        <f t="shared" si="24"/>
        <v>0</v>
      </c>
      <c r="Q145" s="118">
        <f t="shared" si="25"/>
        <v>0</v>
      </c>
      <c r="R145" s="118">
        <f t="shared" si="26"/>
        <v>0</v>
      </c>
      <c r="S145" s="112">
        <v>0</v>
      </c>
    </row>
    <row r="146" spans="1:19" hidden="1" outlineLevel="2">
      <c r="A146" s="39"/>
      <c r="B146" s="40" t="s">
        <v>28</v>
      </c>
      <c r="C146" s="41" t="s">
        <v>4</v>
      </c>
      <c r="D146" s="26">
        <v>12</v>
      </c>
      <c r="E146" s="60"/>
      <c r="F146" s="334"/>
      <c r="G146" s="112">
        <v>0</v>
      </c>
      <c r="H146" s="120">
        <v>0</v>
      </c>
      <c r="I146" s="120">
        <v>0</v>
      </c>
      <c r="J146" s="120">
        <v>0</v>
      </c>
      <c r="K146" s="110">
        <v>0</v>
      </c>
      <c r="L146" s="118"/>
      <c r="M146" s="110">
        <v>0</v>
      </c>
      <c r="N146" s="118"/>
      <c r="O146" s="118"/>
      <c r="P146" s="118">
        <f t="shared" si="24"/>
        <v>0</v>
      </c>
      <c r="Q146" s="118">
        <f t="shared" si="25"/>
        <v>0</v>
      </c>
      <c r="R146" s="118">
        <f t="shared" si="26"/>
        <v>0</v>
      </c>
      <c r="S146" s="112">
        <v>0</v>
      </c>
    </row>
    <row r="147" spans="1:19" hidden="1" outlineLevel="2">
      <c r="A147" s="50"/>
      <c r="B147" s="45" t="s">
        <v>26</v>
      </c>
      <c r="C147" s="27" t="s">
        <v>4</v>
      </c>
      <c r="D147" s="26">
        <v>4</v>
      </c>
      <c r="E147" s="71"/>
      <c r="F147" s="334"/>
      <c r="G147" s="112">
        <v>0</v>
      </c>
      <c r="H147" s="120">
        <v>0</v>
      </c>
      <c r="I147" s="120">
        <v>0</v>
      </c>
      <c r="J147" s="120">
        <v>0</v>
      </c>
      <c r="K147" s="110">
        <v>0</v>
      </c>
      <c r="L147" s="118"/>
      <c r="M147" s="110">
        <v>0</v>
      </c>
      <c r="N147" s="118"/>
      <c r="O147" s="118"/>
      <c r="P147" s="118">
        <f t="shared" si="24"/>
        <v>0</v>
      </c>
      <c r="Q147" s="118">
        <f t="shared" si="25"/>
        <v>0</v>
      </c>
      <c r="R147" s="118">
        <f t="shared" si="26"/>
        <v>0</v>
      </c>
      <c r="S147" s="112">
        <v>0</v>
      </c>
    </row>
    <row r="148" spans="1:19" hidden="1" outlineLevel="2">
      <c r="A148" s="39"/>
      <c r="B148" s="40" t="s">
        <v>58</v>
      </c>
      <c r="C148" s="41" t="s">
        <v>4</v>
      </c>
      <c r="D148" s="26">
        <v>1</v>
      </c>
      <c r="E148" s="66"/>
      <c r="F148" s="334"/>
      <c r="G148" s="112">
        <v>0</v>
      </c>
      <c r="H148" s="120">
        <v>0</v>
      </c>
      <c r="I148" s="120">
        <v>0</v>
      </c>
      <c r="J148" s="120">
        <v>0</v>
      </c>
      <c r="K148" s="110">
        <v>0</v>
      </c>
      <c r="L148" s="118"/>
      <c r="M148" s="110">
        <v>0</v>
      </c>
      <c r="N148" s="118"/>
      <c r="O148" s="118"/>
      <c r="P148" s="118">
        <f t="shared" si="24"/>
        <v>0</v>
      </c>
      <c r="Q148" s="118">
        <f t="shared" si="25"/>
        <v>0</v>
      </c>
      <c r="R148" s="118">
        <f t="shared" si="26"/>
        <v>0</v>
      </c>
      <c r="S148" s="112">
        <v>0</v>
      </c>
    </row>
    <row r="149" spans="1:19" ht="30" hidden="1" outlineLevel="2">
      <c r="A149" s="39"/>
      <c r="B149" s="40" t="s">
        <v>79</v>
      </c>
      <c r="C149" s="41" t="s">
        <v>8</v>
      </c>
      <c r="D149" s="26">
        <v>1</v>
      </c>
      <c r="E149" s="66"/>
      <c r="F149" s="334"/>
      <c r="G149" s="112">
        <v>0</v>
      </c>
      <c r="H149" s="120">
        <v>0</v>
      </c>
      <c r="I149" s="120">
        <v>0</v>
      </c>
      <c r="J149" s="120">
        <v>0</v>
      </c>
      <c r="K149" s="110">
        <v>0</v>
      </c>
      <c r="L149" s="118"/>
      <c r="M149" s="110">
        <v>0</v>
      </c>
      <c r="N149" s="118"/>
      <c r="O149" s="118"/>
      <c r="P149" s="118">
        <f t="shared" si="24"/>
        <v>0</v>
      </c>
      <c r="Q149" s="118">
        <f t="shared" si="25"/>
        <v>0</v>
      </c>
      <c r="R149" s="118">
        <f t="shared" si="26"/>
        <v>0</v>
      </c>
      <c r="S149" s="112">
        <v>0</v>
      </c>
    </row>
    <row r="150" spans="1:19" hidden="1" outlineLevel="2">
      <c r="A150" s="39"/>
      <c r="B150" s="53" t="s">
        <v>40</v>
      </c>
      <c r="C150" s="54" t="s">
        <v>8</v>
      </c>
      <c r="D150" s="26">
        <v>1</v>
      </c>
      <c r="E150" s="66"/>
      <c r="F150" s="334"/>
      <c r="G150" s="112">
        <v>0</v>
      </c>
      <c r="H150" s="120">
        <v>0</v>
      </c>
      <c r="I150" s="120">
        <v>0</v>
      </c>
      <c r="J150" s="120">
        <v>0</v>
      </c>
      <c r="K150" s="110">
        <v>0</v>
      </c>
      <c r="L150" s="118"/>
      <c r="M150" s="110">
        <v>0</v>
      </c>
      <c r="N150" s="118"/>
      <c r="O150" s="118"/>
      <c r="P150" s="118">
        <f t="shared" si="24"/>
        <v>0</v>
      </c>
      <c r="Q150" s="118">
        <f t="shared" si="25"/>
        <v>0</v>
      </c>
      <c r="R150" s="118">
        <f t="shared" si="26"/>
        <v>0</v>
      </c>
      <c r="S150" s="112">
        <v>0</v>
      </c>
    </row>
    <row r="151" spans="1:19" ht="45" hidden="1" outlineLevel="2">
      <c r="A151" s="50"/>
      <c r="B151" s="55" t="s">
        <v>41</v>
      </c>
      <c r="C151" s="56" t="s">
        <v>8</v>
      </c>
      <c r="D151" s="26">
        <v>1</v>
      </c>
      <c r="E151" s="50"/>
      <c r="F151" s="334"/>
      <c r="G151" s="112">
        <v>0</v>
      </c>
      <c r="H151" s="120">
        <v>0</v>
      </c>
      <c r="I151" s="120">
        <v>0</v>
      </c>
      <c r="J151" s="120">
        <v>0</v>
      </c>
      <c r="K151" s="110">
        <v>0</v>
      </c>
      <c r="L151" s="118"/>
      <c r="M151" s="110">
        <v>0</v>
      </c>
      <c r="N151" s="118"/>
      <c r="O151" s="118"/>
      <c r="P151" s="118">
        <f t="shared" si="24"/>
        <v>0</v>
      </c>
      <c r="Q151" s="118">
        <f t="shared" si="25"/>
        <v>0</v>
      </c>
      <c r="R151" s="118">
        <f t="shared" si="26"/>
        <v>0</v>
      </c>
      <c r="S151" s="112">
        <v>0</v>
      </c>
    </row>
    <row r="152" spans="1:19" ht="45" hidden="1" outlineLevel="2">
      <c r="A152" s="50"/>
      <c r="B152" s="55" t="s">
        <v>80</v>
      </c>
      <c r="C152" s="56" t="s">
        <v>8</v>
      </c>
      <c r="D152" s="26">
        <v>2</v>
      </c>
      <c r="E152" s="62"/>
      <c r="F152" s="334"/>
      <c r="G152" s="112">
        <v>0</v>
      </c>
      <c r="H152" s="120">
        <v>0</v>
      </c>
      <c r="I152" s="120">
        <v>0</v>
      </c>
      <c r="J152" s="120">
        <v>0</v>
      </c>
      <c r="K152" s="110">
        <v>0</v>
      </c>
      <c r="L152" s="118"/>
      <c r="M152" s="110">
        <v>0</v>
      </c>
      <c r="N152" s="118"/>
      <c r="O152" s="118"/>
      <c r="P152" s="118">
        <f t="shared" si="24"/>
        <v>0</v>
      </c>
      <c r="Q152" s="118">
        <f t="shared" si="25"/>
        <v>0</v>
      </c>
      <c r="R152" s="118">
        <f t="shared" si="26"/>
        <v>0</v>
      </c>
      <c r="S152" s="112">
        <v>0</v>
      </c>
    </row>
    <row r="153" spans="1:19" hidden="1" outlineLevel="2">
      <c r="A153" s="39"/>
      <c r="B153" s="53" t="s">
        <v>43</v>
      </c>
      <c r="C153" s="54" t="s">
        <v>6</v>
      </c>
      <c r="D153" s="26">
        <v>1</v>
      </c>
      <c r="E153" s="340"/>
      <c r="F153" s="334"/>
      <c r="G153" s="112">
        <v>0</v>
      </c>
      <c r="H153" s="120">
        <v>0</v>
      </c>
      <c r="I153" s="120">
        <v>0</v>
      </c>
      <c r="J153" s="120">
        <v>0</v>
      </c>
      <c r="K153" s="110">
        <v>0</v>
      </c>
      <c r="L153" s="118"/>
      <c r="M153" s="110">
        <v>0</v>
      </c>
      <c r="N153" s="118"/>
      <c r="O153" s="118"/>
      <c r="P153" s="118">
        <f t="shared" si="24"/>
        <v>0</v>
      </c>
      <c r="Q153" s="118">
        <f t="shared" si="25"/>
        <v>0</v>
      </c>
      <c r="R153" s="118">
        <f t="shared" si="26"/>
        <v>0</v>
      </c>
      <c r="S153" s="112">
        <v>0</v>
      </c>
    </row>
    <row r="154" spans="1:19" ht="60" outlineLevel="1" collapsed="1">
      <c r="A154" s="57">
        <v>5</v>
      </c>
      <c r="B154" s="44" t="s">
        <v>81</v>
      </c>
      <c r="C154" s="58" t="s">
        <v>6</v>
      </c>
      <c r="D154" s="102">
        <v>1</v>
      </c>
      <c r="E154" s="373"/>
      <c r="F154" s="334">
        <v>1</v>
      </c>
      <c r="G154" s="112" t="s">
        <v>81</v>
      </c>
      <c r="H154" s="120" t="s">
        <v>1075</v>
      </c>
      <c r="I154" s="120" t="s">
        <v>828</v>
      </c>
      <c r="J154" s="120" t="s">
        <v>829</v>
      </c>
      <c r="K154" s="110">
        <v>702603400</v>
      </c>
      <c r="L154" s="118"/>
      <c r="M154" s="110">
        <v>20721300</v>
      </c>
      <c r="N154" s="118"/>
      <c r="O154" s="118"/>
      <c r="P154" s="118">
        <f t="shared" si="24"/>
        <v>723324700</v>
      </c>
      <c r="Q154" s="118">
        <f t="shared" si="25"/>
        <v>723324700</v>
      </c>
      <c r="R154" s="118">
        <f t="shared" si="26"/>
        <v>723324700</v>
      </c>
      <c r="S154" s="112" t="s">
        <v>4094</v>
      </c>
    </row>
    <row r="155" spans="1:19" hidden="1" outlineLevel="2">
      <c r="A155" s="39"/>
      <c r="B155" s="40" t="s">
        <v>1047</v>
      </c>
      <c r="C155" s="41" t="s">
        <v>4</v>
      </c>
      <c r="D155" s="26">
        <v>1</v>
      </c>
      <c r="E155" s="61"/>
      <c r="F155" s="334"/>
      <c r="G155" s="112">
        <v>0</v>
      </c>
      <c r="H155" s="120">
        <v>0</v>
      </c>
      <c r="I155" s="120">
        <v>0</v>
      </c>
      <c r="J155" s="120">
        <v>0</v>
      </c>
      <c r="K155" s="110">
        <v>0</v>
      </c>
      <c r="L155" s="118"/>
      <c r="M155" s="110">
        <v>0</v>
      </c>
      <c r="N155" s="118"/>
      <c r="O155" s="118"/>
      <c r="P155" s="118">
        <f t="shared" si="24"/>
        <v>0</v>
      </c>
      <c r="Q155" s="118">
        <f t="shared" si="25"/>
        <v>0</v>
      </c>
      <c r="R155" s="118">
        <f t="shared" si="26"/>
        <v>0</v>
      </c>
      <c r="S155" s="112">
        <v>0</v>
      </c>
    </row>
    <row r="156" spans="1:19" hidden="1" outlineLevel="2">
      <c r="A156" s="39"/>
      <c r="B156" s="44" t="s">
        <v>13</v>
      </c>
      <c r="C156" s="41"/>
      <c r="D156" s="26"/>
      <c r="E156" s="63"/>
      <c r="F156" s="326"/>
      <c r="G156" s="112"/>
      <c r="H156" s="120"/>
      <c r="I156" s="120"/>
      <c r="J156" s="120"/>
      <c r="K156" s="542"/>
      <c r="L156" s="542"/>
      <c r="M156" s="542"/>
      <c r="N156" s="542"/>
      <c r="O156" s="542"/>
      <c r="P156" s="542"/>
      <c r="Q156" s="542"/>
      <c r="R156" s="542"/>
      <c r="S156" s="112">
        <v>0</v>
      </c>
    </row>
    <row r="157" spans="1:19" hidden="1" outlineLevel="2">
      <c r="A157" s="39"/>
      <c r="B157" s="51" t="s">
        <v>18</v>
      </c>
      <c r="C157" s="41" t="s">
        <v>4</v>
      </c>
      <c r="D157" s="26">
        <v>2</v>
      </c>
      <c r="E157" s="64"/>
      <c r="F157" s="334"/>
      <c r="G157" s="112">
        <v>0</v>
      </c>
      <c r="H157" s="120">
        <v>0</v>
      </c>
      <c r="I157" s="120">
        <v>0</v>
      </c>
      <c r="J157" s="120">
        <v>0</v>
      </c>
      <c r="K157" s="110">
        <v>0</v>
      </c>
      <c r="L157" s="118"/>
      <c r="M157" s="110">
        <v>0</v>
      </c>
      <c r="N157" s="118"/>
      <c r="O157" s="118"/>
      <c r="P157" s="118">
        <f t="shared" ref="P157:P162" si="27">+K157+L157+M157+N157+O157</f>
        <v>0</v>
      </c>
      <c r="Q157" s="118">
        <f t="shared" ref="Q157:Q162" si="28">+P157*D157</f>
        <v>0</v>
      </c>
      <c r="R157" s="118">
        <f t="shared" ref="R157:R162" si="29">P157*F157</f>
        <v>0</v>
      </c>
      <c r="S157" s="112">
        <v>0</v>
      </c>
    </row>
    <row r="158" spans="1:19" ht="30" hidden="1" outlineLevel="2">
      <c r="A158" s="39"/>
      <c r="B158" s="45" t="s">
        <v>4017</v>
      </c>
      <c r="C158" s="41" t="s">
        <v>4</v>
      </c>
      <c r="D158" s="26">
        <v>2</v>
      </c>
      <c r="E158" s="66"/>
      <c r="F158" s="334"/>
      <c r="G158" s="112">
        <v>0</v>
      </c>
      <c r="H158" s="120">
        <v>0</v>
      </c>
      <c r="I158" s="120">
        <v>0</v>
      </c>
      <c r="J158" s="120">
        <v>0</v>
      </c>
      <c r="K158" s="110">
        <v>0</v>
      </c>
      <c r="L158" s="118"/>
      <c r="M158" s="110">
        <v>0</v>
      </c>
      <c r="N158" s="118"/>
      <c r="O158" s="118"/>
      <c r="P158" s="118">
        <f t="shared" si="27"/>
        <v>0</v>
      </c>
      <c r="Q158" s="118">
        <f t="shared" si="28"/>
        <v>0</v>
      </c>
      <c r="R158" s="118">
        <f t="shared" si="29"/>
        <v>0</v>
      </c>
      <c r="S158" s="112">
        <v>0</v>
      </c>
    </row>
    <row r="159" spans="1:19" ht="30" hidden="1" outlineLevel="2">
      <c r="A159" s="39"/>
      <c r="B159" s="45" t="s">
        <v>4018</v>
      </c>
      <c r="C159" s="41" t="s">
        <v>4</v>
      </c>
      <c r="D159" s="26">
        <v>2</v>
      </c>
      <c r="E159" s="60"/>
      <c r="F159" s="334"/>
      <c r="G159" s="112">
        <v>0</v>
      </c>
      <c r="H159" s="120">
        <v>0</v>
      </c>
      <c r="I159" s="120">
        <v>0</v>
      </c>
      <c r="J159" s="120">
        <v>0</v>
      </c>
      <c r="K159" s="110">
        <v>0</v>
      </c>
      <c r="L159" s="118"/>
      <c r="M159" s="110">
        <v>0</v>
      </c>
      <c r="N159" s="118"/>
      <c r="O159" s="118"/>
      <c r="P159" s="118">
        <f t="shared" si="27"/>
        <v>0</v>
      </c>
      <c r="Q159" s="118">
        <f t="shared" si="28"/>
        <v>0</v>
      </c>
      <c r="R159" s="118">
        <f t="shared" si="29"/>
        <v>0</v>
      </c>
      <c r="S159" s="112">
        <v>0</v>
      </c>
    </row>
    <row r="160" spans="1:19" ht="30" hidden="1" outlineLevel="2">
      <c r="A160" s="39"/>
      <c r="B160" s="45" t="s">
        <v>4019</v>
      </c>
      <c r="C160" s="41" t="s">
        <v>4</v>
      </c>
      <c r="D160" s="26">
        <v>2</v>
      </c>
      <c r="E160" s="71"/>
      <c r="F160" s="334"/>
      <c r="G160" s="112">
        <v>0</v>
      </c>
      <c r="H160" s="120">
        <v>0</v>
      </c>
      <c r="I160" s="120">
        <v>0</v>
      </c>
      <c r="J160" s="120">
        <v>0</v>
      </c>
      <c r="K160" s="110">
        <v>0</v>
      </c>
      <c r="L160" s="118"/>
      <c r="M160" s="110">
        <v>0</v>
      </c>
      <c r="N160" s="118"/>
      <c r="O160" s="118"/>
      <c r="P160" s="118">
        <f t="shared" si="27"/>
        <v>0</v>
      </c>
      <c r="Q160" s="118">
        <f t="shared" si="28"/>
        <v>0</v>
      </c>
      <c r="R160" s="118">
        <f t="shared" si="29"/>
        <v>0</v>
      </c>
      <c r="S160" s="112">
        <v>0</v>
      </c>
    </row>
    <row r="161" spans="1:19" hidden="1" outlineLevel="2">
      <c r="A161" s="39"/>
      <c r="B161" s="40" t="s">
        <v>26</v>
      </c>
      <c r="C161" s="41" t="s">
        <v>4</v>
      </c>
      <c r="D161" s="26">
        <v>2</v>
      </c>
      <c r="E161" s="66"/>
      <c r="F161" s="334"/>
      <c r="G161" s="112">
        <v>0</v>
      </c>
      <c r="H161" s="120">
        <v>0</v>
      </c>
      <c r="I161" s="120">
        <v>0</v>
      </c>
      <c r="J161" s="120">
        <v>0</v>
      </c>
      <c r="K161" s="110">
        <v>0</v>
      </c>
      <c r="L161" s="118"/>
      <c r="M161" s="110">
        <v>0</v>
      </c>
      <c r="N161" s="118"/>
      <c r="O161" s="118"/>
      <c r="P161" s="118">
        <f t="shared" si="27"/>
        <v>0</v>
      </c>
      <c r="Q161" s="118">
        <f t="shared" si="28"/>
        <v>0</v>
      </c>
      <c r="R161" s="118">
        <f t="shared" si="29"/>
        <v>0</v>
      </c>
      <c r="S161" s="112">
        <v>0</v>
      </c>
    </row>
    <row r="162" spans="1:19" hidden="1" outlineLevel="2">
      <c r="A162" s="39"/>
      <c r="B162" s="40" t="s">
        <v>28</v>
      </c>
      <c r="C162" s="41" t="s">
        <v>4</v>
      </c>
      <c r="D162" s="26">
        <v>6</v>
      </c>
      <c r="E162" s="72"/>
      <c r="F162" s="334"/>
      <c r="G162" s="112">
        <v>0</v>
      </c>
      <c r="H162" s="120">
        <v>0</v>
      </c>
      <c r="I162" s="120">
        <v>0</v>
      </c>
      <c r="J162" s="120">
        <v>0</v>
      </c>
      <c r="K162" s="110">
        <v>0</v>
      </c>
      <c r="L162" s="118"/>
      <c r="M162" s="110">
        <v>0</v>
      </c>
      <c r="N162" s="118"/>
      <c r="O162" s="118"/>
      <c r="P162" s="118">
        <f t="shared" si="27"/>
        <v>0</v>
      </c>
      <c r="Q162" s="118">
        <f t="shared" si="28"/>
        <v>0</v>
      </c>
      <c r="R162" s="118">
        <f t="shared" si="29"/>
        <v>0</v>
      </c>
      <c r="S162" s="112">
        <v>0</v>
      </c>
    </row>
    <row r="163" spans="1:19" hidden="1" outlineLevel="2">
      <c r="A163" s="57"/>
      <c r="B163" s="70" t="s">
        <v>70</v>
      </c>
      <c r="C163" s="23"/>
      <c r="D163" s="26"/>
      <c r="E163" s="66"/>
      <c r="F163" s="324"/>
      <c r="G163" s="112"/>
      <c r="H163" s="120"/>
      <c r="I163" s="120"/>
      <c r="J163" s="120"/>
      <c r="K163" s="66"/>
      <c r="L163" s="66"/>
      <c r="M163" s="66"/>
      <c r="N163" s="66"/>
      <c r="O163" s="66"/>
      <c r="P163" s="66"/>
      <c r="Q163" s="66"/>
      <c r="R163" s="66"/>
      <c r="S163" s="112">
        <v>0</v>
      </c>
    </row>
    <row r="164" spans="1:19" hidden="1" outlineLevel="2">
      <c r="A164" s="555"/>
      <c r="B164" s="45" t="s">
        <v>71</v>
      </c>
      <c r="C164" s="27" t="s">
        <v>4</v>
      </c>
      <c r="D164" s="26">
        <v>4</v>
      </c>
      <c r="E164" s="72"/>
      <c r="F164" s="334"/>
      <c r="G164" s="112">
        <v>0</v>
      </c>
      <c r="H164" s="120">
        <v>0</v>
      </c>
      <c r="I164" s="120">
        <v>0</v>
      </c>
      <c r="J164" s="120">
        <v>0</v>
      </c>
      <c r="K164" s="110">
        <v>0</v>
      </c>
      <c r="L164" s="118"/>
      <c r="M164" s="110">
        <v>0</v>
      </c>
      <c r="N164" s="118"/>
      <c r="O164" s="118"/>
      <c r="P164" s="118">
        <f t="shared" ref="P164:P178" si="30">+K164+L164+M164+N164+O164</f>
        <v>0</v>
      </c>
      <c r="Q164" s="118">
        <f t="shared" ref="Q164:Q178" si="31">+P164*D164</f>
        <v>0</v>
      </c>
      <c r="R164" s="118">
        <f t="shared" ref="R164:R178" si="32">P164*F164</f>
        <v>0</v>
      </c>
      <c r="S164" s="112">
        <v>0</v>
      </c>
    </row>
    <row r="165" spans="1:19" hidden="1" outlineLevel="2">
      <c r="A165" s="555"/>
      <c r="B165" s="45" t="s">
        <v>82</v>
      </c>
      <c r="C165" s="27" t="s">
        <v>4</v>
      </c>
      <c r="D165" s="26">
        <v>1</v>
      </c>
      <c r="E165" s="72"/>
      <c r="F165" s="334"/>
      <c r="G165" s="112">
        <v>0</v>
      </c>
      <c r="H165" s="120">
        <v>0</v>
      </c>
      <c r="I165" s="120">
        <v>0</v>
      </c>
      <c r="J165" s="120">
        <v>0</v>
      </c>
      <c r="K165" s="110">
        <v>0</v>
      </c>
      <c r="L165" s="118"/>
      <c r="M165" s="110">
        <v>0</v>
      </c>
      <c r="N165" s="118"/>
      <c r="O165" s="118"/>
      <c r="P165" s="118">
        <f t="shared" si="30"/>
        <v>0</v>
      </c>
      <c r="Q165" s="118">
        <f t="shared" si="31"/>
        <v>0</v>
      </c>
      <c r="R165" s="118">
        <f t="shared" si="32"/>
        <v>0</v>
      </c>
      <c r="S165" s="112">
        <v>0</v>
      </c>
    </row>
    <row r="166" spans="1:19" hidden="1" outlineLevel="2">
      <c r="A166" s="555"/>
      <c r="B166" s="45" t="s">
        <v>73</v>
      </c>
      <c r="C166" s="27" t="s">
        <v>4</v>
      </c>
      <c r="D166" s="26">
        <v>1</v>
      </c>
      <c r="E166" s="66"/>
      <c r="F166" s="334"/>
      <c r="G166" s="112">
        <v>0</v>
      </c>
      <c r="H166" s="120">
        <v>0</v>
      </c>
      <c r="I166" s="120">
        <v>0</v>
      </c>
      <c r="J166" s="120">
        <v>0</v>
      </c>
      <c r="K166" s="110">
        <v>0</v>
      </c>
      <c r="L166" s="118"/>
      <c r="M166" s="110">
        <v>0</v>
      </c>
      <c r="N166" s="118"/>
      <c r="O166" s="118"/>
      <c r="P166" s="118">
        <f t="shared" si="30"/>
        <v>0</v>
      </c>
      <c r="Q166" s="118">
        <f t="shared" si="31"/>
        <v>0</v>
      </c>
      <c r="R166" s="118">
        <f t="shared" si="32"/>
        <v>0</v>
      </c>
      <c r="S166" s="112">
        <v>0</v>
      </c>
    </row>
    <row r="167" spans="1:19" hidden="1" outlineLevel="2">
      <c r="A167" s="555"/>
      <c r="B167" s="45" t="s">
        <v>74</v>
      </c>
      <c r="C167" s="27" t="s">
        <v>4</v>
      </c>
      <c r="D167" s="26">
        <v>2</v>
      </c>
      <c r="E167" s="62"/>
      <c r="F167" s="334"/>
      <c r="G167" s="112">
        <v>0</v>
      </c>
      <c r="H167" s="120">
        <v>0</v>
      </c>
      <c r="I167" s="120">
        <v>0</v>
      </c>
      <c r="J167" s="120">
        <v>0</v>
      </c>
      <c r="K167" s="110">
        <v>0</v>
      </c>
      <c r="L167" s="118"/>
      <c r="M167" s="110">
        <v>0</v>
      </c>
      <c r="N167" s="118"/>
      <c r="O167" s="118"/>
      <c r="P167" s="118">
        <f t="shared" si="30"/>
        <v>0</v>
      </c>
      <c r="Q167" s="118">
        <f t="shared" si="31"/>
        <v>0</v>
      </c>
      <c r="R167" s="118">
        <f t="shared" si="32"/>
        <v>0</v>
      </c>
      <c r="S167" s="112">
        <v>0</v>
      </c>
    </row>
    <row r="168" spans="1:19" hidden="1" outlineLevel="2">
      <c r="A168" s="555"/>
      <c r="B168" s="45" t="s">
        <v>75</v>
      </c>
      <c r="C168" s="27" t="s">
        <v>4</v>
      </c>
      <c r="D168" s="26">
        <v>1</v>
      </c>
      <c r="E168" s="340"/>
      <c r="F168" s="334"/>
      <c r="G168" s="112">
        <v>0</v>
      </c>
      <c r="H168" s="120">
        <v>0</v>
      </c>
      <c r="I168" s="120">
        <v>0</v>
      </c>
      <c r="J168" s="120">
        <v>0</v>
      </c>
      <c r="K168" s="110">
        <v>0</v>
      </c>
      <c r="L168" s="118"/>
      <c r="M168" s="110">
        <v>0</v>
      </c>
      <c r="N168" s="118"/>
      <c r="O168" s="118"/>
      <c r="P168" s="118">
        <f t="shared" si="30"/>
        <v>0</v>
      </c>
      <c r="Q168" s="118">
        <f t="shared" si="31"/>
        <v>0</v>
      </c>
      <c r="R168" s="118">
        <f t="shared" si="32"/>
        <v>0</v>
      </c>
      <c r="S168" s="112">
        <v>0</v>
      </c>
    </row>
    <row r="169" spans="1:19" hidden="1" outlineLevel="2">
      <c r="A169" s="555"/>
      <c r="B169" s="45" t="s">
        <v>76</v>
      </c>
      <c r="C169" s="27" t="s">
        <v>4</v>
      </c>
      <c r="D169" s="26">
        <v>1</v>
      </c>
      <c r="E169" s="59"/>
      <c r="F169" s="334"/>
      <c r="G169" s="112">
        <v>0</v>
      </c>
      <c r="H169" s="120">
        <v>0</v>
      </c>
      <c r="I169" s="120">
        <v>0</v>
      </c>
      <c r="J169" s="120">
        <v>0</v>
      </c>
      <c r="K169" s="110">
        <v>0</v>
      </c>
      <c r="L169" s="118"/>
      <c r="M169" s="110">
        <v>0</v>
      </c>
      <c r="N169" s="118"/>
      <c r="O169" s="118"/>
      <c r="P169" s="118">
        <f t="shared" si="30"/>
        <v>0</v>
      </c>
      <c r="Q169" s="118">
        <f t="shared" si="31"/>
        <v>0</v>
      </c>
      <c r="R169" s="118">
        <f t="shared" si="32"/>
        <v>0</v>
      </c>
      <c r="S169" s="112">
        <v>0</v>
      </c>
    </row>
    <row r="170" spans="1:19" hidden="1" outlineLevel="2">
      <c r="A170" s="555"/>
      <c r="B170" s="45" t="s">
        <v>77</v>
      </c>
      <c r="C170" s="27" t="s">
        <v>17</v>
      </c>
      <c r="D170" s="26">
        <v>1</v>
      </c>
      <c r="E170" s="77"/>
      <c r="F170" s="334"/>
      <c r="G170" s="112">
        <v>0</v>
      </c>
      <c r="H170" s="120">
        <v>0</v>
      </c>
      <c r="I170" s="120">
        <v>0</v>
      </c>
      <c r="J170" s="120">
        <v>0</v>
      </c>
      <c r="K170" s="110">
        <v>0</v>
      </c>
      <c r="L170" s="118"/>
      <c r="M170" s="110">
        <v>0</v>
      </c>
      <c r="N170" s="118"/>
      <c r="O170" s="118"/>
      <c r="P170" s="118">
        <f t="shared" si="30"/>
        <v>0</v>
      </c>
      <c r="Q170" s="118">
        <f t="shared" si="31"/>
        <v>0</v>
      </c>
      <c r="R170" s="118">
        <f t="shared" si="32"/>
        <v>0</v>
      </c>
      <c r="S170" s="112">
        <v>0</v>
      </c>
    </row>
    <row r="171" spans="1:19" hidden="1" outlineLevel="2">
      <c r="A171" s="46"/>
      <c r="B171" s="47" t="s">
        <v>83</v>
      </c>
      <c r="C171" s="48" t="s">
        <v>12</v>
      </c>
      <c r="D171" s="26">
        <v>6</v>
      </c>
      <c r="E171" s="77"/>
      <c r="F171" s="334"/>
      <c r="G171" s="112">
        <v>0</v>
      </c>
      <c r="H171" s="120">
        <v>0</v>
      </c>
      <c r="I171" s="120">
        <v>0</v>
      </c>
      <c r="J171" s="120">
        <v>0</v>
      </c>
      <c r="K171" s="110">
        <v>0</v>
      </c>
      <c r="L171" s="118"/>
      <c r="M171" s="110">
        <v>0</v>
      </c>
      <c r="N171" s="118"/>
      <c r="O171" s="118"/>
      <c r="P171" s="118">
        <f t="shared" si="30"/>
        <v>0</v>
      </c>
      <c r="Q171" s="118">
        <f t="shared" si="31"/>
        <v>0</v>
      </c>
      <c r="R171" s="118">
        <f t="shared" si="32"/>
        <v>0</v>
      </c>
      <c r="S171" s="112">
        <v>0</v>
      </c>
    </row>
    <row r="172" spans="1:19" hidden="1" outlineLevel="2">
      <c r="A172" s="46"/>
      <c r="B172" s="47" t="s">
        <v>29</v>
      </c>
      <c r="C172" s="48" t="s">
        <v>4</v>
      </c>
      <c r="D172" s="26">
        <v>2</v>
      </c>
      <c r="E172" s="72"/>
      <c r="F172" s="334"/>
      <c r="G172" s="112">
        <v>0</v>
      </c>
      <c r="H172" s="120">
        <v>0</v>
      </c>
      <c r="I172" s="120">
        <v>0</v>
      </c>
      <c r="J172" s="120">
        <v>0</v>
      </c>
      <c r="K172" s="110">
        <v>0</v>
      </c>
      <c r="L172" s="118"/>
      <c r="M172" s="110">
        <v>0</v>
      </c>
      <c r="N172" s="118"/>
      <c r="O172" s="118"/>
      <c r="P172" s="118">
        <f t="shared" si="30"/>
        <v>0</v>
      </c>
      <c r="Q172" s="118">
        <f t="shared" si="31"/>
        <v>0</v>
      </c>
      <c r="R172" s="118">
        <f t="shared" si="32"/>
        <v>0</v>
      </c>
      <c r="S172" s="112">
        <v>0</v>
      </c>
    </row>
    <row r="173" spans="1:19" hidden="1" outlineLevel="2">
      <c r="A173" s="46"/>
      <c r="B173" s="47" t="s">
        <v>30</v>
      </c>
      <c r="C173" s="48" t="s">
        <v>4</v>
      </c>
      <c r="D173" s="26">
        <v>2</v>
      </c>
      <c r="E173" s="72"/>
      <c r="F173" s="334"/>
      <c r="G173" s="112">
        <v>0</v>
      </c>
      <c r="H173" s="120">
        <v>0</v>
      </c>
      <c r="I173" s="120">
        <v>0</v>
      </c>
      <c r="J173" s="120">
        <v>0</v>
      </c>
      <c r="K173" s="110">
        <v>0</v>
      </c>
      <c r="L173" s="118"/>
      <c r="M173" s="110">
        <v>0</v>
      </c>
      <c r="N173" s="118"/>
      <c r="O173" s="118"/>
      <c r="P173" s="118">
        <f t="shared" si="30"/>
        <v>0</v>
      </c>
      <c r="Q173" s="118">
        <f t="shared" si="31"/>
        <v>0</v>
      </c>
      <c r="R173" s="118">
        <f t="shared" si="32"/>
        <v>0</v>
      </c>
      <c r="S173" s="112">
        <v>0</v>
      </c>
    </row>
    <row r="174" spans="1:19" hidden="1" outlineLevel="2">
      <c r="A174" s="39"/>
      <c r="B174" s="40" t="s">
        <v>14</v>
      </c>
      <c r="C174" s="41" t="s">
        <v>4</v>
      </c>
      <c r="D174" s="26">
        <v>6</v>
      </c>
      <c r="E174" s="77"/>
      <c r="F174" s="334"/>
      <c r="G174" s="112">
        <v>0</v>
      </c>
      <c r="H174" s="120">
        <v>0</v>
      </c>
      <c r="I174" s="120">
        <v>0</v>
      </c>
      <c r="J174" s="120">
        <v>0</v>
      </c>
      <c r="K174" s="110">
        <v>0</v>
      </c>
      <c r="L174" s="118"/>
      <c r="M174" s="110">
        <v>0</v>
      </c>
      <c r="N174" s="118"/>
      <c r="O174" s="118"/>
      <c r="P174" s="118">
        <f t="shared" si="30"/>
        <v>0</v>
      </c>
      <c r="Q174" s="118">
        <f t="shared" si="31"/>
        <v>0</v>
      </c>
      <c r="R174" s="118">
        <f t="shared" si="32"/>
        <v>0</v>
      </c>
      <c r="S174" s="112">
        <v>0</v>
      </c>
    </row>
    <row r="175" spans="1:19" hidden="1" outlineLevel="2">
      <c r="A175" s="39"/>
      <c r="B175" s="40" t="s">
        <v>32</v>
      </c>
      <c r="C175" s="49" t="s">
        <v>4</v>
      </c>
      <c r="D175" s="26">
        <v>6</v>
      </c>
      <c r="E175" s="77"/>
      <c r="F175" s="334"/>
      <c r="G175" s="112">
        <v>0</v>
      </c>
      <c r="H175" s="120">
        <v>0</v>
      </c>
      <c r="I175" s="120">
        <v>0</v>
      </c>
      <c r="J175" s="120">
        <v>0</v>
      </c>
      <c r="K175" s="110">
        <v>0</v>
      </c>
      <c r="L175" s="118"/>
      <c r="M175" s="110">
        <v>0</v>
      </c>
      <c r="N175" s="118"/>
      <c r="O175" s="118"/>
      <c r="P175" s="118">
        <f t="shared" si="30"/>
        <v>0</v>
      </c>
      <c r="Q175" s="118">
        <f t="shared" si="31"/>
        <v>0</v>
      </c>
      <c r="R175" s="118">
        <f t="shared" si="32"/>
        <v>0</v>
      </c>
      <c r="S175" s="112">
        <v>0</v>
      </c>
    </row>
    <row r="176" spans="1:19" ht="45" hidden="1" outlineLevel="2">
      <c r="A176" s="46"/>
      <c r="B176" s="47" t="s">
        <v>49</v>
      </c>
      <c r="C176" s="48" t="s">
        <v>4</v>
      </c>
      <c r="D176" s="26">
        <v>2</v>
      </c>
      <c r="E176" s="77"/>
      <c r="F176" s="334"/>
      <c r="G176" s="112">
        <v>0</v>
      </c>
      <c r="H176" s="120">
        <v>0</v>
      </c>
      <c r="I176" s="120">
        <v>0</v>
      </c>
      <c r="J176" s="120">
        <v>0</v>
      </c>
      <c r="K176" s="110">
        <v>0</v>
      </c>
      <c r="L176" s="118"/>
      <c r="M176" s="110">
        <v>0</v>
      </c>
      <c r="N176" s="118"/>
      <c r="O176" s="118"/>
      <c r="P176" s="118">
        <f t="shared" si="30"/>
        <v>0</v>
      </c>
      <c r="Q176" s="118">
        <f t="shared" si="31"/>
        <v>0</v>
      </c>
      <c r="R176" s="118">
        <f t="shared" si="32"/>
        <v>0</v>
      </c>
      <c r="S176" s="112">
        <v>0</v>
      </c>
    </row>
    <row r="177" spans="1:19" hidden="1" outlineLevel="2">
      <c r="A177" s="39"/>
      <c r="B177" s="40" t="s">
        <v>15</v>
      </c>
      <c r="C177" s="41" t="s">
        <v>4</v>
      </c>
      <c r="D177" s="26">
        <v>1</v>
      </c>
      <c r="E177" s="77"/>
      <c r="F177" s="334"/>
      <c r="G177" s="112">
        <v>0</v>
      </c>
      <c r="H177" s="120">
        <v>0</v>
      </c>
      <c r="I177" s="120">
        <v>0</v>
      </c>
      <c r="J177" s="120">
        <v>0</v>
      </c>
      <c r="K177" s="110">
        <v>0</v>
      </c>
      <c r="L177" s="118"/>
      <c r="M177" s="110">
        <v>0</v>
      </c>
      <c r="N177" s="118"/>
      <c r="O177" s="118"/>
      <c r="P177" s="118">
        <f t="shared" si="30"/>
        <v>0</v>
      </c>
      <c r="Q177" s="118">
        <f t="shared" si="31"/>
        <v>0</v>
      </c>
      <c r="R177" s="118">
        <f t="shared" si="32"/>
        <v>0</v>
      </c>
      <c r="S177" s="112">
        <v>0</v>
      </c>
    </row>
    <row r="178" spans="1:19" ht="30" hidden="1" outlineLevel="2">
      <c r="A178" s="39"/>
      <c r="B178" s="40" t="s">
        <v>68</v>
      </c>
      <c r="C178" s="41" t="s">
        <v>4</v>
      </c>
      <c r="D178" s="26">
        <v>1</v>
      </c>
      <c r="E178" s="77"/>
      <c r="F178" s="334"/>
      <c r="G178" s="112">
        <v>0</v>
      </c>
      <c r="H178" s="120">
        <v>0</v>
      </c>
      <c r="I178" s="120">
        <v>0</v>
      </c>
      <c r="J178" s="120">
        <v>0</v>
      </c>
      <c r="K178" s="110">
        <v>0</v>
      </c>
      <c r="L178" s="118"/>
      <c r="M178" s="110">
        <v>0</v>
      </c>
      <c r="N178" s="118"/>
      <c r="O178" s="118"/>
      <c r="P178" s="118">
        <f t="shared" si="30"/>
        <v>0</v>
      </c>
      <c r="Q178" s="118">
        <f t="shared" si="31"/>
        <v>0</v>
      </c>
      <c r="R178" s="118">
        <f t="shared" si="32"/>
        <v>0</v>
      </c>
      <c r="S178" s="112">
        <v>0</v>
      </c>
    </row>
    <row r="179" spans="1:19" hidden="1" outlineLevel="2">
      <c r="A179" s="39"/>
      <c r="B179" s="44" t="s">
        <v>16</v>
      </c>
      <c r="C179" s="41"/>
      <c r="D179" s="26"/>
      <c r="E179" s="77"/>
      <c r="F179" s="76"/>
      <c r="G179" s="112"/>
      <c r="H179" s="120"/>
      <c r="I179" s="120"/>
      <c r="J179" s="120"/>
      <c r="K179" s="118"/>
      <c r="L179" s="118"/>
      <c r="M179" s="118"/>
      <c r="N179" s="118"/>
      <c r="O179" s="118"/>
      <c r="P179" s="118"/>
      <c r="Q179" s="118"/>
      <c r="R179" s="118"/>
      <c r="S179" s="112">
        <v>0</v>
      </c>
    </row>
    <row r="180" spans="1:19" hidden="1" outlineLevel="2">
      <c r="A180" s="39"/>
      <c r="B180" s="40" t="s">
        <v>84</v>
      </c>
      <c r="C180" s="41" t="s">
        <v>4</v>
      </c>
      <c r="D180" s="26">
        <v>1</v>
      </c>
      <c r="E180" s="77"/>
      <c r="F180" s="334"/>
      <c r="G180" s="112">
        <v>0</v>
      </c>
      <c r="H180" s="120">
        <v>0</v>
      </c>
      <c r="I180" s="120">
        <v>0</v>
      </c>
      <c r="J180" s="120">
        <v>0</v>
      </c>
      <c r="K180" s="110">
        <v>0</v>
      </c>
      <c r="L180" s="118"/>
      <c r="M180" s="110">
        <v>0</v>
      </c>
      <c r="N180" s="118"/>
      <c r="O180" s="118"/>
      <c r="P180" s="118">
        <f t="shared" ref="P180:P196" si="33">+K180+L180+M180+N180+O180</f>
        <v>0</v>
      </c>
      <c r="Q180" s="118">
        <f t="shared" ref="Q180:Q196" si="34">+P180*D180</f>
        <v>0</v>
      </c>
      <c r="R180" s="118">
        <f t="shared" ref="R180:R196" si="35">P180*F180</f>
        <v>0</v>
      </c>
      <c r="S180" s="112">
        <v>0</v>
      </c>
    </row>
    <row r="181" spans="1:19" hidden="1" outlineLevel="2">
      <c r="A181" s="39"/>
      <c r="B181" s="40" t="s">
        <v>85</v>
      </c>
      <c r="C181" s="41" t="s">
        <v>4</v>
      </c>
      <c r="D181" s="26">
        <v>2</v>
      </c>
      <c r="E181" s="77"/>
      <c r="F181" s="334"/>
      <c r="G181" s="112">
        <v>0</v>
      </c>
      <c r="H181" s="120">
        <v>0</v>
      </c>
      <c r="I181" s="120">
        <v>0</v>
      </c>
      <c r="J181" s="120">
        <v>0</v>
      </c>
      <c r="K181" s="110">
        <v>0</v>
      </c>
      <c r="L181" s="118"/>
      <c r="M181" s="110">
        <v>0</v>
      </c>
      <c r="N181" s="118"/>
      <c r="O181" s="118"/>
      <c r="P181" s="118">
        <f t="shared" si="33"/>
        <v>0</v>
      </c>
      <c r="Q181" s="118">
        <f t="shared" si="34"/>
        <v>0</v>
      </c>
      <c r="R181" s="118">
        <f t="shared" si="35"/>
        <v>0</v>
      </c>
      <c r="S181" s="112">
        <v>0</v>
      </c>
    </row>
    <row r="182" spans="1:19" hidden="1" outlineLevel="2">
      <c r="A182" s="39"/>
      <c r="B182" s="40" t="s">
        <v>86</v>
      </c>
      <c r="C182" s="41" t="s">
        <v>4</v>
      </c>
      <c r="D182" s="26">
        <v>3</v>
      </c>
      <c r="E182" s="77"/>
      <c r="F182" s="334"/>
      <c r="G182" s="112">
        <v>0</v>
      </c>
      <c r="H182" s="120">
        <v>0</v>
      </c>
      <c r="I182" s="120">
        <v>0</v>
      </c>
      <c r="J182" s="120">
        <v>0</v>
      </c>
      <c r="K182" s="110">
        <v>0</v>
      </c>
      <c r="L182" s="118"/>
      <c r="M182" s="110">
        <v>0</v>
      </c>
      <c r="N182" s="118"/>
      <c r="O182" s="118"/>
      <c r="P182" s="118">
        <f t="shared" si="33"/>
        <v>0</v>
      </c>
      <c r="Q182" s="118">
        <f t="shared" si="34"/>
        <v>0</v>
      </c>
      <c r="R182" s="118">
        <f t="shared" si="35"/>
        <v>0</v>
      </c>
      <c r="S182" s="112">
        <v>0</v>
      </c>
    </row>
    <row r="183" spans="1:19" hidden="1" outlineLevel="2">
      <c r="A183" s="39"/>
      <c r="B183" s="40" t="s">
        <v>87</v>
      </c>
      <c r="C183" s="41" t="s">
        <v>4</v>
      </c>
      <c r="D183" s="26">
        <v>2</v>
      </c>
      <c r="E183" s="72"/>
      <c r="F183" s="334"/>
      <c r="G183" s="112">
        <v>0</v>
      </c>
      <c r="H183" s="120">
        <v>0</v>
      </c>
      <c r="I183" s="120">
        <v>0</v>
      </c>
      <c r="J183" s="120">
        <v>0</v>
      </c>
      <c r="K183" s="110">
        <v>0</v>
      </c>
      <c r="L183" s="118"/>
      <c r="M183" s="110">
        <v>0</v>
      </c>
      <c r="N183" s="118"/>
      <c r="O183" s="118"/>
      <c r="P183" s="118">
        <f t="shared" si="33"/>
        <v>0</v>
      </c>
      <c r="Q183" s="118">
        <f t="shared" si="34"/>
        <v>0</v>
      </c>
      <c r="R183" s="118">
        <f t="shared" si="35"/>
        <v>0</v>
      </c>
      <c r="S183" s="112">
        <v>0</v>
      </c>
    </row>
    <row r="184" spans="1:19" hidden="1" outlineLevel="2">
      <c r="A184" s="39"/>
      <c r="B184" s="40" t="s">
        <v>50</v>
      </c>
      <c r="C184" s="41" t="s">
        <v>4</v>
      </c>
      <c r="D184" s="26">
        <v>5</v>
      </c>
      <c r="E184" s="77"/>
      <c r="F184" s="334"/>
      <c r="G184" s="112">
        <v>0</v>
      </c>
      <c r="H184" s="120">
        <v>0</v>
      </c>
      <c r="I184" s="120">
        <v>0</v>
      </c>
      <c r="J184" s="120">
        <v>0</v>
      </c>
      <c r="K184" s="110">
        <v>0</v>
      </c>
      <c r="L184" s="118"/>
      <c r="M184" s="110">
        <v>0</v>
      </c>
      <c r="N184" s="118"/>
      <c r="O184" s="118"/>
      <c r="P184" s="118">
        <f t="shared" si="33"/>
        <v>0</v>
      </c>
      <c r="Q184" s="118">
        <f t="shared" si="34"/>
        <v>0</v>
      </c>
      <c r="R184" s="118">
        <f t="shared" si="35"/>
        <v>0</v>
      </c>
      <c r="S184" s="112">
        <v>0</v>
      </c>
    </row>
    <row r="185" spans="1:19" hidden="1" outlineLevel="2">
      <c r="A185" s="39"/>
      <c r="B185" s="40" t="s">
        <v>54</v>
      </c>
      <c r="C185" s="41" t="s">
        <v>4</v>
      </c>
      <c r="D185" s="26">
        <v>1</v>
      </c>
      <c r="E185" s="77"/>
      <c r="F185" s="334"/>
      <c r="G185" s="112">
        <v>0</v>
      </c>
      <c r="H185" s="120">
        <v>0</v>
      </c>
      <c r="I185" s="120">
        <v>0</v>
      </c>
      <c r="J185" s="120">
        <v>0</v>
      </c>
      <c r="K185" s="110">
        <v>0</v>
      </c>
      <c r="L185" s="118"/>
      <c r="M185" s="110">
        <v>0</v>
      </c>
      <c r="N185" s="118"/>
      <c r="O185" s="118"/>
      <c r="P185" s="118">
        <f t="shared" si="33"/>
        <v>0</v>
      </c>
      <c r="Q185" s="118">
        <f t="shared" si="34"/>
        <v>0</v>
      </c>
      <c r="R185" s="118">
        <f t="shared" si="35"/>
        <v>0</v>
      </c>
      <c r="S185" s="112">
        <v>0</v>
      </c>
    </row>
    <row r="186" spans="1:19" hidden="1" outlineLevel="2">
      <c r="A186" s="39"/>
      <c r="B186" s="40" t="s">
        <v>51</v>
      </c>
      <c r="C186" s="41" t="s">
        <v>4</v>
      </c>
      <c r="D186" s="26">
        <v>2</v>
      </c>
      <c r="E186" s="72"/>
      <c r="F186" s="334"/>
      <c r="G186" s="112">
        <v>0</v>
      </c>
      <c r="H186" s="120">
        <v>0</v>
      </c>
      <c r="I186" s="120">
        <v>0</v>
      </c>
      <c r="J186" s="120">
        <v>0</v>
      </c>
      <c r="K186" s="110">
        <v>0</v>
      </c>
      <c r="L186" s="118"/>
      <c r="M186" s="110">
        <v>0</v>
      </c>
      <c r="N186" s="118"/>
      <c r="O186" s="118"/>
      <c r="P186" s="118">
        <f t="shared" si="33"/>
        <v>0</v>
      </c>
      <c r="Q186" s="118">
        <f t="shared" si="34"/>
        <v>0</v>
      </c>
      <c r="R186" s="118">
        <f t="shared" si="35"/>
        <v>0</v>
      </c>
      <c r="S186" s="112">
        <v>0</v>
      </c>
    </row>
    <row r="187" spans="1:19" hidden="1" outlineLevel="2">
      <c r="A187" s="39"/>
      <c r="B187" s="40" t="s">
        <v>52</v>
      </c>
      <c r="C187" s="41" t="s">
        <v>4</v>
      </c>
      <c r="D187" s="26">
        <v>0</v>
      </c>
      <c r="E187" s="77"/>
      <c r="F187" s="334"/>
      <c r="G187" s="112">
        <v>0</v>
      </c>
      <c r="H187" s="120">
        <v>0</v>
      </c>
      <c r="I187" s="120">
        <v>0</v>
      </c>
      <c r="J187" s="120">
        <v>0</v>
      </c>
      <c r="K187" s="110">
        <v>0</v>
      </c>
      <c r="L187" s="118"/>
      <c r="M187" s="110">
        <v>0</v>
      </c>
      <c r="N187" s="118"/>
      <c r="O187" s="118"/>
      <c r="P187" s="118">
        <f t="shared" si="33"/>
        <v>0</v>
      </c>
      <c r="Q187" s="118">
        <f t="shared" si="34"/>
        <v>0</v>
      </c>
      <c r="R187" s="118">
        <f t="shared" si="35"/>
        <v>0</v>
      </c>
      <c r="S187" s="112">
        <v>0</v>
      </c>
    </row>
    <row r="188" spans="1:19" hidden="1" outlineLevel="2">
      <c r="A188" s="39"/>
      <c r="B188" s="40" t="s">
        <v>53</v>
      </c>
      <c r="C188" s="41" t="s">
        <v>4</v>
      </c>
      <c r="D188" s="26">
        <v>4</v>
      </c>
      <c r="E188" s="59"/>
      <c r="F188" s="334"/>
      <c r="G188" s="112">
        <v>0</v>
      </c>
      <c r="H188" s="120">
        <v>0</v>
      </c>
      <c r="I188" s="120">
        <v>0</v>
      </c>
      <c r="J188" s="120">
        <v>0</v>
      </c>
      <c r="K188" s="110">
        <v>0</v>
      </c>
      <c r="L188" s="118"/>
      <c r="M188" s="110">
        <v>0</v>
      </c>
      <c r="N188" s="118"/>
      <c r="O188" s="118"/>
      <c r="P188" s="118">
        <f t="shared" si="33"/>
        <v>0</v>
      </c>
      <c r="Q188" s="118">
        <f t="shared" si="34"/>
        <v>0</v>
      </c>
      <c r="R188" s="118">
        <f t="shared" si="35"/>
        <v>0</v>
      </c>
      <c r="S188" s="112">
        <v>0</v>
      </c>
    </row>
    <row r="189" spans="1:19" hidden="1" outlineLevel="2">
      <c r="A189" s="39"/>
      <c r="B189" s="40" t="s">
        <v>65</v>
      </c>
      <c r="C189" s="41" t="s">
        <v>4</v>
      </c>
      <c r="D189" s="26">
        <v>3</v>
      </c>
      <c r="E189" s="77"/>
      <c r="F189" s="334"/>
      <c r="G189" s="112">
        <v>0</v>
      </c>
      <c r="H189" s="120">
        <v>0</v>
      </c>
      <c r="I189" s="120">
        <v>0</v>
      </c>
      <c r="J189" s="120">
        <v>0</v>
      </c>
      <c r="K189" s="110">
        <v>0</v>
      </c>
      <c r="L189" s="118"/>
      <c r="M189" s="110">
        <v>0</v>
      </c>
      <c r="N189" s="118"/>
      <c r="O189" s="118"/>
      <c r="P189" s="118">
        <f t="shared" si="33"/>
        <v>0</v>
      </c>
      <c r="Q189" s="118">
        <f t="shared" si="34"/>
        <v>0</v>
      </c>
      <c r="R189" s="118">
        <f t="shared" si="35"/>
        <v>0</v>
      </c>
      <c r="S189" s="112">
        <v>0</v>
      </c>
    </row>
    <row r="190" spans="1:19" hidden="1" outlineLevel="2">
      <c r="A190" s="39"/>
      <c r="B190" s="40" t="s">
        <v>55</v>
      </c>
      <c r="C190" s="41" t="s">
        <v>4</v>
      </c>
      <c r="D190" s="26">
        <v>1</v>
      </c>
      <c r="E190" s="77"/>
      <c r="F190" s="334"/>
      <c r="G190" s="112">
        <v>0</v>
      </c>
      <c r="H190" s="120">
        <v>0</v>
      </c>
      <c r="I190" s="120">
        <v>0</v>
      </c>
      <c r="J190" s="120">
        <v>0</v>
      </c>
      <c r="K190" s="110">
        <v>0</v>
      </c>
      <c r="L190" s="118"/>
      <c r="M190" s="110">
        <v>0</v>
      </c>
      <c r="N190" s="118"/>
      <c r="O190" s="118"/>
      <c r="P190" s="118">
        <f t="shared" si="33"/>
        <v>0</v>
      </c>
      <c r="Q190" s="118">
        <f t="shared" si="34"/>
        <v>0</v>
      </c>
      <c r="R190" s="118">
        <f t="shared" si="35"/>
        <v>0</v>
      </c>
      <c r="S190" s="112">
        <v>0</v>
      </c>
    </row>
    <row r="191" spans="1:19" hidden="1" outlineLevel="2">
      <c r="A191" s="39"/>
      <c r="B191" s="40" t="s">
        <v>88</v>
      </c>
      <c r="C191" s="41" t="s">
        <v>4</v>
      </c>
      <c r="D191" s="26">
        <v>5</v>
      </c>
      <c r="E191" s="77"/>
      <c r="F191" s="334"/>
      <c r="G191" s="112">
        <v>0</v>
      </c>
      <c r="H191" s="120">
        <v>0</v>
      </c>
      <c r="I191" s="120">
        <v>0</v>
      </c>
      <c r="J191" s="120">
        <v>0</v>
      </c>
      <c r="K191" s="110">
        <v>0</v>
      </c>
      <c r="L191" s="118"/>
      <c r="M191" s="110">
        <v>0</v>
      </c>
      <c r="N191" s="118"/>
      <c r="O191" s="118"/>
      <c r="P191" s="118">
        <f t="shared" si="33"/>
        <v>0</v>
      </c>
      <c r="Q191" s="118">
        <f t="shared" si="34"/>
        <v>0</v>
      </c>
      <c r="R191" s="118">
        <f t="shared" si="35"/>
        <v>0</v>
      </c>
      <c r="S191" s="112">
        <v>0</v>
      </c>
    </row>
    <row r="192" spans="1:19" ht="30" hidden="1" outlineLevel="2">
      <c r="A192" s="39"/>
      <c r="B192" s="40" t="s">
        <v>89</v>
      </c>
      <c r="C192" s="41" t="s">
        <v>8</v>
      </c>
      <c r="D192" s="26">
        <v>1</v>
      </c>
      <c r="E192" s="77"/>
      <c r="F192" s="334"/>
      <c r="G192" s="112">
        <v>0</v>
      </c>
      <c r="H192" s="120">
        <v>0</v>
      </c>
      <c r="I192" s="120">
        <v>0</v>
      </c>
      <c r="J192" s="120">
        <v>0</v>
      </c>
      <c r="K192" s="110">
        <v>0</v>
      </c>
      <c r="L192" s="118"/>
      <c r="M192" s="110">
        <v>0</v>
      </c>
      <c r="N192" s="118"/>
      <c r="O192" s="118"/>
      <c r="P192" s="118">
        <f t="shared" si="33"/>
        <v>0</v>
      </c>
      <c r="Q192" s="118">
        <f t="shared" si="34"/>
        <v>0</v>
      </c>
      <c r="R192" s="118">
        <f t="shared" si="35"/>
        <v>0</v>
      </c>
      <c r="S192" s="112">
        <v>0</v>
      </c>
    </row>
    <row r="193" spans="1:19" hidden="1" outlineLevel="2">
      <c r="A193" s="39"/>
      <c r="B193" s="53" t="s">
        <v>40</v>
      </c>
      <c r="C193" s="54" t="s">
        <v>8</v>
      </c>
      <c r="D193" s="26">
        <v>1</v>
      </c>
      <c r="E193" s="77"/>
      <c r="F193" s="334"/>
      <c r="G193" s="112">
        <v>0</v>
      </c>
      <c r="H193" s="120">
        <v>0</v>
      </c>
      <c r="I193" s="120">
        <v>0</v>
      </c>
      <c r="J193" s="120">
        <v>0</v>
      </c>
      <c r="K193" s="110">
        <v>0</v>
      </c>
      <c r="L193" s="118"/>
      <c r="M193" s="110">
        <v>0</v>
      </c>
      <c r="N193" s="118"/>
      <c r="O193" s="118"/>
      <c r="P193" s="118">
        <f t="shared" si="33"/>
        <v>0</v>
      </c>
      <c r="Q193" s="118">
        <f t="shared" si="34"/>
        <v>0</v>
      </c>
      <c r="R193" s="118">
        <f t="shared" si="35"/>
        <v>0</v>
      </c>
      <c r="S193" s="112">
        <v>0</v>
      </c>
    </row>
    <row r="194" spans="1:19" hidden="1" outlineLevel="2">
      <c r="A194" s="39"/>
      <c r="B194" s="53" t="s">
        <v>43</v>
      </c>
      <c r="C194" s="54" t="s">
        <v>6</v>
      </c>
      <c r="D194" s="26">
        <v>1</v>
      </c>
      <c r="E194" s="77"/>
      <c r="F194" s="334"/>
      <c r="G194" s="112">
        <v>0</v>
      </c>
      <c r="H194" s="120">
        <v>0</v>
      </c>
      <c r="I194" s="120">
        <v>0</v>
      </c>
      <c r="J194" s="120">
        <v>0</v>
      </c>
      <c r="K194" s="110">
        <v>0</v>
      </c>
      <c r="L194" s="118"/>
      <c r="M194" s="110">
        <v>0</v>
      </c>
      <c r="N194" s="118"/>
      <c r="O194" s="118"/>
      <c r="P194" s="118">
        <f t="shared" si="33"/>
        <v>0</v>
      </c>
      <c r="Q194" s="118">
        <f t="shared" si="34"/>
        <v>0</v>
      </c>
      <c r="R194" s="118">
        <f t="shared" si="35"/>
        <v>0</v>
      </c>
      <c r="S194" s="112">
        <v>0</v>
      </c>
    </row>
    <row r="195" spans="1:19" ht="60" outlineLevel="1" collapsed="1">
      <c r="A195" s="57">
        <v>6</v>
      </c>
      <c r="B195" s="44" t="s">
        <v>90</v>
      </c>
      <c r="C195" s="58" t="s">
        <v>6</v>
      </c>
      <c r="D195" s="102">
        <v>1</v>
      </c>
      <c r="E195" s="80"/>
      <c r="F195" s="334">
        <v>1</v>
      </c>
      <c r="G195" s="112" t="s">
        <v>90</v>
      </c>
      <c r="H195" s="120" t="s">
        <v>1075</v>
      </c>
      <c r="I195" s="120" t="s">
        <v>828</v>
      </c>
      <c r="J195" s="120" t="s">
        <v>829</v>
      </c>
      <c r="K195" s="110">
        <v>223792300</v>
      </c>
      <c r="L195" s="118"/>
      <c r="M195" s="110">
        <v>8060000</v>
      </c>
      <c r="N195" s="118"/>
      <c r="O195" s="118"/>
      <c r="P195" s="118">
        <f t="shared" si="33"/>
        <v>231852300</v>
      </c>
      <c r="Q195" s="118">
        <f t="shared" si="34"/>
        <v>231852300</v>
      </c>
      <c r="R195" s="118">
        <f t="shared" si="35"/>
        <v>231852300</v>
      </c>
      <c r="S195" s="112" t="s">
        <v>4094</v>
      </c>
    </row>
    <row r="196" spans="1:19" hidden="1" outlineLevel="2">
      <c r="A196" s="39"/>
      <c r="B196" s="40" t="s">
        <v>1047</v>
      </c>
      <c r="C196" s="41" t="s">
        <v>4</v>
      </c>
      <c r="D196" s="26">
        <v>1</v>
      </c>
      <c r="E196" s="77"/>
      <c r="F196" s="334"/>
      <c r="G196" s="112">
        <v>0</v>
      </c>
      <c r="H196" s="120">
        <v>0</v>
      </c>
      <c r="I196" s="120">
        <v>0</v>
      </c>
      <c r="J196" s="120">
        <v>0</v>
      </c>
      <c r="K196" s="110">
        <v>0</v>
      </c>
      <c r="L196" s="118"/>
      <c r="M196" s="110">
        <v>0</v>
      </c>
      <c r="N196" s="118"/>
      <c r="O196" s="118"/>
      <c r="P196" s="118">
        <f t="shared" si="33"/>
        <v>0</v>
      </c>
      <c r="Q196" s="118">
        <f t="shared" si="34"/>
        <v>0</v>
      </c>
      <c r="R196" s="118">
        <f t="shared" si="35"/>
        <v>0</v>
      </c>
      <c r="S196" s="112">
        <v>0</v>
      </c>
    </row>
    <row r="197" spans="1:19" hidden="1" outlineLevel="2">
      <c r="A197" s="39"/>
      <c r="B197" s="44" t="s">
        <v>13</v>
      </c>
      <c r="C197" s="41"/>
      <c r="D197" s="26"/>
      <c r="E197" s="77"/>
      <c r="F197" s="76"/>
      <c r="G197" s="112"/>
      <c r="H197" s="120"/>
      <c r="I197" s="120"/>
      <c r="J197" s="120"/>
      <c r="K197" s="118"/>
      <c r="L197" s="118"/>
      <c r="M197" s="118"/>
      <c r="N197" s="118"/>
      <c r="O197" s="118"/>
      <c r="P197" s="118"/>
      <c r="Q197" s="118"/>
      <c r="R197" s="118"/>
      <c r="S197" s="112">
        <v>0</v>
      </c>
    </row>
    <row r="198" spans="1:19" hidden="1" outlineLevel="2">
      <c r="A198" s="39"/>
      <c r="B198" s="40" t="s">
        <v>91</v>
      </c>
      <c r="C198" s="41" t="s">
        <v>4</v>
      </c>
      <c r="D198" s="26">
        <v>1</v>
      </c>
      <c r="E198" s="77"/>
      <c r="F198" s="334"/>
      <c r="G198" s="112">
        <v>0</v>
      </c>
      <c r="H198" s="120">
        <v>0</v>
      </c>
      <c r="I198" s="120">
        <v>0</v>
      </c>
      <c r="J198" s="120">
        <v>0</v>
      </c>
      <c r="K198" s="110">
        <v>0</v>
      </c>
      <c r="L198" s="118"/>
      <c r="M198" s="110">
        <v>0</v>
      </c>
      <c r="N198" s="118"/>
      <c r="O198" s="118"/>
      <c r="P198" s="118">
        <f t="shared" ref="P198:P208" si="36">+K198+L198+M198+N198+O198</f>
        <v>0</v>
      </c>
      <c r="Q198" s="118">
        <f t="shared" ref="Q198:Q208" si="37">+P198*D198</f>
        <v>0</v>
      </c>
      <c r="R198" s="118">
        <f t="shared" ref="R198:R208" si="38">P198*F198</f>
        <v>0</v>
      </c>
      <c r="S198" s="112">
        <v>0</v>
      </c>
    </row>
    <row r="199" spans="1:19" ht="30" hidden="1" outlineLevel="2">
      <c r="A199" s="50"/>
      <c r="B199" s="45" t="s">
        <v>4027</v>
      </c>
      <c r="C199" s="27" t="s">
        <v>4</v>
      </c>
      <c r="D199" s="26">
        <v>2</v>
      </c>
      <c r="E199" s="77"/>
      <c r="F199" s="334"/>
      <c r="G199" s="112">
        <v>0</v>
      </c>
      <c r="H199" s="120">
        <v>0</v>
      </c>
      <c r="I199" s="120">
        <v>0</v>
      </c>
      <c r="J199" s="120">
        <v>0</v>
      </c>
      <c r="K199" s="110">
        <v>0</v>
      </c>
      <c r="L199" s="118"/>
      <c r="M199" s="110">
        <v>0</v>
      </c>
      <c r="N199" s="118"/>
      <c r="O199" s="118"/>
      <c r="P199" s="118">
        <f t="shared" si="36"/>
        <v>0</v>
      </c>
      <c r="Q199" s="118">
        <f t="shared" si="37"/>
        <v>0</v>
      </c>
      <c r="R199" s="118">
        <f t="shared" si="38"/>
        <v>0</v>
      </c>
      <c r="S199" s="112">
        <v>0</v>
      </c>
    </row>
    <row r="200" spans="1:19" ht="30" hidden="1" outlineLevel="2">
      <c r="A200" s="50"/>
      <c r="B200" s="45" t="s">
        <v>4028</v>
      </c>
      <c r="C200" s="27" t="s">
        <v>4</v>
      </c>
      <c r="D200" s="26">
        <v>2</v>
      </c>
      <c r="E200" s="77"/>
      <c r="F200" s="334"/>
      <c r="G200" s="112">
        <v>0</v>
      </c>
      <c r="H200" s="120">
        <v>0</v>
      </c>
      <c r="I200" s="120">
        <v>0</v>
      </c>
      <c r="J200" s="120">
        <v>0</v>
      </c>
      <c r="K200" s="110">
        <v>0</v>
      </c>
      <c r="L200" s="118"/>
      <c r="M200" s="110">
        <v>0</v>
      </c>
      <c r="N200" s="118"/>
      <c r="O200" s="118"/>
      <c r="P200" s="118">
        <f t="shared" si="36"/>
        <v>0</v>
      </c>
      <c r="Q200" s="118">
        <f t="shared" si="37"/>
        <v>0</v>
      </c>
      <c r="R200" s="118">
        <f t="shared" si="38"/>
        <v>0</v>
      </c>
      <c r="S200" s="112">
        <v>0</v>
      </c>
    </row>
    <row r="201" spans="1:19" hidden="1" outlineLevel="2">
      <c r="A201" s="39"/>
      <c r="B201" s="40" t="s">
        <v>46</v>
      </c>
      <c r="C201" s="41" t="s">
        <v>4</v>
      </c>
      <c r="D201" s="26">
        <v>1</v>
      </c>
      <c r="E201" s="77"/>
      <c r="F201" s="334"/>
      <c r="G201" s="112">
        <v>0</v>
      </c>
      <c r="H201" s="120">
        <v>0</v>
      </c>
      <c r="I201" s="120">
        <v>0</v>
      </c>
      <c r="J201" s="120">
        <v>0</v>
      </c>
      <c r="K201" s="110">
        <v>0</v>
      </c>
      <c r="L201" s="118"/>
      <c r="M201" s="110">
        <v>0</v>
      </c>
      <c r="N201" s="118"/>
      <c r="O201" s="118"/>
      <c r="P201" s="118">
        <f t="shared" si="36"/>
        <v>0</v>
      </c>
      <c r="Q201" s="118">
        <f t="shared" si="37"/>
        <v>0</v>
      </c>
      <c r="R201" s="118">
        <f t="shared" si="38"/>
        <v>0</v>
      </c>
      <c r="S201" s="112">
        <v>0</v>
      </c>
    </row>
    <row r="202" spans="1:19" hidden="1" outlineLevel="2">
      <c r="A202" s="39"/>
      <c r="B202" s="40" t="s">
        <v>47</v>
      </c>
      <c r="C202" s="41" t="s">
        <v>4</v>
      </c>
      <c r="D202" s="26">
        <v>1</v>
      </c>
      <c r="E202" s="77"/>
      <c r="F202" s="334"/>
      <c r="G202" s="112">
        <v>0</v>
      </c>
      <c r="H202" s="120">
        <v>0</v>
      </c>
      <c r="I202" s="120">
        <v>0</v>
      </c>
      <c r="J202" s="120">
        <v>0</v>
      </c>
      <c r="K202" s="110">
        <v>0</v>
      </c>
      <c r="L202" s="118"/>
      <c r="M202" s="110">
        <v>0</v>
      </c>
      <c r="N202" s="118"/>
      <c r="O202" s="118"/>
      <c r="P202" s="118">
        <f t="shared" si="36"/>
        <v>0</v>
      </c>
      <c r="Q202" s="118">
        <f t="shared" si="37"/>
        <v>0</v>
      </c>
      <c r="R202" s="118">
        <f t="shared" si="38"/>
        <v>0</v>
      </c>
      <c r="S202" s="112">
        <v>0</v>
      </c>
    </row>
    <row r="203" spans="1:19" hidden="1" outlineLevel="2">
      <c r="A203" s="46"/>
      <c r="B203" s="47" t="s">
        <v>48</v>
      </c>
      <c r="C203" s="48" t="s">
        <v>12</v>
      </c>
      <c r="D203" s="26">
        <v>6</v>
      </c>
      <c r="E203" s="77"/>
      <c r="F203" s="334"/>
      <c r="G203" s="112">
        <v>0</v>
      </c>
      <c r="H203" s="120">
        <v>0</v>
      </c>
      <c r="I203" s="120">
        <v>0</v>
      </c>
      <c r="J203" s="120">
        <v>0</v>
      </c>
      <c r="K203" s="110">
        <v>0</v>
      </c>
      <c r="L203" s="118"/>
      <c r="M203" s="110">
        <v>0</v>
      </c>
      <c r="N203" s="118"/>
      <c r="O203" s="118"/>
      <c r="P203" s="118">
        <f t="shared" si="36"/>
        <v>0</v>
      </c>
      <c r="Q203" s="118">
        <f t="shared" si="37"/>
        <v>0</v>
      </c>
      <c r="R203" s="118">
        <f t="shared" si="38"/>
        <v>0</v>
      </c>
      <c r="S203" s="112">
        <v>0</v>
      </c>
    </row>
    <row r="204" spans="1:19" hidden="1" outlineLevel="2">
      <c r="A204" s="46"/>
      <c r="B204" s="47" t="s">
        <v>29</v>
      </c>
      <c r="C204" s="48" t="s">
        <v>4</v>
      </c>
      <c r="D204" s="26">
        <v>2</v>
      </c>
      <c r="E204" s="77"/>
      <c r="F204" s="334"/>
      <c r="G204" s="112">
        <v>0</v>
      </c>
      <c r="H204" s="120" t="s">
        <v>1196</v>
      </c>
      <c r="I204" s="120">
        <v>0</v>
      </c>
      <c r="J204" s="120">
        <v>0</v>
      </c>
      <c r="K204" s="110">
        <v>0</v>
      </c>
      <c r="L204" s="118"/>
      <c r="M204" s="110">
        <v>0</v>
      </c>
      <c r="N204" s="118"/>
      <c r="O204" s="118"/>
      <c r="P204" s="118">
        <f t="shared" si="36"/>
        <v>0</v>
      </c>
      <c r="Q204" s="118">
        <f t="shared" si="37"/>
        <v>0</v>
      </c>
      <c r="R204" s="118">
        <f t="shared" si="38"/>
        <v>0</v>
      </c>
      <c r="S204" s="112">
        <v>0</v>
      </c>
    </row>
    <row r="205" spans="1:19" hidden="1" outlineLevel="2">
      <c r="A205" s="46"/>
      <c r="B205" s="47" t="s">
        <v>30</v>
      </c>
      <c r="C205" s="48" t="s">
        <v>4</v>
      </c>
      <c r="D205" s="26">
        <v>2</v>
      </c>
      <c r="E205" s="77"/>
      <c r="F205" s="334"/>
      <c r="G205" s="112">
        <v>0</v>
      </c>
      <c r="H205" s="120">
        <v>0</v>
      </c>
      <c r="I205" s="120">
        <v>0</v>
      </c>
      <c r="J205" s="120">
        <v>0</v>
      </c>
      <c r="K205" s="110">
        <v>0</v>
      </c>
      <c r="L205" s="118"/>
      <c r="M205" s="110">
        <v>0</v>
      </c>
      <c r="N205" s="118"/>
      <c r="O205" s="118"/>
      <c r="P205" s="118">
        <f t="shared" si="36"/>
        <v>0</v>
      </c>
      <c r="Q205" s="118">
        <f t="shared" si="37"/>
        <v>0</v>
      </c>
      <c r="R205" s="118">
        <f t="shared" si="38"/>
        <v>0</v>
      </c>
      <c r="S205" s="112">
        <v>0</v>
      </c>
    </row>
    <row r="206" spans="1:19" ht="45" hidden="1" outlineLevel="2">
      <c r="A206" s="46"/>
      <c r="B206" s="47" t="s">
        <v>49</v>
      </c>
      <c r="C206" s="48" t="s">
        <v>4</v>
      </c>
      <c r="D206" s="26">
        <v>2</v>
      </c>
      <c r="E206" s="77"/>
      <c r="F206" s="334"/>
      <c r="G206" s="112">
        <v>0</v>
      </c>
      <c r="H206" s="120">
        <v>0</v>
      </c>
      <c r="I206" s="120">
        <v>0</v>
      </c>
      <c r="J206" s="120">
        <v>0</v>
      </c>
      <c r="K206" s="110">
        <v>0</v>
      </c>
      <c r="L206" s="118"/>
      <c r="M206" s="110">
        <v>0</v>
      </c>
      <c r="N206" s="118"/>
      <c r="O206" s="118"/>
      <c r="P206" s="118">
        <f t="shared" si="36"/>
        <v>0</v>
      </c>
      <c r="Q206" s="118">
        <f t="shared" si="37"/>
        <v>0</v>
      </c>
      <c r="R206" s="118">
        <f t="shared" si="38"/>
        <v>0</v>
      </c>
      <c r="S206" s="112">
        <v>0</v>
      </c>
    </row>
    <row r="207" spans="1:19" hidden="1" outlineLevel="2">
      <c r="A207" s="39"/>
      <c r="B207" s="40" t="s">
        <v>14</v>
      </c>
      <c r="C207" s="41" t="s">
        <v>4</v>
      </c>
      <c r="D207" s="26">
        <v>6</v>
      </c>
      <c r="E207" s="77"/>
      <c r="F207" s="334"/>
      <c r="G207" s="112">
        <v>0</v>
      </c>
      <c r="H207" s="120">
        <v>0</v>
      </c>
      <c r="I207" s="120">
        <v>0</v>
      </c>
      <c r="J207" s="120">
        <v>0</v>
      </c>
      <c r="K207" s="110">
        <v>0</v>
      </c>
      <c r="L207" s="118"/>
      <c r="M207" s="110">
        <v>0</v>
      </c>
      <c r="N207" s="118"/>
      <c r="O207" s="118"/>
      <c r="P207" s="118">
        <f t="shared" si="36"/>
        <v>0</v>
      </c>
      <c r="Q207" s="118">
        <f t="shared" si="37"/>
        <v>0</v>
      </c>
      <c r="R207" s="118">
        <f t="shared" si="38"/>
        <v>0</v>
      </c>
      <c r="S207" s="112">
        <v>0</v>
      </c>
    </row>
    <row r="208" spans="1:19" hidden="1" outlineLevel="2">
      <c r="A208" s="39"/>
      <c r="B208" s="40" t="s">
        <v>32</v>
      </c>
      <c r="C208" s="49" t="s">
        <v>4</v>
      </c>
      <c r="D208" s="26"/>
      <c r="E208" s="77"/>
      <c r="F208" s="334"/>
      <c r="G208" s="112">
        <v>0</v>
      </c>
      <c r="H208" s="120">
        <v>0</v>
      </c>
      <c r="I208" s="120">
        <v>0</v>
      </c>
      <c r="J208" s="120">
        <v>0</v>
      </c>
      <c r="K208" s="110">
        <v>0</v>
      </c>
      <c r="L208" s="118"/>
      <c r="M208" s="110">
        <v>0</v>
      </c>
      <c r="N208" s="118"/>
      <c r="O208" s="118"/>
      <c r="P208" s="118">
        <f t="shared" si="36"/>
        <v>0</v>
      </c>
      <c r="Q208" s="118">
        <f t="shared" si="37"/>
        <v>0</v>
      </c>
      <c r="R208" s="118">
        <f t="shared" si="38"/>
        <v>0</v>
      </c>
      <c r="S208" s="112">
        <v>0</v>
      </c>
    </row>
    <row r="209" spans="1:19" hidden="1" outlineLevel="2">
      <c r="A209" s="39"/>
      <c r="B209" s="44" t="s">
        <v>16</v>
      </c>
      <c r="C209" s="41"/>
      <c r="D209" s="26"/>
      <c r="E209" s="77"/>
      <c r="F209" s="76"/>
      <c r="G209" s="112"/>
      <c r="H209" s="120"/>
      <c r="I209" s="120"/>
      <c r="J209" s="120"/>
      <c r="K209" s="118"/>
      <c r="L209" s="118"/>
      <c r="M209" s="118"/>
      <c r="N209" s="118"/>
      <c r="O209" s="118"/>
      <c r="P209" s="118"/>
      <c r="Q209" s="118"/>
      <c r="R209" s="118"/>
      <c r="S209" s="112">
        <v>0</v>
      </c>
    </row>
    <row r="210" spans="1:19" hidden="1" outlineLevel="2">
      <c r="A210" s="39"/>
      <c r="B210" s="40" t="s">
        <v>50</v>
      </c>
      <c r="C210" s="41" t="s">
        <v>4</v>
      </c>
      <c r="D210" s="26">
        <v>2</v>
      </c>
      <c r="E210" s="77"/>
      <c r="F210" s="334"/>
      <c r="G210" s="112">
        <v>0</v>
      </c>
      <c r="H210" s="120">
        <v>0</v>
      </c>
      <c r="I210" s="120">
        <v>0</v>
      </c>
      <c r="J210" s="120">
        <v>0</v>
      </c>
      <c r="K210" s="110">
        <v>0</v>
      </c>
      <c r="L210" s="118"/>
      <c r="M210" s="110">
        <v>0</v>
      </c>
      <c r="N210" s="118"/>
      <c r="O210" s="118"/>
      <c r="P210" s="118">
        <f t="shared" ref="P210:P219" si="39">+K210+L210+M210+N210+O210</f>
        <v>0</v>
      </c>
      <c r="Q210" s="118">
        <f t="shared" ref="Q210:Q219" si="40">+P210*D210</f>
        <v>0</v>
      </c>
      <c r="R210" s="118">
        <f t="shared" ref="R210:R219" si="41">P210*F210</f>
        <v>0</v>
      </c>
      <c r="S210" s="112">
        <v>0</v>
      </c>
    </row>
    <row r="211" spans="1:19" hidden="1" outlineLevel="2">
      <c r="A211" s="39"/>
      <c r="B211" s="40" t="s">
        <v>52</v>
      </c>
      <c r="C211" s="41" t="s">
        <v>4</v>
      </c>
      <c r="D211" s="26">
        <v>3</v>
      </c>
      <c r="E211" s="77"/>
      <c r="F211" s="334"/>
      <c r="G211" s="112">
        <v>0</v>
      </c>
      <c r="H211" s="120">
        <v>0</v>
      </c>
      <c r="I211" s="120">
        <v>0</v>
      </c>
      <c r="J211" s="120">
        <v>0</v>
      </c>
      <c r="K211" s="110">
        <v>0</v>
      </c>
      <c r="L211" s="118"/>
      <c r="M211" s="110">
        <v>0</v>
      </c>
      <c r="N211" s="118"/>
      <c r="O211" s="118"/>
      <c r="P211" s="118">
        <f t="shared" si="39"/>
        <v>0</v>
      </c>
      <c r="Q211" s="118">
        <f t="shared" si="40"/>
        <v>0</v>
      </c>
      <c r="R211" s="118">
        <f t="shared" si="41"/>
        <v>0</v>
      </c>
      <c r="S211" s="112">
        <v>0</v>
      </c>
    </row>
    <row r="212" spans="1:19" hidden="1" outlineLevel="2">
      <c r="A212" s="39"/>
      <c r="B212" s="40" t="s">
        <v>53</v>
      </c>
      <c r="C212" s="41" t="s">
        <v>4</v>
      </c>
      <c r="D212" s="26">
        <v>4</v>
      </c>
      <c r="E212" s="80"/>
      <c r="F212" s="334"/>
      <c r="G212" s="112">
        <v>0</v>
      </c>
      <c r="H212" s="120">
        <v>0</v>
      </c>
      <c r="I212" s="120">
        <v>0</v>
      </c>
      <c r="J212" s="120">
        <v>0</v>
      </c>
      <c r="K212" s="110">
        <v>0</v>
      </c>
      <c r="L212" s="118"/>
      <c r="M212" s="110">
        <v>0</v>
      </c>
      <c r="N212" s="118"/>
      <c r="O212" s="118"/>
      <c r="P212" s="118">
        <f t="shared" si="39"/>
        <v>0</v>
      </c>
      <c r="Q212" s="118">
        <f t="shared" si="40"/>
        <v>0</v>
      </c>
      <c r="R212" s="118">
        <f t="shared" si="41"/>
        <v>0</v>
      </c>
      <c r="S212" s="112">
        <v>0</v>
      </c>
    </row>
    <row r="213" spans="1:19" hidden="1" outlineLevel="2">
      <c r="A213" s="39"/>
      <c r="B213" s="40" t="s">
        <v>58</v>
      </c>
      <c r="C213" s="41" t="s">
        <v>4</v>
      </c>
      <c r="D213" s="26">
        <v>1</v>
      </c>
      <c r="E213" s="77"/>
      <c r="F213" s="334"/>
      <c r="G213" s="112">
        <v>0</v>
      </c>
      <c r="H213" s="120">
        <v>0</v>
      </c>
      <c r="I213" s="120">
        <v>0</v>
      </c>
      <c r="J213" s="120">
        <v>0</v>
      </c>
      <c r="K213" s="110">
        <v>0</v>
      </c>
      <c r="L213" s="118"/>
      <c r="M213" s="110">
        <v>0</v>
      </c>
      <c r="N213" s="118"/>
      <c r="O213" s="118"/>
      <c r="P213" s="118">
        <f t="shared" si="39"/>
        <v>0</v>
      </c>
      <c r="Q213" s="118">
        <f t="shared" si="40"/>
        <v>0</v>
      </c>
      <c r="R213" s="118">
        <f t="shared" si="41"/>
        <v>0</v>
      </c>
      <c r="S213" s="112">
        <v>0</v>
      </c>
    </row>
    <row r="214" spans="1:19" hidden="1" outlineLevel="2">
      <c r="A214" s="39"/>
      <c r="B214" s="40" t="s">
        <v>92</v>
      </c>
      <c r="C214" s="41" t="s">
        <v>8</v>
      </c>
      <c r="D214" s="26">
        <v>1</v>
      </c>
      <c r="E214" s="77"/>
      <c r="F214" s="334"/>
      <c r="G214" s="112">
        <v>0</v>
      </c>
      <c r="H214" s="120">
        <v>0</v>
      </c>
      <c r="I214" s="120">
        <v>0</v>
      </c>
      <c r="J214" s="120">
        <v>0</v>
      </c>
      <c r="K214" s="110">
        <v>0</v>
      </c>
      <c r="L214" s="118"/>
      <c r="M214" s="110">
        <v>0</v>
      </c>
      <c r="N214" s="118"/>
      <c r="O214" s="118"/>
      <c r="P214" s="118">
        <f t="shared" si="39"/>
        <v>0</v>
      </c>
      <c r="Q214" s="118">
        <f t="shared" si="40"/>
        <v>0</v>
      </c>
      <c r="R214" s="118">
        <f t="shared" si="41"/>
        <v>0</v>
      </c>
      <c r="S214" s="112">
        <v>0</v>
      </c>
    </row>
    <row r="215" spans="1:19" ht="30" hidden="1" outlineLevel="2">
      <c r="A215" s="39"/>
      <c r="B215" s="40" t="s">
        <v>93</v>
      </c>
      <c r="C215" s="41" t="s">
        <v>8</v>
      </c>
      <c r="D215" s="26">
        <v>1</v>
      </c>
      <c r="E215" s="77"/>
      <c r="F215" s="334"/>
      <c r="G215" s="112">
        <v>0</v>
      </c>
      <c r="H215" s="120">
        <v>0</v>
      </c>
      <c r="I215" s="120">
        <v>0</v>
      </c>
      <c r="J215" s="120">
        <v>0</v>
      </c>
      <c r="K215" s="110">
        <v>0</v>
      </c>
      <c r="L215" s="118"/>
      <c r="M215" s="110">
        <v>0</v>
      </c>
      <c r="N215" s="118"/>
      <c r="O215" s="118"/>
      <c r="P215" s="118">
        <f t="shared" si="39"/>
        <v>0</v>
      </c>
      <c r="Q215" s="118">
        <f t="shared" si="40"/>
        <v>0</v>
      </c>
      <c r="R215" s="118">
        <f t="shared" si="41"/>
        <v>0</v>
      </c>
      <c r="S215" s="112">
        <v>0</v>
      </c>
    </row>
    <row r="216" spans="1:19" hidden="1" outlineLevel="2">
      <c r="A216" s="39"/>
      <c r="B216" s="53" t="s">
        <v>40</v>
      </c>
      <c r="C216" s="54" t="s">
        <v>8</v>
      </c>
      <c r="D216" s="26">
        <v>1</v>
      </c>
      <c r="E216" s="77"/>
      <c r="F216" s="334"/>
      <c r="G216" s="112">
        <v>0</v>
      </c>
      <c r="H216" s="120">
        <v>0</v>
      </c>
      <c r="I216" s="120">
        <v>0</v>
      </c>
      <c r="J216" s="120">
        <v>0</v>
      </c>
      <c r="K216" s="110">
        <v>0</v>
      </c>
      <c r="L216" s="118"/>
      <c r="M216" s="110">
        <v>0</v>
      </c>
      <c r="N216" s="118"/>
      <c r="O216" s="118"/>
      <c r="P216" s="118">
        <f t="shared" si="39"/>
        <v>0</v>
      </c>
      <c r="Q216" s="118">
        <f t="shared" si="40"/>
        <v>0</v>
      </c>
      <c r="R216" s="118">
        <f t="shared" si="41"/>
        <v>0</v>
      </c>
      <c r="S216" s="112">
        <v>0</v>
      </c>
    </row>
    <row r="217" spans="1:19" hidden="1" outlineLevel="2">
      <c r="A217" s="39"/>
      <c r="B217" s="53" t="s">
        <v>60</v>
      </c>
      <c r="C217" s="54" t="s">
        <v>6</v>
      </c>
      <c r="D217" s="26">
        <v>1</v>
      </c>
      <c r="E217" s="77"/>
      <c r="F217" s="334"/>
      <c r="G217" s="112">
        <v>0</v>
      </c>
      <c r="H217" s="120">
        <v>0</v>
      </c>
      <c r="I217" s="120">
        <v>0</v>
      </c>
      <c r="J217" s="120">
        <v>0</v>
      </c>
      <c r="K217" s="110">
        <v>0</v>
      </c>
      <c r="L217" s="118"/>
      <c r="M217" s="110">
        <v>0</v>
      </c>
      <c r="N217" s="118"/>
      <c r="O217" s="118"/>
      <c r="P217" s="118">
        <f t="shared" si="39"/>
        <v>0</v>
      </c>
      <c r="Q217" s="118">
        <f t="shared" si="40"/>
        <v>0</v>
      </c>
      <c r="R217" s="118">
        <f t="shared" si="41"/>
        <v>0</v>
      </c>
      <c r="S217" s="112">
        <v>0</v>
      </c>
    </row>
    <row r="218" spans="1:19" ht="60" outlineLevel="1" collapsed="1">
      <c r="A218" s="57">
        <v>7</v>
      </c>
      <c r="B218" s="44" t="s">
        <v>94</v>
      </c>
      <c r="C218" s="58" t="s">
        <v>6</v>
      </c>
      <c r="D218" s="102">
        <v>1</v>
      </c>
      <c r="E218" s="80"/>
      <c r="F218" s="334">
        <v>1</v>
      </c>
      <c r="G218" s="112" t="s">
        <v>94</v>
      </c>
      <c r="H218" s="120" t="s">
        <v>1075</v>
      </c>
      <c r="I218" s="120" t="s">
        <v>828</v>
      </c>
      <c r="J218" s="120" t="s">
        <v>829</v>
      </c>
      <c r="K218" s="110">
        <v>330488800</v>
      </c>
      <c r="L218" s="118"/>
      <c r="M218" s="110">
        <v>8060000</v>
      </c>
      <c r="N218" s="118"/>
      <c r="O218" s="118"/>
      <c r="P218" s="118">
        <f t="shared" si="39"/>
        <v>338548800</v>
      </c>
      <c r="Q218" s="118">
        <f t="shared" si="40"/>
        <v>338548800</v>
      </c>
      <c r="R218" s="118">
        <f t="shared" si="41"/>
        <v>338548800</v>
      </c>
      <c r="S218" s="112" t="s">
        <v>4094</v>
      </c>
    </row>
    <row r="219" spans="1:19" hidden="1" outlineLevel="2">
      <c r="A219" s="39"/>
      <c r="B219" s="40" t="s">
        <v>1047</v>
      </c>
      <c r="C219" s="41" t="s">
        <v>4</v>
      </c>
      <c r="D219" s="26">
        <v>1</v>
      </c>
      <c r="E219" s="59"/>
      <c r="F219" s="334"/>
      <c r="G219" s="112">
        <v>0</v>
      </c>
      <c r="H219" s="120">
        <v>0</v>
      </c>
      <c r="I219" s="120">
        <v>0</v>
      </c>
      <c r="J219" s="120">
        <v>0</v>
      </c>
      <c r="K219" s="110">
        <v>0</v>
      </c>
      <c r="L219" s="118"/>
      <c r="M219" s="110">
        <v>0</v>
      </c>
      <c r="N219" s="118"/>
      <c r="O219" s="118"/>
      <c r="P219" s="118">
        <f t="shared" si="39"/>
        <v>0</v>
      </c>
      <c r="Q219" s="118">
        <f t="shared" si="40"/>
        <v>0</v>
      </c>
      <c r="R219" s="118">
        <f t="shared" si="41"/>
        <v>0</v>
      </c>
      <c r="S219" s="112">
        <v>0</v>
      </c>
    </row>
    <row r="220" spans="1:19" hidden="1" outlineLevel="2">
      <c r="A220" s="39"/>
      <c r="B220" s="44" t="s">
        <v>13</v>
      </c>
      <c r="C220" s="41"/>
      <c r="D220" s="26"/>
      <c r="E220" s="73"/>
      <c r="F220" s="73"/>
      <c r="G220" s="121"/>
      <c r="H220" s="121"/>
      <c r="I220" s="121"/>
      <c r="J220" s="121"/>
      <c r="K220" s="543"/>
      <c r="L220" s="543"/>
      <c r="M220" s="543"/>
      <c r="N220" s="543"/>
      <c r="O220" s="543"/>
      <c r="P220" s="543"/>
      <c r="Q220" s="543"/>
      <c r="R220" s="543"/>
      <c r="S220" s="112">
        <v>0</v>
      </c>
    </row>
    <row r="221" spans="1:19" hidden="1" outlineLevel="2">
      <c r="A221" s="39"/>
      <c r="B221" s="40" t="s">
        <v>36</v>
      </c>
      <c r="C221" s="41" t="s">
        <v>4</v>
      </c>
      <c r="D221" s="26">
        <v>1</v>
      </c>
      <c r="E221" s="50"/>
      <c r="F221" s="334"/>
      <c r="G221" s="112">
        <v>0</v>
      </c>
      <c r="H221" s="120">
        <v>0</v>
      </c>
      <c r="I221" s="120">
        <v>0</v>
      </c>
      <c r="J221" s="120">
        <v>0</v>
      </c>
      <c r="K221" s="110">
        <v>0</v>
      </c>
      <c r="L221" s="118"/>
      <c r="M221" s="110">
        <v>0</v>
      </c>
      <c r="N221" s="118"/>
      <c r="O221" s="118"/>
      <c r="P221" s="118">
        <f t="shared" ref="P221:P231" si="42">+K221+L221+M221+N221+O221</f>
        <v>0</v>
      </c>
      <c r="Q221" s="118">
        <f t="shared" ref="Q221:Q231" si="43">+P221*D221</f>
        <v>0</v>
      </c>
      <c r="R221" s="118">
        <f t="shared" ref="R221:R231" si="44">P221*F221</f>
        <v>0</v>
      </c>
      <c r="S221" s="112">
        <v>0</v>
      </c>
    </row>
    <row r="222" spans="1:19" ht="30" hidden="1" outlineLevel="2">
      <c r="A222" s="50"/>
      <c r="B222" s="45" t="s">
        <v>4022</v>
      </c>
      <c r="C222" s="27" t="s">
        <v>4</v>
      </c>
      <c r="D222" s="26">
        <v>2</v>
      </c>
      <c r="E222" s="57"/>
      <c r="F222" s="334"/>
      <c r="G222" s="112">
        <v>0</v>
      </c>
      <c r="H222" s="120">
        <v>0</v>
      </c>
      <c r="I222" s="120">
        <v>0</v>
      </c>
      <c r="J222" s="120">
        <v>0</v>
      </c>
      <c r="K222" s="110">
        <v>0</v>
      </c>
      <c r="L222" s="118"/>
      <c r="M222" s="110">
        <v>0</v>
      </c>
      <c r="N222" s="118"/>
      <c r="O222" s="118"/>
      <c r="P222" s="118">
        <f t="shared" si="42"/>
        <v>0</v>
      </c>
      <c r="Q222" s="118">
        <f t="shared" si="43"/>
        <v>0</v>
      </c>
      <c r="R222" s="118">
        <f t="shared" si="44"/>
        <v>0</v>
      </c>
      <c r="S222" s="112">
        <v>0</v>
      </c>
    </row>
    <row r="223" spans="1:19" ht="30" hidden="1" outlineLevel="2">
      <c r="A223" s="50"/>
      <c r="B223" s="45" t="s">
        <v>4029</v>
      </c>
      <c r="C223" s="27" t="s">
        <v>4</v>
      </c>
      <c r="D223" s="26">
        <v>2</v>
      </c>
      <c r="E223" s="50"/>
      <c r="F223" s="334"/>
      <c r="G223" s="112">
        <v>0</v>
      </c>
      <c r="H223" s="120">
        <v>0</v>
      </c>
      <c r="I223" s="120">
        <v>0</v>
      </c>
      <c r="J223" s="120">
        <v>0</v>
      </c>
      <c r="K223" s="110">
        <v>0</v>
      </c>
      <c r="L223" s="118"/>
      <c r="M223" s="110">
        <v>0</v>
      </c>
      <c r="N223" s="118"/>
      <c r="O223" s="118"/>
      <c r="P223" s="118">
        <f t="shared" si="42"/>
        <v>0</v>
      </c>
      <c r="Q223" s="118">
        <f t="shared" si="43"/>
        <v>0</v>
      </c>
      <c r="R223" s="118">
        <f t="shared" si="44"/>
        <v>0</v>
      </c>
      <c r="S223" s="112">
        <v>0</v>
      </c>
    </row>
    <row r="224" spans="1:19" hidden="1" outlineLevel="2">
      <c r="A224" s="39"/>
      <c r="B224" s="40" t="s">
        <v>46</v>
      </c>
      <c r="C224" s="41" t="s">
        <v>4</v>
      </c>
      <c r="D224" s="26">
        <v>1</v>
      </c>
      <c r="E224" s="50"/>
      <c r="F224" s="334"/>
      <c r="G224" s="112">
        <v>0</v>
      </c>
      <c r="H224" s="120">
        <v>0</v>
      </c>
      <c r="I224" s="120">
        <v>0</v>
      </c>
      <c r="J224" s="120">
        <v>0</v>
      </c>
      <c r="K224" s="110">
        <v>0</v>
      </c>
      <c r="L224" s="118"/>
      <c r="M224" s="110">
        <v>0</v>
      </c>
      <c r="N224" s="118"/>
      <c r="O224" s="118"/>
      <c r="P224" s="118">
        <f t="shared" si="42"/>
        <v>0</v>
      </c>
      <c r="Q224" s="118">
        <f t="shared" si="43"/>
        <v>0</v>
      </c>
      <c r="R224" s="118">
        <f t="shared" si="44"/>
        <v>0</v>
      </c>
      <c r="S224" s="112">
        <v>0</v>
      </c>
    </row>
    <row r="225" spans="1:19" hidden="1" outlineLevel="2">
      <c r="A225" s="39"/>
      <c r="B225" s="40" t="s">
        <v>47</v>
      </c>
      <c r="C225" s="41" t="s">
        <v>4</v>
      </c>
      <c r="D225" s="26">
        <v>1</v>
      </c>
      <c r="E225" s="50"/>
      <c r="F225" s="334"/>
      <c r="G225" s="112">
        <v>0</v>
      </c>
      <c r="H225" s="120">
        <v>0</v>
      </c>
      <c r="I225" s="120">
        <v>0</v>
      </c>
      <c r="J225" s="120">
        <v>0</v>
      </c>
      <c r="K225" s="110">
        <v>0</v>
      </c>
      <c r="L225" s="118"/>
      <c r="M225" s="110">
        <v>0</v>
      </c>
      <c r="N225" s="118"/>
      <c r="O225" s="118"/>
      <c r="P225" s="118">
        <f t="shared" si="42"/>
        <v>0</v>
      </c>
      <c r="Q225" s="118">
        <f t="shared" si="43"/>
        <v>0</v>
      </c>
      <c r="R225" s="118">
        <f t="shared" si="44"/>
        <v>0</v>
      </c>
      <c r="S225" s="112">
        <v>0</v>
      </c>
    </row>
    <row r="226" spans="1:19" hidden="1" outlineLevel="2">
      <c r="A226" s="46"/>
      <c r="B226" s="47" t="s">
        <v>48</v>
      </c>
      <c r="C226" s="48" t="s">
        <v>12</v>
      </c>
      <c r="D226" s="26">
        <v>6</v>
      </c>
      <c r="E226" s="50"/>
      <c r="F226" s="334"/>
      <c r="G226" s="112">
        <v>0</v>
      </c>
      <c r="H226" s="120">
        <v>0</v>
      </c>
      <c r="I226" s="120">
        <v>0</v>
      </c>
      <c r="J226" s="120">
        <v>0</v>
      </c>
      <c r="K226" s="110">
        <v>0</v>
      </c>
      <c r="L226" s="118"/>
      <c r="M226" s="110">
        <v>0</v>
      </c>
      <c r="N226" s="118"/>
      <c r="O226" s="118"/>
      <c r="P226" s="118">
        <f t="shared" si="42"/>
        <v>0</v>
      </c>
      <c r="Q226" s="118">
        <f t="shared" si="43"/>
        <v>0</v>
      </c>
      <c r="R226" s="118">
        <f t="shared" si="44"/>
        <v>0</v>
      </c>
      <c r="S226" s="112">
        <v>0</v>
      </c>
    </row>
    <row r="227" spans="1:19" hidden="1" outlineLevel="2">
      <c r="A227" s="46"/>
      <c r="B227" s="47" t="s">
        <v>29</v>
      </c>
      <c r="C227" s="48" t="s">
        <v>4</v>
      </c>
      <c r="D227" s="26">
        <v>2</v>
      </c>
      <c r="E227" s="74"/>
      <c r="F227" s="334"/>
      <c r="G227" s="112">
        <v>0</v>
      </c>
      <c r="H227" s="120">
        <v>0</v>
      </c>
      <c r="I227" s="120">
        <v>0</v>
      </c>
      <c r="J227" s="120">
        <v>0</v>
      </c>
      <c r="K227" s="110">
        <v>0</v>
      </c>
      <c r="L227" s="118"/>
      <c r="M227" s="110">
        <v>0</v>
      </c>
      <c r="N227" s="118"/>
      <c r="O227" s="118"/>
      <c r="P227" s="118">
        <f t="shared" si="42"/>
        <v>0</v>
      </c>
      <c r="Q227" s="118">
        <f t="shared" si="43"/>
        <v>0</v>
      </c>
      <c r="R227" s="118">
        <f t="shared" si="44"/>
        <v>0</v>
      </c>
      <c r="S227" s="112">
        <v>0</v>
      </c>
    </row>
    <row r="228" spans="1:19" hidden="1" outlineLevel="2">
      <c r="A228" s="46"/>
      <c r="B228" s="47" t="s">
        <v>30</v>
      </c>
      <c r="C228" s="48" t="s">
        <v>4</v>
      </c>
      <c r="D228" s="26">
        <v>2</v>
      </c>
      <c r="E228" s="74"/>
      <c r="F228" s="334"/>
      <c r="G228" s="112">
        <v>0</v>
      </c>
      <c r="H228" s="120">
        <v>0</v>
      </c>
      <c r="I228" s="120">
        <v>0</v>
      </c>
      <c r="J228" s="120">
        <v>0</v>
      </c>
      <c r="K228" s="110">
        <v>0</v>
      </c>
      <c r="L228" s="118"/>
      <c r="M228" s="110">
        <v>0</v>
      </c>
      <c r="N228" s="118"/>
      <c r="O228" s="118"/>
      <c r="P228" s="118">
        <f t="shared" si="42"/>
        <v>0</v>
      </c>
      <c r="Q228" s="118">
        <f t="shared" si="43"/>
        <v>0</v>
      </c>
      <c r="R228" s="118">
        <f t="shared" si="44"/>
        <v>0</v>
      </c>
      <c r="S228" s="112">
        <v>0</v>
      </c>
    </row>
    <row r="229" spans="1:19" ht="45" hidden="1" outlineLevel="2">
      <c r="A229" s="46"/>
      <c r="B229" s="47" t="s">
        <v>49</v>
      </c>
      <c r="C229" s="48" t="s">
        <v>4</v>
      </c>
      <c r="D229" s="26">
        <v>2</v>
      </c>
      <c r="E229" s="74"/>
      <c r="F229" s="334"/>
      <c r="G229" s="112">
        <v>0</v>
      </c>
      <c r="H229" s="120">
        <v>0</v>
      </c>
      <c r="I229" s="120">
        <v>0</v>
      </c>
      <c r="J229" s="120">
        <v>0</v>
      </c>
      <c r="K229" s="110">
        <v>0</v>
      </c>
      <c r="L229" s="118"/>
      <c r="M229" s="110">
        <v>0</v>
      </c>
      <c r="N229" s="118"/>
      <c r="O229" s="118"/>
      <c r="P229" s="118">
        <f t="shared" si="42"/>
        <v>0</v>
      </c>
      <c r="Q229" s="118">
        <f t="shared" si="43"/>
        <v>0</v>
      </c>
      <c r="R229" s="118">
        <f t="shared" si="44"/>
        <v>0</v>
      </c>
      <c r="S229" s="112">
        <v>0</v>
      </c>
    </row>
    <row r="230" spans="1:19" hidden="1" outlineLevel="2">
      <c r="A230" s="39"/>
      <c r="B230" s="40" t="s">
        <v>14</v>
      </c>
      <c r="C230" s="41" t="s">
        <v>4</v>
      </c>
      <c r="D230" s="26">
        <v>6</v>
      </c>
      <c r="E230" s="74"/>
      <c r="F230" s="334"/>
      <c r="G230" s="112">
        <v>0</v>
      </c>
      <c r="H230" s="120">
        <v>0</v>
      </c>
      <c r="I230" s="120">
        <v>0</v>
      </c>
      <c r="J230" s="120">
        <v>0</v>
      </c>
      <c r="K230" s="110">
        <v>0</v>
      </c>
      <c r="L230" s="118"/>
      <c r="M230" s="110">
        <v>0</v>
      </c>
      <c r="N230" s="118"/>
      <c r="O230" s="118"/>
      <c r="P230" s="118">
        <f t="shared" si="42"/>
        <v>0</v>
      </c>
      <c r="Q230" s="118">
        <f t="shared" si="43"/>
        <v>0</v>
      </c>
      <c r="R230" s="118">
        <f t="shared" si="44"/>
        <v>0</v>
      </c>
      <c r="S230" s="112">
        <v>0</v>
      </c>
    </row>
    <row r="231" spans="1:19" hidden="1" outlineLevel="2">
      <c r="A231" s="39"/>
      <c r="B231" s="40" t="s">
        <v>32</v>
      </c>
      <c r="C231" s="49" t="s">
        <v>4</v>
      </c>
      <c r="D231" s="26">
        <v>6</v>
      </c>
      <c r="E231" s="74"/>
      <c r="F231" s="334"/>
      <c r="G231" s="112">
        <v>0</v>
      </c>
      <c r="H231" s="120">
        <v>0</v>
      </c>
      <c r="I231" s="120">
        <v>0</v>
      </c>
      <c r="J231" s="120">
        <v>0</v>
      </c>
      <c r="K231" s="110">
        <v>0</v>
      </c>
      <c r="L231" s="118"/>
      <c r="M231" s="110">
        <v>0</v>
      </c>
      <c r="N231" s="118"/>
      <c r="O231" s="118"/>
      <c r="P231" s="118">
        <f t="shared" si="42"/>
        <v>0</v>
      </c>
      <c r="Q231" s="118">
        <f t="shared" si="43"/>
        <v>0</v>
      </c>
      <c r="R231" s="118">
        <f t="shared" si="44"/>
        <v>0</v>
      </c>
      <c r="S231" s="112">
        <v>0</v>
      </c>
    </row>
    <row r="232" spans="1:19" hidden="1" outlineLevel="2">
      <c r="A232" s="39"/>
      <c r="B232" s="44" t="s">
        <v>16</v>
      </c>
      <c r="C232" s="41"/>
      <c r="D232" s="26"/>
      <c r="E232" s="74"/>
      <c r="F232" s="74"/>
      <c r="G232" s="120"/>
      <c r="H232" s="120"/>
      <c r="I232" s="120"/>
      <c r="J232" s="120"/>
      <c r="K232" s="544"/>
      <c r="L232" s="544"/>
      <c r="M232" s="544"/>
      <c r="N232" s="544"/>
      <c r="O232" s="544"/>
      <c r="P232" s="544"/>
      <c r="Q232" s="544"/>
      <c r="R232" s="544"/>
      <c r="S232" s="112">
        <v>0</v>
      </c>
    </row>
    <row r="233" spans="1:19" hidden="1" outlineLevel="2">
      <c r="A233" s="39"/>
      <c r="B233" s="40" t="s">
        <v>95</v>
      </c>
      <c r="C233" s="41" t="s">
        <v>4</v>
      </c>
      <c r="D233" s="26">
        <v>1</v>
      </c>
      <c r="E233" s="74"/>
      <c r="F233" s="334"/>
      <c r="G233" s="112">
        <v>0</v>
      </c>
      <c r="H233" s="120">
        <v>0</v>
      </c>
      <c r="I233" s="120">
        <v>0</v>
      </c>
      <c r="J233" s="120">
        <v>0</v>
      </c>
      <c r="K233" s="110">
        <v>0</v>
      </c>
      <c r="L233" s="118"/>
      <c r="M233" s="110">
        <v>0</v>
      </c>
      <c r="N233" s="118"/>
      <c r="O233" s="118"/>
      <c r="P233" s="118">
        <f t="shared" ref="P233:P246" si="45">+K233+L233+M233+N233+O233</f>
        <v>0</v>
      </c>
      <c r="Q233" s="118">
        <f t="shared" ref="Q233:Q246" si="46">+P233*D233</f>
        <v>0</v>
      </c>
      <c r="R233" s="118">
        <f t="shared" ref="R233:R246" si="47">P233*F233</f>
        <v>0</v>
      </c>
      <c r="S233" s="112">
        <v>0</v>
      </c>
    </row>
    <row r="234" spans="1:19" hidden="1" outlineLevel="2">
      <c r="A234" s="39"/>
      <c r="B234" s="40" t="s">
        <v>50</v>
      </c>
      <c r="C234" s="41" t="s">
        <v>4</v>
      </c>
      <c r="D234" s="26">
        <v>1</v>
      </c>
      <c r="E234" s="73"/>
      <c r="F234" s="334"/>
      <c r="G234" s="112">
        <v>0</v>
      </c>
      <c r="H234" s="120">
        <v>0</v>
      </c>
      <c r="I234" s="120">
        <v>0</v>
      </c>
      <c r="J234" s="120">
        <v>0</v>
      </c>
      <c r="K234" s="110">
        <v>0</v>
      </c>
      <c r="L234" s="118"/>
      <c r="M234" s="110">
        <v>0</v>
      </c>
      <c r="N234" s="118"/>
      <c r="O234" s="118"/>
      <c r="P234" s="118">
        <f t="shared" si="45"/>
        <v>0</v>
      </c>
      <c r="Q234" s="118">
        <f t="shared" si="46"/>
        <v>0</v>
      </c>
      <c r="R234" s="118">
        <f t="shared" si="47"/>
        <v>0</v>
      </c>
      <c r="S234" s="112">
        <v>0</v>
      </c>
    </row>
    <row r="235" spans="1:19" hidden="1" outlineLevel="2">
      <c r="A235" s="39"/>
      <c r="B235" s="40" t="s">
        <v>54</v>
      </c>
      <c r="C235" s="41" t="s">
        <v>4</v>
      </c>
      <c r="D235" s="26">
        <v>1</v>
      </c>
      <c r="E235" s="74"/>
      <c r="F235" s="334"/>
      <c r="G235" s="112">
        <v>0</v>
      </c>
      <c r="H235" s="120">
        <v>0</v>
      </c>
      <c r="I235" s="120">
        <v>0</v>
      </c>
      <c r="J235" s="120">
        <v>0</v>
      </c>
      <c r="K235" s="110">
        <v>0</v>
      </c>
      <c r="L235" s="118"/>
      <c r="M235" s="110">
        <v>0</v>
      </c>
      <c r="N235" s="118"/>
      <c r="O235" s="118"/>
      <c r="P235" s="118">
        <f t="shared" si="45"/>
        <v>0</v>
      </c>
      <c r="Q235" s="118">
        <f t="shared" si="46"/>
        <v>0</v>
      </c>
      <c r="R235" s="118">
        <f t="shared" si="47"/>
        <v>0</v>
      </c>
      <c r="S235" s="112">
        <v>0</v>
      </c>
    </row>
    <row r="236" spans="1:19" hidden="1" outlineLevel="2">
      <c r="A236" s="39"/>
      <c r="B236" s="40" t="s">
        <v>51</v>
      </c>
      <c r="C236" s="41" t="s">
        <v>4</v>
      </c>
      <c r="D236" s="26">
        <v>0</v>
      </c>
      <c r="E236" s="74"/>
      <c r="F236" s="334"/>
      <c r="G236" s="112">
        <v>0</v>
      </c>
      <c r="H236" s="120">
        <v>0</v>
      </c>
      <c r="I236" s="120">
        <v>0</v>
      </c>
      <c r="J236" s="120">
        <v>0</v>
      </c>
      <c r="K236" s="110">
        <v>0</v>
      </c>
      <c r="L236" s="118"/>
      <c r="M236" s="110">
        <v>0</v>
      </c>
      <c r="N236" s="118"/>
      <c r="O236" s="118"/>
      <c r="P236" s="118">
        <f t="shared" si="45"/>
        <v>0</v>
      </c>
      <c r="Q236" s="118">
        <f t="shared" si="46"/>
        <v>0</v>
      </c>
      <c r="R236" s="118">
        <f t="shared" si="47"/>
        <v>0</v>
      </c>
      <c r="S236" s="112">
        <v>0</v>
      </c>
    </row>
    <row r="237" spans="1:19" hidden="1" outlineLevel="2">
      <c r="A237" s="39"/>
      <c r="B237" s="40" t="s">
        <v>52</v>
      </c>
      <c r="C237" s="41" t="s">
        <v>4</v>
      </c>
      <c r="D237" s="26">
        <v>4</v>
      </c>
      <c r="E237" s="74"/>
      <c r="F237" s="334"/>
      <c r="G237" s="112">
        <v>0</v>
      </c>
      <c r="H237" s="120">
        <v>0</v>
      </c>
      <c r="I237" s="120">
        <v>0</v>
      </c>
      <c r="J237" s="120">
        <v>0</v>
      </c>
      <c r="K237" s="110">
        <v>0</v>
      </c>
      <c r="L237" s="118"/>
      <c r="M237" s="110">
        <v>0</v>
      </c>
      <c r="N237" s="118"/>
      <c r="O237" s="118"/>
      <c r="P237" s="118">
        <f t="shared" si="45"/>
        <v>0</v>
      </c>
      <c r="Q237" s="118">
        <f t="shared" si="46"/>
        <v>0</v>
      </c>
      <c r="R237" s="118">
        <f t="shared" si="47"/>
        <v>0</v>
      </c>
      <c r="S237" s="112">
        <v>0</v>
      </c>
    </row>
    <row r="238" spans="1:19" hidden="1" outlineLevel="2">
      <c r="A238" s="39"/>
      <c r="B238" s="40" t="s">
        <v>53</v>
      </c>
      <c r="C238" s="41" t="s">
        <v>4</v>
      </c>
      <c r="D238" s="26">
        <v>2</v>
      </c>
      <c r="E238" s="74"/>
      <c r="F238" s="334"/>
      <c r="G238" s="112">
        <v>0</v>
      </c>
      <c r="H238" s="120">
        <v>0</v>
      </c>
      <c r="I238" s="120">
        <v>0</v>
      </c>
      <c r="J238" s="120">
        <v>0</v>
      </c>
      <c r="K238" s="110">
        <v>0</v>
      </c>
      <c r="L238" s="118"/>
      <c r="M238" s="110">
        <v>0</v>
      </c>
      <c r="N238" s="118"/>
      <c r="O238" s="118"/>
      <c r="P238" s="118">
        <f t="shared" si="45"/>
        <v>0</v>
      </c>
      <c r="Q238" s="118">
        <f t="shared" si="46"/>
        <v>0</v>
      </c>
      <c r="R238" s="118">
        <f t="shared" si="47"/>
        <v>0</v>
      </c>
      <c r="S238" s="112">
        <v>0</v>
      </c>
    </row>
    <row r="239" spans="1:19" hidden="1" outlineLevel="2">
      <c r="A239" s="39"/>
      <c r="B239" s="40" t="s">
        <v>65</v>
      </c>
      <c r="C239" s="41" t="s">
        <v>4</v>
      </c>
      <c r="D239" s="26">
        <v>3</v>
      </c>
      <c r="E239" s="75"/>
      <c r="F239" s="334"/>
      <c r="G239" s="112">
        <v>0</v>
      </c>
      <c r="H239" s="120">
        <v>0</v>
      </c>
      <c r="I239" s="120">
        <v>0</v>
      </c>
      <c r="J239" s="120">
        <v>0</v>
      </c>
      <c r="K239" s="110">
        <v>0</v>
      </c>
      <c r="L239" s="118"/>
      <c r="M239" s="110">
        <v>0</v>
      </c>
      <c r="N239" s="118"/>
      <c r="O239" s="118"/>
      <c r="P239" s="118">
        <f t="shared" si="45"/>
        <v>0</v>
      </c>
      <c r="Q239" s="118">
        <f t="shared" si="46"/>
        <v>0</v>
      </c>
      <c r="R239" s="118">
        <f t="shared" si="47"/>
        <v>0</v>
      </c>
      <c r="S239" s="112">
        <v>0</v>
      </c>
    </row>
    <row r="240" spans="1:19" hidden="1" outlineLevel="2">
      <c r="A240" s="39"/>
      <c r="B240" s="40" t="s">
        <v>88</v>
      </c>
      <c r="C240" s="41" t="s">
        <v>4</v>
      </c>
      <c r="D240" s="26">
        <v>2</v>
      </c>
      <c r="E240" s="73"/>
      <c r="F240" s="334"/>
      <c r="G240" s="112">
        <v>0</v>
      </c>
      <c r="H240" s="120">
        <v>0</v>
      </c>
      <c r="I240" s="120">
        <v>0</v>
      </c>
      <c r="J240" s="120">
        <v>0</v>
      </c>
      <c r="K240" s="110">
        <v>0</v>
      </c>
      <c r="L240" s="118"/>
      <c r="M240" s="110">
        <v>0</v>
      </c>
      <c r="N240" s="118"/>
      <c r="O240" s="118"/>
      <c r="P240" s="118">
        <f t="shared" si="45"/>
        <v>0</v>
      </c>
      <c r="Q240" s="118">
        <f t="shared" si="46"/>
        <v>0</v>
      </c>
      <c r="R240" s="118">
        <f t="shared" si="47"/>
        <v>0</v>
      </c>
      <c r="S240" s="112">
        <v>0</v>
      </c>
    </row>
    <row r="241" spans="1:19" hidden="1" outlineLevel="2">
      <c r="A241" s="39"/>
      <c r="B241" s="40" t="s">
        <v>58</v>
      </c>
      <c r="C241" s="41" t="s">
        <v>4</v>
      </c>
      <c r="D241" s="26">
        <v>1</v>
      </c>
      <c r="E241" s="50"/>
      <c r="F241" s="334"/>
      <c r="G241" s="112">
        <v>0</v>
      </c>
      <c r="H241" s="120">
        <v>0</v>
      </c>
      <c r="I241" s="120">
        <v>0</v>
      </c>
      <c r="J241" s="120">
        <v>0</v>
      </c>
      <c r="K241" s="110">
        <v>0</v>
      </c>
      <c r="L241" s="118"/>
      <c r="M241" s="110">
        <v>0</v>
      </c>
      <c r="N241" s="118"/>
      <c r="O241" s="118"/>
      <c r="P241" s="118">
        <f t="shared" si="45"/>
        <v>0</v>
      </c>
      <c r="Q241" s="118">
        <f t="shared" si="46"/>
        <v>0</v>
      </c>
      <c r="R241" s="118">
        <f t="shared" si="47"/>
        <v>0</v>
      </c>
      <c r="S241" s="112">
        <v>0</v>
      </c>
    </row>
    <row r="242" spans="1:19" ht="30" hidden="1" outlineLevel="2">
      <c r="A242" s="39"/>
      <c r="B242" s="40" t="s">
        <v>93</v>
      </c>
      <c r="C242" s="41" t="s">
        <v>8</v>
      </c>
      <c r="D242" s="26">
        <v>1</v>
      </c>
      <c r="E242" s="57"/>
      <c r="F242" s="334"/>
      <c r="G242" s="112">
        <v>0</v>
      </c>
      <c r="H242" s="120">
        <v>0</v>
      </c>
      <c r="I242" s="120">
        <v>0</v>
      </c>
      <c r="J242" s="120">
        <v>0</v>
      </c>
      <c r="K242" s="110">
        <v>0</v>
      </c>
      <c r="L242" s="118"/>
      <c r="M242" s="110">
        <v>0</v>
      </c>
      <c r="N242" s="118"/>
      <c r="O242" s="118"/>
      <c r="P242" s="118">
        <f t="shared" si="45"/>
        <v>0</v>
      </c>
      <c r="Q242" s="118">
        <f t="shared" si="46"/>
        <v>0</v>
      </c>
      <c r="R242" s="118">
        <f t="shared" si="47"/>
        <v>0</v>
      </c>
      <c r="S242" s="112">
        <v>0</v>
      </c>
    </row>
    <row r="243" spans="1:19" hidden="1" outlineLevel="2">
      <c r="A243" s="39"/>
      <c r="B243" s="53" t="s">
        <v>40</v>
      </c>
      <c r="C243" s="54" t="s">
        <v>8</v>
      </c>
      <c r="D243" s="26">
        <v>1</v>
      </c>
      <c r="E243" s="50"/>
      <c r="F243" s="334"/>
      <c r="G243" s="112">
        <v>0</v>
      </c>
      <c r="H243" s="120">
        <v>0</v>
      </c>
      <c r="I243" s="120">
        <v>0</v>
      </c>
      <c r="J243" s="120">
        <v>0</v>
      </c>
      <c r="K243" s="110">
        <v>0</v>
      </c>
      <c r="L243" s="118"/>
      <c r="M243" s="110">
        <v>0</v>
      </c>
      <c r="N243" s="118"/>
      <c r="O243" s="118"/>
      <c r="P243" s="118">
        <f t="shared" si="45"/>
        <v>0</v>
      </c>
      <c r="Q243" s="118">
        <f t="shared" si="46"/>
        <v>0</v>
      </c>
      <c r="R243" s="118">
        <f t="shared" si="47"/>
        <v>0</v>
      </c>
      <c r="S243" s="112">
        <v>0</v>
      </c>
    </row>
    <row r="244" spans="1:19" hidden="1" outlineLevel="2">
      <c r="A244" s="39"/>
      <c r="B244" s="53" t="s">
        <v>60</v>
      </c>
      <c r="C244" s="54" t="s">
        <v>6</v>
      </c>
      <c r="D244" s="26">
        <v>1</v>
      </c>
      <c r="E244" s="50"/>
      <c r="F244" s="334"/>
      <c r="G244" s="112">
        <v>0</v>
      </c>
      <c r="H244" s="120">
        <v>0</v>
      </c>
      <c r="I244" s="120">
        <v>0</v>
      </c>
      <c r="J244" s="120">
        <v>0</v>
      </c>
      <c r="K244" s="110">
        <v>0</v>
      </c>
      <c r="L244" s="118"/>
      <c r="M244" s="110">
        <v>0</v>
      </c>
      <c r="N244" s="118"/>
      <c r="O244" s="118"/>
      <c r="P244" s="118">
        <f t="shared" si="45"/>
        <v>0</v>
      </c>
      <c r="Q244" s="118">
        <f t="shared" si="46"/>
        <v>0</v>
      </c>
      <c r="R244" s="118">
        <f t="shared" si="47"/>
        <v>0</v>
      </c>
      <c r="S244" s="112">
        <v>0</v>
      </c>
    </row>
    <row r="245" spans="1:19" ht="60" outlineLevel="1" collapsed="1">
      <c r="A245" s="57">
        <v>8</v>
      </c>
      <c r="B245" s="44" t="s">
        <v>96</v>
      </c>
      <c r="C245" s="58" t="s">
        <v>6</v>
      </c>
      <c r="D245" s="102">
        <v>1</v>
      </c>
      <c r="E245" s="57"/>
      <c r="F245" s="334">
        <v>1</v>
      </c>
      <c r="G245" s="112" t="s">
        <v>96</v>
      </c>
      <c r="H245" s="120" t="s">
        <v>1075</v>
      </c>
      <c r="I245" s="120" t="s">
        <v>828</v>
      </c>
      <c r="J245" s="120" t="s">
        <v>829</v>
      </c>
      <c r="K245" s="110">
        <v>1087209000</v>
      </c>
      <c r="L245" s="118"/>
      <c r="M245" s="110">
        <v>37200000</v>
      </c>
      <c r="N245" s="118"/>
      <c r="O245" s="118"/>
      <c r="P245" s="118">
        <f t="shared" si="45"/>
        <v>1124409000</v>
      </c>
      <c r="Q245" s="118">
        <f t="shared" si="46"/>
        <v>1124409000</v>
      </c>
      <c r="R245" s="118">
        <f t="shared" si="47"/>
        <v>1124409000</v>
      </c>
      <c r="S245" s="112" t="s">
        <v>4094</v>
      </c>
    </row>
    <row r="246" spans="1:19" hidden="1" outlineLevel="2">
      <c r="A246" s="39"/>
      <c r="B246" s="40" t="s">
        <v>1047</v>
      </c>
      <c r="C246" s="41" t="s">
        <v>4</v>
      </c>
      <c r="D246" s="26">
        <v>1</v>
      </c>
      <c r="E246" s="50"/>
      <c r="F246" s="334"/>
      <c r="G246" s="112">
        <v>0</v>
      </c>
      <c r="H246" s="120">
        <v>0</v>
      </c>
      <c r="I246" s="120">
        <v>0</v>
      </c>
      <c r="J246" s="120">
        <v>0</v>
      </c>
      <c r="K246" s="110">
        <v>0</v>
      </c>
      <c r="L246" s="118"/>
      <c r="M246" s="110">
        <v>0</v>
      </c>
      <c r="N246" s="118"/>
      <c r="O246" s="118"/>
      <c r="P246" s="118">
        <f t="shared" si="45"/>
        <v>0</v>
      </c>
      <c r="Q246" s="118">
        <f t="shared" si="46"/>
        <v>0</v>
      </c>
      <c r="R246" s="118">
        <f t="shared" si="47"/>
        <v>0</v>
      </c>
      <c r="S246" s="112">
        <v>0</v>
      </c>
    </row>
    <row r="247" spans="1:19" hidden="1" outlineLevel="2">
      <c r="A247" s="39"/>
      <c r="B247" s="44" t="s">
        <v>13</v>
      </c>
      <c r="C247" s="41"/>
      <c r="D247" s="26"/>
      <c r="E247" s="74"/>
      <c r="F247" s="74"/>
      <c r="G247" s="120"/>
      <c r="H247" s="120"/>
      <c r="I247" s="120"/>
      <c r="J247" s="120"/>
      <c r="K247" s="544"/>
      <c r="L247" s="544"/>
      <c r="M247" s="544"/>
      <c r="N247" s="544"/>
      <c r="O247" s="544"/>
      <c r="P247" s="544"/>
      <c r="Q247" s="544"/>
      <c r="R247" s="544"/>
      <c r="S247" s="112">
        <v>0</v>
      </c>
    </row>
    <row r="248" spans="1:19" ht="45" hidden="1" outlineLevel="2">
      <c r="A248" s="39"/>
      <c r="B248" s="40" t="s">
        <v>23</v>
      </c>
      <c r="C248" s="41" t="s">
        <v>4</v>
      </c>
      <c r="D248" s="26">
        <v>1</v>
      </c>
      <c r="E248" s="74"/>
      <c r="F248" s="334"/>
      <c r="G248" s="112">
        <v>0</v>
      </c>
      <c r="H248" s="120">
        <v>0</v>
      </c>
      <c r="I248" s="120">
        <v>0</v>
      </c>
      <c r="J248" s="120">
        <v>0</v>
      </c>
      <c r="K248" s="110">
        <v>0</v>
      </c>
      <c r="L248" s="118"/>
      <c r="M248" s="110">
        <v>0</v>
      </c>
      <c r="N248" s="118"/>
      <c r="O248" s="118"/>
      <c r="P248" s="118">
        <f t="shared" ref="P248:P261" si="48">+K248+L248+M248+N248+O248</f>
        <v>0</v>
      </c>
      <c r="Q248" s="118">
        <f t="shared" ref="Q248:Q261" si="49">+P248*D248</f>
        <v>0</v>
      </c>
      <c r="R248" s="118">
        <f t="shared" ref="R248:R261" si="50">P248*F248</f>
        <v>0</v>
      </c>
      <c r="S248" s="112">
        <v>0</v>
      </c>
    </row>
    <row r="249" spans="1:19" ht="30" hidden="1" outlineLevel="2">
      <c r="A249" s="39"/>
      <c r="B249" s="45" t="s">
        <v>675</v>
      </c>
      <c r="C249" s="41" t="s">
        <v>4</v>
      </c>
      <c r="D249" s="26">
        <v>1</v>
      </c>
      <c r="E249" s="74"/>
      <c r="F249" s="334"/>
      <c r="G249" s="112">
        <v>0</v>
      </c>
      <c r="H249" s="120">
        <v>0</v>
      </c>
      <c r="I249" s="120">
        <v>0</v>
      </c>
      <c r="J249" s="120">
        <v>0</v>
      </c>
      <c r="K249" s="110">
        <v>0</v>
      </c>
      <c r="L249" s="118"/>
      <c r="M249" s="110">
        <v>0</v>
      </c>
      <c r="N249" s="118"/>
      <c r="O249" s="118"/>
      <c r="P249" s="118">
        <f t="shared" si="48"/>
        <v>0</v>
      </c>
      <c r="Q249" s="118">
        <f t="shared" si="49"/>
        <v>0</v>
      </c>
      <c r="R249" s="118">
        <f t="shared" si="50"/>
        <v>0</v>
      </c>
      <c r="S249" s="112">
        <v>0</v>
      </c>
    </row>
    <row r="250" spans="1:19" ht="30" hidden="1" outlineLevel="2">
      <c r="A250" s="39"/>
      <c r="B250" s="45" t="s">
        <v>676</v>
      </c>
      <c r="C250" s="41" t="s">
        <v>4</v>
      </c>
      <c r="D250" s="26">
        <v>1</v>
      </c>
      <c r="E250" s="74"/>
      <c r="F250" s="334"/>
      <c r="G250" s="112">
        <v>0</v>
      </c>
      <c r="H250" s="120">
        <v>0</v>
      </c>
      <c r="I250" s="120">
        <v>0</v>
      </c>
      <c r="J250" s="120">
        <v>0</v>
      </c>
      <c r="K250" s="110">
        <v>0</v>
      </c>
      <c r="L250" s="118"/>
      <c r="M250" s="110">
        <v>0</v>
      </c>
      <c r="N250" s="118"/>
      <c r="O250" s="118"/>
      <c r="P250" s="118">
        <f t="shared" si="48"/>
        <v>0</v>
      </c>
      <c r="Q250" s="118">
        <f t="shared" si="49"/>
        <v>0</v>
      </c>
      <c r="R250" s="118">
        <f t="shared" si="50"/>
        <v>0</v>
      </c>
      <c r="S250" s="112">
        <v>0</v>
      </c>
    </row>
    <row r="251" spans="1:19" hidden="1" outlineLevel="2">
      <c r="A251" s="39"/>
      <c r="B251" s="40" t="s">
        <v>24</v>
      </c>
      <c r="C251" s="41" t="s">
        <v>4</v>
      </c>
      <c r="D251" s="26">
        <v>1</v>
      </c>
      <c r="E251" s="74"/>
      <c r="F251" s="334"/>
      <c r="G251" s="112">
        <v>0</v>
      </c>
      <c r="H251" s="120">
        <v>0</v>
      </c>
      <c r="I251" s="120">
        <v>0</v>
      </c>
      <c r="J251" s="120">
        <v>0</v>
      </c>
      <c r="K251" s="110">
        <v>0</v>
      </c>
      <c r="L251" s="118"/>
      <c r="M251" s="110">
        <v>0</v>
      </c>
      <c r="N251" s="118"/>
      <c r="O251" s="118"/>
      <c r="P251" s="118">
        <f t="shared" si="48"/>
        <v>0</v>
      </c>
      <c r="Q251" s="118">
        <f t="shared" si="49"/>
        <v>0</v>
      </c>
      <c r="R251" s="118">
        <f t="shared" si="50"/>
        <v>0</v>
      </c>
      <c r="S251" s="112">
        <v>0</v>
      </c>
    </row>
    <row r="252" spans="1:19" hidden="1" outlineLevel="2">
      <c r="A252" s="39"/>
      <c r="B252" s="40" t="s">
        <v>26</v>
      </c>
      <c r="C252" s="41" t="s">
        <v>4</v>
      </c>
      <c r="D252" s="26">
        <v>1</v>
      </c>
      <c r="E252" s="73"/>
      <c r="F252" s="334"/>
      <c r="G252" s="112">
        <v>0</v>
      </c>
      <c r="H252" s="120">
        <v>0</v>
      </c>
      <c r="I252" s="120">
        <v>0</v>
      </c>
      <c r="J252" s="120">
        <v>0</v>
      </c>
      <c r="K252" s="110">
        <v>0</v>
      </c>
      <c r="L252" s="118"/>
      <c r="M252" s="110">
        <v>0</v>
      </c>
      <c r="N252" s="118"/>
      <c r="O252" s="118"/>
      <c r="P252" s="118">
        <f t="shared" si="48"/>
        <v>0</v>
      </c>
      <c r="Q252" s="118">
        <f t="shared" si="49"/>
        <v>0</v>
      </c>
      <c r="R252" s="118">
        <f t="shared" si="50"/>
        <v>0</v>
      </c>
      <c r="S252" s="112">
        <v>0</v>
      </c>
    </row>
    <row r="253" spans="1:19" hidden="1" outlineLevel="2">
      <c r="A253" s="39"/>
      <c r="B253" s="40" t="s">
        <v>28</v>
      </c>
      <c r="C253" s="41" t="s">
        <v>4</v>
      </c>
      <c r="D253" s="26">
        <v>3</v>
      </c>
      <c r="E253" s="74"/>
      <c r="F253" s="334"/>
      <c r="G253" s="112">
        <v>0</v>
      </c>
      <c r="H253" s="120">
        <v>0</v>
      </c>
      <c r="I253" s="120">
        <v>0</v>
      </c>
      <c r="J253" s="120">
        <v>0</v>
      </c>
      <c r="K253" s="110">
        <v>0</v>
      </c>
      <c r="L253" s="118"/>
      <c r="M253" s="110">
        <v>0</v>
      </c>
      <c r="N253" s="118"/>
      <c r="O253" s="118"/>
      <c r="P253" s="118">
        <f t="shared" si="48"/>
        <v>0</v>
      </c>
      <c r="Q253" s="118">
        <f t="shared" si="49"/>
        <v>0</v>
      </c>
      <c r="R253" s="118">
        <f t="shared" si="50"/>
        <v>0</v>
      </c>
      <c r="S253" s="112">
        <v>0</v>
      </c>
    </row>
    <row r="254" spans="1:19" hidden="1" outlineLevel="2">
      <c r="A254" s="46"/>
      <c r="B254" s="47" t="s">
        <v>11</v>
      </c>
      <c r="C254" s="48" t="s">
        <v>12</v>
      </c>
      <c r="D254" s="26">
        <v>3</v>
      </c>
      <c r="E254" s="74"/>
      <c r="F254" s="334"/>
      <c r="G254" s="112">
        <v>0</v>
      </c>
      <c r="H254" s="120">
        <v>0</v>
      </c>
      <c r="I254" s="120">
        <v>0</v>
      </c>
      <c r="J254" s="120">
        <v>0</v>
      </c>
      <c r="K254" s="110">
        <v>0</v>
      </c>
      <c r="L254" s="118"/>
      <c r="M254" s="110">
        <v>0</v>
      </c>
      <c r="N254" s="118"/>
      <c r="O254" s="118"/>
      <c r="P254" s="118">
        <f t="shared" si="48"/>
        <v>0</v>
      </c>
      <c r="Q254" s="118">
        <f t="shared" si="49"/>
        <v>0</v>
      </c>
      <c r="R254" s="118">
        <f t="shared" si="50"/>
        <v>0</v>
      </c>
      <c r="S254" s="112">
        <v>0</v>
      </c>
    </row>
    <row r="255" spans="1:19" hidden="1" outlineLevel="2">
      <c r="A255" s="46"/>
      <c r="B255" s="47" t="s">
        <v>29</v>
      </c>
      <c r="C255" s="48" t="s">
        <v>4</v>
      </c>
      <c r="D255" s="26">
        <v>1</v>
      </c>
      <c r="E255" s="74"/>
      <c r="F255" s="334"/>
      <c r="G255" s="112">
        <v>0</v>
      </c>
      <c r="H255" s="120">
        <v>0</v>
      </c>
      <c r="I255" s="120">
        <v>0</v>
      </c>
      <c r="J255" s="120">
        <v>0</v>
      </c>
      <c r="K255" s="110">
        <v>0</v>
      </c>
      <c r="L255" s="118"/>
      <c r="M255" s="110">
        <v>0</v>
      </c>
      <c r="N255" s="118"/>
      <c r="O255" s="118"/>
      <c r="P255" s="118">
        <f t="shared" si="48"/>
        <v>0</v>
      </c>
      <c r="Q255" s="118">
        <f t="shared" si="49"/>
        <v>0</v>
      </c>
      <c r="R255" s="118">
        <f t="shared" si="50"/>
        <v>0</v>
      </c>
      <c r="S255" s="112">
        <v>0</v>
      </c>
    </row>
    <row r="256" spans="1:19" hidden="1" outlineLevel="2">
      <c r="A256" s="46"/>
      <c r="B256" s="47" t="s">
        <v>30</v>
      </c>
      <c r="C256" s="48" t="s">
        <v>4</v>
      </c>
      <c r="D256" s="26">
        <v>1</v>
      </c>
      <c r="E256" s="74"/>
      <c r="F256" s="334"/>
      <c r="G256" s="112">
        <v>0</v>
      </c>
      <c r="H256" s="120">
        <v>0</v>
      </c>
      <c r="I256" s="120">
        <v>0</v>
      </c>
      <c r="J256" s="120">
        <v>0</v>
      </c>
      <c r="K256" s="110">
        <v>0</v>
      </c>
      <c r="L256" s="118"/>
      <c r="M256" s="110">
        <v>0</v>
      </c>
      <c r="N256" s="118"/>
      <c r="O256" s="118"/>
      <c r="P256" s="118">
        <f t="shared" si="48"/>
        <v>0</v>
      </c>
      <c r="Q256" s="118">
        <f t="shared" si="49"/>
        <v>0</v>
      </c>
      <c r="R256" s="118">
        <f t="shared" si="50"/>
        <v>0</v>
      </c>
      <c r="S256" s="112">
        <v>0</v>
      </c>
    </row>
    <row r="257" spans="1:19" hidden="1" outlineLevel="2">
      <c r="A257" s="39"/>
      <c r="B257" s="40" t="s">
        <v>14</v>
      </c>
      <c r="C257" s="41" t="s">
        <v>4</v>
      </c>
      <c r="D257" s="26">
        <v>3</v>
      </c>
      <c r="E257" s="73"/>
      <c r="F257" s="334"/>
      <c r="G257" s="112">
        <v>0</v>
      </c>
      <c r="H257" s="120">
        <v>0</v>
      </c>
      <c r="I257" s="120">
        <v>0</v>
      </c>
      <c r="J257" s="120">
        <v>0</v>
      </c>
      <c r="K257" s="110">
        <v>0</v>
      </c>
      <c r="L257" s="118"/>
      <c r="M257" s="110">
        <v>0</v>
      </c>
      <c r="N257" s="118"/>
      <c r="O257" s="118"/>
      <c r="P257" s="118">
        <f t="shared" si="48"/>
        <v>0</v>
      </c>
      <c r="Q257" s="118">
        <f t="shared" si="49"/>
        <v>0</v>
      </c>
      <c r="R257" s="118">
        <f t="shared" si="50"/>
        <v>0</v>
      </c>
      <c r="S257" s="112">
        <v>0</v>
      </c>
    </row>
    <row r="258" spans="1:19" hidden="1" outlineLevel="2">
      <c r="A258" s="39"/>
      <c r="B258" s="40" t="s">
        <v>32</v>
      </c>
      <c r="C258" s="49" t="s">
        <v>4</v>
      </c>
      <c r="D258" s="26">
        <v>3</v>
      </c>
      <c r="E258" s="74"/>
      <c r="F258" s="334"/>
      <c r="G258" s="112">
        <v>0</v>
      </c>
      <c r="H258" s="120">
        <v>0</v>
      </c>
      <c r="I258" s="120">
        <v>0</v>
      </c>
      <c r="J258" s="120">
        <v>0</v>
      </c>
      <c r="K258" s="110">
        <v>0</v>
      </c>
      <c r="L258" s="118"/>
      <c r="M258" s="110">
        <v>0</v>
      </c>
      <c r="N258" s="118"/>
      <c r="O258" s="118"/>
      <c r="P258" s="118">
        <f t="shared" si="48"/>
        <v>0</v>
      </c>
      <c r="Q258" s="118">
        <f t="shared" si="49"/>
        <v>0</v>
      </c>
      <c r="R258" s="118">
        <f t="shared" si="50"/>
        <v>0</v>
      </c>
      <c r="S258" s="112">
        <v>0</v>
      </c>
    </row>
    <row r="259" spans="1:19" ht="45" hidden="1" outlineLevel="2">
      <c r="A259" s="46"/>
      <c r="B259" s="47" t="s">
        <v>49</v>
      </c>
      <c r="C259" s="48" t="s">
        <v>4</v>
      </c>
      <c r="D259" s="26">
        <v>1</v>
      </c>
      <c r="E259" s="74"/>
      <c r="F259" s="334"/>
      <c r="G259" s="112">
        <v>0</v>
      </c>
      <c r="H259" s="120">
        <v>0</v>
      </c>
      <c r="I259" s="120">
        <v>0</v>
      </c>
      <c r="J259" s="120">
        <v>0</v>
      </c>
      <c r="K259" s="110">
        <v>0</v>
      </c>
      <c r="L259" s="118"/>
      <c r="M259" s="110">
        <v>0</v>
      </c>
      <c r="N259" s="118"/>
      <c r="O259" s="118"/>
      <c r="P259" s="118">
        <f t="shared" si="48"/>
        <v>0</v>
      </c>
      <c r="Q259" s="118">
        <f t="shared" si="49"/>
        <v>0</v>
      </c>
      <c r="R259" s="118">
        <f t="shared" si="50"/>
        <v>0</v>
      </c>
      <c r="S259" s="112">
        <v>0</v>
      </c>
    </row>
    <row r="260" spans="1:19" hidden="1" outlineLevel="2">
      <c r="A260" s="39"/>
      <c r="B260" s="40" t="s">
        <v>15</v>
      </c>
      <c r="C260" s="41" t="s">
        <v>4</v>
      </c>
      <c r="D260" s="26">
        <v>1</v>
      </c>
      <c r="E260" s="74"/>
      <c r="F260" s="334"/>
      <c r="G260" s="112">
        <v>0</v>
      </c>
      <c r="H260" s="120">
        <v>0</v>
      </c>
      <c r="I260" s="120">
        <v>0</v>
      </c>
      <c r="J260" s="120">
        <v>0</v>
      </c>
      <c r="K260" s="110">
        <v>0</v>
      </c>
      <c r="L260" s="118"/>
      <c r="M260" s="110">
        <v>0</v>
      </c>
      <c r="N260" s="118"/>
      <c r="O260" s="118"/>
      <c r="P260" s="118">
        <f t="shared" si="48"/>
        <v>0</v>
      </c>
      <c r="Q260" s="118">
        <f t="shared" si="49"/>
        <v>0</v>
      </c>
      <c r="R260" s="118">
        <f t="shared" si="50"/>
        <v>0</v>
      </c>
      <c r="S260" s="112">
        <v>0</v>
      </c>
    </row>
    <row r="261" spans="1:19" ht="30" hidden="1" outlineLevel="2">
      <c r="A261" s="39"/>
      <c r="B261" s="40" t="s">
        <v>68</v>
      </c>
      <c r="C261" s="41" t="s">
        <v>4</v>
      </c>
      <c r="D261" s="26">
        <v>1</v>
      </c>
      <c r="E261" s="74"/>
      <c r="F261" s="334"/>
      <c r="G261" s="112">
        <v>0</v>
      </c>
      <c r="H261" s="120">
        <v>0</v>
      </c>
      <c r="I261" s="120">
        <v>0</v>
      </c>
      <c r="J261" s="120">
        <v>0</v>
      </c>
      <c r="K261" s="110">
        <v>0</v>
      </c>
      <c r="L261" s="118"/>
      <c r="M261" s="110">
        <v>0</v>
      </c>
      <c r="N261" s="118"/>
      <c r="O261" s="118"/>
      <c r="P261" s="118">
        <f t="shared" si="48"/>
        <v>0</v>
      </c>
      <c r="Q261" s="118">
        <f t="shared" si="49"/>
        <v>0</v>
      </c>
      <c r="R261" s="118">
        <f t="shared" si="50"/>
        <v>0</v>
      </c>
      <c r="S261" s="112">
        <v>0</v>
      </c>
    </row>
    <row r="262" spans="1:19" hidden="1" outlineLevel="2">
      <c r="A262" s="39"/>
      <c r="B262" s="44" t="s">
        <v>16</v>
      </c>
      <c r="C262" s="41"/>
      <c r="D262" s="26"/>
      <c r="E262" s="74"/>
      <c r="F262" s="74"/>
      <c r="G262" s="120"/>
      <c r="H262" s="120"/>
      <c r="I262" s="120"/>
      <c r="J262" s="120"/>
      <c r="K262" s="544"/>
      <c r="L262" s="544"/>
      <c r="M262" s="544"/>
      <c r="N262" s="544"/>
      <c r="O262" s="544"/>
      <c r="P262" s="544"/>
      <c r="Q262" s="544"/>
      <c r="R262" s="544"/>
      <c r="S262" s="112">
        <v>0</v>
      </c>
    </row>
    <row r="263" spans="1:19" hidden="1" outlineLevel="2">
      <c r="A263" s="39"/>
      <c r="B263" s="51" t="s">
        <v>18</v>
      </c>
      <c r="C263" s="41" t="s">
        <v>4</v>
      </c>
      <c r="D263" s="26">
        <v>2</v>
      </c>
      <c r="E263" s="74"/>
      <c r="F263" s="334"/>
      <c r="G263" s="112">
        <v>0</v>
      </c>
      <c r="H263" s="120">
        <v>0</v>
      </c>
      <c r="I263" s="120">
        <v>0</v>
      </c>
      <c r="J263" s="120">
        <v>0</v>
      </c>
      <c r="K263" s="110">
        <v>0</v>
      </c>
      <c r="L263" s="118"/>
      <c r="M263" s="110">
        <v>0</v>
      </c>
      <c r="N263" s="118"/>
      <c r="O263" s="118"/>
      <c r="P263" s="118">
        <f t="shared" ref="P263:P268" si="51">+K263+L263+M263+N263+O263</f>
        <v>0</v>
      </c>
      <c r="Q263" s="118">
        <f t="shared" ref="Q263:Q268" si="52">+P263*D263</f>
        <v>0</v>
      </c>
      <c r="R263" s="118">
        <f t="shared" ref="R263:R268" si="53">P263*F263</f>
        <v>0</v>
      </c>
      <c r="S263" s="112">
        <v>0</v>
      </c>
    </row>
    <row r="264" spans="1:19" ht="30" hidden="1" outlineLevel="2">
      <c r="A264" s="39"/>
      <c r="B264" s="45" t="s">
        <v>4017</v>
      </c>
      <c r="C264" s="41" t="s">
        <v>4</v>
      </c>
      <c r="D264" s="26">
        <v>2</v>
      </c>
      <c r="E264" s="75"/>
      <c r="F264" s="334"/>
      <c r="G264" s="112">
        <v>0</v>
      </c>
      <c r="H264" s="120">
        <v>0</v>
      </c>
      <c r="I264" s="120">
        <v>0</v>
      </c>
      <c r="J264" s="120">
        <v>0</v>
      </c>
      <c r="K264" s="110">
        <v>0</v>
      </c>
      <c r="L264" s="118"/>
      <c r="M264" s="110">
        <v>0</v>
      </c>
      <c r="N264" s="118"/>
      <c r="O264" s="118"/>
      <c r="P264" s="118">
        <f t="shared" si="51"/>
        <v>0</v>
      </c>
      <c r="Q264" s="118">
        <f t="shared" si="52"/>
        <v>0</v>
      </c>
      <c r="R264" s="118">
        <f t="shared" si="53"/>
        <v>0</v>
      </c>
      <c r="S264" s="112">
        <v>0</v>
      </c>
    </row>
    <row r="265" spans="1:19" ht="30" hidden="1" outlineLevel="2">
      <c r="A265" s="39"/>
      <c r="B265" s="45" t="s">
        <v>4018</v>
      </c>
      <c r="C265" s="41" t="s">
        <v>4</v>
      </c>
      <c r="D265" s="26">
        <v>2</v>
      </c>
      <c r="E265" s="73"/>
      <c r="F265" s="334"/>
      <c r="G265" s="112">
        <v>0</v>
      </c>
      <c r="H265" s="120">
        <v>0</v>
      </c>
      <c r="I265" s="120">
        <v>0</v>
      </c>
      <c r="J265" s="120">
        <v>0</v>
      </c>
      <c r="K265" s="110">
        <v>0</v>
      </c>
      <c r="L265" s="118"/>
      <c r="M265" s="110">
        <v>0</v>
      </c>
      <c r="N265" s="118"/>
      <c r="O265" s="118"/>
      <c r="P265" s="118">
        <f t="shared" si="51"/>
        <v>0</v>
      </c>
      <c r="Q265" s="118">
        <f t="shared" si="52"/>
        <v>0</v>
      </c>
      <c r="R265" s="118">
        <f t="shared" si="53"/>
        <v>0</v>
      </c>
      <c r="S265" s="112">
        <v>0</v>
      </c>
    </row>
    <row r="266" spans="1:19" ht="30" hidden="1" outlineLevel="2">
      <c r="A266" s="39"/>
      <c r="B266" s="45" t="s">
        <v>4019</v>
      </c>
      <c r="C266" s="41" t="s">
        <v>4</v>
      </c>
      <c r="D266" s="26">
        <v>2</v>
      </c>
      <c r="E266" s="50"/>
      <c r="F266" s="334"/>
      <c r="G266" s="112">
        <v>0</v>
      </c>
      <c r="H266" s="120">
        <v>0</v>
      </c>
      <c r="I266" s="120">
        <v>0</v>
      </c>
      <c r="J266" s="120">
        <v>0</v>
      </c>
      <c r="K266" s="110">
        <v>0</v>
      </c>
      <c r="L266" s="118"/>
      <c r="M266" s="110">
        <v>0</v>
      </c>
      <c r="N266" s="118"/>
      <c r="O266" s="118"/>
      <c r="P266" s="118">
        <f t="shared" si="51"/>
        <v>0</v>
      </c>
      <c r="Q266" s="118">
        <f t="shared" si="52"/>
        <v>0</v>
      </c>
      <c r="R266" s="118">
        <f t="shared" si="53"/>
        <v>0</v>
      </c>
      <c r="S266" s="112">
        <v>0</v>
      </c>
    </row>
    <row r="267" spans="1:19" hidden="1" outlineLevel="2">
      <c r="A267" s="39"/>
      <c r="B267" s="40" t="s">
        <v>26</v>
      </c>
      <c r="C267" s="41" t="s">
        <v>4</v>
      </c>
      <c r="D267" s="26">
        <v>2</v>
      </c>
      <c r="E267" s="57"/>
      <c r="F267" s="334"/>
      <c r="G267" s="112">
        <v>0</v>
      </c>
      <c r="H267" s="120">
        <v>0</v>
      </c>
      <c r="I267" s="120">
        <v>0</v>
      </c>
      <c r="J267" s="120">
        <v>0</v>
      </c>
      <c r="K267" s="110">
        <v>0</v>
      </c>
      <c r="L267" s="118"/>
      <c r="M267" s="110">
        <v>0</v>
      </c>
      <c r="N267" s="118"/>
      <c r="O267" s="118"/>
      <c r="P267" s="118">
        <f t="shared" si="51"/>
        <v>0</v>
      </c>
      <c r="Q267" s="118">
        <f t="shared" si="52"/>
        <v>0</v>
      </c>
      <c r="R267" s="118">
        <f t="shared" si="53"/>
        <v>0</v>
      </c>
      <c r="S267" s="112">
        <v>0</v>
      </c>
    </row>
    <row r="268" spans="1:19" hidden="1" outlineLevel="2">
      <c r="A268" s="39"/>
      <c r="B268" s="40" t="s">
        <v>28</v>
      </c>
      <c r="C268" s="41" t="s">
        <v>4</v>
      </c>
      <c r="D268" s="26">
        <v>6</v>
      </c>
      <c r="E268" s="50"/>
      <c r="F268" s="334"/>
      <c r="G268" s="112">
        <v>0</v>
      </c>
      <c r="H268" s="120">
        <v>0</v>
      </c>
      <c r="I268" s="120">
        <v>0</v>
      </c>
      <c r="J268" s="120">
        <v>0</v>
      </c>
      <c r="K268" s="110">
        <v>0</v>
      </c>
      <c r="L268" s="118"/>
      <c r="M268" s="110">
        <v>0</v>
      </c>
      <c r="N268" s="118"/>
      <c r="O268" s="118"/>
      <c r="P268" s="118">
        <f t="shared" si="51"/>
        <v>0</v>
      </c>
      <c r="Q268" s="118">
        <f t="shared" si="52"/>
        <v>0</v>
      </c>
      <c r="R268" s="118">
        <f t="shared" si="53"/>
        <v>0</v>
      </c>
      <c r="S268" s="112">
        <v>0</v>
      </c>
    </row>
    <row r="269" spans="1:19" hidden="1" outlineLevel="2">
      <c r="A269" s="57"/>
      <c r="B269" s="70" t="s">
        <v>70</v>
      </c>
      <c r="C269" s="23"/>
      <c r="D269" s="26"/>
      <c r="E269" s="50"/>
      <c r="F269" s="50"/>
      <c r="G269" s="120"/>
      <c r="H269" s="120"/>
      <c r="I269" s="120"/>
      <c r="J269" s="120"/>
      <c r="K269" s="545"/>
      <c r="L269" s="545"/>
      <c r="M269" s="545"/>
      <c r="N269" s="545"/>
      <c r="O269" s="545"/>
      <c r="P269" s="545"/>
      <c r="Q269" s="545"/>
      <c r="R269" s="545"/>
      <c r="S269" s="112">
        <v>0</v>
      </c>
    </row>
    <row r="270" spans="1:19" hidden="1" outlineLevel="2">
      <c r="A270" s="555"/>
      <c r="B270" s="45" t="s">
        <v>71</v>
      </c>
      <c r="C270" s="27" t="s">
        <v>4</v>
      </c>
      <c r="D270" s="26">
        <v>4</v>
      </c>
      <c r="E270" s="50"/>
      <c r="F270" s="334"/>
      <c r="G270" s="112">
        <v>0</v>
      </c>
      <c r="H270" s="120">
        <v>0</v>
      </c>
      <c r="I270" s="120">
        <v>0</v>
      </c>
      <c r="J270" s="120">
        <v>0</v>
      </c>
      <c r="K270" s="110">
        <v>0</v>
      </c>
      <c r="L270" s="118"/>
      <c r="M270" s="110">
        <v>0</v>
      </c>
      <c r="N270" s="118"/>
      <c r="O270" s="118"/>
      <c r="P270" s="118">
        <f t="shared" ref="P270:P282" si="54">+K270+L270+M270+N270+O270</f>
        <v>0</v>
      </c>
      <c r="Q270" s="118">
        <f t="shared" ref="Q270:Q282" si="55">+P270*D270</f>
        <v>0</v>
      </c>
      <c r="R270" s="118">
        <f t="shared" ref="R270:R282" si="56">P270*F270</f>
        <v>0</v>
      </c>
      <c r="S270" s="112">
        <v>0</v>
      </c>
    </row>
    <row r="271" spans="1:19" hidden="1" outlineLevel="2">
      <c r="A271" s="555"/>
      <c r="B271" s="45" t="s">
        <v>97</v>
      </c>
      <c r="C271" s="27" t="s">
        <v>4</v>
      </c>
      <c r="D271" s="26">
        <v>1</v>
      </c>
      <c r="E271" s="50"/>
      <c r="F271" s="334"/>
      <c r="G271" s="112">
        <v>0</v>
      </c>
      <c r="H271" s="120">
        <v>0</v>
      </c>
      <c r="I271" s="120">
        <v>0</v>
      </c>
      <c r="J271" s="120">
        <v>0</v>
      </c>
      <c r="K271" s="110">
        <v>0</v>
      </c>
      <c r="L271" s="118"/>
      <c r="M271" s="110">
        <v>0</v>
      </c>
      <c r="N271" s="118"/>
      <c r="O271" s="118"/>
      <c r="P271" s="118">
        <f t="shared" si="54"/>
        <v>0</v>
      </c>
      <c r="Q271" s="118">
        <f t="shared" si="55"/>
        <v>0</v>
      </c>
      <c r="R271" s="118">
        <f t="shared" si="56"/>
        <v>0</v>
      </c>
      <c r="S271" s="112">
        <v>0</v>
      </c>
    </row>
    <row r="272" spans="1:19" hidden="1" outlineLevel="2">
      <c r="A272" s="555"/>
      <c r="B272" s="45" t="s">
        <v>73</v>
      </c>
      <c r="C272" s="27" t="s">
        <v>4</v>
      </c>
      <c r="D272" s="26">
        <v>1</v>
      </c>
      <c r="E272" s="74"/>
      <c r="F272" s="334"/>
      <c r="G272" s="112">
        <v>0</v>
      </c>
      <c r="H272" s="120">
        <v>0</v>
      </c>
      <c r="I272" s="120">
        <v>0</v>
      </c>
      <c r="J272" s="120">
        <v>0</v>
      </c>
      <c r="K272" s="110">
        <v>0</v>
      </c>
      <c r="L272" s="118"/>
      <c r="M272" s="110">
        <v>0</v>
      </c>
      <c r="N272" s="118"/>
      <c r="O272" s="118"/>
      <c r="P272" s="118">
        <f t="shared" si="54"/>
        <v>0</v>
      </c>
      <c r="Q272" s="118">
        <f t="shared" si="55"/>
        <v>0</v>
      </c>
      <c r="R272" s="118">
        <f t="shared" si="56"/>
        <v>0</v>
      </c>
      <c r="S272" s="112">
        <v>0</v>
      </c>
    </row>
    <row r="273" spans="1:19" hidden="1" outlineLevel="2">
      <c r="A273" s="555"/>
      <c r="B273" s="45" t="s">
        <v>74</v>
      </c>
      <c r="C273" s="27" t="s">
        <v>4</v>
      </c>
      <c r="D273" s="26">
        <v>2</v>
      </c>
      <c r="E273" s="75"/>
      <c r="F273" s="334"/>
      <c r="G273" s="112">
        <v>0</v>
      </c>
      <c r="H273" s="120">
        <v>0</v>
      </c>
      <c r="I273" s="120">
        <v>0</v>
      </c>
      <c r="J273" s="120">
        <v>0</v>
      </c>
      <c r="K273" s="110">
        <v>0</v>
      </c>
      <c r="L273" s="118"/>
      <c r="M273" s="110">
        <v>0</v>
      </c>
      <c r="N273" s="118"/>
      <c r="O273" s="118"/>
      <c r="P273" s="118">
        <f t="shared" si="54"/>
        <v>0</v>
      </c>
      <c r="Q273" s="118">
        <f t="shared" si="55"/>
        <v>0</v>
      </c>
      <c r="R273" s="118">
        <f t="shared" si="56"/>
        <v>0</v>
      </c>
      <c r="S273" s="112">
        <v>0</v>
      </c>
    </row>
    <row r="274" spans="1:19" hidden="1" outlineLevel="2">
      <c r="A274" s="555"/>
      <c r="B274" s="45" t="s">
        <v>75</v>
      </c>
      <c r="C274" s="27" t="s">
        <v>4</v>
      </c>
      <c r="D274" s="26">
        <v>1</v>
      </c>
      <c r="E274" s="73"/>
      <c r="F274" s="334"/>
      <c r="G274" s="112">
        <v>0</v>
      </c>
      <c r="H274" s="120">
        <v>0</v>
      </c>
      <c r="I274" s="120">
        <v>0</v>
      </c>
      <c r="J274" s="120">
        <v>0</v>
      </c>
      <c r="K274" s="110">
        <v>0</v>
      </c>
      <c r="L274" s="118"/>
      <c r="M274" s="110">
        <v>0</v>
      </c>
      <c r="N274" s="118"/>
      <c r="O274" s="118"/>
      <c r="P274" s="118">
        <f t="shared" si="54"/>
        <v>0</v>
      </c>
      <c r="Q274" s="118">
        <f t="shared" si="55"/>
        <v>0</v>
      </c>
      <c r="R274" s="118">
        <f t="shared" si="56"/>
        <v>0</v>
      </c>
      <c r="S274" s="112">
        <v>0</v>
      </c>
    </row>
    <row r="275" spans="1:19" hidden="1" outlineLevel="2">
      <c r="A275" s="555"/>
      <c r="B275" s="45" t="s">
        <v>76</v>
      </c>
      <c r="C275" s="27" t="s">
        <v>4</v>
      </c>
      <c r="D275" s="26">
        <v>1</v>
      </c>
      <c r="E275" s="50"/>
      <c r="F275" s="334"/>
      <c r="G275" s="112">
        <v>0</v>
      </c>
      <c r="H275" s="120">
        <v>0</v>
      </c>
      <c r="I275" s="120">
        <v>0</v>
      </c>
      <c r="J275" s="120">
        <v>0</v>
      </c>
      <c r="K275" s="110">
        <v>0</v>
      </c>
      <c r="L275" s="118"/>
      <c r="M275" s="110">
        <v>0</v>
      </c>
      <c r="N275" s="118"/>
      <c r="O275" s="118"/>
      <c r="P275" s="118">
        <f t="shared" si="54"/>
        <v>0</v>
      </c>
      <c r="Q275" s="118">
        <f t="shared" si="55"/>
        <v>0</v>
      </c>
      <c r="R275" s="118">
        <f t="shared" si="56"/>
        <v>0</v>
      </c>
      <c r="S275" s="112">
        <v>0</v>
      </c>
    </row>
    <row r="276" spans="1:19" hidden="1" outlineLevel="2">
      <c r="A276" s="555"/>
      <c r="B276" s="45" t="s">
        <v>77</v>
      </c>
      <c r="C276" s="27" t="s">
        <v>17</v>
      </c>
      <c r="D276" s="26">
        <v>1</v>
      </c>
      <c r="E276" s="57"/>
      <c r="F276" s="334"/>
      <c r="G276" s="112">
        <v>0</v>
      </c>
      <c r="H276" s="120">
        <v>0</v>
      </c>
      <c r="I276" s="120">
        <v>0</v>
      </c>
      <c r="J276" s="120">
        <v>0</v>
      </c>
      <c r="K276" s="110">
        <v>0</v>
      </c>
      <c r="L276" s="118"/>
      <c r="M276" s="110">
        <v>0</v>
      </c>
      <c r="N276" s="118"/>
      <c r="O276" s="118"/>
      <c r="P276" s="118">
        <f t="shared" si="54"/>
        <v>0</v>
      </c>
      <c r="Q276" s="118">
        <f t="shared" si="55"/>
        <v>0</v>
      </c>
      <c r="R276" s="118">
        <f t="shared" si="56"/>
        <v>0</v>
      </c>
      <c r="S276" s="112">
        <v>0</v>
      </c>
    </row>
    <row r="277" spans="1:19" hidden="1" outlineLevel="2">
      <c r="A277" s="46"/>
      <c r="B277" s="47" t="s">
        <v>98</v>
      </c>
      <c r="C277" s="48" t="s">
        <v>12</v>
      </c>
      <c r="D277" s="26">
        <v>6</v>
      </c>
      <c r="E277" s="50"/>
      <c r="F277" s="334"/>
      <c r="G277" s="112">
        <v>0</v>
      </c>
      <c r="H277" s="120">
        <v>0</v>
      </c>
      <c r="I277" s="120">
        <v>0</v>
      </c>
      <c r="J277" s="120">
        <v>0</v>
      </c>
      <c r="K277" s="110">
        <v>0</v>
      </c>
      <c r="L277" s="118"/>
      <c r="M277" s="110">
        <v>0</v>
      </c>
      <c r="N277" s="118"/>
      <c r="O277" s="118"/>
      <c r="P277" s="118">
        <f t="shared" si="54"/>
        <v>0</v>
      </c>
      <c r="Q277" s="118">
        <f t="shared" si="55"/>
        <v>0</v>
      </c>
      <c r="R277" s="118">
        <f t="shared" si="56"/>
        <v>0</v>
      </c>
      <c r="S277" s="112">
        <v>0</v>
      </c>
    </row>
    <row r="278" spans="1:19" hidden="1" outlineLevel="2">
      <c r="A278" s="46"/>
      <c r="B278" s="47" t="s">
        <v>29</v>
      </c>
      <c r="C278" s="48" t="s">
        <v>4</v>
      </c>
      <c r="D278" s="26">
        <v>2</v>
      </c>
      <c r="E278" s="50"/>
      <c r="F278" s="334"/>
      <c r="G278" s="112">
        <v>0</v>
      </c>
      <c r="H278" s="120">
        <v>0</v>
      </c>
      <c r="I278" s="120">
        <v>0</v>
      </c>
      <c r="J278" s="120">
        <v>0</v>
      </c>
      <c r="K278" s="110">
        <v>0</v>
      </c>
      <c r="L278" s="118"/>
      <c r="M278" s="110">
        <v>0</v>
      </c>
      <c r="N278" s="118"/>
      <c r="O278" s="118"/>
      <c r="P278" s="118">
        <f t="shared" si="54"/>
        <v>0</v>
      </c>
      <c r="Q278" s="118">
        <f t="shared" si="55"/>
        <v>0</v>
      </c>
      <c r="R278" s="118">
        <f t="shared" si="56"/>
        <v>0</v>
      </c>
      <c r="S278" s="112">
        <v>0</v>
      </c>
    </row>
    <row r="279" spans="1:19" hidden="1" outlineLevel="2">
      <c r="A279" s="46"/>
      <c r="B279" s="47" t="s">
        <v>30</v>
      </c>
      <c r="C279" s="48" t="s">
        <v>4</v>
      </c>
      <c r="D279" s="26">
        <v>2</v>
      </c>
      <c r="E279" s="74"/>
      <c r="F279" s="334"/>
      <c r="G279" s="112">
        <v>0</v>
      </c>
      <c r="H279" s="120">
        <v>0</v>
      </c>
      <c r="I279" s="120">
        <v>0</v>
      </c>
      <c r="J279" s="120">
        <v>0</v>
      </c>
      <c r="K279" s="110">
        <v>0</v>
      </c>
      <c r="L279" s="118"/>
      <c r="M279" s="110">
        <v>0</v>
      </c>
      <c r="N279" s="118"/>
      <c r="O279" s="118"/>
      <c r="P279" s="118">
        <f t="shared" si="54"/>
        <v>0</v>
      </c>
      <c r="Q279" s="118">
        <f t="shared" si="55"/>
        <v>0</v>
      </c>
      <c r="R279" s="118">
        <f t="shared" si="56"/>
        <v>0</v>
      </c>
      <c r="S279" s="112">
        <v>0</v>
      </c>
    </row>
    <row r="280" spans="1:19" hidden="1" outlineLevel="2">
      <c r="A280" s="39"/>
      <c r="B280" s="40" t="s">
        <v>14</v>
      </c>
      <c r="C280" s="41" t="s">
        <v>4</v>
      </c>
      <c r="D280" s="26">
        <v>6</v>
      </c>
      <c r="E280" s="74"/>
      <c r="F280" s="334"/>
      <c r="G280" s="112">
        <v>0</v>
      </c>
      <c r="H280" s="120">
        <v>0</v>
      </c>
      <c r="I280" s="120">
        <v>0</v>
      </c>
      <c r="J280" s="120">
        <v>0</v>
      </c>
      <c r="K280" s="110">
        <v>0</v>
      </c>
      <c r="L280" s="118"/>
      <c r="M280" s="110">
        <v>0</v>
      </c>
      <c r="N280" s="118"/>
      <c r="O280" s="118"/>
      <c r="P280" s="118">
        <f t="shared" si="54"/>
        <v>0</v>
      </c>
      <c r="Q280" s="118">
        <f t="shared" si="55"/>
        <v>0</v>
      </c>
      <c r="R280" s="118">
        <f t="shared" si="56"/>
        <v>0</v>
      </c>
      <c r="S280" s="112">
        <v>0</v>
      </c>
    </row>
    <row r="281" spans="1:19" hidden="1" outlineLevel="2">
      <c r="A281" s="39"/>
      <c r="B281" s="40" t="s">
        <v>32</v>
      </c>
      <c r="C281" s="49" t="s">
        <v>4</v>
      </c>
      <c r="D281" s="26">
        <v>6</v>
      </c>
      <c r="E281" s="74"/>
      <c r="F281" s="334"/>
      <c r="G281" s="112">
        <v>0</v>
      </c>
      <c r="H281" s="120">
        <v>0</v>
      </c>
      <c r="I281" s="120">
        <v>0</v>
      </c>
      <c r="J281" s="120">
        <v>0</v>
      </c>
      <c r="K281" s="110">
        <v>0</v>
      </c>
      <c r="L281" s="118"/>
      <c r="M281" s="110">
        <v>0</v>
      </c>
      <c r="N281" s="118"/>
      <c r="O281" s="118"/>
      <c r="P281" s="118">
        <f t="shared" si="54"/>
        <v>0</v>
      </c>
      <c r="Q281" s="118">
        <f t="shared" si="55"/>
        <v>0</v>
      </c>
      <c r="R281" s="118">
        <f t="shared" si="56"/>
        <v>0</v>
      </c>
      <c r="S281" s="112">
        <v>0</v>
      </c>
    </row>
    <row r="282" spans="1:19" ht="45" hidden="1" outlineLevel="2">
      <c r="A282" s="46"/>
      <c r="B282" s="47" t="s">
        <v>49</v>
      </c>
      <c r="C282" s="48" t="s">
        <v>4</v>
      </c>
      <c r="D282" s="26">
        <v>2</v>
      </c>
      <c r="E282" s="74"/>
      <c r="F282" s="334"/>
      <c r="G282" s="112">
        <v>0</v>
      </c>
      <c r="H282" s="120">
        <v>0</v>
      </c>
      <c r="I282" s="120">
        <v>0</v>
      </c>
      <c r="J282" s="120">
        <v>0</v>
      </c>
      <c r="K282" s="110">
        <v>0</v>
      </c>
      <c r="L282" s="118"/>
      <c r="M282" s="110">
        <v>0</v>
      </c>
      <c r="N282" s="118"/>
      <c r="O282" s="118"/>
      <c r="P282" s="118">
        <f t="shared" si="54"/>
        <v>0</v>
      </c>
      <c r="Q282" s="118">
        <f t="shared" si="55"/>
        <v>0</v>
      </c>
      <c r="R282" s="118">
        <f t="shared" si="56"/>
        <v>0</v>
      </c>
      <c r="S282" s="112">
        <v>0</v>
      </c>
    </row>
    <row r="283" spans="1:19" hidden="1" outlineLevel="2">
      <c r="A283" s="39"/>
      <c r="B283" s="44" t="s">
        <v>16</v>
      </c>
      <c r="C283" s="41"/>
      <c r="D283" s="26"/>
      <c r="E283" s="75"/>
      <c r="F283" s="75"/>
      <c r="G283" s="121"/>
      <c r="H283" s="121"/>
      <c r="I283" s="121"/>
      <c r="J283" s="121"/>
      <c r="K283" s="546"/>
      <c r="L283" s="546"/>
      <c r="M283" s="546"/>
      <c r="N283" s="546"/>
      <c r="O283" s="546"/>
      <c r="P283" s="546"/>
      <c r="Q283" s="546"/>
      <c r="R283" s="546"/>
      <c r="S283" s="112">
        <v>0</v>
      </c>
    </row>
    <row r="284" spans="1:19" hidden="1" outlineLevel="2">
      <c r="A284" s="39"/>
      <c r="B284" s="40" t="s">
        <v>84</v>
      </c>
      <c r="C284" s="41" t="s">
        <v>4</v>
      </c>
      <c r="D284" s="26">
        <v>1</v>
      </c>
      <c r="E284" s="73"/>
      <c r="F284" s="334"/>
      <c r="G284" s="112">
        <v>0</v>
      </c>
      <c r="H284" s="120">
        <v>0</v>
      </c>
      <c r="I284" s="120">
        <v>0</v>
      </c>
      <c r="J284" s="120">
        <v>0</v>
      </c>
      <c r="K284" s="110">
        <v>0</v>
      </c>
      <c r="L284" s="118"/>
      <c r="M284" s="110">
        <v>0</v>
      </c>
      <c r="N284" s="118"/>
      <c r="O284" s="118"/>
      <c r="P284" s="118">
        <f t="shared" ref="P284:P296" si="57">+K284+L284+M284+N284+O284</f>
        <v>0</v>
      </c>
      <c r="Q284" s="118">
        <f t="shared" ref="Q284:Q296" si="58">+P284*D284</f>
        <v>0</v>
      </c>
      <c r="R284" s="118">
        <f t="shared" ref="R284:R296" si="59">P284*F284</f>
        <v>0</v>
      </c>
      <c r="S284" s="112">
        <v>0</v>
      </c>
    </row>
    <row r="285" spans="1:19" hidden="1" outlineLevel="2">
      <c r="A285" s="39"/>
      <c r="B285" s="40" t="s">
        <v>99</v>
      </c>
      <c r="C285" s="41" t="s">
        <v>4</v>
      </c>
      <c r="D285" s="26">
        <v>1</v>
      </c>
      <c r="E285" s="50"/>
      <c r="F285" s="334"/>
      <c r="G285" s="112">
        <v>0</v>
      </c>
      <c r="H285" s="120">
        <v>0</v>
      </c>
      <c r="I285" s="120">
        <v>0</v>
      </c>
      <c r="J285" s="120">
        <v>0</v>
      </c>
      <c r="K285" s="110">
        <v>0</v>
      </c>
      <c r="L285" s="118"/>
      <c r="M285" s="110">
        <v>0</v>
      </c>
      <c r="N285" s="118"/>
      <c r="O285" s="118"/>
      <c r="P285" s="118">
        <f t="shared" si="57"/>
        <v>0</v>
      </c>
      <c r="Q285" s="118">
        <f t="shared" si="58"/>
        <v>0</v>
      </c>
      <c r="R285" s="118">
        <f t="shared" si="59"/>
        <v>0</v>
      </c>
      <c r="S285" s="112">
        <v>0</v>
      </c>
    </row>
    <row r="286" spans="1:19" hidden="1" outlineLevel="2">
      <c r="A286" s="39"/>
      <c r="B286" s="40" t="s">
        <v>100</v>
      </c>
      <c r="C286" s="41" t="s">
        <v>4</v>
      </c>
      <c r="D286" s="26">
        <v>2</v>
      </c>
      <c r="E286" s="57"/>
      <c r="F286" s="334"/>
      <c r="G286" s="112">
        <v>0</v>
      </c>
      <c r="H286" s="120">
        <v>0</v>
      </c>
      <c r="I286" s="120">
        <v>0</v>
      </c>
      <c r="J286" s="120">
        <v>0</v>
      </c>
      <c r="K286" s="110">
        <v>0</v>
      </c>
      <c r="L286" s="118"/>
      <c r="M286" s="110">
        <v>0</v>
      </c>
      <c r="N286" s="118"/>
      <c r="O286" s="118"/>
      <c r="P286" s="118">
        <f t="shared" si="57"/>
        <v>0</v>
      </c>
      <c r="Q286" s="118">
        <f t="shared" si="58"/>
        <v>0</v>
      </c>
      <c r="R286" s="118">
        <f t="shared" si="59"/>
        <v>0</v>
      </c>
      <c r="S286" s="112">
        <v>0</v>
      </c>
    </row>
    <row r="287" spans="1:19" hidden="1" outlineLevel="2">
      <c r="A287" s="39"/>
      <c r="B287" s="40" t="s">
        <v>87</v>
      </c>
      <c r="C287" s="41" t="s">
        <v>4</v>
      </c>
      <c r="D287" s="26">
        <v>3</v>
      </c>
      <c r="E287" s="50"/>
      <c r="F287" s="334"/>
      <c r="G287" s="112">
        <v>0</v>
      </c>
      <c r="H287" s="120">
        <v>0</v>
      </c>
      <c r="I287" s="120">
        <v>0</v>
      </c>
      <c r="J287" s="120">
        <v>0</v>
      </c>
      <c r="K287" s="110">
        <v>0</v>
      </c>
      <c r="L287" s="118"/>
      <c r="M287" s="110">
        <v>0</v>
      </c>
      <c r="N287" s="118"/>
      <c r="O287" s="118"/>
      <c r="P287" s="118">
        <f t="shared" si="57"/>
        <v>0</v>
      </c>
      <c r="Q287" s="118">
        <f t="shared" si="58"/>
        <v>0</v>
      </c>
      <c r="R287" s="118">
        <f t="shared" si="59"/>
        <v>0</v>
      </c>
      <c r="S287" s="112">
        <v>0</v>
      </c>
    </row>
    <row r="288" spans="1:19" hidden="1" outlineLevel="2">
      <c r="A288" s="39"/>
      <c r="B288" s="40" t="s">
        <v>54</v>
      </c>
      <c r="C288" s="41" t="s">
        <v>4</v>
      </c>
      <c r="D288" s="26">
        <v>2</v>
      </c>
      <c r="E288" s="50"/>
      <c r="F288" s="334"/>
      <c r="G288" s="112">
        <v>0</v>
      </c>
      <c r="H288" s="120">
        <v>0</v>
      </c>
      <c r="I288" s="120">
        <v>0</v>
      </c>
      <c r="J288" s="120">
        <v>0</v>
      </c>
      <c r="K288" s="110">
        <v>0</v>
      </c>
      <c r="L288" s="118"/>
      <c r="M288" s="110">
        <v>0</v>
      </c>
      <c r="N288" s="118"/>
      <c r="O288" s="118"/>
      <c r="P288" s="118">
        <f t="shared" si="57"/>
        <v>0</v>
      </c>
      <c r="Q288" s="118">
        <f t="shared" si="58"/>
        <v>0</v>
      </c>
      <c r="R288" s="118">
        <f t="shared" si="59"/>
        <v>0</v>
      </c>
      <c r="S288" s="112">
        <v>0</v>
      </c>
    </row>
    <row r="289" spans="1:19" hidden="1" outlineLevel="2">
      <c r="A289" s="39"/>
      <c r="B289" s="40" t="s">
        <v>65</v>
      </c>
      <c r="C289" s="41" t="s">
        <v>4</v>
      </c>
      <c r="D289" s="26">
        <v>1</v>
      </c>
      <c r="E289" s="50"/>
      <c r="F289" s="334"/>
      <c r="G289" s="112">
        <v>0</v>
      </c>
      <c r="H289" s="120">
        <v>0</v>
      </c>
      <c r="I289" s="120">
        <v>0</v>
      </c>
      <c r="J289" s="120">
        <v>0</v>
      </c>
      <c r="K289" s="110">
        <v>0</v>
      </c>
      <c r="L289" s="118"/>
      <c r="M289" s="110">
        <v>0</v>
      </c>
      <c r="N289" s="118"/>
      <c r="O289" s="118"/>
      <c r="P289" s="118">
        <f t="shared" si="57"/>
        <v>0</v>
      </c>
      <c r="Q289" s="118">
        <f t="shared" si="58"/>
        <v>0</v>
      </c>
      <c r="R289" s="118">
        <f t="shared" si="59"/>
        <v>0</v>
      </c>
      <c r="S289" s="112">
        <v>0</v>
      </c>
    </row>
    <row r="290" spans="1:19" hidden="1" outlineLevel="2">
      <c r="A290" s="39"/>
      <c r="B290" s="40" t="s">
        <v>58</v>
      </c>
      <c r="C290" s="41" t="s">
        <v>4</v>
      </c>
      <c r="D290" s="26">
        <v>1</v>
      </c>
      <c r="E290" s="50"/>
      <c r="F290" s="334"/>
      <c r="G290" s="112">
        <v>0</v>
      </c>
      <c r="H290" s="120">
        <v>0</v>
      </c>
      <c r="I290" s="120">
        <v>0</v>
      </c>
      <c r="J290" s="120">
        <v>0</v>
      </c>
      <c r="K290" s="110">
        <v>0</v>
      </c>
      <c r="L290" s="118"/>
      <c r="M290" s="110">
        <v>0</v>
      </c>
      <c r="N290" s="118"/>
      <c r="O290" s="118"/>
      <c r="P290" s="118">
        <f t="shared" si="57"/>
        <v>0</v>
      </c>
      <c r="Q290" s="118">
        <f t="shared" si="58"/>
        <v>0</v>
      </c>
      <c r="R290" s="118">
        <f t="shared" si="59"/>
        <v>0</v>
      </c>
      <c r="S290" s="112">
        <v>0</v>
      </c>
    </row>
    <row r="291" spans="1:19" ht="30" hidden="1" outlineLevel="2">
      <c r="A291" s="39"/>
      <c r="B291" s="40" t="s">
        <v>89</v>
      </c>
      <c r="C291" s="41" t="s">
        <v>8</v>
      </c>
      <c r="D291" s="26">
        <v>1</v>
      </c>
      <c r="E291" s="74"/>
      <c r="F291" s="334"/>
      <c r="G291" s="112">
        <v>0</v>
      </c>
      <c r="H291" s="120">
        <v>0</v>
      </c>
      <c r="I291" s="120">
        <v>0</v>
      </c>
      <c r="J291" s="120">
        <v>0</v>
      </c>
      <c r="K291" s="110">
        <v>0</v>
      </c>
      <c r="L291" s="118"/>
      <c r="M291" s="110">
        <v>0</v>
      </c>
      <c r="N291" s="118"/>
      <c r="O291" s="118"/>
      <c r="P291" s="118">
        <f t="shared" si="57"/>
        <v>0</v>
      </c>
      <c r="Q291" s="118">
        <f t="shared" si="58"/>
        <v>0</v>
      </c>
      <c r="R291" s="118">
        <f t="shared" si="59"/>
        <v>0</v>
      </c>
      <c r="S291" s="112">
        <v>0</v>
      </c>
    </row>
    <row r="292" spans="1:19" hidden="1" outlineLevel="2">
      <c r="A292" s="39"/>
      <c r="B292" s="53" t="s">
        <v>40</v>
      </c>
      <c r="C292" s="54" t="s">
        <v>8</v>
      </c>
      <c r="D292" s="26">
        <v>1</v>
      </c>
      <c r="E292" s="74"/>
      <c r="F292" s="334"/>
      <c r="G292" s="112">
        <v>0</v>
      </c>
      <c r="H292" s="120">
        <v>0</v>
      </c>
      <c r="I292" s="120">
        <v>0</v>
      </c>
      <c r="J292" s="120">
        <v>0</v>
      </c>
      <c r="K292" s="110">
        <v>0</v>
      </c>
      <c r="L292" s="118"/>
      <c r="M292" s="110">
        <v>0</v>
      </c>
      <c r="N292" s="118"/>
      <c r="O292" s="118"/>
      <c r="P292" s="118">
        <f t="shared" si="57"/>
        <v>0</v>
      </c>
      <c r="Q292" s="118">
        <f t="shared" si="58"/>
        <v>0</v>
      </c>
      <c r="R292" s="118">
        <f t="shared" si="59"/>
        <v>0</v>
      </c>
      <c r="S292" s="112">
        <v>0</v>
      </c>
    </row>
    <row r="293" spans="1:19" ht="45" hidden="1" outlineLevel="2">
      <c r="A293" s="50"/>
      <c r="B293" s="55" t="s">
        <v>42</v>
      </c>
      <c r="C293" s="56" t="s">
        <v>8</v>
      </c>
      <c r="D293" s="26">
        <v>1</v>
      </c>
      <c r="E293" s="74"/>
      <c r="F293" s="334"/>
      <c r="G293" s="112">
        <v>0</v>
      </c>
      <c r="H293" s="120">
        <v>0</v>
      </c>
      <c r="I293" s="120">
        <v>0</v>
      </c>
      <c r="J293" s="120">
        <v>0</v>
      </c>
      <c r="K293" s="110">
        <v>0</v>
      </c>
      <c r="L293" s="118"/>
      <c r="M293" s="110">
        <v>0</v>
      </c>
      <c r="N293" s="118"/>
      <c r="O293" s="118"/>
      <c r="P293" s="118">
        <f t="shared" si="57"/>
        <v>0</v>
      </c>
      <c r="Q293" s="118">
        <f t="shared" si="58"/>
        <v>0</v>
      </c>
      <c r="R293" s="118">
        <f t="shared" si="59"/>
        <v>0</v>
      </c>
      <c r="S293" s="112">
        <v>0</v>
      </c>
    </row>
    <row r="294" spans="1:19" hidden="1" outlineLevel="2">
      <c r="A294" s="39"/>
      <c r="B294" s="53" t="s">
        <v>43</v>
      </c>
      <c r="C294" s="54" t="s">
        <v>6</v>
      </c>
      <c r="D294" s="26">
        <v>1</v>
      </c>
      <c r="E294" s="74"/>
      <c r="F294" s="334"/>
      <c r="G294" s="112">
        <v>0</v>
      </c>
      <c r="H294" s="120">
        <v>0</v>
      </c>
      <c r="I294" s="120">
        <v>0</v>
      </c>
      <c r="J294" s="120">
        <v>0</v>
      </c>
      <c r="K294" s="110">
        <v>0</v>
      </c>
      <c r="L294" s="118"/>
      <c r="M294" s="110">
        <v>0</v>
      </c>
      <c r="N294" s="118"/>
      <c r="O294" s="118"/>
      <c r="P294" s="118">
        <f t="shared" si="57"/>
        <v>0</v>
      </c>
      <c r="Q294" s="118">
        <f t="shared" si="58"/>
        <v>0</v>
      </c>
      <c r="R294" s="118">
        <f t="shared" si="59"/>
        <v>0</v>
      </c>
      <c r="S294" s="112">
        <v>0</v>
      </c>
    </row>
    <row r="295" spans="1:19" ht="60" outlineLevel="1" collapsed="1">
      <c r="A295" s="57">
        <v>9</v>
      </c>
      <c r="B295" s="44" t="s">
        <v>101</v>
      </c>
      <c r="C295" s="58" t="s">
        <v>6</v>
      </c>
      <c r="D295" s="102">
        <v>1</v>
      </c>
      <c r="E295" s="57"/>
      <c r="F295" s="334">
        <v>1</v>
      </c>
      <c r="G295" s="112" t="s">
        <v>101</v>
      </c>
      <c r="H295" s="120" t="s">
        <v>1075</v>
      </c>
      <c r="I295" s="120" t="s">
        <v>828</v>
      </c>
      <c r="J295" s="120" t="s">
        <v>829</v>
      </c>
      <c r="K295" s="110">
        <v>434692100</v>
      </c>
      <c r="L295" s="118"/>
      <c r="M295" s="110">
        <v>12090000</v>
      </c>
      <c r="N295" s="118"/>
      <c r="O295" s="118"/>
      <c r="P295" s="118">
        <f t="shared" si="57"/>
        <v>446782100</v>
      </c>
      <c r="Q295" s="118">
        <f t="shared" si="58"/>
        <v>446782100</v>
      </c>
      <c r="R295" s="118">
        <f t="shared" si="59"/>
        <v>446782100</v>
      </c>
      <c r="S295" s="112" t="s">
        <v>4094</v>
      </c>
    </row>
    <row r="296" spans="1:19" hidden="1" outlineLevel="2">
      <c r="A296" s="39"/>
      <c r="B296" s="40" t="s">
        <v>1047</v>
      </c>
      <c r="C296" s="41" t="s">
        <v>4</v>
      </c>
      <c r="D296" s="26">
        <v>1</v>
      </c>
      <c r="E296" s="437"/>
      <c r="F296" s="334"/>
      <c r="G296" s="112">
        <v>0</v>
      </c>
      <c r="H296" s="120">
        <v>0</v>
      </c>
      <c r="I296" s="120">
        <v>0</v>
      </c>
      <c r="J296" s="120">
        <v>0</v>
      </c>
      <c r="K296" s="110">
        <v>0</v>
      </c>
      <c r="L296" s="118"/>
      <c r="M296" s="110">
        <v>0</v>
      </c>
      <c r="N296" s="118"/>
      <c r="O296" s="118"/>
      <c r="P296" s="118">
        <f t="shared" si="57"/>
        <v>0</v>
      </c>
      <c r="Q296" s="118">
        <f t="shared" si="58"/>
        <v>0</v>
      </c>
      <c r="R296" s="118">
        <f t="shared" si="59"/>
        <v>0</v>
      </c>
      <c r="S296" s="112">
        <v>0</v>
      </c>
    </row>
    <row r="297" spans="1:19" hidden="1" outlineLevel="2">
      <c r="A297" s="39"/>
      <c r="B297" s="44" t="s">
        <v>13</v>
      </c>
      <c r="C297" s="41"/>
      <c r="D297" s="26"/>
      <c r="E297" s="75"/>
      <c r="F297" s="75"/>
      <c r="G297" s="121"/>
      <c r="H297" s="121"/>
      <c r="I297" s="121"/>
      <c r="J297" s="121"/>
      <c r="K297" s="546"/>
      <c r="L297" s="546"/>
      <c r="M297" s="546"/>
      <c r="N297" s="546"/>
      <c r="O297" s="546"/>
      <c r="P297" s="546"/>
      <c r="Q297" s="546"/>
      <c r="R297" s="546"/>
      <c r="S297" s="112">
        <v>0</v>
      </c>
    </row>
    <row r="298" spans="1:19" hidden="1" outlineLevel="2">
      <c r="A298" s="39"/>
      <c r="B298" s="40" t="s">
        <v>102</v>
      </c>
      <c r="C298" s="41" t="s">
        <v>4</v>
      </c>
      <c r="D298" s="26">
        <v>2</v>
      </c>
      <c r="E298" s="73"/>
      <c r="F298" s="334"/>
      <c r="G298" s="112">
        <v>0</v>
      </c>
      <c r="H298" s="120">
        <v>0</v>
      </c>
      <c r="I298" s="120">
        <v>0</v>
      </c>
      <c r="J298" s="120">
        <v>0</v>
      </c>
      <c r="K298" s="110">
        <v>0</v>
      </c>
      <c r="L298" s="118"/>
      <c r="M298" s="110">
        <v>0</v>
      </c>
      <c r="N298" s="118"/>
      <c r="O298" s="118"/>
      <c r="P298" s="118">
        <f t="shared" ref="P298:P300" si="60">+K298+L298+M298+N298+O298</f>
        <v>0</v>
      </c>
      <c r="Q298" s="118">
        <f t="shared" ref="Q298:Q300" si="61">+P298*D298</f>
        <v>0</v>
      </c>
      <c r="R298" s="118">
        <f t="shared" ref="R298:R300" si="62">P298*F298</f>
        <v>0</v>
      </c>
      <c r="S298" s="112">
        <v>0</v>
      </c>
    </row>
    <row r="299" spans="1:19" ht="30" hidden="1" outlineLevel="2">
      <c r="A299" s="50"/>
      <c r="B299" s="45" t="s">
        <v>4030</v>
      </c>
      <c r="C299" s="27" t="s">
        <v>4</v>
      </c>
      <c r="D299" s="26">
        <v>4</v>
      </c>
      <c r="E299" s="50"/>
      <c r="F299" s="334"/>
      <c r="G299" s="112">
        <v>0</v>
      </c>
      <c r="H299" s="120">
        <v>0</v>
      </c>
      <c r="I299" s="120">
        <v>0</v>
      </c>
      <c r="J299" s="120">
        <v>0</v>
      </c>
      <c r="K299" s="110">
        <v>0</v>
      </c>
      <c r="L299" s="118"/>
      <c r="M299" s="110">
        <v>0</v>
      </c>
      <c r="N299" s="118"/>
      <c r="O299" s="118"/>
      <c r="P299" s="118">
        <f t="shared" si="60"/>
        <v>0</v>
      </c>
      <c r="Q299" s="118">
        <f t="shared" si="61"/>
        <v>0</v>
      </c>
      <c r="R299" s="118">
        <f t="shared" si="62"/>
        <v>0</v>
      </c>
      <c r="S299" s="112">
        <v>0</v>
      </c>
    </row>
    <row r="300" spans="1:19" ht="30" hidden="1" outlineLevel="2">
      <c r="A300" s="50"/>
      <c r="B300" s="45" t="s">
        <v>4031</v>
      </c>
      <c r="C300" s="27" t="s">
        <v>4</v>
      </c>
      <c r="D300" s="26">
        <v>4</v>
      </c>
      <c r="E300" s="57"/>
      <c r="F300" s="334"/>
      <c r="G300" s="112">
        <v>0</v>
      </c>
      <c r="H300" s="120">
        <v>0</v>
      </c>
      <c r="I300" s="120">
        <v>0</v>
      </c>
      <c r="J300" s="120">
        <v>0</v>
      </c>
      <c r="K300" s="110">
        <v>0</v>
      </c>
      <c r="L300" s="118"/>
      <c r="M300" s="110">
        <v>0</v>
      </c>
      <c r="N300" s="118"/>
      <c r="O300" s="118"/>
      <c r="P300" s="118">
        <f t="shared" si="60"/>
        <v>0</v>
      </c>
      <c r="Q300" s="118">
        <f t="shared" si="61"/>
        <v>0</v>
      </c>
      <c r="R300" s="118">
        <f t="shared" si="62"/>
        <v>0</v>
      </c>
      <c r="S300" s="112">
        <v>0</v>
      </c>
    </row>
    <row r="301" spans="1:19" hidden="1" outlineLevel="2">
      <c r="A301" s="57"/>
      <c r="B301" s="70" t="s">
        <v>103</v>
      </c>
      <c r="C301" s="23"/>
      <c r="D301" s="26"/>
      <c r="E301" s="50"/>
      <c r="F301" s="50"/>
      <c r="G301" s="120"/>
      <c r="H301" s="120"/>
      <c r="I301" s="120"/>
      <c r="J301" s="120"/>
      <c r="K301" s="545"/>
      <c r="L301" s="545"/>
      <c r="M301" s="545"/>
      <c r="N301" s="545"/>
      <c r="O301" s="545"/>
      <c r="P301" s="545"/>
      <c r="Q301" s="545"/>
      <c r="R301" s="545"/>
      <c r="S301" s="112">
        <v>0</v>
      </c>
    </row>
    <row r="302" spans="1:19" hidden="1" outlineLevel="2">
      <c r="A302" s="555"/>
      <c r="B302" s="45" t="s">
        <v>71</v>
      </c>
      <c r="C302" s="27" t="s">
        <v>4</v>
      </c>
      <c r="D302" s="26">
        <v>4</v>
      </c>
      <c r="E302" s="50"/>
      <c r="F302" s="334"/>
      <c r="G302" s="112">
        <v>0</v>
      </c>
      <c r="H302" s="120">
        <v>0</v>
      </c>
      <c r="I302" s="120">
        <v>0</v>
      </c>
      <c r="J302" s="120">
        <v>0</v>
      </c>
      <c r="K302" s="110">
        <v>0</v>
      </c>
      <c r="L302" s="118"/>
      <c r="M302" s="110">
        <v>0</v>
      </c>
      <c r="N302" s="118"/>
      <c r="O302" s="118"/>
      <c r="P302" s="118">
        <f t="shared" ref="P302:P314" si="63">+K302+L302+M302+N302+O302</f>
        <v>0</v>
      </c>
      <c r="Q302" s="118">
        <f t="shared" ref="Q302:Q314" si="64">+P302*D302</f>
        <v>0</v>
      </c>
      <c r="R302" s="118">
        <f t="shared" ref="R302:R314" si="65">P302*F302</f>
        <v>0</v>
      </c>
      <c r="S302" s="112">
        <v>0</v>
      </c>
    </row>
    <row r="303" spans="1:19" hidden="1" outlineLevel="2">
      <c r="A303" s="555"/>
      <c r="B303" s="45" t="s">
        <v>73</v>
      </c>
      <c r="C303" s="27" t="s">
        <v>4</v>
      </c>
      <c r="D303" s="26">
        <v>1</v>
      </c>
      <c r="E303" s="50"/>
      <c r="F303" s="334"/>
      <c r="G303" s="112">
        <v>0</v>
      </c>
      <c r="H303" s="120">
        <v>0</v>
      </c>
      <c r="I303" s="120">
        <v>0</v>
      </c>
      <c r="J303" s="120">
        <v>0</v>
      </c>
      <c r="K303" s="110">
        <v>0</v>
      </c>
      <c r="L303" s="118"/>
      <c r="M303" s="110">
        <v>0</v>
      </c>
      <c r="N303" s="118"/>
      <c r="O303" s="118"/>
      <c r="P303" s="118">
        <f t="shared" si="63"/>
        <v>0</v>
      </c>
      <c r="Q303" s="118">
        <f t="shared" si="64"/>
        <v>0</v>
      </c>
      <c r="R303" s="118">
        <f t="shared" si="65"/>
        <v>0</v>
      </c>
      <c r="S303" s="112">
        <v>0</v>
      </c>
    </row>
    <row r="304" spans="1:19" hidden="1" outlineLevel="2">
      <c r="A304" s="555"/>
      <c r="B304" s="45" t="s">
        <v>74</v>
      </c>
      <c r="C304" s="27" t="s">
        <v>4</v>
      </c>
      <c r="D304" s="26">
        <v>2</v>
      </c>
      <c r="E304" s="50"/>
      <c r="F304" s="334"/>
      <c r="G304" s="112">
        <v>0</v>
      </c>
      <c r="H304" s="120">
        <v>0</v>
      </c>
      <c r="I304" s="120">
        <v>0</v>
      </c>
      <c r="J304" s="120">
        <v>0</v>
      </c>
      <c r="K304" s="110">
        <v>0</v>
      </c>
      <c r="L304" s="118"/>
      <c r="M304" s="110">
        <v>0</v>
      </c>
      <c r="N304" s="118"/>
      <c r="O304" s="118"/>
      <c r="P304" s="118">
        <f t="shared" si="63"/>
        <v>0</v>
      </c>
      <c r="Q304" s="118">
        <f t="shared" si="64"/>
        <v>0</v>
      </c>
      <c r="R304" s="118">
        <f t="shared" si="65"/>
        <v>0</v>
      </c>
      <c r="S304" s="112">
        <v>0</v>
      </c>
    </row>
    <row r="305" spans="1:19" hidden="1" outlineLevel="2">
      <c r="A305" s="555"/>
      <c r="B305" s="45" t="s">
        <v>75</v>
      </c>
      <c r="C305" s="27" t="s">
        <v>4</v>
      </c>
      <c r="D305" s="26">
        <v>1</v>
      </c>
      <c r="E305" s="74"/>
      <c r="F305" s="334"/>
      <c r="G305" s="112">
        <v>0</v>
      </c>
      <c r="H305" s="120">
        <v>0</v>
      </c>
      <c r="I305" s="120">
        <v>0</v>
      </c>
      <c r="J305" s="120">
        <v>0</v>
      </c>
      <c r="K305" s="110">
        <v>0</v>
      </c>
      <c r="L305" s="118"/>
      <c r="M305" s="110">
        <v>0</v>
      </c>
      <c r="N305" s="118"/>
      <c r="O305" s="118"/>
      <c r="P305" s="118">
        <f t="shared" si="63"/>
        <v>0</v>
      </c>
      <c r="Q305" s="118">
        <f t="shared" si="64"/>
        <v>0</v>
      </c>
      <c r="R305" s="118">
        <f t="shared" si="65"/>
        <v>0</v>
      </c>
      <c r="S305" s="112">
        <v>0</v>
      </c>
    </row>
    <row r="306" spans="1:19" hidden="1" outlineLevel="2">
      <c r="A306" s="555"/>
      <c r="B306" s="45" t="s">
        <v>76</v>
      </c>
      <c r="C306" s="27" t="s">
        <v>4</v>
      </c>
      <c r="D306" s="26">
        <v>1</v>
      </c>
      <c r="E306" s="74"/>
      <c r="F306" s="334"/>
      <c r="G306" s="112">
        <v>0</v>
      </c>
      <c r="H306" s="120">
        <v>0</v>
      </c>
      <c r="I306" s="120">
        <v>0</v>
      </c>
      <c r="J306" s="120">
        <v>0</v>
      </c>
      <c r="K306" s="110">
        <v>0</v>
      </c>
      <c r="L306" s="118"/>
      <c r="M306" s="110">
        <v>0</v>
      </c>
      <c r="N306" s="118"/>
      <c r="O306" s="118"/>
      <c r="P306" s="118">
        <f t="shared" si="63"/>
        <v>0</v>
      </c>
      <c r="Q306" s="118">
        <f t="shared" si="64"/>
        <v>0</v>
      </c>
      <c r="R306" s="118">
        <f t="shared" si="65"/>
        <v>0</v>
      </c>
      <c r="S306" s="112">
        <v>0</v>
      </c>
    </row>
    <row r="307" spans="1:19" hidden="1" outlineLevel="2">
      <c r="A307" s="555"/>
      <c r="B307" s="45" t="s">
        <v>77</v>
      </c>
      <c r="C307" s="27" t="s">
        <v>17</v>
      </c>
      <c r="D307" s="26">
        <v>1</v>
      </c>
      <c r="E307" s="74"/>
      <c r="F307" s="334"/>
      <c r="G307" s="112">
        <v>0</v>
      </c>
      <c r="H307" s="120">
        <v>0</v>
      </c>
      <c r="I307" s="120">
        <v>0</v>
      </c>
      <c r="J307" s="120">
        <v>0</v>
      </c>
      <c r="K307" s="110">
        <v>0</v>
      </c>
      <c r="L307" s="118"/>
      <c r="M307" s="110">
        <v>0</v>
      </c>
      <c r="N307" s="118"/>
      <c r="O307" s="118"/>
      <c r="P307" s="118">
        <f t="shared" si="63"/>
        <v>0</v>
      </c>
      <c r="Q307" s="118">
        <f t="shared" si="64"/>
        <v>0</v>
      </c>
      <c r="R307" s="118">
        <f t="shared" si="65"/>
        <v>0</v>
      </c>
      <c r="S307" s="112">
        <v>0</v>
      </c>
    </row>
    <row r="308" spans="1:19" hidden="1" outlineLevel="2">
      <c r="A308" s="46"/>
      <c r="B308" s="47" t="s">
        <v>104</v>
      </c>
      <c r="C308" s="48" t="s">
        <v>12</v>
      </c>
      <c r="D308" s="26">
        <v>6</v>
      </c>
      <c r="E308" s="74"/>
      <c r="F308" s="334"/>
      <c r="G308" s="112">
        <v>0</v>
      </c>
      <c r="H308" s="120">
        <v>0</v>
      </c>
      <c r="I308" s="120">
        <v>0</v>
      </c>
      <c r="J308" s="120">
        <v>0</v>
      </c>
      <c r="K308" s="110">
        <v>0</v>
      </c>
      <c r="L308" s="118"/>
      <c r="M308" s="110">
        <v>0</v>
      </c>
      <c r="N308" s="118"/>
      <c r="O308" s="118"/>
      <c r="P308" s="118">
        <f t="shared" si="63"/>
        <v>0</v>
      </c>
      <c r="Q308" s="118">
        <f t="shared" si="64"/>
        <v>0</v>
      </c>
      <c r="R308" s="118">
        <f t="shared" si="65"/>
        <v>0</v>
      </c>
      <c r="S308" s="112">
        <v>0</v>
      </c>
    </row>
    <row r="309" spans="1:19" hidden="1" outlineLevel="2">
      <c r="A309" s="46"/>
      <c r="B309" s="47" t="s">
        <v>29</v>
      </c>
      <c r="C309" s="48" t="s">
        <v>4</v>
      </c>
      <c r="D309" s="26">
        <v>2</v>
      </c>
      <c r="E309" s="50"/>
      <c r="F309" s="334"/>
      <c r="G309" s="112">
        <v>0</v>
      </c>
      <c r="H309" s="120">
        <v>0</v>
      </c>
      <c r="I309" s="120">
        <v>0</v>
      </c>
      <c r="J309" s="120">
        <v>0</v>
      </c>
      <c r="K309" s="110">
        <v>0</v>
      </c>
      <c r="L309" s="118"/>
      <c r="M309" s="110">
        <v>0</v>
      </c>
      <c r="N309" s="118"/>
      <c r="O309" s="118"/>
      <c r="P309" s="118">
        <f t="shared" si="63"/>
        <v>0</v>
      </c>
      <c r="Q309" s="118">
        <f t="shared" si="64"/>
        <v>0</v>
      </c>
      <c r="R309" s="118">
        <f t="shared" si="65"/>
        <v>0</v>
      </c>
      <c r="S309" s="112">
        <v>0</v>
      </c>
    </row>
    <row r="310" spans="1:19" hidden="1" outlineLevel="2">
      <c r="A310" s="46"/>
      <c r="B310" s="47" t="s">
        <v>30</v>
      </c>
      <c r="C310" s="48" t="s">
        <v>4</v>
      </c>
      <c r="D310" s="26">
        <v>2</v>
      </c>
      <c r="E310" s="437"/>
      <c r="F310" s="334"/>
      <c r="G310" s="112">
        <v>0</v>
      </c>
      <c r="H310" s="120">
        <v>0</v>
      </c>
      <c r="I310" s="120">
        <v>0</v>
      </c>
      <c r="J310" s="120">
        <v>0</v>
      </c>
      <c r="K310" s="110">
        <v>0</v>
      </c>
      <c r="L310" s="118"/>
      <c r="M310" s="110">
        <v>0</v>
      </c>
      <c r="N310" s="118"/>
      <c r="O310" s="118"/>
      <c r="P310" s="118">
        <f t="shared" si="63"/>
        <v>0</v>
      </c>
      <c r="Q310" s="118">
        <f t="shared" si="64"/>
        <v>0</v>
      </c>
      <c r="R310" s="118">
        <f t="shared" si="65"/>
        <v>0</v>
      </c>
      <c r="S310" s="112">
        <v>0</v>
      </c>
    </row>
    <row r="311" spans="1:19" hidden="1" outlineLevel="2">
      <c r="A311" s="39"/>
      <c r="B311" s="40" t="s">
        <v>14</v>
      </c>
      <c r="C311" s="41" t="s">
        <v>4</v>
      </c>
      <c r="D311" s="26">
        <v>6</v>
      </c>
      <c r="E311" s="75"/>
      <c r="F311" s="334"/>
      <c r="G311" s="112">
        <v>0</v>
      </c>
      <c r="H311" s="120">
        <v>0</v>
      </c>
      <c r="I311" s="120">
        <v>0</v>
      </c>
      <c r="J311" s="120">
        <v>0</v>
      </c>
      <c r="K311" s="110">
        <v>0</v>
      </c>
      <c r="L311" s="118"/>
      <c r="M311" s="110">
        <v>0</v>
      </c>
      <c r="N311" s="118"/>
      <c r="O311" s="118"/>
      <c r="P311" s="118">
        <f t="shared" si="63"/>
        <v>0</v>
      </c>
      <c r="Q311" s="118">
        <f t="shared" si="64"/>
        <v>0</v>
      </c>
      <c r="R311" s="118">
        <f t="shared" si="65"/>
        <v>0</v>
      </c>
      <c r="S311" s="112">
        <v>0</v>
      </c>
    </row>
    <row r="312" spans="1:19" hidden="1" outlineLevel="2">
      <c r="A312" s="39"/>
      <c r="B312" s="40" t="s">
        <v>32</v>
      </c>
      <c r="C312" s="49" t="s">
        <v>4</v>
      </c>
      <c r="D312" s="26">
        <v>6</v>
      </c>
      <c r="E312" s="73"/>
      <c r="F312" s="334"/>
      <c r="G312" s="112">
        <v>0</v>
      </c>
      <c r="H312" s="120">
        <v>0</v>
      </c>
      <c r="I312" s="120">
        <v>0</v>
      </c>
      <c r="J312" s="120">
        <v>0</v>
      </c>
      <c r="K312" s="110">
        <v>0</v>
      </c>
      <c r="L312" s="118"/>
      <c r="M312" s="110">
        <v>0</v>
      </c>
      <c r="N312" s="118"/>
      <c r="O312" s="118"/>
      <c r="P312" s="118">
        <f t="shared" si="63"/>
        <v>0</v>
      </c>
      <c r="Q312" s="118">
        <f t="shared" si="64"/>
        <v>0</v>
      </c>
      <c r="R312" s="118">
        <f t="shared" si="65"/>
        <v>0</v>
      </c>
      <c r="S312" s="112">
        <v>0</v>
      </c>
    </row>
    <row r="313" spans="1:19" ht="45" hidden="1" outlineLevel="2">
      <c r="A313" s="39"/>
      <c r="B313" s="47" t="s">
        <v>49</v>
      </c>
      <c r="C313" s="48" t="s">
        <v>4</v>
      </c>
      <c r="D313" s="26">
        <v>2</v>
      </c>
      <c r="E313" s="50"/>
      <c r="F313" s="334"/>
      <c r="G313" s="112">
        <v>0</v>
      </c>
      <c r="H313" s="120">
        <v>0</v>
      </c>
      <c r="I313" s="120">
        <v>0</v>
      </c>
      <c r="J313" s="120">
        <v>0</v>
      </c>
      <c r="K313" s="110">
        <v>0</v>
      </c>
      <c r="L313" s="118"/>
      <c r="M313" s="110">
        <v>0</v>
      </c>
      <c r="N313" s="118"/>
      <c r="O313" s="118"/>
      <c r="P313" s="118">
        <f t="shared" si="63"/>
        <v>0</v>
      </c>
      <c r="Q313" s="118">
        <f t="shared" si="64"/>
        <v>0</v>
      </c>
      <c r="R313" s="118">
        <f t="shared" si="65"/>
        <v>0</v>
      </c>
      <c r="S313" s="112">
        <v>0</v>
      </c>
    </row>
    <row r="314" spans="1:19" hidden="1" outlineLevel="2">
      <c r="A314" s="39"/>
      <c r="B314" s="47" t="s">
        <v>105</v>
      </c>
      <c r="C314" s="48" t="s">
        <v>8</v>
      </c>
      <c r="D314" s="26">
        <v>2</v>
      </c>
      <c r="E314" s="57"/>
      <c r="F314" s="334"/>
      <c r="G314" s="112">
        <v>0</v>
      </c>
      <c r="H314" s="120">
        <v>0</v>
      </c>
      <c r="I314" s="120">
        <v>0</v>
      </c>
      <c r="J314" s="120">
        <v>0</v>
      </c>
      <c r="K314" s="110">
        <v>0</v>
      </c>
      <c r="L314" s="118"/>
      <c r="M314" s="110">
        <v>0</v>
      </c>
      <c r="N314" s="118"/>
      <c r="O314" s="118"/>
      <c r="P314" s="118">
        <f t="shared" si="63"/>
        <v>0</v>
      </c>
      <c r="Q314" s="118">
        <f t="shared" si="64"/>
        <v>0</v>
      </c>
      <c r="R314" s="118">
        <f t="shared" si="65"/>
        <v>0</v>
      </c>
      <c r="S314" s="112">
        <v>0</v>
      </c>
    </row>
    <row r="315" spans="1:19" hidden="1" outlineLevel="2">
      <c r="A315" s="39"/>
      <c r="B315" s="44" t="s">
        <v>16</v>
      </c>
      <c r="C315" s="41"/>
      <c r="D315" s="26"/>
      <c r="E315" s="50"/>
      <c r="F315" s="50"/>
      <c r="G315" s="120"/>
      <c r="H315" s="120"/>
      <c r="I315" s="120"/>
      <c r="J315" s="120"/>
      <c r="K315" s="545"/>
      <c r="L315" s="545"/>
      <c r="M315" s="545"/>
      <c r="N315" s="545"/>
      <c r="O315" s="545"/>
      <c r="P315" s="545"/>
      <c r="Q315" s="545"/>
      <c r="R315" s="545"/>
      <c r="S315" s="112">
        <v>0</v>
      </c>
    </row>
    <row r="316" spans="1:19" hidden="1" outlineLevel="2">
      <c r="A316" s="39"/>
      <c r="B316" s="40" t="s">
        <v>84</v>
      </c>
      <c r="C316" s="41" t="s">
        <v>4</v>
      </c>
      <c r="D316" s="26">
        <v>1</v>
      </c>
      <c r="E316" s="50"/>
      <c r="F316" s="334"/>
      <c r="G316" s="112">
        <v>0</v>
      </c>
      <c r="H316" s="120">
        <v>0</v>
      </c>
      <c r="I316" s="120">
        <v>0</v>
      </c>
      <c r="J316" s="120">
        <v>0</v>
      </c>
      <c r="K316" s="110">
        <v>0</v>
      </c>
      <c r="L316" s="118"/>
      <c r="M316" s="110">
        <v>0</v>
      </c>
      <c r="N316" s="118"/>
      <c r="O316" s="118"/>
      <c r="P316" s="118">
        <f t="shared" ref="P316:P323" si="66">+K316+L316+M316+N316+O316</f>
        <v>0</v>
      </c>
      <c r="Q316" s="118">
        <f t="shared" ref="Q316:Q323" si="67">+P316*D316</f>
        <v>0</v>
      </c>
      <c r="R316" s="118">
        <f t="shared" ref="R316:R323" si="68">P316*F316</f>
        <v>0</v>
      </c>
      <c r="S316" s="112">
        <v>0</v>
      </c>
    </row>
    <row r="317" spans="1:19" hidden="1" outlineLevel="2">
      <c r="A317" s="39"/>
      <c r="B317" s="40" t="s">
        <v>99</v>
      </c>
      <c r="C317" s="41" t="s">
        <v>4</v>
      </c>
      <c r="D317" s="26">
        <v>1</v>
      </c>
      <c r="E317" s="50"/>
      <c r="F317" s="334"/>
      <c r="G317" s="112">
        <v>0</v>
      </c>
      <c r="H317" s="120">
        <v>0</v>
      </c>
      <c r="I317" s="120">
        <v>0</v>
      </c>
      <c r="J317" s="120">
        <v>0</v>
      </c>
      <c r="K317" s="110">
        <v>0</v>
      </c>
      <c r="L317" s="118"/>
      <c r="M317" s="110">
        <v>0</v>
      </c>
      <c r="N317" s="118"/>
      <c r="O317" s="118"/>
      <c r="P317" s="118">
        <f t="shared" si="66"/>
        <v>0</v>
      </c>
      <c r="Q317" s="118">
        <f t="shared" si="67"/>
        <v>0</v>
      </c>
      <c r="R317" s="118">
        <f t="shared" si="68"/>
        <v>0</v>
      </c>
      <c r="S317" s="112">
        <v>0</v>
      </c>
    </row>
    <row r="318" spans="1:19" hidden="1" outlineLevel="2">
      <c r="A318" s="39"/>
      <c r="B318" s="40" t="s">
        <v>100</v>
      </c>
      <c r="C318" s="41" t="s">
        <v>4</v>
      </c>
      <c r="D318" s="26">
        <v>1</v>
      </c>
      <c r="E318" s="50"/>
      <c r="F318" s="334"/>
      <c r="G318" s="112">
        <v>0</v>
      </c>
      <c r="H318" s="120">
        <v>0</v>
      </c>
      <c r="I318" s="120">
        <v>0</v>
      </c>
      <c r="J318" s="120">
        <v>0</v>
      </c>
      <c r="K318" s="110">
        <v>0</v>
      </c>
      <c r="L318" s="118"/>
      <c r="M318" s="110">
        <v>0</v>
      </c>
      <c r="N318" s="118"/>
      <c r="O318" s="118"/>
      <c r="P318" s="118">
        <f t="shared" si="66"/>
        <v>0</v>
      </c>
      <c r="Q318" s="118">
        <f t="shared" si="67"/>
        <v>0</v>
      </c>
      <c r="R318" s="118">
        <f t="shared" si="68"/>
        <v>0</v>
      </c>
      <c r="S318" s="112">
        <v>0</v>
      </c>
    </row>
    <row r="319" spans="1:19" hidden="1" outlineLevel="2">
      <c r="A319" s="39"/>
      <c r="B319" s="40" t="s">
        <v>86</v>
      </c>
      <c r="C319" s="41" t="s">
        <v>4</v>
      </c>
      <c r="D319" s="26">
        <v>1</v>
      </c>
      <c r="E319" s="74"/>
      <c r="F319" s="334"/>
      <c r="G319" s="112">
        <v>0</v>
      </c>
      <c r="H319" s="120">
        <v>0</v>
      </c>
      <c r="I319" s="120">
        <v>0</v>
      </c>
      <c r="J319" s="120">
        <v>0</v>
      </c>
      <c r="K319" s="110">
        <v>0</v>
      </c>
      <c r="L319" s="118"/>
      <c r="M319" s="110">
        <v>0</v>
      </c>
      <c r="N319" s="118"/>
      <c r="O319" s="118"/>
      <c r="P319" s="118">
        <f t="shared" si="66"/>
        <v>0</v>
      </c>
      <c r="Q319" s="118">
        <f t="shared" si="67"/>
        <v>0</v>
      </c>
      <c r="R319" s="118">
        <f t="shared" si="68"/>
        <v>0</v>
      </c>
      <c r="S319" s="112">
        <v>0</v>
      </c>
    </row>
    <row r="320" spans="1:19" hidden="1" outlineLevel="2">
      <c r="A320" s="39"/>
      <c r="B320" s="40" t="s">
        <v>54</v>
      </c>
      <c r="C320" s="41" t="s">
        <v>4</v>
      </c>
      <c r="D320" s="26">
        <v>1</v>
      </c>
      <c r="E320" s="74"/>
      <c r="F320" s="334"/>
      <c r="G320" s="112">
        <v>0</v>
      </c>
      <c r="H320" s="120">
        <v>0</v>
      </c>
      <c r="I320" s="120">
        <v>0</v>
      </c>
      <c r="J320" s="120">
        <v>0</v>
      </c>
      <c r="K320" s="110">
        <v>0</v>
      </c>
      <c r="L320" s="118"/>
      <c r="M320" s="110">
        <v>0</v>
      </c>
      <c r="N320" s="118"/>
      <c r="O320" s="118"/>
      <c r="P320" s="118">
        <f t="shared" si="66"/>
        <v>0</v>
      </c>
      <c r="Q320" s="118">
        <f t="shared" si="67"/>
        <v>0</v>
      </c>
      <c r="R320" s="118">
        <f t="shared" si="68"/>
        <v>0</v>
      </c>
      <c r="S320" s="112">
        <v>0</v>
      </c>
    </row>
    <row r="321" spans="1:19" ht="30" hidden="1" outlineLevel="2">
      <c r="A321" s="39"/>
      <c r="B321" s="40" t="s">
        <v>106</v>
      </c>
      <c r="C321" s="41" t="s">
        <v>8</v>
      </c>
      <c r="D321" s="26">
        <v>1</v>
      </c>
      <c r="E321" s="74"/>
      <c r="F321" s="334"/>
      <c r="G321" s="112">
        <v>0</v>
      </c>
      <c r="H321" s="120">
        <v>0</v>
      </c>
      <c r="I321" s="120">
        <v>0</v>
      </c>
      <c r="J321" s="120">
        <v>0</v>
      </c>
      <c r="K321" s="110">
        <v>0</v>
      </c>
      <c r="L321" s="118"/>
      <c r="M321" s="110">
        <v>0</v>
      </c>
      <c r="N321" s="118"/>
      <c r="O321" s="118"/>
      <c r="P321" s="118">
        <f t="shared" si="66"/>
        <v>0</v>
      </c>
      <c r="Q321" s="118">
        <f t="shared" si="67"/>
        <v>0</v>
      </c>
      <c r="R321" s="118">
        <f t="shared" si="68"/>
        <v>0</v>
      </c>
      <c r="S321" s="112">
        <v>0</v>
      </c>
    </row>
    <row r="322" spans="1:19" hidden="1" outlineLevel="2">
      <c r="A322" s="39"/>
      <c r="B322" s="53" t="s">
        <v>40</v>
      </c>
      <c r="C322" s="54" t="s">
        <v>8</v>
      </c>
      <c r="D322" s="26">
        <v>1</v>
      </c>
      <c r="E322" s="74"/>
      <c r="F322" s="334"/>
      <c r="G322" s="112">
        <v>0</v>
      </c>
      <c r="H322" s="120">
        <v>0</v>
      </c>
      <c r="I322" s="120">
        <v>0</v>
      </c>
      <c r="J322" s="120">
        <v>0</v>
      </c>
      <c r="K322" s="110">
        <v>0</v>
      </c>
      <c r="L322" s="118"/>
      <c r="M322" s="110">
        <v>0</v>
      </c>
      <c r="N322" s="118"/>
      <c r="O322" s="118"/>
      <c r="P322" s="118">
        <f t="shared" si="66"/>
        <v>0</v>
      </c>
      <c r="Q322" s="118">
        <f t="shared" si="67"/>
        <v>0</v>
      </c>
      <c r="R322" s="118">
        <f t="shared" si="68"/>
        <v>0</v>
      </c>
      <c r="S322" s="112">
        <v>0</v>
      </c>
    </row>
    <row r="323" spans="1:19" hidden="1" outlineLevel="2">
      <c r="A323" s="39"/>
      <c r="B323" s="53" t="s">
        <v>43</v>
      </c>
      <c r="C323" s="54" t="s">
        <v>6</v>
      </c>
      <c r="D323" s="26">
        <v>1</v>
      </c>
      <c r="E323" s="74"/>
      <c r="F323" s="334"/>
      <c r="G323" s="112">
        <v>0</v>
      </c>
      <c r="H323" s="120">
        <v>0</v>
      </c>
      <c r="I323" s="120">
        <v>0</v>
      </c>
      <c r="J323" s="120">
        <v>0</v>
      </c>
      <c r="K323" s="110">
        <v>0</v>
      </c>
      <c r="L323" s="118"/>
      <c r="M323" s="110">
        <v>0</v>
      </c>
      <c r="N323" s="118"/>
      <c r="O323" s="118"/>
      <c r="P323" s="118">
        <f t="shared" si="66"/>
        <v>0</v>
      </c>
      <c r="Q323" s="118">
        <f t="shared" si="67"/>
        <v>0</v>
      </c>
      <c r="R323" s="118">
        <f t="shared" si="68"/>
        <v>0</v>
      </c>
      <c r="S323" s="112">
        <v>0</v>
      </c>
    </row>
    <row r="324" spans="1:19">
      <c r="A324" s="85" t="s">
        <v>5</v>
      </c>
      <c r="B324" s="86" t="s">
        <v>1048</v>
      </c>
      <c r="C324" s="85"/>
      <c r="D324" s="151">
        <v>0</v>
      </c>
      <c r="E324" s="81"/>
      <c r="F324" s="81"/>
      <c r="G324" s="447"/>
      <c r="H324" s="447"/>
      <c r="I324" s="447"/>
      <c r="J324" s="447"/>
      <c r="K324" s="547"/>
      <c r="L324" s="547"/>
      <c r="M324" s="547"/>
      <c r="N324" s="547"/>
      <c r="O324" s="547"/>
      <c r="P324" s="547"/>
      <c r="Q324" s="139">
        <f>SUBTOTAL(9,Q325:Q366)</f>
        <v>22719049600</v>
      </c>
      <c r="R324" s="139">
        <f>SUBTOTAL(9,R325:R366)</f>
        <v>22719049600</v>
      </c>
      <c r="S324" s="81"/>
    </row>
    <row r="325" spans="1:19" outlineLevel="1">
      <c r="A325" s="79"/>
      <c r="B325" s="80" t="s">
        <v>108</v>
      </c>
      <c r="C325" s="76"/>
      <c r="D325" s="143">
        <v>0</v>
      </c>
      <c r="E325" s="73"/>
      <c r="F325" s="73"/>
      <c r="G325" s="121"/>
      <c r="H325" s="121"/>
      <c r="I325" s="121"/>
      <c r="J325" s="121"/>
      <c r="K325" s="543"/>
      <c r="L325" s="543"/>
      <c r="M325" s="543"/>
      <c r="N325" s="543"/>
      <c r="O325" s="543"/>
      <c r="P325" s="543"/>
      <c r="Q325" s="543"/>
      <c r="R325" s="543"/>
      <c r="S325" s="112">
        <v>0</v>
      </c>
    </row>
    <row r="326" spans="1:19" ht="30" hidden="1" outlineLevel="2">
      <c r="A326" s="76">
        <v>1</v>
      </c>
      <c r="B326" s="77" t="s">
        <v>109</v>
      </c>
      <c r="C326" s="76" t="s">
        <v>7</v>
      </c>
      <c r="D326" s="143">
        <v>2760</v>
      </c>
      <c r="E326" s="74"/>
      <c r="F326" s="143">
        <v>2760</v>
      </c>
      <c r="G326" s="112">
        <v>0</v>
      </c>
      <c r="H326" s="120" t="s">
        <v>1109</v>
      </c>
      <c r="I326" s="120" t="s">
        <v>771</v>
      </c>
      <c r="J326" s="120" t="s">
        <v>772</v>
      </c>
      <c r="K326" s="110">
        <v>1058400</v>
      </c>
      <c r="L326" s="118"/>
      <c r="M326" s="110">
        <v>81700</v>
      </c>
      <c r="N326" s="118"/>
      <c r="O326" s="118"/>
      <c r="P326" s="118">
        <f t="shared" ref="P326:P337" si="69">+K326+L326+M326+N326+O326</f>
        <v>1140100</v>
      </c>
      <c r="Q326" s="118">
        <f t="shared" ref="Q326:Q337" si="70">+P326*D326</f>
        <v>3146676000</v>
      </c>
      <c r="R326" s="118">
        <f t="shared" ref="R326:R337" si="71">P326*F326</f>
        <v>3146676000</v>
      </c>
      <c r="S326" s="112">
        <v>0</v>
      </c>
    </row>
    <row r="327" spans="1:19" ht="45" hidden="1" outlineLevel="2">
      <c r="A327" s="76">
        <v>2</v>
      </c>
      <c r="B327" s="77" t="s">
        <v>110</v>
      </c>
      <c r="C327" s="76" t="s">
        <v>7</v>
      </c>
      <c r="D327" s="143">
        <v>1413</v>
      </c>
      <c r="E327" s="74"/>
      <c r="F327" s="143">
        <v>1413</v>
      </c>
      <c r="G327" s="112">
        <v>0</v>
      </c>
      <c r="H327" s="120" t="s">
        <v>1125</v>
      </c>
      <c r="I327" s="120" t="s">
        <v>771</v>
      </c>
      <c r="J327" s="120" t="s">
        <v>772</v>
      </c>
      <c r="K327" s="110">
        <v>3672600</v>
      </c>
      <c r="L327" s="118"/>
      <c r="M327" s="110">
        <v>151200</v>
      </c>
      <c r="N327" s="118"/>
      <c r="O327" s="118"/>
      <c r="P327" s="118">
        <f t="shared" si="69"/>
        <v>3823800</v>
      </c>
      <c r="Q327" s="118">
        <f t="shared" si="70"/>
        <v>5403029400</v>
      </c>
      <c r="R327" s="118">
        <f t="shared" si="71"/>
        <v>5403029400</v>
      </c>
      <c r="S327" s="112">
        <v>0</v>
      </c>
    </row>
    <row r="328" spans="1:19" ht="30" hidden="1" outlineLevel="2">
      <c r="A328" s="76">
        <v>3</v>
      </c>
      <c r="B328" s="77" t="s">
        <v>111</v>
      </c>
      <c r="C328" s="76" t="s">
        <v>7</v>
      </c>
      <c r="D328" s="143">
        <v>1288</v>
      </c>
      <c r="E328" s="74"/>
      <c r="F328" s="143">
        <v>1288</v>
      </c>
      <c r="G328" s="112">
        <v>0</v>
      </c>
      <c r="H328" s="120" t="s">
        <v>1108</v>
      </c>
      <c r="I328" s="120" t="s">
        <v>771</v>
      </c>
      <c r="J328" s="120" t="s">
        <v>772</v>
      </c>
      <c r="K328" s="110">
        <v>807100</v>
      </c>
      <c r="L328" s="118"/>
      <c r="M328" s="110">
        <v>71600</v>
      </c>
      <c r="N328" s="118"/>
      <c r="O328" s="118"/>
      <c r="P328" s="118">
        <f t="shared" si="69"/>
        <v>878700</v>
      </c>
      <c r="Q328" s="118">
        <f t="shared" si="70"/>
        <v>1131765600</v>
      </c>
      <c r="R328" s="118">
        <f t="shared" si="71"/>
        <v>1131765600</v>
      </c>
      <c r="S328" s="112">
        <v>0</v>
      </c>
    </row>
    <row r="329" spans="1:19" ht="30" hidden="1" outlineLevel="2">
      <c r="A329" s="76">
        <v>4</v>
      </c>
      <c r="B329" s="77" t="s">
        <v>112</v>
      </c>
      <c r="C329" s="76" t="s">
        <v>7</v>
      </c>
      <c r="D329" s="143">
        <v>2464</v>
      </c>
      <c r="E329" s="75"/>
      <c r="F329" s="143">
        <v>2464</v>
      </c>
      <c r="G329" s="112">
        <v>0</v>
      </c>
      <c r="H329" s="120" t="s">
        <v>1110</v>
      </c>
      <c r="I329" s="120" t="s">
        <v>771</v>
      </c>
      <c r="J329" s="120" t="s">
        <v>772</v>
      </c>
      <c r="K329" s="110">
        <v>570400</v>
      </c>
      <c r="L329" s="118"/>
      <c r="M329" s="110">
        <v>61500</v>
      </c>
      <c r="N329" s="118"/>
      <c r="O329" s="118"/>
      <c r="P329" s="118">
        <f t="shared" si="69"/>
        <v>631900</v>
      </c>
      <c r="Q329" s="118">
        <f t="shared" si="70"/>
        <v>1557001600</v>
      </c>
      <c r="R329" s="118">
        <f t="shared" si="71"/>
        <v>1557001600</v>
      </c>
      <c r="S329" s="112">
        <v>0</v>
      </c>
    </row>
    <row r="330" spans="1:19" ht="30" hidden="1" outlineLevel="2">
      <c r="A330" s="76">
        <v>5</v>
      </c>
      <c r="B330" s="77" t="s">
        <v>113</v>
      </c>
      <c r="C330" s="76" t="s">
        <v>7</v>
      </c>
      <c r="D330" s="143">
        <v>2008</v>
      </c>
      <c r="E330" s="50"/>
      <c r="F330" s="143">
        <v>2008</v>
      </c>
      <c r="G330" s="112">
        <v>0</v>
      </c>
      <c r="H330" s="120" t="s">
        <v>1111</v>
      </c>
      <c r="I330" s="120" t="s">
        <v>771</v>
      </c>
      <c r="J330" s="120" t="s">
        <v>772</v>
      </c>
      <c r="K330" s="110">
        <v>311200</v>
      </c>
      <c r="L330" s="118"/>
      <c r="M330" s="110">
        <v>48400</v>
      </c>
      <c r="N330" s="118"/>
      <c r="O330" s="118"/>
      <c r="P330" s="118">
        <f t="shared" si="69"/>
        <v>359600</v>
      </c>
      <c r="Q330" s="118">
        <f t="shared" si="70"/>
        <v>722076800</v>
      </c>
      <c r="R330" s="118">
        <f t="shared" si="71"/>
        <v>722076800</v>
      </c>
      <c r="S330" s="112">
        <v>0</v>
      </c>
    </row>
    <row r="331" spans="1:19" ht="30" hidden="1" outlineLevel="2">
      <c r="A331" s="76">
        <v>6</v>
      </c>
      <c r="B331" s="77" t="s">
        <v>114</v>
      </c>
      <c r="C331" s="76" t="s">
        <v>7</v>
      </c>
      <c r="D331" s="143">
        <v>709</v>
      </c>
      <c r="E331" s="57"/>
      <c r="F331" s="143">
        <v>709</v>
      </c>
      <c r="G331" s="112">
        <v>0</v>
      </c>
      <c r="H331" s="120" t="s">
        <v>1126</v>
      </c>
      <c r="I331" s="120" t="s">
        <v>771</v>
      </c>
      <c r="J331" s="120" t="s">
        <v>772</v>
      </c>
      <c r="K331" s="110">
        <v>901200</v>
      </c>
      <c r="L331" s="118"/>
      <c r="M331" s="110">
        <v>81700</v>
      </c>
      <c r="N331" s="118"/>
      <c r="O331" s="118"/>
      <c r="P331" s="118">
        <f t="shared" si="69"/>
        <v>982900</v>
      </c>
      <c r="Q331" s="118">
        <f t="shared" si="70"/>
        <v>696876100</v>
      </c>
      <c r="R331" s="118">
        <f t="shared" si="71"/>
        <v>696876100</v>
      </c>
      <c r="S331" s="112">
        <v>0</v>
      </c>
    </row>
    <row r="332" spans="1:19" ht="30" hidden="1" outlineLevel="2">
      <c r="A332" s="76">
        <v>7</v>
      </c>
      <c r="B332" s="77" t="s">
        <v>115</v>
      </c>
      <c r="C332" s="76" t="s">
        <v>7</v>
      </c>
      <c r="D332" s="143">
        <v>37</v>
      </c>
      <c r="E332" s="50"/>
      <c r="F332" s="143">
        <v>37</v>
      </c>
      <c r="G332" s="112">
        <v>0</v>
      </c>
      <c r="H332" s="120" t="s">
        <v>1127</v>
      </c>
      <c r="I332" s="120" t="s">
        <v>771</v>
      </c>
      <c r="J332" s="120" t="s">
        <v>772</v>
      </c>
      <c r="K332" s="110">
        <v>656300</v>
      </c>
      <c r="L332" s="118"/>
      <c r="M332" s="110">
        <v>72600</v>
      </c>
      <c r="N332" s="118"/>
      <c r="O332" s="118"/>
      <c r="P332" s="118">
        <f t="shared" si="69"/>
        <v>728900</v>
      </c>
      <c r="Q332" s="118">
        <f t="shared" si="70"/>
        <v>26969300</v>
      </c>
      <c r="R332" s="118">
        <f t="shared" si="71"/>
        <v>26969300</v>
      </c>
      <c r="S332" s="112">
        <v>0</v>
      </c>
    </row>
    <row r="333" spans="1:19" ht="30" hidden="1" outlineLevel="2">
      <c r="A333" s="76">
        <v>8</v>
      </c>
      <c r="B333" s="77" t="s">
        <v>116</v>
      </c>
      <c r="C333" s="76" t="s">
        <v>7</v>
      </c>
      <c r="D333" s="143">
        <v>666</v>
      </c>
      <c r="E333" s="50"/>
      <c r="F333" s="143">
        <v>666</v>
      </c>
      <c r="G333" s="112">
        <v>0</v>
      </c>
      <c r="H333" s="120" t="s">
        <v>1128</v>
      </c>
      <c r="I333" s="120" t="s">
        <v>771</v>
      </c>
      <c r="J333" s="120" t="s">
        <v>772</v>
      </c>
      <c r="K333" s="110">
        <v>496800</v>
      </c>
      <c r="L333" s="118"/>
      <c r="M333" s="110">
        <v>68600</v>
      </c>
      <c r="N333" s="118"/>
      <c r="O333" s="118"/>
      <c r="P333" s="118">
        <f t="shared" si="69"/>
        <v>565400</v>
      </c>
      <c r="Q333" s="118">
        <f t="shared" si="70"/>
        <v>376556400</v>
      </c>
      <c r="R333" s="118">
        <f t="shared" si="71"/>
        <v>376556400</v>
      </c>
      <c r="S333" s="112">
        <v>0</v>
      </c>
    </row>
    <row r="334" spans="1:19" ht="30" hidden="1" outlineLevel="2">
      <c r="A334" s="76">
        <v>9</v>
      </c>
      <c r="B334" s="77" t="s">
        <v>117</v>
      </c>
      <c r="C334" s="76" t="s">
        <v>7</v>
      </c>
      <c r="D334" s="143">
        <v>58</v>
      </c>
      <c r="E334" s="50"/>
      <c r="F334" s="143">
        <v>58</v>
      </c>
      <c r="G334" s="112">
        <v>0</v>
      </c>
      <c r="H334" s="120" t="s">
        <v>1129</v>
      </c>
      <c r="I334" s="120" t="s">
        <v>771</v>
      </c>
      <c r="J334" s="120" t="s">
        <v>772</v>
      </c>
      <c r="K334" s="110">
        <v>334100</v>
      </c>
      <c r="L334" s="118"/>
      <c r="M334" s="110">
        <v>55500</v>
      </c>
      <c r="N334" s="118"/>
      <c r="O334" s="118"/>
      <c r="P334" s="118">
        <f t="shared" si="69"/>
        <v>389600</v>
      </c>
      <c r="Q334" s="118">
        <f t="shared" si="70"/>
        <v>22596800</v>
      </c>
      <c r="R334" s="118">
        <f t="shared" si="71"/>
        <v>22596800</v>
      </c>
      <c r="S334" s="112">
        <v>0</v>
      </c>
    </row>
    <row r="335" spans="1:19" ht="30" hidden="1" outlineLevel="2">
      <c r="A335" s="76">
        <v>10</v>
      </c>
      <c r="B335" s="77" t="s">
        <v>118</v>
      </c>
      <c r="C335" s="76" t="s">
        <v>7</v>
      </c>
      <c r="D335" s="143">
        <v>1255</v>
      </c>
      <c r="E335" s="50"/>
      <c r="F335" s="143">
        <v>1255</v>
      </c>
      <c r="G335" s="112">
        <v>0</v>
      </c>
      <c r="H335" s="120" t="s">
        <v>1130</v>
      </c>
      <c r="I335" s="120" t="s">
        <v>771</v>
      </c>
      <c r="J335" s="120" t="s">
        <v>772</v>
      </c>
      <c r="K335" s="110">
        <v>227000</v>
      </c>
      <c r="L335" s="118"/>
      <c r="M335" s="110">
        <v>39300</v>
      </c>
      <c r="N335" s="118"/>
      <c r="O335" s="118"/>
      <c r="P335" s="118">
        <f t="shared" si="69"/>
        <v>266300</v>
      </c>
      <c r="Q335" s="118">
        <f t="shared" si="70"/>
        <v>334206500</v>
      </c>
      <c r="R335" s="118">
        <f t="shared" si="71"/>
        <v>334206500</v>
      </c>
      <c r="S335" s="112">
        <v>0</v>
      </c>
    </row>
    <row r="336" spans="1:19" ht="30" hidden="1" outlineLevel="2">
      <c r="A336" s="76">
        <v>11</v>
      </c>
      <c r="B336" s="77" t="s">
        <v>119</v>
      </c>
      <c r="C336" s="76" t="s">
        <v>7</v>
      </c>
      <c r="D336" s="143">
        <v>80</v>
      </c>
      <c r="E336" s="74"/>
      <c r="F336" s="143">
        <v>80</v>
      </c>
      <c r="G336" s="112">
        <v>0</v>
      </c>
      <c r="H336" s="120" t="s">
        <v>1131</v>
      </c>
      <c r="I336" s="120" t="s">
        <v>771</v>
      </c>
      <c r="J336" s="120" t="s">
        <v>772</v>
      </c>
      <c r="K336" s="110">
        <v>156500</v>
      </c>
      <c r="L336" s="118"/>
      <c r="M336" s="110">
        <v>29300</v>
      </c>
      <c r="N336" s="118"/>
      <c r="O336" s="118"/>
      <c r="P336" s="118">
        <f t="shared" si="69"/>
        <v>185800</v>
      </c>
      <c r="Q336" s="118">
        <f t="shared" si="70"/>
        <v>14864000</v>
      </c>
      <c r="R336" s="118">
        <f t="shared" si="71"/>
        <v>14864000</v>
      </c>
      <c r="S336" s="112">
        <v>0</v>
      </c>
    </row>
    <row r="337" spans="1:19" ht="30" hidden="1" outlineLevel="2">
      <c r="A337" s="76">
        <v>12</v>
      </c>
      <c r="B337" s="77" t="s">
        <v>120</v>
      </c>
      <c r="C337" s="76" t="s">
        <v>7</v>
      </c>
      <c r="D337" s="143">
        <v>683</v>
      </c>
      <c r="E337" s="74"/>
      <c r="F337" s="143">
        <v>683</v>
      </c>
      <c r="G337" s="112">
        <v>0</v>
      </c>
      <c r="H337" s="120" t="s">
        <v>1132</v>
      </c>
      <c r="I337" s="120" t="s">
        <v>771</v>
      </c>
      <c r="J337" s="120" t="s">
        <v>772</v>
      </c>
      <c r="K337" s="110">
        <v>121200</v>
      </c>
      <c r="L337" s="118"/>
      <c r="M337" s="110">
        <v>27300</v>
      </c>
      <c r="N337" s="118"/>
      <c r="O337" s="118"/>
      <c r="P337" s="118">
        <f t="shared" si="69"/>
        <v>148500</v>
      </c>
      <c r="Q337" s="118">
        <f t="shared" si="70"/>
        <v>101425500</v>
      </c>
      <c r="R337" s="118">
        <f t="shared" si="71"/>
        <v>101425500</v>
      </c>
      <c r="S337" s="112">
        <v>0</v>
      </c>
    </row>
    <row r="338" spans="1:19" ht="28.5" outlineLevel="1" collapsed="1">
      <c r="A338" s="79"/>
      <c r="B338" s="80" t="s">
        <v>121</v>
      </c>
      <c r="C338" s="76"/>
      <c r="D338" s="143"/>
      <c r="E338" s="74"/>
      <c r="F338" s="143"/>
      <c r="G338" s="120"/>
      <c r="H338" s="120"/>
      <c r="I338" s="120"/>
      <c r="J338" s="120"/>
      <c r="K338" s="544"/>
      <c r="L338" s="544"/>
      <c r="M338" s="544"/>
      <c r="N338" s="544"/>
      <c r="O338" s="544"/>
      <c r="P338" s="544"/>
      <c r="Q338" s="544"/>
      <c r="R338" s="544"/>
      <c r="S338" s="112">
        <v>0</v>
      </c>
    </row>
    <row r="339" spans="1:19" ht="30" hidden="1" outlineLevel="2">
      <c r="A339" s="76">
        <v>1</v>
      </c>
      <c r="B339" s="77" t="s">
        <v>122</v>
      </c>
      <c r="C339" s="76" t="s">
        <v>7</v>
      </c>
      <c r="D339" s="143">
        <v>1096</v>
      </c>
      <c r="E339" s="74"/>
      <c r="F339" s="143">
        <v>1096</v>
      </c>
      <c r="G339" s="112">
        <v>0</v>
      </c>
      <c r="H339" s="120" t="s">
        <v>1140</v>
      </c>
      <c r="I339" s="120" t="s">
        <v>771</v>
      </c>
      <c r="J339" s="120" t="s">
        <v>772</v>
      </c>
      <c r="K339" s="110">
        <v>3614200</v>
      </c>
      <c r="L339" s="118"/>
      <c r="M339" s="110">
        <v>171300</v>
      </c>
      <c r="N339" s="118"/>
      <c r="O339" s="118"/>
      <c r="P339" s="118">
        <f t="shared" ref="P339:P352" si="72">+K339+L339+M339+N339+O339</f>
        <v>3785500</v>
      </c>
      <c r="Q339" s="118">
        <f t="shared" ref="Q339:Q352" si="73">+P339*D339</f>
        <v>4148908000</v>
      </c>
      <c r="R339" s="118">
        <f t="shared" ref="R339:R352" si="74">P339*F339</f>
        <v>4148908000</v>
      </c>
      <c r="S339" s="112">
        <v>0</v>
      </c>
    </row>
    <row r="340" spans="1:19" ht="30" hidden="1" outlineLevel="2">
      <c r="A340" s="76">
        <v>2</v>
      </c>
      <c r="B340" s="77" t="s">
        <v>123</v>
      </c>
      <c r="C340" s="76" t="s">
        <v>7</v>
      </c>
      <c r="D340" s="143">
        <v>15</v>
      </c>
      <c r="E340" s="73"/>
      <c r="F340" s="143">
        <v>15</v>
      </c>
      <c r="G340" s="112">
        <v>0</v>
      </c>
      <c r="H340" s="120" t="s">
        <v>1141</v>
      </c>
      <c r="I340" s="120" t="s">
        <v>771</v>
      </c>
      <c r="J340" s="120" t="s">
        <v>772</v>
      </c>
      <c r="K340" s="110">
        <v>2694400</v>
      </c>
      <c r="L340" s="118"/>
      <c r="M340" s="110">
        <v>149200</v>
      </c>
      <c r="N340" s="118"/>
      <c r="O340" s="118"/>
      <c r="P340" s="118">
        <f t="shared" si="72"/>
        <v>2843600</v>
      </c>
      <c r="Q340" s="118">
        <f t="shared" si="73"/>
        <v>42654000</v>
      </c>
      <c r="R340" s="118">
        <f t="shared" si="74"/>
        <v>42654000</v>
      </c>
      <c r="S340" s="112">
        <v>0</v>
      </c>
    </row>
    <row r="341" spans="1:19" ht="30" hidden="1" outlineLevel="2">
      <c r="A341" s="76">
        <v>3</v>
      </c>
      <c r="B341" s="77" t="s">
        <v>124</v>
      </c>
      <c r="C341" s="76" t="s">
        <v>7</v>
      </c>
      <c r="D341" s="143">
        <v>14</v>
      </c>
      <c r="E341" s="74"/>
      <c r="F341" s="143">
        <v>14</v>
      </c>
      <c r="G341" s="112">
        <v>0</v>
      </c>
      <c r="H341" s="120" t="s">
        <v>1142</v>
      </c>
      <c r="I341" s="120" t="s">
        <v>771</v>
      </c>
      <c r="J341" s="120" t="s">
        <v>772</v>
      </c>
      <c r="K341" s="110">
        <v>1869600</v>
      </c>
      <c r="L341" s="118"/>
      <c r="M341" s="110">
        <v>128000</v>
      </c>
      <c r="N341" s="118"/>
      <c r="O341" s="118"/>
      <c r="P341" s="118">
        <f t="shared" si="72"/>
        <v>1997600</v>
      </c>
      <c r="Q341" s="118">
        <f t="shared" si="73"/>
        <v>27966400</v>
      </c>
      <c r="R341" s="118">
        <f t="shared" si="74"/>
        <v>27966400</v>
      </c>
      <c r="S341" s="112">
        <v>0</v>
      </c>
    </row>
    <row r="342" spans="1:19" hidden="1" outlineLevel="2">
      <c r="A342" s="76">
        <v>4</v>
      </c>
      <c r="B342" s="77" t="s">
        <v>125</v>
      </c>
      <c r="C342" s="76" t="s">
        <v>7</v>
      </c>
      <c r="D342" s="143">
        <v>1343</v>
      </c>
      <c r="E342" s="74"/>
      <c r="F342" s="143">
        <v>1343</v>
      </c>
      <c r="G342" s="112">
        <v>0</v>
      </c>
      <c r="H342" s="120" t="s">
        <v>1134</v>
      </c>
      <c r="I342" s="120" t="s">
        <v>771</v>
      </c>
      <c r="J342" s="120" t="s">
        <v>772</v>
      </c>
      <c r="K342" s="110">
        <v>748800</v>
      </c>
      <c r="L342" s="118"/>
      <c r="M342" s="110">
        <v>71600</v>
      </c>
      <c r="N342" s="118"/>
      <c r="O342" s="118"/>
      <c r="P342" s="118">
        <f t="shared" si="72"/>
        <v>820400</v>
      </c>
      <c r="Q342" s="118">
        <f t="shared" si="73"/>
        <v>1101797200</v>
      </c>
      <c r="R342" s="118">
        <f t="shared" si="74"/>
        <v>1101797200</v>
      </c>
      <c r="S342" s="112">
        <v>0</v>
      </c>
    </row>
    <row r="343" spans="1:19" hidden="1" outlineLevel="2">
      <c r="A343" s="76">
        <v>5</v>
      </c>
      <c r="B343" s="77" t="s">
        <v>126</v>
      </c>
      <c r="C343" s="76" t="s">
        <v>7</v>
      </c>
      <c r="D343" s="143">
        <v>1111</v>
      </c>
      <c r="E343" s="74"/>
      <c r="F343" s="143">
        <v>1111</v>
      </c>
      <c r="G343" s="112">
        <v>0</v>
      </c>
      <c r="H343" s="120" t="s">
        <v>798</v>
      </c>
      <c r="I343" s="120" t="s">
        <v>771</v>
      </c>
      <c r="J343" s="120" t="s">
        <v>772</v>
      </c>
      <c r="K343" s="110">
        <v>513500</v>
      </c>
      <c r="L343" s="118"/>
      <c r="M343" s="110">
        <v>61500</v>
      </c>
      <c r="N343" s="118"/>
      <c r="O343" s="118"/>
      <c r="P343" s="118">
        <f t="shared" si="72"/>
        <v>575000</v>
      </c>
      <c r="Q343" s="118">
        <f t="shared" si="73"/>
        <v>638825000</v>
      </c>
      <c r="R343" s="118">
        <f t="shared" si="74"/>
        <v>638825000</v>
      </c>
      <c r="S343" s="112">
        <v>0</v>
      </c>
    </row>
    <row r="344" spans="1:19" hidden="1" outlineLevel="2">
      <c r="A344" s="76">
        <v>6</v>
      </c>
      <c r="B344" s="77" t="s">
        <v>127</v>
      </c>
      <c r="C344" s="76" t="s">
        <v>7</v>
      </c>
      <c r="D344" s="143">
        <v>346</v>
      </c>
      <c r="E344" s="74"/>
      <c r="F344" s="143">
        <v>346</v>
      </c>
      <c r="G344" s="112">
        <v>0</v>
      </c>
      <c r="H344" s="120" t="s">
        <v>797</v>
      </c>
      <c r="I344" s="120" t="s">
        <v>771</v>
      </c>
      <c r="J344" s="120" t="s">
        <v>772</v>
      </c>
      <c r="K344" s="110">
        <v>393700</v>
      </c>
      <c r="L344" s="118"/>
      <c r="M344" s="110">
        <v>57500</v>
      </c>
      <c r="N344" s="118"/>
      <c r="O344" s="118"/>
      <c r="P344" s="118">
        <f t="shared" si="72"/>
        <v>451200</v>
      </c>
      <c r="Q344" s="118">
        <f t="shared" si="73"/>
        <v>156115200</v>
      </c>
      <c r="R344" s="118">
        <f t="shared" si="74"/>
        <v>156115200</v>
      </c>
      <c r="S344" s="112">
        <v>0</v>
      </c>
    </row>
    <row r="345" spans="1:19" hidden="1" outlineLevel="2">
      <c r="A345" s="76">
        <v>7</v>
      </c>
      <c r="B345" s="77" t="s">
        <v>128</v>
      </c>
      <c r="C345" s="76" t="s">
        <v>7</v>
      </c>
      <c r="D345" s="143">
        <v>1754</v>
      </c>
      <c r="E345" s="75"/>
      <c r="F345" s="143">
        <v>1754</v>
      </c>
      <c r="G345" s="112">
        <v>0</v>
      </c>
      <c r="H345" s="120" t="s">
        <v>796</v>
      </c>
      <c r="I345" s="120" t="s">
        <v>771</v>
      </c>
      <c r="J345" s="120" t="s">
        <v>772</v>
      </c>
      <c r="K345" s="110">
        <v>286500</v>
      </c>
      <c r="L345" s="118"/>
      <c r="M345" s="110">
        <v>48400</v>
      </c>
      <c r="N345" s="118"/>
      <c r="O345" s="118"/>
      <c r="P345" s="118">
        <f t="shared" si="72"/>
        <v>334900</v>
      </c>
      <c r="Q345" s="118">
        <f t="shared" si="73"/>
        <v>587414600</v>
      </c>
      <c r="R345" s="118">
        <f t="shared" si="74"/>
        <v>587414600</v>
      </c>
      <c r="S345" s="112">
        <v>0</v>
      </c>
    </row>
    <row r="346" spans="1:19" hidden="1" outlineLevel="2">
      <c r="A346" s="76">
        <v>8</v>
      </c>
      <c r="B346" s="77" t="s">
        <v>129</v>
      </c>
      <c r="C346" s="76" t="s">
        <v>7</v>
      </c>
      <c r="D346" s="143">
        <v>550</v>
      </c>
      <c r="E346" s="73"/>
      <c r="F346" s="143">
        <v>550</v>
      </c>
      <c r="G346" s="112">
        <v>0</v>
      </c>
      <c r="H346" s="120" t="s">
        <v>1143</v>
      </c>
      <c r="I346" s="120" t="s">
        <v>771</v>
      </c>
      <c r="J346" s="120" t="s">
        <v>772</v>
      </c>
      <c r="K346" s="110">
        <v>850800</v>
      </c>
      <c r="L346" s="118"/>
      <c r="M346" s="110">
        <v>81700</v>
      </c>
      <c r="N346" s="118"/>
      <c r="O346" s="118"/>
      <c r="P346" s="118">
        <f t="shared" si="72"/>
        <v>932500</v>
      </c>
      <c r="Q346" s="118">
        <f t="shared" si="73"/>
        <v>512875000</v>
      </c>
      <c r="R346" s="118">
        <f t="shared" si="74"/>
        <v>512875000</v>
      </c>
      <c r="S346" s="112">
        <v>0</v>
      </c>
    </row>
    <row r="347" spans="1:19" hidden="1" outlineLevel="2">
      <c r="A347" s="76">
        <v>9</v>
      </c>
      <c r="B347" s="77" t="s">
        <v>130</v>
      </c>
      <c r="C347" s="76" t="s">
        <v>7</v>
      </c>
      <c r="D347" s="143">
        <v>512</v>
      </c>
      <c r="E347" s="50"/>
      <c r="F347" s="143">
        <v>512</v>
      </c>
      <c r="G347" s="112">
        <v>0</v>
      </c>
      <c r="H347" s="120" t="s">
        <v>795</v>
      </c>
      <c r="I347" s="120" t="s">
        <v>771</v>
      </c>
      <c r="J347" s="120" t="s">
        <v>772</v>
      </c>
      <c r="K347" s="110">
        <v>631100</v>
      </c>
      <c r="L347" s="118"/>
      <c r="M347" s="110">
        <v>72600</v>
      </c>
      <c r="N347" s="118"/>
      <c r="O347" s="118"/>
      <c r="P347" s="118">
        <f t="shared" si="72"/>
        <v>703700</v>
      </c>
      <c r="Q347" s="118">
        <f t="shared" si="73"/>
        <v>360294400</v>
      </c>
      <c r="R347" s="118">
        <f t="shared" si="74"/>
        <v>360294400</v>
      </c>
      <c r="S347" s="112">
        <v>0</v>
      </c>
    </row>
    <row r="348" spans="1:19" hidden="1" outlineLevel="2">
      <c r="A348" s="76">
        <v>10</v>
      </c>
      <c r="B348" s="77" t="s">
        <v>131</v>
      </c>
      <c r="C348" s="76" t="s">
        <v>7</v>
      </c>
      <c r="D348" s="143">
        <v>194</v>
      </c>
      <c r="E348" s="57"/>
      <c r="F348" s="143">
        <v>194</v>
      </c>
      <c r="G348" s="112">
        <v>0</v>
      </c>
      <c r="H348" s="120" t="s">
        <v>794</v>
      </c>
      <c r="I348" s="120" t="s">
        <v>771</v>
      </c>
      <c r="J348" s="120" t="s">
        <v>772</v>
      </c>
      <c r="K348" s="110">
        <v>466000</v>
      </c>
      <c r="L348" s="118"/>
      <c r="M348" s="110">
        <v>68600</v>
      </c>
      <c r="N348" s="118"/>
      <c r="O348" s="118"/>
      <c r="P348" s="118">
        <f t="shared" si="72"/>
        <v>534600</v>
      </c>
      <c r="Q348" s="118">
        <f t="shared" si="73"/>
        <v>103712400</v>
      </c>
      <c r="R348" s="118">
        <f t="shared" si="74"/>
        <v>103712400</v>
      </c>
      <c r="S348" s="112">
        <v>0</v>
      </c>
    </row>
    <row r="349" spans="1:19" hidden="1" outlineLevel="2">
      <c r="A349" s="76">
        <v>11</v>
      </c>
      <c r="B349" s="77" t="s">
        <v>132</v>
      </c>
      <c r="C349" s="76" t="s">
        <v>7</v>
      </c>
      <c r="D349" s="143">
        <v>1003</v>
      </c>
      <c r="E349" s="50"/>
      <c r="F349" s="143">
        <v>1003</v>
      </c>
      <c r="G349" s="112">
        <v>0</v>
      </c>
      <c r="H349" s="120" t="s">
        <v>793</v>
      </c>
      <c r="I349" s="120" t="s">
        <v>771</v>
      </c>
      <c r="J349" s="120" t="s">
        <v>772</v>
      </c>
      <c r="K349" s="110">
        <v>312800</v>
      </c>
      <c r="L349" s="118"/>
      <c r="M349" s="110">
        <v>55500</v>
      </c>
      <c r="N349" s="118"/>
      <c r="O349" s="118"/>
      <c r="P349" s="118">
        <f t="shared" si="72"/>
        <v>368300</v>
      </c>
      <c r="Q349" s="118">
        <f t="shared" si="73"/>
        <v>369404900</v>
      </c>
      <c r="R349" s="118">
        <f t="shared" si="74"/>
        <v>369404900</v>
      </c>
      <c r="S349" s="112">
        <v>0</v>
      </c>
    </row>
    <row r="350" spans="1:19" hidden="1" outlineLevel="2">
      <c r="A350" s="76">
        <v>12</v>
      </c>
      <c r="B350" s="77" t="s">
        <v>133</v>
      </c>
      <c r="C350" s="76" t="s">
        <v>7</v>
      </c>
      <c r="D350" s="143">
        <v>1227</v>
      </c>
      <c r="E350" s="50"/>
      <c r="F350" s="143">
        <v>1227</v>
      </c>
      <c r="G350" s="112">
        <v>0</v>
      </c>
      <c r="H350" s="120" t="s">
        <v>792</v>
      </c>
      <c r="I350" s="120" t="s">
        <v>771</v>
      </c>
      <c r="J350" s="120" t="s">
        <v>772</v>
      </c>
      <c r="K350" s="110">
        <v>203200</v>
      </c>
      <c r="L350" s="118"/>
      <c r="M350" s="110">
        <v>39300</v>
      </c>
      <c r="N350" s="118"/>
      <c r="O350" s="118"/>
      <c r="P350" s="118">
        <f t="shared" si="72"/>
        <v>242500</v>
      </c>
      <c r="Q350" s="118">
        <f t="shared" si="73"/>
        <v>297547500</v>
      </c>
      <c r="R350" s="118">
        <f t="shared" si="74"/>
        <v>297547500</v>
      </c>
      <c r="S350" s="112">
        <v>0</v>
      </c>
    </row>
    <row r="351" spans="1:19" hidden="1" outlineLevel="2">
      <c r="A351" s="76">
        <v>13</v>
      </c>
      <c r="B351" s="77" t="s">
        <v>134</v>
      </c>
      <c r="C351" s="76" t="s">
        <v>7</v>
      </c>
      <c r="D351" s="143">
        <v>537</v>
      </c>
      <c r="E351" s="50"/>
      <c r="F351" s="143">
        <v>537</v>
      </c>
      <c r="G351" s="112">
        <v>0</v>
      </c>
      <c r="H351" s="120" t="s">
        <v>1144</v>
      </c>
      <c r="I351" s="120" t="s">
        <v>771</v>
      </c>
      <c r="J351" s="120" t="s">
        <v>772</v>
      </c>
      <c r="K351" s="110">
        <v>132000</v>
      </c>
      <c r="L351" s="118"/>
      <c r="M351" s="110">
        <v>29300</v>
      </c>
      <c r="N351" s="118"/>
      <c r="O351" s="118"/>
      <c r="P351" s="118">
        <f t="shared" si="72"/>
        <v>161300</v>
      </c>
      <c r="Q351" s="118">
        <f t="shared" si="73"/>
        <v>86618100</v>
      </c>
      <c r="R351" s="118">
        <f t="shared" si="74"/>
        <v>86618100</v>
      </c>
      <c r="S351" s="112">
        <v>0</v>
      </c>
    </row>
    <row r="352" spans="1:19" hidden="1" outlineLevel="2">
      <c r="A352" s="76">
        <v>14</v>
      </c>
      <c r="B352" s="77" t="s">
        <v>135</v>
      </c>
      <c r="C352" s="76" t="s">
        <v>7</v>
      </c>
      <c r="D352" s="143">
        <v>113</v>
      </c>
      <c r="E352" s="50"/>
      <c r="F352" s="143">
        <v>113</v>
      </c>
      <c r="G352" s="112">
        <v>0</v>
      </c>
      <c r="H352" s="120" t="s">
        <v>1145</v>
      </c>
      <c r="I352" s="120" t="s">
        <v>771</v>
      </c>
      <c r="J352" s="120" t="s">
        <v>772</v>
      </c>
      <c r="K352" s="110">
        <v>92100</v>
      </c>
      <c r="L352" s="118"/>
      <c r="M352" s="110">
        <v>27300</v>
      </c>
      <c r="N352" s="118"/>
      <c r="O352" s="118"/>
      <c r="P352" s="118">
        <f t="shared" si="72"/>
        <v>119400</v>
      </c>
      <c r="Q352" s="118">
        <f t="shared" si="73"/>
        <v>13492200</v>
      </c>
      <c r="R352" s="118">
        <f t="shared" si="74"/>
        <v>13492200</v>
      </c>
      <c r="S352" s="112">
        <v>0</v>
      </c>
    </row>
    <row r="353" spans="1:19" outlineLevel="1" collapsed="1">
      <c r="A353" s="79"/>
      <c r="B353" s="80" t="s">
        <v>136</v>
      </c>
      <c r="C353" s="76"/>
      <c r="D353" s="143"/>
      <c r="E353" s="50"/>
      <c r="F353" s="143"/>
      <c r="G353" s="120"/>
      <c r="H353" s="120"/>
      <c r="I353" s="120"/>
      <c r="J353" s="120"/>
      <c r="K353" s="545"/>
      <c r="L353" s="545"/>
      <c r="M353" s="545"/>
      <c r="N353" s="545"/>
      <c r="O353" s="545"/>
      <c r="P353" s="545"/>
      <c r="Q353" s="545"/>
      <c r="R353" s="545"/>
      <c r="S353" s="112">
        <v>0</v>
      </c>
    </row>
    <row r="354" spans="1:19" hidden="1" outlineLevel="2">
      <c r="A354" s="76">
        <v>1</v>
      </c>
      <c r="B354" s="77" t="s">
        <v>137</v>
      </c>
      <c r="C354" s="76" t="s">
        <v>7</v>
      </c>
      <c r="D354" s="143">
        <v>87</v>
      </c>
      <c r="E354" s="74"/>
      <c r="F354" s="143">
        <v>87</v>
      </c>
      <c r="G354" s="112">
        <v>0</v>
      </c>
      <c r="H354" s="120" t="s">
        <v>785</v>
      </c>
      <c r="I354" s="120" t="s">
        <v>771</v>
      </c>
      <c r="J354" s="120" t="s">
        <v>772</v>
      </c>
      <c r="K354" s="110">
        <v>744800</v>
      </c>
      <c r="L354" s="118"/>
      <c r="M354" s="110">
        <v>62500</v>
      </c>
      <c r="N354" s="118"/>
      <c r="O354" s="118"/>
      <c r="P354" s="118">
        <f t="shared" ref="P354:P364" si="75">+K354+L354+M354+N354+O354</f>
        <v>807300</v>
      </c>
      <c r="Q354" s="118">
        <f t="shared" ref="Q354:Q364" si="76">+P354*D354</f>
        <v>70235100</v>
      </c>
      <c r="R354" s="118">
        <f t="shared" ref="R354:R364" si="77">P354*F354</f>
        <v>70235100</v>
      </c>
      <c r="S354" s="112">
        <v>0</v>
      </c>
    </row>
    <row r="355" spans="1:19" hidden="1" outlineLevel="2">
      <c r="A355" s="76">
        <v>2</v>
      </c>
      <c r="B355" s="77" t="s">
        <v>138</v>
      </c>
      <c r="C355" s="76" t="s">
        <v>7</v>
      </c>
      <c r="D355" s="143">
        <v>114</v>
      </c>
      <c r="E355" s="74"/>
      <c r="F355" s="143">
        <v>114</v>
      </c>
      <c r="G355" s="112">
        <v>0</v>
      </c>
      <c r="H355" s="120" t="s">
        <v>1152</v>
      </c>
      <c r="I355" s="120" t="s">
        <v>771</v>
      </c>
      <c r="J355" s="120" t="s">
        <v>772</v>
      </c>
      <c r="K355" s="110">
        <v>508500</v>
      </c>
      <c r="L355" s="118"/>
      <c r="M355" s="110">
        <v>53400</v>
      </c>
      <c r="N355" s="118"/>
      <c r="O355" s="118"/>
      <c r="P355" s="118">
        <f t="shared" si="75"/>
        <v>561900</v>
      </c>
      <c r="Q355" s="118">
        <f t="shared" si="76"/>
        <v>64056600</v>
      </c>
      <c r="R355" s="118">
        <f t="shared" si="77"/>
        <v>64056600</v>
      </c>
      <c r="S355" s="112">
        <v>0</v>
      </c>
    </row>
    <row r="356" spans="1:19" hidden="1" outlineLevel="2">
      <c r="A356" s="76">
        <v>3</v>
      </c>
      <c r="B356" s="77" t="s">
        <v>139</v>
      </c>
      <c r="C356" s="76" t="s">
        <v>7</v>
      </c>
      <c r="D356" s="143">
        <v>32</v>
      </c>
      <c r="E356" s="74"/>
      <c r="F356" s="143">
        <v>32</v>
      </c>
      <c r="G356" s="112">
        <v>0</v>
      </c>
      <c r="H356" s="120" t="s">
        <v>784</v>
      </c>
      <c r="I356" s="120" t="s">
        <v>771</v>
      </c>
      <c r="J356" s="120" t="s">
        <v>772</v>
      </c>
      <c r="K356" s="110">
        <v>390400</v>
      </c>
      <c r="L356" s="118"/>
      <c r="M356" s="110">
        <v>49400</v>
      </c>
      <c r="N356" s="118"/>
      <c r="O356" s="118"/>
      <c r="P356" s="118">
        <f t="shared" si="75"/>
        <v>439800</v>
      </c>
      <c r="Q356" s="118">
        <f t="shared" si="76"/>
        <v>14073600</v>
      </c>
      <c r="R356" s="118">
        <f t="shared" si="77"/>
        <v>14073600</v>
      </c>
      <c r="S356" s="112">
        <v>0</v>
      </c>
    </row>
    <row r="357" spans="1:19" hidden="1" outlineLevel="2">
      <c r="A357" s="76">
        <v>4</v>
      </c>
      <c r="B357" s="77" t="s">
        <v>140</v>
      </c>
      <c r="C357" s="76" t="s">
        <v>7</v>
      </c>
      <c r="D357" s="143">
        <v>214</v>
      </c>
      <c r="E357" s="74"/>
      <c r="F357" s="143">
        <v>214</v>
      </c>
      <c r="G357" s="112">
        <v>0</v>
      </c>
      <c r="H357" s="120" t="s">
        <v>783</v>
      </c>
      <c r="I357" s="120" t="s">
        <v>771</v>
      </c>
      <c r="J357" s="120" t="s">
        <v>772</v>
      </c>
      <c r="K357" s="110">
        <v>282300</v>
      </c>
      <c r="L357" s="118"/>
      <c r="M357" s="110">
        <v>42400</v>
      </c>
      <c r="N357" s="118"/>
      <c r="O357" s="118"/>
      <c r="P357" s="118">
        <f t="shared" si="75"/>
        <v>324700</v>
      </c>
      <c r="Q357" s="118">
        <f t="shared" si="76"/>
        <v>69485800</v>
      </c>
      <c r="R357" s="118">
        <f t="shared" si="77"/>
        <v>69485800</v>
      </c>
      <c r="S357" s="112">
        <v>0</v>
      </c>
    </row>
    <row r="358" spans="1:19" hidden="1" outlineLevel="2">
      <c r="A358" s="76">
        <v>5</v>
      </c>
      <c r="B358" s="77" t="s">
        <v>141</v>
      </c>
      <c r="C358" s="76" t="s">
        <v>7</v>
      </c>
      <c r="D358" s="143">
        <v>43</v>
      </c>
      <c r="E358" s="74"/>
      <c r="F358" s="143">
        <v>43</v>
      </c>
      <c r="G358" s="112">
        <v>0</v>
      </c>
      <c r="H358" s="120" t="s">
        <v>782</v>
      </c>
      <c r="I358" s="120" t="s">
        <v>771</v>
      </c>
      <c r="J358" s="120" t="s">
        <v>772</v>
      </c>
      <c r="K358" s="110">
        <v>197900</v>
      </c>
      <c r="L358" s="118"/>
      <c r="M358" s="110">
        <v>34300</v>
      </c>
      <c r="N358" s="118"/>
      <c r="O358" s="118"/>
      <c r="P358" s="118">
        <f t="shared" si="75"/>
        <v>232200</v>
      </c>
      <c r="Q358" s="118">
        <f t="shared" si="76"/>
        <v>9984600</v>
      </c>
      <c r="R358" s="118">
        <f t="shared" si="77"/>
        <v>9984600</v>
      </c>
      <c r="S358" s="112">
        <v>0</v>
      </c>
    </row>
    <row r="359" spans="1:19" hidden="1" outlineLevel="2">
      <c r="A359" s="76">
        <v>6</v>
      </c>
      <c r="B359" s="77" t="s">
        <v>142</v>
      </c>
      <c r="C359" s="76" t="s">
        <v>7</v>
      </c>
      <c r="D359" s="143">
        <v>333</v>
      </c>
      <c r="E359" s="74"/>
      <c r="F359" s="143">
        <v>333</v>
      </c>
      <c r="G359" s="112">
        <v>0</v>
      </c>
      <c r="H359" s="120" t="s">
        <v>781</v>
      </c>
      <c r="I359" s="120" t="s">
        <v>771</v>
      </c>
      <c r="J359" s="120" t="s">
        <v>772</v>
      </c>
      <c r="K359" s="110">
        <v>146000</v>
      </c>
      <c r="L359" s="118"/>
      <c r="M359" s="110">
        <v>30300</v>
      </c>
      <c r="N359" s="118"/>
      <c r="O359" s="118"/>
      <c r="P359" s="118">
        <f t="shared" si="75"/>
        <v>176300</v>
      </c>
      <c r="Q359" s="118">
        <f t="shared" si="76"/>
        <v>58707900</v>
      </c>
      <c r="R359" s="118">
        <f t="shared" si="77"/>
        <v>58707900</v>
      </c>
      <c r="S359" s="112">
        <v>0</v>
      </c>
    </row>
    <row r="360" spans="1:19" hidden="1" outlineLevel="2">
      <c r="A360" s="76">
        <v>7</v>
      </c>
      <c r="B360" s="77" t="s">
        <v>143</v>
      </c>
      <c r="C360" s="76" t="s">
        <v>7</v>
      </c>
      <c r="D360" s="143">
        <v>437</v>
      </c>
      <c r="E360" s="74"/>
      <c r="F360" s="143">
        <v>437</v>
      </c>
      <c r="G360" s="112">
        <v>0</v>
      </c>
      <c r="H360" s="120" t="s">
        <v>1153</v>
      </c>
      <c r="I360" s="120" t="s">
        <v>771</v>
      </c>
      <c r="J360" s="120" t="s">
        <v>772</v>
      </c>
      <c r="K360" s="110">
        <v>105500</v>
      </c>
      <c r="L360" s="118"/>
      <c r="M360" s="110">
        <v>28300</v>
      </c>
      <c r="N360" s="118"/>
      <c r="O360" s="118"/>
      <c r="P360" s="118">
        <f t="shared" si="75"/>
        <v>133800</v>
      </c>
      <c r="Q360" s="118">
        <f t="shared" si="76"/>
        <v>58470600</v>
      </c>
      <c r="R360" s="118">
        <f t="shared" si="77"/>
        <v>58470600</v>
      </c>
      <c r="S360" s="112">
        <v>0</v>
      </c>
    </row>
    <row r="361" spans="1:19" hidden="1" outlineLevel="2">
      <c r="A361" s="76">
        <v>8</v>
      </c>
      <c r="B361" s="77" t="s">
        <v>144</v>
      </c>
      <c r="C361" s="76" t="s">
        <v>7</v>
      </c>
      <c r="D361" s="143">
        <v>884</v>
      </c>
      <c r="E361" s="74"/>
      <c r="F361" s="143">
        <v>884</v>
      </c>
      <c r="G361" s="112">
        <v>0</v>
      </c>
      <c r="H361" s="120" t="s">
        <v>1154</v>
      </c>
      <c r="I361" s="120" t="s">
        <v>771</v>
      </c>
      <c r="J361" s="120" t="s">
        <v>772</v>
      </c>
      <c r="K361" s="110">
        <v>74300</v>
      </c>
      <c r="L361" s="118"/>
      <c r="M361" s="110">
        <v>23200</v>
      </c>
      <c r="N361" s="118"/>
      <c r="O361" s="118"/>
      <c r="P361" s="118">
        <f t="shared" si="75"/>
        <v>97500</v>
      </c>
      <c r="Q361" s="118">
        <f t="shared" si="76"/>
        <v>86190000</v>
      </c>
      <c r="R361" s="118">
        <f t="shared" si="77"/>
        <v>86190000</v>
      </c>
      <c r="S361" s="112">
        <v>0</v>
      </c>
    </row>
    <row r="362" spans="1:19" hidden="1" outlineLevel="2">
      <c r="A362" s="76">
        <v>9</v>
      </c>
      <c r="B362" s="77" t="s">
        <v>145</v>
      </c>
      <c r="C362" s="76" t="s">
        <v>7</v>
      </c>
      <c r="D362" s="143">
        <v>661</v>
      </c>
      <c r="E362" s="74"/>
      <c r="F362" s="143">
        <v>661</v>
      </c>
      <c r="G362" s="112">
        <v>0</v>
      </c>
      <c r="H362" s="120" t="s">
        <v>780</v>
      </c>
      <c r="I362" s="120" t="s">
        <v>771</v>
      </c>
      <c r="J362" s="120" t="s">
        <v>772</v>
      </c>
      <c r="K362" s="110">
        <v>51700</v>
      </c>
      <c r="L362" s="118"/>
      <c r="M362" s="110">
        <v>16200</v>
      </c>
      <c r="N362" s="118"/>
      <c r="O362" s="118"/>
      <c r="P362" s="118">
        <f t="shared" si="75"/>
        <v>67900</v>
      </c>
      <c r="Q362" s="118">
        <f t="shared" si="76"/>
        <v>44881900</v>
      </c>
      <c r="R362" s="118">
        <f t="shared" si="77"/>
        <v>44881900</v>
      </c>
      <c r="S362" s="112">
        <v>0</v>
      </c>
    </row>
    <row r="363" spans="1:19" hidden="1" outlineLevel="2">
      <c r="A363" s="76">
        <v>10</v>
      </c>
      <c r="B363" s="77" t="s">
        <v>146</v>
      </c>
      <c r="C363" s="76" t="s">
        <v>7</v>
      </c>
      <c r="D363" s="143">
        <v>80</v>
      </c>
      <c r="E363" s="74"/>
      <c r="F363" s="143">
        <v>80</v>
      </c>
      <c r="G363" s="112">
        <v>0</v>
      </c>
      <c r="H363" s="120" t="s">
        <v>779</v>
      </c>
      <c r="I363" s="120" t="s">
        <v>771</v>
      </c>
      <c r="J363" s="120" t="s">
        <v>772</v>
      </c>
      <c r="K363" s="110">
        <v>31300</v>
      </c>
      <c r="L363" s="118"/>
      <c r="M363" s="110">
        <v>12100</v>
      </c>
      <c r="N363" s="118"/>
      <c r="O363" s="118"/>
      <c r="P363" s="118">
        <f t="shared" si="75"/>
        <v>43400</v>
      </c>
      <c r="Q363" s="118">
        <f t="shared" si="76"/>
        <v>3472000</v>
      </c>
      <c r="R363" s="118">
        <f t="shared" si="77"/>
        <v>3472000</v>
      </c>
      <c r="S363" s="112">
        <v>0</v>
      </c>
    </row>
    <row r="364" spans="1:19" hidden="1" outlineLevel="2">
      <c r="A364" s="76">
        <v>11</v>
      </c>
      <c r="B364" s="77" t="s">
        <v>147</v>
      </c>
      <c r="C364" s="76" t="s">
        <v>7</v>
      </c>
      <c r="D364" s="143">
        <v>379</v>
      </c>
      <c r="E364" s="74"/>
      <c r="F364" s="143">
        <v>379</v>
      </c>
      <c r="G364" s="112">
        <v>0</v>
      </c>
      <c r="H364" s="120" t="s">
        <v>778</v>
      </c>
      <c r="I364" s="120" t="s">
        <v>771</v>
      </c>
      <c r="J364" s="120" t="s">
        <v>772</v>
      </c>
      <c r="K364" s="110">
        <v>21300</v>
      </c>
      <c r="L364" s="118"/>
      <c r="M364" s="110">
        <v>8100</v>
      </c>
      <c r="N364" s="118"/>
      <c r="O364" s="118"/>
      <c r="P364" s="118">
        <f t="shared" si="75"/>
        <v>29400</v>
      </c>
      <c r="Q364" s="118">
        <f t="shared" si="76"/>
        <v>11142600</v>
      </c>
      <c r="R364" s="118">
        <f t="shared" si="77"/>
        <v>11142600</v>
      </c>
      <c r="S364" s="112">
        <v>0</v>
      </c>
    </row>
    <row r="365" spans="1:19" outlineLevel="1" collapsed="1">
      <c r="A365" s="79"/>
      <c r="B365" s="80" t="s">
        <v>1049</v>
      </c>
      <c r="C365" s="76"/>
      <c r="D365" s="143"/>
      <c r="E365" s="74"/>
      <c r="F365" s="143"/>
      <c r="G365" s="120"/>
      <c r="H365" s="120"/>
      <c r="I365" s="120"/>
      <c r="J365" s="120"/>
      <c r="K365" s="544"/>
      <c r="L365" s="544"/>
      <c r="M365" s="544"/>
      <c r="N365" s="544"/>
      <c r="O365" s="544"/>
      <c r="P365" s="544"/>
      <c r="Q365" s="544"/>
      <c r="R365" s="544"/>
      <c r="S365" s="112">
        <v>0</v>
      </c>
    </row>
    <row r="366" spans="1:19" ht="30" hidden="1" outlineLevel="2">
      <c r="A366" s="79">
        <v>1</v>
      </c>
      <c r="B366" s="77" t="s">
        <v>884</v>
      </c>
      <c r="C366" s="76" t="s">
        <v>7</v>
      </c>
      <c r="D366" s="143">
        <v>1400</v>
      </c>
      <c r="E366" s="74"/>
      <c r="F366" s="143">
        <v>1400</v>
      </c>
      <c r="G366" s="112" t="s">
        <v>812</v>
      </c>
      <c r="H366" s="120" t="s">
        <v>811</v>
      </c>
      <c r="I366" s="120" t="s">
        <v>808</v>
      </c>
      <c r="J366" s="120" t="s">
        <v>772</v>
      </c>
      <c r="K366" s="110">
        <v>83500</v>
      </c>
      <c r="L366" s="118"/>
      <c r="M366" s="110">
        <v>92700</v>
      </c>
      <c r="N366" s="118"/>
      <c r="O366" s="118"/>
      <c r="P366" s="118">
        <f>+K366+L366+M366+N366+O366</f>
        <v>176200</v>
      </c>
      <c r="Q366" s="118">
        <f>+P366*D366</f>
        <v>246680000</v>
      </c>
      <c r="R366" s="118">
        <f>P366*F366</f>
        <v>246680000</v>
      </c>
      <c r="S366" s="112">
        <v>0</v>
      </c>
    </row>
    <row r="367" spans="1:19">
      <c r="A367" s="85" t="s">
        <v>9</v>
      </c>
      <c r="B367" s="86" t="s">
        <v>1050</v>
      </c>
      <c r="C367" s="85"/>
      <c r="D367" s="151">
        <v>0</v>
      </c>
      <c r="E367" s="81"/>
      <c r="F367" s="81"/>
      <c r="G367" s="447"/>
      <c r="H367" s="447"/>
      <c r="I367" s="447"/>
      <c r="J367" s="447"/>
      <c r="K367" s="547"/>
      <c r="L367" s="547"/>
      <c r="M367" s="547"/>
      <c r="N367" s="547"/>
      <c r="O367" s="547"/>
      <c r="P367" s="547"/>
      <c r="Q367" s="547"/>
      <c r="R367" s="547"/>
      <c r="S367" s="112">
        <v>0</v>
      </c>
    </row>
    <row r="368" spans="1:19" ht="60">
      <c r="A368" s="79">
        <v>1</v>
      </c>
      <c r="B368" s="77" t="s">
        <v>148</v>
      </c>
      <c r="C368" s="76" t="s">
        <v>6</v>
      </c>
      <c r="D368" s="143">
        <v>1</v>
      </c>
      <c r="E368" s="74"/>
      <c r="F368" s="334">
        <v>1</v>
      </c>
      <c r="G368" s="112" t="s">
        <v>830</v>
      </c>
      <c r="H368" s="120" t="s">
        <v>1076</v>
      </c>
      <c r="I368" s="120" t="s">
        <v>828</v>
      </c>
      <c r="J368" s="120" t="s">
        <v>829</v>
      </c>
      <c r="K368" s="110">
        <v>39318000</v>
      </c>
      <c r="L368" s="110"/>
      <c r="M368" s="110">
        <v>3828500</v>
      </c>
      <c r="N368" s="110"/>
      <c r="O368" s="110"/>
      <c r="P368" s="110">
        <f>+K368+L368+M368+N368+O368</f>
        <v>43146500</v>
      </c>
      <c r="Q368" s="110">
        <f>+P368*D368</f>
        <v>43146500</v>
      </c>
      <c r="R368" s="110">
        <f>P368*F368</f>
        <v>43146500</v>
      </c>
      <c r="S368" s="112" t="s">
        <v>4094</v>
      </c>
    </row>
    <row r="369" spans="1:19" ht="45">
      <c r="A369" s="79"/>
      <c r="B369" s="77" t="s">
        <v>149</v>
      </c>
      <c r="C369" s="76" t="s">
        <v>4</v>
      </c>
      <c r="D369" s="143">
        <v>1</v>
      </c>
      <c r="E369" s="74"/>
      <c r="F369" s="334"/>
      <c r="G369" s="112">
        <v>0</v>
      </c>
      <c r="H369" s="120">
        <v>0</v>
      </c>
      <c r="I369" s="120">
        <v>0</v>
      </c>
      <c r="J369" s="120">
        <v>0</v>
      </c>
      <c r="K369" s="110">
        <v>0</v>
      </c>
      <c r="L369" s="110"/>
      <c r="M369" s="110">
        <v>0</v>
      </c>
      <c r="N369" s="110"/>
      <c r="O369" s="110"/>
      <c r="P369" s="110">
        <f t="shared" ref="P369:P432" si="78">+K369+L369+M369+N369+O369</f>
        <v>0</v>
      </c>
      <c r="Q369" s="110">
        <f t="shared" ref="Q369:Q432" si="79">+P369*D369</f>
        <v>0</v>
      </c>
      <c r="R369" s="110">
        <f t="shared" ref="R369:R432" si="80">P369*F369</f>
        <v>0</v>
      </c>
      <c r="S369" s="112" t="s">
        <v>150</v>
      </c>
    </row>
    <row r="370" spans="1:19">
      <c r="A370" s="79"/>
      <c r="B370" s="77" t="s">
        <v>151</v>
      </c>
      <c r="C370" s="76"/>
      <c r="D370" s="143"/>
      <c r="E370" s="74"/>
      <c r="F370" s="74"/>
      <c r="G370" s="112">
        <v>0</v>
      </c>
      <c r="H370" s="120">
        <v>0</v>
      </c>
      <c r="I370" s="120">
        <v>0</v>
      </c>
      <c r="J370" s="120">
        <v>0</v>
      </c>
      <c r="K370" s="110">
        <v>0</v>
      </c>
      <c r="L370" s="110"/>
      <c r="M370" s="110">
        <v>0</v>
      </c>
      <c r="N370" s="110"/>
      <c r="O370" s="110"/>
      <c r="P370" s="110">
        <f t="shared" si="78"/>
        <v>0</v>
      </c>
      <c r="Q370" s="110">
        <f t="shared" si="79"/>
        <v>0</v>
      </c>
      <c r="R370" s="110">
        <f t="shared" si="80"/>
        <v>0</v>
      </c>
      <c r="S370" s="112">
        <v>0</v>
      </c>
    </row>
    <row r="371" spans="1:19">
      <c r="A371" s="79"/>
      <c r="B371" s="77" t="s">
        <v>152</v>
      </c>
      <c r="C371" s="76" t="s">
        <v>4</v>
      </c>
      <c r="D371" s="143">
        <v>1</v>
      </c>
      <c r="E371" s="74"/>
      <c r="F371" s="334"/>
      <c r="G371" s="112">
        <v>0</v>
      </c>
      <c r="H371" s="120">
        <v>0</v>
      </c>
      <c r="I371" s="120">
        <v>0</v>
      </c>
      <c r="J371" s="120">
        <v>0</v>
      </c>
      <c r="K371" s="110">
        <v>0</v>
      </c>
      <c r="L371" s="110"/>
      <c r="M371" s="110">
        <v>0</v>
      </c>
      <c r="N371" s="110"/>
      <c r="O371" s="110"/>
      <c r="P371" s="110">
        <f t="shared" si="78"/>
        <v>0</v>
      </c>
      <c r="Q371" s="110">
        <f t="shared" si="79"/>
        <v>0</v>
      </c>
      <c r="R371" s="110">
        <f t="shared" si="80"/>
        <v>0</v>
      </c>
      <c r="S371" s="112">
        <v>0</v>
      </c>
    </row>
    <row r="372" spans="1:19">
      <c r="A372" s="79"/>
      <c r="B372" s="77" t="s">
        <v>14</v>
      </c>
      <c r="C372" s="76" t="s">
        <v>4</v>
      </c>
      <c r="D372" s="143">
        <v>3</v>
      </c>
      <c r="E372" s="74"/>
      <c r="F372" s="334"/>
      <c r="G372" s="112">
        <v>0</v>
      </c>
      <c r="H372" s="120">
        <v>0</v>
      </c>
      <c r="I372" s="120">
        <v>0</v>
      </c>
      <c r="J372" s="120">
        <v>0</v>
      </c>
      <c r="K372" s="110">
        <v>0</v>
      </c>
      <c r="L372" s="110"/>
      <c r="M372" s="110">
        <v>0</v>
      </c>
      <c r="N372" s="110"/>
      <c r="O372" s="110"/>
      <c r="P372" s="110">
        <f t="shared" si="78"/>
        <v>0</v>
      </c>
      <c r="Q372" s="110">
        <f t="shared" si="79"/>
        <v>0</v>
      </c>
      <c r="R372" s="110">
        <f t="shared" si="80"/>
        <v>0</v>
      </c>
      <c r="S372" s="112">
        <v>0</v>
      </c>
    </row>
    <row r="373" spans="1:19">
      <c r="A373" s="79"/>
      <c r="B373" s="77" t="s">
        <v>153</v>
      </c>
      <c r="C373" s="76" t="s">
        <v>4</v>
      </c>
      <c r="D373" s="143">
        <v>3</v>
      </c>
      <c r="E373" s="74"/>
      <c r="F373" s="334"/>
      <c r="G373" s="112">
        <v>0</v>
      </c>
      <c r="H373" s="120">
        <v>0</v>
      </c>
      <c r="I373" s="120">
        <v>0</v>
      </c>
      <c r="J373" s="120">
        <v>0</v>
      </c>
      <c r="K373" s="110">
        <v>0</v>
      </c>
      <c r="L373" s="110"/>
      <c r="M373" s="110">
        <v>0</v>
      </c>
      <c r="N373" s="110"/>
      <c r="O373" s="110"/>
      <c r="P373" s="110">
        <f t="shared" si="78"/>
        <v>0</v>
      </c>
      <c r="Q373" s="110">
        <f t="shared" si="79"/>
        <v>0</v>
      </c>
      <c r="R373" s="110">
        <f t="shared" si="80"/>
        <v>0</v>
      </c>
      <c r="S373" s="112">
        <v>0</v>
      </c>
    </row>
    <row r="374" spans="1:19">
      <c r="A374" s="79"/>
      <c r="B374" s="77" t="s">
        <v>154</v>
      </c>
      <c r="C374" s="76"/>
      <c r="D374" s="143"/>
      <c r="E374" s="74"/>
      <c r="F374" s="74"/>
      <c r="G374" s="112">
        <v>0</v>
      </c>
      <c r="H374" s="120">
        <v>0</v>
      </c>
      <c r="I374" s="120">
        <v>0</v>
      </c>
      <c r="J374" s="120">
        <v>0</v>
      </c>
      <c r="K374" s="110">
        <v>0</v>
      </c>
      <c r="L374" s="110"/>
      <c r="M374" s="110">
        <v>0</v>
      </c>
      <c r="N374" s="110"/>
      <c r="O374" s="110"/>
      <c r="P374" s="110">
        <f t="shared" si="78"/>
        <v>0</v>
      </c>
      <c r="Q374" s="110">
        <f t="shared" si="79"/>
        <v>0</v>
      </c>
      <c r="R374" s="110">
        <f t="shared" si="80"/>
        <v>0</v>
      </c>
      <c r="S374" s="112">
        <v>0</v>
      </c>
    </row>
    <row r="375" spans="1:19">
      <c r="A375" s="79"/>
      <c r="B375" s="77" t="s">
        <v>155</v>
      </c>
      <c r="C375" s="76" t="s">
        <v>4</v>
      </c>
      <c r="D375" s="143">
        <v>2</v>
      </c>
      <c r="E375" s="74"/>
      <c r="F375" s="334"/>
      <c r="G375" s="112">
        <v>0</v>
      </c>
      <c r="H375" s="120">
        <v>0</v>
      </c>
      <c r="I375" s="120">
        <v>0</v>
      </c>
      <c r="J375" s="120">
        <v>0</v>
      </c>
      <c r="K375" s="110">
        <v>0</v>
      </c>
      <c r="L375" s="110"/>
      <c r="M375" s="110">
        <v>0</v>
      </c>
      <c r="N375" s="110"/>
      <c r="O375" s="110"/>
      <c r="P375" s="110">
        <f t="shared" si="78"/>
        <v>0</v>
      </c>
      <c r="Q375" s="110">
        <f t="shared" si="79"/>
        <v>0</v>
      </c>
      <c r="R375" s="110">
        <f t="shared" si="80"/>
        <v>0</v>
      </c>
      <c r="S375" s="112">
        <v>0</v>
      </c>
    </row>
    <row r="376" spans="1:19">
      <c r="A376" s="79"/>
      <c r="B376" s="77" t="s">
        <v>156</v>
      </c>
      <c r="C376" s="76" t="s">
        <v>4</v>
      </c>
      <c r="D376" s="143">
        <v>7</v>
      </c>
      <c r="E376" s="74"/>
      <c r="F376" s="334"/>
      <c r="G376" s="112">
        <v>0</v>
      </c>
      <c r="H376" s="120">
        <v>0</v>
      </c>
      <c r="I376" s="120">
        <v>0</v>
      </c>
      <c r="J376" s="120">
        <v>0</v>
      </c>
      <c r="K376" s="110">
        <v>0</v>
      </c>
      <c r="L376" s="110"/>
      <c r="M376" s="110">
        <v>0</v>
      </c>
      <c r="N376" s="110"/>
      <c r="O376" s="110"/>
      <c r="P376" s="110">
        <f t="shared" si="78"/>
        <v>0</v>
      </c>
      <c r="Q376" s="110">
        <f t="shared" si="79"/>
        <v>0</v>
      </c>
      <c r="R376" s="110">
        <f t="shared" si="80"/>
        <v>0</v>
      </c>
      <c r="S376" s="112">
        <v>0</v>
      </c>
    </row>
    <row r="377" spans="1:19">
      <c r="A377" s="79"/>
      <c r="B377" s="77" t="s">
        <v>157</v>
      </c>
      <c r="C377" s="76" t="s">
        <v>4</v>
      </c>
      <c r="D377" s="143">
        <v>19</v>
      </c>
      <c r="E377" s="74"/>
      <c r="F377" s="334"/>
      <c r="G377" s="112">
        <v>0</v>
      </c>
      <c r="H377" s="120">
        <v>0</v>
      </c>
      <c r="I377" s="120">
        <v>0</v>
      </c>
      <c r="J377" s="120">
        <v>0</v>
      </c>
      <c r="K377" s="110">
        <v>0</v>
      </c>
      <c r="L377" s="110"/>
      <c r="M377" s="110">
        <v>0</v>
      </c>
      <c r="N377" s="110"/>
      <c r="O377" s="110"/>
      <c r="P377" s="110">
        <f t="shared" si="78"/>
        <v>0</v>
      </c>
      <c r="Q377" s="110">
        <f t="shared" si="79"/>
        <v>0</v>
      </c>
      <c r="R377" s="110">
        <f t="shared" si="80"/>
        <v>0</v>
      </c>
      <c r="S377" s="112">
        <v>0</v>
      </c>
    </row>
    <row r="378" spans="1:19">
      <c r="A378" s="79"/>
      <c r="B378" s="77" t="s">
        <v>158</v>
      </c>
      <c r="C378" s="76" t="s">
        <v>4</v>
      </c>
      <c r="D378" s="143">
        <v>1</v>
      </c>
      <c r="E378" s="74"/>
      <c r="F378" s="334"/>
      <c r="G378" s="112">
        <v>0</v>
      </c>
      <c r="H378" s="120">
        <v>0</v>
      </c>
      <c r="I378" s="120">
        <v>0</v>
      </c>
      <c r="J378" s="120">
        <v>0</v>
      </c>
      <c r="K378" s="110">
        <v>0</v>
      </c>
      <c r="L378" s="110"/>
      <c r="M378" s="110">
        <v>0</v>
      </c>
      <c r="N378" s="110"/>
      <c r="O378" s="110"/>
      <c r="P378" s="110">
        <f t="shared" si="78"/>
        <v>0</v>
      </c>
      <c r="Q378" s="110">
        <f t="shared" si="79"/>
        <v>0</v>
      </c>
      <c r="R378" s="110">
        <f t="shared" si="80"/>
        <v>0</v>
      </c>
      <c r="S378" s="112">
        <v>0</v>
      </c>
    </row>
    <row r="379" spans="1:19">
      <c r="A379" s="79"/>
      <c r="B379" s="77" t="s">
        <v>159</v>
      </c>
      <c r="C379" s="76"/>
      <c r="D379" s="143"/>
      <c r="E379" s="74"/>
      <c r="F379" s="74"/>
      <c r="G379" s="112">
        <v>0</v>
      </c>
      <c r="H379" s="120">
        <v>0</v>
      </c>
      <c r="I379" s="120">
        <v>0</v>
      </c>
      <c r="J379" s="120">
        <v>0</v>
      </c>
      <c r="K379" s="110">
        <v>0</v>
      </c>
      <c r="L379" s="110"/>
      <c r="M379" s="110">
        <v>0</v>
      </c>
      <c r="N379" s="110"/>
      <c r="O379" s="110"/>
      <c r="P379" s="110">
        <f t="shared" si="78"/>
        <v>0</v>
      </c>
      <c r="Q379" s="110">
        <f t="shared" si="79"/>
        <v>0</v>
      </c>
      <c r="R379" s="110">
        <f t="shared" si="80"/>
        <v>0</v>
      </c>
      <c r="S379" s="112">
        <v>0</v>
      </c>
    </row>
    <row r="380" spans="1:19">
      <c r="A380" s="79"/>
      <c r="B380" s="77" t="s">
        <v>160</v>
      </c>
      <c r="C380" s="76" t="s">
        <v>4</v>
      </c>
      <c r="D380" s="143">
        <v>29</v>
      </c>
      <c r="E380" s="74"/>
      <c r="F380" s="334"/>
      <c r="G380" s="112">
        <v>0</v>
      </c>
      <c r="H380" s="120">
        <v>0</v>
      </c>
      <c r="I380" s="120">
        <v>0</v>
      </c>
      <c r="J380" s="120">
        <v>0</v>
      </c>
      <c r="K380" s="110">
        <v>0</v>
      </c>
      <c r="L380" s="110"/>
      <c r="M380" s="110">
        <v>0</v>
      </c>
      <c r="N380" s="110"/>
      <c r="O380" s="110"/>
      <c r="P380" s="110">
        <f t="shared" si="78"/>
        <v>0</v>
      </c>
      <c r="Q380" s="110">
        <f t="shared" si="79"/>
        <v>0</v>
      </c>
      <c r="R380" s="110">
        <f t="shared" si="80"/>
        <v>0</v>
      </c>
      <c r="S380" s="112">
        <v>0</v>
      </c>
    </row>
    <row r="381" spans="1:19">
      <c r="A381" s="79"/>
      <c r="B381" s="77" t="s">
        <v>161</v>
      </c>
      <c r="C381" s="76" t="s">
        <v>4</v>
      </c>
      <c r="D381" s="143">
        <v>1</v>
      </c>
      <c r="E381" s="74"/>
      <c r="F381" s="334"/>
      <c r="G381" s="112">
        <v>0</v>
      </c>
      <c r="H381" s="120">
        <v>0</v>
      </c>
      <c r="I381" s="120">
        <v>0</v>
      </c>
      <c r="J381" s="120">
        <v>0</v>
      </c>
      <c r="K381" s="110">
        <v>0</v>
      </c>
      <c r="L381" s="110"/>
      <c r="M381" s="110">
        <v>0</v>
      </c>
      <c r="N381" s="110"/>
      <c r="O381" s="110"/>
      <c r="P381" s="110">
        <f t="shared" si="78"/>
        <v>0</v>
      </c>
      <c r="Q381" s="110">
        <f t="shared" si="79"/>
        <v>0</v>
      </c>
      <c r="R381" s="110">
        <f t="shared" si="80"/>
        <v>0</v>
      </c>
      <c r="S381" s="112">
        <v>0</v>
      </c>
    </row>
    <row r="382" spans="1:19">
      <c r="A382" s="79"/>
      <c r="B382" s="77" t="s">
        <v>162</v>
      </c>
      <c r="C382" s="76" t="s">
        <v>17</v>
      </c>
      <c r="D382" s="143">
        <v>1</v>
      </c>
      <c r="E382" s="74"/>
      <c r="F382" s="334"/>
      <c r="G382" s="112">
        <v>0</v>
      </c>
      <c r="H382" s="120">
        <v>0</v>
      </c>
      <c r="I382" s="120">
        <v>0</v>
      </c>
      <c r="J382" s="120">
        <v>0</v>
      </c>
      <c r="K382" s="110">
        <v>0</v>
      </c>
      <c r="L382" s="110"/>
      <c r="M382" s="110">
        <v>0</v>
      </c>
      <c r="N382" s="110"/>
      <c r="O382" s="110"/>
      <c r="P382" s="110">
        <f t="shared" si="78"/>
        <v>0</v>
      </c>
      <c r="Q382" s="110">
        <f t="shared" si="79"/>
        <v>0</v>
      </c>
      <c r="R382" s="110">
        <f t="shared" si="80"/>
        <v>0</v>
      </c>
      <c r="S382" s="112">
        <v>0</v>
      </c>
    </row>
    <row r="383" spans="1:19">
      <c r="A383" s="79"/>
      <c r="B383" s="77" t="s">
        <v>163</v>
      </c>
      <c r="C383" s="76" t="s">
        <v>4</v>
      </c>
      <c r="D383" s="143">
        <v>1</v>
      </c>
      <c r="E383" s="74"/>
      <c r="F383" s="334"/>
      <c r="G383" s="112">
        <v>0</v>
      </c>
      <c r="H383" s="120">
        <v>0</v>
      </c>
      <c r="I383" s="120">
        <v>0</v>
      </c>
      <c r="J383" s="120">
        <v>0</v>
      </c>
      <c r="K383" s="110">
        <v>0</v>
      </c>
      <c r="L383" s="110"/>
      <c r="M383" s="110">
        <v>0</v>
      </c>
      <c r="N383" s="110"/>
      <c r="O383" s="110"/>
      <c r="P383" s="110">
        <f t="shared" si="78"/>
        <v>0</v>
      </c>
      <c r="Q383" s="110">
        <f t="shared" si="79"/>
        <v>0</v>
      </c>
      <c r="R383" s="110">
        <f t="shared" si="80"/>
        <v>0</v>
      </c>
      <c r="S383" s="112">
        <v>0</v>
      </c>
    </row>
    <row r="384" spans="1:19" ht="30">
      <c r="A384" s="79"/>
      <c r="B384" s="77" t="s">
        <v>164</v>
      </c>
      <c r="C384" s="76" t="s">
        <v>8</v>
      </c>
      <c r="D384" s="143">
        <v>1</v>
      </c>
      <c r="E384" s="74"/>
      <c r="F384" s="334"/>
      <c r="G384" s="112">
        <v>0</v>
      </c>
      <c r="H384" s="120">
        <v>0</v>
      </c>
      <c r="I384" s="120">
        <v>0</v>
      </c>
      <c r="J384" s="120">
        <v>0</v>
      </c>
      <c r="K384" s="110">
        <v>0</v>
      </c>
      <c r="L384" s="110"/>
      <c r="M384" s="110">
        <v>0</v>
      </c>
      <c r="N384" s="110"/>
      <c r="O384" s="110"/>
      <c r="P384" s="110">
        <f t="shared" si="78"/>
        <v>0</v>
      </c>
      <c r="Q384" s="110">
        <f t="shared" si="79"/>
        <v>0</v>
      </c>
      <c r="R384" s="110">
        <f t="shared" si="80"/>
        <v>0</v>
      </c>
      <c r="S384" s="112">
        <v>0</v>
      </c>
    </row>
    <row r="385" spans="1:19">
      <c r="A385" s="79"/>
      <c r="B385" s="77" t="s">
        <v>165</v>
      </c>
      <c r="C385" s="76" t="s">
        <v>8</v>
      </c>
      <c r="D385" s="143">
        <v>1</v>
      </c>
      <c r="E385" s="74"/>
      <c r="F385" s="334"/>
      <c r="G385" s="112">
        <v>0</v>
      </c>
      <c r="H385" s="120">
        <v>0</v>
      </c>
      <c r="I385" s="120">
        <v>0</v>
      </c>
      <c r="J385" s="120">
        <v>0</v>
      </c>
      <c r="K385" s="110">
        <v>0</v>
      </c>
      <c r="L385" s="110"/>
      <c r="M385" s="110">
        <v>0</v>
      </c>
      <c r="N385" s="110"/>
      <c r="O385" s="110"/>
      <c r="P385" s="110">
        <f t="shared" si="78"/>
        <v>0</v>
      </c>
      <c r="Q385" s="110">
        <f t="shared" si="79"/>
        <v>0</v>
      </c>
      <c r="R385" s="110">
        <f t="shared" si="80"/>
        <v>0</v>
      </c>
      <c r="S385" s="112">
        <v>0</v>
      </c>
    </row>
    <row r="386" spans="1:19" ht="45">
      <c r="A386" s="79"/>
      <c r="B386" s="77" t="s">
        <v>166</v>
      </c>
      <c r="C386" s="76" t="s">
        <v>17</v>
      </c>
      <c r="D386" s="143">
        <v>1</v>
      </c>
      <c r="E386" s="74"/>
      <c r="F386" s="334"/>
      <c r="G386" s="112">
        <v>0</v>
      </c>
      <c r="H386" s="120">
        <v>0</v>
      </c>
      <c r="I386" s="120">
        <v>0</v>
      </c>
      <c r="J386" s="120">
        <v>0</v>
      </c>
      <c r="K386" s="110">
        <v>0</v>
      </c>
      <c r="L386" s="110"/>
      <c r="M386" s="110">
        <v>0</v>
      </c>
      <c r="N386" s="110"/>
      <c r="O386" s="110"/>
      <c r="P386" s="110">
        <f t="shared" si="78"/>
        <v>0</v>
      </c>
      <c r="Q386" s="110">
        <f t="shared" si="79"/>
        <v>0</v>
      </c>
      <c r="R386" s="110">
        <f t="shared" si="80"/>
        <v>0</v>
      </c>
      <c r="S386" s="112">
        <v>0</v>
      </c>
    </row>
    <row r="387" spans="1:19" ht="60">
      <c r="A387" s="79">
        <v>2</v>
      </c>
      <c r="B387" s="77" t="s">
        <v>167</v>
      </c>
      <c r="C387" s="76" t="s">
        <v>6</v>
      </c>
      <c r="D387" s="143">
        <v>1</v>
      </c>
      <c r="E387" s="75"/>
      <c r="F387" s="334">
        <v>1</v>
      </c>
      <c r="G387" s="112" t="s">
        <v>831</v>
      </c>
      <c r="H387" s="120" t="s">
        <v>1076</v>
      </c>
      <c r="I387" s="120" t="s">
        <v>828</v>
      </c>
      <c r="J387" s="120" t="s">
        <v>829</v>
      </c>
      <c r="K387" s="110">
        <v>40097000</v>
      </c>
      <c r="L387" s="110"/>
      <c r="M387" s="110">
        <v>3828500</v>
      </c>
      <c r="N387" s="110"/>
      <c r="O387" s="110"/>
      <c r="P387" s="110">
        <f t="shared" si="78"/>
        <v>43925500</v>
      </c>
      <c r="Q387" s="110">
        <f t="shared" si="79"/>
        <v>43925500</v>
      </c>
      <c r="R387" s="110">
        <f t="shared" si="80"/>
        <v>43925500</v>
      </c>
      <c r="S387" s="112" t="s">
        <v>4094</v>
      </c>
    </row>
    <row r="388" spans="1:19" ht="45">
      <c r="A388" s="79"/>
      <c r="B388" s="77" t="s">
        <v>149</v>
      </c>
      <c r="C388" s="76" t="s">
        <v>4</v>
      </c>
      <c r="D388" s="143">
        <v>1</v>
      </c>
      <c r="E388" s="73"/>
      <c r="F388" s="334"/>
      <c r="G388" s="112">
        <v>0</v>
      </c>
      <c r="H388" s="120">
        <v>0</v>
      </c>
      <c r="I388" s="120">
        <v>0</v>
      </c>
      <c r="J388" s="120">
        <v>0</v>
      </c>
      <c r="K388" s="110">
        <v>0</v>
      </c>
      <c r="L388" s="110"/>
      <c r="M388" s="110">
        <v>0</v>
      </c>
      <c r="N388" s="110"/>
      <c r="O388" s="110"/>
      <c r="P388" s="110">
        <f t="shared" si="78"/>
        <v>0</v>
      </c>
      <c r="Q388" s="110">
        <f t="shared" si="79"/>
        <v>0</v>
      </c>
      <c r="R388" s="110">
        <f t="shared" si="80"/>
        <v>0</v>
      </c>
      <c r="S388" s="112" t="s">
        <v>150</v>
      </c>
    </row>
    <row r="389" spans="1:19">
      <c r="A389" s="79"/>
      <c r="B389" s="77" t="s">
        <v>151</v>
      </c>
      <c r="C389" s="76"/>
      <c r="D389" s="143"/>
      <c r="E389" s="50"/>
      <c r="F389" s="50"/>
      <c r="G389" s="112">
        <v>0</v>
      </c>
      <c r="H389" s="120">
        <v>0</v>
      </c>
      <c r="I389" s="120">
        <v>0</v>
      </c>
      <c r="J389" s="120">
        <v>0</v>
      </c>
      <c r="K389" s="110">
        <v>0</v>
      </c>
      <c r="L389" s="110"/>
      <c r="M389" s="110">
        <v>0</v>
      </c>
      <c r="N389" s="110"/>
      <c r="O389" s="110"/>
      <c r="P389" s="110">
        <f t="shared" si="78"/>
        <v>0</v>
      </c>
      <c r="Q389" s="110">
        <f t="shared" si="79"/>
        <v>0</v>
      </c>
      <c r="R389" s="110">
        <f t="shared" si="80"/>
        <v>0</v>
      </c>
      <c r="S389" s="112">
        <v>0</v>
      </c>
    </row>
    <row r="390" spans="1:19">
      <c r="A390" s="79"/>
      <c r="B390" s="77" t="s">
        <v>168</v>
      </c>
      <c r="C390" s="76" t="s">
        <v>4</v>
      </c>
      <c r="D390" s="143">
        <v>1</v>
      </c>
      <c r="E390" s="57"/>
      <c r="F390" s="334"/>
      <c r="G390" s="112">
        <v>0</v>
      </c>
      <c r="H390" s="120">
        <v>0</v>
      </c>
      <c r="I390" s="120">
        <v>0</v>
      </c>
      <c r="J390" s="120">
        <v>0</v>
      </c>
      <c r="K390" s="110">
        <v>0</v>
      </c>
      <c r="L390" s="110"/>
      <c r="M390" s="110">
        <v>0</v>
      </c>
      <c r="N390" s="110"/>
      <c r="O390" s="110"/>
      <c r="P390" s="110">
        <f t="shared" si="78"/>
        <v>0</v>
      </c>
      <c r="Q390" s="110">
        <f t="shared" si="79"/>
        <v>0</v>
      </c>
      <c r="R390" s="110">
        <f t="shared" si="80"/>
        <v>0</v>
      </c>
      <c r="S390" s="112">
        <v>0</v>
      </c>
    </row>
    <row r="391" spans="1:19">
      <c r="A391" s="79"/>
      <c r="B391" s="77" t="s">
        <v>14</v>
      </c>
      <c r="C391" s="76" t="s">
        <v>4</v>
      </c>
      <c r="D391" s="143">
        <v>3</v>
      </c>
      <c r="E391" s="50"/>
      <c r="F391" s="334"/>
      <c r="G391" s="112">
        <v>0</v>
      </c>
      <c r="H391" s="120">
        <v>0</v>
      </c>
      <c r="I391" s="120">
        <v>0</v>
      </c>
      <c r="J391" s="120">
        <v>0</v>
      </c>
      <c r="K391" s="110">
        <v>0</v>
      </c>
      <c r="L391" s="110"/>
      <c r="M391" s="110">
        <v>0</v>
      </c>
      <c r="N391" s="110"/>
      <c r="O391" s="110"/>
      <c r="P391" s="110">
        <f t="shared" si="78"/>
        <v>0</v>
      </c>
      <c r="Q391" s="110">
        <f t="shared" si="79"/>
        <v>0</v>
      </c>
      <c r="R391" s="110">
        <f t="shared" si="80"/>
        <v>0</v>
      </c>
      <c r="S391" s="112">
        <v>0</v>
      </c>
    </row>
    <row r="392" spans="1:19">
      <c r="A392" s="79"/>
      <c r="B392" s="77" t="s">
        <v>153</v>
      </c>
      <c r="C392" s="76" t="s">
        <v>4</v>
      </c>
      <c r="D392" s="143">
        <v>3</v>
      </c>
      <c r="E392" s="50"/>
      <c r="F392" s="334"/>
      <c r="G392" s="112">
        <v>0</v>
      </c>
      <c r="H392" s="120">
        <v>0</v>
      </c>
      <c r="I392" s="120">
        <v>0</v>
      </c>
      <c r="J392" s="120">
        <v>0</v>
      </c>
      <c r="K392" s="110">
        <v>0</v>
      </c>
      <c r="L392" s="110"/>
      <c r="M392" s="110">
        <v>0</v>
      </c>
      <c r="N392" s="110"/>
      <c r="O392" s="110"/>
      <c r="P392" s="110">
        <f t="shared" si="78"/>
        <v>0</v>
      </c>
      <c r="Q392" s="110">
        <f t="shared" si="79"/>
        <v>0</v>
      </c>
      <c r="R392" s="110">
        <f t="shared" si="80"/>
        <v>0</v>
      </c>
      <c r="S392" s="112">
        <v>0</v>
      </c>
    </row>
    <row r="393" spans="1:19">
      <c r="A393" s="79"/>
      <c r="B393" s="77" t="s">
        <v>154</v>
      </c>
      <c r="C393" s="76"/>
      <c r="D393" s="143"/>
      <c r="E393" s="50"/>
      <c r="F393" s="50"/>
      <c r="G393" s="112">
        <v>0</v>
      </c>
      <c r="H393" s="120">
        <v>0</v>
      </c>
      <c r="I393" s="120">
        <v>0</v>
      </c>
      <c r="J393" s="120">
        <v>0</v>
      </c>
      <c r="K393" s="110">
        <v>0</v>
      </c>
      <c r="L393" s="110"/>
      <c r="M393" s="110">
        <v>0</v>
      </c>
      <c r="N393" s="110"/>
      <c r="O393" s="110"/>
      <c r="P393" s="110">
        <f t="shared" si="78"/>
        <v>0</v>
      </c>
      <c r="Q393" s="110">
        <f t="shared" si="79"/>
        <v>0</v>
      </c>
      <c r="R393" s="110">
        <f t="shared" si="80"/>
        <v>0</v>
      </c>
      <c r="S393" s="112">
        <v>0</v>
      </c>
    </row>
    <row r="394" spans="1:19">
      <c r="A394" s="79"/>
      <c r="B394" s="77" t="s">
        <v>169</v>
      </c>
      <c r="C394" s="76" t="s">
        <v>4</v>
      </c>
      <c r="D394" s="143">
        <v>3</v>
      </c>
      <c r="E394" s="50"/>
      <c r="F394" s="334"/>
      <c r="G394" s="112">
        <v>0</v>
      </c>
      <c r="H394" s="120">
        <v>0</v>
      </c>
      <c r="I394" s="120">
        <v>0</v>
      </c>
      <c r="J394" s="120">
        <v>0</v>
      </c>
      <c r="K394" s="110">
        <v>0</v>
      </c>
      <c r="L394" s="110"/>
      <c r="M394" s="110">
        <v>0</v>
      </c>
      <c r="N394" s="110"/>
      <c r="O394" s="110"/>
      <c r="P394" s="110">
        <f t="shared" si="78"/>
        <v>0</v>
      </c>
      <c r="Q394" s="110">
        <f t="shared" si="79"/>
        <v>0</v>
      </c>
      <c r="R394" s="110">
        <f t="shared" si="80"/>
        <v>0</v>
      </c>
      <c r="S394" s="112">
        <v>0</v>
      </c>
    </row>
    <row r="395" spans="1:19">
      <c r="A395" s="79"/>
      <c r="B395" s="77" t="s">
        <v>170</v>
      </c>
      <c r="C395" s="76" t="s">
        <v>4</v>
      </c>
      <c r="D395" s="143">
        <v>2</v>
      </c>
      <c r="E395" s="74"/>
      <c r="F395" s="334"/>
      <c r="G395" s="112">
        <v>0</v>
      </c>
      <c r="H395" s="120">
        <v>0</v>
      </c>
      <c r="I395" s="120">
        <v>0</v>
      </c>
      <c r="J395" s="120">
        <v>0</v>
      </c>
      <c r="K395" s="110">
        <v>0</v>
      </c>
      <c r="L395" s="110"/>
      <c r="M395" s="110">
        <v>0</v>
      </c>
      <c r="N395" s="110"/>
      <c r="O395" s="110"/>
      <c r="P395" s="110">
        <f t="shared" si="78"/>
        <v>0</v>
      </c>
      <c r="Q395" s="110">
        <f t="shared" si="79"/>
        <v>0</v>
      </c>
      <c r="R395" s="110">
        <f t="shared" si="80"/>
        <v>0</v>
      </c>
      <c r="S395" s="112">
        <v>0</v>
      </c>
    </row>
    <row r="396" spans="1:19">
      <c r="A396" s="79"/>
      <c r="B396" s="77" t="s">
        <v>156</v>
      </c>
      <c r="C396" s="76" t="s">
        <v>4</v>
      </c>
      <c r="D396" s="143">
        <v>11</v>
      </c>
      <c r="E396" s="74"/>
      <c r="F396" s="334"/>
      <c r="G396" s="112">
        <v>0</v>
      </c>
      <c r="H396" s="120">
        <v>0</v>
      </c>
      <c r="I396" s="120">
        <v>0</v>
      </c>
      <c r="J396" s="120">
        <v>0</v>
      </c>
      <c r="K396" s="110">
        <v>0</v>
      </c>
      <c r="L396" s="110"/>
      <c r="M396" s="110">
        <v>0</v>
      </c>
      <c r="N396" s="110"/>
      <c r="O396" s="110"/>
      <c r="P396" s="110">
        <f t="shared" si="78"/>
        <v>0</v>
      </c>
      <c r="Q396" s="110">
        <f t="shared" si="79"/>
        <v>0</v>
      </c>
      <c r="R396" s="110">
        <f t="shared" si="80"/>
        <v>0</v>
      </c>
      <c r="S396" s="112">
        <v>0</v>
      </c>
    </row>
    <row r="397" spans="1:19">
      <c r="A397" s="79"/>
      <c r="B397" s="77" t="s">
        <v>157</v>
      </c>
      <c r="C397" s="76" t="s">
        <v>4</v>
      </c>
      <c r="D397" s="143">
        <v>14</v>
      </c>
      <c r="E397" s="82"/>
      <c r="F397" s="334"/>
      <c r="G397" s="112">
        <v>0</v>
      </c>
      <c r="H397" s="120">
        <v>0</v>
      </c>
      <c r="I397" s="120">
        <v>0</v>
      </c>
      <c r="J397" s="120">
        <v>0</v>
      </c>
      <c r="K397" s="110">
        <v>0</v>
      </c>
      <c r="L397" s="110"/>
      <c r="M397" s="110">
        <v>0</v>
      </c>
      <c r="N397" s="110"/>
      <c r="O397" s="110"/>
      <c r="P397" s="110">
        <f t="shared" si="78"/>
        <v>0</v>
      </c>
      <c r="Q397" s="110">
        <f t="shared" si="79"/>
        <v>0</v>
      </c>
      <c r="R397" s="110">
        <f t="shared" si="80"/>
        <v>0</v>
      </c>
      <c r="S397" s="112">
        <v>0</v>
      </c>
    </row>
    <row r="398" spans="1:19">
      <c r="A398" s="79"/>
      <c r="B398" s="77" t="s">
        <v>158</v>
      </c>
      <c r="C398" s="76" t="s">
        <v>4</v>
      </c>
      <c r="D398" s="143">
        <v>1</v>
      </c>
      <c r="E398" s="73"/>
      <c r="F398" s="334"/>
      <c r="G398" s="112">
        <v>0</v>
      </c>
      <c r="H398" s="120">
        <v>0</v>
      </c>
      <c r="I398" s="120">
        <v>0</v>
      </c>
      <c r="J398" s="120">
        <v>0</v>
      </c>
      <c r="K398" s="110">
        <v>0</v>
      </c>
      <c r="L398" s="110"/>
      <c r="M398" s="110">
        <v>0</v>
      </c>
      <c r="N398" s="110"/>
      <c r="O398" s="110"/>
      <c r="P398" s="110">
        <f t="shared" si="78"/>
        <v>0</v>
      </c>
      <c r="Q398" s="110">
        <f t="shared" si="79"/>
        <v>0</v>
      </c>
      <c r="R398" s="110">
        <f t="shared" si="80"/>
        <v>0</v>
      </c>
      <c r="S398" s="112">
        <v>0</v>
      </c>
    </row>
    <row r="399" spans="1:19">
      <c r="A399" s="79"/>
      <c r="B399" s="77" t="s">
        <v>159</v>
      </c>
      <c r="C399" s="76"/>
      <c r="D399" s="143"/>
      <c r="E399" s="50"/>
      <c r="F399" s="50"/>
      <c r="G399" s="112">
        <v>0</v>
      </c>
      <c r="H399" s="120">
        <v>0</v>
      </c>
      <c r="I399" s="120">
        <v>0</v>
      </c>
      <c r="J399" s="120">
        <v>0</v>
      </c>
      <c r="K399" s="110">
        <v>0</v>
      </c>
      <c r="L399" s="110"/>
      <c r="M399" s="110">
        <v>0</v>
      </c>
      <c r="N399" s="110"/>
      <c r="O399" s="110"/>
      <c r="P399" s="110">
        <f t="shared" si="78"/>
        <v>0</v>
      </c>
      <c r="Q399" s="110">
        <f t="shared" si="79"/>
        <v>0</v>
      </c>
      <c r="R399" s="110">
        <f t="shared" si="80"/>
        <v>0</v>
      </c>
      <c r="S399" s="112">
        <v>0</v>
      </c>
    </row>
    <row r="400" spans="1:19">
      <c r="A400" s="79"/>
      <c r="B400" s="77" t="s">
        <v>160</v>
      </c>
      <c r="C400" s="76" t="s">
        <v>4</v>
      </c>
      <c r="D400" s="143">
        <v>19</v>
      </c>
      <c r="E400" s="57"/>
      <c r="F400" s="334"/>
      <c r="G400" s="112">
        <v>0</v>
      </c>
      <c r="H400" s="120">
        <v>0</v>
      </c>
      <c r="I400" s="120">
        <v>0</v>
      </c>
      <c r="J400" s="120">
        <v>0</v>
      </c>
      <c r="K400" s="110">
        <v>0</v>
      </c>
      <c r="L400" s="110"/>
      <c r="M400" s="110">
        <v>0</v>
      </c>
      <c r="N400" s="110"/>
      <c r="O400" s="110"/>
      <c r="P400" s="110">
        <f t="shared" si="78"/>
        <v>0</v>
      </c>
      <c r="Q400" s="110">
        <f t="shared" si="79"/>
        <v>0</v>
      </c>
      <c r="R400" s="110">
        <f t="shared" si="80"/>
        <v>0</v>
      </c>
      <c r="S400" s="112">
        <v>0</v>
      </c>
    </row>
    <row r="401" spans="1:19">
      <c r="A401" s="79"/>
      <c r="B401" s="77" t="s">
        <v>161</v>
      </c>
      <c r="C401" s="76" t="s">
        <v>4</v>
      </c>
      <c r="D401" s="143">
        <v>1</v>
      </c>
      <c r="E401" s="50"/>
      <c r="F401" s="334"/>
      <c r="G401" s="112">
        <v>0</v>
      </c>
      <c r="H401" s="120">
        <v>0</v>
      </c>
      <c r="I401" s="120">
        <v>0</v>
      </c>
      <c r="J401" s="120">
        <v>0</v>
      </c>
      <c r="K401" s="110">
        <v>0</v>
      </c>
      <c r="L401" s="110"/>
      <c r="M401" s="110">
        <v>0</v>
      </c>
      <c r="N401" s="110"/>
      <c r="O401" s="110"/>
      <c r="P401" s="110">
        <f t="shared" si="78"/>
        <v>0</v>
      </c>
      <c r="Q401" s="110">
        <f t="shared" si="79"/>
        <v>0</v>
      </c>
      <c r="R401" s="110">
        <f t="shared" si="80"/>
        <v>0</v>
      </c>
      <c r="S401" s="112">
        <v>0</v>
      </c>
    </row>
    <row r="402" spans="1:19">
      <c r="A402" s="79"/>
      <c r="B402" s="77" t="s">
        <v>162</v>
      </c>
      <c r="C402" s="76" t="s">
        <v>17</v>
      </c>
      <c r="D402" s="143">
        <v>1</v>
      </c>
      <c r="E402" s="50"/>
      <c r="F402" s="334"/>
      <c r="G402" s="112">
        <v>0</v>
      </c>
      <c r="H402" s="120">
        <v>0</v>
      </c>
      <c r="I402" s="120">
        <v>0</v>
      </c>
      <c r="J402" s="120">
        <v>0</v>
      </c>
      <c r="K402" s="110">
        <v>0</v>
      </c>
      <c r="L402" s="110"/>
      <c r="M402" s="110">
        <v>0</v>
      </c>
      <c r="N402" s="110"/>
      <c r="O402" s="110"/>
      <c r="P402" s="110">
        <f t="shared" si="78"/>
        <v>0</v>
      </c>
      <c r="Q402" s="110">
        <f t="shared" si="79"/>
        <v>0</v>
      </c>
      <c r="R402" s="110">
        <f t="shared" si="80"/>
        <v>0</v>
      </c>
      <c r="S402" s="112">
        <v>0</v>
      </c>
    </row>
    <row r="403" spans="1:19">
      <c r="A403" s="79"/>
      <c r="B403" s="77" t="s">
        <v>171</v>
      </c>
      <c r="C403" s="76" t="s">
        <v>8</v>
      </c>
      <c r="D403" s="143">
        <v>1</v>
      </c>
      <c r="E403" s="50"/>
      <c r="F403" s="334"/>
      <c r="G403" s="112">
        <v>0</v>
      </c>
      <c r="H403" s="120">
        <v>0</v>
      </c>
      <c r="I403" s="120">
        <v>0</v>
      </c>
      <c r="J403" s="120">
        <v>0</v>
      </c>
      <c r="K403" s="110">
        <v>0</v>
      </c>
      <c r="L403" s="110"/>
      <c r="M403" s="110">
        <v>0</v>
      </c>
      <c r="N403" s="110"/>
      <c r="O403" s="110"/>
      <c r="P403" s="110">
        <f t="shared" si="78"/>
        <v>0</v>
      </c>
      <c r="Q403" s="110">
        <f t="shared" si="79"/>
        <v>0</v>
      </c>
      <c r="R403" s="110">
        <f t="shared" si="80"/>
        <v>0</v>
      </c>
      <c r="S403" s="112">
        <v>0</v>
      </c>
    </row>
    <row r="404" spans="1:19">
      <c r="A404" s="79"/>
      <c r="B404" s="77" t="s">
        <v>172</v>
      </c>
      <c r="C404" s="76" t="s">
        <v>4</v>
      </c>
      <c r="D404" s="143">
        <v>1</v>
      </c>
      <c r="E404" s="76"/>
      <c r="F404" s="334"/>
      <c r="G404" s="112">
        <v>0</v>
      </c>
      <c r="H404" s="120">
        <v>0</v>
      </c>
      <c r="I404" s="120">
        <v>0</v>
      </c>
      <c r="J404" s="120">
        <v>0</v>
      </c>
      <c r="K404" s="110">
        <v>0</v>
      </c>
      <c r="L404" s="110"/>
      <c r="M404" s="110">
        <v>0</v>
      </c>
      <c r="N404" s="110"/>
      <c r="O404" s="110"/>
      <c r="P404" s="110">
        <f t="shared" si="78"/>
        <v>0</v>
      </c>
      <c r="Q404" s="110">
        <f t="shared" si="79"/>
        <v>0</v>
      </c>
      <c r="R404" s="110">
        <f t="shared" si="80"/>
        <v>0</v>
      </c>
      <c r="S404" s="112">
        <v>0</v>
      </c>
    </row>
    <row r="405" spans="1:19">
      <c r="A405" s="79"/>
      <c r="B405" s="77" t="s">
        <v>173</v>
      </c>
      <c r="C405" s="76" t="s">
        <v>4</v>
      </c>
      <c r="D405" s="143">
        <v>1</v>
      </c>
      <c r="E405" s="83"/>
      <c r="F405" s="334"/>
      <c r="G405" s="112">
        <v>0</v>
      </c>
      <c r="H405" s="120">
        <v>0</v>
      </c>
      <c r="I405" s="120">
        <v>0</v>
      </c>
      <c r="J405" s="120">
        <v>0</v>
      </c>
      <c r="K405" s="110">
        <v>0</v>
      </c>
      <c r="L405" s="110"/>
      <c r="M405" s="110">
        <v>0</v>
      </c>
      <c r="N405" s="110"/>
      <c r="O405" s="110"/>
      <c r="P405" s="110">
        <f t="shared" si="78"/>
        <v>0</v>
      </c>
      <c r="Q405" s="110">
        <f t="shared" si="79"/>
        <v>0</v>
      </c>
      <c r="R405" s="110">
        <f t="shared" si="80"/>
        <v>0</v>
      </c>
      <c r="S405" s="112">
        <v>0</v>
      </c>
    </row>
    <row r="406" spans="1:19">
      <c r="A406" s="79"/>
      <c r="B406" s="77" t="s">
        <v>174</v>
      </c>
      <c r="C406" s="76" t="s">
        <v>4</v>
      </c>
      <c r="D406" s="143">
        <v>1</v>
      </c>
      <c r="E406" s="83"/>
      <c r="F406" s="334"/>
      <c r="G406" s="112">
        <v>0</v>
      </c>
      <c r="H406" s="120">
        <v>0</v>
      </c>
      <c r="I406" s="120">
        <v>0</v>
      </c>
      <c r="J406" s="120">
        <v>0</v>
      </c>
      <c r="K406" s="110">
        <v>0</v>
      </c>
      <c r="L406" s="110"/>
      <c r="M406" s="110">
        <v>0</v>
      </c>
      <c r="N406" s="110"/>
      <c r="O406" s="110"/>
      <c r="P406" s="110">
        <f t="shared" si="78"/>
        <v>0</v>
      </c>
      <c r="Q406" s="110">
        <f t="shared" si="79"/>
        <v>0</v>
      </c>
      <c r="R406" s="110">
        <f t="shared" si="80"/>
        <v>0</v>
      </c>
      <c r="S406" s="112">
        <v>0</v>
      </c>
    </row>
    <row r="407" spans="1:19">
      <c r="A407" s="79"/>
      <c r="B407" s="77" t="s">
        <v>175</v>
      </c>
      <c r="C407" s="76" t="s">
        <v>4</v>
      </c>
      <c r="D407" s="143">
        <v>1</v>
      </c>
      <c r="E407" s="50"/>
      <c r="F407" s="334"/>
      <c r="G407" s="112">
        <v>0</v>
      </c>
      <c r="H407" s="120">
        <v>0</v>
      </c>
      <c r="I407" s="120">
        <v>0</v>
      </c>
      <c r="J407" s="120">
        <v>0</v>
      </c>
      <c r="K407" s="110">
        <v>0</v>
      </c>
      <c r="L407" s="110"/>
      <c r="M407" s="110">
        <v>0</v>
      </c>
      <c r="N407" s="110"/>
      <c r="O407" s="110"/>
      <c r="P407" s="110">
        <f t="shared" si="78"/>
        <v>0</v>
      </c>
      <c r="Q407" s="110">
        <f t="shared" si="79"/>
        <v>0</v>
      </c>
      <c r="R407" s="110">
        <f t="shared" si="80"/>
        <v>0</v>
      </c>
      <c r="S407" s="112">
        <v>0</v>
      </c>
    </row>
    <row r="408" spans="1:19">
      <c r="A408" s="79"/>
      <c r="B408" s="77" t="s">
        <v>176</v>
      </c>
      <c r="C408" s="76" t="s">
        <v>4</v>
      </c>
      <c r="D408" s="143">
        <v>2</v>
      </c>
      <c r="E408" s="74"/>
      <c r="F408" s="334"/>
      <c r="G408" s="112">
        <v>0</v>
      </c>
      <c r="H408" s="120">
        <v>0</v>
      </c>
      <c r="I408" s="120">
        <v>0</v>
      </c>
      <c r="J408" s="120">
        <v>0</v>
      </c>
      <c r="K408" s="110">
        <v>0</v>
      </c>
      <c r="L408" s="110"/>
      <c r="M408" s="110">
        <v>0</v>
      </c>
      <c r="N408" s="110"/>
      <c r="O408" s="110"/>
      <c r="P408" s="110">
        <f t="shared" si="78"/>
        <v>0</v>
      </c>
      <c r="Q408" s="110">
        <f t="shared" si="79"/>
        <v>0</v>
      </c>
      <c r="R408" s="110">
        <f t="shared" si="80"/>
        <v>0</v>
      </c>
      <c r="S408" s="112">
        <v>0</v>
      </c>
    </row>
    <row r="409" spans="1:19">
      <c r="A409" s="79"/>
      <c r="B409" s="77" t="s">
        <v>177</v>
      </c>
      <c r="C409" s="76" t="s">
        <v>17</v>
      </c>
      <c r="D409" s="143">
        <v>1</v>
      </c>
      <c r="E409" s="74"/>
      <c r="F409" s="334"/>
      <c r="G409" s="112">
        <v>0</v>
      </c>
      <c r="H409" s="120">
        <v>0</v>
      </c>
      <c r="I409" s="120">
        <v>0</v>
      </c>
      <c r="J409" s="120">
        <v>0</v>
      </c>
      <c r="K409" s="110">
        <v>0</v>
      </c>
      <c r="L409" s="110"/>
      <c r="M409" s="110">
        <v>0</v>
      </c>
      <c r="N409" s="110"/>
      <c r="O409" s="110"/>
      <c r="P409" s="110">
        <f t="shared" si="78"/>
        <v>0</v>
      </c>
      <c r="Q409" s="110">
        <f t="shared" si="79"/>
        <v>0</v>
      </c>
      <c r="R409" s="110">
        <f t="shared" si="80"/>
        <v>0</v>
      </c>
      <c r="S409" s="112">
        <v>0</v>
      </c>
    </row>
    <row r="410" spans="1:19">
      <c r="A410" s="79"/>
      <c r="B410" s="77" t="s">
        <v>178</v>
      </c>
      <c r="C410" s="76" t="s">
        <v>8</v>
      </c>
      <c r="D410" s="143">
        <v>1</v>
      </c>
      <c r="E410" s="74"/>
      <c r="F410" s="334"/>
      <c r="G410" s="112">
        <v>0</v>
      </c>
      <c r="H410" s="120">
        <v>0</v>
      </c>
      <c r="I410" s="120">
        <v>0</v>
      </c>
      <c r="J410" s="120">
        <v>0</v>
      </c>
      <c r="K410" s="110">
        <v>0</v>
      </c>
      <c r="L410" s="110"/>
      <c r="M410" s="110">
        <v>0</v>
      </c>
      <c r="N410" s="110"/>
      <c r="O410" s="110"/>
      <c r="P410" s="110">
        <f t="shared" si="78"/>
        <v>0</v>
      </c>
      <c r="Q410" s="110">
        <f t="shared" si="79"/>
        <v>0</v>
      </c>
      <c r="R410" s="110">
        <f t="shared" si="80"/>
        <v>0</v>
      </c>
      <c r="S410" s="112">
        <v>0</v>
      </c>
    </row>
    <row r="411" spans="1:19">
      <c r="A411" s="79"/>
      <c r="B411" s="77" t="s">
        <v>179</v>
      </c>
      <c r="C411" s="76" t="s">
        <v>4</v>
      </c>
      <c r="D411" s="143">
        <v>1</v>
      </c>
      <c r="E411" s="74"/>
      <c r="F411" s="334"/>
      <c r="G411" s="112">
        <v>0</v>
      </c>
      <c r="H411" s="120">
        <v>0</v>
      </c>
      <c r="I411" s="120">
        <v>0</v>
      </c>
      <c r="J411" s="120">
        <v>0</v>
      </c>
      <c r="K411" s="110">
        <v>0</v>
      </c>
      <c r="L411" s="110"/>
      <c r="M411" s="110">
        <v>0</v>
      </c>
      <c r="N411" s="110"/>
      <c r="O411" s="110"/>
      <c r="P411" s="110">
        <f t="shared" si="78"/>
        <v>0</v>
      </c>
      <c r="Q411" s="110">
        <f t="shared" si="79"/>
        <v>0</v>
      </c>
      <c r="R411" s="110">
        <f t="shared" si="80"/>
        <v>0</v>
      </c>
      <c r="S411" s="112">
        <v>0</v>
      </c>
    </row>
    <row r="412" spans="1:19">
      <c r="A412" s="79"/>
      <c r="B412" s="77" t="s">
        <v>173</v>
      </c>
      <c r="C412" s="76" t="s">
        <v>4</v>
      </c>
      <c r="D412" s="143">
        <v>1</v>
      </c>
      <c r="E412" s="74"/>
      <c r="F412" s="334"/>
      <c r="G412" s="112">
        <v>0</v>
      </c>
      <c r="H412" s="120">
        <v>0</v>
      </c>
      <c r="I412" s="120">
        <v>0</v>
      </c>
      <c r="J412" s="120">
        <v>0</v>
      </c>
      <c r="K412" s="110">
        <v>0</v>
      </c>
      <c r="L412" s="110"/>
      <c r="M412" s="110">
        <v>0</v>
      </c>
      <c r="N412" s="110"/>
      <c r="O412" s="110"/>
      <c r="P412" s="110">
        <f t="shared" si="78"/>
        <v>0</v>
      </c>
      <c r="Q412" s="110">
        <f t="shared" si="79"/>
        <v>0</v>
      </c>
      <c r="R412" s="110">
        <f t="shared" si="80"/>
        <v>0</v>
      </c>
      <c r="S412" s="112">
        <v>0</v>
      </c>
    </row>
    <row r="413" spans="1:19">
      <c r="A413" s="79"/>
      <c r="B413" s="77" t="s">
        <v>180</v>
      </c>
      <c r="C413" s="76" t="s">
        <v>4</v>
      </c>
      <c r="D413" s="143">
        <v>1</v>
      </c>
      <c r="E413" s="74"/>
      <c r="F413" s="334"/>
      <c r="G413" s="112">
        <v>0</v>
      </c>
      <c r="H413" s="120">
        <v>0</v>
      </c>
      <c r="I413" s="120">
        <v>0</v>
      </c>
      <c r="J413" s="120">
        <v>0</v>
      </c>
      <c r="K413" s="110">
        <v>0</v>
      </c>
      <c r="L413" s="110"/>
      <c r="M413" s="110">
        <v>0</v>
      </c>
      <c r="N413" s="110"/>
      <c r="O413" s="110"/>
      <c r="P413" s="110">
        <f t="shared" si="78"/>
        <v>0</v>
      </c>
      <c r="Q413" s="110">
        <f t="shared" si="79"/>
        <v>0</v>
      </c>
      <c r="R413" s="110">
        <f t="shared" si="80"/>
        <v>0</v>
      </c>
      <c r="S413" s="112">
        <v>0</v>
      </c>
    </row>
    <row r="414" spans="1:19">
      <c r="A414" s="79"/>
      <c r="B414" s="77" t="s">
        <v>175</v>
      </c>
      <c r="C414" s="76" t="s">
        <v>4</v>
      </c>
      <c r="D414" s="143">
        <v>1</v>
      </c>
      <c r="E414" s="74"/>
      <c r="F414" s="334"/>
      <c r="G414" s="112">
        <v>0</v>
      </c>
      <c r="H414" s="120">
        <v>0</v>
      </c>
      <c r="I414" s="120">
        <v>0</v>
      </c>
      <c r="J414" s="120">
        <v>0</v>
      </c>
      <c r="K414" s="110">
        <v>0</v>
      </c>
      <c r="L414" s="110"/>
      <c r="M414" s="110">
        <v>0</v>
      </c>
      <c r="N414" s="110"/>
      <c r="O414" s="110"/>
      <c r="P414" s="110">
        <f t="shared" si="78"/>
        <v>0</v>
      </c>
      <c r="Q414" s="110">
        <f t="shared" si="79"/>
        <v>0</v>
      </c>
      <c r="R414" s="110">
        <f t="shared" si="80"/>
        <v>0</v>
      </c>
      <c r="S414" s="112">
        <v>0</v>
      </c>
    </row>
    <row r="415" spans="1:19">
      <c r="A415" s="79"/>
      <c r="B415" s="77" t="s">
        <v>176</v>
      </c>
      <c r="C415" s="76" t="s">
        <v>4</v>
      </c>
      <c r="D415" s="143">
        <v>2</v>
      </c>
      <c r="E415" s="74"/>
      <c r="F415" s="334"/>
      <c r="G415" s="112">
        <v>0</v>
      </c>
      <c r="H415" s="120">
        <v>0</v>
      </c>
      <c r="I415" s="120">
        <v>0</v>
      </c>
      <c r="J415" s="120">
        <v>0</v>
      </c>
      <c r="K415" s="110">
        <v>0</v>
      </c>
      <c r="L415" s="110"/>
      <c r="M415" s="110">
        <v>0</v>
      </c>
      <c r="N415" s="110"/>
      <c r="O415" s="110"/>
      <c r="P415" s="110">
        <f t="shared" si="78"/>
        <v>0</v>
      </c>
      <c r="Q415" s="110">
        <f t="shared" si="79"/>
        <v>0</v>
      </c>
      <c r="R415" s="110">
        <f t="shared" si="80"/>
        <v>0</v>
      </c>
      <c r="S415" s="112">
        <v>0</v>
      </c>
    </row>
    <row r="416" spans="1:19">
      <c r="A416" s="79"/>
      <c r="B416" s="77" t="s">
        <v>177</v>
      </c>
      <c r="C416" s="76" t="s">
        <v>17</v>
      </c>
      <c r="D416" s="143">
        <v>1</v>
      </c>
      <c r="E416" s="74"/>
      <c r="F416" s="334"/>
      <c r="G416" s="112">
        <v>0</v>
      </c>
      <c r="H416" s="120">
        <v>0</v>
      </c>
      <c r="I416" s="120">
        <v>0</v>
      </c>
      <c r="J416" s="120">
        <v>0</v>
      </c>
      <c r="K416" s="110">
        <v>0</v>
      </c>
      <c r="L416" s="110"/>
      <c r="M416" s="110">
        <v>0</v>
      </c>
      <c r="N416" s="110"/>
      <c r="O416" s="110"/>
      <c r="P416" s="110">
        <f t="shared" si="78"/>
        <v>0</v>
      </c>
      <c r="Q416" s="110">
        <f t="shared" si="79"/>
        <v>0</v>
      </c>
      <c r="R416" s="110">
        <f t="shared" si="80"/>
        <v>0</v>
      </c>
      <c r="S416" s="112">
        <v>0</v>
      </c>
    </row>
    <row r="417" spans="1:19">
      <c r="A417" s="79"/>
      <c r="B417" s="77" t="s">
        <v>163</v>
      </c>
      <c r="C417" s="76" t="s">
        <v>4</v>
      </c>
      <c r="D417" s="143">
        <v>1</v>
      </c>
      <c r="E417" s="74"/>
      <c r="F417" s="334"/>
      <c r="G417" s="112">
        <v>0</v>
      </c>
      <c r="H417" s="120">
        <v>0</v>
      </c>
      <c r="I417" s="120">
        <v>0</v>
      </c>
      <c r="J417" s="120">
        <v>0</v>
      </c>
      <c r="K417" s="110">
        <v>0</v>
      </c>
      <c r="L417" s="110"/>
      <c r="M417" s="110">
        <v>0</v>
      </c>
      <c r="N417" s="110"/>
      <c r="O417" s="110"/>
      <c r="P417" s="110">
        <f t="shared" si="78"/>
        <v>0</v>
      </c>
      <c r="Q417" s="110">
        <f t="shared" si="79"/>
        <v>0</v>
      </c>
      <c r="R417" s="110">
        <f t="shared" si="80"/>
        <v>0</v>
      </c>
      <c r="S417" s="112">
        <v>0</v>
      </c>
    </row>
    <row r="418" spans="1:19" ht="30">
      <c r="A418" s="79"/>
      <c r="B418" s="77" t="s">
        <v>164</v>
      </c>
      <c r="C418" s="76" t="s">
        <v>8</v>
      </c>
      <c r="D418" s="143">
        <v>1</v>
      </c>
      <c r="E418" s="74"/>
      <c r="F418" s="334"/>
      <c r="G418" s="112">
        <v>0</v>
      </c>
      <c r="H418" s="120">
        <v>0</v>
      </c>
      <c r="I418" s="120">
        <v>0</v>
      </c>
      <c r="J418" s="120">
        <v>0</v>
      </c>
      <c r="K418" s="110">
        <v>0</v>
      </c>
      <c r="L418" s="110"/>
      <c r="M418" s="110">
        <v>0</v>
      </c>
      <c r="N418" s="110"/>
      <c r="O418" s="110"/>
      <c r="P418" s="110">
        <f t="shared" si="78"/>
        <v>0</v>
      </c>
      <c r="Q418" s="110">
        <f t="shared" si="79"/>
        <v>0</v>
      </c>
      <c r="R418" s="110">
        <f t="shared" si="80"/>
        <v>0</v>
      </c>
      <c r="S418" s="112">
        <v>0</v>
      </c>
    </row>
    <row r="419" spans="1:19">
      <c r="A419" s="79"/>
      <c r="B419" s="77" t="s">
        <v>165</v>
      </c>
      <c r="C419" s="76" t="s">
        <v>8</v>
      </c>
      <c r="D419" s="143">
        <v>1</v>
      </c>
      <c r="E419" s="74"/>
      <c r="F419" s="334"/>
      <c r="G419" s="112">
        <v>0</v>
      </c>
      <c r="H419" s="120">
        <v>0</v>
      </c>
      <c r="I419" s="120">
        <v>0</v>
      </c>
      <c r="J419" s="120">
        <v>0</v>
      </c>
      <c r="K419" s="110">
        <v>0</v>
      </c>
      <c r="L419" s="110"/>
      <c r="M419" s="110">
        <v>0</v>
      </c>
      <c r="N419" s="110"/>
      <c r="O419" s="110"/>
      <c r="P419" s="110">
        <f t="shared" si="78"/>
        <v>0</v>
      </c>
      <c r="Q419" s="110">
        <f t="shared" si="79"/>
        <v>0</v>
      </c>
      <c r="R419" s="110">
        <f t="shared" si="80"/>
        <v>0</v>
      </c>
      <c r="S419" s="112">
        <v>0</v>
      </c>
    </row>
    <row r="420" spans="1:19" ht="45">
      <c r="A420" s="79"/>
      <c r="B420" s="77" t="s">
        <v>166</v>
      </c>
      <c r="C420" s="76" t="s">
        <v>17</v>
      </c>
      <c r="D420" s="143">
        <v>1</v>
      </c>
      <c r="E420" s="82"/>
      <c r="F420" s="334"/>
      <c r="G420" s="112">
        <v>0</v>
      </c>
      <c r="H420" s="120">
        <v>0</v>
      </c>
      <c r="I420" s="120">
        <v>0</v>
      </c>
      <c r="J420" s="120">
        <v>0</v>
      </c>
      <c r="K420" s="110">
        <v>0</v>
      </c>
      <c r="L420" s="110"/>
      <c r="M420" s="110">
        <v>0</v>
      </c>
      <c r="N420" s="110"/>
      <c r="O420" s="110"/>
      <c r="P420" s="110">
        <f t="shared" si="78"/>
        <v>0</v>
      </c>
      <c r="Q420" s="110">
        <f t="shared" si="79"/>
        <v>0</v>
      </c>
      <c r="R420" s="110">
        <f t="shared" si="80"/>
        <v>0</v>
      </c>
      <c r="S420" s="112">
        <v>0</v>
      </c>
    </row>
    <row r="421" spans="1:19" ht="60">
      <c r="A421" s="79">
        <v>3</v>
      </c>
      <c r="B421" s="77" t="s">
        <v>181</v>
      </c>
      <c r="C421" s="76" t="s">
        <v>6</v>
      </c>
      <c r="D421" s="143">
        <v>2</v>
      </c>
      <c r="E421" s="73"/>
      <c r="F421" s="334">
        <v>2</v>
      </c>
      <c r="G421" s="112" t="s">
        <v>181</v>
      </c>
      <c r="H421" s="120" t="s">
        <v>1076</v>
      </c>
      <c r="I421" s="120" t="s">
        <v>828</v>
      </c>
      <c r="J421" s="120" t="s">
        <v>829</v>
      </c>
      <c r="K421" s="110">
        <v>23007500</v>
      </c>
      <c r="L421" s="110"/>
      <c r="M421" s="110">
        <v>2821000</v>
      </c>
      <c r="N421" s="110"/>
      <c r="O421" s="110"/>
      <c r="P421" s="110">
        <f t="shared" si="78"/>
        <v>25828500</v>
      </c>
      <c r="Q421" s="110">
        <f t="shared" si="79"/>
        <v>51657000</v>
      </c>
      <c r="R421" s="110">
        <f t="shared" si="80"/>
        <v>51657000</v>
      </c>
      <c r="S421" s="112" t="s">
        <v>4094</v>
      </c>
    </row>
    <row r="422" spans="1:19" ht="45">
      <c r="A422" s="79"/>
      <c r="B422" s="77" t="s">
        <v>182</v>
      </c>
      <c r="C422" s="76" t="s">
        <v>4</v>
      </c>
      <c r="D422" s="143">
        <v>1</v>
      </c>
      <c r="E422" s="50"/>
      <c r="F422" s="334"/>
      <c r="G422" s="112">
        <v>0</v>
      </c>
      <c r="H422" s="120">
        <v>0</v>
      </c>
      <c r="I422" s="120">
        <v>0</v>
      </c>
      <c r="J422" s="120">
        <v>0</v>
      </c>
      <c r="K422" s="110">
        <v>0</v>
      </c>
      <c r="L422" s="110"/>
      <c r="M422" s="110">
        <v>0</v>
      </c>
      <c r="N422" s="110"/>
      <c r="O422" s="110"/>
      <c r="P422" s="110">
        <f t="shared" si="78"/>
        <v>0</v>
      </c>
      <c r="Q422" s="110">
        <f t="shared" si="79"/>
        <v>0</v>
      </c>
      <c r="R422" s="110">
        <f t="shared" si="80"/>
        <v>0</v>
      </c>
      <c r="S422" s="112" t="s">
        <v>150</v>
      </c>
    </row>
    <row r="423" spans="1:19">
      <c r="A423" s="79"/>
      <c r="B423" s="77" t="s">
        <v>151</v>
      </c>
      <c r="C423" s="76"/>
      <c r="D423" s="143"/>
      <c r="E423" s="57"/>
      <c r="F423" s="57"/>
      <c r="G423" s="112">
        <v>0</v>
      </c>
      <c r="H423" s="120">
        <v>0</v>
      </c>
      <c r="I423" s="120">
        <v>0</v>
      </c>
      <c r="J423" s="120">
        <v>0</v>
      </c>
      <c r="K423" s="110">
        <v>0</v>
      </c>
      <c r="L423" s="110"/>
      <c r="M423" s="110">
        <v>0</v>
      </c>
      <c r="N423" s="110"/>
      <c r="O423" s="110"/>
      <c r="P423" s="110">
        <f t="shared" si="78"/>
        <v>0</v>
      </c>
      <c r="Q423" s="110">
        <f t="shared" si="79"/>
        <v>0</v>
      </c>
      <c r="R423" s="110">
        <f t="shared" si="80"/>
        <v>0</v>
      </c>
      <c r="S423" s="112">
        <v>0</v>
      </c>
    </row>
    <row r="424" spans="1:19">
      <c r="A424" s="79"/>
      <c r="B424" s="77" t="s">
        <v>183</v>
      </c>
      <c r="C424" s="76" t="s">
        <v>4</v>
      </c>
      <c r="D424" s="143">
        <v>1</v>
      </c>
      <c r="E424" s="50"/>
      <c r="F424" s="334"/>
      <c r="G424" s="112">
        <v>0</v>
      </c>
      <c r="H424" s="120">
        <v>0</v>
      </c>
      <c r="I424" s="120">
        <v>0</v>
      </c>
      <c r="J424" s="120">
        <v>0</v>
      </c>
      <c r="K424" s="110">
        <v>0</v>
      </c>
      <c r="L424" s="110"/>
      <c r="M424" s="110">
        <v>0</v>
      </c>
      <c r="N424" s="110"/>
      <c r="O424" s="110"/>
      <c r="P424" s="110">
        <f t="shared" si="78"/>
        <v>0</v>
      </c>
      <c r="Q424" s="110">
        <f t="shared" si="79"/>
        <v>0</v>
      </c>
      <c r="R424" s="110">
        <f t="shared" si="80"/>
        <v>0</v>
      </c>
      <c r="S424" s="112">
        <v>0</v>
      </c>
    </row>
    <row r="425" spans="1:19">
      <c r="A425" s="79"/>
      <c r="B425" s="77" t="s">
        <v>57</v>
      </c>
      <c r="C425" s="76" t="s">
        <v>12</v>
      </c>
      <c r="D425" s="143">
        <v>3</v>
      </c>
      <c r="E425" s="50"/>
      <c r="F425" s="334"/>
      <c r="G425" s="112">
        <v>0</v>
      </c>
      <c r="H425" s="120">
        <v>0</v>
      </c>
      <c r="I425" s="120">
        <v>0</v>
      </c>
      <c r="J425" s="120">
        <v>0</v>
      </c>
      <c r="K425" s="110">
        <v>0</v>
      </c>
      <c r="L425" s="110"/>
      <c r="M425" s="110">
        <v>0</v>
      </c>
      <c r="N425" s="110"/>
      <c r="O425" s="110"/>
      <c r="P425" s="110">
        <f t="shared" si="78"/>
        <v>0</v>
      </c>
      <c r="Q425" s="110">
        <f t="shared" si="79"/>
        <v>0</v>
      </c>
      <c r="R425" s="110">
        <f t="shared" si="80"/>
        <v>0</v>
      </c>
      <c r="S425" s="112">
        <v>0</v>
      </c>
    </row>
    <row r="426" spans="1:19">
      <c r="A426" s="79"/>
      <c r="B426" s="77" t="s">
        <v>29</v>
      </c>
      <c r="C426" s="76" t="s">
        <v>4</v>
      </c>
      <c r="D426" s="143">
        <v>1</v>
      </c>
      <c r="E426" s="50"/>
      <c r="F426" s="334"/>
      <c r="G426" s="112">
        <v>0</v>
      </c>
      <c r="H426" s="120">
        <v>0</v>
      </c>
      <c r="I426" s="120">
        <v>0</v>
      </c>
      <c r="J426" s="120">
        <v>0</v>
      </c>
      <c r="K426" s="110">
        <v>0</v>
      </c>
      <c r="L426" s="110"/>
      <c r="M426" s="110">
        <v>0</v>
      </c>
      <c r="N426" s="110"/>
      <c r="O426" s="110"/>
      <c r="P426" s="110">
        <f t="shared" si="78"/>
        <v>0</v>
      </c>
      <c r="Q426" s="110">
        <f t="shared" si="79"/>
        <v>0</v>
      </c>
      <c r="R426" s="110">
        <f t="shared" si="80"/>
        <v>0</v>
      </c>
      <c r="S426" s="112">
        <v>0</v>
      </c>
    </row>
    <row r="427" spans="1:19">
      <c r="A427" s="79"/>
      <c r="B427" s="77" t="s">
        <v>30</v>
      </c>
      <c r="C427" s="76" t="s">
        <v>4</v>
      </c>
      <c r="D427" s="143">
        <v>1</v>
      </c>
      <c r="E427" s="76"/>
      <c r="F427" s="334"/>
      <c r="G427" s="112">
        <v>0</v>
      </c>
      <c r="H427" s="120">
        <v>0</v>
      </c>
      <c r="I427" s="120">
        <v>0</v>
      </c>
      <c r="J427" s="120">
        <v>0</v>
      </c>
      <c r="K427" s="110">
        <v>0</v>
      </c>
      <c r="L427" s="110"/>
      <c r="M427" s="110">
        <v>0</v>
      </c>
      <c r="N427" s="110"/>
      <c r="O427" s="110"/>
      <c r="P427" s="110">
        <f t="shared" si="78"/>
        <v>0</v>
      </c>
      <c r="Q427" s="110">
        <f t="shared" si="79"/>
        <v>0</v>
      </c>
      <c r="R427" s="110">
        <f t="shared" si="80"/>
        <v>0</v>
      </c>
      <c r="S427" s="112">
        <v>0</v>
      </c>
    </row>
    <row r="428" spans="1:19">
      <c r="A428" s="79"/>
      <c r="B428" s="77" t="s">
        <v>184</v>
      </c>
      <c r="C428" s="76" t="s">
        <v>4</v>
      </c>
      <c r="D428" s="143">
        <v>3</v>
      </c>
      <c r="E428" s="83"/>
      <c r="F428" s="334"/>
      <c r="G428" s="112">
        <v>0</v>
      </c>
      <c r="H428" s="120">
        <v>0</v>
      </c>
      <c r="I428" s="120">
        <v>0</v>
      </c>
      <c r="J428" s="120">
        <v>0</v>
      </c>
      <c r="K428" s="110">
        <v>0</v>
      </c>
      <c r="L428" s="110"/>
      <c r="M428" s="110">
        <v>0</v>
      </c>
      <c r="N428" s="110"/>
      <c r="O428" s="110"/>
      <c r="P428" s="110">
        <f t="shared" si="78"/>
        <v>0</v>
      </c>
      <c r="Q428" s="110">
        <f t="shared" si="79"/>
        <v>0</v>
      </c>
      <c r="R428" s="110">
        <f t="shared" si="80"/>
        <v>0</v>
      </c>
      <c r="S428" s="112">
        <v>0</v>
      </c>
    </row>
    <row r="429" spans="1:19">
      <c r="A429" s="79"/>
      <c r="B429" s="77" t="s">
        <v>14</v>
      </c>
      <c r="C429" s="76" t="s">
        <v>4</v>
      </c>
      <c r="D429" s="143">
        <v>3</v>
      </c>
      <c r="E429" s="83"/>
      <c r="F429" s="334"/>
      <c r="G429" s="112">
        <v>0</v>
      </c>
      <c r="H429" s="120">
        <v>0</v>
      </c>
      <c r="I429" s="120">
        <v>0</v>
      </c>
      <c r="J429" s="120">
        <v>0</v>
      </c>
      <c r="K429" s="110">
        <v>0</v>
      </c>
      <c r="L429" s="110"/>
      <c r="M429" s="110">
        <v>0</v>
      </c>
      <c r="N429" s="110"/>
      <c r="O429" s="110"/>
      <c r="P429" s="110">
        <f t="shared" si="78"/>
        <v>0</v>
      </c>
      <c r="Q429" s="110">
        <f t="shared" si="79"/>
        <v>0</v>
      </c>
      <c r="R429" s="110">
        <f t="shared" si="80"/>
        <v>0</v>
      </c>
      <c r="S429" s="112">
        <v>0</v>
      </c>
    </row>
    <row r="430" spans="1:19">
      <c r="A430" s="79"/>
      <c r="B430" s="77" t="s">
        <v>153</v>
      </c>
      <c r="C430" s="76" t="s">
        <v>4</v>
      </c>
      <c r="D430" s="143">
        <v>3</v>
      </c>
      <c r="E430" s="57"/>
      <c r="F430" s="334"/>
      <c r="G430" s="112">
        <v>0</v>
      </c>
      <c r="H430" s="120">
        <v>0</v>
      </c>
      <c r="I430" s="120">
        <v>0</v>
      </c>
      <c r="J430" s="120">
        <v>0</v>
      </c>
      <c r="K430" s="110">
        <v>0</v>
      </c>
      <c r="L430" s="110"/>
      <c r="M430" s="110">
        <v>0</v>
      </c>
      <c r="N430" s="110"/>
      <c r="O430" s="110"/>
      <c r="P430" s="110">
        <f t="shared" si="78"/>
        <v>0</v>
      </c>
      <c r="Q430" s="110">
        <f t="shared" si="79"/>
        <v>0</v>
      </c>
      <c r="R430" s="110">
        <f t="shared" si="80"/>
        <v>0</v>
      </c>
      <c r="S430" s="112">
        <v>0</v>
      </c>
    </row>
    <row r="431" spans="1:19">
      <c r="A431" s="79"/>
      <c r="B431" s="77" t="s">
        <v>154</v>
      </c>
      <c r="C431" s="76"/>
      <c r="D431" s="143"/>
      <c r="E431" s="74"/>
      <c r="F431" s="74"/>
      <c r="G431" s="112">
        <v>0</v>
      </c>
      <c r="H431" s="120">
        <v>0</v>
      </c>
      <c r="I431" s="120">
        <v>0</v>
      </c>
      <c r="J431" s="120">
        <v>0</v>
      </c>
      <c r="K431" s="110">
        <v>0</v>
      </c>
      <c r="L431" s="110"/>
      <c r="M431" s="110">
        <v>0</v>
      </c>
      <c r="N431" s="110"/>
      <c r="O431" s="110"/>
      <c r="P431" s="110">
        <f t="shared" si="78"/>
        <v>0</v>
      </c>
      <c r="Q431" s="110">
        <f t="shared" si="79"/>
        <v>0</v>
      </c>
      <c r="R431" s="110">
        <f t="shared" si="80"/>
        <v>0</v>
      </c>
      <c r="S431" s="112">
        <v>0</v>
      </c>
    </row>
    <row r="432" spans="1:19">
      <c r="A432" s="79"/>
      <c r="B432" s="77" t="s">
        <v>185</v>
      </c>
      <c r="C432" s="76" t="s">
        <v>4</v>
      </c>
      <c r="D432" s="143">
        <v>2</v>
      </c>
      <c r="E432" s="74"/>
      <c r="F432" s="334"/>
      <c r="G432" s="112">
        <v>0</v>
      </c>
      <c r="H432" s="120">
        <v>0</v>
      </c>
      <c r="I432" s="120">
        <v>0</v>
      </c>
      <c r="J432" s="120">
        <v>0</v>
      </c>
      <c r="K432" s="110">
        <v>0</v>
      </c>
      <c r="L432" s="110"/>
      <c r="M432" s="110">
        <v>0</v>
      </c>
      <c r="N432" s="110"/>
      <c r="O432" s="110"/>
      <c r="P432" s="110">
        <f t="shared" si="78"/>
        <v>0</v>
      </c>
      <c r="Q432" s="110">
        <f t="shared" si="79"/>
        <v>0</v>
      </c>
      <c r="R432" s="110">
        <f t="shared" si="80"/>
        <v>0</v>
      </c>
      <c r="S432" s="112">
        <v>0</v>
      </c>
    </row>
    <row r="433" spans="1:19">
      <c r="A433" s="79"/>
      <c r="B433" s="77" t="s">
        <v>158</v>
      </c>
      <c r="C433" s="76" t="s">
        <v>4</v>
      </c>
      <c r="D433" s="143">
        <v>1</v>
      </c>
      <c r="E433" s="74"/>
      <c r="F433" s="334"/>
      <c r="G433" s="112">
        <v>0</v>
      </c>
      <c r="H433" s="120">
        <v>0</v>
      </c>
      <c r="I433" s="120">
        <v>0</v>
      </c>
      <c r="J433" s="120">
        <v>0</v>
      </c>
      <c r="K433" s="110">
        <v>0</v>
      </c>
      <c r="L433" s="110"/>
      <c r="M433" s="110">
        <v>0</v>
      </c>
      <c r="N433" s="110"/>
      <c r="O433" s="110"/>
      <c r="P433" s="110">
        <f t="shared" ref="P433:P496" si="81">+K433+L433+M433+N433+O433</f>
        <v>0</v>
      </c>
      <c r="Q433" s="110">
        <f t="shared" ref="Q433:Q496" si="82">+P433*D433</f>
        <v>0</v>
      </c>
      <c r="R433" s="110">
        <f t="shared" ref="R433:R496" si="83">P433*F433</f>
        <v>0</v>
      </c>
      <c r="S433" s="112">
        <v>0</v>
      </c>
    </row>
    <row r="434" spans="1:19">
      <c r="A434" s="79"/>
      <c r="B434" s="77" t="s">
        <v>186</v>
      </c>
      <c r="C434" s="76" t="s">
        <v>8</v>
      </c>
      <c r="D434" s="143">
        <v>2</v>
      </c>
      <c r="E434" s="74"/>
      <c r="F434" s="334"/>
      <c r="G434" s="112">
        <v>0</v>
      </c>
      <c r="H434" s="120">
        <v>0</v>
      </c>
      <c r="I434" s="120">
        <v>0</v>
      </c>
      <c r="J434" s="120">
        <v>0</v>
      </c>
      <c r="K434" s="110">
        <v>0</v>
      </c>
      <c r="L434" s="110"/>
      <c r="M434" s="110">
        <v>0</v>
      </c>
      <c r="N434" s="110"/>
      <c r="O434" s="110"/>
      <c r="P434" s="110">
        <f t="shared" si="81"/>
        <v>0</v>
      </c>
      <c r="Q434" s="110">
        <f t="shared" si="82"/>
        <v>0</v>
      </c>
      <c r="R434" s="110">
        <f t="shared" si="83"/>
        <v>0</v>
      </c>
      <c r="S434" s="112">
        <v>0</v>
      </c>
    </row>
    <row r="435" spans="1:19">
      <c r="A435" s="79"/>
      <c r="B435" s="77" t="s">
        <v>187</v>
      </c>
      <c r="C435" s="76" t="s">
        <v>4</v>
      </c>
      <c r="D435" s="143">
        <v>2</v>
      </c>
      <c r="E435" s="82"/>
      <c r="F435" s="334"/>
      <c r="G435" s="112">
        <v>0</v>
      </c>
      <c r="H435" s="120">
        <v>0</v>
      </c>
      <c r="I435" s="120">
        <v>0</v>
      </c>
      <c r="J435" s="120">
        <v>0</v>
      </c>
      <c r="K435" s="110">
        <v>0</v>
      </c>
      <c r="L435" s="110"/>
      <c r="M435" s="110">
        <v>0</v>
      </c>
      <c r="N435" s="110"/>
      <c r="O435" s="110"/>
      <c r="P435" s="110">
        <f t="shared" si="81"/>
        <v>0</v>
      </c>
      <c r="Q435" s="110">
        <f t="shared" si="82"/>
        <v>0</v>
      </c>
      <c r="R435" s="110">
        <f t="shared" si="83"/>
        <v>0</v>
      </c>
      <c r="S435" s="112">
        <v>0</v>
      </c>
    </row>
    <row r="436" spans="1:19">
      <c r="A436" s="79"/>
      <c r="B436" s="77" t="s">
        <v>173</v>
      </c>
      <c r="C436" s="76" t="s">
        <v>4</v>
      </c>
      <c r="D436" s="143">
        <v>2</v>
      </c>
      <c r="E436" s="59"/>
      <c r="F436" s="334"/>
      <c r="G436" s="112">
        <v>0</v>
      </c>
      <c r="H436" s="120">
        <v>0</v>
      </c>
      <c r="I436" s="120">
        <v>0</v>
      </c>
      <c r="J436" s="120">
        <v>0</v>
      </c>
      <c r="K436" s="110">
        <v>0</v>
      </c>
      <c r="L436" s="110"/>
      <c r="M436" s="110">
        <v>0</v>
      </c>
      <c r="N436" s="110"/>
      <c r="O436" s="110"/>
      <c r="P436" s="110">
        <f t="shared" si="81"/>
        <v>0</v>
      </c>
      <c r="Q436" s="110">
        <f t="shared" si="82"/>
        <v>0</v>
      </c>
      <c r="R436" s="110">
        <f t="shared" si="83"/>
        <v>0</v>
      </c>
      <c r="S436" s="112">
        <v>0</v>
      </c>
    </row>
    <row r="437" spans="1:19">
      <c r="A437" s="79"/>
      <c r="B437" s="77" t="s">
        <v>188</v>
      </c>
      <c r="C437" s="76" t="s">
        <v>4</v>
      </c>
      <c r="D437" s="143">
        <v>2</v>
      </c>
      <c r="E437" s="77"/>
      <c r="F437" s="334"/>
      <c r="G437" s="112">
        <v>0</v>
      </c>
      <c r="H437" s="120">
        <v>0</v>
      </c>
      <c r="I437" s="120">
        <v>0</v>
      </c>
      <c r="J437" s="120">
        <v>0</v>
      </c>
      <c r="K437" s="110">
        <v>0</v>
      </c>
      <c r="L437" s="110"/>
      <c r="M437" s="110">
        <v>0</v>
      </c>
      <c r="N437" s="110"/>
      <c r="O437" s="110"/>
      <c r="P437" s="110">
        <f t="shared" si="81"/>
        <v>0</v>
      </c>
      <c r="Q437" s="110">
        <f t="shared" si="82"/>
        <v>0</v>
      </c>
      <c r="R437" s="110">
        <f t="shared" si="83"/>
        <v>0</v>
      </c>
      <c r="S437" s="112">
        <v>0</v>
      </c>
    </row>
    <row r="438" spans="1:19">
      <c r="A438" s="79"/>
      <c r="B438" s="77" t="s">
        <v>175</v>
      </c>
      <c r="C438" s="76" t="s">
        <v>4</v>
      </c>
      <c r="D438" s="143">
        <v>2</v>
      </c>
      <c r="E438" s="77"/>
      <c r="F438" s="334"/>
      <c r="G438" s="112">
        <v>0</v>
      </c>
      <c r="H438" s="120">
        <v>0</v>
      </c>
      <c r="I438" s="120">
        <v>0</v>
      </c>
      <c r="J438" s="120">
        <v>0</v>
      </c>
      <c r="K438" s="110">
        <v>0</v>
      </c>
      <c r="L438" s="110"/>
      <c r="M438" s="110">
        <v>0</v>
      </c>
      <c r="N438" s="110"/>
      <c r="O438" s="110"/>
      <c r="P438" s="110">
        <f t="shared" si="81"/>
        <v>0</v>
      </c>
      <c r="Q438" s="110">
        <f t="shared" si="82"/>
        <v>0</v>
      </c>
      <c r="R438" s="110">
        <f t="shared" si="83"/>
        <v>0</v>
      </c>
      <c r="S438" s="112">
        <v>0</v>
      </c>
    </row>
    <row r="439" spans="1:19">
      <c r="A439" s="79"/>
      <c r="B439" s="77" t="s">
        <v>176</v>
      </c>
      <c r="C439" s="76" t="s">
        <v>4</v>
      </c>
      <c r="D439" s="143">
        <v>4</v>
      </c>
      <c r="E439" s="77"/>
      <c r="F439" s="334"/>
      <c r="G439" s="112">
        <v>0</v>
      </c>
      <c r="H439" s="120">
        <v>0</v>
      </c>
      <c r="I439" s="120">
        <v>0</v>
      </c>
      <c r="J439" s="120">
        <v>0</v>
      </c>
      <c r="K439" s="110">
        <v>0</v>
      </c>
      <c r="L439" s="110"/>
      <c r="M439" s="110">
        <v>0</v>
      </c>
      <c r="N439" s="110"/>
      <c r="O439" s="110"/>
      <c r="P439" s="110">
        <f t="shared" si="81"/>
        <v>0</v>
      </c>
      <c r="Q439" s="110">
        <f t="shared" si="82"/>
        <v>0</v>
      </c>
      <c r="R439" s="110">
        <f t="shared" si="83"/>
        <v>0</v>
      </c>
      <c r="S439" s="112">
        <v>0</v>
      </c>
    </row>
    <row r="440" spans="1:19">
      <c r="A440" s="79"/>
      <c r="B440" s="77" t="s">
        <v>177</v>
      </c>
      <c r="C440" s="76" t="s">
        <v>17</v>
      </c>
      <c r="D440" s="143">
        <v>1</v>
      </c>
      <c r="E440" s="77"/>
      <c r="F440" s="334"/>
      <c r="G440" s="112">
        <v>0</v>
      </c>
      <c r="H440" s="120">
        <v>0</v>
      </c>
      <c r="I440" s="120">
        <v>0</v>
      </c>
      <c r="J440" s="120">
        <v>0</v>
      </c>
      <c r="K440" s="110">
        <v>0</v>
      </c>
      <c r="L440" s="110"/>
      <c r="M440" s="110">
        <v>0</v>
      </c>
      <c r="N440" s="110"/>
      <c r="O440" s="110"/>
      <c r="P440" s="110">
        <f t="shared" si="81"/>
        <v>0</v>
      </c>
      <c r="Q440" s="110">
        <f t="shared" si="82"/>
        <v>0</v>
      </c>
      <c r="R440" s="110">
        <f t="shared" si="83"/>
        <v>0</v>
      </c>
      <c r="S440" s="112">
        <v>0</v>
      </c>
    </row>
    <row r="441" spans="1:19">
      <c r="A441" s="79"/>
      <c r="B441" s="77" t="s">
        <v>163</v>
      </c>
      <c r="C441" s="76" t="s">
        <v>4</v>
      </c>
      <c r="D441" s="143">
        <v>1</v>
      </c>
      <c r="E441" s="77"/>
      <c r="F441" s="334"/>
      <c r="G441" s="112">
        <v>0</v>
      </c>
      <c r="H441" s="120">
        <v>0</v>
      </c>
      <c r="I441" s="120">
        <v>0</v>
      </c>
      <c r="J441" s="120">
        <v>0</v>
      </c>
      <c r="K441" s="110">
        <v>0</v>
      </c>
      <c r="L441" s="110"/>
      <c r="M441" s="110">
        <v>0</v>
      </c>
      <c r="N441" s="110"/>
      <c r="O441" s="110"/>
      <c r="P441" s="110">
        <f t="shared" si="81"/>
        <v>0</v>
      </c>
      <c r="Q441" s="110">
        <f t="shared" si="82"/>
        <v>0</v>
      </c>
      <c r="R441" s="110">
        <f t="shared" si="83"/>
        <v>0</v>
      </c>
      <c r="S441" s="112">
        <v>0</v>
      </c>
    </row>
    <row r="442" spans="1:19" ht="30">
      <c r="A442" s="79"/>
      <c r="B442" s="77" t="s">
        <v>189</v>
      </c>
      <c r="C442" s="76" t="s">
        <v>8</v>
      </c>
      <c r="D442" s="143">
        <v>1</v>
      </c>
      <c r="E442" s="77"/>
      <c r="F442" s="334"/>
      <c r="G442" s="112">
        <v>0</v>
      </c>
      <c r="H442" s="120">
        <v>0</v>
      </c>
      <c r="I442" s="120">
        <v>0</v>
      </c>
      <c r="J442" s="120">
        <v>0</v>
      </c>
      <c r="K442" s="110">
        <v>0</v>
      </c>
      <c r="L442" s="110"/>
      <c r="M442" s="110">
        <v>0</v>
      </c>
      <c r="N442" s="110"/>
      <c r="O442" s="110"/>
      <c r="P442" s="110">
        <f t="shared" si="81"/>
        <v>0</v>
      </c>
      <c r="Q442" s="110">
        <f t="shared" si="82"/>
        <v>0</v>
      </c>
      <c r="R442" s="110">
        <f t="shared" si="83"/>
        <v>0</v>
      </c>
      <c r="S442" s="112">
        <v>0</v>
      </c>
    </row>
    <row r="443" spans="1:19" ht="45">
      <c r="A443" s="79"/>
      <c r="B443" s="77" t="s">
        <v>166</v>
      </c>
      <c r="C443" s="76" t="s">
        <v>17</v>
      </c>
      <c r="D443" s="143">
        <v>1</v>
      </c>
      <c r="E443" s="77"/>
      <c r="F443" s="334"/>
      <c r="G443" s="112">
        <v>0</v>
      </c>
      <c r="H443" s="120">
        <v>0</v>
      </c>
      <c r="I443" s="120">
        <v>0</v>
      </c>
      <c r="J443" s="120">
        <v>0</v>
      </c>
      <c r="K443" s="110">
        <v>0</v>
      </c>
      <c r="L443" s="110"/>
      <c r="M443" s="110">
        <v>0</v>
      </c>
      <c r="N443" s="110"/>
      <c r="O443" s="110"/>
      <c r="P443" s="110">
        <f t="shared" si="81"/>
        <v>0</v>
      </c>
      <c r="Q443" s="110">
        <f t="shared" si="82"/>
        <v>0</v>
      </c>
      <c r="R443" s="110">
        <f t="shared" si="83"/>
        <v>0</v>
      </c>
      <c r="S443" s="112">
        <v>0</v>
      </c>
    </row>
    <row r="444" spans="1:19" ht="60">
      <c r="A444" s="79">
        <v>4</v>
      </c>
      <c r="B444" s="77" t="s">
        <v>190</v>
      </c>
      <c r="C444" s="76" t="s">
        <v>6</v>
      </c>
      <c r="D444" s="143">
        <v>2</v>
      </c>
      <c r="E444" s="77"/>
      <c r="F444" s="334">
        <v>2</v>
      </c>
      <c r="G444" s="112" t="s">
        <v>190</v>
      </c>
      <c r="H444" s="120" t="s">
        <v>1076</v>
      </c>
      <c r="I444" s="120" t="s">
        <v>828</v>
      </c>
      <c r="J444" s="120" t="s">
        <v>829</v>
      </c>
      <c r="K444" s="110">
        <v>16747700</v>
      </c>
      <c r="L444" s="110"/>
      <c r="M444" s="110">
        <v>2821000</v>
      </c>
      <c r="N444" s="110"/>
      <c r="O444" s="110"/>
      <c r="P444" s="110">
        <f t="shared" si="81"/>
        <v>19568700</v>
      </c>
      <c r="Q444" s="110">
        <f t="shared" si="82"/>
        <v>39137400</v>
      </c>
      <c r="R444" s="110">
        <f t="shared" si="83"/>
        <v>39137400</v>
      </c>
      <c r="S444" s="112" t="s">
        <v>4094</v>
      </c>
    </row>
    <row r="445" spans="1:19" ht="45">
      <c r="A445" s="79"/>
      <c r="B445" s="77" t="s">
        <v>182</v>
      </c>
      <c r="C445" s="76" t="s">
        <v>4</v>
      </c>
      <c r="D445" s="143">
        <v>1</v>
      </c>
      <c r="E445" s="77"/>
      <c r="F445" s="334"/>
      <c r="G445" s="112">
        <v>0</v>
      </c>
      <c r="H445" s="120">
        <v>0</v>
      </c>
      <c r="I445" s="120">
        <v>0</v>
      </c>
      <c r="J445" s="120">
        <v>0</v>
      </c>
      <c r="K445" s="110">
        <v>0</v>
      </c>
      <c r="L445" s="110"/>
      <c r="M445" s="110">
        <v>0</v>
      </c>
      <c r="N445" s="110"/>
      <c r="O445" s="110"/>
      <c r="P445" s="110">
        <f t="shared" si="81"/>
        <v>0</v>
      </c>
      <c r="Q445" s="110">
        <f t="shared" si="82"/>
        <v>0</v>
      </c>
      <c r="R445" s="110">
        <f t="shared" si="83"/>
        <v>0</v>
      </c>
      <c r="S445" s="112" t="s">
        <v>150</v>
      </c>
    </row>
    <row r="446" spans="1:19">
      <c r="A446" s="79"/>
      <c r="B446" s="77" t="s">
        <v>151</v>
      </c>
      <c r="C446" s="76"/>
      <c r="D446" s="143"/>
      <c r="E446" s="77"/>
      <c r="F446" s="76"/>
      <c r="G446" s="112">
        <v>0</v>
      </c>
      <c r="H446" s="120">
        <v>0</v>
      </c>
      <c r="I446" s="120">
        <v>0</v>
      </c>
      <c r="J446" s="120">
        <v>0</v>
      </c>
      <c r="K446" s="110">
        <v>0</v>
      </c>
      <c r="L446" s="110"/>
      <c r="M446" s="110">
        <v>0</v>
      </c>
      <c r="N446" s="110"/>
      <c r="O446" s="110"/>
      <c r="P446" s="110">
        <f t="shared" si="81"/>
        <v>0</v>
      </c>
      <c r="Q446" s="110">
        <f t="shared" si="82"/>
        <v>0</v>
      </c>
      <c r="R446" s="110">
        <f t="shared" si="83"/>
        <v>0</v>
      </c>
      <c r="S446" s="112">
        <v>0</v>
      </c>
    </row>
    <row r="447" spans="1:19">
      <c r="A447" s="79"/>
      <c r="B447" s="77" t="s">
        <v>191</v>
      </c>
      <c r="C447" s="76" t="s">
        <v>4</v>
      </c>
      <c r="D447" s="143">
        <v>1</v>
      </c>
      <c r="E447" s="77"/>
      <c r="F447" s="334"/>
      <c r="G447" s="112">
        <v>0</v>
      </c>
      <c r="H447" s="120">
        <v>0</v>
      </c>
      <c r="I447" s="120">
        <v>0</v>
      </c>
      <c r="J447" s="120">
        <v>0</v>
      </c>
      <c r="K447" s="110">
        <v>0</v>
      </c>
      <c r="L447" s="110"/>
      <c r="M447" s="110">
        <v>0</v>
      </c>
      <c r="N447" s="110"/>
      <c r="O447" s="110"/>
      <c r="P447" s="110">
        <f t="shared" si="81"/>
        <v>0</v>
      </c>
      <c r="Q447" s="110">
        <f t="shared" si="82"/>
        <v>0</v>
      </c>
      <c r="R447" s="110">
        <f t="shared" si="83"/>
        <v>0</v>
      </c>
      <c r="S447" s="112">
        <v>0</v>
      </c>
    </row>
    <row r="448" spans="1:19">
      <c r="A448" s="79"/>
      <c r="B448" s="77" t="s">
        <v>192</v>
      </c>
      <c r="C448" s="76" t="s">
        <v>12</v>
      </c>
      <c r="D448" s="143">
        <v>3</v>
      </c>
      <c r="E448" s="77"/>
      <c r="F448" s="334"/>
      <c r="G448" s="112">
        <v>0</v>
      </c>
      <c r="H448" s="120">
        <v>0</v>
      </c>
      <c r="I448" s="120">
        <v>0</v>
      </c>
      <c r="J448" s="120">
        <v>0</v>
      </c>
      <c r="K448" s="110">
        <v>0</v>
      </c>
      <c r="L448" s="110"/>
      <c r="M448" s="110">
        <v>0</v>
      </c>
      <c r="N448" s="110"/>
      <c r="O448" s="110"/>
      <c r="P448" s="110">
        <f t="shared" si="81"/>
        <v>0</v>
      </c>
      <c r="Q448" s="110">
        <f t="shared" si="82"/>
        <v>0</v>
      </c>
      <c r="R448" s="110">
        <f t="shared" si="83"/>
        <v>0</v>
      </c>
      <c r="S448" s="112">
        <v>0</v>
      </c>
    </row>
    <row r="449" spans="1:19">
      <c r="A449" s="79"/>
      <c r="B449" s="77" t="s">
        <v>29</v>
      </c>
      <c r="C449" s="76" t="s">
        <v>4</v>
      </c>
      <c r="D449" s="143">
        <v>1</v>
      </c>
      <c r="E449" s="77"/>
      <c r="F449" s="334"/>
      <c r="G449" s="112">
        <v>0</v>
      </c>
      <c r="H449" s="120">
        <v>0</v>
      </c>
      <c r="I449" s="120">
        <v>0</v>
      </c>
      <c r="J449" s="120">
        <v>0</v>
      </c>
      <c r="K449" s="110">
        <v>0</v>
      </c>
      <c r="L449" s="110"/>
      <c r="M449" s="110">
        <v>0</v>
      </c>
      <c r="N449" s="110"/>
      <c r="O449" s="110"/>
      <c r="P449" s="110">
        <f t="shared" si="81"/>
        <v>0</v>
      </c>
      <c r="Q449" s="110">
        <f t="shared" si="82"/>
        <v>0</v>
      </c>
      <c r="R449" s="110">
        <f t="shared" si="83"/>
        <v>0</v>
      </c>
      <c r="S449" s="112">
        <v>0</v>
      </c>
    </row>
    <row r="450" spans="1:19">
      <c r="A450" s="79"/>
      <c r="B450" s="77" t="s">
        <v>30</v>
      </c>
      <c r="C450" s="76" t="s">
        <v>4</v>
      </c>
      <c r="D450" s="143">
        <v>1</v>
      </c>
      <c r="E450" s="77"/>
      <c r="F450" s="334"/>
      <c r="G450" s="112">
        <v>0</v>
      </c>
      <c r="H450" s="120">
        <v>0</v>
      </c>
      <c r="I450" s="120">
        <v>0</v>
      </c>
      <c r="J450" s="120">
        <v>0</v>
      </c>
      <c r="K450" s="110">
        <v>0</v>
      </c>
      <c r="L450" s="110"/>
      <c r="M450" s="110">
        <v>0</v>
      </c>
      <c r="N450" s="110"/>
      <c r="O450" s="110"/>
      <c r="P450" s="110">
        <f t="shared" si="81"/>
        <v>0</v>
      </c>
      <c r="Q450" s="110">
        <f t="shared" si="82"/>
        <v>0</v>
      </c>
      <c r="R450" s="110">
        <f t="shared" si="83"/>
        <v>0</v>
      </c>
      <c r="S450" s="112">
        <v>0</v>
      </c>
    </row>
    <row r="451" spans="1:19">
      <c r="A451" s="79"/>
      <c r="B451" s="77" t="s">
        <v>193</v>
      </c>
      <c r="C451" s="76" t="s">
        <v>4</v>
      </c>
      <c r="D451" s="143">
        <v>3</v>
      </c>
      <c r="E451" s="77"/>
      <c r="F451" s="334"/>
      <c r="G451" s="112">
        <v>0</v>
      </c>
      <c r="H451" s="120">
        <v>0</v>
      </c>
      <c r="I451" s="120">
        <v>0</v>
      </c>
      <c r="J451" s="120">
        <v>0</v>
      </c>
      <c r="K451" s="110">
        <v>0</v>
      </c>
      <c r="L451" s="110"/>
      <c r="M451" s="110">
        <v>0</v>
      </c>
      <c r="N451" s="110"/>
      <c r="O451" s="110"/>
      <c r="P451" s="110">
        <f t="shared" si="81"/>
        <v>0</v>
      </c>
      <c r="Q451" s="110">
        <f t="shared" si="82"/>
        <v>0</v>
      </c>
      <c r="R451" s="110">
        <f t="shared" si="83"/>
        <v>0</v>
      </c>
      <c r="S451" s="112">
        <v>0</v>
      </c>
    </row>
    <row r="452" spans="1:19">
      <c r="A452" s="79"/>
      <c r="B452" s="77" t="s">
        <v>14</v>
      </c>
      <c r="C452" s="76" t="s">
        <v>4</v>
      </c>
      <c r="D452" s="143">
        <v>3</v>
      </c>
      <c r="E452" s="77"/>
      <c r="F452" s="334"/>
      <c r="G452" s="112">
        <v>0</v>
      </c>
      <c r="H452" s="120">
        <v>0</v>
      </c>
      <c r="I452" s="120">
        <v>0</v>
      </c>
      <c r="J452" s="120">
        <v>0</v>
      </c>
      <c r="K452" s="110">
        <v>0</v>
      </c>
      <c r="L452" s="110"/>
      <c r="M452" s="110">
        <v>0</v>
      </c>
      <c r="N452" s="110"/>
      <c r="O452" s="110"/>
      <c r="P452" s="110">
        <f t="shared" si="81"/>
        <v>0</v>
      </c>
      <c r="Q452" s="110">
        <f t="shared" si="82"/>
        <v>0</v>
      </c>
      <c r="R452" s="110">
        <f t="shared" si="83"/>
        <v>0</v>
      </c>
      <c r="S452" s="112">
        <v>0</v>
      </c>
    </row>
    <row r="453" spans="1:19">
      <c r="A453" s="79"/>
      <c r="B453" s="77" t="s">
        <v>153</v>
      </c>
      <c r="C453" s="76" t="s">
        <v>4</v>
      </c>
      <c r="D453" s="143">
        <v>3</v>
      </c>
      <c r="E453" s="77"/>
      <c r="F453" s="334"/>
      <c r="G453" s="112">
        <v>0</v>
      </c>
      <c r="H453" s="120">
        <v>0</v>
      </c>
      <c r="I453" s="120">
        <v>0</v>
      </c>
      <c r="J453" s="120">
        <v>0</v>
      </c>
      <c r="K453" s="110">
        <v>0</v>
      </c>
      <c r="L453" s="110"/>
      <c r="M453" s="110">
        <v>0</v>
      </c>
      <c r="N453" s="110"/>
      <c r="O453" s="110"/>
      <c r="P453" s="110">
        <f t="shared" si="81"/>
        <v>0</v>
      </c>
      <c r="Q453" s="110">
        <f t="shared" si="82"/>
        <v>0</v>
      </c>
      <c r="R453" s="110">
        <f t="shared" si="83"/>
        <v>0</v>
      </c>
      <c r="S453" s="112">
        <v>0</v>
      </c>
    </row>
    <row r="454" spans="1:19">
      <c r="A454" s="79"/>
      <c r="B454" s="77" t="s">
        <v>154</v>
      </c>
      <c r="C454" s="76"/>
      <c r="D454" s="143"/>
      <c r="E454" s="77"/>
      <c r="F454" s="76"/>
      <c r="G454" s="112">
        <v>0</v>
      </c>
      <c r="H454" s="120">
        <v>0</v>
      </c>
      <c r="I454" s="120">
        <v>0</v>
      </c>
      <c r="J454" s="120">
        <v>0</v>
      </c>
      <c r="K454" s="110">
        <v>0</v>
      </c>
      <c r="L454" s="110"/>
      <c r="M454" s="110">
        <v>0</v>
      </c>
      <c r="N454" s="110"/>
      <c r="O454" s="110"/>
      <c r="P454" s="110">
        <f t="shared" si="81"/>
        <v>0</v>
      </c>
      <c r="Q454" s="110">
        <f t="shared" si="82"/>
        <v>0</v>
      </c>
      <c r="R454" s="110">
        <f t="shared" si="83"/>
        <v>0</v>
      </c>
      <c r="S454" s="112">
        <v>0</v>
      </c>
    </row>
    <row r="455" spans="1:19">
      <c r="A455" s="79"/>
      <c r="B455" s="77" t="s">
        <v>194</v>
      </c>
      <c r="C455" s="76" t="s">
        <v>4</v>
      </c>
      <c r="D455" s="143">
        <v>1</v>
      </c>
      <c r="E455" s="77"/>
      <c r="F455" s="334"/>
      <c r="G455" s="112">
        <v>0</v>
      </c>
      <c r="H455" s="120">
        <v>0</v>
      </c>
      <c r="I455" s="120">
        <v>0</v>
      </c>
      <c r="J455" s="120">
        <v>0</v>
      </c>
      <c r="K455" s="110">
        <v>0</v>
      </c>
      <c r="L455" s="110"/>
      <c r="M455" s="110">
        <v>0</v>
      </c>
      <c r="N455" s="110"/>
      <c r="O455" s="110"/>
      <c r="P455" s="110">
        <f t="shared" si="81"/>
        <v>0</v>
      </c>
      <c r="Q455" s="110">
        <f t="shared" si="82"/>
        <v>0</v>
      </c>
      <c r="R455" s="110">
        <f t="shared" si="83"/>
        <v>0</v>
      </c>
      <c r="S455" s="112">
        <v>0</v>
      </c>
    </row>
    <row r="456" spans="1:19">
      <c r="A456" s="79"/>
      <c r="B456" s="77" t="s">
        <v>158</v>
      </c>
      <c r="C456" s="76" t="s">
        <v>4</v>
      </c>
      <c r="D456" s="143">
        <v>1</v>
      </c>
      <c r="E456" s="77"/>
      <c r="F456" s="334"/>
      <c r="G456" s="112">
        <v>0</v>
      </c>
      <c r="H456" s="120">
        <v>0</v>
      </c>
      <c r="I456" s="120">
        <v>0</v>
      </c>
      <c r="J456" s="120">
        <v>0</v>
      </c>
      <c r="K456" s="110">
        <v>0</v>
      </c>
      <c r="L456" s="110"/>
      <c r="M456" s="110">
        <v>0</v>
      </c>
      <c r="N456" s="110"/>
      <c r="O456" s="110"/>
      <c r="P456" s="110">
        <f t="shared" si="81"/>
        <v>0</v>
      </c>
      <c r="Q456" s="110">
        <f t="shared" si="82"/>
        <v>0</v>
      </c>
      <c r="R456" s="110">
        <f t="shared" si="83"/>
        <v>0</v>
      </c>
      <c r="S456" s="112">
        <v>0</v>
      </c>
    </row>
    <row r="457" spans="1:19">
      <c r="A457" s="79"/>
      <c r="B457" s="77" t="s">
        <v>195</v>
      </c>
      <c r="C457" s="76" t="s">
        <v>8</v>
      </c>
      <c r="D457" s="143">
        <v>1</v>
      </c>
      <c r="E457" s="77"/>
      <c r="F457" s="334"/>
      <c r="G457" s="112">
        <v>0</v>
      </c>
      <c r="H457" s="120">
        <v>0</v>
      </c>
      <c r="I457" s="120">
        <v>0</v>
      </c>
      <c r="J457" s="120">
        <v>0</v>
      </c>
      <c r="K457" s="110">
        <v>0</v>
      </c>
      <c r="L457" s="110"/>
      <c r="M457" s="110">
        <v>0</v>
      </c>
      <c r="N457" s="110"/>
      <c r="O457" s="110"/>
      <c r="P457" s="110">
        <f t="shared" si="81"/>
        <v>0</v>
      </c>
      <c r="Q457" s="110">
        <f t="shared" si="82"/>
        <v>0</v>
      </c>
      <c r="R457" s="110">
        <f t="shared" si="83"/>
        <v>0</v>
      </c>
      <c r="S457" s="112">
        <v>0</v>
      </c>
    </row>
    <row r="458" spans="1:19">
      <c r="A458" s="79"/>
      <c r="B458" s="77" t="s">
        <v>196</v>
      </c>
      <c r="C458" s="76" t="s">
        <v>4</v>
      </c>
      <c r="D458" s="143">
        <v>1</v>
      </c>
      <c r="E458" s="77"/>
      <c r="F458" s="334"/>
      <c r="G458" s="112">
        <v>0</v>
      </c>
      <c r="H458" s="120">
        <v>0</v>
      </c>
      <c r="I458" s="120">
        <v>0</v>
      </c>
      <c r="J458" s="120">
        <v>0</v>
      </c>
      <c r="K458" s="110">
        <v>0</v>
      </c>
      <c r="L458" s="110"/>
      <c r="M458" s="110">
        <v>0</v>
      </c>
      <c r="N458" s="110"/>
      <c r="O458" s="110"/>
      <c r="P458" s="110">
        <f t="shared" si="81"/>
        <v>0</v>
      </c>
      <c r="Q458" s="110">
        <f t="shared" si="82"/>
        <v>0</v>
      </c>
      <c r="R458" s="110">
        <f t="shared" si="83"/>
        <v>0</v>
      </c>
      <c r="S458" s="112">
        <v>0</v>
      </c>
    </row>
    <row r="459" spans="1:19">
      <c r="A459" s="79"/>
      <c r="B459" s="77" t="s">
        <v>173</v>
      </c>
      <c r="C459" s="76" t="s">
        <v>4</v>
      </c>
      <c r="D459" s="143">
        <v>1</v>
      </c>
      <c r="E459" s="77"/>
      <c r="F459" s="334"/>
      <c r="G459" s="112">
        <v>0</v>
      </c>
      <c r="H459" s="120">
        <v>0</v>
      </c>
      <c r="I459" s="120">
        <v>0</v>
      </c>
      <c r="J459" s="120">
        <v>0</v>
      </c>
      <c r="K459" s="110">
        <v>0</v>
      </c>
      <c r="L459" s="110"/>
      <c r="M459" s="110">
        <v>0</v>
      </c>
      <c r="N459" s="110"/>
      <c r="O459" s="110"/>
      <c r="P459" s="110">
        <f t="shared" si="81"/>
        <v>0</v>
      </c>
      <c r="Q459" s="110">
        <f t="shared" si="82"/>
        <v>0</v>
      </c>
      <c r="R459" s="110">
        <f t="shared" si="83"/>
        <v>0</v>
      </c>
      <c r="S459" s="112">
        <v>0</v>
      </c>
    </row>
    <row r="460" spans="1:19">
      <c r="A460" s="79"/>
      <c r="B460" s="77" t="s">
        <v>197</v>
      </c>
      <c r="C460" s="76" t="s">
        <v>4</v>
      </c>
      <c r="D460" s="143">
        <v>1</v>
      </c>
      <c r="E460" s="77"/>
      <c r="F460" s="334"/>
      <c r="G460" s="112">
        <v>0</v>
      </c>
      <c r="H460" s="120">
        <v>0</v>
      </c>
      <c r="I460" s="120">
        <v>0</v>
      </c>
      <c r="J460" s="120">
        <v>0</v>
      </c>
      <c r="K460" s="110">
        <v>0</v>
      </c>
      <c r="L460" s="110"/>
      <c r="M460" s="110">
        <v>0</v>
      </c>
      <c r="N460" s="110"/>
      <c r="O460" s="110"/>
      <c r="P460" s="110">
        <f t="shared" si="81"/>
        <v>0</v>
      </c>
      <c r="Q460" s="110">
        <f t="shared" si="82"/>
        <v>0</v>
      </c>
      <c r="R460" s="110">
        <f t="shared" si="83"/>
        <v>0</v>
      </c>
      <c r="S460" s="112">
        <v>0</v>
      </c>
    </row>
    <row r="461" spans="1:19">
      <c r="A461" s="79"/>
      <c r="B461" s="77" t="s">
        <v>175</v>
      </c>
      <c r="C461" s="76" t="s">
        <v>4</v>
      </c>
      <c r="D461" s="143">
        <v>1</v>
      </c>
      <c r="E461" s="77"/>
      <c r="F461" s="334"/>
      <c r="G461" s="112">
        <v>0</v>
      </c>
      <c r="H461" s="120">
        <v>0</v>
      </c>
      <c r="I461" s="120">
        <v>0</v>
      </c>
      <c r="J461" s="120">
        <v>0</v>
      </c>
      <c r="K461" s="110">
        <v>0</v>
      </c>
      <c r="L461" s="110"/>
      <c r="M461" s="110">
        <v>0</v>
      </c>
      <c r="N461" s="110"/>
      <c r="O461" s="110"/>
      <c r="P461" s="110">
        <f t="shared" si="81"/>
        <v>0</v>
      </c>
      <c r="Q461" s="110">
        <f t="shared" si="82"/>
        <v>0</v>
      </c>
      <c r="R461" s="110">
        <f t="shared" si="83"/>
        <v>0</v>
      </c>
      <c r="S461" s="112">
        <v>0</v>
      </c>
    </row>
    <row r="462" spans="1:19">
      <c r="A462" s="79"/>
      <c r="B462" s="77" t="s">
        <v>176</v>
      </c>
      <c r="C462" s="76" t="s">
        <v>4</v>
      </c>
      <c r="D462" s="143">
        <v>2</v>
      </c>
      <c r="E462" s="77"/>
      <c r="F462" s="334"/>
      <c r="G462" s="112">
        <v>0</v>
      </c>
      <c r="H462" s="120">
        <v>0</v>
      </c>
      <c r="I462" s="120">
        <v>0</v>
      </c>
      <c r="J462" s="120">
        <v>0</v>
      </c>
      <c r="K462" s="110">
        <v>0</v>
      </c>
      <c r="L462" s="110"/>
      <c r="M462" s="110">
        <v>0</v>
      </c>
      <c r="N462" s="110"/>
      <c r="O462" s="110"/>
      <c r="P462" s="110">
        <f t="shared" si="81"/>
        <v>0</v>
      </c>
      <c r="Q462" s="110">
        <f t="shared" si="82"/>
        <v>0</v>
      </c>
      <c r="R462" s="110">
        <f t="shared" si="83"/>
        <v>0</v>
      </c>
      <c r="S462" s="112">
        <v>0</v>
      </c>
    </row>
    <row r="463" spans="1:19">
      <c r="A463" s="79"/>
      <c r="B463" s="77" t="s">
        <v>177</v>
      </c>
      <c r="C463" s="76" t="s">
        <v>17</v>
      </c>
      <c r="D463" s="143">
        <v>1</v>
      </c>
      <c r="E463" s="77"/>
      <c r="F463" s="334"/>
      <c r="G463" s="112">
        <v>0</v>
      </c>
      <c r="H463" s="120">
        <v>0</v>
      </c>
      <c r="I463" s="120">
        <v>0</v>
      </c>
      <c r="J463" s="120">
        <v>0</v>
      </c>
      <c r="K463" s="110">
        <v>0</v>
      </c>
      <c r="L463" s="110"/>
      <c r="M463" s="110">
        <v>0</v>
      </c>
      <c r="N463" s="110"/>
      <c r="O463" s="110"/>
      <c r="P463" s="110">
        <f t="shared" si="81"/>
        <v>0</v>
      </c>
      <c r="Q463" s="110">
        <f t="shared" si="82"/>
        <v>0</v>
      </c>
      <c r="R463" s="110">
        <f t="shared" si="83"/>
        <v>0</v>
      </c>
      <c r="S463" s="112">
        <v>0</v>
      </c>
    </row>
    <row r="464" spans="1:19">
      <c r="A464" s="79"/>
      <c r="B464" s="77" t="s">
        <v>163</v>
      </c>
      <c r="C464" s="76" t="s">
        <v>4</v>
      </c>
      <c r="D464" s="143">
        <v>1</v>
      </c>
      <c r="E464" s="77"/>
      <c r="F464" s="334"/>
      <c r="G464" s="112">
        <v>0</v>
      </c>
      <c r="H464" s="120">
        <v>0</v>
      </c>
      <c r="I464" s="120">
        <v>0</v>
      </c>
      <c r="J464" s="120">
        <v>0</v>
      </c>
      <c r="K464" s="110">
        <v>0</v>
      </c>
      <c r="L464" s="110"/>
      <c r="M464" s="110">
        <v>0</v>
      </c>
      <c r="N464" s="110"/>
      <c r="O464" s="110"/>
      <c r="P464" s="110">
        <f t="shared" si="81"/>
        <v>0</v>
      </c>
      <c r="Q464" s="110">
        <f t="shared" si="82"/>
        <v>0</v>
      </c>
      <c r="R464" s="110">
        <f t="shared" si="83"/>
        <v>0</v>
      </c>
      <c r="S464" s="112">
        <v>0</v>
      </c>
    </row>
    <row r="465" spans="1:19" ht="30">
      <c r="A465" s="79"/>
      <c r="B465" s="77" t="s">
        <v>189</v>
      </c>
      <c r="C465" s="76" t="s">
        <v>8</v>
      </c>
      <c r="D465" s="143">
        <v>1</v>
      </c>
      <c r="E465" s="77"/>
      <c r="F465" s="334"/>
      <c r="G465" s="112">
        <v>0</v>
      </c>
      <c r="H465" s="120">
        <v>0</v>
      </c>
      <c r="I465" s="120">
        <v>0</v>
      </c>
      <c r="J465" s="120">
        <v>0</v>
      </c>
      <c r="K465" s="110">
        <v>0</v>
      </c>
      <c r="L465" s="110"/>
      <c r="M465" s="110">
        <v>0</v>
      </c>
      <c r="N465" s="110"/>
      <c r="O465" s="110"/>
      <c r="P465" s="110">
        <f t="shared" si="81"/>
        <v>0</v>
      </c>
      <c r="Q465" s="110">
        <f t="shared" si="82"/>
        <v>0</v>
      </c>
      <c r="R465" s="110">
        <f t="shared" si="83"/>
        <v>0</v>
      </c>
      <c r="S465" s="112">
        <v>0</v>
      </c>
    </row>
    <row r="466" spans="1:19" ht="45">
      <c r="A466" s="79"/>
      <c r="B466" s="77" t="s">
        <v>166</v>
      </c>
      <c r="C466" s="76" t="s">
        <v>17</v>
      </c>
      <c r="D466" s="143">
        <v>1</v>
      </c>
      <c r="E466" s="77"/>
      <c r="F466" s="334"/>
      <c r="G466" s="112">
        <v>0</v>
      </c>
      <c r="H466" s="120">
        <v>0</v>
      </c>
      <c r="I466" s="120">
        <v>0</v>
      </c>
      <c r="J466" s="120">
        <v>0</v>
      </c>
      <c r="K466" s="110">
        <v>0</v>
      </c>
      <c r="L466" s="110"/>
      <c r="M466" s="110">
        <v>0</v>
      </c>
      <c r="N466" s="110"/>
      <c r="O466" s="110"/>
      <c r="P466" s="110">
        <f t="shared" si="81"/>
        <v>0</v>
      </c>
      <c r="Q466" s="110">
        <f t="shared" si="82"/>
        <v>0</v>
      </c>
      <c r="R466" s="110">
        <f t="shared" si="83"/>
        <v>0</v>
      </c>
      <c r="S466" s="112">
        <v>0</v>
      </c>
    </row>
    <row r="467" spans="1:19" ht="60">
      <c r="A467" s="79">
        <v>5</v>
      </c>
      <c r="B467" s="77" t="s">
        <v>198</v>
      </c>
      <c r="C467" s="76" t="s">
        <v>6</v>
      </c>
      <c r="D467" s="143">
        <v>2</v>
      </c>
      <c r="E467" s="77"/>
      <c r="F467" s="334">
        <v>2</v>
      </c>
      <c r="G467" s="112" t="s">
        <v>198</v>
      </c>
      <c r="H467" s="120" t="s">
        <v>1076</v>
      </c>
      <c r="I467" s="120" t="s">
        <v>828</v>
      </c>
      <c r="J467" s="120" t="s">
        <v>829</v>
      </c>
      <c r="K467" s="110">
        <v>19639900</v>
      </c>
      <c r="L467" s="110"/>
      <c r="M467" s="110">
        <v>2821000</v>
      </c>
      <c r="N467" s="110"/>
      <c r="O467" s="110"/>
      <c r="P467" s="110">
        <f t="shared" si="81"/>
        <v>22460900</v>
      </c>
      <c r="Q467" s="110">
        <f t="shared" si="82"/>
        <v>44921800</v>
      </c>
      <c r="R467" s="110">
        <f t="shared" si="83"/>
        <v>44921800</v>
      </c>
      <c r="S467" s="112" t="s">
        <v>4094</v>
      </c>
    </row>
    <row r="468" spans="1:19" ht="45">
      <c r="A468" s="79"/>
      <c r="B468" s="77" t="s">
        <v>182</v>
      </c>
      <c r="C468" s="76" t="s">
        <v>4</v>
      </c>
      <c r="D468" s="143">
        <v>1</v>
      </c>
      <c r="E468" s="77"/>
      <c r="F468" s="334"/>
      <c r="G468" s="112">
        <v>0</v>
      </c>
      <c r="H468" s="120">
        <v>0</v>
      </c>
      <c r="I468" s="120">
        <v>0</v>
      </c>
      <c r="J468" s="120">
        <v>0</v>
      </c>
      <c r="K468" s="110">
        <v>0</v>
      </c>
      <c r="L468" s="110"/>
      <c r="M468" s="110">
        <v>0</v>
      </c>
      <c r="N468" s="110"/>
      <c r="O468" s="110"/>
      <c r="P468" s="110">
        <f t="shared" si="81"/>
        <v>0</v>
      </c>
      <c r="Q468" s="110">
        <f t="shared" si="82"/>
        <v>0</v>
      </c>
      <c r="R468" s="110">
        <f t="shared" si="83"/>
        <v>0</v>
      </c>
      <c r="S468" s="112" t="s">
        <v>150</v>
      </c>
    </row>
    <row r="469" spans="1:19">
      <c r="A469" s="79"/>
      <c r="B469" s="77" t="s">
        <v>151</v>
      </c>
      <c r="C469" s="76"/>
      <c r="D469" s="143"/>
      <c r="E469" s="77"/>
      <c r="F469" s="76"/>
      <c r="G469" s="112">
        <v>0</v>
      </c>
      <c r="H469" s="120">
        <v>0</v>
      </c>
      <c r="I469" s="120">
        <v>0</v>
      </c>
      <c r="J469" s="120">
        <v>0</v>
      </c>
      <c r="K469" s="110">
        <v>0</v>
      </c>
      <c r="L469" s="110"/>
      <c r="M469" s="110">
        <v>0</v>
      </c>
      <c r="N469" s="110"/>
      <c r="O469" s="110"/>
      <c r="P469" s="110">
        <f t="shared" si="81"/>
        <v>0</v>
      </c>
      <c r="Q469" s="110">
        <f t="shared" si="82"/>
        <v>0</v>
      </c>
      <c r="R469" s="110">
        <f t="shared" si="83"/>
        <v>0</v>
      </c>
      <c r="S469" s="112">
        <v>0</v>
      </c>
    </row>
    <row r="470" spans="1:19">
      <c r="A470" s="79"/>
      <c r="B470" s="77" t="s">
        <v>183</v>
      </c>
      <c r="C470" s="76" t="s">
        <v>4</v>
      </c>
      <c r="D470" s="143">
        <v>1</v>
      </c>
      <c r="E470" s="77"/>
      <c r="F470" s="334"/>
      <c r="G470" s="112">
        <v>0</v>
      </c>
      <c r="H470" s="120">
        <v>0</v>
      </c>
      <c r="I470" s="120">
        <v>0</v>
      </c>
      <c r="J470" s="120">
        <v>0</v>
      </c>
      <c r="K470" s="110">
        <v>0</v>
      </c>
      <c r="L470" s="110"/>
      <c r="M470" s="110">
        <v>0</v>
      </c>
      <c r="N470" s="110"/>
      <c r="O470" s="110"/>
      <c r="P470" s="110">
        <f t="shared" si="81"/>
        <v>0</v>
      </c>
      <c r="Q470" s="110">
        <f t="shared" si="82"/>
        <v>0</v>
      </c>
      <c r="R470" s="110">
        <f t="shared" si="83"/>
        <v>0</v>
      </c>
      <c r="S470" s="112">
        <v>0</v>
      </c>
    </row>
    <row r="471" spans="1:19">
      <c r="A471" s="79"/>
      <c r="B471" s="77" t="s">
        <v>57</v>
      </c>
      <c r="C471" s="76" t="s">
        <v>12</v>
      </c>
      <c r="D471" s="143">
        <v>3</v>
      </c>
      <c r="E471" s="77"/>
      <c r="F471" s="334"/>
      <c r="G471" s="112">
        <v>0</v>
      </c>
      <c r="H471" s="120">
        <v>0</v>
      </c>
      <c r="I471" s="120">
        <v>0</v>
      </c>
      <c r="J471" s="120">
        <v>0</v>
      </c>
      <c r="K471" s="110">
        <v>0</v>
      </c>
      <c r="L471" s="110"/>
      <c r="M471" s="110">
        <v>0</v>
      </c>
      <c r="N471" s="110"/>
      <c r="O471" s="110"/>
      <c r="P471" s="110">
        <f t="shared" si="81"/>
        <v>0</v>
      </c>
      <c r="Q471" s="110">
        <f t="shared" si="82"/>
        <v>0</v>
      </c>
      <c r="R471" s="110">
        <f t="shared" si="83"/>
        <v>0</v>
      </c>
      <c r="S471" s="112">
        <v>0</v>
      </c>
    </row>
    <row r="472" spans="1:19">
      <c r="A472" s="79"/>
      <c r="B472" s="77" t="s">
        <v>29</v>
      </c>
      <c r="C472" s="76" t="s">
        <v>4</v>
      </c>
      <c r="D472" s="143">
        <v>1</v>
      </c>
      <c r="E472" s="77"/>
      <c r="F472" s="334"/>
      <c r="G472" s="112">
        <v>0</v>
      </c>
      <c r="H472" s="120">
        <v>0</v>
      </c>
      <c r="I472" s="120">
        <v>0</v>
      </c>
      <c r="J472" s="120">
        <v>0</v>
      </c>
      <c r="K472" s="110">
        <v>0</v>
      </c>
      <c r="L472" s="110"/>
      <c r="M472" s="110">
        <v>0</v>
      </c>
      <c r="N472" s="110"/>
      <c r="O472" s="110"/>
      <c r="P472" s="110">
        <f t="shared" si="81"/>
        <v>0</v>
      </c>
      <c r="Q472" s="110">
        <f t="shared" si="82"/>
        <v>0</v>
      </c>
      <c r="R472" s="110">
        <f t="shared" si="83"/>
        <v>0</v>
      </c>
      <c r="S472" s="112">
        <v>0</v>
      </c>
    </row>
    <row r="473" spans="1:19">
      <c r="A473" s="79"/>
      <c r="B473" s="77" t="s">
        <v>30</v>
      </c>
      <c r="C473" s="76" t="s">
        <v>4</v>
      </c>
      <c r="D473" s="143">
        <v>1</v>
      </c>
      <c r="E473" s="77"/>
      <c r="F473" s="334"/>
      <c r="G473" s="112">
        <v>0</v>
      </c>
      <c r="H473" s="120">
        <v>0</v>
      </c>
      <c r="I473" s="120">
        <v>0</v>
      </c>
      <c r="J473" s="120">
        <v>0</v>
      </c>
      <c r="K473" s="110">
        <v>0</v>
      </c>
      <c r="L473" s="110"/>
      <c r="M473" s="110">
        <v>0</v>
      </c>
      <c r="N473" s="110"/>
      <c r="O473" s="110"/>
      <c r="P473" s="110">
        <f t="shared" si="81"/>
        <v>0</v>
      </c>
      <c r="Q473" s="110">
        <f t="shared" si="82"/>
        <v>0</v>
      </c>
      <c r="R473" s="110">
        <f t="shared" si="83"/>
        <v>0</v>
      </c>
      <c r="S473" s="112">
        <v>0</v>
      </c>
    </row>
    <row r="474" spans="1:19">
      <c r="A474" s="79"/>
      <c r="B474" s="77" t="s">
        <v>184</v>
      </c>
      <c r="C474" s="76" t="s">
        <v>4</v>
      </c>
      <c r="D474" s="143">
        <v>3</v>
      </c>
      <c r="E474" s="77"/>
      <c r="F474" s="334"/>
      <c r="G474" s="112">
        <v>0</v>
      </c>
      <c r="H474" s="120">
        <v>0</v>
      </c>
      <c r="I474" s="120">
        <v>0</v>
      </c>
      <c r="J474" s="120">
        <v>0</v>
      </c>
      <c r="K474" s="110">
        <v>0</v>
      </c>
      <c r="L474" s="110"/>
      <c r="M474" s="110">
        <v>0</v>
      </c>
      <c r="N474" s="110"/>
      <c r="O474" s="110"/>
      <c r="P474" s="110">
        <f t="shared" si="81"/>
        <v>0</v>
      </c>
      <c r="Q474" s="110">
        <f t="shared" si="82"/>
        <v>0</v>
      </c>
      <c r="R474" s="110">
        <f t="shared" si="83"/>
        <v>0</v>
      </c>
      <c r="S474" s="112">
        <v>0</v>
      </c>
    </row>
    <row r="475" spans="1:19">
      <c r="A475" s="79"/>
      <c r="B475" s="77" t="s">
        <v>14</v>
      </c>
      <c r="C475" s="76" t="s">
        <v>4</v>
      </c>
      <c r="D475" s="143">
        <v>3</v>
      </c>
      <c r="E475" s="77"/>
      <c r="F475" s="334"/>
      <c r="G475" s="112">
        <v>0</v>
      </c>
      <c r="H475" s="120">
        <v>0</v>
      </c>
      <c r="I475" s="120">
        <v>0</v>
      </c>
      <c r="J475" s="120">
        <v>0</v>
      </c>
      <c r="K475" s="110">
        <v>0</v>
      </c>
      <c r="L475" s="110"/>
      <c r="M475" s="110">
        <v>0</v>
      </c>
      <c r="N475" s="110"/>
      <c r="O475" s="110"/>
      <c r="P475" s="110">
        <f t="shared" si="81"/>
        <v>0</v>
      </c>
      <c r="Q475" s="110">
        <f t="shared" si="82"/>
        <v>0</v>
      </c>
      <c r="R475" s="110">
        <f t="shared" si="83"/>
        <v>0</v>
      </c>
      <c r="S475" s="112">
        <v>0</v>
      </c>
    </row>
    <row r="476" spans="1:19">
      <c r="A476" s="79"/>
      <c r="B476" s="77" t="s">
        <v>153</v>
      </c>
      <c r="C476" s="76" t="s">
        <v>4</v>
      </c>
      <c r="D476" s="143">
        <v>3</v>
      </c>
      <c r="E476" s="77"/>
      <c r="F476" s="334"/>
      <c r="G476" s="112">
        <v>0</v>
      </c>
      <c r="H476" s="120">
        <v>0</v>
      </c>
      <c r="I476" s="120">
        <v>0</v>
      </c>
      <c r="J476" s="120">
        <v>0</v>
      </c>
      <c r="K476" s="110">
        <v>0</v>
      </c>
      <c r="L476" s="110"/>
      <c r="M476" s="110">
        <v>0</v>
      </c>
      <c r="N476" s="110"/>
      <c r="O476" s="110"/>
      <c r="P476" s="110">
        <f t="shared" si="81"/>
        <v>0</v>
      </c>
      <c r="Q476" s="110">
        <f t="shared" si="82"/>
        <v>0</v>
      </c>
      <c r="R476" s="110">
        <f t="shared" si="83"/>
        <v>0</v>
      </c>
      <c r="S476" s="112">
        <v>0</v>
      </c>
    </row>
    <row r="477" spans="1:19">
      <c r="A477" s="79"/>
      <c r="B477" s="77" t="s">
        <v>154</v>
      </c>
      <c r="C477" s="76"/>
      <c r="D477" s="143"/>
      <c r="E477" s="77"/>
      <c r="F477" s="76"/>
      <c r="G477" s="112">
        <v>0</v>
      </c>
      <c r="H477" s="120">
        <v>0</v>
      </c>
      <c r="I477" s="120">
        <v>0</v>
      </c>
      <c r="J477" s="120">
        <v>0</v>
      </c>
      <c r="K477" s="110">
        <v>0</v>
      </c>
      <c r="L477" s="110"/>
      <c r="M477" s="110">
        <v>0</v>
      </c>
      <c r="N477" s="110"/>
      <c r="O477" s="110"/>
      <c r="P477" s="110">
        <f t="shared" si="81"/>
        <v>0</v>
      </c>
      <c r="Q477" s="110">
        <f t="shared" si="82"/>
        <v>0</v>
      </c>
      <c r="R477" s="110">
        <f t="shared" si="83"/>
        <v>0</v>
      </c>
      <c r="S477" s="112">
        <v>0</v>
      </c>
    </row>
    <row r="478" spans="1:19">
      <c r="A478" s="79"/>
      <c r="B478" s="77" t="s">
        <v>199</v>
      </c>
      <c r="C478" s="76" t="s">
        <v>4</v>
      </c>
      <c r="D478" s="143">
        <v>1</v>
      </c>
      <c r="E478" s="77"/>
      <c r="F478" s="334"/>
      <c r="G478" s="112">
        <v>0</v>
      </c>
      <c r="H478" s="120">
        <v>0</v>
      </c>
      <c r="I478" s="120">
        <v>0</v>
      </c>
      <c r="J478" s="120">
        <v>0</v>
      </c>
      <c r="K478" s="110">
        <v>0</v>
      </c>
      <c r="L478" s="110"/>
      <c r="M478" s="110">
        <v>0</v>
      </c>
      <c r="N478" s="110"/>
      <c r="O478" s="110"/>
      <c r="P478" s="110">
        <f t="shared" si="81"/>
        <v>0</v>
      </c>
      <c r="Q478" s="110">
        <f t="shared" si="82"/>
        <v>0</v>
      </c>
      <c r="R478" s="110">
        <f t="shared" si="83"/>
        <v>0</v>
      </c>
      <c r="S478" s="112">
        <v>0</v>
      </c>
    </row>
    <row r="479" spans="1:19">
      <c r="A479" s="79"/>
      <c r="B479" s="77" t="s">
        <v>158</v>
      </c>
      <c r="C479" s="76" t="s">
        <v>4</v>
      </c>
      <c r="D479" s="143">
        <v>1</v>
      </c>
      <c r="E479" s="77"/>
      <c r="F479" s="334"/>
      <c r="G479" s="112">
        <v>0</v>
      </c>
      <c r="H479" s="120">
        <v>0</v>
      </c>
      <c r="I479" s="120">
        <v>0</v>
      </c>
      <c r="J479" s="120">
        <v>0</v>
      </c>
      <c r="K479" s="110">
        <v>0</v>
      </c>
      <c r="L479" s="110"/>
      <c r="M479" s="110">
        <v>0</v>
      </c>
      <c r="N479" s="110"/>
      <c r="O479" s="110"/>
      <c r="P479" s="110">
        <f t="shared" si="81"/>
        <v>0</v>
      </c>
      <c r="Q479" s="110">
        <f t="shared" si="82"/>
        <v>0</v>
      </c>
      <c r="R479" s="110">
        <f t="shared" si="83"/>
        <v>0</v>
      </c>
      <c r="S479" s="112">
        <v>0</v>
      </c>
    </row>
    <row r="480" spans="1:19">
      <c r="A480" s="79"/>
      <c r="B480" s="77" t="s">
        <v>200</v>
      </c>
      <c r="C480" s="76" t="s">
        <v>8</v>
      </c>
      <c r="D480" s="143">
        <v>1</v>
      </c>
      <c r="E480" s="77"/>
      <c r="F480" s="334"/>
      <c r="G480" s="112">
        <v>0</v>
      </c>
      <c r="H480" s="120">
        <v>0</v>
      </c>
      <c r="I480" s="120">
        <v>0</v>
      </c>
      <c r="J480" s="120">
        <v>0</v>
      </c>
      <c r="K480" s="110">
        <v>0</v>
      </c>
      <c r="L480" s="110"/>
      <c r="M480" s="110">
        <v>0</v>
      </c>
      <c r="N480" s="110"/>
      <c r="O480" s="110"/>
      <c r="P480" s="110">
        <f t="shared" si="81"/>
        <v>0</v>
      </c>
      <c r="Q480" s="110">
        <f t="shared" si="82"/>
        <v>0</v>
      </c>
      <c r="R480" s="110">
        <f t="shared" si="83"/>
        <v>0</v>
      </c>
      <c r="S480" s="112">
        <v>0</v>
      </c>
    </row>
    <row r="481" spans="1:19">
      <c r="A481" s="79"/>
      <c r="B481" s="77" t="s">
        <v>187</v>
      </c>
      <c r="C481" s="76" t="s">
        <v>4</v>
      </c>
      <c r="D481" s="143">
        <v>2</v>
      </c>
      <c r="E481" s="77"/>
      <c r="F481" s="334"/>
      <c r="G481" s="112">
        <v>0</v>
      </c>
      <c r="H481" s="120">
        <v>0</v>
      </c>
      <c r="I481" s="120">
        <v>0</v>
      </c>
      <c r="J481" s="120">
        <v>0</v>
      </c>
      <c r="K481" s="110">
        <v>0</v>
      </c>
      <c r="L481" s="110"/>
      <c r="M481" s="110">
        <v>0</v>
      </c>
      <c r="N481" s="110"/>
      <c r="O481" s="110"/>
      <c r="P481" s="110">
        <f t="shared" si="81"/>
        <v>0</v>
      </c>
      <c r="Q481" s="110">
        <f t="shared" si="82"/>
        <v>0</v>
      </c>
      <c r="R481" s="110">
        <f t="shared" si="83"/>
        <v>0</v>
      </c>
      <c r="S481" s="112">
        <v>0</v>
      </c>
    </row>
    <row r="482" spans="1:19">
      <c r="A482" s="79"/>
      <c r="B482" s="77" t="s">
        <v>196</v>
      </c>
      <c r="C482" s="76" t="s">
        <v>4</v>
      </c>
      <c r="D482" s="143">
        <v>1</v>
      </c>
      <c r="E482" s="77"/>
      <c r="F482" s="334"/>
      <c r="G482" s="112">
        <v>0</v>
      </c>
      <c r="H482" s="120">
        <v>0</v>
      </c>
      <c r="I482" s="120">
        <v>0</v>
      </c>
      <c r="J482" s="120">
        <v>0</v>
      </c>
      <c r="K482" s="110">
        <v>0</v>
      </c>
      <c r="L482" s="110"/>
      <c r="M482" s="110">
        <v>0</v>
      </c>
      <c r="N482" s="110"/>
      <c r="O482" s="110"/>
      <c r="P482" s="110">
        <f t="shared" si="81"/>
        <v>0</v>
      </c>
      <c r="Q482" s="110">
        <f t="shared" si="82"/>
        <v>0</v>
      </c>
      <c r="R482" s="110">
        <f t="shared" si="83"/>
        <v>0</v>
      </c>
      <c r="S482" s="112">
        <v>0</v>
      </c>
    </row>
    <row r="483" spans="1:19">
      <c r="A483" s="79"/>
      <c r="B483" s="77" t="s">
        <v>201</v>
      </c>
      <c r="C483" s="76" t="s">
        <v>4</v>
      </c>
      <c r="D483" s="143">
        <v>1</v>
      </c>
      <c r="E483" s="77"/>
      <c r="F483" s="334"/>
      <c r="G483" s="112">
        <v>0</v>
      </c>
      <c r="H483" s="120">
        <v>0</v>
      </c>
      <c r="I483" s="120">
        <v>0</v>
      </c>
      <c r="J483" s="120">
        <v>0</v>
      </c>
      <c r="K483" s="110">
        <v>0</v>
      </c>
      <c r="L483" s="110"/>
      <c r="M483" s="110">
        <v>0</v>
      </c>
      <c r="N483" s="110"/>
      <c r="O483" s="110"/>
      <c r="P483" s="110">
        <f t="shared" si="81"/>
        <v>0</v>
      </c>
      <c r="Q483" s="110">
        <f t="shared" si="82"/>
        <v>0</v>
      </c>
      <c r="R483" s="110">
        <f t="shared" si="83"/>
        <v>0</v>
      </c>
      <c r="S483" s="112">
        <v>0</v>
      </c>
    </row>
    <row r="484" spans="1:19">
      <c r="A484" s="79"/>
      <c r="B484" s="77" t="s">
        <v>188</v>
      </c>
      <c r="C484" s="76" t="s">
        <v>4</v>
      </c>
      <c r="D484" s="143">
        <v>1</v>
      </c>
      <c r="E484" s="77"/>
      <c r="F484" s="334"/>
      <c r="G484" s="112">
        <v>0</v>
      </c>
      <c r="H484" s="120">
        <v>0</v>
      </c>
      <c r="I484" s="120">
        <v>0</v>
      </c>
      <c r="J484" s="120">
        <v>0</v>
      </c>
      <c r="K484" s="110">
        <v>0</v>
      </c>
      <c r="L484" s="110"/>
      <c r="M484" s="110">
        <v>0</v>
      </c>
      <c r="N484" s="110"/>
      <c r="O484" s="110"/>
      <c r="P484" s="110">
        <f t="shared" si="81"/>
        <v>0</v>
      </c>
      <c r="Q484" s="110">
        <f t="shared" si="82"/>
        <v>0</v>
      </c>
      <c r="R484" s="110">
        <f t="shared" si="83"/>
        <v>0</v>
      </c>
      <c r="S484" s="112">
        <v>0</v>
      </c>
    </row>
    <row r="485" spans="1:19">
      <c r="A485" s="79"/>
      <c r="B485" s="77" t="s">
        <v>175</v>
      </c>
      <c r="C485" s="76" t="s">
        <v>4</v>
      </c>
      <c r="D485" s="143">
        <v>1</v>
      </c>
      <c r="E485" s="77"/>
      <c r="F485" s="334"/>
      <c r="G485" s="112">
        <v>0</v>
      </c>
      <c r="H485" s="120">
        <v>0</v>
      </c>
      <c r="I485" s="120">
        <v>0</v>
      </c>
      <c r="J485" s="120">
        <v>0</v>
      </c>
      <c r="K485" s="110">
        <v>0</v>
      </c>
      <c r="L485" s="110"/>
      <c r="M485" s="110">
        <v>0</v>
      </c>
      <c r="N485" s="110"/>
      <c r="O485" s="110"/>
      <c r="P485" s="110">
        <f t="shared" si="81"/>
        <v>0</v>
      </c>
      <c r="Q485" s="110">
        <f t="shared" si="82"/>
        <v>0</v>
      </c>
      <c r="R485" s="110">
        <f t="shared" si="83"/>
        <v>0</v>
      </c>
      <c r="S485" s="112">
        <v>0</v>
      </c>
    </row>
    <row r="486" spans="1:19">
      <c r="A486" s="79"/>
      <c r="B486" s="77" t="s">
        <v>202</v>
      </c>
      <c r="C486" s="76" t="s">
        <v>4</v>
      </c>
      <c r="D486" s="143">
        <v>1</v>
      </c>
      <c r="E486" s="77"/>
      <c r="F486" s="334"/>
      <c r="G486" s="112">
        <v>0</v>
      </c>
      <c r="H486" s="120">
        <v>0</v>
      </c>
      <c r="I486" s="120">
        <v>0</v>
      </c>
      <c r="J486" s="120">
        <v>0</v>
      </c>
      <c r="K486" s="110">
        <v>0</v>
      </c>
      <c r="L486" s="110"/>
      <c r="M486" s="110">
        <v>0</v>
      </c>
      <c r="N486" s="110"/>
      <c r="O486" s="110"/>
      <c r="P486" s="110">
        <f t="shared" si="81"/>
        <v>0</v>
      </c>
      <c r="Q486" s="110">
        <f t="shared" si="82"/>
        <v>0</v>
      </c>
      <c r="R486" s="110">
        <f t="shared" si="83"/>
        <v>0</v>
      </c>
      <c r="S486" s="112">
        <v>0</v>
      </c>
    </row>
    <row r="487" spans="1:19">
      <c r="A487" s="79"/>
      <c r="B487" s="77" t="s">
        <v>176</v>
      </c>
      <c r="C487" s="76" t="s">
        <v>4</v>
      </c>
      <c r="D487" s="143">
        <v>2</v>
      </c>
      <c r="E487" s="77"/>
      <c r="F487" s="334"/>
      <c r="G487" s="112">
        <v>0</v>
      </c>
      <c r="H487" s="120">
        <v>0</v>
      </c>
      <c r="I487" s="120">
        <v>0</v>
      </c>
      <c r="J487" s="120">
        <v>0</v>
      </c>
      <c r="K487" s="110">
        <v>0</v>
      </c>
      <c r="L487" s="110"/>
      <c r="M487" s="110">
        <v>0</v>
      </c>
      <c r="N487" s="110"/>
      <c r="O487" s="110"/>
      <c r="P487" s="110">
        <f t="shared" si="81"/>
        <v>0</v>
      </c>
      <c r="Q487" s="110">
        <f t="shared" si="82"/>
        <v>0</v>
      </c>
      <c r="R487" s="110">
        <f t="shared" si="83"/>
        <v>0</v>
      </c>
      <c r="S487" s="112">
        <v>0</v>
      </c>
    </row>
    <row r="488" spans="1:19">
      <c r="A488" s="79"/>
      <c r="B488" s="77" t="s">
        <v>161</v>
      </c>
      <c r="C488" s="76" t="s">
        <v>4</v>
      </c>
      <c r="D488" s="143">
        <v>1</v>
      </c>
      <c r="E488" s="77"/>
      <c r="F488" s="334"/>
      <c r="G488" s="112">
        <v>0</v>
      </c>
      <c r="H488" s="120">
        <v>0</v>
      </c>
      <c r="I488" s="120">
        <v>0</v>
      </c>
      <c r="J488" s="120">
        <v>0</v>
      </c>
      <c r="K488" s="110">
        <v>0</v>
      </c>
      <c r="L488" s="110"/>
      <c r="M488" s="110">
        <v>0</v>
      </c>
      <c r="N488" s="110"/>
      <c r="O488" s="110"/>
      <c r="P488" s="110">
        <f t="shared" si="81"/>
        <v>0</v>
      </c>
      <c r="Q488" s="110">
        <f t="shared" si="82"/>
        <v>0</v>
      </c>
      <c r="R488" s="110">
        <f t="shared" si="83"/>
        <v>0</v>
      </c>
      <c r="S488" s="112">
        <v>0</v>
      </c>
    </row>
    <row r="489" spans="1:19">
      <c r="A489" s="79"/>
      <c r="B489" s="77" t="s">
        <v>177</v>
      </c>
      <c r="C489" s="76" t="s">
        <v>17</v>
      </c>
      <c r="D489" s="143">
        <v>1</v>
      </c>
      <c r="E489" s="77"/>
      <c r="F489" s="334"/>
      <c r="G489" s="112">
        <v>0</v>
      </c>
      <c r="H489" s="120">
        <v>0</v>
      </c>
      <c r="I489" s="120">
        <v>0</v>
      </c>
      <c r="J489" s="120">
        <v>0</v>
      </c>
      <c r="K489" s="110">
        <v>0</v>
      </c>
      <c r="L489" s="110"/>
      <c r="M489" s="110">
        <v>0</v>
      </c>
      <c r="N489" s="110"/>
      <c r="O489" s="110"/>
      <c r="P489" s="110">
        <f t="shared" si="81"/>
        <v>0</v>
      </c>
      <c r="Q489" s="110">
        <f t="shared" si="82"/>
        <v>0</v>
      </c>
      <c r="R489" s="110">
        <f t="shared" si="83"/>
        <v>0</v>
      </c>
      <c r="S489" s="112">
        <v>0</v>
      </c>
    </row>
    <row r="490" spans="1:19">
      <c r="A490" s="79"/>
      <c r="B490" s="77" t="s">
        <v>163</v>
      </c>
      <c r="C490" s="76" t="s">
        <v>4</v>
      </c>
      <c r="D490" s="143">
        <v>1</v>
      </c>
      <c r="E490" s="77"/>
      <c r="F490" s="334"/>
      <c r="G490" s="112">
        <v>0</v>
      </c>
      <c r="H490" s="120">
        <v>0</v>
      </c>
      <c r="I490" s="120">
        <v>0</v>
      </c>
      <c r="J490" s="120">
        <v>0</v>
      </c>
      <c r="K490" s="110">
        <v>0</v>
      </c>
      <c r="L490" s="110"/>
      <c r="M490" s="110">
        <v>0</v>
      </c>
      <c r="N490" s="110"/>
      <c r="O490" s="110"/>
      <c r="P490" s="110">
        <f t="shared" si="81"/>
        <v>0</v>
      </c>
      <c r="Q490" s="110">
        <f t="shared" si="82"/>
        <v>0</v>
      </c>
      <c r="R490" s="110">
        <f t="shared" si="83"/>
        <v>0</v>
      </c>
      <c r="S490" s="112">
        <v>0</v>
      </c>
    </row>
    <row r="491" spans="1:19" ht="30">
      <c r="A491" s="79"/>
      <c r="B491" s="77" t="s">
        <v>189</v>
      </c>
      <c r="C491" s="76" t="s">
        <v>8</v>
      </c>
      <c r="D491" s="143">
        <v>1</v>
      </c>
      <c r="E491" s="77"/>
      <c r="F491" s="334"/>
      <c r="G491" s="112">
        <v>0</v>
      </c>
      <c r="H491" s="120">
        <v>0</v>
      </c>
      <c r="I491" s="120">
        <v>0</v>
      </c>
      <c r="J491" s="120">
        <v>0</v>
      </c>
      <c r="K491" s="110">
        <v>0</v>
      </c>
      <c r="L491" s="110"/>
      <c r="M491" s="110">
        <v>0</v>
      </c>
      <c r="N491" s="110"/>
      <c r="O491" s="110"/>
      <c r="P491" s="110">
        <f t="shared" si="81"/>
        <v>0</v>
      </c>
      <c r="Q491" s="110">
        <f t="shared" si="82"/>
        <v>0</v>
      </c>
      <c r="R491" s="110">
        <f t="shared" si="83"/>
        <v>0</v>
      </c>
      <c r="S491" s="112">
        <v>0</v>
      </c>
    </row>
    <row r="492" spans="1:19" ht="45">
      <c r="A492" s="79"/>
      <c r="B492" s="77" t="s">
        <v>166</v>
      </c>
      <c r="C492" s="76" t="s">
        <v>17</v>
      </c>
      <c r="D492" s="143">
        <v>1</v>
      </c>
      <c r="E492" s="77"/>
      <c r="F492" s="334"/>
      <c r="G492" s="112">
        <v>0</v>
      </c>
      <c r="H492" s="120">
        <v>0</v>
      </c>
      <c r="I492" s="120">
        <v>0</v>
      </c>
      <c r="J492" s="120">
        <v>0</v>
      </c>
      <c r="K492" s="110">
        <v>0</v>
      </c>
      <c r="L492" s="110"/>
      <c r="M492" s="110">
        <v>0</v>
      </c>
      <c r="N492" s="110"/>
      <c r="O492" s="110"/>
      <c r="P492" s="110">
        <f t="shared" si="81"/>
        <v>0</v>
      </c>
      <c r="Q492" s="110">
        <f t="shared" si="82"/>
        <v>0</v>
      </c>
      <c r="R492" s="110">
        <f t="shared" si="83"/>
        <v>0</v>
      </c>
      <c r="S492" s="112">
        <v>0</v>
      </c>
    </row>
    <row r="493" spans="1:19" ht="60">
      <c r="A493" s="79">
        <v>6</v>
      </c>
      <c r="B493" s="77" t="s">
        <v>203</v>
      </c>
      <c r="C493" s="76" t="s">
        <v>6</v>
      </c>
      <c r="D493" s="143">
        <v>1</v>
      </c>
      <c r="E493" s="77"/>
      <c r="F493" s="334">
        <v>1</v>
      </c>
      <c r="G493" s="112" t="s">
        <v>203</v>
      </c>
      <c r="H493" s="120" t="s">
        <v>1076</v>
      </c>
      <c r="I493" s="120" t="s">
        <v>828</v>
      </c>
      <c r="J493" s="120" t="s">
        <v>829</v>
      </c>
      <c r="K493" s="110">
        <v>30592800</v>
      </c>
      <c r="L493" s="110"/>
      <c r="M493" s="110">
        <v>3123300</v>
      </c>
      <c r="N493" s="110"/>
      <c r="O493" s="110"/>
      <c r="P493" s="110">
        <f t="shared" si="81"/>
        <v>33716100</v>
      </c>
      <c r="Q493" s="110">
        <f t="shared" si="82"/>
        <v>33716100</v>
      </c>
      <c r="R493" s="110">
        <f t="shared" si="83"/>
        <v>33716100</v>
      </c>
      <c r="S493" s="112" t="s">
        <v>4094</v>
      </c>
    </row>
    <row r="494" spans="1:19" ht="45">
      <c r="A494" s="79"/>
      <c r="B494" s="77" t="s">
        <v>182</v>
      </c>
      <c r="C494" s="76" t="s">
        <v>4</v>
      </c>
      <c r="D494" s="143">
        <v>1</v>
      </c>
      <c r="E494" s="77"/>
      <c r="F494" s="334"/>
      <c r="G494" s="112">
        <v>0</v>
      </c>
      <c r="H494" s="120">
        <v>0</v>
      </c>
      <c r="I494" s="120">
        <v>0</v>
      </c>
      <c r="J494" s="120">
        <v>0</v>
      </c>
      <c r="K494" s="110">
        <v>0</v>
      </c>
      <c r="L494" s="110"/>
      <c r="M494" s="110">
        <v>0</v>
      </c>
      <c r="N494" s="110"/>
      <c r="O494" s="110"/>
      <c r="P494" s="110">
        <f t="shared" si="81"/>
        <v>0</v>
      </c>
      <c r="Q494" s="110">
        <f t="shared" si="82"/>
        <v>0</v>
      </c>
      <c r="R494" s="110">
        <f t="shared" si="83"/>
        <v>0</v>
      </c>
      <c r="S494" s="112" t="s">
        <v>150</v>
      </c>
    </row>
    <row r="495" spans="1:19">
      <c r="A495" s="79"/>
      <c r="B495" s="77" t="s">
        <v>151</v>
      </c>
      <c r="C495" s="76"/>
      <c r="D495" s="143"/>
      <c r="E495" s="77"/>
      <c r="F495" s="76"/>
      <c r="G495" s="112">
        <v>0</v>
      </c>
      <c r="H495" s="120">
        <v>0</v>
      </c>
      <c r="I495" s="120">
        <v>0</v>
      </c>
      <c r="J495" s="120">
        <v>0</v>
      </c>
      <c r="K495" s="110">
        <v>0</v>
      </c>
      <c r="L495" s="110"/>
      <c r="M495" s="110">
        <v>0</v>
      </c>
      <c r="N495" s="110"/>
      <c r="O495" s="110"/>
      <c r="P495" s="110">
        <f t="shared" si="81"/>
        <v>0</v>
      </c>
      <c r="Q495" s="110">
        <f t="shared" si="82"/>
        <v>0</v>
      </c>
      <c r="R495" s="110">
        <f t="shared" si="83"/>
        <v>0</v>
      </c>
      <c r="S495" s="112">
        <v>0</v>
      </c>
    </row>
    <row r="496" spans="1:19">
      <c r="A496" s="79"/>
      <c r="B496" s="77" t="s">
        <v>204</v>
      </c>
      <c r="C496" s="76" t="s">
        <v>4</v>
      </c>
      <c r="D496" s="143">
        <v>1</v>
      </c>
      <c r="E496" s="77"/>
      <c r="F496" s="334"/>
      <c r="G496" s="112">
        <v>0</v>
      </c>
      <c r="H496" s="120">
        <v>0</v>
      </c>
      <c r="I496" s="120">
        <v>0</v>
      </c>
      <c r="J496" s="120">
        <v>0</v>
      </c>
      <c r="K496" s="110">
        <v>0</v>
      </c>
      <c r="L496" s="110"/>
      <c r="M496" s="110">
        <v>0</v>
      </c>
      <c r="N496" s="110"/>
      <c r="O496" s="110"/>
      <c r="P496" s="110">
        <f t="shared" si="81"/>
        <v>0</v>
      </c>
      <c r="Q496" s="110">
        <f t="shared" si="82"/>
        <v>0</v>
      </c>
      <c r="R496" s="110">
        <f t="shared" si="83"/>
        <v>0</v>
      </c>
      <c r="S496" s="112">
        <v>0</v>
      </c>
    </row>
    <row r="497" spans="1:19">
      <c r="A497" s="79"/>
      <c r="B497" s="77" t="s">
        <v>57</v>
      </c>
      <c r="C497" s="76" t="s">
        <v>12</v>
      </c>
      <c r="D497" s="143">
        <v>3</v>
      </c>
      <c r="E497" s="77"/>
      <c r="F497" s="334"/>
      <c r="G497" s="112">
        <v>0</v>
      </c>
      <c r="H497" s="120">
        <v>0</v>
      </c>
      <c r="I497" s="120">
        <v>0</v>
      </c>
      <c r="J497" s="120">
        <v>0</v>
      </c>
      <c r="K497" s="110">
        <v>0</v>
      </c>
      <c r="L497" s="110"/>
      <c r="M497" s="110">
        <v>0</v>
      </c>
      <c r="N497" s="110"/>
      <c r="O497" s="110"/>
      <c r="P497" s="110">
        <f t="shared" ref="P497:P560" si="84">+K497+L497+M497+N497+O497</f>
        <v>0</v>
      </c>
      <c r="Q497" s="110">
        <f t="shared" ref="Q497:Q560" si="85">+P497*D497</f>
        <v>0</v>
      </c>
      <c r="R497" s="110">
        <f t="shared" ref="R497:R560" si="86">P497*F497</f>
        <v>0</v>
      </c>
      <c r="S497" s="112">
        <v>0</v>
      </c>
    </row>
    <row r="498" spans="1:19">
      <c r="A498" s="79"/>
      <c r="B498" s="77" t="s">
        <v>29</v>
      </c>
      <c r="C498" s="76" t="s">
        <v>4</v>
      </c>
      <c r="D498" s="143">
        <v>1</v>
      </c>
      <c r="E498" s="77"/>
      <c r="F498" s="334"/>
      <c r="G498" s="112">
        <v>0</v>
      </c>
      <c r="H498" s="120">
        <v>0</v>
      </c>
      <c r="I498" s="120">
        <v>0</v>
      </c>
      <c r="J498" s="120">
        <v>0</v>
      </c>
      <c r="K498" s="110">
        <v>0</v>
      </c>
      <c r="L498" s="110"/>
      <c r="M498" s="110">
        <v>0</v>
      </c>
      <c r="N498" s="110"/>
      <c r="O498" s="110"/>
      <c r="P498" s="110">
        <f t="shared" si="84"/>
        <v>0</v>
      </c>
      <c r="Q498" s="110">
        <f t="shared" si="85"/>
        <v>0</v>
      </c>
      <c r="R498" s="110">
        <f t="shared" si="86"/>
        <v>0</v>
      </c>
      <c r="S498" s="112">
        <v>0</v>
      </c>
    </row>
    <row r="499" spans="1:19">
      <c r="A499" s="79"/>
      <c r="B499" s="77" t="s">
        <v>30</v>
      </c>
      <c r="C499" s="76" t="s">
        <v>4</v>
      </c>
      <c r="D499" s="143">
        <v>1</v>
      </c>
      <c r="E499" s="77"/>
      <c r="F499" s="334"/>
      <c r="G499" s="112">
        <v>0</v>
      </c>
      <c r="H499" s="120">
        <v>0</v>
      </c>
      <c r="I499" s="120">
        <v>0</v>
      </c>
      <c r="J499" s="120">
        <v>0</v>
      </c>
      <c r="K499" s="110">
        <v>0</v>
      </c>
      <c r="L499" s="110"/>
      <c r="M499" s="110">
        <v>0</v>
      </c>
      <c r="N499" s="110"/>
      <c r="O499" s="110"/>
      <c r="P499" s="110">
        <f t="shared" si="84"/>
        <v>0</v>
      </c>
      <c r="Q499" s="110">
        <f t="shared" si="85"/>
        <v>0</v>
      </c>
      <c r="R499" s="110">
        <f t="shared" si="86"/>
        <v>0</v>
      </c>
      <c r="S499" s="112">
        <v>0</v>
      </c>
    </row>
    <row r="500" spans="1:19">
      <c r="A500" s="79"/>
      <c r="B500" s="77" t="s">
        <v>184</v>
      </c>
      <c r="C500" s="76" t="s">
        <v>4</v>
      </c>
      <c r="D500" s="143">
        <v>3</v>
      </c>
      <c r="E500" s="77"/>
      <c r="F500" s="334"/>
      <c r="G500" s="112">
        <v>0</v>
      </c>
      <c r="H500" s="120">
        <v>0</v>
      </c>
      <c r="I500" s="120">
        <v>0</v>
      </c>
      <c r="J500" s="120">
        <v>0</v>
      </c>
      <c r="K500" s="110">
        <v>0</v>
      </c>
      <c r="L500" s="110"/>
      <c r="M500" s="110">
        <v>0</v>
      </c>
      <c r="N500" s="110"/>
      <c r="O500" s="110"/>
      <c r="P500" s="110">
        <f t="shared" si="84"/>
        <v>0</v>
      </c>
      <c r="Q500" s="110">
        <f t="shared" si="85"/>
        <v>0</v>
      </c>
      <c r="R500" s="110">
        <f t="shared" si="86"/>
        <v>0</v>
      </c>
      <c r="S500" s="112">
        <v>0</v>
      </c>
    </row>
    <row r="501" spans="1:19">
      <c r="A501" s="79"/>
      <c r="B501" s="77" t="s">
        <v>14</v>
      </c>
      <c r="C501" s="76" t="s">
        <v>4</v>
      </c>
      <c r="D501" s="143">
        <v>3</v>
      </c>
      <c r="E501" s="77"/>
      <c r="F501" s="334"/>
      <c r="G501" s="112">
        <v>0</v>
      </c>
      <c r="H501" s="120">
        <v>0</v>
      </c>
      <c r="I501" s="120">
        <v>0</v>
      </c>
      <c r="J501" s="120">
        <v>0</v>
      </c>
      <c r="K501" s="110">
        <v>0</v>
      </c>
      <c r="L501" s="110"/>
      <c r="M501" s="110">
        <v>0</v>
      </c>
      <c r="N501" s="110"/>
      <c r="O501" s="110"/>
      <c r="P501" s="110">
        <f t="shared" si="84"/>
        <v>0</v>
      </c>
      <c r="Q501" s="110">
        <f t="shared" si="85"/>
        <v>0</v>
      </c>
      <c r="R501" s="110">
        <f t="shared" si="86"/>
        <v>0</v>
      </c>
      <c r="S501" s="112">
        <v>0</v>
      </c>
    </row>
    <row r="502" spans="1:19">
      <c r="A502" s="79"/>
      <c r="B502" s="77" t="s">
        <v>153</v>
      </c>
      <c r="C502" s="76" t="s">
        <v>4</v>
      </c>
      <c r="D502" s="143">
        <v>3</v>
      </c>
      <c r="E502" s="77"/>
      <c r="F502" s="334"/>
      <c r="G502" s="112">
        <v>0</v>
      </c>
      <c r="H502" s="120">
        <v>0</v>
      </c>
      <c r="I502" s="120">
        <v>0</v>
      </c>
      <c r="J502" s="120">
        <v>0</v>
      </c>
      <c r="K502" s="110">
        <v>0</v>
      </c>
      <c r="L502" s="110"/>
      <c r="M502" s="110">
        <v>0</v>
      </c>
      <c r="N502" s="110"/>
      <c r="O502" s="110"/>
      <c r="P502" s="110">
        <f t="shared" si="84"/>
        <v>0</v>
      </c>
      <c r="Q502" s="110">
        <f t="shared" si="85"/>
        <v>0</v>
      </c>
      <c r="R502" s="110">
        <f t="shared" si="86"/>
        <v>0</v>
      </c>
      <c r="S502" s="112">
        <v>0</v>
      </c>
    </row>
    <row r="503" spans="1:19">
      <c r="A503" s="79"/>
      <c r="B503" s="77" t="s">
        <v>154</v>
      </c>
      <c r="C503" s="76"/>
      <c r="D503" s="143"/>
      <c r="E503" s="77"/>
      <c r="F503" s="76"/>
      <c r="G503" s="112">
        <v>0</v>
      </c>
      <c r="H503" s="120">
        <v>0</v>
      </c>
      <c r="I503" s="120">
        <v>0</v>
      </c>
      <c r="J503" s="120">
        <v>0</v>
      </c>
      <c r="K503" s="110">
        <v>0</v>
      </c>
      <c r="L503" s="110"/>
      <c r="M503" s="110">
        <v>0</v>
      </c>
      <c r="N503" s="110"/>
      <c r="O503" s="110"/>
      <c r="P503" s="110">
        <f t="shared" si="84"/>
        <v>0</v>
      </c>
      <c r="Q503" s="110">
        <f t="shared" si="85"/>
        <v>0</v>
      </c>
      <c r="R503" s="110">
        <f t="shared" si="86"/>
        <v>0</v>
      </c>
      <c r="S503" s="112">
        <v>0</v>
      </c>
    </row>
    <row r="504" spans="1:19">
      <c r="A504" s="79"/>
      <c r="B504" s="77" t="s">
        <v>199</v>
      </c>
      <c r="C504" s="76" t="s">
        <v>4</v>
      </c>
      <c r="D504" s="143">
        <v>1</v>
      </c>
      <c r="E504" s="77"/>
      <c r="F504" s="334"/>
      <c r="G504" s="112">
        <v>0</v>
      </c>
      <c r="H504" s="120">
        <v>0</v>
      </c>
      <c r="I504" s="120">
        <v>0</v>
      </c>
      <c r="J504" s="120">
        <v>0</v>
      </c>
      <c r="K504" s="110">
        <v>0</v>
      </c>
      <c r="L504" s="110"/>
      <c r="M504" s="110">
        <v>0</v>
      </c>
      <c r="N504" s="110"/>
      <c r="O504" s="110"/>
      <c r="P504" s="110">
        <f t="shared" si="84"/>
        <v>0</v>
      </c>
      <c r="Q504" s="110">
        <f t="shared" si="85"/>
        <v>0</v>
      </c>
      <c r="R504" s="110">
        <f t="shared" si="86"/>
        <v>0</v>
      </c>
      <c r="S504" s="112">
        <v>0</v>
      </c>
    </row>
    <row r="505" spans="1:19">
      <c r="A505" s="79"/>
      <c r="B505" s="77" t="s">
        <v>185</v>
      </c>
      <c r="C505" s="76" t="s">
        <v>4</v>
      </c>
      <c r="D505" s="143">
        <v>2</v>
      </c>
      <c r="E505" s="59"/>
      <c r="F505" s="334"/>
      <c r="G505" s="112">
        <v>0</v>
      </c>
      <c r="H505" s="120">
        <v>0</v>
      </c>
      <c r="I505" s="120">
        <v>0</v>
      </c>
      <c r="J505" s="120">
        <v>0</v>
      </c>
      <c r="K505" s="110">
        <v>0</v>
      </c>
      <c r="L505" s="110"/>
      <c r="M505" s="110">
        <v>0</v>
      </c>
      <c r="N505" s="110"/>
      <c r="O505" s="110"/>
      <c r="P505" s="110">
        <f t="shared" si="84"/>
        <v>0</v>
      </c>
      <c r="Q505" s="110">
        <f t="shared" si="85"/>
        <v>0</v>
      </c>
      <c r="R505" s="110">
        <f t="shared" si="86"/>
        <v>0</v>
      </c>
      <c r="S505" s="112">
        <v>0</v>
      </c>
    </row>
    <row r="506" spans="1:19">
      <c r="A506" s="79"/>
      <c r="B506" s="77" t="s">
        <v>158</v>
      </c>
      <c r="C506" s="76" t="s">
        <v>4</v>
      </c>
      <c r="D506" s="143">
        <v>1</v>
      </c>
      <c r="E506" s="77"/>
      <c r="F506" s="334"/>
      <c r="G506" s="112">
        <v>0</v>
      </c>
      <c r="H506" s="120">
        <v>0</v>
      </c>
      <c r="I506" s="120">
        <v>0</v>
      </c>
      <c r="J506" s="120">
        <v>0</v>
      </c>
      <c r="K506" s="110">
        <v>0</v>
      </c>
      <c r="L506" s="110"/>
      <c r="M506" s="110">
        <v>0</v>
      </c>
      <c r="N506" s="110"/>
      <c r="O506" s="110"/>
      <c r="P506" s="110">
        <f t="shared" si="84"/>
        <v>0</v>
      </c>
      <c r="Q506" s="110">
        <f t="shared" si="85"/>
        <v>0</v>
      </c>
      <c r="R506" s="110">
        <f t="shared" si="86"/>
        <v>0</v>
      </c>
      <c r="S506" s="112">
        <v>0</v>
      </c>
    </row>
    <row r="507" spans="1:19">
      <c r="A507" s="79"/>
      <c r="B507" s="77" t="s">
        <v>200</v>
      </c>
      <c r="C507" s="76" t="s">
        <v>8</v>
      </c>
      <c r="D507" s="143">
        <v>1</v>
      </c>
      <c r="E507" s="77"/>
      <c r="F507" s="334"/>
      <c r="G507" s="112">
        <v>0</v>
      </c>
      <c r="H507" s="120">
        <v>0</v>
      </c>
      <c r="I507" s="120">
        <v>0</v>
      </c>
      <c r="J507" s="120">
        <v>0</v>
      </c>
      <c r="K507" s="110">
        <v>0</v>
      </c>
      <c r="L507" s="110"/>
      <c r="M507" s="110">
        <v>0</v>
      </c>
      <c r="N507" s="110"/>
      <c r="O507" s="110"/>
      <c r="P507" s="110">
        <f t="shared" si="84"/>
        <v>0</v>
      </c>
      <c r="Q507" s="110">
        <f t="shared" si="85"/>
        <v>0</v>
      </c>
      <c r="R507" s="110">
        <f t="shared" si="86"/>
        <v>0</v>
      </c>
      <c r="S507" s="112">
        <v>0</v>
      </c>
    </row>
    <row r="508" spans="1:19">
      <c r="A508" s="79"/>
      <c r="B508" s="77" t="s">
        <v>187</v>
      </c>
      <c r="C508" s="76" t="s">
        <v>4</v>
      </c>
      <c r="D508" s="143">
        <v>2</v>
      </c>
      <c r="E508" s="77"/>
      <c r="F508" s="334"/>
      <c r="G508" s="112">
        <v>0</v>
      </c>
      <c r="H508" s="120">
        <v>0</v>
      </c>
      <c r="I508" s="120">
        <v>0</v>
      </c>
      <c r="J508" s="120">
        <v>0</v>
      </c>
      <c r="K508" s="110">
        <v>0</v>
      </c>
      <c r="L508" s="110"/>
      <c r="M508" s="110">
        <v>0</v>
      </c>
      <c r="N508" s="110"/>
      <c r="O508" s="110"/>
      <c r="P508" s="110">
        <f t="shared" si="84"/>
        <v>0</v>
      </c>
      <c r="Q508" s="110">
        <f t="shared" si="85"/>
        <v>0</v>
      </c>
      <c r="R508" s="110">
        <f t="shared" si="86"/>
        <v>0</v>
      </c>
      <c r="S508" s="112">
        <v>0</v>
      </c>
    </row>
    <row r="509" spans="1:19">
      <c r="A509" s="79"/>
      <c r="B509" s="77" t="s">
        <v>196</v>
      </c>
      <c r="C509" s="76" t="s">
        <v>4</v>
      </c>
      <c r="D509" s="143">
        <v>1</v>
      </c>
      <c r="E509" s="77"/>
      <c r="F509" s="334"/>
      <c r="G509" s="112">
        <v>0</v>
      </c>
      <c r="H509" s="120">
        <v>0</v>
      </c>
      <c r="I509" s="120">
        <v>0</v>
      </c>
      <c r="J509" s="120">
        <v>0</v>
      </c>
      <c r="K509" s="110">
        <v>0</v>
      </c>
      <c r="L509" s="110"/>
      <c r="M509" s="110">
        <v>0</v>
      </c>
      <c r="N509" s="110"/>
      <c r="O509" s="110"/>
      <c r="P509" s="110">
        <f t="shared" si="84"/>
        <v>0</v>
      </c>
      <c r="Q509" s="110">
        <f t="shared" si="85"/>
        <v>0</v>
      </c>
      <c r="R509" s="110">
        <f t="shared" si="86"/>
        <v>0</v>
      </c>
      <c r="S509" s="112">
        <v>0</v>
      </c>
    </row>
    <row r="510" spans="1:19">
      <c r="A510" s="79"/>
      <c r="B510" s="77" t="s">
        <v>173</v>
      </c>
      <c r="C510" s="76" t="s">
        <v>4</v>
      </c>
      <c r="D510" s="143">
        <v>1</v>
      </c>
      <c r="E510" s="77"/>
      <c r="F510" s="334"/>
      <c r="G510" s="112">
        <v>0</v>
      </c>
      <c r="H510" s="120">
        <v>0</v>
      </c>
      <c r="I510" s="120">
        <v>0</v>
      </c>
      <c r="J510" s="120">
        <v>0</v>
      </c>
      <c r="K510" s="110">
        <v>0</v>
      </c>
      <c r="L510" s="110"/>
      <c r="M510" s="110">
        <v>0</v>
      </c>
      <c r="N510" s="110"/>
      <c r="O510" s="110"/>
      <c r="P510" s="110">
        <f t="shared" si="84"/>
        <v>0</v>
      </c>
      <c r="Q510" s="110">
        <f t="shared" si="85"/>
        <v>0</v>
      </c>
      <c r="R510" s="110">
        <f t="shared" si="86"/>
        <v>0</v>
      </c>
      <c r="S510" s="112">
        <v>0</v>
      </c>
    </row>
    <row r="511" spans="1:19">
      <c r="A511" s="79"/>
      <c r="B511" s="77" t="s">
        <v>201</v>
      </c>
      <c r="C511" s="76" t="s">
        <v>4</v>
      </c>
      <c r="D511" s="143">
        <v>1</v>
      </c>
      <c r="E511" s="77"/>
      <c r="F511" s="334"/>
      <c r="G511" s="112">
        <v>0</v>
      </c>
      <c r="H511" s="120">
        <v>0</v>
      </c>
      <c r="I511" s="120">
        <v>0</v>
      </c>
      <c r="J511" s="120">
        <v>0</v>
      </c>
      <c r="K511" s="110">
        <v>0</v>
      </c>
      <c r="L511" s="110"/>
      <c r="M511" s="110">
        <v>0</v>
      </c>
      <c r="N511" s="110"/>
      <c r="O511" s="110"/>
      <c r="P511" s="110">
        <f t="shared" si="84"/>
        <v>0</v>
      </c>
      <c r="Q511" s="110">
        <f t="shared" si="85"/>
        <v>0</v>
      </c>
      <c r="R511" s="110">
        <f t="shared" si="86"/>
        <v>0</v>
      </c>
      <c r="S511" s="112">
        <v>0</v>
      </c>
    </row>
    <row r="512" spans="1:19">
      <c r="A512" s="79"/>
      <c r="B512" s="77" t="s">
        <v>188</v>
      </c>
      <c r="C512" s="76" t="s">
        <v>4</v>
      </c>
      <c r="D512" s="143">
        <v>1</v>
      </c>
      <c r="E512" s="77"/>
      <c r="F512" s="334"/>
      <c r="G512" s="112">
        <v>0</v>
      </c>
      <c r="H512" s="120">
        <v>0</v>
      </c>
      <c r="I512" s="120">
        <v>0</v>
      </c>
      <c r="J512" s="120">
        <v>0</v>
      </c>
      <c r="K512" s="110">
        <v>0</v>
      </c>
      <c r="L512" s="110"/>
      <c r="M512" s="110">
        <v>0</v>
      </c>
      <c r="N512" s="110"/>
      <c r="O512" s="110"/>
      <c r="P512" s="110">
        <f t="shared" si="84"/>
        <v>0</v>
      </c>
      <c r="Q512" s="110">
        <f t="shared" si="85"/>
        <v>0</v>
      </c>
      <c r="R512" s="110">
        <f t="shared" si="86"/>
        <v>0</v>
      </c>
      <c r="S512" s="112">
        <v>0</v>
      </c>
    </row>
    <row r="513" spans="1:19">
      <c r="A513" s="79"/>
      <c r="B513" s="77" t="s">
        <v>175</v>
      </c>
      <c r="C513" s="76" t="s">
        <v>4</v>
      </c>
      <c r="D513" s="143">
        <v>1</v>
      </c>
      <c r="E513" s="77"/>
      <c r="F513" s="334"/>
      <c r="G513" s="112">
        <v>0</v>
      </c>
      <c r="H513" s="120">
        <v>0</v>
      </c>
      <c r="I513" s="120">
        <v>0</v>
      </c>
      <c r="J513" s="120">
        <v>0</v>
      </c>
      <c r="K513" s="110">
        <v>0</v>
      </c>
      <c r="L513" s="110"/>
      <c r="M513" s="110">
        <v>0</v>
      </c>
      <c r="N513" s="110"/>
      <c r="O513" s="110"/>
      <c r="P513" s="110">
        <f t="shared" si="84"/>
        <v>0</v>
      </c>
      <c r="Q513" s="110">
        <f t="shared" si="85"/>
        <v>0</v>
      </c>
      <c r="R513" s="110">
        <f t="shared" si="86"/>
        <v>0</v>
      </c>
      <c r="S513" s="112">
        <v>0</v>
      </c>
    </row>
    <row r="514" spans="1:19">
      <c r="A514" s="79"/>
      <c r="B514" s="77" t="s">
        <v>202</v>
      </c>
      <c r="C514" s="76" t="s">
        <v>4</v>
      </c>
      <c r="D514" s="143">
        <v>1</v>
      </c>
      <c r="E514" s="77"/>
      <c r="F514" s="334"/>
      <c r="G514" s="112">
        <v>0</v>
      </c>
      <c r="H514" s="120">
        <v>0</v>
      </c>
      <c r="I514" s="120">
        <v>0</v>
      </c>
      <c r="J514" s="120">
        <v>0</v>
      </c>
      <c r="K514" s="110">
        <v>0</v>
      </c>
      <c r="L514" s="110"/>
      <c r="M514" s="110">
        <v>0</v>
      </c>
      <c r="N514" s="110"/>
      <c r="O514" s="110"/>
      <c r="P514" s="110">
        <f t="shared" si="84"/>
        <v>0</v>
      </c>
      <c r="Q514" s="110">
        <f t="shared" si="85"/>
        <v>0</v>
      </c>
      <c r="R514" s="110">
        <f t="shared" si="86"/>
        <v>0</v>
      </c>
      <c r="S514" s="112">
        <v>0</v>
      </c>
    </row>
    <row r="515" spans="1:19">
      <c r="A515" s="79"/>
      <c r="B515" s="77" t="s">
        <v>176</v>
      </c>
      <c r="C515" s="76" t="s">
        <v>4</v>
      </c>
      <c r="D515" s="143">
        <v>2</v>
      </c>
      <c r="E515" s="77"/>
      <c r="F515" s="334"/>
      <c r="G515" s="112">
        <v>0</v>
      </c>
      <c r="H515" s="120">
        <v>0</v>
      </c>
      <c r="I515" s="120">
        <v>0</v>
      </c>
      <c r="J515" s="120">
        <v>0</v>
      </c>
      <c r="K515" s="110">
        <v>0</v>
      </c>
      <c r="L515" s="110"/>
      <c r="M515" s="110">
        <v>0</v>
      </c>
      <c r="N515" s="110"/>
      <c r="O515" s="110"/>
      <c r="P515" s="110">
        <f t="shared" si="84"/>
        <v>0</v>
      </c>
      <c r="Q515" s="110">
        <f t="shared" si="85"/>
        <v>0</v>
      </c>
      <c r="R515" s="110">
        <f t="shared" si="86"/>
        <v>0</v>
      </c>
      <c r="S515" s="112">
        <v>0</v>
      </c>
    </row>
    <row r="516" spans="1:19">
      <c r="A516" s="79"/>
      <c r="B516" s="77" t="s">
        <v>161</v>
      </c>
      <c r="C516" s="76" t="s">
        <v>4</v>
      </c>
      <c r="D516" s="143">
        <v>1</v>
      </c>
      <c r="E516" s="77"/>
      <c r="F516" s="334"/>
      <c r="G516" s="112">
        <v>0</v>
      </c>
      <c r="H516" s="120">
        <v>0</v>
      </c>
      <c r="I516" s="120">
        <v>0</v>
      </c>
      <c r="J516" s="120">
        <v>0</v>
      </c>
      <c r="K516" s="110">
        <v>0</v>
      </c>
      <c r="L516" s="110"/>
      <c r="M516" s="110">
        <v>0</v>
      </c>
      <c r="N516" s="110"/>
      <c r="O516" s="110"/>
      <c r="P516" s="110">
        <f t="shared" si="84"/>
        <v>0</v>
      </c>
      <c r="Q516" s="110">
        <f t="shared" si="85"/>
        <v>0</v>
      </c>
      <c r="R516" s="110">
        <f t="shared" si="86"/>
        <v>0</v>
      </c>
      <c r="S516" s="112">
        <v>0</v>
      </c>
    </row>
    <row r="517" spans="1:19">
      <c r="A517" s="79"/>
      <c r="B517" s="77" t="s">
        <v>177</v>
      </c>
      <c r="C517" s="76" t="s">
        <v>17</v>
      </c>
      <c r="D517" s="143">
        <v>1</v>
      </c>
      <c r="E517" s="77"/>
      <c r="F517" s="334"/>
      <c r="G517" s="112">
        <v>0</v>
      </c>
      <c r="H517" s="120">
        <v>0</v>
      </c>
      <c r="I517" s="120">
        <v>0</v>
      </c>
      <c r="J517" s="120">
        <v>0</v>
      </c>
      <c r="K517" s="110">
        <v>0</v>
      </c>
      <c r="L517" s="110"/>
      <c r="M517" s="110">
        <v>0</v>
      </c>
      <c r="N517" s="110"/>
      <c r="O517" s="110"/>
      <c r="P517" s="110">
        <f t="shared" si="84"/>
        <v>0</v>
      </c>
      <c r="Q517" s="110">
        <f t="shared" si="85"/>
        <v>0</v>
      </c>
      <c r="R517" s="110">
        <f t="shared" si="86"/>
        <v>0</v>
      </c>
      <c r="S517" s="112">
        <v>0</v>
      </c>
    </row>
    <row r="518" spans="1:19">
      <c r="A518" s="79"/>
      <c r="B518" s="77" t="s">
        <v>186</v>
      </c>
      <c r="C518" s="76" t="s">
        <v>8</v>
      </c>
      <c r="D518" s="143">
        <v>2</v>
      </c>
      <c r="E518" s="77"/>
      <c r="F518" s="334"/>
      <c r="G518" s="112">
        <v>0</v>
      </c>
      <c r="H518" s="120">
        <v>0</v>
      </c>
      <c r="I518" s="120">
        <v>0</v>
      </c>
      <c r="J518" s="120">
        <v>0</v>
      </c>
      <c r="K518" s="110">
        <v>0</v>
      </c>
      <c r="L518" s="110"/>
      <c r="M518" s="110">
        <v>0</v>
      </c>
      <c r="N518" s="110"/>
      <c r="O518" s="110"/>
      <c r="P518" s="110">
        <f t="shared" si="84"/>
        <v>0</v>
      </c>
      <c r="Q518" s="110">
        <f t="shared" si="85"/>
        <v>0</v>
      </c>
      <c r="R518" s="110">
        <f t="shared" si="86"/>
        <v>0</v>
      </c>
      <c r="S518" s="112">
        <v>0</v>
      </c>
    </row>
    <row r="519" spans="1:19">
      <c r="A519" s="79"/>
      <c r="B519" s="77" t="s">
        <v>187</v>
      </c>
      <c r="C519" s="76" t="s">
        <v>4</v>
      </c>
      <c r="D519" s="143">
        <v>2</v>
      </c>
      <c r="E519" s="77"/>
      <c r="F519" s="334"/>
      <c r="G519" s="112">
        <v>0</v>
      </c>
      <c r="H519" s="120">
        <v>0</v>
      </c>
      <c r="I519" s="120">
        <v>0</v>
      </c>
      <c r="J519" s="120">
        <v>0</v>
      </c>
      <c r="K519" s="110">
        <v>0</v>
      </c>
      <c r="L519" s="110"/>
      <c r="M519" s="110">
        <v>0</v>
      </c>
      <c r="N519" s="110"/>
      <c r="O519" s="110"/>
      <c r="P519" s="110">
        <f t="shared" si="84"/>
        <v>0</v>
      </c>
      <c r="Q519" s="110">
        <f t="shared" si="85"/>
        <v>0</v>
      </c>
      <c r="R519" s="110">
        <f t="shared" si="86"/>
        <v>0</v>
      </c>
      <c r="S519" s="112">
        <v>0</v>
      </c>
    </row>
    <row r="520" spans="1:19">
      <c r="A520" s="79"/>
      <c r="B520" s="77" t="s">
        <v>173</v>
      </c>
      <c r="C520" s="76" t="s">
        <v>4</v>
      </c>
      <c r="D520" s="143">
        <v>2</v>
      </c>
      <c r="E520" s="77"/>
      <c r="F520" s="334"/>
      <c r="G520" s="112">
        <v>0</v>
      </c>
      <c r="H520" s="120">
        <v>0</v>
      </c>
      <c r="I520" s="120">
        <v>0</v>
      </c>
      <c r="J520" s="120">
        <v>0</v>
      </c>
      <c r="K520" s="110">
        <v>0</v>
      </c>
      <c r="L520" s="110"/>
      <c r="M520" s="110">
        <v>0</v>
      </c>
      <c r="N520" s="110"/>
      <c r="O520" s="110"/>
      <c r="P520" s="110">
        <f t="shared" si="84"/>
        <v>0</v>
      </c>
      <c r="Q520" s="110">
        <f t="shared" si="85"/>
        <v>0</v>
      </c>
      <c r="R520" s="110">
        <f t="shared" si="86"/>
        <v>0</v>
      </c>
      <c r="S520" s="112">
        <v>0</v>
      </c>
    </row>
    <row r="521" spans="1:19">
      <c r="A521" s="79"/>
      <c r="B521" s="77" t="s">
        <v>188</v>
      </c>
      <c r="C521" s="76" t="s">
        <v>4</v>
      </c>
      <c r="D521" s="143">
        <v>2</v>
      </c>
      <c r="E521" s="77"/>
      <c r="F521" s="334"/>
      <c r="G521" s="112">
        <v>0</v>
      </c>
      <c r="H521" s="120">
        <v>0</v>
      </c>
      <c r="I521" s="120">
        <v>0</v>
      </c>
      <c r="J521" s="120">
        <v>0</v>
      </c>
      <c r="K521" s="110">
        <v>0</v>
      </c>
      <c r="L521" s="110"/>
      <c r="M521" s="110">
        <v>0</v>
      </c>
      <c r="N521" s="110"/>
      <c r="O521" s="110"/>
      <c r="P521" s="110">
        <f t="shared" si="84"/>
        <v>0</v>
      </c>
      <c r="Q521" s="110">
        <f t="shared" si="85"/>
        <v>0</v>
      </c>
      <c r="R521" s="110">
        <f t="shared" si="86"/>
        <v>0</v>
      </c>
      <c r="S521" s="112">
        <v>0</v>
      </c>
    </row>
    <row r="522" spans="1:19">
      <c r="A522" s="79"/>
      <c r="B522" s="77" t="s">
        <v>175</v>
      </c>
      <c r="C522" s="76" t="s">
        <v>4</v>
      </c>
      <c r="D522" s="143">
        <v>2</v>
      </c>
      <c r="E522" s="77"/>
      <c r="F522" s="334"/>
      <c r="G522" s="112">
        <v>0</v>
      </c>
      <c r="H522" s="120">
        <v>0</v>
      </c>
      <c r="I522" s="120">
        <v>0</v>
      </c>
      <c r="J522" s="120">
        <v>0</v>
      </c>
      <c r="K522" s="110">
        <v>0</v>
      </c>
      <c r="L522" s="110"/>
      <c r="M522" s="110">
        <v>0</v>
      </c>
      <c r="N522" s="110"/>
      <c r="O522" s="110"/>
      <c r="P522" s="110">
        <f t="shared" si="84"/>
        <v>0</v>
      </c>
      <c r="Q522" s="110">
        <f t="shared" si="85"/>
        <v>0</v>
      </c>
      <c r="R522" s="110">
        <f t="shared" si="86"/>
        <v>0</v>
      </c>
      <c r="S522" s="112">
        <v>0</v>
      </c>
    </row>
    <row r="523" spans="1:19">
      <c r="A523" s="79"/>
      <c r="B523" s="77" t="s">
        <v>176</v>
      </c>
      <c r="C523" s="76" t="s">
        <v>4</v>
      </c>
      <c r="D523" s="143">
        <v>4</v>
      </c>
      <c r="E523" s="77"/>
      <c r="F523" s="334"/>
      <c r="G523" s="112">
        <v>0</v>
      </c>
      <c r="H523" s="120">
        <v>0</v>
      </c>
      <c r="I523" s="120">
        <v>0</v>
      </c>
      <c r="J523" s="120">
        <v>0</v>
      </c>
      <c r="K523" s="110">
        <v>0</v>
      </c>
      <c r="L523" s="110"/>
      <c r="M523" s="110">
        <v>0</v>
      </c>
      <c r="N523" s="110"/>
      <c r="O523" s="110"/>
      <c r="P523" s="110">
        <f t="shared" si="84"/>
        <v>0</v>
      </c>
      <c r="Q523" s="110">
        <f t="shared" si="85"/>
        <v>0</v>
      </c>
      <c r="R523" s="110">
        <f t="shared" si="86"/>
        <v>0</v>
      </c>
      <c r="S523" s="112">
        <v>0</v>
      </c>
    </row>
    <row r="524" spans="1:19">
      <c r="A524" s="79"/>
      <c r="B524" s="77" t="s">
        <v>177</v>
      </c>
      <c r="C524" s="76" t="s">
        <v>17</v>
      </c>
      <c r="D524" s="143">
        <v>1</v>
      </c>
      <c r="E524" s="77"/>
      <c r="F524" s="334"/>
      <c r="G524" s="112">
        <v>0</v>
      </c>
      <c r="H524" s="120">
        <v>0</v>
      </c>
      <c r="I524" s="120">
        <v>0</v>
      </c>
      <c r="J524" s="120">
        <v>0</v>
      </c>
      <c r="K524" s="110">
        <v>0</v>
      </c>
      <c r="L524" s="110"/>
      <c r="M524" s="110">
        <v>0</v>
      </c>
      <c r="N524" s="110"/>
      <c r="O524" s="110"/>
      <c r="P524" s="110">
        <f t="shared" si="84"/>
        <v>0</v>
      </c>
      <c r="Q524" s="110">
        <f t="shared" si="85"/>
        <v>0</v>
      </c>
      <c r="R524" s="110">
        <f t="shared" si="86"/>
        <v>0</v>
      </c>
      <c r="S524" s="112">
        <v>0</v>
      </c>
    </row>
    <row r="525" spans="1:19">
      <c r="A525" s="79"/>
      <c r="B525" s="77" t="s">
        <v>205</v>
      </c>
      <c r="C525" s="76" t="s">
        <v>4</v>
      </c>
      <c r="D525" s="143">
        <v>2</v>
      </c>
      <c r="E525" s="77"/>
      <c r="F525" s="334"/>
      <c r="G525" s="112">
        <v>0</v>
      </c>
      <c r="H525" s="120">
        <v>0</v>
      </c>
      <c r="I525" s="120">
        <v>0</v>
      </c>
      <c r="J525" s="120">
        <v>0</v>
      </c>
      <c r="K525" s="110">
        <v>0</v>
      </c>
      <c r="L525" s="110"/>
      <c r="M525" s="110">
        <v>0</v>
      </c>
      <c r="N525" s="110"/>
      <c r="O525" s="110"/>
      <c r="P525" s="110">
        <f t="shared" si="84"/>
        <v>0</v>
      </c>
      <c r="Q525" s="110">
        <f t="shared" si="85"/>
        <v>0</v>
      </c>
      <c r="R525" s="110">
        <f t="shared" si="86"/>
        <v>0</v>
      </c>
      <c r="S525" s="112">
        <v>0</v>
      </c>
    </row>
    <row r="526" spans="1:19">
      <c r="A526" s="79"/>
      <c r="B526" s="77" t="s">
        <v>162</v>
      </c>
      <c r="C526" s="76" t="s">
        <v>4</v>
      </c>
      <c r="D526" s="143">
        <v>2</v>
      </c>
      <c r="E526" s="77"/>
      <c r="F526" s="334"/>
      <c r="G526" s="112">
        <v>0</v>
      </c>
      <c r="H526" s="120">
        <v>0</v>
      </c>
      <c r="I526" s="120">
        <v>0</v>
      </c>
      <c r="J526" s="120">
        <v>0</v>
      </c>
      <c r="K526" s="110">
        <v>0</v>
      </c>
      <c r="L526" s="110"/>
      <c r="M526" s="110">
        <v>0</v>
      </c>
      <c r="N526" s="110"/>
      <c r="O526" s="110"/>
      <c r="P526" s="110">
        <f t="shared" si="84"/>
        <v>0</v>
      </c>
      <c r="Q526" s="110">
        <f t="shared" si="85"/>
        <v>0</v>
      </c>
      <c r="R526" s="110">
        <f t="shared" si="86"/>
        <v>0</v>
      </c>
      <c r="S526" s="112">
        <v>0</v>
      </c>
    </row>
    <row r="527" spans="1:19">
      <c r="A527" s="79"/>
      <c r="B527" s="77" t="s">
        <v>163</v>
      </c>
      <c r="C527" s="76" t="s">
        <v>4</v>
      </c>
      <c r="D527" s="143">
        <v>1</v>
      </c>
      <c r="E527" s="77"/>
      <c r="F527" s="334"/>
      <c r="G527" s="112">
        <v>0</v>
      </c>
      <c r="H527" s="120">
        <v>0</v>
      </c>
      <c r="I527" s="120">
        <v>0</v>
      </c>
      <c r="J527" s="120">
        <v>0</v>
      </c>
      <c r="K527" s="110">
        <v>0</v>
      </c>
      <c r="L527" s="110"/>
      <c r="M527" s="110">
        <v>0</v>
      </c>
      <c r="N527" s="110"/>
      <c r="O527" s="110"/>
      <c r="P527" s="110">
        <f t="shared" si="84"/>
        <v>0</v>
      </c>
      <c r="Q527" s="110">
        <f t="shared" si="85"/>
        <v>0</v>
      </c>
      <c r="R527" s="110">
        <f t="shared" si="86"/>
        <v>0</v>
      </c>
      <c r="S527" s="112">
        <v>0</v>
      </c>
    </row>
    <row r="528" spans="1:19" ht="30">
      <c r="A528" s="79"/>
      <c r="B528" s="77" t="s">
        <v>206</v>
      </c>
      <c r="C528" s="76" t="s">
        <v>8</v>
      </c>
      <c r="D528" s="143">
        <v>1</v>
      </c>
      <c r="E528" s="59"/>
      <c r="F528" s="334"/>
      <c r="G528" s="112">
        <v>0</v>
      </c>
      <c r="H528" s="120">
        <v>0</v>
      </c>
      <c r="I528" s="120">
        <v>0</v>
      </c>
      <c r="J528" s="120">
        <v>0</v>
      </c>
      <c r="K528" s="110">
        <v>0</v>
      </c>
      <c r="L528" s="110"/>
      <c r="M528" s="110">
        <v>0</v>
      </c>
      <c r="N528" s="110"/>
      <c r="O528" s="110"/>
      <c r="P528" s="110">
        <f t="shared" si="84"/>
        <v>0</v>
      </c>
      <c r="Q528" s="110">
        <f t="shared" si="85"/>
        <v>0</v>
      </c>
      <c r="R528" s="110">
        <f t="shared" si="86"/>
        <v>0</v>
      </c>
      <c r="S528" s="112">
        <v>0</v>
      </c>
    </row>
    <row r="529" spans="1:19">
      <c r="A529" s="79"/>
      <c r="B529" s="77" t="s">
        <v>207</v>
      </c>
      <c r="C529" s="76" t="s">
        <v>8</v>
      </c>
      <c r="D529" s="143">
        <v>1</v>
      </c>
      <c r="E529" s="77"/>
      <c r="F529" s="334"/>
      <c r="G529" s="112">
        <v>0</v>
      </c>
      <c r="H529" s="120">
        <v>0</v>
      </c>
      <c r="I529" s="120">
        <v>0</v>
      </c>
      <c r="J529" s="120">
        <v>0</v>
      </c>
      <c r="K529" s="110">
        <v>0</v>
      </c>
      <c r="L529" s="110"/>
      <c r="M529" s="110">
        <v>0</v>
      </c>
      <c r="N529" s="110"/>
      <c r="O529" s="110"/>
      <c r="P529" s="110">
        <f t="shared" si="84"/>
        <v>0</v>
      </c>
      <c r="Q529" s="110">
        <f t="shared" si="85"/>
        <v>0</v>
      </c>
      <c r="R529" s="110">
        <f t="shared" si="86"/>
        <v>0</v>
      </c>
      <c r="S529" s="112">
        <v>0</v>
      </c>
    </row>
    <row r="530" spans="1:19" ht="45">
      <c r="A530" s="79"/>
      <c r="B530" s="77" t="s">
        <v>166</v>
      </c>
      <c r="C530" s="76" t="s">
        <v>17</v>
      </c>
      <c r="D530" s="143">
        <v>1</v>
      </c>
      <c r="E530" s="77"/>
      <c r="F530" s="334"/>
      <c r="G530" s="112">
        <v>0</v>
      </c>
      <c r="H530" s="120">
        <v>0</v>
      </c>
      <c r="I530" s="120">
        <v>0</v>
      </c>
      <c r="J530" s="120">
        <v>0</v>
      </c>
      <c r="K530" s="110">
        <v>0</v>
      </c>
      <c r="L530" s="110"/>
      <c r="M530" s="110">
        <v>0</v>
      </c>
      <c r="N530" s="110"/>
      <c r="O530" s="110"/>
      <c r="P530" s="110">
        <f t="shared" si="84"/>
        <v>0</v>
      </c>
      <c r="Q530" s="110">
        <f t="shared" si="85"/>
        <v>0</v>
      </c>
      <c r="R530" s="110">
        <f t="shared" si="86"/>
        <v>0</v>
      </c>
      <c r="S530" s="112">
        <v>0</v>
      </c>
    </row>
    <row r="531" spans="1:19" ht="60">
      <c r="A531" s="79">
        <v>7</v>
      </c>
      <c r="B531" s="77" t="s">
        <v>208</v>
      </c>
      <c r="C531" s="76" t="s">
        <v>6</v>
      </c>
      <c r="D531" s="143">
        <v>2</v>
      </c>
      <c r="E531" s="77"/>
      <c r="F531" s="334">
        <v>2</v>
      </c>
      <c r="G531" s="112" t="s">
        <v>832</v>
      </c>
      <c r="H531" s="120" t="s">
        <v>1076</v>
      </c>
      <c r="I531" s="120" t="s">
        <v>828</v>
      </c>
      <c r="J531" s="120" t="s">
        <v>829</v>
      </c>
      <c r="K531" s="110">
        <v>17162200</v>
      </c>
      <c r="L531" s="110"/>
      <c r="M531" s="110">
        <v>2821000</v>
      </c>
      <c r="N531" s="110"/>
      <c r="O531" s="110"/>
      <c r="P531" s="110">
        <f t="shared" si="84"/>
        <v>19983200</v>
      </c>
      <c r="Q531" s="110">
        <f t="shared" si="85"/>
        <v>39966400</v>
      </c>
      <c r="R531" s="110">
        <f t="shared" si="86"/>
        <v>39966400</v>
      </c>
      <c r="S531" s="112" t="s">
        <v>4094</v>
      </c>
    </row>
    <row r="532" spans="1:19" ht="45">
      <c r="A532" s="79"/>
      <c r="B532" s="77" t="s">
        <v>182</v>
      </c>
      <c r="C532" s="76" t="s">
        <v>4</v>
      </c>
      <c r="D532" s="143">
        <v>1</v>
      </c>
      <c r="E532" s="77"/>
      <c r="F532" s="334"/>
      <c r="G532" s="112">
        <v>0</v>
      </c>
      <c r="H532" s="120">
        <v>0</v>
      </c>
      <c r="I532" s="120">
        <v>0</v>
      </c>
      <c r="J532" s="120">
        <v>0</v>
      </c>
      <c r="K532" s="110">
        <v>0</v>
      </c>
      <c r="L532" s="110"/>
      <c r="M532" s="110">
        <v>0</v>
      </c>
      <c r="N532" s="110"/>
      <c r="O532" s="110"/>
      <c r="P532" s="110">
        <f t="shared" si="84"/>
        <v>0</v>
      </c>
      <c r="Q532" s="110">
        <f t="shared" si="85"/>
        <v>0</v>
      </c>
      <c r="R532" s="110">
        <f t="shared" si="86"/>
        <v>0</v>
      </c>
      <c r="S532" s="112" t="s">
        <v>150</v>
      </c>
    </row>
    <row r="533" spans="1:19">
      <c r="A533" s="79"/>
      <c r="B533" s="77" t="s">
        <v>151</v>
      </c>
      <c r="C533" s="76"/>
      <c r="D533" s="143"/>
      <c r="E533" s="77"/>
      <c r="F533" s="76"/>
      <c r="G533" s="112">
        <v>0</v>
      </c>
      <c r="H533" s="120">
        <v>0</v>
      </c>
      <c r="I533" s="120">
        <v>0</v>
      </c>
      <c r="J533" s="120">
        <v>0</v>
      </c>
      <c r="K533" s="110">
        <v>0</v>
      </c>
      <c r="L533" s="110"/>
      <c r="M533" s="110">
        <v>0</v>
      </c>
      <c r="N533" s="110"/>
      <c r="O533" s="110"/>
      <c r="P533" s="110">
        <f t="shared" si="84"/>
        <v>0</v>
      </c>
      <c r="Q533" s="110">
        <f t="shared" si="85"/>
        <v>0</v>
      </c>
      <c r="R533" s="110">
        <f t="shared" si="86"/>
        <v>0</v>
      </c>
      <c r="S533" s="112">
        <v>0</v>
      </c>
    </row>
    <row r="534" spans="1:19">
      <c r="A534" s="79"/>
      <c r="B534" s="77" t="s">
        <v>209</v>
      </c>
      <c r="C534" s="76" t="s">
        <v>4</v>
      </c>
      <c r="D534" s="143">
        <v>1</v>
      </c>
      <c r="E534" s="77"/>
      <c r="F534" s="334"/>
      <c r="G534" s="112">
        <v>0</v>
      </c>
      <c r="H534" s="120">
        <v>0</v>
      </c>
      <c r="I534" s="120">
        <v>0</v>
      </c>
      <c r="J534" s="120">
        <v>0</v>
      </c>
      <c r="K534" s="110">
        <v>0</v>
      </c>
      <c r="L534" s="110"/>
      <c r="M534" s="110">
        <v>0</v>
      </c>
      <c r="N534" s="110"/>
      <c r="O534" s="110"/>
      <c r="P534" s="110">
        <f t="shared" si="84"/>
        <v>0</v>
      </c>
      <c r="Q534" s="110">
        <f t="shared" si="85"/>
        <v>0</v>
      </c>
      <c r="R534" s="110">
        <f t="shared" si="86"/>
        <v>0</v>
      </c>
      <c r="S534" s="112">
        <v>0</v>
      </c>
    </row>
    <row r="535" spans="1:19">
      <c r="A535" s="79"/>
      <c r="B535" s="77" t="s">
        <v>192</v>
      </c>
      <c r="C535" s="76" t="s">
        <v>12</v>
      </c>
      <c r="D535" s="143">
        <v>3</v>
      </c>
      <c r="E535" s="77"/>
      <c r="F535" s="334"/>
      <c r="G535" s="112">
        <v>0</v>
      </c>
      <c r="H535" s="120">
        <v>0</v>
      </c>
      <c r="I535" s="120">
        <v>0</v>
      </c>
      <c r="J535" s="120">
        <v>0</v>
      </c>
      <c r="K535" s="110">
        <v>0</v>
      </c>
      <c r="L535" s="110"/>
      <c r="M535" s="110">
        <v>0</v>
      </c>
      <c r="N535" s="110"/>
      <c r="O535" s="110"/>
      <c r="P535" s="110">
        <f t="shared" si="84"/>
        <v>0</v>
      </c>
      <c r="Q535" s="110">
        <f t="shared" si="85"/>
        <v>0</v>
      </c>
      <c r="R535" s="110">
        <f t="shared" si="86"/>
        <v>0</v>
      </c>
      <c r="S535" s="112">
        <v>0</v>
      </c>
    </row>
    <row r="536" spans="1:19">
      <c r="A536" s="79"/>
      <c r="B536" s="77" t="s">
        <v>29</v>
      </c>
      <c r="C536" s="76" t="s">
        <v>4</v>
      </c>
      <c r="D536" s="143">
        <v>1</v>
      </c>
      <c r="E536" s="77"/>
      <c r="F536" s="334"/>
      <c r="G536" s="112">
        <v>0</v>
      </c>
      <c r="H536" s="120">
        <v>0</v>
      </c>
      <c r="I536" s="120">
        <v>0</v>
      </c>
      <c r="J536" s="120">
        <v>0</v>
      </c>
      <c r="K536" s="110">
        <v>0</v>
      </c>
      <c r="L536" s="110"/>
      <c r="M536" s="110">
        <v>0</v>
      </c>
      <c r="N536" s="110"/>
      <c r="O536" s="110"/>
      <c r="P536" s="110">
        <f t="shared" si="84"/>
        <v>0</v>
      </c>
      <c r="Q536" s="110">
        <f t="shared" si="85"/>
        <v>0</v>
      </c>
      <c r="R536" s="110">
        <f t="shared" si="86"/>
        <v>0</v>
      </c>
      <c r="S536" s="112">
        <v>0</v>
      </c>
    </row>
    <row r="537" spans="1:19">
      <c r="A537" s="79"/>
      <c r="B537" s="77" t="s">
        <v>30</v>
      </c>
      <c r="C537" s="76" t="s">
        <v>4</v>
      </c>
      <c r="D537" s="143">
        <v>1</v>
      </c>
      <c r="E537" s="77"/>
      <c r="F537" s="334"/>
      <c r="G537" s="112">
        <v>0</v>
      </c>
      <c r="H537" s="120">
        <v>0</v>
      </c>
      <c r="I537" s="120">
        <v>0</v>
      </c>
      <c r="J537" s="120">
        <v>0</v>
      </c>
      <c r="K537" s="110">
        <v>0</v>
      </c>
      <c r="L537" s="110"/>
      <c r="M537" s="110">
        <v>0</v>
      </c>
      <c r="N537" s="110"/>
      <c r="O537" s="110"/>
      <c r="P537" s="110">
        <f t="shared" si="84"/>
        <v>0</v>
      </c>
      <c r="Q537" s="110">
        <f t="shared" si="85"/>
        <v>0</v>
      </c>
      <c r="R537" s="110">
        <f t="shared" si="86"/>
        <v>0</v>
      </c>
      <c r="S537" s="112">
        <v>0</v>
      </c>
    </row>
    <row r="538" spans="1:19">
      <c r="A538" s="79"/>
      <c r="B538" s="77" t="s">
        <v>193</v>
      </c>
      <c r="C538" s="76" t="s">
        <v>4</v>
      </c>
      <c r="D538" s="143">
        <v>3</v>
      </c>
      <c r="E538" s="77"/>
      <c r="F538" s="334"/>
      <c r="G538" s="112">
        <v>0</v>
      </c>
      <c r="H538" s="120">
        <v>0</v>
      </c>
      <c r="I538" s="120">
        <v>0</v>
      </c>
      <c r="J538" s="120">
        <v>0</v>
      </c>
      <c r="K538" s="110">
        <v>0</v>
      </c>
      <c r="L538" s="110"/>
      <c r="M538" s="110">
        <v>0</v>
      </c>
      <c r="N538" s="110"/>
      <c r="O538" s="110"/>
      <c r="P538" s="110">
        <f t="shared" si="84"/>
        <v>0</v>
      </c>
      <c r="Q538" s="110">
        <f t="shared" si="85"/>
        <v>0</v>
      </c>
      <c r="R538" s="110">
        <f t="shared" si="86"/>
        <v>0</v>
      </c>
      <c r="S538" s="112">
        <v>0</v>
      </c>
    </row>
    <row r="539" spans="1:19">
      <c r="A539" s="79"/>
      <c r="B539" s="77" t="s">
        <v>14</v>
      </c>
      <c r="C539" s="76" t="s">
        <v>4</v>
      </c>
      <c r="D539" s="143">
        <v>3</v>
      </c>
      <c r="E539" s="77"/>
      <c r="F539" s="334"/>
      <c r="G539" s="112">
        <v>0</v>
      </c>
      <c r="H539" s="120">
        <v>0</v>
      </c>
      <c r="I539" s="120">
        <v>0</v>
      </c>
      <c r="J539" s="120">
        <v>0</v>
      </c>
      <c r="K539" s="110">
        <v>0</v>
      </c>
      <c r="L539" s="110"/>
      <c r="M539" s="110">
        <v>0</v>
      </c>
      <c r="N539" s="110"/>
      <c r="O539" s="110"/>
      <c r="P539" s="110">
        <f t="shared" si="84"/>
        <v>0</v>
      </c>
      <c r="Q539" s="110">
        <f t="shared" si="85"/>
        <v>0</v>
      </c>
      <c r="R539" s="110">
        <f t="shared" si="86"/>
        <v>0</v>
      </c>
      <c r="S539" s="112">
        <v>0</v>
      </c>
    </row>
    <row r="540" spans="1:19">
      <c r="A540" s="79"/>
      <c r="B540" s="77" t="s">
        <v>153</v>
      </c>
      <c r="C540" s="76" t="s">
        <v>4</v>
      </c>
      <c r="D540" s="143">
        <v>3</v>
      </c>
      <c r="E540" s="77"/>
      <c r="F540" s="334"/>
      <c r="G540" s="112">
        <v>0</v>
      </c>
      <c r="H540" s="120">
        <v>0</v>
      </c>
      <c r="I540" s="120">
        <v>0</v>
      </c>
      <c r="J540" s="120">
        <v>0</v>
      </c>
      <c r="K540" s="110">
        <v>0</v>
      </c>
      <c r="L540" s="110"/>
      <c r="M540" s="110">
        <v>0</v>
      </c>
      <c r="N540" s="110"/>
      <c r="O540" s="110"/>
      <c r="P540" s="110">
        <f t="shared" si="84"/>
        <v>0</v>
      </c>
      <c r="Q540" s="110">
        <f t="shared" si="85"/>
        <v>0</v>
      </c>
      <c r="R540" s="110">
        <f t="shared" si="86"/>
        <v>0</v>
      </c>
      <c r="S540" s="112">
        <v>0</v>
      </c>
    </row>
    <row r="541" spans="1:19">
      <c r="A541" s="79"/>
      <c r="B541" s="77" t="s">
        <v>154</v>
      </c>
      <c r="C541" s="76"/>
      <c r="D541" s="143"/>
      <c r="E541" s="77"/>
      <c r="F541" s="76"/>
      <c r="G541" s="112">
        <v>0</v>
      </c>
      <c r="H541" s="120">
        <v>0</v>
      </c>
      <c r="I541" s="120">
        <v>0</v>
      </c>
      <c r="J541" s="120">
        <v>0</v>
      </c>
      <c r="K541" s="110">
        <v>0</v>
      </c>
      <c r="L541" s="110"/>
      <c r="M541" s="110">
        <v>0</v>
      </c>
      <c r="N541" s="110"/>
      <c r="O541" s="110"/>
      <c r="P541" s="110">
        <f t="shared" si="84"/>
        <v>0</v>
      </c>
      <c r="Q541" s="110">
        <f t="shared" si="85"/>
        <v>0</v>
      </c>
      <c r="R541" s="110">
        <f t="shared" si="86"/>
        <v>0</v>
      </c>
      <c r="S541" s="112">
        <v>0</v>
      </c>
    </row>
    <row r="542" spans="1:19">
      <c r="A542" s="79"/>
      <c r="B542" s="77" t="s">
        <v>185</v>
      </c>
      <c r="C542" s="76" t="s">
        <v>4</v>
      </c>
      <c r="D542" s="143">
        <v>1</v>
      </c>
      <c r="E542" s="77"/>
      <c r="F542" s="334"/>
      <c r="G542" s="112">
        <v>0</v>
      </c>
      <c r="H542" s="120">
        <v>0</v>
      </c>
      <c r="I542" s="120">
        <v>0</v>
      </c>
      <c r="J542" s="120">
        <v>0</v>
      </c>
      <c r="K542" s="110">
        <v>0</v>
      </c>
      <c r="L542" s="110"/>
      <c r="M542" s="110">
        <v>0</v>
      </c>
      <c r="N542" s="110"/>
      <c r="O542" s="110"/>
      <c r="P542" s="110">
        <f t="shared" si="84"/>
        <v>0</v>
      </c>
      <c r="Q542" s="110">
        <f t="shared" si="85"/>
        <v>0</v>
      </c>
      <c r="R542" s="110">
        <f t="shared" si="86"/>
        <v>0</v>
      </c>
      <c r="S542" s="112">
        <v>0</v>
      </c>
    </row>
    <row r="543" spans="1:19">
      <c r="A543" s="79"/>
      <c r="B543" s="77" t="s">
        <v>158</v>
      </c>
      <c r="C543" s="76" t="s">
        <v>4</v>
      </c>
      <c r="D543" s="143">
        <v>1</v>
      </c>
      <c r="E543" s="77"/>
      <c r="F543" s="334"/>
      <c r="G543" s="112">
        <v>0</v>
      </c>
      <c r="H543" s="120">
        <v>0</v>
      </c>
      <c r="I543" s="120">
        <v>0</v>
      </c>
      <c r="J543" s="120">
        <v>0</v>
      </c>
      <c r="K543" s="110">
        <v>0</v>
      </c>
      <c r="L543" s="110"/>
      <c r="M543" s="110">
        <v>0</v>
      </c>
      <c r="N543" s="110"/>
      <c r="O543" s="110"/>
      <c r="P543" s="110">
        <f t="shared" si="84"/>
        <v>0</v>
      </c>
      <c r="Q543" s="110">
        <f t="shared" si="85"/>
        <v>0</v>
      </c>
      <c r="R543" s="110">
        <f t="shared" si="86"/>
        <v>0</v>
      </c>
      <c r="S543" s="112">
        <v>0</v>
      </c>
    </row>
    <row r="544" spans="1:19">
      <c r="A544" s="79"/>
      <c r="B544" s="77" t="s">
        <v>186</v>
      </c>
      <c r="C544" s="76" t="s">
        <v>8</v>
      </c>
      <c r="D544" s="143">
        <v>1</v>
      </c>
      <c r="E544" s="77"/>
      <c r="F544" s="334"/>
      <c r="G544" s="112">
        <v>0</v>
      </c>
      <c r="H544" s="120">
        <v>0</v>
      </c>
      <c r="I544" s="120">
        <v>0</v>
      </c>
      <c r="J544" s="120">
        <v>0</v>
      </c>
      <c r="K544" s="110">
        <v>0</v>
      </c>
      <c r="L544" s="110"/>
      <c r="M544" s="110">
        <v>0</v>
      </c>
      <c r="N544" s="110"/>
      <c r="O544" s="110"/>
      <c r="P544" s="110">
        <f t="shared" si="84"/>
        <v>0</v>
      </c>
      <c r="Q544" s="110">
        <f t="shared" si="85"/>
        <v>0</v>
      </c>
      <c r="R544" s="110">
        <f t="shared" si="86"/>
        <v>0</v>
      </c>
      <c r="S544" s="112">
        <v>0</v>
      </c>
    </row>
    <row r="545" spans="1:19">
      <c r="A545" s="79"/>
      <c r="B545" s="77" t="s">
        <v>187</v>
      </c>
      <c r="C545" s="76" t="s">
        <v>4</v>
      </c>
      <c r="D545" s="143">
        <v>1</v>
      </c>
      <c r="E545" s="77"/>
      <c r="F545" s="334"/>
      <c r="G545" s="112">
        <v>0</v>
      </c>
      <c r="H545" s="120">
        <v>0</v>
      </c>
      <c r="I545" s="120">
        <v>0</v>
      </c>
      <c r="J545" s="120">
        <v>0</v>
      </c>
      <c r="K545" s="110">
        <v>0</v>
      </c>
      <c r="L545" s="110"/>
      <c r="M545" s="110">
        <v>0</v>
      </c>
      <c r="N545" s="110"/>
      <c r="O545" s="110"/>
      <c r="P545" s="110">
        <f t="shared" si="84"/>
        <v>0</v>
      </c>
      <c r="Q545" s="110">
        <f t="shared" si="85"/>
        <v>0</v>
      </c>
      <c r="R545" s="110">
        <f t="shared" si="86"/>
        <v>0</v>
      </c>
      <c r="S545" s="112">
        <v>0</v>
      </c>
    </row>
    <row r="546" spans="1:19">
      <c r="A546" s="79"/>
      <c r="B546" s="77" t="s">
        <v>173</v>
      </c>
      <c r="C546" s="76" t="s">
        <v>4</v>
      </c>
      <c r="D546" s="143">
        <v>1</v>
      </c>
      <c r="E546" s="77"/>
      <c r="F546" s="334"/>
      <c r="G546" s="112">
        <v>0</v>
      </c>
      <c r="H546" s="120">
        <v>0</v>
      </c>
      <c r="I546" s="120">
        <v>0</v>
      </c>
      <c r="J546" s="120">
        <v>0</v>
      </c>
      <c r="K546" s="110">
        <v>0</v>
      </c>
      <c r="L546" s="110"/>
      <c r="M546" s="110">
        <v>0</v>
      </c>
      <c r="N546" s="110"/>
      <c r="O546" s="110"/>
      <c r="P546" s="110">
        <f t="shared" si="84"/>
        <v>0</v>
      </c>
      <c r="Q546" s="110">
        <f t="shared" si="85"/>
        <v>0</v>
      </c>
      <c r="R546" s="110">
        <f t="shared" si="86"/>
        <v>0</v>
      </c>
      <c r="S546" s="112">
        <v>0</v>
      </c>
    </row>
    <row r="547" spans="1:19">
      <c r="A547" s="79"/>
      <c r="B547" s="77" t="s">
        <v>188</v>
      </c>
      <c r="C547" s="76" t="s">
        <v>4</v>
      </c>
      <c r="D547" s="143">
        <v>1</v>
      </c>
      <c r="E547" s="77"/>
      <c r="F547" s="334"/>
      <c r="G547" s="112">
        <v>0</v>
      </c>
      <c r="H547" s="120">
        <v>0</v>
      </c>
      <c r="I547" s="120">
        <v>0</v>
      </c>
      <c r="J547" s="120">
        <v>0</v>
      </c>
      <c r="K547" s="110">
        <v>0</v>
      </c>
      <c r="L547" s="110"/>
      <c r="M547" s="110">
        <v>0</v>
      </c>
      <c r="N547" s="110"/>
      <c r="O547" s="110"/>
      <c r="P547" s="110">
        <f t="shared" si="84"/>
        <v>0</v>
      </c>
      <c r="Q547" s="110">
        <f t="shared" si="85"/>
        <v>0</v>
      </c>
      <c r="R547" s="110">
        <f t="shared" si="86"/>
        <v>0</v>
      </c>
      <c r="S547" s="112">
        <v>0</v>
      </c>
    </row>
    <row r="548" spans="1:19">
      <c r="A548" s="79"/>
      <c r="B548" s="77" t="s">
        <v>175</v>
      </c>
      <c r="C548" s="76" t="s">
        <v>4</v>
      </c>
      <c r="D548" s="143">
        <v>1</v>
      </c>
      <c r="E548" s="77"/>
      <c r="F548" s="334"/>
      <c r="G548" s="112">
        <v>0</v>
      </c>
      <c r="H548" s="120">
        <v>0</v>
      </c>
      <c r="I548" s="120">
        <v>0</v>
      </c>
      <c r="J548" s="120">
        <v>0</v>
      </c>
      <c r="K548" s="110">
        <v>0</v>
      </c>
      <c r="L548" s="110"/>
      <c r="M548" s="110">
        <v>0</v>
      </c>
      <c r="N548" s="110"/>
      <c r="O548" s="110"/>
      <c r="P548" s="110">
        <f t="shared" si="84"/>
        <v>0</v>
      </c>
      <c r="Q548" s="110">
        <f t="shared" si="85"/>
        <v>0</v>
      </c>
      <c r="R548" s="110">
        <f t="shared" si="86"/>
        <v>0</v>
      </c>
      <c r="S548" s="112">
        <v>0</v>
      </c>
    </row>
    <row r="549" spans="1:19">
      <c r="A549" s="79"/>
      <c r="B549" s="77" t="s">
        <v>176</v>
      </c>
      <c r="C549" s="76" t="s">
        <v>4</v>
      </c>
      <c r="D549" s="143">
        <v>2</v>
      </c>
      <c r="E549" s="77"/>
      <c r="F549" s="334"/>
      <c r="G549" s="112">
        <v>0</v>
      </c>
      <c r="H549" s="120">
        <v>0</v>
      </c>
      <c r="I549" s="120">
        <v>0</v>
      </c>
      <c r="J549" s="120">
        <v>0</v>
      </c>
      <c r="K549" s="110">
        <v>0</v>
      </c>
      <c r="L549" s="110"/>
      <c r="M549" s="110">
        <v>0</v>
      </c>
      <c r="N549" s="110"/>
      <c r="O549" s="110"/>
      <c r="P549" s="110">
        <f t="shared" si="84"/>
        <v>0</v>
      </c>
      <c r="Q549" s="110">
        <f t="shared" si="85"/>
        <v>0</v>
      </c>
      <c r="R549" s="110">
        <f t="shared" si="86"/>
        <v>0</v>
      </c>
      <c r="S549" s="112">
        <v>0</v>
      </c>
    </row>
    <row r="550" spans="1:19">
      <c r="A550" s="79"/>
      <c r="B550" s="77" t="s">
        <v>177</v>
      </c>
      <c r="C550" s="76" t="s">
        <v>17</v>
      </c>
      <c r="D550" s="143">
        <v>1</v>
      </c>
      <c r="E550" s="59"/>
      <c r="F550" s="334"/>
      <c r="G550" s="112">
        <v>0</v>
      </c>
      <c r="H550" s="120">
        <v>0</v>
      </c>
      <c r="I550" s="120">
        <v>0</v>
      </c>
      <c r="J550" s="120">
        <v>0</v>
      </c>
      <c r="K550" s="110">
        <v>0</v>
      </c>
      <c r="L550" s="110"/>
      <c r="M550" s="110">
        <v>0</v>
      </c>
      <c r="N550" s="110"/>
      <c r="O550" s="110"/>
      <c r="P550" s="110">
        <f t="shared" si="84"/>
        <v>0</v>
      </c>
      <c r="Q550" s="110">
        <f t="shared" si="85"/>
        <v>0</v>
      </c>
      <c r="R550" s="110">
        <f t="shared" si="86"/>
        <v>0</v>
      </c>
      <c r="S550" s="112">
        <v>0</v>
      </c>
    </row>
    <row r="551" spans="1:19">
      <c r="A551" s="79"/>
      <c r="B551" s="77" t="s">
        <v>163</v>
      </c>
      <c r="C551" s="76" t="s">
        <v>4</v>
      </c>
      <c r="D551" s="143">
        <v>1</v>
      </c>
      <c r="E551" s="77"/>
      <c r="F551" s="334"/>
      <c r="G551" s="112">
        <v>0</v>
      </c>
      <c r="H551" s="120">
        <v>0</v>
      </c>
      <c r="I551" s="120">
        <v>0</v>
      </c>
      <c r="J551" s="120">
        <v>0</v>
      </c>
      <c r="K551" s="110">
        <v>0</v>
      </c>
      <c r="L551" s="110"/>
      <c r="M551" s="110">
        <v>0</v>
      </c>
      <c r="N551" s="110"/>
      <c r="O551" s="110"/>
      <c r="P551" s="110">
        <f t="shared" si="84"/>
        <v>0</v>
      </c>
      <c r="Q551" s="110">
        <f t="shared" si="85"/>
        <v>0</v>
      </c>
      <c r="R551" s="110">
        <f t="shared" si="86"/>
        <v>0</v>
      </c>
      <c r="S551" s="112">
        <v>0</v>
      </c>
    </row>
    <row r="552" spans="1:19">
      <c r="A552" s="79"/>
      <c r="B552" s="77" t="s">
        <v>207</v>
      </c>
      <c r="C552" s="76" t="s">
        <v>8</v>
      </c>
      <c r="D552" s="143">
        <v>1</v>
      </c>
      <c r="E552" s="77"/>
      <c r="F552" s="334"/>
      <c r="G552" s="112">
        <v>0</v>
      </c>
      <c r="H552" s="120">
        <v>0</v>
      </c>
      <c r="I552" s="120">
        <v>0</v>
      </c>
      <c r="J552" s="120">
        <v>0</v>
      </c>
      <c r="K552" s="110">
        <v>0</v>
      </c>
      <c r="L552" s="110"/>
      <c r="M552" s="110">
        <v>0</v>
      </c>
      <c r="N552" s="110"/>
      <c r="O552" s="110"/>
      <c r="P552" s="110">
        <f t="shared" si="84"/>
        <v>0</v>
      </c>
      <c r="Q552" s="110">
        <f t="shared" si="85"/>
        <v>0</v>
      </c>
      <c r="R552" s="110">
        <f t="shared" si="86"/>
        <v>0</v>
      </c>
      <c r="S552" s="112">
        <v>0</v>
      </c>
    </row>
    <row r="553" spans="1:19" ht="45">
      <c r="A553" s="79"/>
      <c r="B553" s="77" t="s">
        <v>166</v>
      </c>
      <c r="C553" s="76" t="s">
        <v>17</v>
      </c>
      <c r="D553" s="143">
        <v>1</v>
      </c>
      <c r="E553" s="77"/>
      <c r="F553" s="334"/>
      <c r="G553" s="112">
        <v>0</v>
      </c>
      <c r="H553" s="120">
        <v>0</v>
      </c>
      <c r="I553" s="120">
        <v>0</v>
      </c>
      <c r="J553" s="120">
        <v>0</v>
      </c>
      <c r="K553" s="110">
        <v>0</v>
      </c>
      <c r="L553" s="110"/>
      <c r="M553" s="110">
        <v>0</v>
      </c>
      <c r="N553" s="110"/>
      <c r="O553" s="110"/>
      <c r="P553" s="110">
        <f t="shared" si="84"/>
        <v>0</v>
      </c>
      <c r="Q553" s="110">
        <f t="shared" si="85"/>
        <v>0</v>
      </c>
      <c r="R553" s="110">
        <f t="shared" si="86"/>
        <v>0</v>
      </c>
      <c r="S553" s="112">
        <v>0</v>
      </c>
    </row>
    <row r="554" spans="1:19" ht="60">
      <c r="A554" s="79">
        <v>7</v>
      </c>
      <c r="B554" s="77" t="s">
        <v>210</v>
      </c>
      <c r="C554" s="76" t="s">
        <v>6</v>
      </c>
      <c r="D554" s="143">
        <v>1</v>
      </c>
      <c r="E554" s="77"/>
      <c r="F554" s="334">
        <v>1</v>
      </c>
      <c r="G554" s="112" t="s">
        <v>210</v>
      </c>
      <c r="H554" s="120" t="s">
        <v>1076</v>
      </c>
      <c r="I554" s="120" t="s">
        <v>828</v>
      </c>
      <c r="J554" s="120" t="s">
        <v>829</v>
      </c>
      <c r="K554" s="110">
        <v>17956800</v>
      </c>
      <c r="L554" s="110"/>
      <c r="M554" s="110">
        <v>2821000</v>
      </c>
      <c r="N554" s="110"/>
      <c r="O554" s="110"/>
      <c r="P554" s="110">
        <f t="shared" si="84"/>
        <v>20777800</v>
      </c>
      <c r="Q554" s="110">
        <f t="shared" si="85"/>
        <v>20777800</v>
      </c>
      <c r="R554" s="110">
        <f t="shared" si="86"/>
        <v>20777800</v>
      </c>
      <c r="S554" s="112" t="s">
        <v>4094</v>
      </c>
    </row>
    <row r="555" spans="1:19" ht="45">
      <c r="A555" s="79"/>
      <c r="B555" s="77" t="s">
        <v>211</v>
      </c>
      <c r="C555" s="76" t="s">
        <v>4</v>
      </c>
      <c r="D555" s="143">
        <v>1</v>
      </c>
      <c r="E555" s="77"/>
      <c r="F555" s="334"/>
      <c r="G555" s="112">
        <v>0</v>
      </c>
      <c r="H555" s="120">
        <v>0</v>
      </c>
      <c r="I555" s="120">
        <v>0</v>
      </c>
      <c r="J555" s="120">
        <v>0</v>
      </c>
      <c r="K555" s="110">
        <v>0</v>
      </c>
      <c r="L555" s="110"/>
      <c r="M555" s="110">
        <v>0</v>
      </c>
      <c r="N555" s="110"/>
      <c r="O555" s="110"/>
      <c r="P555" s="110">
        <f t="shared" si="84"/>
        <v>0</v>
      </c>
      <c r="Q555" s="110">
        <f t="shared" si="85"/>
        <v>0</v>
      </c>
      <c r="R555" s="110">
        <f t="shared" si="86"/>
        <v>0</v>
      </c>
      <c r="S555" s="112" t="s">
        <v>150</v>
      </c>
    </row>
    <row r="556" spans="1:19">
      <c r="A556" s="79"/>
      <c r="B556" s="77" t="s">
        <v>151</v>
      </c>
      <c r="C556" s="76"/>
      <c r="D556" s="143"/>
      <c r="E556" s="77"/>
      <c r="F556" s="76"/>
      <c r="G556" s="112">
        <v>0</v>
      </c>
      <c r="H556" s="120">
        <v>0</v>
      </c>
      <c r="I556" s="120">
        <v>0</v>
      </c>
      <c r="J556" s="120">
        <v>0</v>
      </c>
      <c r="K556" s="110">
        <v>0</v>
      </c>
      <c r="L556" s="110"/>
      <c r="M556" s="110">
        <v>0</v>
      </c>
      <c r="N556" s="110"/>
      <c r="O556" s="110"/>
      <c r="P556" s="110">
        <f t="shared" si="84"/>
        <v>0</v>
      </c>
      <c r="Q556" s="110">
        <f t="shared" si="85"/>
        <v>0</v>
      </c>
      <c r="R556" s="110">
        <f t="shared" si="86"/>
        <v>0</v>
      </c>
      <c r="S556" s="112">
        <v>0</v>
      </c>
    </row>
    <row r="557" spans="1:19">
      <c r="A557" s="79"/>
      <c r="B557" s="77" t="s">
        <v>212</v>
      </c>
      <c r="C557" s="76" t="s">
        <v>4</v>
      </c>
      <c r="D557" s="143">
        <v>1</v>
      </c>
      <c r="E557" s="77"/>
      <c r="F557" s="334"/>
      <c r="G557" s="112">
        <v>0</v>
      </c>
      <c r="H557" s="120">
        <v>0</v>
      </c>
      <c r="I557" s="120">
        <v>0</v>
      </c>
      <c r="J557" s="120">
        <v>0</v>
      </c>
      <c r="K557" s="110">
        <v>0</v>
      </c>
      <c r="L557" s="110"/>
      <c r="M557" s="110">
        <v>0</v>
      </c>
      <c r="N557" s="110"/>
      <c r="O557" s="110"/>
      <c r="P557" s="110">
        <f t="shared" si="84"/>
        <v>0</v>
      </c>
      <c r="Q557" s="110">
        <f t="shared" si="85"/>
        <v>0</v>
      </c>
      <c r="R557" s="110">
        <f t="shared" si="86"/>
        <v>0</v>
      </c>
      <c r="S557" s="112">
        <v>0</v>
      </c>
    </row>
    <row r="558" spans="1:19">
      <c r="A558" s="79"/>
      <c r="B558" s="77" t="s">
        <v>192</v>
      </c>
      <c r="C558" s="76" t="s">
        <v>12</v>
      </c>
      <c r="D558" s="143">
        <v>3</v>
      </c>
      <c r="E558" s="77"/>
      <c r="F558" s="334"/>
      <c r="G558" s="112">
        <v>0</v>
      </c>
      <c r="H558" s="120">
        <v>0</v>
      </c>
      <c r="I558" s="120">
        <v>0</v>
      </c>
      <c r="J558" s="120">
        <v>0</v>
      </c>
      <c r="K558" s="110">
        <v>0</v>
      </c>
      <c r="L558" s="110"/>
      <c r="M558" s="110">
        <v>0</v>
      </c>
      <c r="N558" s="110"/>
      <c r="O558" s="110"/>
      <c r="P558" s="110">
        <f t="shared" si="84"/>
        <v>0</v>
      </c>
      <c r="Q558" s="110">
        <f t="shared" si="85"/>
        <v>0</v>
      </c>
      <c r="R558" s="110">
        <f t="shared" si="86"/>
        <v>0</v>
      </c>
      <c r="S558" s="112">
        <v>0</v>
      </c>
    </row>
    <row r="559" spans="1:19">
      <c r="A559" s="79"/>
      <c r="B559" s="77" t="s">
        <v>29</v>
      </c>
      <c r="C559" s="76" t="s">
        <v>4</v>
      </c>
      <c r="D559" s="143">
        <v>1</v>
      </c>
      <c r="E559" s="77"/>
      <c r="F559" s="334"/>
      <c r="G559" s="112">
        <v>0</v>
      </c>
      <c r="H559" s="120">
        <v>0</v>
      </c>
      <c r="I559" s="120">
        <v>0</v>
      </c>
      <c r="J559" s="120">
        <v>0</v>
      </c>
      <c r="K559" s="110">
        <v>0</v>
      </c>
      <c r="L559" s="110"/>
      <c r="M559" s="110">
        <v>0</v>
      </c>
      <c r="N559" s="110"/>
      <c r="O559" s="110"/>
      <c r="P559" s="110">
        <f t="shared" si="84"/>
        <v>0</v>
      </c>
      <c r="Q559" s="110">
        <f t="shared" si="85"/>
        <v>0</v>
      </c>
      <c r="R559" s="110">
        <f t="shared" si="86"/>
        <v>0</v>
      </c>
      <c r="S559" s="112">
        <v>0</v>
      </c>
    </row>
    <row r="560" spans="1:19">
      <c r="A560" s="79"/>
      <c r="B560" s="77" t="s">
        <v>30</v>
      </c>
      <c r="C560" s="76" t="s">
        <v>4</v>
      </c>
      <c r="D560" s="143">
        <v>1</v>
      </c>
      <c r="E560" s="77"/>
      <c r="F560" s="334"/>
      <c r="G560" s="112">
        <v>0</v>
      </c>
      <c r="H560" s="120">
        <v>0</v>
      </c>
      <c r="I560" s="120">
        <v>0</v>
      </c>
      <c r="J560" s="120">
        <v>0</v>
      </c>
      <c r="K560" s="110">
        <v>0</v>
      </c>
      <c r="L560" s="110"/>
      <c r="M560" s="110">
        <v>0</v>
      </c>
      <c r="N560" s="110"/>
      <c r="O560" s="110"/>
      <c r="P560" s="110">
        <f t="shared" si="84"/>
        <v>0</v>
      </c>
      <c r="Q560" s="110">
        <f t="shared" si="85"/>
        <v>0</v>
      </c>
      <c r="R560" s="110">
        <f t="shared" si="86"/>
        <v>0</v>
      </c>
      <c r="S560" s="112">
        <v>0</v>
      </c>
    </row>
    <row r="561" spans="1:19">
      <c r="A561" s="79"/>
      <c r="B561" s="77" t="s">
        <v>193</v>
      </c>
      <c r="C561" s="76" t="s">
        <v>4</v>
      </c>
      <c r="D561" s="143">
        <v>3</v>
      </c>
      <c r="E561" s="77"/>
      <c r="F561" s="334"/>
      <c r="G561" s="112">
        <v>0</v>
      </c>
      <c r="H561" s="120">
        <v>0</v>
      </c>
      <c r="I561" s="120">
        <v>0</v>
      </c>
      <c r="J561" s="120">
        <v>0</v>
      </c>
      <c r="K561" s="110">
        <v>0</v>
      </c>
      <c r="L561" s="110"/>
      <c r="M561" s="110">
        <v>0</v>
      </c>
      <c r="N561" s="110"/>
      <c r="O561" s="110"/>
      <c r="P561" s="110">
        <f t="shared" ref="P561:P624" si="87">+K561+L561+M561+N561+O561</f>
        <v>0</v>
      </c>
      <c r="Q561" s="110">
        <f t="shared" ref="Q561:Q624" si="88">+P561*D561</f>
        <v>0</v>
      </c>
      <c r="R561" s="110">
        <f t="shared" ref="R561:R624" si="89">P561*F561</f>
        <v>0</v>
      </c>
      <c r="S561" s="112">
        <v>0</v>
      </c>
    </row>
    <row r="562" spans="1:19">
      <c r="A562" s="79"/>
      <c r="B562" s="77" t="s">
        <v>14</v>
      </c>
      <c r="C562" s="76" t="s">
        <v>4</v>
      </c>
      <c r="D562" s="143">
        <v>3</v>
      </c>
      <c r="E562" s="77"/>
      <c r="F562" s="334"/>
      <c r="G562" s="112">
        <v>0</v>
      </c>
      <c r="H562" s="120">
        <v>0</v>
      </c>
      <c r="I562" s="120">
        <v>0</v>
      </c>
      <c r="J562" s="120">
        <v>0</v>
      </c>
      <c r="K562" s="110">
        <v>0</v>
      </c>
      <c r="L562" s="110"/>
      <c r="M562" s="110">
        <v>0</v>
      </c>
      <c r="N562" s="110"/>
      <c r="O562" s="110"/>
      <c r="P562" s="110">
        <f t="shared" si="87"/>
        <v>0</v>
      </c>
      <c r="Q562" s="110">
        <f t="shared" si="88"/>
        <v>0</v>
      </c>
      <c r="R562" s="110">
        <f t="shared" si="89"/>
        <v>0</v>
      </c>
      <c r="S562" s="112">
        <v>0</v>
      </c>
    </row>
    <row r="563" spans="1:19">
      <c r="A563" s="79"/>
      <c r="B563" s="77" t="s">
        <v>153</v>
      </c>
      <c r="C563" s="76" t="s">
        <v>4</v>
      </c>
      <c r="D563" s="143">
        <v>3</v>
      </c>
      <c r="E563" s="59"/>
      <c r="F563" s="334"/>
      <c r="G563" s="112">
        <v>0</v>
      </c>
      <c r="H563" s="120">
        <v>0</v>
      </c>
      <c r="I563" s="120">
        <v>0</v>
      </c>
      <c r="J563" s="120">
        <v>0</v>
      </c>
      <c r="K563" s="110">
        <v>0</v>
      </c>
      <c r="L563" s="110"/>
      <c r="M563" s="110">
        <v>0</v>
      </c>
      <c r="N563" s="110"/>
      <c r="O563" s="110"/>
      <c r="P563" s="110">
        <f t="shared" si="87"/>
        <v>0</v>
      </c>
      <c r="Q563" s="110">
        <f t="shared" si="88"/>
        <v>0</v>
      </c>
      <c r="R563" s="110">
        <f t="shared" si="89"/>
        <v>0</v>
      </c>
      <c r="S563" s="112">
        <v>0</v>
      </c>
    </row>
    <row r="564" spans="1:19">
      <c r="A564" s="79"/>
      <c r="B564" s="77" t="s">
        <v>154</v>
      </c>
      <c r="C564" s="76"/>
      <c r="D564" s="143"/>
      <c r="E564" s="77"/>
      <c r="F564" s="76"/>
      <c r="G564" s="112">
        <v>0</v>
      </c>
      <c r="H564" s="120">
        <v>0</v>
      </c>
      <c r="I564" s="120">
        <v>0</v>
      </c>
      <c r="J564" s="120">
        <v>0</v>
      </c>
      <c r="K564" s="110">
        <v>0</v>
      </c>
      <c r="L564" s="110"/>
      <c r="M564" s="110">
        <v>0</v>
      </c>
      <c r="N564" s="110"/>
      <c r="O564" s="110"/>
      <c r="P564" s="110">
        <f t="shared" si="87"/>
        <v>0</v>
      </c>
      <c r="Q564" s="110">
        <f t="shared" si="88"/>
        <v>0</v>
      </c>
      <c r="R564" s="110">
        <f t="shared" si="89"/>
        <v>0</v>
      </c>
      <c r="S564" s="112">
        <v>0</v>
      </c>
    </row>
    <row r="565" spans="1:19">
      <c r="A565" s="79"/>
      <c r="B565" s="77" t="s">
        <v>213</v>
      </c>
      <c r="C565" s="76" t="s">
        <v>4</v>
      </c>
      <c r="D565" s="143">
        <v>1</v>
      </c>
      <c r="E565" s="61"/>
      <c r="F565" s="334"/>
      <c r="G565" s="112">
        <v>0</v>
      </c>
      <c r="H565" s="120">
        <v>0</v>
      </c>
      <c r="I565" s="120">
        <v>0</v>
      </c>
      <c r="J565" s="120">
        <v>0</v>
      </c>
      <c r="K565" s="110">
        <v>0</v>
      </c>
      <c r="L565" s="110"/>
      <c r="M565" s="110">
        <v>0</v>
      </c>
      <c r="N565" s="110"/>
      <c r="O565" s="110"/>
      <c r="P565" s="110">
        <f t="shared" si="87"/>
        <v>0</v>
      </c>
      <c r="Q565" s="110">
        <f t="shared" si="88"/>
        <v>0</v>
      </c>
      <c r="R565" s="110">
        <f t="shared" si="89"/>
        <v>0</v>
      </c>
      <c r="S565" s="112">
        <v>0</v>
      </c>
    </row>
    <row r="566" spans="1:19">
      <c r="A566" s="79"/>
      <c r="B566" s="77" t="s">
        <v>214</v>
      </c>
      <c r="C566" s="76" t="s">
        <v>4</v>
      </c>
      <c r="D566" s="143">
        <v>1</v>
      </c>
      <c r="E566" s="77"/>
      <c r="F566" s="334"/>
      <c r="G566" s="112">
        <v>0</v>
      </c>
      <c r="H566" s="120">
        <v>0</v>
      </c>
      <c r="I566" s="120">
        <v>0</v>
      </c>
      <c r="J566" s="120">
        <v>0</v>
      </c>
      <c r="K566" s="110">
        <v>0</v>
      </c>
      <c r="L566" s="110"/>
      <c r="M566" s="110">
        <v>0</v>
      </c>
      <c r="N566" s="110"/>
      <c r="O566" s="110"/>
      <c r="P566" s="110">
        <f t="shared" si="87"/>
        <v>0</v>
      </c>
      <c r="Q566" s="110">
        <f t="shared" si="88"/>
        <v>0</v>
      </c>
      <c r="R566" s="110">
        <f t="shared" si="89"/>
        <v>0</v>
      </c>
      <c r="S566" s="112">
        <v>0</v>
      </c>
    </row>
    <row r="567" spans="1:19">
      <c r="A567" s="79"/>
      <c r="B567" s="77" t="s">
        <v>170</v>
      </c>
      <c r="C567" s="76" t="s">
        <v>4</v>
      </c>
      <c r="D567" s="143">
        <v>1</v>
      </c>
      <c r="E567" s="77"/>
      <c r="F567" s="334"/>
      <c r="G567" s="112">
        <v>0</v>
      </c>
      <c r="H567" s="120">
        <v>0</v>
      </c>
      <c r="I567" s="120">
        <v>0</v>
      </c>
      <c r="J567" s="120">
        <v>0</v>
      </c>
      <c r="K567" s="110">
        <v>0</v>
      </c>
      <c r="L567" s="110"/>
      <c r="M567" s="110">
        <v>0</v>
      </c>
      <c r="N567" s="110"/>
      <c r="O567" s="110"/>
      <c r="P567" s="110">
        <f t="shared" si="87"/>
        <v>0</v>
      </c>
      <c r="Q567" s="110">
        <f t="shared" si="88"/>
        <v>0</v>
      </c>
      <c r="R567" s="110">
        <f t="shared" si="89"/>
        <v>0</v>
      </c>
      <c r="S567" s="112">
        <v>0</v>
      </c>
    </row>
    <row r="568" spans="1:19">
      <c r="A568" s="79"/>
      <c r="B568" s="77" t="s">
        <v>215</v>
      </c>
      <c r="C568" s="76" t="s">
        <v>4</v>
      </c>
      <c r="D568" s="143">
        <v>1</v>
      </c>
      <c r="E568" s="77"/>
      <c r="F568" s="334"/>
      <c r="G568" s="112">
        <v>0</v>
      </c>
      <c r="H568" s="120">
        <v>0</v>
      </c>
      <c r="I568" s="120">
        <v>0</v>
      </c>
      <c r="J568" s="120">
        <v>0</v>
      </c>
      <c r="K568" s="110">
        <v>0</v>
      </c>
      <c r="L568" s="110"/>
      <c r="M568" s="110">
        <v>0</v>
      </c>
      <c r="N568" s="110"/>
      <c r="O568" s="110"/>
      <c r="P568" s="110">
        <f t="shared" si="87"/>
        <v>0</v>
      </c>
      <c r="Q568" s="110">
        <f t="shared" si="88"/>
        <v>0</v>
      </c>
      <c r="R568" s="110">
        <f t="shared" si="89"/>
        <v>0</v>
      </c>
      <c r="S568" s="112">
        <v>0</v>
      </c>
    </row>
    <row r="569" spans="1:19">
      <c r="A569" s="79"/>
      <c r="B569" s="77" t="s">
        <v>156</v>
      </c>
      <c r="C569" s="76" t="s">
        <v>4</v>
      </c>
      <c r="D569" s="143">
        <v>2</v>
      </c>
      <c r="E569" s="77"/>
      <c r="F569" s="334"/>
      <c r="G569" s="112">
        <v>0</v>
      </c>
      <c r="H569" s="120">
        <v>0</v>
      </c>
      <c r="I569" s="120">
        <v>0</v>
      </c>
      <c r="J569" s="120">
        <v>0</v>
      </c>
      <c r="K569" s="110">
        <v>0</v>
      </c>
      <c r="L569" s="110"/>
      <c r="M569" s="110">
        <v>0</v>
      </c>
      <c r="N569" s="110"/>
      <c r="O569" s="110"/>
      <c r="P569" s="110">
        <f t="shared" si="87"/>
        <v>0</v>
      </c>
      <c r="Q569" s="110">
        <f t="shared" si="88"/>
        <v>0</v>
      </c>
      <c r="R569" s="110">
        <f t="shared" si="89"/>
        <v>0</v>
      </c>
      <c r="S569" s="112">
        <v>0</v>
      </c>
    </row>
    <row r="570" spans="1:19">
      <c r="A570" s="79"/>
      <c r="B570" s="77" t="s">
        <v>157</v>
      </c>
      <c r="C570" s="76" t="s">
        <v>4</v>
      </c>
      <c r="D570" s="143">
        <v>2</v>
      </c>
      <c r="E570" s="77"/>
      <c r="F570" s="334"/>
      <c r="G570" s="112">
        <v>0</v>
      </c>
      <c r="H570" s="120">
        <v>0</v>
      </c>
      <c r="I570" s="120">
        <v>0</v>
      </c>
      <c r="J570" s="120">
        <v>0</v>
      </c>
      <c r="K570" s="110">
        <v>0</v>
      </c>
      <c r="L570" s="110"/>
      <c r="M570" s="110">
        <v>0</v>
      </c>
      <c r="N570" s="110"/>
      <c r="O570" s="110"/>
      <c r="P570" s="110">
        <f t="shared" si="87"/>
        <v>0</v>
      </c>
      <c r="Q570" s="110">
        <f t="shared" si="88"/>
        <v>0</v>
      </c>
      <c r="R570" s="110">
        <f t="shared" si="89"/>
        <v>0</v>
      </c>
      <c r="S570" s="112">
        <v>0</v>
      </c>
    </row>
    <row r="571" spans="1:19">
      <c r="A571" s="79"/>
      <c r="B571" s="77" t="s">
        <v>158</v>
      </c>
      <c r="C571" s="76" t="s">
        <v>4</v>
      </c>
      <c r="D571" s="143">
        <v>1</v>
      </c>
      <c r="E571" s="77"/>
      <c r="F571" s="334"/>
      <c r="G571" s="112">
        <v>0</v>
      </c>
      <c r="H571" s="120">
        <v>0</v>
      </c>
      <c r="I571" s="120">
        <v>0</v>
      </c>
      <c r="J571" s="120">
        <v>0</v>
      </c>
      <c r="K571" s="110">
        <v>0</v>
      </c>
      <c r="L571" s="110"/>
      <c r="M571" s="110">
        <v>0</v>
      </c>
      <c r="N571" s="110"/>
      <c r="O571" s="110"/>
      <c r="P571" s="110">
        <f t="shared" si="87"/>
        <v>0</v>
      </c>
      <c r="Q571" s="110">
        <f t="shared" si="88"/>
        <v>0</v>
      </c>
      <c r="R571" s="110">
        <f t="shared" si="89"/>
        <v>0</v>
      </c>
      <c r="S571" s="112">
        <v>0</v>
      </c>
    </row>
    <row r="572" spans="1:19">
      <c r="A572" s="79"/>
      <c r="B572" s="77" t="s">
        <v>216</v>
      </c>
      <c r="C572" s="76" t="s">
        <v>8</v>
      </c>
      <c r="D572" s="143">
        <v>1</v>
      </c>
      <c r="E572" s="77"/>
      <c r="F572" s="334"/>
      <c r="G572" s="112">
        <v>0</v>
      </c>
      <c r="H572" s="120">
        <v>0</v>
      </c>
      <c r="I572" s="120">
        <v>0</v>
      </c>
      <c r="J572" s="120">
        <v>0</v>
      </c>
      <c r="K572" s="110">
        <v>0</v>
      </c>
      <c r="L572" s="110"/>
      <c r="M572" s="110">
        <v>0</v>
      </c>
      <c r="N572" s="110"/>
      <c r="O572" s="110"/>
      <c r="P572" s="110">
        <f t="shared" si="87"/>
        <v>0</v>
      </c>
      <c r="Q572" s="110">
        <f t="shared" si="88"/>
        <v>0</v>
      </c>
      <c r="R572" s="110">
        <f t="shared" si="89"/>
        <v>0</v>
      </c>
      <c r="S572" s="112">
        <v>0</v>
      </c>
    </row>
    <row r="573" spans="1:19">
      <c r="A573" s="79"/>
      <c r="B573" s="77" t="s">
        <v>172</v>
      </c>
      <c r="C573" s="76" t="s">
        <v>4</v>
      </c>
      <c r="D573" s="143">
        <v>1</v>
      </c>
      <c r="E573" s="77"/>
      <c r="F573" s="334"/>
      <c r="G573" s="112">
        <v>0</v>
      </c>
      <c r="H573" s="120">
        <v>0</v>
      </c>
      <c r="I573" s="120">
        <v>0</v>
      </c>
      <c r="J573" s="120">
        <v>0</v>
      </c>
      <c r="K573" s="110">
        <v>0</v>
      </c>
      <c r="L573" s="110"/>
      <c r="M573" s="110">
        <v>0</v>
      </c>
      <c r="N573" s="110"/>
      <c r="O573" s="110"/>
      <c r="P573" s="110">
        <f t="shared" si="87"/>
        <v>0</v>
      </c>
      <c r="Q573" s="110">
        <f t="shared" si="88"/>
        <v>0</v>
      </c>
      <c r="R573" s="110">
        <f t="shared" si="89"/>
        <v>0</v>
      </c>
      <c r="S573" s="112">
        <v>0</v>
      </c>
    </row>
    <row r="574" spans="1:19">
      <c r="A574" s="79"/>
      <c r="B574" s="77" t="s">
        <v>173</v>
      </c>
      <c r="C574" s="76" t="s">
        <v>4</v>
      </c>
      <c r="D574" s="143">
        <v>1</v>
      </c>
      <c r="E574" s="77"/>
      <c r="F574" s="334"/>
      <c r="G574" s="112">
        <v>0</v>
      </c>
      <c r="H574" s="120">
        <v>0</v>
      </c>
      <c r="I574" s="120">
        <v>0</v>
      </c>
      <c r="J574" s="120">
        <v>0</v>
      </c>
      <c r="K574" s="110">
        <v>0</v>
      </c>
      <c r="L574" s="110"/>
      <c r="M574" s="110">
        <v>0</v>
      </c>
      <c r="N574" s="110"/>
      <c r="O574" s="110"/>
      <c r="P574" s="110">
        <f t="shared" si="87"/>
        <v>0</v>
      </c>
      <c r="Q574" s="110">
        <f t="shared" si="88"/>
        <v>0</v>
      </c>
      <c r="R574" s="110">
        <f t="shared" si="89"/>
        <v>0</v>
      </c>
      <c r="S574" s="112">
        <v>0</v>
      </c>
    </row>
    <row r="575" spans="1:19">
      <c r="A575" s="79"/>
      <c r="B575" s="77" t="s">
        <v>180</v>
      </c>
      <c r="C575" s="76" t="s">
        <v>4</v>
      </c>
      <c r="D575" s="143">
        <v>1</v>
      </c>
      <c r="E575" s="77"/>
      <c r="F575" s="334"/>
      <c r="G575" s="112">
        <v>0</v>
      </c>
      <c r="H575" s="120">
        <v>0</v>
      </c>
      <c r="I575" s="120">
        <v>0</v>
      </c>
      <c r="J575" s="120">
        <v>0</v>
      </c>
      <c r="K575" s="110">
        <v>0</v>
      </c>
      <c r="L575" s="110"/>
      <c r="M575" s="110">
        <v>0</v>
      </c>
      <c r="N575" s="110"/>
      <c r="O575" s="110"/>
      <c r="P575" s="110">
        <f t="shared" si="87"/>
        <v>0</v>
      </c>
      <c r="Q575" s="110">
        <f t="shared" si="88"/>
        <v>0</v>
      </c>
      <c r="R575" s="110">
        <f t="shared" si="89"/>
        <v>0</v>
      </c>
      <c r="S575" s="112">
        <v>0</v>
      </c>
    </row>
    <row r="576" spans="1:19">
      <c r="A576" s="79"/>
      <c r="B576" s="77" t="s">
        <v>175</v>
      </c>
      <c r="C576" s="76" t="s">
        <v>4</v>
      </c>
      <c r="D576" s="143">
        <v>1</v>
      </c>
      <c r="E576" s="77"/>
      <c r="F576" s="334"/>
      <c r="G576" s="112">
        <v>0</v>
      </c>
      <c r="H576" s="120">
        <v>0</v>
      </c>
      <c r="I576" s="120">
        <v>0</v>
      </c>
      <c r="J576" s="120">
        <v>0</v>
      </c>
      <c r="K576" s="110">
        <v>0</v>
      </c>
      <c r="L576" s="110"/>
      <c r="M576" s="110">
        <v>0</v>
      </c>
      <c r="N576" s="110"/>
      <c r="O576" s="110"/>
      <c r="P576" s="110">
        <f t="shared" si="87"/>
        <v>0</v>
      </c>
      <c r="Q576" s="110">
        <f t="shared" si="88"/>
        <v>0</v>
      </c>
      <c r="R576" s="110">
        <f t="shared" si="89"/>
        <v>0</v>
      </c>
      <c r="S576" s="112">
        <v>0</v>
      </c>
    </row>
    <row r="577" spans="1:19">
      <c r="A577" s="79"/>
      <c r="B577" s="77" t="s">
        <v>176</v>
      </c>
      <c r="C577" s="76" t="s">
        <v>4</v>
      </c>
      <c r="D577" s="143">
        <v>2</v>
      </c>
      <c r="E577" s="77"/>
      <c r="F577" s="334"/>
      <c r="G577" s="112">
        <v>0</v>
      </c>
      <c r="H577" s="120">
        <v>0</v>
      </c>
      <c r="I577" s="120">
        <v>0</v>
      </c>
      <c r="J577" s="120">
        <v>0</v>
      </c>
      <c r="K577" s="110">
        <v>0</v>
      </c>
      <c r="L577" s="110"/>
      <c r="M577" s="110">
        <v>0</v>
      </c>
      <c r="N577" s="110"/>
      <c r="O577" s="110"/>
      <c r="P577" s="110">
        <f t="shared" si="87"/>
        <v>0</v>
      </c>
      <c r="Q577" s="110">
        <f t="shared" si="88"/>
        <v>0</v>
      </c>
      <c r="R577" s="110">
        <f t="shared" si="89"/>
        <v>0</v>
      </c>
      <c r="S577" s="112">
        <v>0</v>
      </c>
    </row>
    <row r="578" spans="1:19">
      <c r="A578" s="79"/>
      <c r="B578" s="77" t="s">
        <v>177</v>
      </c>
      <c r="C578" s="76" t="s">
        <v>17</v>
      </c>
      <c r="D578" s="143">
        <v>1</v>
      </c>
      <c r="E578" s="77"/>
      <c r="F578" s="334"/>
      <c r="G578" s="112">
        <v>0</v>
      </c>
      <c r="H578" s="120">
        <v>0</v>
      </c>
      <c r="I578" s="120">
        <v>0</v>
      </c>
      <c r="J578" s="120">
        <v>0</v>
      </c>
      <c r="K578" s="110">
        <v>0</v>
      </c>
      <c r="L578" s="110"/>
      <c r="M578" s="110">
        <v>0</v>
      </c>
      <c r="N578" s="110"/>
      <c r="O578" s="110"/>
      <c r="P578" s="110">
        <f t="shared" si="87"/>
        <v>0</v>
      </c>
      <c r="Q578" s="110">
        <f t="shared" si="88"/>
        <v>0</v>
      </c>
      <c r="R578" s="110">
        <f t="shared" si="89"/>
        <v>0</v>
      </c>
      <c r="S578" s="112">
        <v>0</v>
      </c>
    </row>
    <row r="579" spans="1:19">
      <c r="A579" s="79"/>
      <c r="B579" s="77" t="s">
        <v>217</v>
      </c>
      <c r="C579" s="76"/>
      <c r="D579" s="143"/>
      <c r="E579" s="80"/>
      <c r="F579" s="79"/>
      <c r="G579" s="112">
        <v>0</v>
      </c>
      <c r="H579" s="120">
        <v>0</v>
      </c>
      <c r="I579" s="120">
        <v>0</v>
      </c>
      <c r="J579" s="120">
        <v>0</v>
      </c>
      <c r="K579" s="110">
        <v>0</v>
      </c>
      <c r="L579" s="110"/>
      <c r="M579" s="110">
        <v>0</v>
      </c>
      <c r="N579" s="110"/>
      <c r="O579" s="110"/>
      <c r="P579" s="110">
        <f t="shared" si="87"/>
        <v>0</v>
      </c>
      <c r="Q579" s="110">
        <f t="shared" si="88"/>
        <v>0</v>
      </c>
      <c r="R579" s="110">
        <f t="shared" si="89"/>
        <v>0</v>
      </c>
      <c r="S579" s="112">
        <v>0</v>
      </c>
    </row>
    <row r="580" spans="1:19">
      <c r="A580" s="79"/>
      <c r="B580" s="77" t="s">
        <v>153</v>
      </c>
      <c r="C580" s="76" t="s">
        <v>4</v>
      </c>
      <c r="D580" s="143">
        <v>2</v>
      </c>
      <c r="E580" s="80"/>
      <c r="F580" s="334"/>
      <c r="G580" s="112">
        <v>0</v>
      </c>
      <c r="H580" s="120">
        <v>0</v>
      </c>
      <c r="I580" s="120">
        <v>0</v>
      </c>
      <c r="J580" s="120">
        <v>0</v>
      </c>
      <c r="K580" s="110">
        <v>0</v>
      </c>
      <c r="L580" s="110"/>
      <c r="M580" s="110">
        <v>0</v>
      </c>
      <c r="N580" s="110"/>
      <c r="O580" s="110"/>
      <c r="P580" s="110">
        <f t="shared" si="87"/>
        <v>0</v>
      </c>
      <c r="Q580" s="110">
        <f t="shared" si="88"/>
        <v>0</v>
      </c>
      <c r="R580" s="110">
        <f t="shared" si="89"/>
        <v>0</v>
      </c>
      <c r="S580" s="112">
        <v>0</v>
      </c>
    </row>
    <row r="581" spans="1:19">
      <c r="A581" s="79"/>
      <c r="B581" s="77" t="s">
        <v>162</v>
      </c>
      <c r="C581" s="76" t="s">
        <v>17</v>
      </c>
      <c r="D581" s="143">
        <v>1</v>
      </c>
      <c r="E581" s="77"/>
      <c r="F581" s="334"/>
      <c r="G581" s="112">
        <v>0</v>
      </c>
      <c r="H581" s="120">
        <v>0</v>
      </c>
      <c r="I581" s="120">
        <v>0</v>
      </c>
      <c r="J581" s="120">
        <v>0</v>
      </c>
      <c r="K581" s="110">
        <v>0</v>
      </c>
      <c r="L581" s="110"/>
      <c r="M581" s="110">
        <v>0</v>
      </c>
      <c r="N581" s="110"/>
      <c r="O581" s="110"/>
      <c r="P581" s="110">
        <f t="shared" si="87"/>
        <v>0</v>
      </c>
      <c r="Q581" s="110">
        <f t="shared" si="88"/>
        <v>0</v>
      </c>
      <c r="R581" s="110">
        <f t="shared" si="89"/>
        <v>0</v>
      </c>
      <c r="S581" s="112">
        <v>0</v>
      </c>
    </row>
    <row r="582" spans="1:19">
      <c r="A582" s="79"/>
      <c r="B582" s="77" t="s">
        <v>163</v>
      </c>
      <c r="C582" s="76" t="s">
        <v>4</v>
      </c>
      <c r="D582" s="143">
        <v>1</v>
      </c>
      <c r="E582" s="77"/>
      <c r="F582" s="334"/>
      <c r="G582" s="112">
        <v>0</v>
      </c>
      <c r="H582" s="120">
        <v>0</v>
      </c>
      <c r="I582" s="120">
        <v>0</v>
      </c>
      <c r="J582" s="120">
        <v>0</v>
      </c>
      <c r="K582" s="110">
        <v>0</v>
      </c>
      <c r="L582" s="110"/>
      <c r="M582" s="110">
        <v>0</v>
      </c>
      <c r="N582" s="110"/>
      <c r="O582" s="110"/>
      <c r="P582" s="110">
        <f t="shared" si="87"/>
        <v>0</v>
      </c>
      <c r="Q582" s="110">
        <f t="shared" si="88"/>
        <v>0</v>
      </c>
      <c r="R582" s="110">
        <f t="shared" si="89"/>
        <v>0</v>
      </c>
      <c r="S582" s="112">
        <v>0</v>
      </c>
    </row>
    <row r="583" spans="1:19" ht="30">
      <c r="A583" s="79"/>
      <c r="B583" s="77" t="s">
        <v>189</v>
      </c>
      <c r="C583" s="76" t="s">
        <v>8</v>
      </c>
      <c r="D583" s="143">
        <v>1</v>
      </c>
      <c r="E583" s="77"/>
      <c r="F583" s="334"/>
      <c r="G583" s="112">
        <v>0</v>
      </c>
      <c r="H583" s="120">
        <v>0</v>
      </c>
      <c r="I583" s="120">
        <v>0</v>
      </c>
      <c r="J583" s="120">
        <v>0</v>
      </c>
      <c r="K583" s="110">
        <v>0</v>
      </c>
      <c r="L583" s="110"/>
      <c r="M583" s="110">
        <v>0</v>
      </c>
      <c r="N583" s="110"/>
      <c r="O583" s="110"/>
      <c r="P583" s="110">
        <f t="shared" si="87"/>
        <v>0</v>
      </c>
      <c r="Q583" s="110">
        <f t="shared" si="88"/>
        <v>0</v>
      </c>
      <c r="R583" s="110">
        <f t="shared" si="89"/>
        <v>0</v>
      </c>
      <c r="S583" s="112">
        <v>0</v>
      </c>
    </row>
    <row r="584" spans="1:19" ht="45">
      <c r="A584" s="79"/>
      <c r="B584" s="77" t="s">
        <v>166</v>
      </c>
      <c r="C584" s="76" t="s">
        <v>17</v>
      </c>
      <c r="D584" s="143">
        <v>1</v>
      </c>
      <c r="E584" s="77"/>
      <c r="F584" s="334"/>
      <c r="G584" s="112">
        <v>0</v>
      </c>
      <c r="H584" s="120">
        <v>0</v>
      </c>
      <c r="I584" s="120">
        <v>0</v>
      </c>
      <c r="J584" s="120">
        <v>0</v>
      </c>
      <c r="K584" s="110">
        <v>0</v>
      </c>
      <c r="L584" s="110"/>
      <c r="M584" s="110">
        <v>0</v>
      </c>
      <c r="N584" s="110"/>
      <c r="O584" s="110"/>
      <c r="P584" s="110">
        <f t="shared" si="87"/>
        <v>0</v>
      </c>
      <c r="Q584" s="110">
        <f t="shared" si="88"/>
        <v>0</v>
      </c>
      <c r="R584" s="110">
        <f t="shared" si="89"/>
        <v>0</v>
      </c>
      <c r="S584" s="112">
        <v>0</v>
      </c>
    </row>
    <row r="585" spans="1:19" ht="60">
      <c r="A585" s="79">
        <v>9</v>
      </c>
      <c r="B585" s="77" t="s">
        <v>218</v>
      </c>
      <c r="C585" s="76" t="s">
        <v>6</v>
      </c>
      <c r="D585" s="143">
        <v>1</v>
      </c>
      <c r="E585" s="77"/>
      <c r="F585" s="334">
        <v>1</v>
      </c>
      <c r="G585" s="112" t="s">
        <v>218</v>
      </c>
      <c r="H585" s="120" t="s">
        <v>1076</v>
      </c>
      <c r="I585" s="120" t="s">
        <v>828</v>
      </c>
      <c r="J585" s="120" t="s">
        <v>829</v>
      </c>
      <c r="K585" s="110">
        <v>3459900</v>
      </c>
      <c r="L585" s="110"/>
      <c r="M585" s="110">
        <v>1209000</v>
      </c>
      <c r="N585" s="110"/>
      <c r="O585" s="110"/>
      <c r="P585" s="110">
        <f t="shared" si="87"/>
        <v>4668900</v>
      </c>
      <c r="Q585" s="110">
        <f t="shared" si="88"/>
        <v>4668900</v>
      </c>
      <c r="R585" s="110">
        <f t="shared" si="89"/>
        <v>4668900</v>
      </c>
      <c r="S585" s="112" t="s">
        <v>4094</v>
      </c>
    </row>
    <row r="586" spans="1:19" ht="45">
      <c r="A586" s="79"/>
      <c r="B586" s="77" t="s">
        <v>219</v>
      </c>
      <c r="C586" s="76" t="s">
        <v>4</v>
      </c>
      <c r="D586" s="143">
        <v>1</v>
      </c>
      <c r="E586" s="77"/>
      <c r="F586" s="334"/>
      <c r="G586" s="112">
        <v>0</v>
      </c>
      <c r="H586" s="120">
        <v>0</v>
      </c>
      <c r="I586" s="120">
        <v>0</v>
      </c>
      <c r="J586" s="120">
        <v>0</v>
      </c>
      <c r="K586" s="110">
        <v>0</v>
      </c>
      <c r="L586" s="110"/>
      <c r="M586" s="110">
        <v>0</v>
      </c>
      <c r="N586" s="110"/>
      <c r="O586" s="110"/>
      <c r="P586" s="110">
        <f t="shared" si="87"/>
        <v>0</v>
      </c>
      <c r="Q586" s="110">
        <f t="shared" si="88"/>
        <v>0</v>
      </c>
      <c r="R586" s="110">
        <f t="shared" si="89"/>
        <v>0</v>
      </c>
      <c r="S586" s="112" t="s">
        <v>150</v>
      </c>
    </row>
    <row r="587" spans="1:19">
      <c r="A587" s="79"/>
      <c r="B587" s="77" t="s">
        <v>151</v>
      </c>
      <c r="C587" s="76"/>
      <c r="D587" s="143"/>
      <c r="E587" s="77"/>
      <c r="F587" s="76"/>
      <c r="G587" s="112">
        <v>0</v>
      </c>
      <c r="H587" s="120">
        <v>0</v>
      </c>
      <c r="I587" s="120">
        <v>0</v>
      </c>
      <c r="J587" s="120">
        <v>0</v>
      </c>
      <c r="K587" s="110">
        <v>0</v>
      </c>
      <c r="L587" s="110"/>
      <c r="M587" s="110">
        <v>0</v>
      </c>
      <c r="N587" s="110"/>
      <c r="O587" s="110"/>
      <c r="P587" s="110">
        <f t="shared" si="87"/>
        <v>0</v>
      </c>
      <c r="Q587" s="110">
        <f t="shared" si="88"/>
        <v>0</v>
      </c>
      <c r="R587" s="110">
        <f t="shared" si="89"/>
        <v>0</v>
      </c>
      <c r="S587" s="112">
        <v>0</v>
      </c>
    </row>
    <row r="588" spans="1:19">
      <c r="A588" s="79"/>
      <c r="B588" s="77" t="s">
        <v>220</v>
      </c>
      <c r="C588" s="76" t="s">
        <v>4</v>
      </c>
      <c r="D588" s="143">
        <v>1</v>
      </c>
      <c r="E588" s="77"/>
      <c r="F588" s="334"/>
      <c r="G588" s="112">
        <v>0</v>
      </c>
      <c r="H588" s="120">
        <v>0</v>
      </c>
      <c r="I588" s="120">
        <v>0</v>
      </c>
      <c r="J588" s="120">
        <v>0</v>
      </c>
      <c r="K588" s="110">
        <v>0</v>
      </c>
      <c r="L588" s="110"/>
      <c r="M588" s="110">
        <v>0</v>
      </c>
      <c r="N588" s="110"/>
      <c r="O588" s="110"/>
      <c r="P588" s="110">
        <f t="shared" si="87"/>
        <v>0</v>
      </c>
      <c r="Q588" s="110">
        <f t="shared" si="88"/>
        <v>0</v>
      </c>
      <c r="R588" s="110">
        <f t="shared" si="89"/>
        <v>0</v>
      </c>
      <c r="S588" s="112">
        <v>0</v>
      </c>
    </row>
    <row r="589" spans="1:19">
      <c r="A589" s="79"/>
      <c r="B589" s="77" t="s">
        <v>154</v>
      </c>
      <c r="C589" s="76"/>
      <c r="D589" s="143"/>
      <c r="E589" s="77"/>
      <c r="F589" s="76"/>
      <c r="G589" s="112">
        <v>0</v>
      </c>
      <c r="H589" s="120">
        <v>0</v>
      </c>
      <c r="I589" s="120">
        <v>0</v>
      </c>
      <c r="J589" s="120">
        <v>0</v>
      </c>
      <c r="K589" s="110">
        <v>0</v>
      </c>
      <c r="L589" s="110"/>
      <c r="M589" s="110">
        <v>0</v>
      </c>
      <c r="N589" s="110"/>
      <c r="O589" s="110"/>
      <c r="P589" s="110">
        <f t="shared" si="87"/>
        <v>0</v>
      </c>
      <c r="Q589" s="110">
        <f t="shared" si="88"/>
        <v>0</v>
      </c>
      <c r="R589" s="110">
        <f t="shared" si="89"/>
        <v>0</v>
      </c>
      <c r="S589" s="112">
        <v>0</v>
      </c>
    </row>
    <row r="590" spans="1:19">
      <c r="A590" s="79"/>
      <c r="B590" s="77" t="s">
        <v>157</v>
      </c>
      <c r="C590" s="76" t="s">
        <v>4</v>
      </c>
      <c r="D590" s="143">
        <v>6</v>
      </c>
      <c r="E590" s="61"/>
      <c r="F590" s="334"/>
      <c r="G590" s="112">
        <v>0</v>
      </c>
      <c r="H590" s="120">
        <v>0</v>
      </c>
      <c r="I590" s="120">
        <v>0</v>
      </c>
      <c r="J590" s="120">
        <v>0</v>
      </c>
      <c r="K590" s="110">
        <v>0</v>
      </c>
      <c r="L590" s="110"/>
      <c r="M590" s="110">
        <v>0</v>
      </c>
      <c r="N590" s="110"/>
      <c r="O590" s="110"/>
      <c r="P590" s="110">
        <f t="shared" si="87"/>
        <v>0</v>
      </c>
      <c r="Q590" s="110">
        <f t="shared" si="88"/>
        <v>0</v>
      </c>
      <c r="R590" s="110">
        <f t="shared" si="89"/>
        <v>0</v>
      </c>
      <c r="S590" s="112">
        <v>0</v>
      </c>
    </row>
    <row r="591" spans="1:19">
      <c r="A591" s="79"/>
      <c r="B591" s="77" t="s">
        <v>221</v>
      </c>
      <c r="C591" s="76"/>
      <c r="D591" s="143"/>
      <c r="E591" s="77"/>
      <c r="F591" s="76"/>
      <c r="G591" s="112">
        <v>0</v>
      </c>
      <c r="H591" s="120">
        <v>0</v>
      </c>
      <c r="I591" s="120">
        <v>0</v>
      </c>
      <c r="J591" s="120">
        <v>0</v>
      </c>
      <c r="K591" s="110">
        <v>0</v>
      </c>
      <c r="L591" s="110"/>
      <c r="M591" s="110">
        <v>0</v>
      </c>
      <c r="N591" s="110"/>
      <c r="O591" s="110"/>
      <c r="P591" s="110">
        <f t="shared" si="87"/>
        <v>0</v>
      </c>
      <c r="Q591" s="110">
        <f t="shared" si="88"/>
        <v>0</v>
      </c>
      <c r="R591" s="110">
        <f t="shared" si="89"/>
        <v>0</v>
      </c>
      <c r="S591" s="112">
        <v>0</v>
      </c>
    </row>
    <row r="592" spans="1:19" ht="30">
      <c r="A592" s="79"/>
      <c r="B592" s="77" t="s">
        <v>189</v>
      </c>
      <c r="C592" s="76" t="s">
        <v>8</v>
      </c>
      <c r="D592" s="143">
        <v>1</v>
      </c>
      <c r="E592" s="77"/>
      <c r="F592" s="334"/>
      <c r="G592" s="112">
        <v>0</v>
      </c>
      <c r="H592" s="120">
        <v>0</v>
      </c>
      <c r="I592" s="120">
        <v>0</v>
      </c>
      <c r="J592" s="120">
        <v>0</v>
      </c>
      <c r="K592" s="110">
        <v>0</v>
      </c>
      <c r="L592" s="110"/>
      <c r="M592" s="110">
        <v>0</v>
      </c>
      <c r="N592" s="110"/>
      <c r="O592" s="110"/>
      <c r="P592" s="110">
        <f t="shared" si="87"/>
        <v>0</v>
      </c>
      <c r="Q592" s="110">
        <f t="shared" si="88"/>
        <v>0</v>
      </c>
      <c r="R592" s="110">
        <f t="shared" si="89"/>
        <v>0</v>
      </c>
      <c r="S592" s="112">
        <v>0</v>
      </c>
    </row>
    <row r="593" spans="1:19" ht="45">
      <c r="A593" s="79"/>
      <c r="B593" s="77" t="s">
        <v>166</v>
      </c>
      <c r="C593" s="76" t="s">
        <v>17</v>
      </c>
      <c r="D593" s="143">
        <v>1</v>
      </c>
      <c r="E593" s="77"/>
      <c r="F593" s="334"/>
      <c r="G593" s="112">
        <v>0</v>
      </c>
      <c r="H593" s="120">
        <v>0</v>
      </c>
      <c r="I593" s="120">
        <v>0</v>
      </c>
      <c r="J593" s="120">
        <v>0</v>
      </c>
      <c r="K593" s="110">
        <v>0</v>
      </c>
      <c r="L593" s="110"/>
      <c r="M593" s="110">
        <v>0</v>
      </c>
      <c r="N593" s="110"/>
      <c r="O593" s="110"/>
      <c r="P593" s="110">
        <f t="shared" si="87"/>
        <v>0</v>
      </c>
      <c r="Q593" s="110">
        <f t="shared" si="88"/>
        <v>0</v>
      </c>
      <c r="R593" s="110">
        <f t="shared" si="89"/>
        <v>0</v>
      </c>
      <c r="S593" s="112">
        <v>0</v>
      </c>
    </row>
    <row r="594" spans="1:19" ht="60">
      <c r="A594" s="79">
        <v>10</v>
      </c>
      <c r="B594" s="77" t="s">
        <v>222</v>
      </c>
      <c r="C594" s="76" t="s">
        <v>6</v>
      </c>
      <c r="D594" s="143">
        <v>1</v>
      </c>
      <c r="E594" s="77"/>
      <c r="F594" s="334">
        <v>1</v>
      </c>
      <c r="G594" s="112" t="s">
        <v>222</v>
      </c>
      <c r="H594" s="120" t="s">
        <v>1076</v>
      </c>
      <c r="I594" s="120" t="s">
        <v>828</v>
      </c>
      <c r="J594" s="120" t="s">
        <v>829</v>
      </c>
      <c r="K594" s="110">
        <v>9511000</v>
      </c>
      <c r="L594" s="110"/>
      <c r="M594" s="110">
        <v>1471000</v>
      </c>
      <c r="N594" s="110"/>
      <c r="O594" s="110"/>
      <c r="P594" s="110">
        <f t="shared" si="87"/>
        <v>10982000</v>
      </c>
      <c r="Q594" s="110">
        <f t="shared" si="88"/>
        <v>10982000</v>
      </c>
      <c r="R594" s="110">
        <f t="shared" si="89"/>
        <v>10982000</v>
      </c>
      <c r="S594" s="112" t="s">
        <v>4094</v>
      </c>
    </row>
    <row r="595" spans="1:19" ht="45">
      <c r="A595" s="79"/>
      <c r="B595" s="77" t="s">
        <v>219</v>
      </c>
      <c r="C595" s="76" t="s">
        <v>4</v>
      </c>
      <c r="D595" s="143">
        <v>1</v>
      </c>
      <c r="E595" s="77"/>
      <c r="F595" s="334"/>
      <c r="G595" s="112">
        <v>0</v>
      </c>
      <c r="H595" s="120">
        <v>0</v>
      </c>
      <c r="I595" s="120">
        <v>0</v>
      </c>
      <c r="J595" s="120">
        <v>0</v>
      </c>
      <c r="K595" s="110">
        <v>0</v>
      </c>
      <c r="L595" s="110"/>
      <c r="M595" s="110">
        <v>0</v>
      </c>
      <c r="N595" s="110"/>
      <c r="O595" s="110"/>
      <c r="P595" s="110">
        <f t="shared" si="87"/>
        <v>0</v>
      </c>
      <c r="Q595" s="110">
        <f t="shared" si="88"/>
        <v>0</v>
      </c>
      <c r="R595" s="110">
        <f t="shared" si="89"/>
        <v>0</v>
      </c>
      <c r="S595" s="112" t="s">
        <v>150</v>
      </c>
    </row>
    <row r="596" spans="1:19">
      <c r="A596" s="79"/>
      <c r="B596" s="77" t="s">
        <v>151</v>
      </c>
      <c r="C596" s="76"/>
      <c r="D596" s="143"/>
      <c r="E596" s="77"/>
      <c r="F596" s="76"/>
      <c r="G596" s="112">
        <v>0</v>
      </c>
      <c r="H596" s="120">
        <v>0</v>
      </c>
      <c r="I596" s="120">
        <v>0</v>
      </c>
      <c r="J596" s="120">
        <v>0</v>
      </c>
      <c r="K596" s="110">
        <v>0</v>
      </c>
      <c r="L596" s="110"/>
      <c r="M596" s="110">
        <v>0</v>
      </c>
      <c r="N596" s="110"/>
      <c r="O596" s="110"/>
      <c r="P596" s="110">
        <f t="shared" si="87"/>
        <v>0</v>
      </c>
      <c r="Q596" s="110">
        <f t="shared" si="88"/>
        <v>0</v>
      </c>
      <c r="R596" s="110">
        <f t="shared" si="89"/>
        <v>0</v>
      </c>
      <c r="S596" s="112">
        <v>0</v>
      </c>
    </row>
    <row r="597" spans="1:19">
      <c r="A597" s="79"/>
      <c r="B597" s="77" t="s">
        <v>168</v>
      </c>
      <c r="C597" s="76" t="s">
        <v>4</v>
      </c>
      <c r="D597" s="143">
        <v>1</v>
      </c>
      <c r="E597" s="77"/>
      <c r="F597" s="334"/>
      <c r="G597" s="112">
        <v>0</v>
      </c>
      <c r="H597" s="120">
        <v>0</v>
      </c>
      <c r="I597" s="120">
        <v>0</v>
      </c>
      <c r="J597" s="120">
        <v>0</v>
      </c>
      <c r="K597" s="110">
        <v>0</v>
      </c>
      <c r="L597" s="110"/>
      <c r="M597" s="110">
        <v>0</v>
      </c>
      <c r="N597" s="110"/>
      <c r="O597" s="110"/>
      <c r="P597" s="110">
        <f t="shared" si="87"/>
        <v>0</v>
      </c>
      <c r="Q597" s="110">
        <f t="shared" si="88"/>
        <v>0</v>
      </c>
      <c r="R597" s="110">
        <f t="shared" si="89"/>
        <v>0</v>
      </c>
      <c r="S597" s="112">
        <v>0</v>
      </c>
    </row>
    <row r="598" spans="1:19">
      <c r="A598" s="79"/>
      <c r="B598" s="77" t="s">
        <v>14</v>
      </c>
      <c r="C598" s="76" t="s">
        <v>4</v>
      </c>
      <c r="D598" s="143">
        <v>3</v>
      </c>
      <c r="E598" s="77"/>
      <c r="F598" s="334"/>
      <c r="G598" s="112">
        <v>0</v>
      </c>
      <c r="H598" s="120">
        <v>0</v>
      </c>
      <c r="I598" s="120">
        <v>0</v>
      </c>
      <c r="J598" s="120">
        <v>0</v>
      </c>
      <c r="K598" s="110">
        <v>0</v>
      </c>
      <c r="L598" s="110"/>
      <c r="M598" s="110">
        <v>0</v>
      </c>
      <c r="N598" s="110"/>
      <c r="O598" s="110"/>
      <c r="P598" s="110">
        <f t="shared" si="87"/>
        <v>0</v>
      </c>
      <c r="Q598" s="110">
        <f t="shared" si="88"/>
        <v>0</v>
      </c>
      <c r="R598" s="110">
        <f t="shared" si="89"/>
        <v>0</v>
      </c>
      <c r="S598" s="112">
        <v>0</v>
      </c>
    </row>
    <row r="599" spans="1:19">
      <c r="A599" s="79"/>
      <c r="B599" s="77" t="s">
        <v>153</v>
      </c>
      <c r="C599" s="76" t="s">
        <v>4</v>
      </c>
      <c r="D599" s="143">
        <v>3</v>
      </c>
      <c r="E599" s="77"/>
      <c r="F599" s="334"/>
      <c r="G599" s="112">
        <v>0</v>
      </c>
      <c r="H599" s="120">
        <v>0</v>
      </c>
      <c r="I599" s="120">
        <v>0</v>
      </c>
      <c r="J599" s="120">
        <v>0</v>
      </c>
      <c r="K599" s="110">
        <v>0</v>
      </c>
      <c r="L599" s="110"/>
      <c r="M599" s="110">
        <v>0</v>
      </c>
      <c r="N599" s="110"/>
      <c r="O599" s="110"/>
      <c r="P599" s="110">
        <f t="shared" si="87"/>
        <v>0</v>
      </c>
      <c r="Q599" s="110">
        <f t="shared" si="88"/>
        <v>0</v>
      </c>
      <c r="R599" s="110">
        <f t="shared" si="89"/>
        <v>0</v>
      </c>
      <c r="S599" s="112">
        <v>0</v>
      </c>
    </row>
    <row r="600" spans="1:19">
      <c r="A600" s="79"/>
      <c r="B600" s="77" t="s">
        <v>154</v>
      </c>
      <c r="C600" s="76"/>
      <c r="D600" s="143"/>
      <c r="E600" s="77"/>
      <c r="F600" s="76"/>
      <c r="G600" s="112">
        <v>0</v>
      </c>
      <c r="H600" s="120">
        <v>0</v>
      </c>
      <c r="I600" s="120">
        <v>0</v>
      </c>
      <c r="J600" s="120">
        <v>0</v>
      </c>
      <c r="K600" s="110">
        <v>0</v>
      </c>
      <c r="L600" s="110"/>
      <c r="M600" s="110">
        <v>0</v>
      </c>
      <c r="N600" s="110"/>
      <c r="O600" s="110"/>
      <c r="P600" s="110">
        <f t="shared" si="87"/>
        <v>0</v>
      </c>
      <c r="Q600" s="110">
        <f t="shared" si="88"/>
        <v>0</v>
      </c>
      <c r="R600" s="110">
        <f t="shared" si="89"/>
        <v>0</v>
      </c>
      <c r="S600" s="112">
        <v>0</v>
      </c>
    </row>
    <row r="601" spans="1:19">
      <c r="A601" s="79"/>
      <c r="B601" s="77" t="s">
        <v>213</v>
      </c>
      <c r="C601" s="76" t="s">
        <v>4</v>
      </c>
      <c r="D601" s="143">
        <v>1</v>
      </c>
      <c r="E601" s="77"/>
      <c r="F601" s="334"/>
      <c r="G601" s="112">
        <v>0</v>
      </c>
      <c r="H601" s="120">
        <v>0</v>
      </c>
      <c r="I601" s="120">
        <v>0</v>
      </c>
      <c r="J601" s="120">
        <v>0</v>
      </c>
      <c r="K601" s="110">
        <v>0</v>
      </c>
      <c r="L601" s="110"/>
      <c r="M601" s="110">
        <v>0</v>
      </c>
      <c r="N601" s="110"/>
      <c r="O601" s="110"/>
      <c r="P601" s="110">
        <f t="shared" si="87"/>
        <v>0</v>
      </c>
      <c r="Q601" s="110">
        <f t="shared" si="88"/>
        <v>0</v>
      </c>
      <c r="R601" s="110">
        <f t="shared" si="89"/>
        <v>0</v>
      </c>
      <c r="S601" s="112">
        <v>0</v>
      </c>
    </row>
    <row r="602" spans="1:19">
      <c r="A602" s="79"/>
      <c r="B602" s="77" t="s">
        <v>223</v>
      </c>
      <c r="C602" s="76" t="s">
        <v>4</v>
      </c>
      <c r="D602" s="143">
        <v>1</v>
      </c>
      <c r="E602" s="61"/>
      <c r="F602" s="334"/>
      <c r="G602" s="112">
        <v>0</v>
      </c>
      <c r="H602" s="120">
        <v>0</v>
      </c>
      <c r="I602" s="120">
        <v>0</v>
      </c>
      <c r="J602" s="120">
        <v>0</v>
      </c>
      <c r="K602" s="110">
        <v>0</v>
      </c>
      <c r="L602" s="110"/>
      <c r="M602" s="110">
        <v>0</v>
      </c>
      <c r="N602" s="110"/>
      <c r="O602" s="110"/>
      <c r="P602" s="110">
        <f t="shared" si="87"/>
        <v>0</v>
      </c>
      <c r="Q602" s="110">
        <f t="shared" si="88"/>
        <v>0</v>
      </c>
      <c r="R602" s="110">
        <f t="shared" si="89"/>
        <v>0</v>
      </c>
      <c r="S602" s="112">
        <v>0</v>
      </c>
    </row>
    <row r="603" spans="1:19">
      <c r="A603" s="79"/>
      <c r="B603" s="77" t="s">
        <v>156</v>
      </c>
      <c r="C603" s="76" t="s">
        <v>4</v>
      </c>
      <c r="D603" s="143">
        <v>2</v>
      </c>
      <c r="E603" s="77"/>
      <c r="F603" s="334"/>
      <c r="G603" s="112">
        <v>0</v>
      </c>
      <c r="H603" s="120">
        <v>0</v>
      </c>
      <c r="I603" s="120">
        <v>0</v>
      </c>
      <c r="J603" s="120">
        <v>0</v>
      </c>
      <c r="K603" s="110">
        <v>0</v>
      </c>
      <c r="L603" s="110"/>
      <c r="M603" s="110">
        <v>0</v>
      </c>
      <c r="N603" s="110"/>
      <c r="O603" s="110"/>
      <c r="P603" s="110">
        <f t="shared" si="87"/>
        <v>0</v>
      </c>
      <c r="Q603" s="110">
        <f t="shared" si="88"/>
        <v>0</v>
      </c>
      <c r="R603" s="110">
        <f t="shared" si="89"/>
        <v>0</v>
      </c>
      <c r="S603" s="112">
        <v>0</v>
      </c>
    </row>
    <row r="604" spans="1:19">
      <c r="A604" s="79"/>
      <c r="B604" s="77" t="s">
        <v>157</v>
      </c>
      <c r="C604" s="76" t="s">
        <v>4</v>
      </c>
      <c r="D604" s="143">
        <v>1</v>
      </c>
      <c r="E604" s="77"/>
      <c r="F604" s="334"/>
      <c r="G604" s="112">
        <v>0</v>
      </c>
      <c r="H604" s="120">
        <v>0</v>
      </c>
      <c r="I604" s="120">
        <v>0</v>
      </c>
      <c r="J604" s="120">
        <v>0</v>
      </c>
      <c r="K604" s="110">
        <v>0</v>
      </c>
      <c r="L604" s="110"/>
      <c r="M604" s="110">
        <v>0</v>
      </c>
      <c r="N604" s="110"/>
      <c r="O604" s="110"/>
      <c r="P604" s="110">
        <f t="shared" si="87"/>
        <v>0</v>
      </c>
      <c r="Q604" s="110">
        <f t="shared" si="88"/>
        <v>0</v>
      </c>
      <c r="R604" s="110">
        <f t="shared" si="89"/>
        <v>0</v>
      </c>
      <c r="S604" s="112">
        <v>0</v>
      </c>
    </row>
    <row r="605" spans="1:19" ht="30">
      <c r="A605" s="79"/>
      <c r="B605" s="77" t="s">
        <v>189</v>
      </c>
      <c r="C605" s="76" t="s">
        <v>8</v>
      </c>
      <c r="D605" s="143">
        <v>1</v>
      </c>
      <c r="E605" s="77"/>
      <c r="F605" s="334"/>
      <c r="G605" s="112">
        <v>0</v>
      </c>
      <c r="H605" s="120">
        <v>0</v>
      </c>
      <c r="I605" s="120">
        <v>0</v>
      </c>
      <c r="J605" s="120">
        <v>0</v>
      </c>
      <c r="K605" s="110">
        <v>0</v>
      </c>
      <c r="L605" s="110"/>
      <c r="M605" s="110">
        <v>0</v>
      </c>
      <c r="N605" s="110"/>
      <c r="O605" s="110"/>
      <c r="P605" s="110">
        <f t="shared" si="87"/>
        <v>0</v>
      </c>
      <c r="Q605" s="110">
        <f t="shared" si="88"/>
        <v>0</v>
      </c>
      <c r="R605" s="110">
        <f t="shared" si="89"/>
        <v>0</v>
      </c>
      <c r="S605" s="112">
        <v>0</v>
      </c>
    </row>
    <row r="606" spans="1:19" ht="45">
      <c r="A606" s="79"/>
      <c r="B606" s="77" t="s">
        <v>166</v>
      </c>
      <c r="C606" s="76" t="s">
        <v>17</v>
      </c>
      <c r="D606" s="143">
        <v>1</v>
      </c>
      <c r="E606" s="77"/>
      <c r="F606" s="334"/>
      <c r="G606" s="112">
        <v>0</v>
      </c>
      <c r="H606" s="120">
        <v>0</v>
      </c>
      <c r="I606" s="120">
        <v>0</v>
      </c>
      <c r="J606" s="120">
        <v>0</v>
      </c>
      <c r="K606" s="110">
        <v>0</v>
      </c>
      <c r="L606" s="110"/>
      <c r="M606" s="110">
        <v>0</v>
      </c>
      <c r="N606" s="110"/>
      <c r="O606" s="110"/>
      <c r="P606" s="110">
        <f t="shared" si="87"/>
        <v>0</v>
      </c>
      <c r="Q606" s="110">
        <f t="shared" si="88"/>
        <v>0</v>
      </c>
      <c r="R606" s="110">
        <f t="shared" si="89"/>
        <v>0</v>
      </c>
      <c r="S606" s="112">
        <v>0</v>
      </c>
    </row>
    <row r="607" spans="1:19" ht="60">
      <c r="A607" s="79">
        <v>11</v>
      </c>
      <c r="B607" s="77" t="s">
        <v>224</v>
      </c>
      <c r="C607" s="76" t="s">
        <v>6</v>
      </c>
      <c r="D607" s="143">
        <v>2</v>
      </c>
      <c r="E607" s="77"/>
      <c r="F607" s="334">
        <v>2</v>
      </c>
      <c r="G607" s="112" t="s">
        <v>224</v>
      </c>
      <c r="H607" s="120" t="s">
        <v>1076</v>
      </c>
      <c r="I607" s="120" t="s">
        <v>828</v>
      </c>
      <c r="J607" s="120" t="s">
        <v>829</v>
      </c>
      <c r="K607" s="110">
        <v>41012600</v>
      </c>
      <c r="L607" s="110"/>
      <c r="M607" s="110">
        <v>3828500</v>
      </c>
      <c r="N607" s="110"/>
      <c r="O607" s="110"/>
      <c r="P607" s="110">
        <f t="shared" si="87"/>
        <v>44841100</v>
      </c>
      <c r="Q607" s="110">
        <f t="shared" si="88"/>
        <v>89682200</v>
      </c>
      <c r="R607" s="110">
        <f t="shared" si="89"/>
        <v>89682200</v>
      </c>
      <c r="S607" s="112" t="s">
        <v>4094</v>
      </c>
    </row>
    <row r="608" spans="1:19" ht="45">
      <c r="A608" s="79"/>
      <c r="B608" s="77" t="s">
        <v>225</v>
      </c>
      <c r="C608" s="76" t="s">
        <v>4</v>
      </c>
      <c r="D608" s="143">
        <v>1</v>
      </c>
      <c r="E608" s="77"/>
      <c r="F608" s="334"/>
      <c r="G608" s="112">
        <v>0</v>
      </c>
      <c r="H608" s="120">
        <v>0</v>
      </c>
      <c r="I608" s="120">
        <v>0</v>
      </c>
      <c r="J608" s="120">
        <v>0</v>
      </c>
      <c r="K608" s="110">
        <v>0</v>
      </c>
      <c r="L608" s="110"/>
      <c r="M608" s="110">
        <v>0</v>
      </c>
      <c r="N608" s="110"/>
      <c r="O608" s="110"/>
      <c r="P608" s="110">
        <f t="shared" si="87"/>
        <v>0</v>
      </c>
      <c r="Q608" s="110">
        <f t="shared" si="88"/>
        <v>0</v>
      </c>
      <c r="R608" s="110">
        <f t="shared" si="89"/>
        <v>0</v>
      </c>
      <c r="S608" s="112" t="s">
        <v>150</v>
      </c>
    </row>
    <row r="609" spans="1:19">
      <c r="A609" s="79"/>
      <c r="B609" s="77" t="s">
        <v>226</v>
      </c>
      <c r="C609" s="76"/>
      <c r="D609" s="143"/>
      <c r="E609" s="77"/>
      <c r="F609" s="76"/>
      <c r="G609" s="112">
        <v>0</v>
      </c>
      <c r="H609" s="120">
        <v>0</v>
      </c>
      <c r="I609" s="120">
        <v>0</v>
      </c>
      <c r="J609" s="120">
        <v>0</v>
      </c>
      <c r="K609" s="110">
        <v>0</v>
      </c>
      <c r="L609" s="110"/>
      <c r="M609" s="110">
        <v>0</v>
      </c>
      <c r="N609" s="110"/>
      <c r="O609" s="110"/>
      <c r="P609" s="110">
        <f t="shared" si="87"/>
        <v>0</v>
      </c>
      <c r="Q609" s="110">
        <f t="shared" si="88"/>
        <v>0</v>
      </c>
      <c r="R609" s="110">
        <f t="shared" si="89"/>
        <v>0</v>
      </c>
      <c r="S609" s="112">
        <v>0</v>
      </c>
    </row>
    <row r="610" spans="1:19">
      <c r="A610" s="79"/>
      <c r="B610" s="77" t="s">
        <v>227</v>
      </c>
      <c r="C610" s="76" t="s">
        <v>4</v>
      </c>
      <c r="D610" s="143">
        <v>1</v>
      </c>
      <c r="E610" s="77"/>
      <c r="F610" s="334"/>
      <c r="G610" s="112">
        <v>0</v>
      </c>
      <c r="H610" s="120">
        <v>0</v>
      </c>
      <c r="I610" s="120">
        <v>0</v>
      </c>
      <c r="J610" s="120">
        <v>0</v>
      </c>
      <c r="K610" s="110">
        <v>0</v>
      </c>
      <c r="L610" s="110"/>
      <c r="M610" s="110">
        <v>0</v>
      </c>
      <c r="N610" s="110"/>
      <c r="O610" s="110"/>
      <c r="P610" s="110">
        <f t="shared" si="87"/>
        <v>0</v>
      </c>
      <c r="Q610" s="110">
        <f t="shared" si="88"/>
        <v>0</v>
      </c>
      <c r="R610" s="110">
        <f t="shared" si="89"/>
        <v>0</v>
      </c>
      <c r="S610" s="112">
        <v>0</v>
      </c>
    </row>
    <row r="611" spans="1:19">
      <c r="A611" s="79"/>
      <c r="B611" s="77" t="s">
        <v>64</v>
      </c>
      <c r="C611" s="76" t="s">
        <v>12</v>
      </c>
      <c r="D611" s="143">
        <v>3</v>
      </c>
      <c r="E611" s="61"/>
      <c r="F611" s="334"/>
      <c r="G611" s="112">
        <v>0</v>
      </c>
      <c r="H611" s="120">
        <v>0</v>
      </c>
      <c r="I611" s="120">
        <v>0</v>
      </c>
      <c r="J611" s="120">
        <v>0</v>
      </c>
      <c r="K611" s="110">
        <v>0</v>
      </c>
      <c r="L611" s="110"/>
      <c r="M611" s="110">
        <v>0</v>
      </c>
      <c r="N611" s="110"/>
      <c r="O611" s="110"/>
      <c r="P611" s="110">
        <f t="shared" si="87"/>
        <v>0</v>
      </c>
      <c r="Q611" s="110">
        <f t="shared" si="88"/>
        <v>0</v>
      </c>
      <c r="R611" s="110">
        <f t="shared" si="89"/>
        <v>0</v>
      </c>
      <c r="S611" s="112">
        <v>0</v>
      </c>
    </row>
    <row r="612" spans="1:19">
      <c r="A612" s="79"/>
      <c r="B612" s="77" t="s">
        <v>29</v>
      </c>
      <c r="C612" s="76" t="s">
        <v>4</v>
      </c>
      <c r="D612" s="143">
        <v>1</v>
      </c>
      <c r="E612" s="77"/>
      <c r="F612" s="334"/>
      <c r="G612" s="112">
        <v>0</v>
      </c>
      <c r="H612" s="120">
        <v>0</v>
      </c>
      <c r="I612" s="120">
        <v>0</v>
      </c>
      <c r="J612" s="120">
        <v>0</v>
      </c>
      <c r="K612" s="110">
        <v>0</v>
      </c>
      <c r="L612" s="110"/>
      <c r="M612" s="110">
        <v>0</v>
      </c>
      <c r="N612" s="110"/>
      <c r="O612" s="110"/>
      <c r="P612" s="110">
        <f t="shared" si="87"/>
        <v>0</v>
      </c>
      <c r="Q612" s="110">
        <f t="shared" si="88"/>
        <v>0</v>
      </c>
      <c r="R612" s="110">
        <f t="shared" si="89"/>
        <v>0</v>
      </c>
      <c r="S612" s="112">
        <v>0</v>
      </c>
    </row>
    <row r="613" spans="1:19">
      <c r="A613" s="79"/>
      <c r="B613" s="77" t="s">
        <v>30</v>
      </c>
      <c r="C613" s="76" t="s">
        <v>4</v>
      </c>
      <c r="D613" s="143">
        <v>1</v>
      </c>
      <c r="E613" s="77"/>
      <c r="F613" s="334"/>
      <c r="G613" s="112">
        <v>0</v>
      </c>
      <c r="H613" s="120">
        <v>0</v>
      </c>
      <c r="I613" s="120">
        <v>0</v>
      </c>
      <c r="J613" s="120">
        <v>0</v>
      </c>
      <c r="K613" s="110">
        <v>0</v>
      </c>
      <c r="L613" s="110"/>
      <c r="M613" s="110">
        <v>0</v>
      </c>
      <c r="N613" s="110"/>
      <c r="O613" s="110"/>
      <c r="P613" s="110">
        <f t="shared" si="87"/>
        <v>0</v>
      </c>
      <c r="Q613" s="110">
        <f t="shared" si="88"/>
        <v>0</v>
      </c>
      <c r="R613" s="110">
        <f t="shared" si="89"/>
        <v>0</v>
      </c>
      <c r="S613" s="112">
        <v>0</v>
      </c>
    </row>
    <row r="614" spans="1:19">
      <c r="A614" s="79"/>
      <c r="B614" s="77" t="s">
        <v>228</v>
      </c>
      <c r="C614" s="76" t="s">
        <v>4</v>
      </c>
      <c r="D614" s="143">
        <v>3</v>
      </c>
      <c r="E614" s="77"/>
      <c r="F614" s="334"/>
      <c r="G614" s="112">
        <v>0</v>
      </c>
      <c r="H614" s="120">
        <v>0</v>
      </c>
      <c r="I614" s="120">
        <v>0</v>
      </c>
      <c r="J614" s="120">
        <v>0</v>
      </c>
      <c r="K614" s="110">
        <v>0</v>
      </c>
      <c r="L614" s="110"/>
      <c r="M614" s="110">
        <v>0</v>
      </c>
      <c r="N614" s="110"/>
      <c r="O614" s="110"/>
      <c r="P614" s="110">
        <f t="shared" si="87"/>
        <v>0</v>
      </c>
      <c r="Q614" s="110">
        <f t="shared" si="88"/>
        <v>0</v>
      </c>
      <c r="R614" s="110">
        <f t="shared" si="89"/>
        <v>0</v>
      </c>
      <c r="S614" s="112">
        <v>0</v>
      </c>
    </row>
    <row r="615" spans="1:19">
      <c r="A615" s="79"/>
      <c r="B615" s="77" t="s">
        <v>14</v>
      </c>
      <c r="C615" s="76" t="s">
        <v>4</v>
      </c>
      <c r="D615" s="143">
        <v>3</v>
      </c>
      <c r="E615" s="77"/>
      <c r="F615" s="334"/>
      <c r="G615" s="112">
        <v>0</v>
      </c>
      <c r="H615" s="120">
        <v>0</v>
      </c>
      <c r="I615" s="120">
        <v>0</v>
      </c>
      <c r="J615" s="120">
        <v>0</v>
      </c>
      <c r="K615" s="110">
        <v>0</v>
      </c>
      <c r="L615" s="110"/>
      <c r="M615" s="110">
        <v>0</v>
      </c>
      <c r="N615" s="110"/>
      <c r="O615" s="110"/>
      <c r="P615" s="110">
        <f t="shared" si="87"/>
        <v>0</v>
      </c>
      <c r="Q615" s="110">
        <f t="shared" si="88"/>
        <v>0</v>
      </c>
      <c r="R615" s="110">
        <f t="shared" si="89"/>
        <v>0</v>
      </c>
      <c r="S615" s="112">
        <v>0</v>
      </c>
    </row>
    <row r="616" spans="1:19">
      <c r="A616" s="79"/>
      <c r="B616" s="77" t="s">
        <v>153</v>
      </c>
      <c r="C616" s="76" t="s">
        <v>4</v>
      </c>
      <c r="D616" s="143">
        <v>3</v>
      </c>
      <c r="E616" s="77"/>
      <c r="F616" s="334"/>
      <c r="G616" s="112">
        <v>0</v>
      </c>
      <c r="H616" s="120">
        <v>0</v>
      </c>
      <c r="I616" s="120">
        <v>0</v>
      </c>
      <c r="J616" s="120">
        <v>0</v>
      </c>
      <c r="K616" s="110">
        <v>0</v>
      </c>
      <c r="L616" s="110"/>
      <c r="M616" s="110">
        <v>0</v>
      </c>
      <c r="N616" s="110"/>
      <c r="O616" s="110"/>
      <c r="P616" s="110">
        <f t="shared" si="87"/>
        <v>0</v>
      </c>
      <c r="Q616" s="110">
        <f t="shared" si="88"/>
        <v>0</v>
      </c>
      <c r="R616" s="110">
        <f t="shared" si="89"/>
        <v>0</v>
      </c>
      <c r="S616" s="112">
        <v>0</v>
      </c>
    </row>
    <row r="617" spans="1:19">
      <c r="A617" s="79"/>
      <c r="B617" s="77" t="s">
        <v>154</v>
      </c>
      <c r="C617" s="76"/>
      <c r="D617" s="143"/>
      <c r="E617" s="77"/>
      <c r="F617" s="76"/>
      <c r="G617" s="112">
        <v>0</v>
      </c>
      <c r="H617" s="120">
        <v>0</v>
      </c>
      <c r="I617" s="120">
        <v>0</v>
      </c>
      <c r="J617" s="120">
        <v>0</v>
      </c>
      <c r="K617" s="110">
        <v>0</v>
      </c>
      <c r="L617" s="110"/>
      <c r="M617" s="110">
        <v>0</v>
      </c>
      <c r="N617" s="110"/>
      <c r="O617" s="110"/>
      <c r="P617" s="110">
        <f t="shared" si="87"/>
        <v>0</v>
      </c>
      <c r="Q617" s="110">
        <f t="shared" si="88"/>
        <v>0</v>
      </c>
      <c r="R617" s="110">
        <f t="shared" si="89"/>
        <v>0</v>
      </c>
      <c r="S617" s="112">
        <v>0</v>
      </c>
    </row>
    <row r="618" spans="1:19">
      <c r="A618" s="79"/>
      <c r="B618" s="77" t="s">
        <v>229</v>
      </c>
      <c r="C618" s="76" t="s">
        <v>4</v>
      </c>
      <c r="D618" s="143">
        <v>1</v>
      </c>
      <c r="E618" s="77"/>
      <c r="F618" s="334"/>
      <c r="G618" s="112">
        <v>0</v>
      </c>
      <c r="H618" s="120">
        <v>0</v>
      </c>
      <c r="I618" s="120">
        <v>0</v>
      </c>
      <c r="J618" s="120">
        <v>0</v>
      </c>
      <c r="K618" s="110">
        <v>0</v>
      </c>
      <c r="L618" s="110"/>
      <c r="M618" s="110">
        <v>0</v>
      </c>
      <c r="N618" s="110"/>
      <c r="O618" s="110"/>
      <c r="P618" s="110">
        <f t="shared" si="87"/>
        <v>0</v>
      </c>
      <c r="Q618" s="110">
        <f t="shared" si="88"/>
        <v>0</v>
      </c>
      <c r="R618" s="110">
        <f t="shared" si="89"/>
        <v>0</v>
      </c>
      <c r="S618" s="112">
        <v>0</v>
      </c>
    </row>
    <row r="619" spans="1:19" ht="30">
      <c r="A619" s="79"/>
      <c r="B619" s="77" t="s">
        <v>199</v>
      </c>
      <c r="C619" s="76" t="s">
        <v>4</v>
      </c>
      <c r="D619" s="143">
        <v>1</v>
      </c>
      <c r="E619" s="77"/>
      <c r="F619" s="334"/>
      <c r="G619" s="112">
        <v>0</v>
      </c>
      <c r="H619" s="120">
        <v>0</v>
      </c>
      <c r="I619" s="120">
        <v>0</v>
      </c>
      <c r="J619" s="120">
        <v>0</v>
      </c>
      <c r="K619" s="110">
        <v>0</v>
      </c>
      <c r="L619" s="110"/>
      <c r="M619" s="110">
        <v>0</v>
      </c>
      <c r="N619" s="110"/>
      <c r="O619" s="110"/>
      <c r="P619" s="110">
        <f t="shared" si="87"/>
        <v>0</v>
      </c>
      <c r="Q619" s="110">
        <f t="shared" si="88"/>
        <v>0</v>
      </c>
      <c r="R619" s="110">
        <f t="shared" si="89"/>
        <v>0</v>
      </c>
      <c r="S619" s="112" t="s">
        <v>230</v>
      </c>
    </row>
    <row r="620" spans="1:19">
      <c r="A620" s="79"/>
      <c r="B620" s="77" t="s">
        <v>158</v>
      </c>
      <c r="C620" s="76" t="s">
        <v>4</v>
      </c>
      <c r="D620" s="143">
        <v>1</v>
      </c>
      <c r="E620" s="77"/>
      <c r="F620" s="334"/>
      <c r="G620" s="112">
        <v>0</v>
      </c>
      <c r="H620" s="120">
        <v>0</v>
      </c>
      <c r="I620" s="120">
        <v>0</v>
      </c>
      <c r="J620" s="120">
        <v>0</v>
      </c>
      <c r="K620" s="110">
        <v>0</v>
      </c>
      <c r="L620" s="110"/>
      <c r="M620" s="110">
        <v>0</v>
      </c>
      <c r="N620" s="110"/>
      <c r="O620" s="110"/>
      <c r="P620" s="110">
        <f t="shared" si="87"/>
        <v>0</v>
      </c>
      <c r="Q620" s="110">
        <f t="shared" si="88"/>
        <v>0</v>
      </c>
      <c r="R620" s="110">
        <f t="shared" si="89"/>
        <v>0</v>
      </c>
      <c r="S620" s="112">
        <v>0</v>
      </c>
    </row>
    <row r="621" spans="1:19" ht="30">
      <c r="A621" s="79"/>
      <c r="B621" s="77" t="s">
        <v>231</v>
      </c>
      <c r="C621" s="76" t="s">
        <v>8</v>
      </c>
      <c r="D621" s="143">
        <v>1</v>
      </c>
      <c r="E621" s="77"/>
      <c r="F621" s="334"/>
      <c r="G621" s="112">
        <v>0</v>
      </c>
      <c r="H621" s="120">
        <v>0</v>
      </c>
      <c r="I621" s="120">
        <v>0</v>
      </c>
      <c r="J621" s="120">
        <v>0</v>
      </c>
      <c r="K621" s="110">
        <v>0</v>
      </c>
      <c r="L621" s="110"/>
      <c r="M621" s="110">
        <v>0</v>
      </c>
      <c r="N621" s="110"/>
      <c r="O621" s="110"/>
      <c r="P621" s="110">
        <f t="shared" si="87"/>
        <v>0</v>
      </c>
      <c r="Q621" s="110">
        <f t="shared" si="88"/>
        <v>0</v>
      </c>
      <c r="R621" s="110">
        <f t="shared" si="89"/>
        <v>0</v>
      </c>
      <c r="S621" s="112">
        <v>0</v>
      </c>
    </row>
    <row r="622" spans="1:19">
      <c r="A622" s="79"/>
      <c r="B622" s="77" t="s">
        <v>232</v>
      </c>
      <c r="C622" s="76" t="s">
        <v>4</v>
      </c>
      <c r="D622" s="143">
        <v>2</v>
      </c>
      <c r="E622" s="77"/>
      <c r="F622" s="334"/>
      <c r="G622" s="112">
        <v>0</v>
      </c>
      <c r="H622" s="120">
        <v>0</v>
      </c>
      <c r="I622" s="120">
        <v>0</v>
      </c>
      <c r="J622" s="120">
        <v>0</v>
      </c>
      <c r="K622" s="110">
        <v>0</v>
      </c>
      <c r="L622" s="110"/>
      <c r="M622" s="110">
        <v>0</v>
      </c>
      <c r="N622" s="110"/>
      <c r="O622" s="110"/>
      <c r="P622" s="110">
        <f t="shared" si="87"/>
        <v>0</v>
      </c>
      <c r="Q622" s="110">
        <f t="shared" si="88"/>
        <v>0</v>
      </c>
      <c r="R622" s="110">
        <f t="shared" si="89"/>
        <v>0</v>
      </c>
      <c r="S622" s="112">
        <v>0</v>
      </c>
    </row>
    <row r="623" spans="1:19">
      <c r="A623" s="79"/>
      <c r="B623" s="77" t="s">
        <v>233</v>
      </c>
      <c r="C623" s="76" t="s">
        <v>4</v>
      </c>
      <c r="D623" s="143">
        <v>1</v>
      </c>
      <c r="E623" s="61"/>
      <c r="F623" s="334"/>
      <c r="G623" s="112">
        <v>0</v>
      </c>
      <c r="H623" s="120">
        <v>0</v>
      </c>
      <c r="I623" s="120">
        <v>0</v>
      </c>
      <c r="J623" s="120">
        <v>0</v>
      </c>
      <c r="K623" s="110">
        <v>0</v>
      </c>
      <c r="L623" s="110"/>
      <c r="M623" s="110">
        <v>0</v>
      </c>
      <c r="N623" s="110"/>
      <c r="O623" s="110"/>
      <c r="P623" s="110">
        <f t="shared" si="87"/>
        <v>0</v>
      </c>
      <c r="Q623" s="110">
        <f t="shared" si="88"/>
        <v>0</v>
      </c>
      <c r="R623" s="110">
        <f t="shared" si="89"/>
        <v>0</v>
      </c>
      <c r="S623" s="112">
        <v>0</v>
      </c>
    </row>
    <row r="624" spans="1:19">
      <c r="A624" s="79"/>
      <c r="B624" s="77" t="s">
        <v>201</v>
      </c>
      <c r="C624" s="76" t="s">
        <v>4</v>
      </c>
      <c r="D624" s="143">
        <v>1</v>
      </c>
      <c r="E624" s="77"/>
      <c r="F624" s="334"/>
      <c r="G624" s="112">
        <v>0</v>
      </c>
      <c r="H624" s="120">
        <v>0</v>
      </c>
      <c r="I624" s="120">
        <v>0</v>
      </c>
      <c r="J624" s="120">
        <v>0</v>
      </c>
      <c r="K624" s="110">
        <v>0</v>
      </c>
      <c r="L624" s="110"/>
      <c r="M624" s="110">
        <v>0</v>
      </c>
      <c r="N624" s="110"/>
      <c r="O624" s="110"/>
      <c r="P624" s="110">
        <f t="shared" si="87"/>
        <v>0</v>
      </c>
      <c r="Q624" s="110">
        <f t="shared" si="88"/>
        <v>0</v>
      </c>
      <c r="R624" s="110">
        <f t="shared" si="89"/>
        <v>0</v>
      </c>
      <c r="S624" s="112">
        <v>0</v>
      </c>
    </row>
    <row r="625" spans="1:19">
      <c r="A625" s="79"/>
      <c r="B625" s="77" t="s">
        <v>234</v>
      </c>
      <c r="C625" s="76" t="s">
        <v>4</v>
      </c>
      <c r="D625" s="143">
        <v>1</v>
      </c>
      <c r="E625" s="80"/>
      <c r="F625" s="334"/>
      <c r="G625" s="112">
        <v>0</v>
      </c>
      <c r="H625" s="120">
        <v>0</v>
      </c>
      <c r="I625" s="120">
        <v>0</v>
      </c>
      <c r="J625" s="120">
        <v>0</v>
      </c>
      <c r="K625" s="110">
        <v>0</v>
      </c>
      <c r="L625" s="110"/>
      <c r="M625" s="110">
        <v>0</v>
      </c>
      <c r="N625" s="110"/>
      <c r="O625" s="110"/>
      <c r="P625" s="110">
        <f t="shared" ref="P625:P688" si="90">+K625+L625+M625+N625+O625</f>
        <v>0</v>
      </c>
      <c r="Q625" s="110">
        <f t="shared" ref="Q625:Q688" si="91">+P625*D625</f>
        <v>0</v>
      </c>
      <c r="R625" s="110">
        <f t="shared" ref="R625:R688" si="92">P625*F625</f>
        <v>0</v>
      </c>
      <c r="S625" s="112">
        <v>0</v>
      </c>
    </row>
    <row r="626" spans="1:19">
      <c r="A626" s="79"/>
      <c r="B626" s="77" t="s">
        <v>196</v>
      </c>
      <c r="C626" s="76" t="s">
        <v>4</v>
      </c>
      <c r="D626" s="143">
        <v>1</v>
      </c>
      <c r="E626" s="77"/>
      <c r="F626" s="334"/>
      <c r="G626" s="112">
        <v>0</v>
      </c>
      <c r="H626" s="120">
        <v>0</v>
      </c>
      <c r="I626" s="120">
        <v>0</v>
      </c>
      <c r="J626" s="120">
        <v>0</v>
      </c>
      <c r="K626" s="110">
        <v>0</v>
      </c>
      <c r="L626" s="110"/>
      <c r="M626" s="110">
        <v>0</v>
      </c>
      <c r="N626" s="110"/>
      <c r="O626" s="110"/>
      <c r="P626" s="110">
        <f t="shared" si="90"/>
        <v>0</v>
      </c>
      <c r="Q626" s="110">
        <f t="shared" si="91"/>
        <v>0</v>
      </c>
      <c r="R626" s="110">
        <f t="shared" si="92"/>
        <v>0</v>
      </c>
      <c r="S626" s="112">
        <v>0</v>
      </c>
    </row>
    <row r="627" spans="1:19">
      <c r="A627" s="79"/>
      <c r="B627" s="77" t="s">
        <v>187</v>
      </c>
      <c r="C627" s="76" t="s">
        <v>4</v>
      </c>
      <c r="D627" s="143">
        <v>2</v>
      </c>
      <c r="E627" s="77"/>
      <c r="F627" s="334"/>
      <c r="G627" s="112">
        <v>0</v>
      </c>
      <c r="H627" s="120">
        <v>0</v>
      </c>
      <c r="I627" s="120">
        <v>0</v>
      </c>
      <c r="J627" s="120">
        <v>0</v>
      </c>
      <c r="K627" s="110">
        <v>0</v>
      </c>
      <c r="L627" s="110"/>
      <c r="M627" s="110">
        <v>0</v>
      </c>
      <c r="N627" s="110"/>
      <c r="O627" s="110"/>
      <c r="P627" s="110">
        <f t="shared" si="90"/>
        <v>0</v>
      </c>
      <c r="Q627" s="110">
        <f t="shared" si="91"/>
        <v>0</v>
      </c>
      <c r="R627" s="110">
        <f t="shared" si="92"/>
        <v>0</v>
      </c>
      <c r="S627" s="112">
        <v>0</v>
      </c>
    </row>
    <row r="628" spans="1:19">
      <c r="A628" s="79"/>
      <c r="B628" s="77" t="s">
        <v>173</v>
      </c>
      <c r="C628" s="76" t="s">
        <v>4</v>
      </c>
      <c r="D628" s="143">
        <v>1</v>
      </c>
      <c r="E628" s="77"/>
      <c r="F628" s="334"/>
      <c r="G628" s="112">
        <v>0</v>
      </c>
      <c r="H628" s="120">
        <v>0</v>
      </c>
      <c r="I628" s="120">
        <v>0</v>
      </c>
      <c r="J628" s="120">
        <v>0</v>
      </c>
      <c r="K628" s="110">
        <v>0</v>
      </c>
      <c r="L628" s="110"/>
      <c r="M628" s="110">
        <v>0</v>
      </c>
      <c r="N628" s="110"/>
      <c r="O628" s="110"/>
      <c r="P628" s="110">
        <f t="shared" si="90"/>
        <v>0</v>
      </c>
      <c r="Q628" s="110">
        <f t="shared" si="91"/>
        <v>0</v>
      </c>
      <c r="R628" s="110">
        <f t="shared" si="92"/>
        <v>0</v>
      </c>
      <c r="S628" s="112">
        <v>0</v>
      </c>
    </row>
    <row r="629" spans="1:19">
      <c r="A629" s="79"/>
      <c r="B629" s="77" t="s">
        <v>201</v>
      </c>
      <c r="C629" s="76" t="s">
        <v>4</v>
      </c>
      <c r="D629" s="143">
        <v>1</v>
      </c>
      <c r="E629" s="77"/>
      <c r="F629" s="334"/>
      <c r="G629" s="112">
        <v>0</v>
      </c>
      <c r="H629" s="120">
        <v>0</v>
      </c>
      <c r="I629" s="120">
        <v>0</v>
      </c>
      <c r="J629" s="120">
        <v>0</v>
      </c>
      <c r="K629" s="110">
        <v>0</v>
      </c>
      <c r="L629" s="110"/>
      <c r="M629" s="110">
        <v>0</v>
      </c>
      <c r="N629" s="110"/>
      <c r="O629" s="110"/>
      <c r="P629" s="110">
        <f t="shared" si="90"/>
        <v>0</v>
      </c>
      <c r="Q629" s="110">
        <f t="shared" si="91"/>
        <v>0</v>
      </c>
      <c r="R629" s="110">
        <f t="shared" si="92"/>
        <v>0</v>
      </c>
      <c r="S629" s="112">
        <v>0</v>
      </c>
    </row>
    <row r="630" spans="1:19">
      <c r="A630" s="79"/>
      <c r="B630" s="77" t="s">
        <v>188</v>
      </c>
      <c r="C630" s="76" t="s">
        <v>4</v>
      </c>
      <c r="D630" s="143">
        <v>1</v>
      </c>
      <c r="E630" s="77"/>
      <c r="F630" s="334"/>
      <c r="G630" s="112">
        <v>0</v>
      </c>
      <c r="H630" s="120">
        <v>0</v>
      </c>
      <c r="I630" s="120">
        <v>0</v>
      </c>
      <c r="J630" s="120">
        <v>0</v>
      </c>
      <c r="K630" s="110">
        <v>0</v>
      </c>
      <c r="L630" s="110"/>
      <c r="M630" s="110">
        <v>0</v>
      </c>
      <c r="N630" s="110"/>
      <c r="O630" s="110"/>
      <c r="P630" s="110">
        <f t="shared" si="90"/>
        <v>0</v>
      </c>
      <c r="Q630" s="110">
        <f t="shared" si="91"/>
        <v>0</v>
      </c>
      <c r="R630" s="110">
        <f t="shared" si="92"/>
        <v>0</v>
      </c>
      <c r="S630" s="112">
        <v>0</v>
      </c>
    </row>
    <row r="631" spans="1:19">
      <c r="A631" s="79"/>
      <c r="B631" s="77" t="s">
        <v>176</v>
      </c>
      <c r="C631" s="76" t="s">
        <v>4</v>
      </c>
      <c r="D631" s="143">
        <v>3</v>
      </c>
      <c r="E631" s="77"/>
      <c r="F631" s="334"/>
      <c r="G631" s="112">
        <v>0</v>
      </c>
      <c r="H631" s="120">
        <v>0</v>
      </c>
      <c r="I631" s="120">
        <v>0</v>
      </c>
      <c r="J631" s="120">
        <v>0</v>
      </c>
      <c r="K631" s="110">
        <v>0</v>
      </c>
      <c r="L631" s="110"/>
      <c r="M631" s="110">
        <v>0</v>
      </c>
      <c r="N631" s="110"/>
      <c r="O631" s="110"/>
      <c r="P631" s="110">
        <f t="shared" si="90"/>
        <v>0</v>
      </c>
      <c r="Q631" s="110">
        <f t="shared" si="91"/>
        <v>0</v>
      </c>
      <c r="R631" s="110">
        <f t="shared" si="92"/>
        <v>0</v>
      </c>
      <c r="S631" s="112">
        <v>0</v>
      </c>
    </row>
    <row r="632" spans="1:19">
      <c r="A632" s="79"/>
      <c r="B632" s="77" t="s">
        <v>235</v>
      </c>
      <c r="C632" s="76" t="s">
        <v>4</v>
      </c>
      <c r="D632" s="143">
        <v>1</v>
      </c>
      <c r="E632" s="77"/>
      <c r="F632" s="334"/>
      <c r="G632" s="112">
        <v>0</v>
      </c>
      <c r="H632" s="120">
        <v>0</v>
      </c>
      <c r="I632" s="120">
        <v>0</v>
      </c>
      <c r="J632" s="120">
        <v>0</v>
      </c>
      <c r="K632" s="110">
        <v>0</v>
      </c>
      <c r="L632" s="110"/>
      <c r="M632" s="110">
        <v>0</v>
      </c>
      <c r="N632" s="110"/>
      <c r="O632" s="110"/>
      <c r="P632" s="110">
        <f t="shared" si="90"/>
        <v>0</v>
      </c>
      <c r="Q632" s="110">
        <f t="shared" si="91"/>
        <v>0</v>
      </c>
      <c r="R632" s="110">
        <f t="shared" si="92"/>
        <v>0</v>
      </c>
      <c r="S632" s="112">
        <v>0</v>
      </c>
    </row>
    <row r="633" spans="1:19">
      <c r="A633" s="79"/>
      <c r="B633" s="77" t="s">
        <v>161</v>
      </c>
      <c r="C633" s="76" t="s">
        <v>4</v>
      </c>
      <c r="D633" s="143">
        <v>1</v>
      </c>
      <c r="E633" s="77"/>
      <c r="F633" s="334"/>
      <c r="G633" s="112">
        <v>0</v>
      </c>
      <c r="H633" s="120">
        <v>0</v>
      </c>
      <c r="I633" s="120">
        <v>0</v>
      </c>
      <c r="J633" s="120">
        <v>0</v>
      </c>
      <c r="K633" s="110">
        <v>0</v>
      </c>
      <c r="L633" s="110"/>
      <c r="M633" s="110">
        <v>0</v>
      </c>
      <c r="N633" s="110"/>
      <c r="O633" s="110"/>
      <c r="P633" s="110">
        <f t="shared" si="90"/>
        <v>0</v>
      </c>
      <c r="Q633" s="110">
        <f t="shared" si="91"/>
        <v>0</v>
      </c>
      <c r="R633" s="110">
        <f t="shared" si="92"/>
        <v>0</v>
      </c>
      <c r="S633" s="112">
        <v>0</v>
      </c>
    </row>
    <row r="634" spans="1:19">
      <c r="A634" s="79"/>
      <c r="B634" s="77" t="s">
        <v>236</v>
      </c>
      <c r="C634" s="76" t="s">
        <v>4</v>
      </c>
      <c r="D634" s="143">
        <v>1</v>
      </c>
      <c r="E634" s="77"/>
      <c r="F634" s="334"/>
      <c r="G634" s="112">
        <v>0</v>
      </c>
      <c r="H634" s="120">
        <v>0</v>
      </c>
      <c r="I634" s="120">
        <v>0</v>
      </c>
      <c r="J634" s="120">
        <v>0</v>
      </c>
      <c r="K634" s="110">
        <v>0</v>
      </c>
      <c r="L634" s="110"/>
      <c r="M634" s="110">
        <v>0</v>
      </c>
      <c r="N634" s="110"/>
      <c r="O634" s="110"/>
      <c r="P634" s="110">
        <f t="shared" si="90"/>
        <v>0</v>
      </c>
      <c r="Q634" s="110">
        <f t="shared" si="91"/>
        <v>0</v>
      </c>
      <c r="R634" s="110">
        <f t="shared" si="92"/>
        <v>0</v>
      </c>
      <c r="S634" s="112">
        <v>0</v>
      </c>
    </row>
    <row r="635" spans="1:19">
      <c r="A635" s="79"/>
      <c r="B635" s="77" t="s">
        <v>177</v>
      </c>
      <c r="C635" s="76" t="s">
        <v>17</v>
      </c>
      <c r="D635" s="143">
        <v>1</v>
      </c>
      <c r="E635" s="77"/>
      <c r="F635" s="334"/>
      <c r="G635" s="112">
        <v>0</v>
      </c>
      <c r="H635" s="120">
        <v>0</v>
      </c>
      <c r="I635" s="120">
        <v>0</v>
      </c>
      <c r="J635" s="120">
        <v>0</v>
      </c>
      <c r="K635" s="110">
        <v>0</v>
      </c>
      <c r="L635" s="110"/>
      <c r="M635" s="110">
        <v>0</v>
      </c>
      <c r="N635" s="110"/>
      <c r="O635" s="110"/>
      <c r="P635" s="110">
        <f t="shared" si="90"/>
        <v>0</v>
      </c>
      <c r="Q635" s="110">
        <f t="shared" si="91"/>
        <v>0</v>
      </c>
      <c r="R635" s="110">
        <f t="shared" si="92"/>
        <v>0</v>
      </c>
      <c r="S635" s="112">
        <v>0</v>
      </c>
    </row>
    <row r="636" spans="1:19">
      <c r="A636" s="79"/>
      <c r="B636" s="77" t="s">
        <v>163</v>
      </c>
      <c r="C636" s="76" t="s">
        <v>4</v>
      </c>
      <c r="D636" s="143">
        <v>1</v>
      </c>
      <c r="E636" s="77"/>
      <c r="F636" s="334"/>
      <c r="G636" s="112">
        <v>0</v>
      </c>
      <c r="H636" s="120">
        <v>0</v>
      </c>
      <c r="I636" s="120">
        <v>0</v>
      </c>
      <c r="J636" s="120">
        <v>0</v>
      </c>
      <c r="K636" s="110">
        <v>0</v>
      </c>
      <c r="L636" s="110"/>
      <c r="M636" s="110">
        <v>0</v>
      </c>
      <c r="N636" s="110"/>
      <c r="O636" s="110"/>
      <c r="P636" s="110">
        <f t="shared" si="90"/>
        <v>0</v>
      </c>
      <c r="Q636" s="110">
        <f t="shared" si="91"/>
        <v>0</v>
      </c>
      <c r="R636" s="110">
        <f t="shared" si="92"/>
        <v>0</v>
      </c>
      <c r="S636" s="112">
        <v>0</v>
      </c>
    </row>
    <row r="637" spans="1:19" ht="30">
      <c r="A637" s="79"/>
      <c r="B637" s="77" t="s">
        <v>237</v>
      </c>
      <c r="C637" s="76" t="s">
        <v>8</v>
      </c>
      <c r="D637" s="143">
        <v>1</v>
      </c>
      <c r="E637" s="77"/>
      <c r="F637" s="334"/>
      <c r="G637" s="112">
        <v>0</v>
      </c>
      <c r="H637" s="120">
        <v>0</v>
      </c>
      <c r="I637" s="120">
        <v>0</v>
      </c>
      <c r="J637" s="120">
        <v>0</v>
      </c>
      <c r="K637" s="110">
        <v>0</v>
      </c>
      <c r="L637" s="110"/>
      <c r="M637" s="110">
        <v>0</v>
      </c>
      <c r="N637" s="110"/>
      <c r="O637" s="110"/>
      <c r="P637" s="110">
        <f t="shared" si="90"/>
        <v>0</v>
      </c>
      <c r="Q637" s="110">
        <f t="shared" si="91"/>
        <v>0</v>
      </c>
      <c r="R637" s="110">
        <f t="shared" si="92"/>
        <v>0</v>
      </c>
      <c r="S637" s="112">
        <v>0</v>
      </c>
    </row>
    <row r="638" spans="1:19">
      <c r="A638" s="79"/>
      <c r="B638" s="77" t="s">
        <v>207</v>
      </c>
      <c r="C638" s="76" t="s">
        <v>8</v>
      </c>
      <c r="D638" s="143">
        <v>1</v>
      </c>
      <c r="E638" s="77"/>
      <c r="F638" s="334"/>
      <c r="G638" s="112">
        <v>0</v>
      </c>
      <c r="H638" s="120">
        <v>0</v>
      </c>
      <c r="I638" s="120">
        <v>0</v>
      </c>
      <c r="J638" s="120">
        <v>0</v>
      </c>
      <c r="K638" s="110">
        <v>0</v>
      </c>
      <c r="L638" s="110"/>
      <c r="M638" s="110">
        <v>0</v>
      </c>
      <c r="N638" s="110"/>
      <c r="O638" s="110"/>
      <c r="P638" s="110">
        <f t="shared" si="90"/>
        <v>0</v>
      </c>
      <c r="Q638" s="110">
        <f t="shared" si="91"/>
        <v>0</v>
      </c>
      <c r="R638" s="110">
        <f t="shared" si="92"/>
        <v>0</v>
      </c>
      <c r="S638" s="112">
        <v>0</v>
      </c>
    </row>
    <row r="639" spans="1:19" ht="45">
      <c r="A639" s="79"/>
      <c r="B639" s="77" t="s">
        <v>166</v>
      </c>
      <c r="C639" s="76" t="s">
        <v>17</v>
      </c>
      <c r="D639" s="143">
        <v>1</v>
      </c>
      <c r="E639" s="77"/>
      <c r="F639" s="334"/>
      <c r="G639" s="112">
        <v>0</v>
      </c>
      <c r="H639" s="120">
        <v>0</v>
      </c>
      <c r="I639" s="120">
        <v>0</v>
      </c>
      <c r="J639" s="120">
        <v>0</v>
      </c>
      <c r="K639" s="110">
        <v>0</v>
      </c>
      <c r="L639" s="110"/>
      <c r="M639" s="110">
        <v>0</v>
      </c>
      <c r="N639" s="110"/>
      <c r="O639" s="110"/>
      <c r="P639" s="110">
        <f t="shared" si="90"/>
        <v>0</v>
      </c>
      <c r="Q639" s="110">
        <f t="shared" si="91"/>
        <v>0</v>
      </c>
      <c r="R639" s="110">
        <f t="shared" si="92"/>
        <v>0</v>
      </c>
      <c r="S639" s="112">
        <v>0</v>
      </c>
    </row>
    <row r="640" spans="1:19" ht="60">
      <c r="A640" s="79">
        <v>12</v>
      </c>
      <c r="B640" s="77" t="s">
        <v>238</v>
      </c>
      <c r="C640" s="76" t="s">
        <v>6</v>
      </c>
      <c r="D640" s="143">
        <v>4</v>
      </c>
      <c r="E640" s="61"/>
      <c r="F640" s="334">
        <v>4</v>
      </c>
      <c r="G640" s="112" t="s">
        <v>238</v>
      </c>
      <c r="H640" s="120" t="s">
        <v>1076</v>
      </c>
      <c r="I640" s="120" t="s">
        <v>828</v>
      </c>
      <c r="J640" s="120" t="s">
        <v>829</v>
      </c>
      <c r="K640" s="110">
        <v>29237000</v>
      </c>
      <c r="L640" s="110"/>
      <c r="M640" s="110">
        <v>3123300</v>
      </c>
      <c r="N640" s="110"/>
      <c r="O640" s="110"/>
      <c r="P640" s="110">
        <f t="shared" si="90"/>
        <v>32360300</v>
      </c>
      <c r="Q640" s="110">
        <f t="shared" si="91"/>
        <v>129441200</v>
      </c>
      <c r="R640" s="110">
        <f t="shared" si="92"/>
        <v>129441200</v>
      </c>
      <c r="S640" s="112" t="s">
        <v>4094</v>
      </c>
    </row>
    <row r="641" spans="1:19" ht="45">
      <c r="A641" s="79"/>
      <c r="B641" s="77" t="s">
        <v>182</v>
      </c>
      <c r="C641" s="76" t="s">
        <v>4</v>
      </c>
      <c r="D641" s="143">
        <v>1</v>
      </c>
      <c r="E641" s="77"/>
      <c r="F641" s="334"/>
      <c r="G641" s="112">
        <v>0</v>
      </c>
      <c r="H641" s="120">
        <v>0</v>
      </c>
      <c r="I641" s="120">
        <v>0</v>
      </c>
      <c r="J641" s="120">
        <v>0</v>
      </c>
      <c r="K641" s="110">
        <v>0</v>
      </c>
      <c r="L641" s="110"/>
      <c r="M641" s="110">
        <v>0</v>
      </c>
      <c r="N641" s="110"/>
      <c r="O641" s="110"/>
      <c r="P641" s="110">
        <f t="shared" si="90"/>
        <v>0</v>
      </c>
      <c r="Q641" s="110">
        <f t="shared" si="91"/>
        <v>0</v>
      </c>
      <c r="R641" s="110">
        <f t="shared" si="92"/>
        <v>0</v>
      </c>
      <c r="S641" s="112" t="s">
        <v>150</v>
      </c>
    </row>
    <row r="642" spans="1:19">
      <c r="A642" s="79"/>
      <c r="B642" s="77" t="s">
        <v>226</v>
      </c>
      <c r="C642" s="76"/>
      <c r="D642" s="143"/>
      <c r="E642" s="77"/>
      <c r="F642" s="76"/>
      <c r="G642" s="112">
        <v>0</v>
      </c>
      <c r="H642" s="120">
        <v>0</v>
      </c>
      <c r="I642" s="120">
        <v>0</v>
      </c>
      <c r="J642" s="120">
        <v>0</v>
      </c>
      <c r="K642" s="110">
        <v>0</v>
      </c>
      <c r="L642" s="110"/>
      <c r="M642" s="110">
        <v>0</v>
      </c>
      <c r="N642" s="110"/>
      <c r="O642" s="110"/>
      <c r="P642" s="110">
        <f t="shared" si="90"/>
        <v>0</v>
      </c>
      <c r="Q642" s="110">
        <f t="shared" si="91"/>
        <v>0</v>
      </c>
      <c r="R642" s="110">
        <f t="shared" si="92"/>
        <v>0</v>
      </c>
      <c r="S642" s="112">
        <v>0</v>
      </c>
    </row>
    <row r="643" spans="1:19">
      <c r="A643" s="79"/>
      <c r="B643" s="77" t="s">
        <v>239</v>
      </c>
      <c r="C643" s="76" t="s">
        <v>4</v>
      </c>
      <c r="D643" s="143">
        <v>1</v>
      </c>
      <c r="E643" s="77"/>
      <c r="F643" s="334"/>
      <c r="G643" s="112">
        <v>0</v>
      </c>
      <c r="H643" s="120">
        <v>0</v>
      </c>
      <c r="I643" s="120">
        <v>0</v>
      </c>
      <c r="J643" s="120">
        <v>0</v>
      </c>
      <c r="K643" s="110">
        <v>0</v>
      </c>
      <c r="L643" s="110"/>
      <c r="M643" s="110">
        <v>0</v>
      </c>
      <c r="N643" s="110"/>
      <c r="O643" s="110"/>
      <c r="P643" s="110">
        <f t="shared" si="90"/>
        <v>0</v>
      </c>
      <c r="Q643" s="110">
        <f t="shared" si="91"/>
        <v>0</v>
      </c>
      <c r="R643" s="110">
        <f t="shared" si="92"/>
        <v>0</v>
      </c>
      <c r="S643" s="112">
        <v>0</v>
      </c>
    </row>
    <row r="644" spans="1:19">
      <c r="A644" s="79"/>
      <c r="B644" s="77" t="s">
        <v>240</v>
      </c>
      <c r="C644" s="76" t="s">
        <v>12</v>
      </c>
      <c r="D644" s="143">
        <v>3</v>
      </c>
      <c r="E644" s="77"/>
      <c r="F644" s="334"/>
      <c r="G644" s="112">
        <v>0</v>
      </c>
      <c r="H644" s="120">
        <v>0</v>
      </c>
      <c r="I644" s="120">
        <v>0</v>
      </c>
      <c r="J644" s="120">
        <v>0</v>
      </c>
      <c r="K644" s="110">
        <v>0</v>
      </c>
      <c r="L644" s="110"/>
      <c r="M644" s="110">
        <v>0</v>
      </c>
      <c r="N644" s="110"/>
      <c r="O644" s="110"/>
      <c r="P644" s="110">
        <f t="shared" si="90"/>
        <v>0</v>
      </c>
      <c r="Q644" s="110">
        <f t="shared" si="91"/>
        <v>0</v>
      </c>
      <c r="R644" s="110">
        <f t="shared" si="92"/>
        <v>0</v>
      </c>
      <c r="S644" s="112">
        <v>0</v>
      </c>
    </row>
    <row r="645" spans="1:19">
      <c r="A645" s="79"/>
      <c r="B645" s="77" t="s">
        <v>29</v>
      </c>
      <c r="C645" s="76" t="s">
        <v>4</v>
      </c>
      <c r="D645" s="143">
        <v>1</v>
      </c>
      <c r="E645" s="77"/>
      <c r="F645" s="334"/>
      <c r="G645" s="112">
        <v>0</v>
      </c>
      <c r="H645" s="120">
        <v>0</v>
      </c>
      <c r="I645" s="120">
        <v>0</v>
      </c>
      <c r="J645" s="120">
        <v>0</v>
      </c>
      <c r="K645" s="110">
        <v>0</v>
      </c>
      <c r="L645" s="110"/>
      <c r="M645" s="110">
        <v>0</v>
      </c>
      <c r="N645" s="110"/>
      <c r="O645" s="110"/>
      <c r="P645" s="110">
        <f t="shared" si="90"/>
        <v>0</v>
      </c>
      <c r="Q645" s="110">
        <f t="shared" si="91"/>
        <v>0</v>
      </c>
      <c r="R645" s="110">
        <f t="shared" si="92"/>
        <v>0</v>
      </c>
      <c r="S645" s="112">
        <v>0</v>
      </c>
    </row>
    <row r="646" spans="1:19">
      <c r="A646" s="79"/>
      <c r="B646" s="77" t="s">
        <v>30</v>
      </c>
      <c r="C646" s="76" t="s">
        <v>4</v>
      </c>
      <c r="D646" s="143">
        <v>1</v>
      </c>
      <c r="E646" s="77"/>
      <c r="F646" s="334"/>
      <c r="G646" s="112">
        <v>0</v>
      </c>
      <c r="H646" s="120">
        <v>0</v>
      </c>
      <c r="I646" s="120">
        <v>0</v>
      </c>
      <c r="J646" s="120">
        <v>0</v>
      </c>
      <c r="K646" s="110">
        <v>0</v>
      </c>
      <c r="L646" s="110"/>
      <c r="M646" s="110">
        <v>0</v>
      </c>
      <c r="N646" s="110"/>
      <c r="O646" s="110"/>
      <c r="P646" s="110">
        <f t="shared" si="90"/>
        <v>0</v>
      </c>
      <c r="Q646" s="110">
        <f t="shared" si="91"/>
        <v>0</v>
      </c>
      <c r="R646" s="110">
        <f t="shared" si="92"/>
        <v>0</v>
      </c>
      <c r="S646" s="112">
        <v>0</v>
      </c>
    </row>
    <row r="647" spans="1:19">
      <c r="A647" s="79"/>
      <c r="B647" s="77" t="s">
        <v>241</v>
      </c>
      <c r="C647" s="76" t="s">
        <v>4</v>
      </c>
      <c r="D647" s="143">
        <v>3</v>
      </c>
      <c r="E647" s="77"/>
      <c r="F647" s="334"/>
      <c r="G647" s="112">
        <v>0</v>
      </c>
      <c r="H647" s="120">
        <v>0</v>
      </c>
      <c r="I647" s="120">
        <v>0</v>
      </c>
      <c r="J647" s="120">
        <v>0</v>
      </c>
      <c r="K647" s="110">
        <v>0</v>
      </c>
      <c r="L647" s="110"/>
      <c r="M647" s="110">
        <v>0</v>
      </c>
      <c r="N647" s="110"/>
      <c r="O647" s="110"/>
      <c r="P647" s="110">
        <f t="shared" si="90"/>
        <v>0</v>
      </c>
      <c r="Q647" s="110">
        <f t="shared" si="91"/>
        <v>0</v>
      </c>
      <c r="R647" s="110">
        <f t="shared" si="92"/>
        <v>0</v>
      </c>
      <c r="S647" s="112">
        <v>0</v>
      </c>
    </row>
    <row r="648" spans="1:19">
      <c r="A648" s="79"/>
      <c r="B648" s="77" t="s">
        <v>14</v>
      </c>
      <c r="C648" s="76" t="s">
        <v>4</v>
      </c>
      <c r="D648" s="143">
        <v>3</v>
      </c>
      <c r="E648" s="77"/>
      <c r="F648" s="334"/>
      <c r="G648" s="112">
        <v>0</v>
      </c>
      <c r="H648" s="120">
        <v>0</v>
      </c>
      <c r="I648" s="120">
        <v>0</v>
      </c>
      <c r="J648" s="120">
        <v>0</v>
      </c>
      <c r="K648" s="110">
        <v>0</v>
      </c>
      <c r="L648" s="110"/>
      <c r="M648" s="110">
        <v>0</v>
      </c>
      <c r="N648" s="110"/>
      <c r="O648" s="110"/>
      <c r="P648" s="110">
        <f t="shared" si="90"/>
        <v>0</v>
      </c>
      <c r="Q648" s="110">
        <f t="shared" si="91"/>
        <v>0</v>
      </c>
      <c r="R648" s="110">
        <f t="shared" si="92"/>
        <v>0</v>
      </c>
      <c r="S648" s="112">
        <v>0</v>
      </c>
    </row>
    <row r="649" spans="1:19">
      <c r="A649" s="79"/>
      <c r="B649" s="77" t="s">
        <v>153</v>
      </c>
      <c r="C649" s="76" t="s">
        <v>4</v>
      </c>
      <c r="D649" s="143">
        <v>3</v>
      </c>
      <c r="E649" s="77"/>
      <c r="F649" s="334"/>
      <c r="G649" s="112">
        <v>0</v>
      </c>
      <c r="H649" s="120">
        <v>0</v>
      </c>
      <c r="I649" s="120">
        <v>0</v>
      </c>
      <c r="J649" s="120">
        <v>0</v>
      </c>
      <c r="K649" s="110">
        <v>0</v>
      </c>
      <c r="L649" s="110"/>
      <c r="M649" s="110">
        <v>0</v>
      </c>
      <c r="N649" s="110"/>
      <c r="O649" s="110"/>
      <c r="P649" s="110">
        <f t="shared" si="90"/>
        <v>0</v>
      </c>
      <c r="Q649" s="110">
        <f t="shared" si="91"/>
        <v>0</v>
      </c>
      <c r="R649" s="110">
        <f t="shared" si="92"/>
        <v>0</v>
      </c>
      <c r="S649" s="112">
        <v>0</v>
      </c>
    </row>
    <row r="650" spans="1:19">
      <c r="A650" s="79"/>
      <c r="B650" s="77" t="s">
        <v>154</v>
      </c>
      <c r="C650" s="76"/>
      <c r="D650" s="143"/>
      <c r="E650" s="77"/>
      <c r="F650" s="76"/>
      <c r="G650" s="112">
        <v>0</v>
      </c>
      <c r="H650" s="120">
        <v>0</v>
      </c>
      <c r="I650" s="120">
        <v>0</v>
      </c>
      <c r="J650" s="120">
        <v>0</v>
      </c>
      <c r="K650" s="110">
        <v>0</v>
      </c>
      <c r="L650" s="110"/>
      <c r="M650" s="110">
        <v>0</v>
      </c>
      <c r="N650" s="110"/>
      <c r="O650" s="110"/>
      <c r="P650" s="110">
        <f t="shared" si="90"/>
        <v>0</v>
      </c>
      <c r="Q650" s="110">
        <f t="shared" si="91"/>
        <v>0</v>
      </c>
      <c r="R650" s="110">
        <f t="shared" si="92"/>
        <v>0</v>
      </c>
      <c r="S650" s="112">
        <v>0</v>
      </c>
    </row>
    <row r="651" spans="1:19">
      <c r="A651" s="79"/>
      <c r="B651" s="77" t="s">
        <v>242</v>
      </c>
      <c r="C651" s="76" t="s">
        <v>4</v>
      </c>
      <c r="D651" s="143">
        <v>1</v>
      </c>
      <c r="E651" s="77"/>
      <c r="F651" s="334"/>
      <c r="G651" s="112">
        <v>0</v>
      </c>
      <c r="H651" s="120">
        <v>0</v>
      </c>
      <c r="I651" s="120">
        <v>0</v>
      </c>
      <c r="J651" s="120">
        <v>0</v>
      </c>
      <c r="K651" s="110">
        <v>0</v>
      </c>
      <c r="L651" s="110"/>
      <c r="M651" s="110">
        <v>0</v>
      </c>
      <c r="N651" s="110"/>
      <c r="O651" s="110"/>
      <c r="P651" s="110">
        <f t="shared" si="90"/>
        <v>0</v>
      </c>
      <c r="Q651" s="110">
        <f t="shared" si="91"/>
        <v>0</v>
      </c>
      <c r="R651" s="110">
        <f t="shared" si="92"/>
        <v>0</v>
      </c>
      <c r="S651" s="112">
        <v>0</v>
      </c>
    </row>
    <row r="652" spans="1:19" ht="30">
      <c r="A652" s="79"/>
      <c r="B652" s="77" t="s">
        <v>243</v>
      </c>
      <c r="C652" s="76" t="s">
        <v>4</v>
      </c>
      <c r="D652" s="143">
        <v>1</v>
      </c>
      <c r="E652" s="77"/>
      <c r="F652" s="334"/>
      <c r="G652" s="112">
        <v>0</v>
      </c>
      <c r="H652" s="120">
        <v>0</v>
      </c>
      <c r="I652" s="120">
        <v>0</v>
      </c>
      <c r="J652" s="120">
        <v>0</v>
      </c>
      <c r="K652" s="110">
        <v>0</v>
      </c>
      <c r="L652" s="110"/>
      <c r="M652" s="110">
        <v>0</v>
      </c>
      <c r="N652" s="110"/>
      <c r="O652" s="110"/>
      <c r="P652" s="110">
        <f t="shared" si="90"/>
        <v>0</v>
      </c>
      <c r="Q652" s="110">
        <f t="shared" si="91"/>
        <v>0</v>
      </c>
      <c r="R652" s="110">
        <f t="shared" si="92"/>
        <v>0</v>
      </c>
      <c r="S652" s="112" t="s">
        <v>230</v>
      </c>
    </row>
    <row r="653" spans="1:19">
      <c r="A653" s="79"/>
      <c r="B653" s="77" t="s">
        <v>158</v>
      </c>
      <c r="C653" s="76" t="s">
        <v>4</v>
      </c>
      <c r="D653" s="143">
        <v>1</v>
      </c>
      <c r="E653" s="59"/>
      <c r="F653" s="334"/>
      <c r="G653" s="112">
        <v>0</v>
      </c>
      <c r="H653" s="120">
        <v>0</v>
      </c>
      <c r="I653" s="120">
        <v>0</v>
      </c>
      <c r="J653" s="120">
        <v>0</v>
      </c>
      <c r="K653" s="110">
        <v>0</v>
      </c>
      <c r="L653" s="110"/>
      <c r="M653" s="110">
        <v>0</v>
      </c>
      <c r="N653" s="110"/>
      <c r="O653" s="110"/>
      <c r="P653" s="110">
        <f t="shared" si="90"/>
        <v>0</v>
      </c>
      <c r="Q653" s="110">
        <f t="shared" si="91"/>
        <v>0</v>
      </c>
      <c r="R653" s="110">
        <f t="shared" si="92"/>
        <v>0</v>
      </c>
      <c r="S653" s="112">
        <v>0</v>
      </c>
    </row>
    <row r="654" spans="1:19" ht="30">
      <c r="A654" s="79"/>
      <c r="B654" s="77" t="s">
        <v>244</v>
      </c>
      <c r="C654" s="76" t="s">
        <v>8</v>
      </c>
      <c r="D654" s="143">
        <v>1</v>
      </c>
      <c r="E654" s="77"/>
      <c r="F654" s="334"/>
      <c r="G654" s="112">
        <v>0</v>
      </c>
      <c r="H654" s="120">
        <v>0</v>
      </c>
      <c r="I654" s="120">
        <v>0</v>
      </c>
      <c r="J654" s="120">
        <v>0</v>
      </c>
      <c r="K654" s="110">
        <v>0</v>
      </c>
      <c r="L654" s="110"/>
      <c r="M654" s="110">
        <v>0</v>
      </c>
      <c r="N654" s="110"/>
      <c r="O654" s="110"/>
      <c r="P654" s="110">
        <f t="shared" si="90"/>
        <v>0</v>
      </c>
      <c r="Q654" s="110">
        <f t="shared" si="91"/>
        <v>0</v>
      </c>
      <c r="R654" s="110">
        <f t="shared" si="92"/>
        <v>0</v>
      </c>
      <c r="S654" s="112">
        <v>0</v>
      </c>
    </row>
    <row r="655" spans="1:19">
      <c r="A655" s="79"/>
      <c r="B655" s="77" t="s">
        <v>245</v>
      </c>
      <c r="C655" s="76" t="s">
        <v>4</v>
      </c>
      <c r="D655" s="143">
        <v>2</v>
      </c>
      <c r="E655" s="77"/>
      <c r="F655" s="334"/>
      <c r="G655" s="112">
        <v>0</v>
      </c>
      <c r="H655" s="120">
        <v>0</v>
      </c>
      <c r="I655" s="120">
        <v>0</v>
      </c>
      <c r="J655" s="120">
        <v>0</v>
      </c>
      <c r="K655" s="110">
        <v>0</v>
      </c>
      <c r="L655" s="110"/>
      <c r="M655" s="110">
        <v>0</v>
      </c>
      <c r="N655" s="110"/>
      <c r="O655" s="110"/>
      <c r="P655" s="110">
        <f t="shared" si="90"/>
        <v>0</v>
      </c>
      <c r="Q655" s="110">
        <f t="shared" si="91"/>
        <v>0</v>
      </c>
      <c r="R655" s="110">
        <f t="shared" si="92"/>
        <v>0</v>
      </c>
      <c r="S655" s="112">
        <v>0</v>
      </c>
    </row>
    <row r="656" spans="1:19">
      <c r="A656" s="79"/>
      <c r="B656" s="77" t="s">
        <v>246</v>
      </c>
      <c r="C656" s="76" t="s">
        <v>4</v>
      </c>
      <c r="D656" s="143">
        <v>1</v>
      </c>
      <c r="E656" s="77"/>
      <c r="F656" s="334"/>
      <c r="G656" s="112">
        <v>0</v>
      </c>
      <c r="H656" s="120">
        <v>0</v>
      </c>
      <c r="I656" s="120">
        <v>0</v>
      </c>
      <c r="J656" s="120">
        <v>0</v>
      </c>
      <c r="K656" s="110">
        <v>0</v>
      </c>
      <c r="L656" s="110"/>
      <c r="M656" s="110">
        <v>0</v>
      </c>
      <c r="N656" s="110"/>
      <c r="O656" s="110"/>
      <c r="P656" s="110">
        <f t="shared" si="90"/>
        <v>0</v>
      </c>
      <c r="Q656" s="110">
        <f t="shared" si="91"/>
        <v>0</v>
      </c>
      <c r="R656" s="110">
        <f t="shared" si="92"/>
        <v>0</v>
      </c>
      <c r="S656" s="112">
        <v>0</v>
      </c>
    </row>
    <row r="657" spans="1:19">
      <c r="A657" s="79"/>
      <c r="B657" s="77" t="s">
        <v>201</v>
      </c>
      <c r="C657" s="76" t="s">
        <v>4</v>
      </c>
      <c r="D657" s="143">
        <v>1</v>
      </c>
      <c r="E657" s="77"/>
      <c r="F657" s="334"/>
      <c r="G657" s="112">
        <v>0</v>
      </c>
      <c r="H657" s="120">
        <v>0</v>
      </c>
      <c r="I657" s="120">
        <v>0</v>
      </c>
      <c r="J657" s="120">
        <v>0</v>
      </c>
      <c r="K657" s="110">
        <v>0</v>
      </c>
      <c r="L657" s="110"/>
      <c r="M657" s="110">
        <v>0</v>
      </c>
      <c r="N657" s="110"/>
      <c r="O657" s="110"/>
      <c r="P657" s="110">
        <f t="shared" si="90"/>
        <v>0</v>
      </c>
      <c r="Q657" s="110">
        <f t="shared" si="91"/>
        <v>0</v>
      </c>
      <c r="R657" s="110">
        <f t="shared" si="92"/>
        <v>0</v>
      </c>
      <c r="S657" s="112">
        <v>0</v>
      </c>
    </row>
    <row r="658" spans="1:19">
      <c r="A658" s="79"/>
      <c r="B658" s="77" t="s">
        <v>247</v>
      </c>
      <c r="C658" s="76" t="s">
        <v>4</v>
      </c>
      <c r="D658" s="143">
        <v>1</v>
      </c>
      <c r="E658" s="77"/>
      <c r="F658" s="334"/>
      <c r="G658" s="112">
        <v>0</v>
      </c>
      <c r="H658" s="120">
        <v>0</v>
      </c>
      <c r="I658" s="120">
        <v>0</v>
      </c>
      <c r="J658" s="120">
        <v>0</v>
      </c>
      <c r="K658" s="110">
        <v>0</v>
      </c>
      <c r="L658" s="110"/>
      <c r="M658" s="110">
        <v>0</v>
      </c>
      <c r="N658" s="110"/>
      <c r="O658" s="110"/>
      <c r="P658" s="110">
        <f t="shared" si="90"/>
        <v>0</v>
      </c>
      <c r="Q658" s="110">
        <f t="shared" si="91"/>
        <v>0</v>
      </c>
      <c r="R658" s="110">
        <f t="shared" si="92"/>
        <v>0</v>
      </c>
      <c r="S658" s="112">
        <v>0</v>
      </c>
    </row>
    <row r="659" spans="1:19">
      <c r="A659" s="79"/>
      <c r="B659" s="77" t="s">
        <v>196</v>
      </c>
      <c r="C659" s="76" t="s">
        <v>4</v>
      </c>
      <c r="D659" s="143">
        <v>1</v>
      </c>
      <c r="E659" s="77"/>
      <c r="F659" s="334"/>
      <c r="G659" s="112">
        <v>0</v>
      </c>
      <c r="H659" s="120">
        <v>0</v>
      </c>
      <c r="I659" s="120">
        <v>0</v>
      </c>
      <c r="J659" s="120">
        <v>0</v>
      </c>
      <c r="K659" s="110">
        <v>0</v>
      </c>
      <c r="L659" s="110"/>
      <c r="M659" s="110">
        <v>0</v>
      </c>
      <c r="N659" s="110"/>
      <c r="O659" s="110"/>
      <c r="P659" s="110">
        <f t="shared" si="90"/>
        <v>0</v>
      </c>
      <c r="Q659" s="110">
        <f t="shared" si="91"/>
        <v>0</v>
      </c>
      <c r="R659" s="110">
        <f t="shared" si="92"/>
        <v>0</v>
      </c>
      <c r="S659" s="112">
        <v>0</v>
      </c>
    </row>
    <row r="660" spans="1:19">
      <c r="A660" s="79"/>
      <c r="B660" s="77" t="s">
        <v>173</v>
      </c>
      <c r="C660" s="76" t="s">
        <v>4</v>
      </c>
      <c r="D660" s="143">
        <v>1</v>
      </c>
      <c r="E660" s="77"/>
      <c r="F660" s="334"/>
      <c r="G660" s="112">
        <v>0</v>
      </c>
      <c r="H660" s="120">
        <v>0</v>
      </c>
      <c r="I660" s="120">
        <v>0</v>
      </c>
      <c r="J660" s="120">
        <v>0</v>
      </c>
      <c r="K660" s="110">
        <v>0</v>
      </c>
      <c r="L660" s="110"/>
      <c r="M660" s="110">
        <v>0</v>
      </c>
      <c r="N660" s="110"/>
      <c r="O660" s="110"/>
      <c r="P660" s="110">
        <f t="shared" si="90"/>
        <v>0</v>
      </c>
      <c r="Q660" s="110">
        <f t="shared" si="91"/>
        <v>0</v>
      </c>
      <c r="R660" s="110">
        <f t="shared" si="92"/>
        <v>0</v>
      </c>
      <c r="S660" s="112">
        <v>0</v>
      </c>
    </row>
    <row r="661" spans="1:19">
      <c r="A661" s="79"/>
      <c r="B661" s="77" t="s">
        <v>201</v>
      </c>
      <c r="C661" s="76" t="s">
        <v>4</v>
      </c>
      <c r="D661" s="143">
        <v>1</v>
      </c>
      <c r="E661" s="77"/>
      <c r="F661" s="334"/>
      <c r="G661" s="112">
        <v>0</v>
      </c>
      <c r="H661" s="120">
        <v>0</v>
      </c>
      <c r="I661" s="120">
        <v>0</v>
      </c>
      <c r="J661" s="120">
        <v>0</v>
      </c>
      <c r="K661" s="110">
        <v>0</v>
      </c>
      <c r="L661" s="110"/>
      <c r="M661" s="110">
        <v>0</v>
      </c>
      <c r="N661" s="110"/>
      <c r="O661" s="110"/>
      <c r="P661" s="110">
        <f t="shared" si="90"/>
        <v>0</v>
      </c>
      <c r="Q661" s="110">
        <f t="shared" si="91"/>
        <v>0</v>
      </c>
      <c r="R661" s="110">
        <f t="shared" si="92"/>
        <v>0</v>
      </c>
      <c r="S661" s="112">
        <v>0</v>
      </c>
    </row>
    <row r="662" spans="1:19">
      <c r="A662" s="79"/>
      <c r="B662" s="77" t="s">
        <v>248</v>
      </c>
      <c r="C662" s="76" t="s">
        <v>4</v>
      </c>
      <c r="D662" s="143">
        <v>1</v>
      </c>
      <c r="E662" s="77"/>
      <c r="F662" s="334"/>
      <c r="G662" s="112">
        <v>0</v>
      </c>
      <c r="H662" s="120">
        <v>0</v>
      </c>
      <c r="I662" s="120">
        <v>0</v>
      </c>
      <c r="J662" s="120">
        <v>0</v>
      </c>
      <c r="K662" s="110">
        <v>0</v>
      </c>
      <c r="L662" s="110"/>
      <c r="M662" s="110">
        <v>0</v>
      </c>
      <c r="N662" s="110"/>
      <c r="O662" s="110"/>
      <c r="P662" s="110">
        <f t="shared" si="90"/>
        <v>0</v>
      </c>
      <c r="Q662" s="110">
        <f t="shared" si="91"/>
        <v>0</v>
      </c>
      <c r="R662" s="110">
        <f t="shared" si="92"/>
        <v>0</v>
      </c>
      <c r="S662" s="112">
        <v>0</v>
      </c>
    </row>
    <row r="663" spans="1:19">
      <c r="A663" s="79"/>
      <c r="B663" s="77" t="s">
        <v>176</v>
      </c>
      <c r="C663" s="76" t="s">
        <v>4</v>
      </c>
      <c r="D663" s="143">
        <v>3</v>
      </c>
      <c r="E663" s="77"/>
      <c r="F663" s="334"/>
      <c r="G663" s="112">
        <v>0</v>
      </c>
      <c r="H663" s="120">
        <v>0</v>
      </c>
      <c r="I663" s="120">
        <v>0</v>
      </c>
      <c r="J663" s="120">
        <v>0</v>
      </c>
      <c r="K663" s="110">
        <v>0</v>
      </c>
      <c r="L663" s="110"/>
      <c r="M663" s="110">
        <v>0</v>
      </c>
      <c r="N663" s="110"/>
      <c r="O663" s="110"/>
      <c r="P663" s="110">
        <f t="shared" si="90"/>
        <v>0</v>
      </c>
      <c r="Q663" s="110">
        <f t="shared" si="91"/>
        <v>0</v>
      </c>
      <c r="R663" s="110">
        <f t="shared" si="92"/>
        <v>0</v>
      </c>
      <c r="S663" s="112">
        <v>0</v>
      </c>
    </row>
    <row r="664" spans="1:19">
      <c r="A664" s="79"/>
      <c r="B664" s="77" t="s">
        <v>235</v>
      </c>
      <c r="C664" s="76" t="s">
        <v>4</v>
      </c>
      <c r="D664" s="143">
        <v>1</v>
      </c>
      <c r="E664" s="77"/>
      <c r="F664" s="334"/>
      <c r="G664" s="112">
        <v>0</v>
      </c>
      <c r="H664" s="120">
        <v>0</v>
      </c>
      <c r="I664" s="120">
        <v>0</v>
      </c>
      <c r="J664" s="120">
        <v>0</v>
      </c>
      <c r="K664" s="110">
        <v>0</v>
      </c>
      <c r="L664" s="110"/>
      <c r="M664" s="110">
        <v>0</v>
      </c>
      <c r="N664" s="110"/>
      <c r="O664" s="110"/>
      <c r="P664" s="110">
        <f t="shared" si="90"/>
        <v>0</v>
      </c>
      <c r="Q664" s="110">
        <f t="shared" si="91"/>
        <v>0</v>
      </c>
      <c r="R664" s="110">
        <f t="shared" si="92"/>
        <v>0</v>
      </c>
      <c r="S664" s="112">
        <v>0</v>
      </c>
    </row>
    <row r="665" spans="1:19">
      <c r="A665" s="79"/>
      <c r="B665" s="77" t="s">
        <v>161</v>
      </c>
      <c r="C665" s="76" t="s">
        <v>4</v>
      </c>
      <c r="D665" s="143">
        <v>1</v>
      </c>
      <c r="E665" s="77"/>
      <c r="F665" s="334"/>
      <c r="G665" s="112">
        <v>0</v>
      </c>
      <c r="H665" s="120">
        <v>0</v>
      </c>
      <c r="I665" s="120">
        <v>0</v>
      </c>
      <c r="J665" s="120">
        <v>0</v>
      </c>
      <c r="K665" s="110">
        <v>0</v>
      </c>
      <c r="L665" s="110"/>
      <c r="M665" s="110">
        <v>0</v>
      </c>
      <c r="N665" s="110"/>
      <c r="O665" s="110"/>
      <c r="P665" s="110">
        <f t="shared" si="90"/>
        <v>0</v>
      </c>
      <c r="Q665" s="110">
        <f t="shared" si="91"/>
        <v>0</v>
      </c>
      <c r="R665" s="110">
        <f t="shared" si="92"/>
        <v>0</v>
      </c>
      <c r="S665" s="112">
        <v>0</v>
      </c>
    </row>
    <row r="666" spans="1:19">
      <c r="A666" s="79"/>
      <c r="B666" s="77" t="s">
        <v>236</v>
      </c>
      <c r="C666" s="76" t="s">
        <v>4</v>
      </c>
      <c r="D666" s="143">
        <v>1</v>
      </c>
      <c r="E666" s="77"/>
      <c r="F666" s="334"/>
      <c r="G666" s="112">
        <v>0</v>
      </c>
      <c r="H666" s="120">
        <v>0</v>
      </c>
      <c r="I666" s="120">
        <v>0</v>
      </c>
      <c r="J666" s="120">
        <v>0</v>
      </c>
      <c r="K666" s="110">
        <v>0</v>
      </c>
      <c r="L666" s="110"/>
      <c r="M666" s="110">
        <v>0</v>
      </c>
      <c r="N666" s="110"/>
      <c r="O666" s="110"/>
      <c r="P666" s="110">
        <f t="shared" si="90"/>
        <v>0</v>
      </c>
      <c r="Q666" s="110">
        <f t="shared" si="91"/>
        <v>0</v>
      </c>
      <c r="R666" s="110">
        <f t="shared" si="92"/>
        <v>0</v>
      </c>
      <c r="S666" s="112">
        <v>0</v>
      </c>
    </row>
    <row r="667" spans="1:19">
      <c r="A667" s="79"/>
      <c r="B667" s="77" t="s">
        <v>177</v>
      </c>
      <c r="C667" s="76" t="s">
        <v>17</v>
      </c>
      <c r="D667" s="143">
        <v>1</v>
      </c>
      <c r="E667" s="77"/>
      <c r="F667" s="334"/>
      <c r="G667" s="112">
        <v>0</v>
      </c>
      <c r="H667" s="120">
        <v>0</v>
      </c>
      <c r="I667" s="120">
        <v>0</v>
      </c>
      <c r="J667" s="120">
        <v>0</v>
      </c>
      <c r="K667" s="110">
        <v>0</v>
      </c>
      <c r="L667" s="110"/>
      <c r="M667" s="110">
        <v>0</v>
      </c>
      <c r="N667" s="110"/>
      <c r="O667" s="110"/>
      <c r="P667" s="110">
        <f t="shared" si="90"/>
        <v>0</v>
      </c>
      <c r="Q667" s="110">
        <f t="shared" si="91"/>
        <v>0</v>
      </c>
      <c r="R667" s="110">
        <f t="shared" si="92"/>
        <v>0</v>
      </c>
      <c r="S667" s="112">
        <v>0</v>
      </c>
    </row>
    <row r="668" spans="1:19">
      <c r="A668" s="79"/>
      <c r="B668" s="77" t="s">
        <v>163</v>
      </c>
      <c r="C668" s="76" t="s">
        <v>4</v>
      </c>
      <c r="D668" s="143">
        <v>1</v>
      </c>
      <c r="E668" s="77"/>
      <c r="F668" s="334"/>
      <c r="G668" s="112">
        <v>0</v>
      </c>
      <c r="H668" s="120">
        <v>0</v>
      </c>
      <c r="I668" s="120">
        <v>0</v>
      </c>
      <c r="J668" s="120">
        <v>0</v>
      </c>
      <c r="K668" s="110">
        <v>0</v>
      </c>
      <c r="L668" s="110"/>
      <c r="M668" s="110">
        <v>0</v>
      </c>
      <c r="N668" s="110"/>
      <c r="O668" s="110"/>
      <c r="P668" s="110">
        <f t="shared" si="90"/>
        <v>0</v>
      </c>
      <c r="Q668" s="110">
        <f t="shared" si="91"/>
        <v>0</v>
      </c>
      <c r="R668" s="110">
        <f t="shared" si="92"/>
        <v>0</v>
      </c>
      <c r="S668" s="112">
        <v>0</v>
      </c>
    </row>
    <row r="669" spans="1:19" ht="30">
      <c r="A669" s="79"/>
      <c r="B669" s="77" t="s">
        <v>249</v>
      </c>
      <c r="C669" s="76" t="s">
        <v>8</v>
      </c>
      <c r="D669" s="143">
        <v>1</v>
      </c>
      <c r="E669" s="77"/>
      <c r="F669" s="334"/>
      <c r="G669" s="112">
        <v>0</v>
      </c>
      <c r="H669" s="120">
        <v>0</v>
      </c>
      <c r="I669" s="120">
        <v>0</v>
      </c>
      <c r="J669" s="120">
        <v>0</v>
      </c>
      <c r="K669" s="110">
        <v>0</v>
      </c>
      <c r="L669" s="110"/>
      <c r="M669" s="110">
        <v>0</v>
      </c>
      <c r="N669" s="110"/>
      <c r="O669" s="110"/>
      <c r="P669" s="110">
        <f t="shared" si="90"/>
        <v>0</v>
      </c>
      <c r="Q669" s="110">
        <f t="shared" si="91"/>
        <v>0</v>
      </c>
      <c r="R669" s="110">
        <f t="shared" si="92"/>
        <v>0</v>
      </c>
      <c r="S669" s="112">
        <v>0</v>
      </c>
    </row>
    <row r="670" spans="1:19">
      <c r="A670" s="79"/>
      <c r="B670" s="77" t="s">
        <v>207</v>
      </c>
      <c r="C670" s="76" t="s">
        <v>8</v>
      </c>
      <c r="D670" s="143">
        <v>1</v>
      </c>
      <c r="E670" s="77"/>
      <c r="F670" s="334"/>
      <c r="G670" s="112">
        <v>0</v>
      </c>
      <c r="H670" s="120">
        <v>0</v>
      </c>
      <c r="I670" s="120">
        <v>0</v>
      </c>
      <c r="J670" s="120">
        <v>0</v>
      </c>
      <c r="K670" s="110">
        <v>0</v>
      </c>
      <c r="L670" s="110"/>
      <c r="M670" s="110">
        <v>0</v>
      </c>
      <c r="N670" s="110"/>
      <c r="O670" s="110"/>
      <c r="P670" s="110">
        <f t="shared" si="90"/>
        <v>0</v>
      </c>
      <c r="Q670" s="110">
        <f t="shared" si="91"/>
        <v>0</v>
      </c>
      <c r="R670" s="110">
        <f t="shared" si="92"/>
        <v>0</v>
      </c>
      <c r="S670" s="112">
        <v>0</v>
      </c>
    </row>
    <row r="671" spans="1:19" ht="45">
      <c r="A671" s="79"/>
      <c r="B671" s="77" t="s">
        <v>166</v>
      </c>
      <c r="C671" s="76" t="s">
        <v>17</v>
      </c>
      <c r="D671" s="143">
        <v>1</v>
      </c>
      <c r="E671" s="77"/>
      <c r="F671" s="334"/>
      <c r="G671" s="112">
        <v>0</v>
      </c>
      <c r="H671" s="120">
        <v>0</v>
      </c>
      <c r="I671" s="120">
        <v>0</v>
      </c>
      <c r="J671" s="120">
        <v>0</v>
      </c>
      <c r="K671" s="110">
        <v>0</v>
      </c>
      <c r="L671" s="110"/>
      <c r="M671" s="110">
        <v>0</v>
      </c>
      <c r="N671" s="110"/>
      <c r="O671" s="110"/>
      <c r="P671" s="110">
        <f t="shared" si="90"/>
        <v>0</v>
      </c>
      <c r="Q671" s="110">
        <f t="shared" si="91"/>
        <v>0</v>
      </c>
      <c r="R671" s="110">
        <f t="shared" si="92"/>
        <v>0</v>
      </c>
      <c r="S671" s="112">
        <v>0</v>
      </c>
    </row>
    <row r="672" spans="1:19" ht="60">
      <c r="A672" s="79">
        <v>13</v>
      </c>
      <c r="B672" s="77" t="s">
        <v>250</v>
      </c>
      <c r="C672" s="76" t="s">
        <v>6</v>
      </c>
      <c r="D672" s="143">
        <v>1</v>
      </c>
      <c r="E672" s="77"/>
      <c r="F672" s="334">
        <v>1</v>
      </c>
      <c r="G672" s="112" t="s">
        <v>833</v>
      </c>
      <c r="H672" s="120" t="s">
        <v>1076</v>
      </c>
      <c r="I672" s="120" t="s">
        <v>828</v>
      </c>
      <c r="J672" s="120" t="s">
        <v>829</v>
      </c>
      <c r="K672" s="110">
        <v>20829900</v>
      </c>
      <c r="L672" s="110"/>
      <c r="M672" s="110">
        <v>2821000</v>
      </c>
      <c r="N672" s="110"/>
      <c r="O672" s="110"/>
      <c r="P672" s="110">
        <f t="shared" si="90"/>
        <v>23650900</v>
      </c>
      <c r="Q672" s="110">
        <f t="shared" si="91"/>
        <v>23650900</v>
      </c>
      <c r="R672" s="110">
        <f t="shared" si="92"/>
        <v>23650900</v>
      </c>
      <c r="S672" s="112" t="s">
        <v>4094</v>
      </c>
    </row>
    <row r="673" spans="1:19" ht="45">
      <c r="A673" s="79"/>
      <c r="B673" s="77" t="s">
        <v>182</v>
      </c>
      <c r="C673" s="76" t="s">
        <v>4</v>
      </c>
      <c r="D673" s="143">
        <v>1</v>
      </c>
      <c r="E673" s="77"/>
      <c r="F673" s="334"/>
      <c r="G673" s="112">
        <v>0</v>
      </c>
      <c r="H673" s="120">
        <v>0</v>
      </c>
      <c r="I673" s="120">
        <v>0</v>
      </c>
      <c r="J673" s="120">
        <v>0</v>
      </c>
      <c r="K673" s="110">
        <v>0</v>
      </c>
      <c r="L673" s="110"/>
      <c r="M673" s="110">
        <v>0</v>
      </c>
      <c r="N673" s="110"/>
      <c r="O673" s="110"/>
      <c r="P673" s="110">
        <f t="shared" si="90"/>
        <v>0</v>
      </c>
      <c r="Q673" s="110">
        <f t="shared" si="91"/>
        <v>0</v>
      </c>
      <c r="R673" s="110">
        <f t="shared" si="92"/>
        <v>0</v>
      </c>
      <c r="S673" s="112" t="s">
        <v>150</v>
      </c>
    </row>
    <row r="674" spans="1:19">
      <c r="A674" s="79"/>
      <c r="B674" s="77" t="s">
        <v>151</v>
      </c>
      <c r="C674" s="76"/>
      <c r="D674" s="143"/>
      <c r="E674" s="87"/>
      <c r="F674" s="88"/>
      <c r="G674" s="112">
        <v>0</v>
      </c>
      <c r="H674" s="120">
        <v>0</v>
      </c>
      <c r="I674" s="120">
        <v>0</v>
      </c>
      <c r="J674" s="120">
        <v>0</v>
      </c>
      <c r="K674" s="110">
        <v>0</v>
      </c>
      <c r="L674" s="110"/>
      <c r="M674" s="110">
        <v>0</v>
      </c>
      <c r="N674" s="110"/>
      <c r="O674" s="110"/>
      <c r="P674" s="110">
        <f t="shared" si="90"/>
        <v>0</v>
      </c>
      <c r="Q674" s="110">
        <f t="shared" si="91"/>
        <v>0</v>
      </c>
      <c r="R674" s="110">
        <f t="shared" si="92"/>
        <v>0</v>
      </c>
      <c r="S674" s="112">
        <v>0</v>
      </c>
    </row>
    <row r="675" spans="1:19">
      <c r="A675" s="79"/>
      <c r="B675" s="77" t="s">
        <v>191</v>
      </c>
      <c r="C675" s="76" t="s">
        <v>4</v>
      </c>
      <c r="D675" s="143">
        <v>1</v>
      </c>
      <c r="E675" s="59"/>
      <c r="F675" s="334"/>
      <c r="G675" s="112">
        <v>0</v>
      </c>
      <c r="H675" s="120">
        <v>0</v>
      </c>
      <c r="I675" s="120">
        <v>0</v>
      </c>
      <c r="J675" s="120">
        <v>0</v>
      </c>
      <c r="K675" s="110">
        <v>0</v>
      </c>
      <c r="L675" s="110"/>
      <c r="M675" s="110">
        <v>0</v>
      </c>
      <c r="N675" s="110"/>
      <c r="O675" s="110"/>
      <c r="P675" s="110">
        <f t="shared" si="90"/>
        <v>0</v>
      </c>
      <c r="Q675" s="110">
        <f t="shared" si="91"/>
        <v>0</v>
      </c>
      <c r="R675" s="110">
        <f t="shared" si="92"/>
        <v>0</v>
      </c>
      <c r="S675" s="112">
        <v>0</v>
      </c>
    </row>
    <row r="676" spans="1:19">
      <c r="A676" s="79"/>
      <c r="B676" s="77" t="s">
        <v>192</v>
      </c>
      <c r="C676" s="76" t="s">
        <v>12</v>
      </c>
      <c r="D676" s="143">
        <v>3</v>
      </c>
      <c r="E676" s="73"/>
      <c r="F676" s="334"/>
      <c r="G676" s="112">
        <v>0</v>
      </c>
      <c r="H676" s="120">
        <v>0</v>
      </c>
      <c r="I676" s="120">
        <v>0</v>
      </c>
      <c r="J676" s="120">
        <v>0</v>
      </c>
      <c r="K676" s="110">
        <v>0</v>
      </c>
      <c r="L676" s="110"/>
      <c r="M676" s="110">
        <v>0</v>
      </c>
      <c r="N676" s="110"/>
      <c r="O676" s="110"/>
      <c r="P676" s="110">
        <f t="shared" si="90"/>
        <v>0</v>
      </c>
      <c r="Q676" s="110">
        <f t="shared" si="91"/>
        <v>0</v>
      </c>
      <c r="R676" s="110">
        <f t="shared" si="92"/>
        <v>0</v>
      </c>
      <c r="S676" s="112">
        <v>0</v>
      </c>
    </row>
    <row r="677" spans="1:19">
      <c r="A677" s="79"/>
      <c r="B677" s="77" t="s">
        <v>29</v>
      </c>
      <c r="C677" s="76" t="s">
        <v>4</v>
      </c>
      <c r="D677" s="143">
        <v>1</v>
      </c>
      <c r="E677" s="50"/>
      <c r="F677" s="334"/>
      <c r="G677" s="112">
        <v>0</v>
      </c>
      <c r="H677" s="120">
        <v>0</v>
      </c>
      <c r="I677" s="120">
        <v>0</v>
      </c>
      <c r="J677" s="120">
        <v>0</v>
      </c>
      <c r="K677" s="110">
        <v>0</v>
      </c>
      <c r="L677" s="110"/>
      <c r="M677" s="110">
        <v>0</v>
      </c>
      <c r="N677" s="110"/>
      <c r="O677" s="110"/>
      <c r="P677" s="110">
        <f t="shared" si="90"/>
        <v>0</v>
      </c>
      <c r="Q677" s="110">
        <f t="shared" si="91"/>
        <v>0</v>
      </c>
      <c r="R677" s="110">
        <f t="shared" si="92"/>
        <v>0</v>
      </c>
      <c r="S677" s="112">
        <v>0</v>
      </c>
    </row>
    <row r="678" spans="1:19">
      <c r="A678" s="79"/>
      <c r="B678" s="77" t="s">
        <v>30</v>
      </c>
      <c r="C678" s="76" t="s">
        <v>4</v>
      </c>
      <c r="D678" s="143">
        <v>1</v>
      </c>
      <c r="E678" s="57"/>
      <c r="F678" s="334"/>
      <c r="G678" s="112">
        <v>0</v>
      </c>
      <c r="H678" s="120">
        <v>0</v>
      </c>
      <c r="I678" s="120">
        <v>0</v>
      </c>
      <c r="J678" s="120">
        <v>0</v>
      </c>
      <c r="K678" s="110">
        <v>0</v>
      </c>
      <c r="L678" s="110"/>
      <c r="M678" s="110">
        <v>0</v>
      </c>
      <c r="N678" s="110"/>
      <c r="O678" s="110"/>
      <c r="P678" s="110">
        <f t="shared" si="90"/>
        <v>0</v>
      </c>
      <c r="Q678" s="110">
        <f t="shared" si="91"/>
        <v>0</v>
      </c>
      <c r="R678" s="110">
        <f t="shared" si="92"/>
        <v>0</v>
      </c>
      <c r="S678" s="112">
        <v>0</v>
      </c>
    </row>
    <row r="679" spans="1:19">
      <c r="A679" s="79"/>
      <c r="B679" s="77" t="s">
        <v>193</v>
      </c>
      <c r="C679" s="76" t="s">
        <v>4</v>
      </c>
      <c r="D679" s="143">
        <v>3</v>
      </c>
      <c r="E679" s="50"/>
      <c r="F679" s="334"/>
      <c r="G679" s="112">
        <v>0</v>
      </c>
      <c r="H679" s="120">
        <v>0</v>
      </c>
      <c r="I679" s="120">
        <v>0</v>
      </c>
      <c r="J679" s="120">
        <v>0</v>
      </c>
      <c r="K679" s="110">
        <v>0</v>
      </c>
      <c r="L679" s="110"/>
      <c r="M679" s="110">
        <v>0</v>
      </c>
      <c r="N679" s="110"/>
      <c r="O679" s="110"/>
      <c r="P679" s="110">
        <f t="shared" si="90"/>
        <v>0</v>
      </c>
      <c r="Q679" s="110">
        <f t="shared" si="91"/>
        <v>0</v>
      </c>
      <c r="R679" s="110">
        <f t="shared" si="92"/>
        <v>0</v>
      </c>
      <c r="S679" s="112">
        <v>0</v>
      </c>
    </row>
    <row r="680" spans="1:19">
      <c r="A680" s="79"/>
      <c r="B680" s="77" t="s">
        <v>14</v>
      </c>
      <c r="C680" s="76" t="s">
        <v>4</v>
      </c>
      <c r="D680" s="143">
        <v>3</v>
      </c>
      <c r="E680" s="50"/>
      <c r="F680" s="334"/>
      <c r="G680" s="112">
        <v>0</v>
      </c>
      <c r="H680" s="120">
        <v>0</v>
      </c>
      <c r="I680" s="120">
        <v>0</v>
      </c>
      <c r="J680" s="120">
        <v>0</v>
      </c>
      <c r="K680" s="110">
        <v>0</v>
      </c>
      <c r="L680" s="110"/>
      <c r="M680" s="110">
        <v>0</v>
      </c>
      <c r="N680" s="110"/>
      <c r="O680" s="110"/>
      <c r="P680" s="110">
        <f t="shared" si="90"/>
        <v>0</v>
      </c>
      <c r="Q680" s="110">
        <f t="shared" si="91"/>
        <v>0</v>
      </c>
      <c r="R680" s="110">
        <f t="shared" si="92"/>
        <v>0</v>
      </c>
      <c r="S680" s="112">
        <v>0</v>
      </c>
    </row>
    <row r="681" spans="1:19">
      <c r="A681" s="79"/>
      <c r="B681" s="77" t="s">
        <v>153</v>
      </c>
      <c r="C681" s="76" t="s">
        <v>4</v>
      </c>
      <c r="D681" s="143">
        <v>3</v>
      </c>
      <c r="E681" s="57"/>
      <c r="F681" s="334"/>
      <c r="G681" s="112">
        <v>0</v>
      </c>
      <c r="H681" s="120">
        <v>0</v>
      </c>
      <c r="I681" s="120">
        <v>0</v>
      </c>
      <c r="J681" s="120">
        <v>0</v>
      </c>
      <c r="K681" s="110">
        <v>0</v>
      </c>
      <c r="L681" s="110"/>
      <c r="M681" s="110">
        <v>0</v>
      </c>
      <c r="N681" s="110"/>
      <c r="O681" s="110"/>
      <c r="P681" s="110">
        <f t="shared" si="90"/>
        <v>0</v>
      </c>
      <c r="Q681" s="110">
        <f t="shared" si="91"/>
        <v>0</v>
      </c>
      <c r="R681" s="110">
        <f t="shared" si="92"/>
        <v>0</v>
      </c>
      <c r="S681" s="112">
        <v>0</v>
      </c>
    </row>
    <row r="682" spans="1:19">
      <c r="A682" s="79"/>
      <c r="B682" s="77" t="s">
        <v>154</v>
      </c>
      <c r="C682" s="76"/>
      <c r="D682" s="143"/>
      <c r="E682" s="50"/>
      <c r="F682" s="50"/>
      <c r="G682" s="112">
        <v>0</v>
      </c>
      <c r="H682" s="120">
        <v>0</v>
      </c>
      <c r="I682" s="120">
        <v>0</v>
      </c>
      <c r="J682" s="120">
        <v>0</v>
      </c>
      <c r="K682" s="110">
        <v>0</v>
      </c>
      <c r="L682" s="110"/>
      <c r="M682" s="110">
        <v>0</v>
      </c>
      <c r="N682" s="110"/>
      <c r="O682" s="110"/>
      <c r="P682" s="110">
        <f t="shared" si="90"/>
        <v>0</v>
      </c>
      <c r="Q682" s="110">
        <f t="shared" si="91"/>
        <v>0</v>
      </c>
      <c r="R682" s="110">
        <f t="shared" si="92"/>
        <v>0</v>
      </c>
      <c r="S682" s="112">
        <v>0</v>
      </c>
    </row>
    <row r="683" spans="1:19">
      <c r="A683" s="79"/>
      <c r="B683" s="77" t="s">
        <v>251</v>
      </c>
      <c r="C683" s="76" t="s">
        <v>4</v>
      </c>
      <c r="D683" s="143">
        <v>2</v>
      </c>
      <c r="E683" s="74"/>
      <c r="F683" s="334"/>
      <c r="G683" s="112">
        <v>0</v>
      </c>
      <c r="H683" s="120">
        <v>0</v>
      </c>
      <c r="I683" s="120">
        <v>0</v>
      </c>
      <c r="J683" s="120">
        <v>0</v>
      </c>
      <c r="K683" s="110">
        <v>0</v>
      </c>
      <c r="L683" s="110"/>
      <c r="M683" s="110">
        <v>0</v>
      </c>
      <c r="N683" s="110"/>
      <c r="O683" s="110"/>
      <c r="P683" s="110">
        <f t="shared" si="90"/>
        <v>0</v>
      </c>
      <c r="Q683" s="110">
        <f t="shared" si="91"/>
        <v>0</v>
      </c>
      <c r="R683" s="110">
        <f t="shared" si="92"/>
        <v>0</v>
      </c>
      <c r="S683" s="112">
        <v>0</v>
      </c>
    </row>
    <row r="684" spans="1:19">
      <c r="A684" s="79"/>
      <c r="B684" s="77" t="s">
        <v>158</v>
      </c>
      <c r="C684" s="76" t="s">
        <v>4</v>
      </c>
      <c r="D684" s="143">
        <v>1</v>
      </c>
      <c r="E684" s="74"/>
      <c r="F684" s="334"/>
      <c r="G684" s="112">
        <v>0</v>
      </c>
      <c r="H684" s="120">
        <v>0</v>
      </c>
      <c r="I684" s="120">
        <v>0</v>
      </c>
      <c r="J684" s="120">
        <v>0</v>
      </c>
      <c r="K684" s="110">
        <v>0</v>
      </c>
      <c r="L684" s="110"/>
      <c r="M684" s="110">
        <v>0</v>
      </c>
      <c r="N684" s="110"/>
      <c r="O684" s="110"/>
      <c r="P684" s="110">
        <f t="shared" si="90"/>
        <v>0</v>
      </c>
      <c r="Q684" s="110">
        <f t="shared" si="91"/>
        <v>0</v>
      </c>
      <c r="R684" s="110">
        <f t="shared" si="92"/>
        <v>0</v>
      </c>
      <c r="S684" s="112">
        <v>0</v>
      </c>
    </row>
    <row r="685" spans="1:19">
      <c r="A685" s="79"/>
      <c r="B685" s="77" t="s">
        <v>252</v>
      </c>
      <c r="C685" s="76" t="s">
        <v>8</v>
      </c>
      <c r="D685" s="143">
        <v>2</v>
      </c>
      <c r="E685" s="74"/>
      <c r="F685" s="334"/>
      <c r="G685" s="112">
        <v>0</v>
      </c>
      <c r="H685" s="120">
        <v>0</v>
      </c>
      <c r="I685" s="120">
        <v>0</v>
      </c>
      <c r="J685" s="120">
        <v>0</v>
      </c>
      <c r="K685" s="110">
        <v>0</v>
      </c>
      <c r="L685" s="110"/>
      <c r="M685" s="110">
        <v>0</v>
      </c>
      <c r="N685" s="110"/>
      <c r="O685" s="110"/>
      <c r="P685" s="110">
        <f t="shared" si="90"/>
        <v>0</v>
      </c>
      <c r="Q685" s="110">
        <f t="shared" si="91"/>
        <v>0</v>
      </c>
      <c r="R685" s="110">
        <f t="shared" si="92"/>
        <v>0</v>
      </c>
      <c r="S685" s="112">
        <v>0</v>
      </c>
    </row>
    <row r="686" spans="1:19">
      <c r="A686" s="79"/>
      <c r="B686" s="77" t="s">
        <v>172</v>
      </c>
      <c r="C686" s="76" t="s">
        <v>4</v>
      </c>
      <c r="D686" s="143">
        <v>2</v>
      </c>
      <c r="E686" s="74"/>
      <c r="F686" s="334"/>
      <c r="G686" s="112">
        <v>0</v>
      </c>
      <c r="H686" s="120">
        <v>0</v>
      </c>
      <c r="I686" s="120">
        <v>0</v>
      </c>
      <c r="J686" s="120">
        <v>0</v>
      </c>
      <c r="K686" s="110">
        <v>0</v>
      </c>
      <c r="L686" s="110"/>
      <c r="M686" s="110">
        <v>0</v>
      </c>
      <c r="N686" s="110"/>
      <c r="O686" s="110"/>
      <c r="P686" s="110">
        <f t="shared" si="90"/>
        <v>0</v>
      </c>
      <c r="Q686" s="110">
        <f t="shared" si="91"/>
        <v>0</v>
      </c>
      <c r="R686" s="110">
        <f t="shared" si="92"/>
        <v>0</v>
      </c>
      <c r="S686" s="112">
        <v>0</v>
      </c>
    </row>
    <row r="687" spans="1:19">
      <c r="A687" s="79"/>
      <c r="B687" s="77" t="s">
        <v>173</v>
      </c>
      <c r="C687" s="76" t="s">
        <v>4</v>
      </c>
      <c r="D687" s="143">
        <v>2</v>
      </c>
      <c r="E687" s="74"/>
      <c r="F687" s="334"/>
      <c r="G687" s="112">
        <v>0</v>
      </c>
      <c r="H687" s="120">
        <v>0</v>
      </c>
      <c r="I687" s="120">
        <v>0</v>
      </c>
      <c r="J687" s="120">
        <v>0</v>
      </c>
      <c r="K687" s="110">
        <v>0</v>
      </c>
      <c r="L687" s="110"/>
      <c r="M687" s="110">
        <v>0</v>
      </c>
      <c r="N687" s="110"/>
      <c r="O687" s="110"/>
      <c r="P687" s="110">
        <f t="shared" si="90"/>
        <v>0</v>
      </c>
      <c r="Q687" s="110">
        <f t="shared" si="91"/>
        <v>0</v>
      </c>
      <c r="R687" s="110">
        <f t="shared" si="92"/>
        <v>0</v>
      </c>
      <c r="S687" s="112">
        <v>0</v>
      </c>
    </row>
    <row r="688" spans="1:19">
      <c r="A688" s="79"/>
      <c r="B688" s="77" t="s">
        <v>253</v>
      </c>
      <c r="C688" s="76" t="s">
        <v>4</v>
      </c>
      <c r="D688" s="143">
        <v>2</v>
      </c>
      <c r="E688" s="74"/>
      <c r="F688" s="334"/>
      <c r="G688" s="112">
        <v>0</v>
      </c>
      <c r="H688" s="120">
        <v>0</v>
      </c>
      <c r="I688" s="120">
        <v>0</v>
      </c>
      <c r="J688" s="120">
        <v>0</v>
      </c>
      <c r="K688" s="110">
        <v>0</v>
      </c>
      <c r="L688" s="110"/>
      <c r="M688" s="110">
        <v>0</v>
      </c>
      <c r="N688" s="110"/>
      <c r="O688" s="110"/>
      <c r="P688" s="110">
        <f t="shared" si="90"/>
        <v>0</v>
      </c>
      <c r="Q688" s="110">
        <f t="shared" si="91"/>
        <v>0</v>
      </c>
      <c r="R688" s="110">
        <f t="shared" si="92"/>
        <v>0</v>
      </c>
      <c r="S688" s="112">
        <v>0</v>
      </c>
    </row>
    <row r="689" spans="1:19">
      <c r="A689" s="79"/>
      <c r="B689" s="77" t="s">
        <v>175</v>
      </c>
      <c r="C689" s="76" t="s">
        <v>4</v>
      </c>
      <c r="D689" s="143">
        <v>2</v>
      </c>
      <c r="E689" s="73"/>
      <c r="F689" s="334"/>
      <c r="G689" s="112">
        <v>0</v>
      </c>
      <c r="H689" s="120">
        <v>0</v>
      </c>
      <c r="I689" s="120">
        <v>0</v>
      </c>
      <c r="J689" s="120">
        <v>0</v>
      </c>
      <c r="K689" s="110">
        <v>0</v>
      </c>
      <c r="L689" s="110"/>
      <c r="M689" s="110">
        <v>0</v>
      </c>
      <c r="N689" s="110"/>
      <c r="O689" s="110"/>
      <c r="P689" s="110">
        <f t="shared" ref="P689:P752" si="93">+K689+L689+M689+N689+O689</f>
        <v>0</v>
      </c>
      <c r="Q689" s="110">
        <f t="shared" ref="Q689:Q752" si="94">+P689*D689</f>
        <v>0</v>
      </c>
      <c r="R689" s="110">
        <f t="shared" ref="R689:R752" si="95">P689*F689</f>
        <v>0</v>
      </c>
      <c r="S689" s="112">
        <v>0</v>
      </c>
    </row>
    <row r="690" spans="1:19">
      <c r="A690" s="79"/>
      <c r="B690" s="77" t="s">
        <v>176</v>
      </c>
      <c r="C690" s="76" t="s">
        <v>4</v>
      </c>
      <c r="D690" s="143">
        <v>4</v>
      </c>
      <c r="E690" s="73"/>
      <c r="F690" s="334"/>
      <c r="G690" s="112">
        <v>0</v>
      </c>
      <c r="H690" s="120">
        <v>0</v>
      </c>
      <c r="I690" s="120">
        <v>0</v>
      </c>
      <c r="J690" s="120">
        <v>0</v>
      </c>
      <c r="K690" s="110">
        <v>0</v>
      </c>
      <c r="L690" s="110"/>
      <c r="M690" s="110">
        <v>0</v>
      </c>
      <c r="N690" s="110"/>
      <c r="O690" s="110"/>
      <c r="P690" s="110">
        <f t="shared" si="93"/>
        <v>0</v>
      </c>
      <c r="Q690" s="110">
        <f t="shared" si="94"/>
        <v>0</v>
      </c>
      <c r="R690" s="110">
        <f t="shared" si="95"/>
        <v>0</v>
      </c>
      <c r="S690" s="112">
        <v>0</v>
      </c>
    </row>
    <row r="691" spans="1:19">
      <c r="A691" s="79"/>
      <c r="B691" s="77" t="s">
        <v>177</v>
      </c>
      <c r="C691" s="76" t="s">
        <v>17</v>
      </c>
      <c r="D691" s="143">
        <v>1</v>
      </c>
      <c r="E691" s="74"/>
      <c r="F691" s="334"/>
      <c r="G691" s="112">
        <v>0</v>
      </c>
      <c r="H691" s="120">
        <v>0</v>
      </c>
      <c r="I691" s="120">
        <v>0</v>
      </c>
      <c r="J691" s="120">
        <v>0</v>
      </c>
      <c r="K691" s="110">
        <v>0</v>
      </c>
      <c r="L691" s="110"/>
      <c r="M691" s="110">
        <v>0</v>
      </c>
      <c r="N691" s="110"/>
      <c r="O691" s="110"/>
      <c r="P691" s="110">
        <f t="shared" si="93"/>
        <v>0</v>
      </c>
      <c r="Q691" s="110">
        <f t="shared" si="94"/>
        <v>0</v>
      </c>
      <c r="R691" s="110">
        <f t="shared" si="95"/>
        <v>0</v>
      </c>
      <c r="S691" s="112">
        <v>0</v>
      </c>
    </row>
    <row r="692" spans="1:19">
      <c r="A692" s="79"/>
      <c r="B692" s="77" t="s">
        <v>254</v>
      </c>
      <c r="C692" s="76" t="s">
        <v>4</v>
      </c>
      <c r="D692" s="143">
        <v>1</v>
      </c>
      <c r="E692" s="74"/>
      <c r="F692" s="334"/>
      <c r="G692" s="112">
        <v>0</v>
      </c>
      <c r="H692" s="120">
        <v>0</v>
      </c>
      <c r="I692" s="120">
        <v>0</v>
      </c>
      <c r="J692" s="120">
        <v>0</v>
      </c>
      <c r="K692" s="110">
        <v>0</v>
      </c>
      <c r="L692" s="110"/>
      <c r="M692" s="110">
        <v>0</v>
      </c>
      <c r="N692" s="110"/>
      <c r="O692" s="110"/>
      <c r="P692" s="110">
        <f t="shared" si="93"/>
        <v>0</v>
      </c>
      <c r="Q692" s="110">
        <f t="shared" si="94"/>
        <v>0</v>
      </c>
      <c r="R692" s="110">
        <f t="shared" si="95"/>
        <v>0</v>
      </c>
      <c r="S692" s="112">
        <v>0</v>
      </c>
    </row>
    <row r="693" spans="1:19">
      <c r="A693" s="79"/>
      <c r="B693" s="77" t="s">
        <v>163</v>
      </c>
      <c r="C693" s="76" t="s">
        <v>4</v>
      </c>
      <c r="D693" s="143">
        <v>1</v>
      </c>
      <c r="E693" s="74"/>
      <c r="F693" s="334"/>
      <c r="G693" s="112">
        <v>0</v>
      </c>
      <c r="H693" s="120">
        <v>0</v>
      </c>
      <c r="I693" s="120">
        <v>0</v>
      </c>
      <c r="J693" s="120">
        <v>0</v>
      </c>
      <c r="K693" s="110">
        <v>0</v>
      </c>
      <c r="L693" s="110"/>
      <c r="M693" s="110">
        <v>0</v>
      </c>
      <c r="N693" s="110"/>
      <c r="O693" s="110"/>
      <c r="P693" s="110">
        <f t="shared" si="93"/>
        <v>0</v>
      </c>
      <c r="Q693" s="110">
        <f t="shared" si="94"/>
        <v>0</v>
      </c>
      <c r="R693" s="110">
        <f t="shared" si="95"/>
        <v>0</v>
      </c>
      <c r="S693" s="112">
        <v>0</v>
      </c>
    </row>
    <row r="694" spans="1:19">
      <c r="A694" s="79"/>
      <c r="B694" s="77" t="s">
        <v>207</v>
      </c>
      <c r="C694" s="76" t="s">
        <v>8</v>
      </c>
      <c r="D694" s="143">
        <v>1</v>
      </c>
      <c r="E694" s="75"/>
      <c r="F694" s="334"/>
      <c r="G694" s="112">
        <v>0</v>
      </c>
      <c r="H694" s="120">
        <v>0</v>
      </c>
      <c r="I694" s="120">
        <v>0</v>
      </c>
      <c r="J694" s="120">
        <v>0</v>
      </c>
      <c r="K694" s="110">
        <v>0</v>
      </c>
      <c r="L694" s="110"/>
      <c r="M694" s="110">
        <v>0</v>
      </c>
      <c r="N694" s="110"/>
      <c r="O694" s="110"/>
      <c r="P694" s="110">
        <f t="shared" si="93"/>
        <v>0</v>
      </c>
      <c r="Q694" s="110">
        <f t="shared" si="94"/>
        <v>0</v>
      </c>
      <c r="R694" s="110">
        <f t="shared" si="95"/>
        <v>0</v>
      </c>
      <c r="S694" s="112">
        <v>0</v>
      </c>
    </row>
    <row r="695" spans="1:19" ht="45">
      <c r="A695" s="79"/>
      <c r="B695" s="77" t="s">
        <v>166</v>
      </c>
      <c r="C695" s="76" t="s">
        <v>17</v>
      </c>
      <c r="D695" s="143">
        <v>1</v>
      </c>
      <c r="E695" s="73"/>
      <c r="F695" s="334"/>
      <c r="G695" s="112">
        <v>0</v>
      </c>
      <c r="H695" s="120">
        <v>0</v>
      </c>
      <c r="I695" s="120">
        <v>0</v>
      </c>
      <c r="J695" s="120">
        <v>0</v>
      </c>
      <c r="K695" s="110">
        <v>0</v>
      </c>
      <c r="L695" s="110"/>
      <c r="M695" s="110">
        <v>0</v>
      </c>
      <c r="N695" s="110"/>
      <c r="O695" s="110"/>
      <c r="P695" s="110">
        <f t="shared" si="93"/>
        <v>0</v>
      </c>
      <c r="Q695" s="110">
        <f t="shared" si="94"/>
        <v>0</v>
      </c>
      <c r="R695" s="110">
        <f t="shared" si="95"/>
        <v>0</v>
      </c>
      <c r="S695" s="112">
        <v>0</v>
      </c>
    </row>
    <row r="696" spans="1:19" ht="60">
      <c r="A696" s="79">
        <v>14</v>
      </c>
      <c r="B696" s="77" t="s">
        <v>255</v>
      </c>
      <c r="C696" s="76" t="s">
        <v>6</v>
      </c>
      <c r="D696" s="143">
        <v>1</v>
      </c>
      <c r="E696" s="50"/>
      <c r="F696" s="334">
        <v>1</v>
      </c>
      <c r="G696" s="112" t="s">
        <v>255</v>
      </c>
      <c r="H696" s="120" t="s">
        <v>1076</v>
      </c>
      <c r="I696" s="120" t="s">
        <v>828</v>
      </c>
      <c r="J696" s="120" t="s">
        <v>829</v>
      </c>
      <c r="K696" s="110">
        <v>29163500</v>
      </c>
      <c r="L696" s="110"/>
      <c r="M696" s="110">
        <v>3123300</v>
      </c>
      <c r="N696" s="110"/>
      <c r="O696" s="110"/>
      <c r="P696" s="110">
        <f t="shared" si="93"/>
        <v>32286800</v>
      </c>
      <c r="Q696" s="110">
        <f t="shared" si="94"/>
        <v>32286800</v>
      </c>
      <c r="R696" s="110">
        <f t="shared" si="95"/>
        <v>32286800</v>
      </c>
      <c r="S696" s="112" t="s">
        <v>4094</v>
      </c>
    </row>
    <row r="697" spans="1:19" ht="45">
      <c r="A697" s="79"/>
      <c r="B697" s="77" t="s">
        <v>182</v>
      </c>
      <c r="C697" s="76" t="s">
        <v>4</v>
      </c>
      <c r="D697" s="143">
        <v>1</v>
      </c>
      <c r="E697" s="57"/>
      <c r="F697" s="334"/>
      <c r="G697" s="112">
        <v>0</v>
      </c>
      <c r="H697" s="120">
        <v>0</v>
      </c>
      <c r="I697" s="120">
        <v>0</v>
      </c>
      <c r="J697" s="120">
        <v>0</v>
      </c>
      <c r="K697" s="110">
        <v>0</v>
      </c>
      <c r="L697" s="110"/>
      <c r="M697" s="110">
        <v>0</v>
      </c>
      <c r="N697" s="110"/>
      <c r="O697" s="110"/>
      <c r="P697" s="110">
        <f t="shared" si="93"/>
        <v>0</v>
      </c>
      <c r="Q697" s="110">
        <f t="shared" si="94"/>
        <v>0</v>
      </c>
      <c r="R697" s="110">
        <f t="shared" si="95"/>
        <v>0</v>
      </c>
      <c r="S697" s="112" t="s">
        <v>150</v>
      </c>
    </row>
    <row r="698" spans="1:19">
      <c r="A698" s="79"/>
      <c r="B698" s="77" t="s">
        <v>151</v>
      </c>
      <c r="C698" s="76"/>
      <c r="D698" s="143"/>
      <c r="E698" s="50"/>
      <c r="F698" s="50"/>
      <c r="G698" s="112">
        <v>0</v>
      </c>
      <c r="H698" s="120">
        <v>0</v>
      </c>
      <c r="I698" s="120">
        <v>0</v>
      </c>
      <c r="J698" s="120">
        <v>0</v>
      </c>
      <c r="K698" s="110">
        <v>0</v>
      </c>
      <c r="L698" s="110"/>
      <c r="M698" s="110">
        <v>0</v>
      </c>
      <c r="N698" s="110"/>
      <c r="O698" s="110"/>
      <c r="P698" s="110">
        <f t="shared" si="93"/>
        <v>0</v>
      </c>
      <c r="Q698" s="110">
        <f t="shared" si="94"/>
        <v>0</v>
      </c>
      <c r="R698" s="110">
        <f t="shared" si="95"/>
        <v>0</v>
      </c>
      <c r="S698" s="112">
        <v>0</v>
      </c>
    </row>
    <row r="699" spans="1:19">
      <c r="A699" s="79"/>
      <c r="B699" s="77" t="s">
        <v>256</v>
      </c>
      <c r="C699" s="76" t="s">
        <v>4</v>
      </c>
      <c r="D699" s="143">
        <v>1</v>
      </c>
      <c r="E699" s="50"/>
      <c r="F699" s="334"/>
      <c r="G699" s="112">
        <v>0</v>
      </c>
      <c r="H699" s="120">
        <v>0</v>
      </c>
      <c r="I699" s="120">
        <v>0</v>
      </c>
      <c r="J699" s="120">
        <v>0</v>
      </c>
      <c r="K699" s="110">
        <v>0</v>
      </c>
      <c r="L699" s="110"/>
      <c r="M699" s="110">
        <v>0</v>
      </c>
      <c r="N699" s="110"/>
      <c r="O699" s="110"/>
      <c r="P699" s="110">
        <f t="shared" si="93"/>
        <v>0</v>
      </c>
      <c r="Q699" s="110">
        <f t="shared" si="94"/>
        <v>0</v>
      </c>
      <c r="R699" s="110">
        <f t="shared" si="95"/>
        <v>0</v>
      </c>
      <c r="S699" s="112">
        <v>0</v>
      </c>
    </row>
    <row r="700" spans="1:19">
      <c r="A700" s="79"/>
      <c r="B700" s="77" t="s">
        <v>192</v>
      </c>
      <c r="C700" s="76" t="s">
        <v>12</v>
      </c>
      <c r="D700" s="143">
        <v>3</v>
      </c>
      <c r="E700" s="50"/>
      <c r="F700" s="334"/>
      <c r="G700" s="112">
        <v>0</v>
      </c>
      <c r="H700" s="120">
        <v>0</v>
      </c>
      <c r="I700" s="120">
        <v>0</v>
      </c>
      <c r="J700" s="120">
        <v>0</v>
      </c>
      <c r="K700" s="110">
        <v>0</v>
      </c>
      <c r="L700" s="110"/>
      <c r="M700" s="110">
        <v>0</v>
      </c>
      <c r="N700" s="110"/>
      <c r="O700" s="110"/>
      <c r="P700" s="110">
        <f t="shared" si="93"/>
        <v>0</v>
      </c>
      <c r="Q700" s="110">
        <f t="shared" si="94"/>
        <v>0</v>
      </c>
      <c r="R700" s="110">
        <f t="shared" si="95"/>
        <v>0</v>
      </c>
      <c r="S700" s="112">
        <v>0</v>
      </c>
    </row>
    <row r="701" spans="1:19">
      <c r="A701" s="79"/>
      <c r="B701" s="77" t="s">
        <v>29</v>
      </c>
      <c r="C701" s="76" t="s">
        <v>4</v>
      </c>
      <c r="D701" s="143">
        <v>1</v>
      </c>
      <c r="E701" s="50"/>
      <c r="F701" s="334"/>
      <c r="G701" s="112">
        <v>0</v>
      </c>
      <c r="H701" s="120">
        <v>0</v>
      </c>
      <c r="I701" s="120">
        <v>0</v>
      </c>
      <c r="J701" s="120">
        <v>0</v>
      </c>
      <c r="K701" s="110">
        <v>0</v>
      </c>
      <c r="L701" s="110"/>
      <c r="M701" s="110">
        <v>0</v>
      </c>
      <c r="N701" s="110"/>
      <c r="O701" s="110"/>
      <c r="P701" s="110">
        <f t="shared" si="93"/>
        <v>0</v>
      </c>
      <c r="Q701" s="110">
        <f t="shared" si="94"/>
        <v>0</v>
      </c>
      <c r="R701" s="110">
        <f t="shared" si="95"/>
        <v>0</v>
      </c>
      <c r="S701" s="112">
        <v>0</v>
      </c>
    </row>
    <row r="702" spans="1:19">
      <c r="A702" s="79"/>
      <c r="B702" s="77" t="s">
        <v>30</v>
      </c>
      <c r="C702" s="76" t="s">
        <v>4</v>
      </c>
      <c r="D702" s="143">
        <v>1</v>
      </c>
      <c r="E702" s="74"/>
      <c r="F702" s="334"/>
      <c r="G702" s="112">
        <v>0</v>
      </c>
      <c r="H702" s="120">
        <v>0</v>
      </c>
      <c r="I702" s="120">
        <v>0</v>
      </c>
      <c r="J702" s="120">
        <v>0</v>
      </c>
      <c r="K702" s="110">
        <v>0</v>
      </c>
      <c r="L702" s="110"/>
      <c r="M702" s="110">
        <v>0</v>
      </c>
      <c r="N702" s="110"/>
      <c r="O702" s="110"/>
      <c r="P702" s="110">
        <f t="shared" si="93"/>
        <v>0</v>
      </c>
      <c r="Q702" s="110">
        <f t="shared" si="94"/>
        <v>0</v>
      </c>
      <c r="R702" s="110">
        <f t="shared" si="95"/>
        <v>0</v>
      </c>
      <c r="S702" s="112">
        <v>0</v>
      </c>
    </row>
    <row r="703" spans="1:19">
      <c r="A703" s="79"/>
      <c r="B703" s="77" t="s">
        <v>193</v>
      </c>
      <c r="C703" s="76" t="s">
        <v>4</v>
      </c>
      <c r="D703" s="143">
        <v>3</v>
      </c>
      <c r="E703" s="74"/>
      <c r="F703" s="334"/>
      <c r="G703" s="112">
        <v>0</v>
      </c>
      <c r="H703" s="120">
        <v>0</v>
      </c>
      <c r="I703" s="120">
        <v>0</v>
      </c>
      <c r="J703" s="120">
        <v>0</v>
      </c>
      <c r="K703" s="110">
        <v>0</v>
      </c>
      <c r="L703" s="110"/>
      <c r="M703" s="110">
        <v>0</v>
      </c>
      <c r="N703" s="110"/>
      <c r="O703" s="110"/>
      <c r="P703" s="110">
        <f t="shared" si="93"/>
        <v>0</v>
      </c>
      <c r="Q703" s="110">
        <f t="shared" si="94"/>
        <v>0</v>
      </c>
      <c r="R703" s="110">
        <f t="shared" si="95"/>
        <v>0</v>
      </c>
      <c r="S703" s="112">
        <v>0</v>
      </c>
    </row>
    <row r="704" spans="1:19">
      <c r="A704" s="79"/>
      <c r="B704" s="77" t="s">
        <v>14</v>
      </c>
      <c r="C704" s="76" t="s">
        <v>4</v>
      </c>
      <c r="D704" s="143">
        <v>3</v>
      </c>
      <c r="E704" s="50"/>
      <c r="F704" s="334"/>
      <c r="G704" s="112">
        <v>0</v>
      </c>
      <c r="H704" s="120">
        <v>0</v>
      </c>
      <c r="I704" s="120">
        <v>0</v>
      </c>
      <c r="J704" s="120">
        <v>0</v>
      </c>
      <c r="K704" s="110">
        <v>0</v>
      </c>
      <c r="L704" s="110"/>
      <c r="M704" s="110">
        <v>0</v>
      </c>
      <c r="N704" s="110"/>
      <c r="O704" s="110"/>
      <c r="P704" s="110">
        <f t="shared" si="93"/>
        <v>0</v>
      </c>
      <c r="Q704" s="110">
        <f t="shared" si="94"/>
        <v>0</v>
      </c>
      <c r="R704" s="110">
        <f t="shared" si="95"/>
        <v>0</v>
      </c>
      <c r="S704" s="112">
        <v>0</v>
      </c>
    </row>
    <row r="705" spans="1:19">
      <c r="A705" s="79"/>
      <c r="B705" s="77" t="s">
        <v>153</v>
      </c>
      <c r="C705" s="76" t="s">
        <v>4</v>
      </c>
      <c r="D705" s="143">
        <v>3</v>
      </c>
      <c r="E705" s="437"/>
      <c r="F705" s="334"/>
      <c r="G705" s="112">
        <v>0</v>
      </c>
      <c r="H705" s="120">
        <v>0</v>
      </c>
      <c r="I705" s="120">
        <v>0</v>
      </c>
      <c r="J705" s="120">
        <v>0</v>
      </c>
      <c r="K705" s="110">
        <v>0</v>
      </c>
      <c r="L705" s="110"/>
      <c r="M705" s="110">
        <v>0</v>
      </c>
      <c r="N705" s="110"/>
      <c r="O705" s="110"/>
      <c r="P705" s="110">
        <f t="shared" si="93"/>
        <v>0</v>
      </c>
      <c r="Q705" s="110">
        <f t="shared" si="94"/>
        <v>0</v>
      </c>
      <c r="R705" s="110">
        <f t="shared" si="95"/>
        <v>0</v>
      </c>
      <c r="S705" s="112">
        <v>0</v>
      </c>
    </row>
    <row r="706" spans="1:19">
      <c r="A706" s="79"/>
      <c r="B706" s="77" t="s">
        <v>154</v>
      </c>
      <c r="C706" s="76"/>
      <c r="D706" s="143"/>
      <c r="E706" s="75"/>
      <c r="F706" s="75"/>
      <c r="G706" s="112">
        <v>0</v>
      </c>
      <c r="H706" s="120">
        <v>0</v>
      </c>
      <c r="I706" s="120">
        <v>0</v>
      </c>
      <c r="J706" s="120">
        <v>0</v>
      </c>
      <c r="K706" s="110">
        <v>0</v>
      </c>
      <c r="L706" s="110"/>
      <c r="M706" s="110">
        <v>0</v>
      </c>
      <c r="N706" s="110"/>
      <c r="O706" s="110"/>
      <c r="P706" s="110">
        <f t="shared" si="93"/>
        <v>0</v>
      </c>
      <c r="Q706" s="110">
        <f t="shared" si="94"/>
        <v>0</v>
      </c>
      <c r="R706" s="110">
        <f t="shared" si="95"/>
        <v>0</v>
      </c>
      <c r="S706" s="112">
        <v>0</v>
      </c>
    </row>
    <row r="707" spans="1:19">
      <c r="A707" s="79"/>
      <c r="B707" s="77" t="s">
        <v>251</v>
      </c>
      <c r="C707" s="76" t="s">
        <v>4</v>
      </c>
      <c r="D707" s="143">
        <v>4</v>
      </c>
      <c r="E707" s="73"/>
      <c r="F707" s="334"/>
      <c r="G707" s="112">
        <v>0</v>
      </c>
      <c r="H707" s="120">
        <v>0</v>
      </c>
      <c r="I707" s="120">
        <v>0</v>
      </c>
      <c r="J707" s="120">
        <v>0</v>
      </c>
      <c r="K707" s="110">
        <v>0</v>
      </c>
      <c r="L707" s="110"/>
      <c r="M707" s="110">
        <v>0</v>
      </c>
      <c r="N707" s="110"/>
      <c r="O707" s="110"/>
      <c r="P707" s="110">
        <f t="shared" si="93"/>
        <v>0</v>
      </c>
      <c r="Q707" s="110">
        <f t="shared" si="94"/>
        <v>0</v>
      </c>
      <c r="R707" s="110">
        <f t="shared" si="95"/>
        <v>0</v>
      </c>
      <c r="S707" s="112">
        <v>0</v>
      </c>
    </row>
    <row r="708" spans="1:19">
      <c r="A708" s="79"/>
      <c r="B708" s="77" t="s">
        <v>158</v>
      </c>
      <c r="C708" s="76" t="s">
        <v>4</v>
      </c>
      <c r="D708" s="143">
        <v>1</v>
      </c>
      <c r="E708" s="50"/>
      <c r="F708" s="334"/>
      <c r="G708" s="112">
        <v>0</v>
      </c>
      <c r="H708" s="120">
        <v>0</v>
      </c>
      <c r="I708" s="120">
        <v>0</v>
      </c>
      <c r="J708" s="120">
        <v>0</v>
      </c>
      <c r="K708" s="110">
        <v>0</v>
      </c>
      <c r="L708" s="110"/>
      <c r="M708" s="110">
        <v>0</v>
      </c>
      <c r="N708" s="110"/>
      <c r="O708" s="110"/>
      <c r="P708" s="110">
        <f t="shared" si="93"/>
        <v>0</v>
      </c>
      <c r="Q708" s="110">
        <f t="shared" si="94"/>
        <v>0</v>
      </c>
      <c r="R708" s="110">
        <f t="shared" si="95"/>
        <v>0</v>
      </c>
      <c r="S708" s="112">
        <v>0</v>
      </c>
    </row>
    <row r="709" spans="1:19">
      <c r="A709" s="79"/>
      <c r="B709" s="77" t="s">
        <v>252</v>
      </c>
      <c r="C709" s="76" t="s">
        <v>8</v>
      </c>
      <c r="D709" s="143">
        <v>4</v>
      </c>
      <c r="E709" s="57"/>
      <c r="F709" s="334"/>
      <c r="G709" s="112">
        <v>0</v>
      </c>
      <c r="H709" s="120">
        <v>0</v>
      </c>
      <c r="I709" s="120">
        <v>0</v>
      </c>
      <c r="J709" s="120">
        <v>0</v>
      </c>
      <c r="K709" s="110">
        <v>0</v>
      </c>
      <c r="L709" s="110"/>
      <c r="M709" s="110">
        <v>0</v>
      </c>
      <c r="N709" s="110"/>
      <c r="O709" s="110"/>
      <c r="P709" s="110">
        <f t="shared" si="93"/>
        <v>0</v>
      </c>
      <c r="Q709" s="110">
        <f t="shared" si="94"/>
        <v>0</v>
      </c>
      <c r="R709" s="110">
        <f t="shared" si="95"/>
        <v>0</v>
      </c>
      <c r="S709" s="112">
        <v>0</v>
      </c>
    </row>
    <row r="710" spans="1:19">
      <c r="A710" s="79"/>
      <c r="B710" s="77" t="s">
        <v>172</v>
      </c>
      <c r="C710" s="76" t="s">
        <v>4</v>
      </c>
      <c r="D710" s="143">
        <v>4</v>
      </c>
      <c r="E710" s="50"/>
      <c r="F710" s="334"/>
      <c r="G710" s="112">
        <v>0</v>
      </c>
      <c r="H710" s="120">
        <v>0</v>
      </c>
      <c r="I710" s="120">
        <v>0</v>
      </c>
      <c r="J710" s="120">
        <v>0</v>
      </c>
      <c r="K710" s="110">
        <v>0</v>
      </c>
      <c r="L710" s="110"/>
      <c r="M710" s="110">
        <v>0</v>
      </c>
      <c r="N710" s="110"/>
      <c r="O710" s="110"/>
      <c r="P710" s="110">
        <f t="shared" si="93"/>
        <v>0</v>
      </c>
      <c r="Q710" s="110">
        <f t="shared" si="94"/>
        <v>0</v>
      </c>
      <c r="R710" s="110">
        <f t="shared" si="95"/>
        <v>0</v>
      </c>
      <c r="S710" s="112">
        <v>0</v>
      </c>
    </row>
    <row r="711" spans="1:19">
      <c r="A711" s="79"/>
      <c r="B711" s="77" t="s">
        <v>173</v>
      </c>
      <c r="C711" s="76" t="s">
        <v>4</v>
      </c>
      <c r="D711" s="143">
        <v>4</v>
      </c>
      <c r="E711" s="50"/>
      <c r="F711" s="334"/>
      <c r="G711" s="112">
        <v>0</v>
      </c>
      <c r="H711" s="120">
        <v>0</v>
      </c>
      <c r="I711" s="120">
        <v>0</v>
      </c>
      <c r="J711" s="120">
        <v>0</v>
      </c>
      <c r="K711" s="110">
        <v>0</v>
      </c>
      <c r="L711" s="110"/>
      <c r="M711" s="110">
        <v>0</v>
      </c>
      <c r="N711" s="110"/>
      <c r="O711" s="110"/>
      <c r="P711" s="110">
        <f t="shared" si="93"/>
        <v>0</v>
      </c>
      <c r="Q711" s="110">
        <f t="shared" si="94"/>
        <v>0</v>
      </c>
      <c r="R711" s="110">
        <f t="shared" si="95"/>
        <v>0</v>
      </c>
      <c r="S711" s="112">
        <v>0</v>
      </c>
    </row>
    <row r="712" spans="1:19">
      <c r="A712" s="79"/>
      <c r="B712" s="77" t="s">
        <v>253</v>
      </c>
      <c r="C712" s="76" t="s">
        <v>4</v>
      </c>
      <c r="D712" s="143">
        <v>4</v>
      </c>
      <c r="E712" s="50"/>
      <c r="F712" s="334"/>
      <c r="G712" s="112">
        <v>0</v>
      </c>
      <c r="H712" s="120">
        <v>0</v>
      </c>
      <c r="I712" s="120">
        <v>0</v>
      </c>
      <c r="J712" s="120">
        <v>0</v>
      </c>
      <c r="K712" s="110">
        <v>0</v>
      </c>
      <c r="L712" s="110"/>
      <c r="M712" s="110">
        <v>0</v>
      </c>
      <c r="N712" s="110"/>
      <c r="O712" s="110"/>
      <c r="P712" s="110">
        <f t="shared" si="93"/>
        <v>0</v>
      </c>
      <c r="Q712" s="110">
        <f t="shared" si="94"/>
        <v>0</v>
      </c>
      <c r="R712" s="110">
        <f t="shared" si="95"/>
        <v>0</v>
      </c>
      <c r="S712" s="112">
        <v>0</v>
      </c>
    </row>
    <row r="713" spans="1:19">
      <c r="A713" s="79"/>
      <c r="B713" s="77" t="s">
        <v>175</v>
      </c>
      <c r="C713" s="76" t="s">
        <v>4</v>
      </c>
      <c r="D713" s="143">
        <v>4</v>
      </c>
      <c r="E713" s="50"/>
      <c r="F713" s="334"/>
      <c r="G713" s="112">
        <v>0</v>
      </c>
      <c r="H713" s="120">
        <v>0</v>
      </c>
      <c r="I713" s="120">
        <v>0</v>
      </c>
      <c r="J713" s="120">
        <v>0</v>
      </c>
      <c r="K713" s="110">
        <v>0</v>
      </c>
      <c r="L713" s="110"/>
      <c r="M713" s="110">
        <v>0</v>
      </c>
      <c r="N713" s="110"/>
      <c r="O713" s="110"/>
      <c r="P713" s="110">
        <f t="shared" si="93"/>
        <v>0</v>
      </c>
      <c r="Q713" s="110">
        <f t="shared" si="94"/>
        <v>0</v>
      </c>
      <c r="R713" s="110">
        <f t="shared" si="95"/>
        <v>0</v>
      </c>
      <c r="S713" s="112">
        <v>0</v>
      </c>
    </row>
    <row r="714" spans="1:19">
      <c r="A714" s="79"/>
      <c r="B714" s="77" t="s">
        <v>176</v>
      </c>
      <c r="C714" s="76" t="s">
        <v>4</v>
      </c>
      <c r="D714" s="143">
        <v>8</v>
      </c>
      <c r="E714" s="74"/>
      <c r="F714" s="334"/>
      <c r="G714" s="112">
        <v>0</v>
      </c>
      <c r="H714" s="120">
        <v>0</v>
      </c>
      <c r="I714" s="120">
        <v>0</v>
      </c>
      <c r="J714" s="120">
        <v>0</v>
      </c>
      <c r="K714" s="110">
        <v>0</v>
      </c>
      <c r="L714" s="110"/>
      <c r="M714" s="110">
        <v>0</v>
      </c>
      <c r="N714" s="110"/>
      <c r="O714" s="110"/>
      <c r="P714" s="110">
        <f t="shared" si="93"/>
        <v>0</v>
      </c>
      <c r="Q714" s="110">
        <f t="shared" si="94"/>
        <v>0</v>
      </c>
      <c r="R714" s="110">
        <f t="shared" si="95"/>
        <v>0</v>
      </c>
      <c r="S714" s="112">
        <v>0</v>
      </c>
    </row>
    <row r="715" spans="1:19">
      <c r="A715" s="79"/>
      <c r="B715" s="77" t="s">
        <v>177</v>
      </c>
      <c r="C715" s="76" t="s">
        <v>17</v>
      </c>
      <c r="D715" s="143">
        <v>1</v>
      </c>
      <c r="E715" s="74"/>
      <c r="F715" s="334"/>
      <c r="G715" s="112">
        <v>0</v>
      </c>
      <c r="H715" s="120">
        <v>0</v>
      </c>
      <c r="I715" s="120">
        <v>0</v>
      </c>
      <c r="J715" s="120">
        <v>0</v>
      </c>
      <c r="K715" s="110">
        <v>0</v>
      </c>
      <c r="L715" s="110"/>
      <c r="M715" s="110">
        <v>0</v>
      </c>
      <c r="N715" s="110"/>
      <c r="O715" s="110"/>
      <c r="P715" s="110">
        <f t="shared" si="93"/>
        <v>0</v>
      </c>
      <c r="Q715" s="110">
        <f t="shared" si="94"/>
        <v>0</v>
      </c>
      <c r="R715" s="110">
        <f t="shared" si="95"/>
        <v>0</v>
      </c>
      <c r="S715" s="112">
        <v>0</v>
      </c>
    </row>
    <row r="716" spans="1:19">
      <c r="A716" s="79"/>
      <c r="B716" s="77" t="s">
        <v>254</v>
      </c>
      <c r="C716" s="76" t="s">
        <v>4</v>
      </c>
      <c r="D716" s="143">
        <v>1</v>
      </c>
      <c r="E716" s="74"/>
      <c r="F716" s="334"/>
      <c r="G716" s="112">
        <v>0</v>
      </c>
      <c r="H716" s="120">
        <v>0</v>
      </c>
      <c r="I716" s="120">
        <v>0</v>
      </c>
      <c r="J716" s="120">
        <v>0</v>
      </c>
      <c r="K716" s="110">
        <v>0</v>
      </c>
      <c r="L716" s="110"/>
      <c r="M716" s="110">
        <v>0</v>
      </c>
      <c r="N716" s="110"/>
      <c r="O716" s="110"/>
      <c r="P716" s="110">
        <f t="shared" si="93"/>
        <v>0</v>
      </c>
      <c r="Q716" s="110">
        <f t="shared" si="94"/>
        <v>0</v>
      </c>
      <c r="R716" s="110">
        <f t="shared" si="95"/>
        <v>0</v>
      </c>
      <c r="S716" s="112">
        <v>0</v>
      </c>
    </row>
    <row r="717" spans="1:19">
      <c r="A717" s="79"/>
      <c r="B717" s="77" t="s">
        <v>163</v>
      </c>
      <c r="C717" s="76" t="s">
        <v>4</v>
      </c>
      <c r="D717" s="143">
        <v>1</v>
      </c>
      <c r="E717" s="74"/>
      <c r="F717" s="334"/>
      <c r="G717" s="112">
        <v>0</v>
      </c>
      <c r="H717" s="120">
        <v>0</v>
      </c>
      <c r="I717" s="120">
        <v>0</v>
      </c>
      <c r="J717" s="120">
        <v>0</v>
      </c>
      <c r="K717" s="110">
        <v>0</v>
      </c>
      <c r="L717" s="110"/>
      <c r="M717" s="110">
        <v>0</v>
      </c>
      <c r="N717" s="110"/>
      <c r="O717" s="110"/>
      <c r="P717" s="110">
        <f t="shared" si="93"/>
        <v>0</v>
      </c>
      <c r="Q717" s="110">
        <f t="shared" si="94"/>
        <v>0</v>
      </c>
      <c r="R717" s="110">
        <f t="shared" si="95"/>
        <v>0</v>
      </c>
      <c r="S717" s="112">
        <v>0</v>
      </c>
    </row>
    <row r="718" spans="1:19" ht="30">
      <c r="A718" s="79"/>
      <c r="B718" s="77" t="s">
        <v>206</v>
      </c>
      <c r="C718" s="76" t="s">
        <v>8</v>
      </c>
      <c r="D718" s="143">
        <v>1</v>
      </c>
      <c r="E718" s="50"/>
      <c r="F718" s="334"/>
      <c r="G718" s="112">
        <v>0</v>
      </c>
      <c r="H718" s="120">
        <v>0</v>
      </c>
      <c r="I718" s="120">
        <v>0</v>
      </c>
      <c r="J718" s="120">
        <v>0</v>
      </c>
      <c r="K718" s="110">
        <v>0</v>
      </c>
      <c r="L718" s="110"/>
      <c r="M718" s="110">
        <v>0</v>
      </c>
      <c r="N718" s="110"/>
      <c r="O718" s="110"/>
      <c r="P718" s="110">
        <f t="shared" si="93"/>
        <v>0</v>
      </c>
      <c r="Q718" s="110">
        <f t="shared" si="94"/>
        <v>0</v>
      </c>
      <c r="R718" s="110">
        <f t="shared" si="95"/>
        <v>0</v>
      </c>
      <c r="S718" s="112">
        <v>0</v>
      </c>
    </row>
    <row r="719" spans="1:19">
      <c r="A719" s="79"/>
      <c r="B719" s="77" t="s">
        <v>207</v>
      </c>
      <c r="C719" s="76" t="s">
        <v>8</v>
      </c>
      <c r="D719" s="143">
        <v>1</v>
      </c>
      <c r="E719" s="437"/>
      <c r="F719" s="334"/>
      <c r="G719" s="112">
        <v>0</v>
      </c>
      <c r="H719" s="120">
        <v>0</v>
      </c>
      <c r="I719" s="120">
        <v>0</v>
      </c>
      <c r="J719" s="120">
        <v>0</v>
      </c>
      <c r="K719" s="110">
        <v>0</v>
      </c>
      <c r="L719" s="110"/>
      <c r="M719" s="110">
        <v>0</v>
      </c>
      <c r="N719" s="110"/>
      <c r="O719" s="110"/>
      <c r="P719" s="110">
        <f t="shared" si="93"/>
        <v>0</v>
      </c>
      <c r="Q719" s="110">
        <f t="shared" si="94"/>
        <v>0</v>
      </c>
      <c r="R719" s="110">
        <f t="shared" si="95"/>
        <v>0</v>
      </c>
      <c r="S719" s="112">
        <v>0</v>
      </c>
    </row>
    <row r="720" spans="1:19" ht="45">
      <c r="A720" s="79"/>
      <c r="B720" s="77" t="s">
        <v>166</v>
      </c>
      <c r="C720" s="76" t="s">
        <v>17</v>
      </c>
      <c r="D720" s="143">
        <v>1</v>
      </c>
      <c r="E720" s="75"/>
      <c r="F720" s="334"/>
      <c r="G720" s="112">
        <v>0</v>
      </c>
      <c r="H720" s="120">
        <v>0</v>
      </c>
      <c r="I720" s="120">
        <v>0</v>
      </c>
      <c r="J720" s="120">
        <v>0</v>
      </c>
      <c r="K720" s="110">
        <v>0</v>
      </c>
      <c r="L720" s="110"/>
      <c r="M720" s="110">
        <v>0</v>
      </c>
      <c r="N720" s="110"/>
      <c r="O720" s="110"/>
      <c r="P720" s="110">
        <f t="shared" si="93"/>
        <v>0</v>
      </c>
      <c r="Q720" s="110">
        <f t="shared" si="94"/>
        <v>0</v>
      </c>
      <c r="R720" s="110">
        <f t="shared" si="95"/>
        <v>0</v>
      </c>
      <c r="S720" s="112">
        <v>0</v>
      </c>
    </row>
    <row r="721" spans="1:19" ht="60">
      <c r="A721" s="79">
        <v>15</v>
      </c>
      <c r="B721" s="77" t="s">
        <v>257</v>
      </c>
      <c r="C721" s="76" t="s">
        <v>6</v>
      </c>
      <c r="D721" s="143">
        <v>2</v>
      </c>
      <c r="E721" s="73"/>
      <c r="F721" s="334">
        <v>2</v>
      </c>
      <c r="G721" s="112" t="s">
        <v>834</v>
      </c>
      <c r="H721" s="120" t="s">
        <v>1076</v>
      </c>
      <c r="I721" s="120" t="s">
        <v>828</v>
      </c>
      <c r="J721" s="120" t="s">
        <v>829</v>
      </c>
      <c r="K721" s="110">
        <v>32063700</v>
      </c>
      <c r="L721" s="110"/>
      <c r="M721" s="110">
        <v>3123300</v>
      </c>
      <c r="N721" s="110"/>
      <c r="O721" s="110"/>
      <c r="P721" s="110">
        <f t="shared" si="93"/>
        <v>35187000</v>
      </c>
      <c r="Q721" s="110">
        <f t="shared" si="94"/>
        <v>70374000</v>
      </c>
      <c r="R721" s="110">
        <f t="shared" si="95"/>
        <v>70374000</v>
      </c>
      <c r="S721" s="112" t="s">
        <v>4094</v>
      </c>
    </row>
    <row r="722" spans="1:19" ht="45">
      <c r="A722" s="79"/>
      <c r="B722" s="77" t="s">
        <v>182</v>
      </c>
      <c r="C722" s="76" t="s">
        <v>4</v>
      </c>
      <c r="D722" s="143">
        <v>1</v>
      </c>
      <c r="E722" s="50"/>
      <c r="F722" s="334"/>
      <c r="G722" s="112">
        <v>0</v>
      </c>
      <c r="H722" s="120">
        <v>0</v>
      </c>
      <c r="I722" s="120">
        <v>0</v>
      </c>
      <c r="J722" s="120">
        <v>0</v>
      </c>
      <c r="K722" s="110">
        <v>0</v>
      </c>
      <c r="L722" s="110"/>
      <c r="M722" s="110">
        <v>0</v>
      </c>
      <c r="N722" s="110"/>
      <c r="O722" s="110"/>
      <c r="P722" s="110">
        <f t="shared" si="93"/>
        <v>0</v>
      </c>
      <c r="Q722" s="110">
        <f t="shared" si="94"/>
        <v>0</v>
      </c>
      <c r="R722" s="110">
        <f t="shared" si="95"/>
        <v>0</v>
      </c>
      <c r="S722" s="112" t="s">
        <v>150</v>
      </c>
    </row>
    <row r="723" spans="1:19">
      <c r="A723" s="79"/>
      <c r="B723" s="77" t="s">
        <v>151</v>
      </c>
      <c r="C723" s="76"/>
      <c r="D723" s="143"/>
      <c r="E723" s="57"/>
      <c r="F723" s="57"/>
      <c r="G723" s="112">
        <v>0</v>
      </c>
      <c r="H723" s="120">
        <v>0</v>
      </c>
      <c r="I723" s="120">
        <v>0</v>
      </c>
      <c r="J723" s="120">
        <v>0</v>
      </c>
      <c r="K723" s="110">
        <v>0</v>
      </c>
      <c r="L723" s="110"/>
      <c r="M723" s="110">
        <v>0</v>
      </c>
      <c r="N723" s="110"/>
      <c r="O723" s="110"/>
      <c r="P723" s="110">
        <f t="shared" si="93"/>
        <v>0</v>
      </c>
      <c r="Q723" s="110">
        <f t="shared" si="94"/>
        <v>0</v>
      </c>
      <c r="R723" s="110">
        <f t="shared" si="95"/>
        <v>0</v>
      </c>
      <c r="S723" s="112">
        <v>0</v>
      </c>
    </row>
    <row r="724" spans="1:19">
      <c r="A724" s="79"/>
      <c r="B724" s="77" t="s">
        <v>258</v>
      </c>
      <c r="C724" s="76" t="s">
        <v>4</v>
      </c>
      <c r="D724" s="143">
        <v>1</v>
      </c>
      <c r="E724" s="50"/>
      <c r="F724" s="334"/>
      <c r="G724" s="112">
        <v>0</v>
      </c>
      <c r="H724" s="120">
        <v>0</v>
      </c>
      <c r="I724" s="120">
        <v>0</v>
      </c>
      <c r="J724" s="120">
        <v>0</v>
      </c>
      <c r="K724" s="110">
        <v>0</v>
      </c>
      <c r="L724" s="110"/>
      <c r="M724" s="110">
        <v>0</v>
      </c>
      <c r="N724" s="110"/>
      <c r="O724" s="110"/>
      <c r="P724" s="110">
        <f t="shared" si="93"/>
        <v>0</v>
      </c>
      <c r="Q724" s="110">
        <f t="shared" si="94"/>
        <v>0</v>
      </c>
      <c r="R724" s="110">
        <f t="shared" si="95"/>
        <v>0</v>
      </c>
      <c r="S724" s="112">
        <v>0</v>
      </c>
    </row>
    <row r="725" spans="1:19">
      <c r="A725" s="79"/>
      <c r="B725" s="77" t="s">
        <v>57</v>
      </c>
      <c r="C725" s="76" t="s">
        <v>12</v>
      </c>
      <c r="D725" s="143">
        <v>3</v>
      </c>
      <c r="E725" s="50"/>
      <c r="F725" s="334"/>
      <c r="G725" s="112">
        <v>0</v>
      </c>
      <c r="H725" s="120">
        <v>0</v>
      </c>
      <c r="I725" s="120">
        <v>0</v>
      </c>
      <c r="J725" s="120">
        <v>0</v>
      </c>
      <c r="K725" s="110">
        <v>0</v>
      </c>
      <c r="L725" s="110"/>
      <c r="M725" s="110">
        <v>0</v>
      </c>
      <c r="N725" s="110"/>
      <c r="O725" s="110"/>
      <c r="P725" s="110">
        <f t="shared" si="93"/>
        <v>0</v>
      </c>
      <c r="Q725" s="110">
        <f t="shared" si="94"/>
        <v>0</v>
      </c>
      <c r="R725" s="110">
        <f t="shared" si="95"/>
        <v>0</v>
      </c>
      <c r="S725" s="112">
        <v>0</v>
      </c>
    </row>
    <row r="726" spans="1:19">
      <c r="A726" s="79"/>
      <c r="B726" s="77" t="s">
        <v>29</v>
      </c>
      <c r="C726" s="76" t="s">
        <v>4</v>
      </c>
      <c r="D726" s="143">
        <v>1</v>
      </c>
      <c r="E726" s="50"/>
      <c r="F726" s="334"/>
      <c r="G726" s="112">
        <v>0</v>
      </c>
      <c r="H726" s="120">
        <v>0</v>
      </c>
      <c r="I726" s="120">
        <v>0</v>
      </c>
      <c r="J726" s="120">
        <v>0</v>
      </c>
      <c r="K726" s="110">
        <v>0</v>
      </c>
      <c r="L726" s="110"/>
      <c r="M726" s="110">
        <v>0</v>
      </c>
      <c r="N726" s="110"/>
      <c r="O726" s="110"/>
      <c r="P726" s="110">
        <f t="shared" si="93"/>
        <v>0</v>
      </c>
      <c r="Q726" s="110">
        <f t="shared" si="94"/>
        <v>0</v>
      </c>
      <c r="R726" s="110">
        <f t="shared" si="95"/>
        <v>0</v>
      </c>
      <c r="S726" s="112">
        <v>0</v>
      </c>
    </row>
    <row r="727" spans="1:19">
      <c r="A727" s="79"/>
      <c r="B727" s="77" t="s">
        <v>30</v>
      </c>
      <c r="C727" s="76" t="s">
        <v>4</v>
      </c>
      <c r="D727" s="143">
        <v>1</v>
      </c>
      <c r="E727" s="50"/>
      <c r="F727" s="334"/>
      <c r="G727" s="112">
        <v>0</v>
      </c>
      <c r="H727" s="120">
        <v>0</v>
      </c>
      <c r="I727" s="120">
        <v>0</v>
      </c>
      <c r="J727" s="120">
        <v>0</v>
      </c>
      <c r="K727" s="110">
        <v>0</v>
      </c>
      <c r="L727" s="110"/>
      <c r="M727" s="110">
        <v>0</v>
      </c>
      <c r="N727" s="110"/>
      <c r="O727" s="110"/>
      <c r="P727" s="110">
        <f t="shared" si="93"/>
        <v>0</v>
      </c>
      <c r="Q727" s="110">
        <f t="shared" si="94"/>
        <v>0</v>
      </c>
      <c r="R727" s="110">
        <f t="shared" si="95"/>
        <v>0</v>
      </c>
      <c r="S727" s="112">
        <v>0</v>
      </c>
    </row>
    <row r="728" spans="1:19">
      <c r="A728" s="79"/>
      <c r="B728" s="77" t="s">
        <v>184</v>
      </c>
      <c r="C728" s="76" t="s">
        <v>4</v>
      </c>
      <c r="D728" s="143">
        <v>3</v>
      </c>
      <c r="E728" s="74"/>
      <c r="F728" s="334"/>
      <c r="G728" s="112">
        <v>0</v>
      </c>
      <c r="H728" s="120">
        <v>0</v>
      </c>
      <c r="I728" s="120">
        <v>0</v>
      </c>
      <c r="J728" s="120">
        <v>0</v>
      </c>
      <c r="K728" s="110">
        <v>0</v>
      </c>
      <c r="L728" s="110"/>
      <c r="M728" s="110">
        <v>0</v>
      </c>
      <c r="N728" s="110"/>
      <c r="O728" s="110"/>
      <c r="P728" s="110">
        <f t="shared" si="93"/>
        <v>0</v>
      </c>
      <c r="Q728" s="110">
        <f t="shared" si="94"/>
        <v>0</v>
      </c>
      <c r="R728" s="110">
        <f t="shared" si="95"/>
        <v>0</v>
      </c>
      <c r="S728" s="112">
        <v>0</v>
      </c>
    </row>
    <row r="729" spans="1:19">
      <c r="A729" s="79"/>
      <c r="B729" s="77" t="s">
        <v>14</v>
      </c>
      <c r="C729" s="76" t="s">
        <v>4</v>
      </c>
      <c r="D729" s="143">
        <v>3</v>
      </c>
      <c r="E729" s="74"/>
      <c r="F729" s="334"/>
      <c r="G729" s="112">
        <v>0</v>
      </c>
      <c r="H729" s="120">
        <v>0</v>
      </c>
      <c r="I729" s="120">
        <v>0</v>
      </c>
      <c r="J729" s="120">
        <v>0</v>
      </c>
      <c r="K729" s="110">
        <v>0</v>
      </c>
      <c r="L729" s="110"/>
      <c r="M729" s="110">
        <v>0</v>
      </c>
      <c r="N729" s="110"/>
      <c r="O729" s="110"/>
      <c r="P729" s="110">
        <f t="shared" si="93"/>
        <v>0</v>
      </c>
      <c r="Q729" s="110">
        <f t="shared" si="94"/>
        <v>0</v>
      </c>
      <c r="R729" s="110">
        <f t="shared" si="95"/>
        <v>0</v>
      </c>
      <c r="S729" s="112">
        <v>0</v>
      </c>
    </row>
    <row r="730" spans="1:19">
      <c r="A730" s="79"/>
      <c r="B730" s="77" t="s">
        <v>153</v>
      </c>
      <c r="C730" s="76" t="s">
        <v>4</v>
      </c>
      <c r="D730" s="143">
        <v>3</v>
      </c>
      <c r="E730" s="74"/>
      <c r="F730" s="334"/>
      <c r="G730" s="112">
        <v>0</v>
      </c>
      <c r="H730" s="120">
        <v>0</v>
      </c>
      <c r="I730" s="120">
        <v>0</v>
      </c>
      <c r="J730" s="120">
        <v>0</v>
      </c>
      <c r="K730" s="110">
        <v>0</v>
      </c>
      <c r="L730" s="110"/>
      <c r="M730" s="110">
        <v>0</v>
      </c>
      <c r="N730" s="110"/>
      <c r="O730" s="110"/>
      <c r="P730" s="110">
        <f t="shared" si="93"/>
        <v>0</v>
      </c>
      <c r="Q730" s="110">
        <f t="shared" si="94"/>
        <v>0</v>
      </c>
      <c r="R730" s="110">
        <f t="shared" si="95"/>
        <v>0</v>
      </c>
      <c r="S730" s="112">
        <v>0</v>
      </c>
    </row>
    <row r="731" spans="1:19">
      <c r="A731" s="79"/>
      <c r="B731" s="77" t="s">
        <v>154</v>
      </c>
      <c r="C731" s="76"/>
      <c r="D731" s="143"/>
      <c r="E731" s="74"/>
      <c r="F731" s="74"/>
      <c r="G731" s="112">
        <v>0</v>
      </c>
      <c r="H731" s="120">
        <v>0</v>
      </c>
      <c r="I731" s="120">
        <v>0</v>
      </c>
      <c r="J731" s="120">
        <v>0</v>
      </c>
      <c r="K731" s="110">
        <v>0</v>
      </c>
      <c r="L731" s="110"/>
      <c r="M731" s="110">
        <v>0</v>
      </c>
      <c r="N731" s="110"/>
      <c r="O731" s="110"/>
      <c r="P731" s="110">
        <f t="shared" si="93"/>
        <v>0</v>
      </c>
      <c r="Q731" s="110">
        <f t="shared" si="94"/>
        <v>0</v>
      </c>
      <c r="R731" s="110">
        <f t="shared" si="95"/>
        <v>0</v>
      </c>
      <c r="S731" s="112">
        <v>0</v>
      </c>
    </row>
    <row r="732" spans="1:19">
      <c r="A732" s="79"/>
      <c r="B732" s="77" t="s">
        <v>259</v>
      </c>
      <c r="C732" s="76" t="s">
        <v>4</v>
      </c>
      <c r="D732" s="143">
        <v>2</v>
      </c>
      <c r="E732" s="74"/>
      <c r="F732" s="334"/>
      <c r="G732" s="112">
        <v>0</v>
      </c>
      <c r="H732" s="120">
        <v>0</v>
      </c>
      <c r="I732" s="120">
        <v>0</v>
      </c>
      <c r="J732" s="120">
        <v>0</v>
      </c>
      <c r="K732" s="110">
        <v>0</v>
      </c>
      <c r="L732" s="110"/>
      <c r="M732" s="110">
        <v>0</v>
      </c>
      <c r="N732" s="110"/>
      <c r="O732" s="110"/>
      <c r="P732" s="110">
        <f t="shared" si="93"/>
        <v>0</v>
      </c>
      <c r="Q732" s="110">
        <f t="shared" si="94"/>
        <v>0</v>
      </c>
      <c r="R732" s="110">
        <f t="shared" si="95"/>
        <v>0</v>
      </c>
      <c r="S732" s="112">
        <v>0</v>
      </c>
    </row>
    <row r="733" spans="1:19">
      <c r="A733" s="79"/>
      <c r="B733" s="77" t="s">
        <v>158</v>
      </c>
      <c r="C733" s="76" t="s">
        <v>4</v>
      </c>
      <c r="D733" s="143">
        <v>1</v>
      </c>
      <c r="E733" s="74"/>
      <c r="F733" s="334"/>
      <c r="G733" s="112">
        <v>0</v>
      </c>
      <c r="H733" s="120">
        <v>0</v>
      </c>
      <c r="I733" s="120">
        <v>0</v>
      </c>
      <c r="J733" s="120">
        <v>0</v>
      </c>
      <c r="K733" s="110">
        <v>0</v>
      </c>
      <c r="L733" s="110"/>
      <c r="M733" s="110">
        <v>0</v>
      </c>
      <c r="N733" s="110"/>
      <c r="O733" s="110"/>
      <c r="P733" s="110">
        <f t="shared" si="93"/>
        <v>0</v>
      </c>
      <c r="Q733" s="110">
        <f t="shared" si="94"/>
        <v>0</v>
      </c>
      <c r="R733" s="110">
        <f t="shared" si="95"/>
        <v>0</v>
      </c>
      <c r="S733" s="112">
        <v>0</v>
      </c>
    </row>
    <row r="734" spans="1:19">
      <c r="A734" s="79"/>
      <c r="B734" s="77" t="s">
        <v>260</v>
      </c>
      <c r="C734" s="76" t="s">
        <v>8</v>
      </c>
      <c r="D734" s="143">
        <v>2</v>
      </c>
      <c r="E734" s="73"/>
      <c r="F734" s="334"/>
      <c r="G734" s="112">
        <v>0</v>
      </c>
      <c r="H734" s="120">
        <v>0</v>
      </c>
      <c r="I734" s="120">
        <v>0</v>
      </c>
      <c r="J734" s="120">
        <v>0</v>
      </c>
      <c r="K734" s="110">
        <v>0</v>
      </c>
      <c r="L734" s="110"/>
      <c r="M734" s="110">
        <v>0</v>
      </c>
      <c r="N734" s="110"/>
      <c r="O734" s="110"/>
      <c r="P734" s="110">
        <f t="shared" si="93"/>
        <v>0</v>
      </c>
      <c r="Q734" s="110">
        <f t="shared" si="94"/>
        <v>0</v>
      </c>
      <c r="R734" s="110">
        <f t="shared" si="95"/>
        <v>0</v>
      </c>
      <c r="S734" s="112">
        <v>0</v>
      </c>
    </row>
    <row r="735" spans="1:19">
      <c r="A735" s="79"/>
      <c r="B735" s="77" t="s">
        <v>261</v>
      </c>
      <c r="C735" s="76" t="s">
        <v>4</v>
      </c>
      <c r="D735" s="143">
        <v>4</v>
      </c>
      <c r="E735" s="74"/>
      <c r="F735" s="334"/>
      <c r="G735" s="112">
        <v>0</v>
      </c>
      <c r="H735" s="120">
        <v>0</v>
      </c>
      <c r="I735" s="120">
        <v>0</v>
      </c>
      <c r="J735" s="120">
        <v>0</v>
      </c>
      <c r="K735" s="110">
        <v>0</v>
      </c>
      <c r="L735" s="110"/>
      <c r="M735" s="110">
        <v>0</v>
      </c>
      <c r="N735" s="110"/>
      <c r="O735" s="110"/>
      <c r="P735" s="110">
        <f t="shared" si="93"/>
        <v>0</v>
      </c>
      <c r="Q735" s="110">
        <f t="shared" si="94"/>
        <v>0</v>
      </c>
      <c r="R735" s="110">
        <f t="shared" si="95"/>
        <v>0</v>
      </c>
      <c r="S735" s="112">
        <v>0</v>
      </c>
    </row>
    <row r="736" spans="1:19">
      <c r="A736" s="79"/>
      <c r="B736" s="77" t="s">
        <v>187</v>
      </c>
      <c r="C736" s="76" t="s">
        <v>4</v>
      </c>
      <c r="D736" s="143">
        <v>2</v>
      </c>
      <c r="E736" s="74"/>
      <c r="F736" s="334"/>
      <c r="G736" s="112">
        <v>0</v>
      </c>
      <c r="H736" s="120">
        <v>0</v>
      </c>
      <c r="I736" s="120">
        <v>0</v>
      </c>
      <c r="J736" s="120">
        <v>0</v>
      </c>
      <c r="K736" s="110">
        <v>0</v>
      </c>
      <c r="L736" s="110"/>
      <c r="M736" s="110">
        <v>0</v>
      </c>
      <c r="N736" s="110"/>
      <c r="O736" s="110"/>
      <c r="P736" s="110">
        <f t="shared" si="93"/>
        <v>0</v>
      </c>
      <c r="Q736" s="110">
        <f t="shared" si="94"/>
        <v>0</v>
      </c>
      <c r="R736" s="110">
        <f t="shared" si="95"/>
        <v>0</v>
      </c>
      <c r="S736" s="112">
        <v>0</v>
      </c>
    </row>
    <row r="737" spans="1:19">
      <c r="A737" s="79"/>
      <c r="B737" s="77" t="s">
        <v>173</v>
      </c>
      <c r="C737" s="76" t="s">
        <v>4</v>
      </c>
      <c r="D737" s="143">
        <v>2</v>
      </c>
      <c r="E737" s="74"/>
      <c r="F737" s="334"/>
      <c r="G737" s="112">
        <v>0</v>
      </c>
      <c r="H737" s="120">
        <v>0</v>
      </c>
      <c r="I737" s="120">
        <v>0</v>
      </c>
      <c r="J737" s="120">
        <v>0</v>
      </c>
      <c r="K737" s="110">
        <v>0</v>
      </c>
      <c r="L737" s="110"/>
      <c r="M737" s="110">
        <v>0</v>
      </c>
      <c r="N737" s="110"/>
      <c r="O737" s="110"/>
      <c r="P737" s="110">
        <f t="shared" si="93"/>
        <v>0</v>
      </c>
      <c r="Q737" s="110">
        <f t="shared" si="94"/>
        <v>0</v>
      </c>
      <c r="R737" s="110">
        <f t="shared" si="95"/>
        <v>0</v>
      </c>
      <c r="S737" s="112">
        <v>0</v>
      </c>
    </row>
    <row r="738" spans="1:19">
      <c r="A738" s="79"/>
      <c r="B738" s="77" t="s">
        <v>201</v>
      </c>
      <c r="C738" s="76" t="s">
        <v>4</v>
      </c>
      <c r="D738" s="143">
        <v>2</v>
      </c>
      <c r="E738" s="74"/>
      <c r="F738" s="334"/>
      <c r="G738" s="112">
        <v>0</v>
      </c>
      <c r="H738" s="120">
        <v>0</v>
      </c>
      <c r="I738" s="120">
        <v>0</v>
      </c>
      <c r="J738" s="120">
        <v>0</v>
      </c>
      <c r="K738" s="110">
        <v>0</v>
      </c>
      <c r="L738" s="110"/>
      <c r="M738" s="110">
        <v>0</v>
      </c>
      <c r="N738" s="110"/>
      <c r="O738" s="110"/>
      <c r="P738" s="110">
        <f t="shared" si="93"/>
        <v>0</v>
      </c>
      <c r="Q738" s="110">
        <f t="shared" si="94"/>
        <v>0</v>
      </c>
      <c r="R738" s="110">
        <f t="shared" si="95"/>
        <v>0</v>
      </c>
      <c r="S738" s="112">
        <v>0</v>
      </c>
    </row>
    <row r="739" spans="1:19">
      <c r="A739" s="79"/>
      <c r="B739" s="77" t="s">
        <v>262</v>
      </c>
      <c r="C739" s="76" t="s">
        <v>4</v>
      </c>
      <c r="D739" s="143">
        <v>2</v>
      </c>
      <c r="E739" s="75"/>
      <c r="F739" s="334"/>
      <c r="G739" s="112">
        <v>0</v>
      </c>
      <c r="H739" s="120">
        <v>0</v>
      </c>
      <c r="I739" s="120">
        <v>0</v>
      </c>
      <c r="J739" s="120">
        <v>0</v>
      </c>
      <c r="K739" s="110">
        <v>0</v>
      </c>
      <c r="L739" s="110"/>
      <c r="M739" s="110">
        <v>0</v>
      </c>
      <c r="N739" s="110"/>
      <c r="O739" s="110"/>
      <c r="P739" s="110">
        <f t="shared" si="93"/>
        <v>0</v>
      </c>
      <c r="Q739" s="110">
        <f t="shared" si="94"/>
        <v>0</v>
      </c>
      <c r="R739" s="110">
        <f t="shared" si="95"/>
        <v>0</v>
      </c>
      <c r="S739" s="112">
        <v>0</v>
      </c>
    </row>
    <row r="740" spans="1:19">
      <c r="A740" s="79"/>
      <c r="B740" s="77" t="s">
        <v>175</v>
      </c>
      <c r="C740" s="76" t="s">
        <v>4</v>
      </c>
      <c r="D740" s="143">
        <v>2</v>
      </c>
      <c r="E740" s="73"/>
      <c r="F740" s="334"/>
      <c r="G740" s="112">
        <v>0</v>
      </c>
      <c r="H740" s="120">
        <v>0</v>
      </c>
      <c r="I740" s="120">
        <v>0</v>
      </c>
      <c r="J740" s="120">
        <v>0</v>
      </c>
      <c r="K740" s="110">
        <v>0</v>
      </c>
      <c r="L740" s="110"/>
      <c r="M740" s="110">
        <v>0</v>
      </c>
      <c r="N740" s="110"/>
      <c r="O740" s="110"/>
      <c r="P740" s="110">
        <f t="shared" si="93"/>
        <v>0</v>
      </c>
      <c r="Q740" s="110">
        <f t="shared" si="94"/>
        <v>0</v>
      </c>
      <c r="R740" s="110">
        <f t="shared" si="95"/>
        <v>0</v>
      </c>
      <c r="S740" s="112">
        <v>0</v>
      </c>
    </row>
    <row r="741" spans="1:19">
      <c r="A741" s="79"/>
      <c r="B741" s="77" t="s">
        <v>202</v>
      </c>
      <c r="C741" s="76" t="s">
        <v>4</v>
      </c>
      <c r="D741" s="143">
        <v>2</v>
      </c>
      <c r="E741" s="50"/>
      <c r="F741" s="334"/>
      <c r="G741" s="112">
        <v>0</v>
      </c>
      <c r="H741" s="120">
        <v>0</v>
      </c>
      <c r="I741" s="120">
        <v>0</v>
      </c>
      <c r="J741" s="120">
        <v>0</v>
      </c>
      <c r="K741" s="110">
        <v>0</v>
      </c>
      <c r="L741" s="110"/>
      <c r="M741" s="110">
        <v>0</v>
      </c>
      <c r="N741" s="110"/>
      <c r="O741" s="110"/>
      <c r="P741" s="110">
        <f t="shared" si="93"/>
        <v>0</v>
      </c>
      <c r="Q741" s="110">
        <f t="shared" si="94"/>
        <v>0</v>
      </c>
      <c r="R741" s="110">
        <f t="shared" si="95"/>
        <v>0</v>
      </c>
      <c r="S741" s="112">
        <v>0</v>
      </c>
    </row>
    <row r="742" spans="1:19">
      <c r="A742" s="79"/>
      <c r="B742" s="77" t="s">
        <v>176</v>
      </c>
      <c r="C742" s="76" t="s">
        <v>4</v>
      </c>
      <c r="D742" s="143">
        <v>4</v>
      </c>
      <c r="E742" s="57"/>
      <c r="F742" s="334"/>
      <c r="G742" s="112">
        <v>0</v>
      </c>
      <c r="H742" s="120">
        <v>0</v>
      </c>
      <c r="I742" s="120">
        <v>0</v>
      </c>
      <c r="J742" s="120">
        <v>0</v>
      </c>
      <c r="K742" s="110">
        <v>0</v>
      </c>
      <c r="L742" s="110"/>
      <c r="M742" s="110">
        <v>0</v>
      </c>
      <c r="N742" s="110"/>
      <c r="O742" s="110"/>
      <c r="P742" s="110">
        <f t="shared" si="93"/>
        <v>0</v>
      </c>
      <c r="Q742" s="110">
        <f t="shared" si="94"/>
        <v>0</v>
      </c>
      <c r="R742" s="110">
        <f t="shared" si="95"/>
        <v>0</v>
      </c>
      <c r="S742" s="112">
        <v>0</v>
      </c>
    </row>
    <row r="743" spans="1:19">
      <c r="A743" s="79"/>
      <c r="B743" s="77" t="s">
        <v>161</v>
      </c>
      <c r="C743" s="76" t="s">
        <v>4</v>
      </c>
      <c r="D743" s="143">
        <v>2</v>
      </c>
      <c r="E743" s="50"/>
      <c r="F743" s="334"/>
      <c r="G743" s="112">
        <v>0</v>
      </c>
      <c r="H743" s="120">
        <v>0</v>
      </c>
      <c r="I743" s="120">
        <v>0</v>
      </c>
      <c r="J743" s="120">
        <v>0</v>
      </c>
      <c r="K743" s="110">
        <v>0</v>
      </c>
      <c r="L743" s="110"/>
      <c r="M743" s="110">
        <v>0</v>
      </c>
      <c r="N743" s="110"/>
      <c r="O743" s="110"/>
      <c r="P743" s="110">
        <f t="shared" si="93"/>
        <v>0</v>
      </c>
      <c r="Q743" s="110">
        <f t="shared" si="94"/>
        <v>0</v>
      </c>
      <c r="R743" s="110">
        <f t="shared" si="95"/>
        <v>0</v>
      </c>
      <c r="S743" s="112">
        <v>0</v>
      </c>
    </row>
    <row r="744" spans="1:19">
      <c r="A744" s="79"/>
      <c r="B744" s="77" t="s">
        <v>177</v>
      </c>
      <c r="C744" s="76" t="s">
        <v>17</v>
      </c>
      <c r="D744" s="143">
        <v>1</v>
      </c>
      <c r="E744" s="50"/>
      <c r="F744" s="334"/>
      <c r="G744" s="112">
        <v>0</v>
      </c>
      <c r="H744" s="120">
        <v>0</v>
      </c>
      <c r="I744" s="120">
        <v>0</v>
      </c>
      <c r="J744" s="120">
        <v>0</v>
      </c>
      <c r="K744" s="110">
        <v>0</v>
      </c>
      <c r="L744" s="110"/>
      <c r="M744" s="110">
        <v>0</v>
      </c>
      <c r="N744" s="110"/>
      <c r="O744" s="110"/>
      <c r="P744" s="110">
        <f t="shared" si="93"/>
        <v>0</v>
      </c>
      <c r="Q744" s="110">
        <f t="shared" si="94"/>
        <v>0</v>
      </c>
      <c r="R744" s="110">
        <f t="shared" si="95"/>
        <v>0</v>
      </c>
      <c r="S744" s="112">
        <v>0</v>
      </c>
    </row>
    <row r="745" spans="1:19">
      <c r="A745" s="79"/>
      <c r="B745" s="77" t="s">
        <v>263</v>
      </c>
      <c r="C745" s="76" t="s">
        <v>4</v>
      </c>
      <c r="D745" s="143">
        <v>2</v>
      </c>
      <c r="E745" s="50"/>
      <c r="F745" s="334"/>
      <c r="G745" s="112">
        <v>0</v>
      </c>
      <c r="H745" s="120">
        <v>0</v>
      </c>
      <c r="I745" s="120">
        <v>0</v>
      </c>
      <c r="J745" s="120">
        <v>0</v>
      </c>
      <c r="K745" s="110">
        <v>0</v>
      </c>
      <c r="L745" s="110"/>
      <c r="M745" s="110">
        <v>0</v>
      </c>
      <c r="N745" s="110"/>
      <c r="O745" s="110"/>
      <c r="P745" s="110">
        <f t="shared" si="93"/>
        <v>0</v>
      </c>
      <c r="Q745" s="110">
        <f t="shared" si="94"/>
        <v>0</v>
      </c>
      <c r="R745" s="110">
        <f t="shared" si="95"/>
        <v>0</v>
      </c>
      <c r="S745" s="112">
        <v>0</v>
      </c>
    </row>
    <row r="746" spans="1:19">
      <c r="A746" s="79"/>
      <c r="B746" s="77" t="s">
        <v>163</v>
      </c>
      <c r="C746" s="76" t="s">
        <v>4</v>
      </c>
      <c r="D746" s="143">
        <v>1</v>
      </c>
      <c r="E746" s="50"/>
      <c r="F746" s="334"/>
      <c r="G746" s="112">
        <v>0</v>
      </c>
      <c r="H746" s="120">
        <v>0</v>
      </c>
      <c r="I746" s="120">
        <v>0</v>
      </c>
      <c r="J746" s="120">
        <v>0</v>
      </c>
      <c r="K746" s="110">
        <v>0</v>
      </c>
      <c r="L746" s="110"/>
      <c r="M746" s="110">
        <v>0</v>
      </c>
      <c r="N746" s="110"/>
      <c r="O746" s="110"/>
      <c r="P746" s="110">
        <f t="shared" si="93"/>
        <v>0</v>
      </c>
      <c r="Q746" s="110">
        <f t="shared" si="94"/>
        <v>0</v>
      </c>
      <c r="R746" s="110">
        <f t="shared" si="95"/>
        <v>0</v>
      </c>
      <c r="S746" s="112">
        <v>0</v>
      </c>
    </row>
    <row r="747" spans="1:19" ht="30">
      <c r="A747" s="79"/>
      <c r="B747" s="77" t="s">
        <v>206</v>
      </c>
      <c r="C747" s="76" t="s">
        <v>8</v>
      </c>
      <c r="D747" s="143">
        <v>1</v>
      </c>
      <c r="E747" s="74"/>
      <c r="F747" s="334"/>
      <c r="G747" s="112">
        <v>0</v>
      </c>
      <c r="H747" s="120">
        <v>0</v>
      </c>
      <c r="I747" s="120">
        <v>0</v>
      </c>
      <c r="J747" s="120">
        <v>0</v>
      </c>
      <c r="K747" s="110">
        <v>0</v>
      </c>
      <c r="L747" s="110"/>
      <c r="M747" s="110">
        <v>0</v>
      </c>
      <c r="N747" s="110"/>
      <c r="O747" s="110"/>
      <c r="P747" s="110">
        <f t="shared" si="93"/>
        <v>0</v>
      </c>
      <c r="Q747" s="110">
        <f t="shared" si="94"/>
        <v>0</v>
      </c>
      <c r="R747" s="110">
        <f t="shared" si="95"/>
        <v>0</v>
      </c>
      <c r="S747" s="112">
        <v>0</v>
      </c>
    </row>
    <row r="748" spans="1:19">
      <c r="A748" s="79"/>
      <c r="B748" s="77" t="s">
        <v>207</v>
      </c>
      <c r="C748" s="76" t="s">
        <v>8</v>
      </c>
      <c r="D748" s="143">
        <v>1</v>
      </c>
      <c r="E748" s="74"/>
      <c r="F748" s="334"/>
      <c r="G748" s="112">
        <v>0</v>
      </c>
      <c r="H748" s="120">
        <v>0</v>
      </c>
      <c r="I748" s="120">
        <v>0</v>
      </c>
      <c r="J748" s="120">
        <v>0</v>
      </c>
      <c r="K748" s="110">
        <v>0</v>
      </c>
      <c r="L748" s="110"/>
      <c r="M748" s="110">
        <v>0</v>
      </c>
      <c r="N748" s="110"/>
      <c r="O748" s="110"/>
      <c r="P748" s="110">
        <f t="shared" si="93"/>
        <v>0</v>
      </c>
      <c r="Q748" s="110">
        <f t="shared" si="94"/>
        <v>0</v>
      </c>
      <c r="R748" s="110">
        <f t="shared" si="95"/>
        <v>0</v>
      </c>
      <c r="S748" s="112">
        <v>0</v>
      </c>
    </row>
    <row r="749" spans="1:19" ht="45">
      <c r="A749" s="79"/>
      <c r="B749" s="77" t="s">
        <v>166</v>
      </c>
      <c r="C749" s="76" t="s">
        <v>17</v>
      </c>
      <c r="D749" s="143">
        <v>1</v>
      </c>
      <c r="E749" s="74"/>
      <c r="F749" s="334"/>
      <c r="G749" s="112">
        <v>0</v>
      </c>
      <c r="H749" s="120">
        <v>0</v>
      </c>
      <c r="I749" s="120">
        <v>0</v>
      </c>
      <c r="J749" s="120">
        <v>0</v>
      </c>
      <c r="K749" s="110">
        <v>0</v>
      </c>
      <c r="L749" s="110"/>
      <c r="M749" s="110">
        <v>0</v>
      </c>
      <c r="N749" s="110"/>
      <c r="O749" s="110"/>
      <c r="P749" s="110">
        <f t="shared" si="93"/>
        <v>0</v>
      </c>
      <c r="Q749" s="110">
        <f t="shared" si="94"/>
        <v>0</v>
      </c>
      <c r="R749" s="110">
        <f t="shared" si="95"/>
        <v>0</v>
      </c>
      <c r="S749" s="112">
        <v>0</v>
      </c>
    </row>
    <row r="750" spans="1:19" ht="60">
      <c r="A750" s="79">
        <v>16</v>
      </c>
      <c r="B750" s="77" t="s">
        <v>264</v>
      </c>
      <c r="C750" s="76" t="s">
        <v>6</v>
      </c>
      <c r="D750" s="143">
        <v>1</v>
      </c>
      <c r="E750" s="74"/>
      <c r="F750" s="334">
        <v>1</v>
      </c>
      <c r="G750" s="112" t="s">
        <v>264</v>
      </c>
      <c r="H750" s="120" t="s">
        <v>1076</v>
      </c>
      <c r="I750" s="120" t="s">
        <v>828</v>
      </c>
      <c r="J750" s="120" t="s">
        <v>829</v>
      </c>
      <c r="K750" s="110">
        <v>31634900</v>
      </c>
      <c r="L750" s="110"/>
      <c r="M750" s="110">
        <v>3123300</v>
      </c>
      <c r="N750" s="110"/>
      <c r="O750" s="110"/>
      <c r="P750" s="110">
        <f t="shared" si="93"/>
        <v>34758200</v>
      </c>
      <c r="Q750" s="110">
        <f t="shared" si="94"/>
        <v>34758200</v>
      </c>
      <c r="R750" s="110">
        <f t="shared" si="95"/>
        <v>34758200</v>
      </c>
      <c r="S750" s="112" t="s">
        <v>4094</v>
      </c>
    </row>
    <row r="751" spans="1:19" ht="45">
      <c r="A751" s="79"/>
      <c r="B751" s="77" t="s">
        <v>182</v>
      </c>
      <c r="C751" s="76" t="s">
        <v>4</v>
      </c>
      <c r="D751" s="143">
        <v>1</v>
      </c>
      <c r="E751" s="74"/>
      <c r="F751" s="334"/>
      <c r="G751" s="112">
        <v>0</v>
      </c>
      <c r="H751" s="120">
        <v>0</v>
      </c>
      <c r="I751" s="120">
        <v>0</v>
      </c>
      <c r="J751" s="120">
        <v>0</v>
      </c>
      <c r="K751" s="110">
        <v>0</v>
      </c>
      <c r="L751" s="110"/>
      <c r="M751" s="110">
        <v>0</v>
      </c>
      <c r="N751" s="110"/>
      <c r="O751" s="110"/>
      <c r="P751" s="110">
        <f t="shared" si="93"/>
        <v>0</v>
      </c>
      <c r="Q751" s="110">
        <f t="shared" si="94"/>
        <v>0</v>
      </c>
      <c r="R751" s="110">
        <f t="shared" si="95"/>
        <v>0</v>
      </c>
      <c r="S751" s="112" t="s">
        <v>150</v>
      </c>
    </row>
    <row r="752" spans="1:19">
      <c r="A752" s="79"/>
      <c r="B752" s="77" t="s">
        <v>151</v>
      </c>
      <c r="C752" s="76"/>
      <c r="D752" s="143"/>
      <c r="E752" s="75"/>
      <c r="F752" s="75"/>
      <c r="G752" s="112">
        <v>0</v>
      </c>
      <c r="H752" s="120">
        <v>0</v>
      </c>
      <c r="I752" s="120">
        <v>0</v>
      </c>
      <c r="J752" s="120">
        <v>0</v>
      </c>
      <c r="K752" s="110">
        <v>0</v>
      </c>
      <c r="L752" s="110"/>
      <c r="M752" s="110">
        <v>0</v>
      </c>
      <c r="N752" s="110"/>
      <c r="O752" s="110"/>
      <c r="P752" s="110">
        <f t="shared" si="93"/>
        <v>0</v>
      </c>
      <c r="Q752" s="110">
        <f t="shared" si="94"/>
        <v>0</v>
      </c>
      <c r="R752" s="110">
        <f t="shared" si="95"/>
        <v>0</v>
      </c>
      <c r="S752" s="112">
        <v>0</v>
      </c>
    </row>
    <row r="753" spans="1:19">
      <c r="A753" s="79"/>
      <c r="B753" s="77" t="s">
        <v>256</v>
      </c>
      <c r="C753" s="76" t="s">
        <v>4</v>
      </c>
      <c r="D753" s="143">
        <v>1</v>
      </c>
      <c r="E753" s="73"/>
      <c r="F753" s="334"/>
      <c r="G753" s="112">
        <v>0</v>
      </c>
      <c r="H753" s="120">
        <v>0</v>
      </c>
      <c r="I753" s="120">
        <v>0</v>
      </c>
      <c r="J753" s="120">
        <v>0</v>
      </c>
      <c r="K753" s="110">
        <v>0</v>
      </c>
      <c r="L753" s="110"/>
      <c r="M753" s="110">
        <v>0</v>
      </c>
      <c r="N753" s="110"/>
      <c r="O753" s="110"/>
      <c r="P753" s="110">
        <f t="shared" ref="P753:P816" si="96">+K753+L753+M753+N753+O753</f>
        <v>0</v>
      </c>
      <c r="Q753" s="110">
        <f t="shared" ref="Q753:Q816" si="97">+P753*D753</f>
        <v>0</v>
      </c>
      <c r="R753" s="110">
        <f t="shared" ref="R753:R816" si="98">P753*F753</f>
        <v>0</v>
      </c>
      <c r="S753" s="112">
        <v>0</v>
      </c>
    </row>
    <row r="754" spans="1:19">
      <c r="A754" s="79"/>
      <c r="B754" s="77" t="s">
        <v>192</v>
      </c>
      <c r="C754" s="76" t="s">
        <v>12</v>
      </c>
      <c r="D754" s="143">
        <v>3</v>
      </c>
      <c r="E754" s="50"/>
      <c r="F754" s="334"/>
      <c r="G754" s="112">
        <v>0</v>
      </c>
      <c r="H754" s="120">
        <v>0</v>
      </c>
      <c r="I754" s="120">
        <v>0</v>
      </c>
      <c r="J754" s="120">
        <v>0</v>
      </c>
      <c r="K754" s="110">
        <v>0</v>
      </c>
      <c r="L754" s="110"/>
      <c r="M754" s="110">
        <v>0</v>
      </c>
      <c r="N754" s="110"/>
      <c r="O754" s="110"/>
      <c r="P754" s="110">
        <f t="shared" si="96"/>
        <v>0</v>
      </c>
      <c r="Q754" s="110">
        <f t="shared" si="97"/>
        <v>0</v>
      </c>
      <c r="R754" s="110">
        <f t="shared" si="98"/>
        <v>0</v>
      </c>
      <c r="S754" s="112">
        <v>0</v>
      </c>
    </row>
    <row r="755" spans="1:19">
      <c r="A755" s="79"/>
      <c r="B755" s="77" t="s">
        <v>29</v>
      </c>
      <c r="C755" s="76" t="s">
        <v>4</v>
      </c>
      <c r="D755" s="143">
        <v>1</v>
      </c>
      <c r="E755" s="57"/>
      <c r="F755" s="334"/>
      <c r="G755" s="112">
        <v>0</v>
      </c>
      <c r="H755" s="120">
        <v>0</v>
      </c>
      <c r="I755" s="120">
        <v>0</v>
      </c>
      <c r="J755" s="120">
        <v>0</v>
      </c>
      <c r="K755" s="110">
        <v>0</v>
      </c>
      <c r="L755" s="110"/>
      <c r="M755" s="110">
        <v>0</v>
      </c>
      <c r="N755" s="110"/>
      <c r="O755" s="110"/>
      <c r="P755" s="110">
        <f t="shared" si="96"/>
        <v>0</v>
      </c>
      <c r="Q755" s="110">
        <f t="shared" si="97"/>
        <v>0</v>
      </c>
      <c r="R755" s="110">
        <f t="shared" si="98"/>
        <v>0</v>
      </c>
      <c r="S755" s="112">
        <v>0</v>
      </c>
    </row>
    <row r="756" spans="1:19">
      <c r="A756" s="79"/>
      <c r="B756" s="77" t="s">
        <v>30</v>
      </c>
      <c r="C756" s="76" t="s">
        <v>4</v>
      </c>
      <c r="D756" s="143">
        <v>1</v>
      </c>
      <c r="E756" s="50"/>
      <c r="F756" s="334"/>
      <c r="G756" s="112">
        <v>0</v>
      </c>
      <c r="H756" s="120">
        <v>0</v>
      </c>
      <c r="I756" s="120">
        <v>0</v>
      </c>
      <c r="J756" s="120">
        <v>0</v>
      </c>
      <c r="K756" s="110">
        <v>0</v>
      </c>
      <c r="L756" s="110"/>
      <c r="M756" s="110">
        <v>0</v>
      </c>
      <c r="N756" s="110"/>
      <c r="O756" s="110"/>
      <c r="P756" s="110">
        <f t="shared" si="96"/>
        <v>0</v>
      </c>
      <c r="Q756" s="110">
        <f t="shared" si="97"/>
        <v>0</v>
      </c>
      <c r="R756" s="110">
        <f t="shared" si="98"/>
        <v>0</v>
      </c>
      <c r="S756" s="112">
        <v>0</v>
      </c>
    </row>
    <row r="757" spans="1:19">
      <c r="A757" s="79"/>
      <c r="B757" s="77" t="s">
        <v>193</v>
      </c>
      <c r="C757" s="76" t="s">
        <v>4</v>
      </c>
      <c r="D757" s="143">
        <v>3</v>
      </c>
      <c r="E757" s="50"/>
      <c r="F757" s="334"/>
      <c r="G757" s="112">
        <v>0</v>
      </c>
      <c r="H757" s="120">
        <v>0</v>
      </c>
      <c r="I757" s="120">
        <v>0</v>
      </c>
      <c r="J757" s="120">
        <v>0</v>
      </c>
      <c r="K757" s="110">
        <v>0</v>
      </c>
      <c r="L757" s="110"/>
      <c r="M757" s="110">
        <v>0</v>
      </c>
      <c r="N757" s="110"/>
      <c r="O757" s="110"/>
      <c r="P757" s="110">
        <f t="shared" si="96"/>
        <v>0</v>
      </c>
      <c r="Q757" s="110">
        <f t="shared" si="97"/>
        <v>0</v>
      </c>
      <c r="R757" s="110">
        <f t="shared" si="98"/>
        <v>0</v>
      </c>
      <c r="S757" s="112">
        <v>0</v>
      </c>
    </row>
    <row r="758" spans="1:19">
      <c r="A758" s="79"/>
      <c r="B758" s="77" t="s">
        <v>14</v>
      </c>
      <c r="C758" s="76" t="s">
        <v>4</v>
      </c>
      <c r="D758" s="143">
        <v>3</v>
      </c>
      <c r="E758" s="50"/>
      <c r="F758" s="334"/>
      <c r="G758" s="112">
        <v>0</v>
      </c>
      <c r="H758" s="120">
        <v>0</v>
      </c>
      <c r="I758" s="120">
        <v>0</v>
      </c>
      <c r="J758" s="120">
        <v>0</v>
      </c>
      <c r="K758" s="110">
        <v>0</v>
      </c>
      <c r="L758" s="110"/>
      <c r="M758" s="110">
        <v>0</v>
      </c>
      <c r="N758" s="110"/>
      <c r="O758" s="110"/>
      <c r="P758" s="110">
        <f t="shared" si="96"/>
        <v>0</v>
      </c>
      <c r="Q758" s="110">
        <f t="shared" si="97"/>
        <v>0</v>
      </c>
      <c r="R758" s="110">
        <f t="shared" si="98"/>
        <v>0</v>
      </c>
      <c r="S758" s="112">
        <v>0</v>
      </c>
    </row>
    <row r="759" spans="1:19">
      <c r="A759" s="79"/>
      <c r="B759" s="77" t="s">
        <v>153</v>
      </c>
      <c r="C759" s="76" t="s">
        <v>4</v>
      </c>
      <c r="D759" s="143">
        <v>3</v>
      </c>
      <c r="E759" s="50"/>
      <c r="F759" s="334"/>
      <c r="G759" s="112">
        <v>0</v>
      </c>
      <c r="H759" s="120">
        <v>0</v>
      </c>
      <c r="I759" s="120">
        <v>0</v>
      </c>
      <c r="J759" s="120">
        <v>0</v>
      </c>
      <c r="K759" s="110">
        <v>0</v>
      </c>
      <c r="L759" s="110"/>
      <c r="M759" s="110">
        <v>0</v>
      </c>
      <c r="N759" s="110"/>
      <c r="O759" s="110"/>
      <c r="P759" s="110">
        <f t="shared" si="96"/>
        <v>0</v>
      </c>
      <c r="Q759" s="110">
        <f t="shared" si="97"/>
        <v>0</v>
      </c>
      <c r="R759" s="110">
        <f t="shared" si="98"/>
        <v>0</v>
      </c>
      <c r="S759" s="112">
        <v>0</v>
      </c>
    </row>
    <row r="760" spans="1:19">
      <c r="A760" s="79"/>
      <c r="B760" s="77" t="s">
        <v>154</v>
      </c>
      <c r="C760" s="76"/>
      <c r="D760" s="143"/>
      <c r="E760" s="74"/>
      <c r="F760" s="74"/>
      <c r="G760" s="112">
        <v>0</v>
      </c>
      <c r="H760" s="120">
        <v>0</v>
      </c>
      <c r="I760" s="120">
        <v>0</v>
      </c>
      <c r="J760" s="120">
        <v>0</v>
      </c>
      <c r="K760" s="110">
        <v>0</v>
      </c>
      <c r="L760" s="110"/>
      <c r="M760" s="110">
        <v>0</v>
      </c>
      <c r="N760" s="110"/>
      <c r="O760" s="110"/>
      <c r="P760" s="110">
        <f t="shared" si="96"/>
        <v>0</v>
      </c>
      <c r="Q760" s="110">
        <f t="shared" si="97"/>
        <v>0</v>
      </c>
      <c r="R760" s="110">
        <f t="shared" si="98"/>
        <v>0</v>
      </c>
      <c r="S760" s="112">
        <v>0</v>
      </c>
    </row>
    <row r="761" spans="1:19">
      <c r="A761" s="79"/>
      <c r="B761" s="77" t="s">
        <v>243</v>
      </c>
      <c r="C761" s="76" t="s">
        <v>4</v>
      </c>
      <c r="D761" s="143">
        <v>1</v>
      </c>
      <c r="E761" s="74"/>
      <c r="F761" s="334"/>
      <c r="G761" s="112">
        <v>0</v>
      </c>
      <c r="H761" s="120">
        <v>0</v>
      </c>
      <c r="I761" s="120">
        <v>0</v>
      </c>
      <c r="J761" s="120">
        <v>0</v>
      </c>
      <c r="K761" s="110">
        <v>0</v>
      </c>
      <c r="L761" s="110"/>
      <c r="M761" s="110">
        <v>0</v>
      </c>
      <c r="N761" s="110"/>
      <c r="O761" s="110"/>
      <c r="P761" s="110">
        <f t="shared" si="96"/>
        <v>0</v>
      </c>
      <c r="Q761" s="110">
        <f t="shared" si="97"/>
        <v>0</v>
      </c>
      <c r="R761" s="110">
        <f t="shared" si="98"/>
        <v>0</v>
      </c>
      <c r="S761" s="112">
        <v>0</v>
      </c>
    </row>
    <row r="762" spans="1:19">
      <c r="A762" s="79"/>
      <c r="B762" s="77" t="s">
        <v>251</v>
      </c>
      <c r="C762" s="76" t="s">
        <v>4</v>
      </c>
      <c r="D762" s="143">
        <v>4</v>
      </c>
      <c r="E762" s="74"/>
      <c r="F762" s="334"/>
      <c r="G762" s="112">
        <v>0</v>
      </c>
      <c r="H762" s="120">
        <v>0</v>
      </c>
      <c r="I762" s="120">
        <v>0</v>
      </c>
      <c r="J762" s="120">
        <v>0</v>
      </c>
      <c r="K762" s="110">
        <v>0</v>
      </c>
      <c r="L762" s="110"/>
      <c r="M762" s="110">
        <v>0</v>
      </c>
      <c r="N762" s="110"/>
      <c r="O762" s="110"/>
      <c r="P762" s="110">
        <f t="shared" si="96"/>
        <v>0</v>
      </c>
      <c r="Q762" s="110">
        <f t="shared" si="97"/>
        <v>0</v>
      </c>
      <c r="R762" s="110">
        <f t="shared" si="98"/>
        <v>0</v>
      </c>
      <c r="S762" s="112">
        <v>0</v>
      </c>
    </row>
    <row r="763" spans="1:19">
      <c r="A763" s="79"/>
      <c r="B763" s="77" t="s">
        <v>158</v>
      </c>
      <c r="C763" s="76" t="s">
        <v>4</v>
      </c>
      <c r="D763" s="143">
        <v>1</v>
      </c>
      <c r="E763" s="74"/>
      <c r="F763" s="334"/>
      <c r="G763" s="112">
        <v>0</v>
      </c>
      <c r="H763" s="120">
        <v>0</v>
      </c>
      <c r="I763" s="120">
        <v>0</v>
      </c>
      <c r="J763" s="120">
        <v>0</v>
      </c>
      <c r="K763" s="110">
        <v>0</v>
      </c>
      <c r="L763" s="110"/>
      <c r="M763" s="110">
        <v>0</v>
      </c>
      <c r="N763" s="110"/>
      <c r="O763" s="110"/>
      <c r="P763" s="110">
        <f t="shared" si="96"/>
        <v>0</v>
      </c>
      <c r="Q763" s="110">
        <f t="shared" si="97"/>
        <v>0</v>
      </c>
      <c r="R763" s="110">
        <f t="shared" si="98"/>
        <v>0</v>
      </c>
      <c r="S763" s="112">
        <v>0</v>
      </c>
    </row>
    <row r="764" spans="1:19">
      <c r="A764" s="79"/>
      <c r="B764" s="77" t="s">
        <v>265</v>
      </c>
      <c r="C764" s="76" t="s">
        <v>8</v>
      </c>
      <c r="D764" s="143">
        <v>4</v>
      </c>
      <c r="E764" s="74"/>
      <c r="F764" s="334"/>
      <c r="G764" s="112">
        <v>0</v>
      </c>
      <c r="H764" s="120">
        <v>0</v>
      </c>
      <c r="I764" s="120">
        <v>0</v>
      </c>
      <c r="J764" s="120">
        <v>0</v>
      </c>
      <c r="K764" s="110">
        <v>0</v>
      </c>
      <c r="L764" s="110"/>
      <c r="M764" s="110">
        <v>0</v>
      </c>
      <c r="N764" s="110"/>
      <c r="O764" s="110"/>
      <c r="P764" s="110">
        <f t="shared" si="96"/>
        <v>0</v>
      </c>
      <c r="Q764" s="110">
        <f t="shared" si="97"/>
        <v>0</v>
      </c>
      <c r="R764" s="110">
        <f t="shared" si="98"/>
        <v>0</v>
      </c>
      <c r="S764" s="112">
        <v>0</v>
      </c>
    </row>
    <row r="765" spans="1:19">
      <c r="A765" s="79"/>
      <c r="B765" s="77" t="s">
        <v>172</v>
      </c>
      <c r="C765" s="76" t="s">
        <v>4</v>
      </c>
      <c r="D765" s="143">
        <v>4</v>
      </c>
      <c r="E765" s="73"/>
      <c r="F765" s="334"/>
      <c r="G765" s="112">
        <v>0</v>
      </c>
      <c r="H765" s="120">
        <v>0</v>
      </c>
      <c r="I765" s="120">
        <v>0</v>
      </c>
      <c r="J765" s="120">
        <v>0</v>
      </c>
      <c r="K765" s="110">
        <v>0</v>
      </c>
      <c r="L765" s="110"/>
      <c r="M765" s="110">
        <v>0</v>
      </c>
      <c r="N765" s="110"/>
      <c r="O765" s="110"/>
      <c r="P765" s="110">
        <f t="shared" si="96"/>
        <v>0</v>
      </c>
      <c r="Q765" s="110">
        <f t="shared" si="97"/>
        <v>0</v>
      </c>
      <c r="R765" s="110">
        <f t="shared" si="98"/>
        <v>0</v>
      </c>
      <c r="S765" s="112">
        <v>0</v>
      </c>
    </row>
    <row r="766" spans="1:19">
      <c r="A766" s="79"/>
      <c r="B766" s="77" t="s">
        <v>173</v>
      </c>
      <c r="C766" s="76" t="s">
        <v>4</v>
      </c>
      <c r="D766" s="143">
        <v>4</v>
      </c>
      <c r="E766" s="74"/>
      <c r="F766" s="334"/>
      <c r="G766" s="112">
        <v>0</v>
      </c>
      <c r="H766" s="120">
        <v>0</v>
      </c>
      <c r="I766" s="120">
        <v>0</v>
      </c>
      <c r="J766" s="120">
        <v>0</v>
      </c>
      <c r="K766" s="110">
        <v>0</v>
      </c>
      <c r="L766" s="110"/>
      <c r="M766" s="110">
        <v>0</v>
      </c>
      <c r="N766" s="110"/>
      <c r="O766" s="110"/>
      <c r="P766" s="110">
        <f t="shared" si="96"/>
        <v>0</v>
      </c>
      <c r="Q766" s="110">
        <f t="shared" si="97"/>
        <v>0</v>
      </c>
      <c r="R766" s="110">
        <f t="shared" si="98"/>
        <v>0</v>
      </c>
      <c r="S766" s="112">
        <v>0</v>
      </c>
    </row>
    <row r="767" spans="1:19">
      <c r="A767" s="79"/>
      <c r="B767" s="77" t="s">
        <v>266</v>
      </c>
      <c r="C767" s="76" t="s">
        <v>4</v>
      </c>
      <c r="D767" s="143">
        <v>4</v>
      </c>
      <c r="E767" s="74"/>
      <c r="F767" s="334"/>
      <c r="G767" s="112">
        <v>0</v>
      </c>
      <c r="H767" s="120">
        <v>0</v>
      </c>
      <c r="I767" s="120">
        <v>0</v>
      </c>
      <c r="J767" s="120">
        <v>0</v>
      </c>
      <c r="K767" s="110">
        <v>0</v>
      </c>
      <c r="L767" s="110"/>
      <c r="M767" s="110">
        <v>0</v>
      </c>
      <c r="N767" s="110"/>
      <c r="O767" s="110"/>
      <c r="P767" s="110">
        <f t="shared" si="96"/>
        <v>0</v>
      </c>
      <c r="Q767" s="110">
        <f t="shared" si="97"/>
        <v>0</v>
      </c>
      <c r="R767" s="110">
        <f t="shared" si="98"/>
        <v>0</v>
      </c>
      <c r="S767" s="112">
        <v>0</v>
      </c>
    </row>
    <row r="768" spans="1:19">
      <c r="A768" s="79"/>
      <c r="B768" s="77" t="s">
        <v>175</v>
      </c>
      <c r="C768" s="76" t="s">
        <v>4</v>
      </c>
      <c r="D768" s="143">
        <v>4</v>
      </c>
      <c r="E768" s="74"/>
      <c r="F768" s="334"/>
      <c r="G768" s="112">
        <v>0</v>
      </c>
      <c r="H768" s="120">
        <v>0</v>
      </c>
      <c r="I768" s="120">
        <v>0</v>
      </c>
      <c r="J768" s="120">
        <v>0</v>
      </c>
      <c r="K768" s="110">
        <v>0</v>
      </c>
      <c r="L768" s="110"/>
      <c r="M768" s="110">
        <v>0</v>
      </c>
      <c r="N768" s="110"/>
      <c r="O768" s="110"/>
      <c r="P768" s="110">
        <f t="shared" si="96"/>
        <v>0</v>
      </c>
      <c r="Q768" s="110">
        <f t="shared" si="97"/>
        <v>0</v>
      </c>
      <c r="R768" s="110">
        <f t="shared" si="98"/>
        <v>0</v>
      </c>
      <c r="S768" s="112">
        <v>0</v>
      </c>
    </row>
    <row r="769" spans="1:19">
      <c r="A769" s="79"/>
      <c r="B769" s="77" t="s">
        <v>176</v>
      </c>
      <c r="C769" s="76" t="s">
        <v>4</v>
      </c>
      <c r="D769" s="143">
        <v>8</v>
      </c>
      <c r="E769" s="74"/>
      <c r="F769" s="334"/>
      <c r="G769" s="112">
        <v>0</v>
      </c>
      <c r="H769" s="120">
        <v>0</v>
      </c>
      <c r="I769" s="120">
        <v>0</v>
      </c>
      <c r="J769" s="120">
        <v>0</v>
      </c>
      <c r="K769" s="110">
        <v>0</v>
      </c>
      <c r="L769" s="110"/>
      <c r="M769" s="110">
        <v>0</v>
      </c>
      <c r="N769" s="110"/>
      <c r="O769" s="110"/>
      <c r="P769" s="110">
        <f t="shared" si="96"/>
        <v>0</v>
      </c>
      <c r="Q769" s="110">
        <f t="shared" si="97"/>
        <v>0</v>
      </c>
      <c r="R769" s="110">
        <f t="shared" si="98"/>
        <v>0</v>
      </c>
      <c r="S769" s="112">
        <v>0</v>
      </c>
    </row>
    <row r="770" spans="1:19">
      <c r="A770" s="79"/>
      <c r="B770" s="77" t="s">
        <v>177</v>
      </c>
      <c r="C770" s="76" t="s">
        <v>17</v>
      </c>
      <c r="D770" s="143">
        <v>1</v>
      </c>
      <c r="E770" s="75"/>
      <c r="F770" s="334"/>
      <c r="G770" s="112">
        <v>0</v>
      </c>
      <c r="H770" s="120">
        <v>0</v>
      </c>
      <c r="I770" s="120">
        <v>0</v>
      </c>
      <c r="J770" s="120">
        <v>0</v>
      </c>
      <c r="K770" s="110">
        <v>0</v>
      </c>
      <c r="L770" s="110"/>
      <c r="M770" s="110">
        <v>0</v>
      </c>
      <c r="N770" s="110"/>
      <c r="O770" s="110"/>
      <c r="P770" s="110">
        <f t="shared" si="96"/>
        <v>0</v>
      </c>
      <c r="Q770" s="110">
        <f t="shared" si="97"/>
        <v>0</v>
      </c>
      <c r="R770" s="110">
        <f t="shared" si="98"/>
        <v>0</v>
      </c>
      <c r="S770" s="112">
        <v>0</v>
      </c>
    </row>
    <row r="771" spans="1:19">
      <c r="A771" s="79"/>
      <c r="B771" s="77" t="s">
        <v>254</v>
      </c>
      <c r="C771" s="76" t="s">
        <v>4</v>
      </c>
      <c r="D771" s="143">
        <v>2</v>
      </c>
      <c r="E771" s="73"/>
      <c r="F771" s="334"/>
      <c r="G771" s="112">
        <v>0</v>
      </c>
      <c r="H771" s="120">
        <v>0</v>
      </c>
      <c r="I771" s="120">
        <v>0</v>
      </c>
      <c r="J771" s="120">
        <v>0</v>
      </c>
      <c r="K771" s="110">
        <v>0</v>
      </c>
      <c r="L771" s="110"/>
      <c r="M771" s="110">
        <v>0</v>
      </c>
      <c r="N771" s="110"/>
      <c r="O771" s="110"/>
      <c r="P771" s="110">
        <f t="shared" si="96"/>
        <v>0</v>
      </c>
      <c r="Q771" s="110">
        <f t="shared" si="97"/>
        <v>0</v>
      </c>
      <c r="R771" s="110">
        <f t="shared" si="98"/>
        <v>0</v>
      </c>
      <c r="S771" s="112">
        <v>0</v>
      </c>
    </row>
    <row r="772" spans="1:19">
      <c r="A772" s="79"/>
      <c r="B772" s="77" t="s">
        <v>163</v>
      </c>
      <c r="C772" s="76" t="s">
        <v>4</v>
      </c>
      <c r="D772" s="143">
        <v>1</v>
      </c>
      <c r="E772" s="50"/>
      <c r="F772" s="334"/>
      <c r="G772" s="112">
        <v>0</v>
      </c>
      <c r="H772" s="120">
        <v>0</v>
      </c>
      <c r="I772" s="120">
        <v>0</v>
      </c>
      <c r="J772" s="120">
        <v>0</v>
      </c>
      <c r="K772" s="110">
        <v>0</v>
      </c>
      <c r="L772" s="110"/>
      <c r="M772" s="110">
        <v>0</v>
      </c>
      <c r="N772" s="110"/>
      <c r="O772" s="110"/>
      <c r="P772" s="110">
        <f t="shared" si="96"/>
        <v>0</v>
      </c>
      <c r="Q772" s="110">
        <f t="shared" si="97"/>
        <v>0</v>
      </c>
      <c r="R772" s="110">
        <f t="shared" si="98"/>
        <v>0</v>
      </c>
      <c r="S772" s="112">
        <v>0</v>
      </c>
    </row>
    <row r="773" spans="1:19" ht="30">
      <c r="A773" s="79"/>
      <c r="B773" s="77" t="s">
        <v>206</v>
      </c>
      <c r="C773" s="76" t="s">
        <v>8</v>
      </c>
      <c r="D773" s="143">
        <v>1</v>
      </c>
      <c r="E773" s="57"/>
      <c r="F773" s="334"/>
      <c r="G773" s="112">
        <v>0</v>
      </c>
      <c r="H773" s="120">
        <v>0</v>
      </c>
      <c r="I773" s="120">
        <v>0</v>
      </c>
      <c r="J773" s="120">
        <v>0</v>
      </c>
      <c r="K773" s="110">
        <v>0</v>
      </c>
      <c r="L773" s="110"/>
      <c r="M773" s="110">
        <v>0</v>
      </c>
      <c r="N773" s="110"/>
      <c r="O773" s="110"/>
      <c r="P773" s="110">
        <f t="shared" si="96"/>
        <v>0</v>
      </c>
      <c r="Q773" s="110">
        <f t="shared" si="97"/>
        <v>0</v>
      </c>
      <c r="R773" s="110">
        <f t="shared" si="98"/>
        <v>0</v>
      </c>
      <c r="S773" s="112">
        <v>0</v>
      </c>
    </row>
    <row r="774" spans="1:19">
      <c r="A774" s="79"/>
      <c r="B774" s="77" t="s">
        <v>207</v>
      </c>
      <c r="C774" s="76" t="s">
        <v>8</v>
      </c>
      <c r="D774" s="143">
        <v>1</v>
      </c>
      <c r="E774" s="50"/>
      <c r="F774" s="334"/>
      <c r="G774" s="112">
        <v>0</v>
      </c>
      <c r="H774" s="120">
        <v>0</v>
      </c>
      <c r="I774" s="120">
        <v>0</v>
      </c>
      <c r="J774" s="120">
        <v>0</v>
      </c>
      <c r="K774" s="110">
        <v>0</v>
      </c>
      <c r="L774" s="110"/>
      <c r="M774" s="110">
        <v>0</v>
      </c>
      <c r="N774" s="110"/>
      <c r="O774" s="110"/>
      <c r="P774" s="110">
        <f t="shared" si="96"/>
        <v>0</v>
      </c>
      <c r="Q774" s="110">
        <f t="shared" si="97"/>
        <v>0</v>
      </c>
      <c r="R774" s="110">
        <f t="shared" si="98"/>
        <v>0</v>
      </c>
      <c r="S774" s="112">
        <v>0</v>
      </c>
    </row>
    <row r="775" spans="1:19" ht="45">
      <c r="A775" s="79"/>
      <c r="B775" s="77" t="s">
        <v>166</v>
      </c>
      <c r="C775" s="76" t="s">
        <v>17</v>
      </c>
      <c r="D775" s="143">
        <v>1</v>
      </c>
      <c r="E775" s="50"/>
      <c r="F775" s="334"/>
      <c r="G775" s="112">
        <v>0</v>
      </c>
      <c r="H775" s="120">
        <v>0</v>
      </c>
      <c r="I775" s="120">
        <v>0</v>
      </c>
      <c r="J775" s="120">
        <v>0</v>
      </c>
      <c r="K775" s="110">
        <v>0</v>
      </c>
      <c r="L775" s="110"/>
      <c r="M775" s="110">
        <v>0</v>
      </c>
      <c r="N775" s="110"/>
      <c r="O775" s="110"/>
      <c r="P775" s="110">
        <f t="shared" si="96"/>
        <v>0</v>
      </c>
      <c r="Q775" s="110">
        <f t="shared" si="97"/>
        <v>0</v>
      </c>
      <c r="R775" s="110">
        <f t="shared" si="98"/>
        <v>0</v>
      </c>
      <c r="S775" s="112">
        <v>0</v>
      </c>
    </row>
    <row r="776" spans="1:19" ht="60">
      <c r="A776" s="79">
        <v>17</v>
      </c>
      <c r="B776" s="77" t="s">
        <v>267</v>
      </c>
      <c r="C776" s="76" t="s">
        <v>6</v>
      </c>
      <c r="D776" s="143">
        <v>2</v>
      </c>
      <c r="E776" s="50"/>
      <c r="F776" s="334">
        <v>2</v>
      </c>
      <c r="G776" s="112" t="s">
        <v>833</v>
      </c>
      <c r="H776" s="120" t="s">
        <v>1076</v>
      </c>
      <c r="I776" s="120" t="s">
        <v>828</v>
      </c>
      <c r="J776" s="120" t="s">
        <v>829</v>
      </c>
      <c r="K776" s="110">
        <v>20829900</v>
      </c>
      <c r="L776" s="110"/>
      <c r="M776" s="110">
        <v>2821000</v>
      </c>
      <c r="N776" s="110"/>
      <c r="O776" s="110"/>
      <c r="P776" s="110">
        <f t="shared" si="96"/>
        <v>23650900</v>
      </c>
      <c r="Q776" s="110">
        <f t="shared" si="97"/>
        <v>47301800</v>
      </c>
      <c r="R776" s="110">
        <f t="shared" si="98"/>
        <v>47301800</v>
      </c>
      <c r="S776" s="112" t="s">
        <v>4094</v>
      </c>
    </row>
    <row r="777" spans="1:19" ht="45">
      <c r="A777" s="79"/>
      <c r="B777" s="77" t="s">
        <v>182</v>
      </c>
      <c r="C777" s="76" t="s">
        <v>4</v>
      </c>
      <c r="D777" s="143">
        <v>1</v>
      </c>
      <c r="E777" s="50"/>
      <c r="F777" s="334"/>
      <c r="G777" s="112">
        <v>0</v>
      </c>
      <c r="H777" s="120">
        <v>0</v>
      </c>
      <c r="I777" s="120">
        <v>0</v>
      </c>
      <c r="J777" s="120">
        <v>0</v>
      </c>
      <c r="K777" s="110">
        <v>0</v>
      </c>
      <c r="L777" s="110"/>
      <c r="M777" s="110">
        <v>0</v>
      </c>
      <c r="N777" s="110"/>
      <c r="O777" s="110"/>
      <c r="P777" s="110">
        <f t="shared" si="96"/>
        <v>0</v>
      </c>
      <c r="Q777" s="110">
        <f t="shared" si="97"/>
        <v>0</v>
      </c>
      <c r="R777" s="110">
        <f t="shared" si="98"/>
        <v>0</v>
      </c>
      <c r="S777" s="112" t="s">
        <v>150</v>
      </c>
    </row>
    <row r="778" spans="1:19">
      <c r="A778" s="79"/>
      <c r="B778" s="77" t="s">
        <v>151</v>
      </c>
      <c r="C778" s="76"/>
      <c r="D778" s="143"/>
      <c r="E778" s="74"/>
      <c r="F778" s="74"/>
      <c r="G778" s="112">
        <v>0</v>
      </c>
      <c r="H778" s="120">
        <v>0</v>
      </c>
      <c r="I778" s="120">
        <v>0</v>
      </c>
      <c r="J778" s="120">
        <v>0</v>
      </c>
      <c r="K778" s="110">
        <v>0</v>
      </c>
      <c r="L778" s="110"/>
      <c r="M778" s="110">
        <v>0</v>
      </c>
      <c r="N778" s="110"/>
      <c r="O778" s="110"/>
      <c r="P778" s="110">
        <f t="shared" si="96"/>
        <v>0</v>
      </c>
      <c r="Q778" s="110">
        <f t="shared" si="97"/>
        <v>0</v>
      </c>
      <c r="R778" s="110">
        <f t="shared" si="98"/>
        <v>0</v>
      </c>
      <c r="S778" s="112">
        <v>0</v>
      </c>
    </row>
    <row r="779" spans="1:19">
      <c r="A779" s="79"/>
      <c r="B779" s="77" t="s">
        <v>191</v>
      </c>
      <c r="C779" s="76" t="s">
        <v>4</v>
      </c>
      <c r="D779" s="143">
        <v>1</v>
      </c>
      <c r="E779" s="74"/>
      <c r="F779" s="334"/>
      <c r="G779" s="112">
        <v>0</v>
      </c>
      <c r="H779" s="120">
        <v>0</v>
      </c>
      <c r="I779" s="120">
        <v>0</v>
      </c>
      <c r="J779" s="120">
        <v>0</v>
      </c>
      <c r="K779" s="110">
        <v>0</v>
      </c>
      <c r="L779" s="110"/>
      <c r="M779" s="110">
        <v>0</v>
      </c>
      <c r="N779" s="110"/>
      <c r="O779" s="110"/>
      <c r="P779" s="110">
        <f t="shared" si="96"/>
        <v>0</v>
      </c>
      <c r="Q779" s="110">
        <f t="shared" si="97"/>
        <v>0</v>
      </c>
      <c r="R779" s="110">
        <f t="shared" si="98"/>
        <v>0</v>
      </c>
      <c r="S779" s="112">
        <v>0</v>
      </c>
    </row>
    <row r="780" spans="1:19">
      <c r="A780" s="79"/>
      <c r="B780" s="77" t="s">
        <v>192</v>
      </c>
      <c r="C780" s="76" t="s">
        <v>12</v>
      </c>
      <c r="D780" s="143">
        <v>3</v>
      </c>
      <c r="E780" s="74"/>
      <c r="F780" s="334"/>
      <c r="G780" s="112">
        <v>0</v>
      </c>
      <c r="H780" s="120">
        <v>0</v>
      </c>
      <c r="I780" s="120">
        <v>0</v>
      </c>
      <c r="J780" s="120">
        <v>0</v>
      </c>
      <c r="K780" s="110">
        <v>0</v>
      </c>
      <c r="L780" s="110"/>
      <c r="M780" s="110">
        <v>0</v>
      </c>
      <c r="N780" s="110"/>
      <c r="O780" s="110"/>
      <c r="P780" s="110">
        <f t="shared" si="96"/>
        <v>0</v>
      </c>
      <c r="Q780" s="110">
        <f t="shared" si="97"/>
        <v>0</v>
      </c>
      <c r="R780" s="110">
        <f t="shared" si="98"/>
        <v>0</v>
      </c>
      <c r="S780" s="112">
        <v>0</v>
      </c>
    </row>
    <row r="781" spans="1:19">
      <c r="A781" s="79"/>
      <c r="B781" s="77" t="s">
        <v>29</v>
      </c>
      <c r="C781" s="76" t="s">
        <v>4</v>
      </c>
      <c r="D781" s="143">
        <v>1</v>
      </c>
      <c r="E781" s="74"/>
      <c r="F781" s="334"/>
      <c r="G781" s="112">
        <v>0</v>
      </c>
      <c r="H781" s="120">
        <v>0</v>
      </c>
      <c r="I781" s="120">
        <v>0</v>
      </c>
      <c r="J781" s="120">
        <v>0</v>
      </c>
      <c r="K781" s="110">
        <v>0</v>
      </c>
      <c r="L781" s="110"/>
      <c r="M781" s="110">
        <v>0</v>
      </c>
      <c r="N781" s="110"/>
      <c r="O781" s="110"/>
      <c r="P781" s="110">
        <f t="shared" si="96"/>
        <v>0</v>
      </c>
      <c r="Q781" s="110">
        <f t="shared" si="97"/>
        <v>0</v>
      </c>
      <c r="R781" s="110">
        <f t="shared" si="98"/>
        <v>0</v>
      </c>
      <c r="S781" s="112">
        <v>0</v>
      </c>
    </row>
    <row r="782" spans="1:19">
      <c r="A782" s="79"/>
      <c r="B782" s="77" t="s">
        <v>30</v>
      </c>
      <c r="C782" s="76" t="s">
        <v>4</v>
      </c>
      <c r="D782" s="143">
        <v>1</v>
      </c>
      <c r="E782" s="74"/>
      <c r="F782" s="334"/>
      <c r="G782" s="112">
        <v>0</v>
      </c>
      <c r="H782" s="120">
        <v>0</v>
      </c>
      <c r="I782" s="120">
        <v>0</v>
      </c>
      <c r="J782" s="120">
        <v>0</v>
      </c>
      <c r="K782" s="110">
        <v>0</v>
      </c>
      <c r="L782" s="110"/>
      <c r="M782" s="110">
        <v>0</v>
      </c>
      <c r="N782" s="110"/>
      <c r="O782" s="110"/>
      <c r="P782" s="110">
        <f t="shared" si="96"/>
        <v>0</v>
      </c>
      <c r="Q782" s="110">
        <f t="shared" si="97"/>
        <v>0</v>
      </c>
      <c r="R782" s="110">
        <f t="shared" si="98"/>
        <v>0</v>
      </c>
      <c r="S782" s="112">
        <v>0</v>
      </c>
    </row>
    <row r="783" spans="1:19">
      <c r="A783" s="79"/>
      <c r="B783" s="77" t="s">
        <v>193</v>
      </c>
      <c r="C783" s="76" t="s">
        <v>4</v>
      </c>
      <c r="D783" s="143">
        <v>3</v>
      </c>
      <c r="E783" s="73"/>
      <c r="F783" s="334"/>
      <c r="G783" s="112">
        <v>0</v>
      </c>
      <c r="H783" s="120">
        <v>0</v>
      </c>
      <c r="I783" s="120">
        <v>0</v>
      </c>
      <c r="J783" s="120">
        <v>0</v>
      </c>
      <c r="K783" s="110">
        <v>0</v>
      </c>
      <c r="L783" s="110"/>
      <c r="M783" s="110">
        <v>0</v>
      </c>
      <c r="N783" s="110"/>
      <c r="O783" s="110"/>
      <c r="P783" s="110">
        <f t="shared" si="96"/>
        <v>0</v>
      </c>
      <c r="Q783" s="110">
        <f t="shared" si="97"/>
        <v>0</v>
      </c>
      <c r="R783" s="110">
        <f t="shared" si="98"/>
        <v>0</v>
      </c>
      <c r="S783" s="112">
        <v>0</v>
      </c>
    </row>
    <row r="784" spans="1:19">
      <c r="A784" s="79"/>
      <c r="B784" s="77" t="s">
        <v>14</v>
      </c>
      <c r="C784" s="76" t="s">
        <v>4</v>
      </c>
      <c r="D784" s="143">
        <v>3</v>
      </c>
      <c r="E784" s="74"/>
      <c r="F784" s="334"/>
      <c r="G784" s="112">
        <v>0</v>
      </c>
      <c r="H784" s="120">
        <v>0</v>
      </c>
      <c r="I784" s="120">
        <v>0</v>
      </c>
      <c r="J784" s="120">
        <v>0</v>
      </c>
      <c r="K784" s="110">
        <v>0</v>
      </c>
      <c r="L784" s="110"/>
      <c r="M784" s="110">
        <v>0</v>
      </c>
      <c r="N784" s="110"/>
      <c r="O784" s="110"/>
      <c r="P784" s="110">
        <f t="shared" si="96"/>
        <v>0</v>
      </c>
      <c r="Q784" s="110">
        <f t="shared" si="97"/>
        <v>0</v>
      </c>
      <c r="R784" s="110">
        <f t="shared" si="98"/>
        <v>0</v>
      </c>
      <c r="S784" s="112">
        <v>0</v>
      </c>
    </row>
    <row r="785" spans="1:19">
      <c r="A785" s="79"/>
      <c r="B785" s="77" t="s">
        <v>153</v>
      </c>
      <c r="C785" s="76" t="s">
        <v>4</v>
      </c>
      <c r="D785" s="143">
        <v>3</v>
      </c>
      <c r="E785" s="74"/>
      <c r="F785" s="334"/>
      <c r="G785" s="112">
        <v>0</v>
      </c>
      <c r="H785" s="120">
        <v>0</v>
      </c>
      <c r="I785" s="120">
        <v>0</v>
      </c>
      <c r="J785" s="120">
        <v>0</v>
      </c>
      <c r="K785" s="110">
        <v>0</v>
      </c>
      <c r="L785" s="110"/>
      <c r="M785" s="110">
        <v>0</v>
      </c>
      <c r="N785" s="110"/>
      <c r="O785" s="110"/>
      <c r="P785" s="110">
        <f t="shared" si="96"/>
        <v>0</v>
      </c>
      <c r="Q785" s="110">
        <f t="shared" si="97"/>
        <v>0</v>
      </c>
      <c r="R785" s="110">
        <f t="shared" si="98"/>
        <v>0</v>
      </c>
      <c r="S785" s="112">
        <v>0</v>
      </c>
    </row>
    <row r="786" spans="1:19">
      <c r="A786" s="79"/>
      <c r="B786" s="77" t="s">
        <v>154</v>
      </c>
      <c r="C786" s="76"/>
      <c r="D786" s="143"/>
      <c r="E786" s="74"/>
      <c r="F786" s="74"/>
      <c r="G786" s="112">
        <v>0</v>
      </c>
      <c r="H786" s="120">
        <v>0</v>
      </c>
      <c r="I786" s="120">
        <v>0</v>
      </c>
      <c r="J786" s="120">
        <v>0</v>
      </c>
      <c r="K786" s="110">
        <v>0</v>
      </c>
      <c r="L786" s="110"/>
      <c r="M786" s="110">
        <v>0</v>
      </c>
      <c r="N786" s="110"/>
      <c r="O786" s="110"/>
      <c r="P786" s="110">
        <f t="shared" si="96"/>
        <v>0</v>
      </c>
      <c r="Q786" s="110">
        <f t="shared" si="97"/>
        <v>0</v>
      </c>
      <c r="R786" s="110">
        <f t="shared" si="98"/>
        <v>0</v>
      </c>
      <c r="S786" s="112">
        <v>0</v>
      </c>
    </row>
    <row r="787" spans="1:19">
      <c r="A787" s="79"/>
      <c r="B787" s="77" t="s">
        <v>251</v>
      </c>
      <c r="C787" s="76" t="s">
        <v>4</v>
      </c>
      <c r="D787" s="143">
        <v>2</v>
      </c>
      <c r="E787" s="74"/>
      <c r="F787" s="334"/>
      <c r="G787" s="112">
        <v>0</v>
      </c>
      <c r="H787" s="120">
        <v>0</v>
      </c>
      <c r="I787" s="120">
        <v>0</v>
      </c>
      <c r="J787" s="120">
        <v>0</v>
      </c>
      <c r="K787" s="110">
        <v>0</v>
      </c>
      <c r="L787" s="110"/>
      <c r="M787" s="110">
        <v>0</v>
      </c>
      <c r="N787" s="110"/>
      <c r="O787" s="110"/>
      <c r="P787" s="110">
        <f t="shared" si="96"/>
        <v>0</v>
      </c>
      <c r="Q787" s="110">
        <f t="shared" si="97"/>
        <v>0</v>
      </c>
      <c r="R787" s="110">
        <f t="shared" si="98"/>
        <v>0</v>
      </c>
      <c r="S787" s="112">
        <v>0</v>
      </c>
    </row>
    <row r="788" spans="1:19">
      <c r="A788" s="79"/>
      <c r="B788" s="77" t="s">
        <v>158</v>
      </c>
      <c r="C788" s="76" t="s">
        <v>4</v>
      </c>
      <c r="D788" s="143">
        <v>1</v>
      </c>
      <c r="E788" s="74"/>
      <c r="F788" s="334"/>
      <c r="G788" s="112">
        <v>0</v>
      </c>
      <c r="H788" s="120">
        <v>0</v>
      </c>
      <c r="I788" s="120">
        <v>0</v>
      </c>
      <c r="J788" s="120">
        <v>0</v>
      </c>
      <c r="K788" s="110">
        <v>0</v>
      </c>
      <c r="L788" s="110"/>
      <c r="M788" s="110">
        <v>0</v>
      </c>
      <c r="N788" s="110"/>
      <c r="O788" s="110"/>
      <c r="P788" s="110">
        <f t="shared" si="96"/>
        <v>0</v>
      </c>
      <c r="Q788" s="110">
        <f t="shared" si="97"/>
        <v>0</v>
      </c>
      <c r="R788" s="110">
        <f t="shared" si="98"/>
        <v>0</v>
      </c>
      <c r="S788" s="112">
        <v>0</v>
      </c>
    </row>
    <row r="789" spans="1:19">
      <c r="A789" s="79"/>
      <c r="B789" s="77" t="s">
        <v>252</v>
      </c>
      <c r="C789" s="76" t="s">
        <v>8</v>
      </c>
      <c r="D789" s="143">
        <v>2</v>
      </c>
      <c r="E789" s="74"/>
      <c r="F789" s="334"/>
      <c r="G789" s="112">
        <v>0</v>
      </c>
      <c r="H789" s="120">
        <v>0</v>
      </c>
      <c r="I789" s="120">
        <v>0</v>
      </c>
      <c r="J789" s="120">
        <v>0</v>
      </c>
      <c r="K789" s="110">
        <v>0</v>
      </c>
      <c r="L789" s="110"/>
      <c r="M789" s="110">
        <v>0</v>
      </c>
      <c r="N789" s="110"/>
      <c r="O789" s="110"/>
      <c r="P789" s="110">
        <f t="shared" si="96"/>
        <v>0</v>
      </c>
      <c r="Q789" s="110">
        <f t="shared" si="97"/>
        <v>0</v>
      </c>
      <c r="R789" s="110">
        <f t="shared" si="98"/>
        <v>0</v>
      </c>
      <c r="S789" s="112">
        <v>0</v>
      </c>
    </row>
    <row r="790" spans="1:19">
      <c r="A790" s="79"/>
      <c r="B790" s="77" t="s">
        <v>172</v>
      </c>
      <c r="C790" s="76" t="s">
        <v>4</v>
      </c>
      <c r="D790" s="143">
        <v>2</v>
      </c>
      <c r="E790" s="73"/>
      <c r="F790" s="334"/>
      <c r="G790" s="112">
        <v>0</v>
      </c>
      <c r="H790" s="120">
        <v>0</v>
      </c>
      <c r="I790" s="120">
        <v>0</v>
      </c>
      <c r="J790" s="120">
        <v>0</v>
      </c>
      <c r="K790" s="110">
        <v>0</v>
      </c>
      <c r="L790" s="110"/>
      <c r="M790" s="110">
        <v>0</v>
      </c>
      <c r="N790" s="110"/>
      <c r="O790" s="110"/>
      <c r="P790" s="110">
        <f t="shared" si="96"/>
        <v>0</v>
      </c>
      <c r="Q790" s="110">
        <f t="shared" si="97"/>
        <v>0</v>
      </c>
      <c r="R790" s="110">
        <f t="shared" si="98"/>
        <v>0</v>
      </c>
      <c r="S790" s="112">
        <v>0</v>
      </c>
    </row>
    <row r="791" spans="1:19">
      <c r="A791" s="79"/>
      <c r="B791" s="77" t="s">
        <v>173</v>
      </c>
      <c r="C791" s="76" t="s">
        <v>4</v>
      </c>
      <c r="D791" s="143">
        <v>2</v>
      </c>
      <c r="E791" s="74"/>
      <c r="F791" s="334"/>
      <c r="G791" s="112">
        <v>0</v>
      </c>
      <c r="H791" s="120">
        <v>0</v>
      </c>
      <c r="I791" s="120">
        <v>0</v>
      </c>
      <c r="J791" s="120">
        <v>0</v>
      </c>
      <c r="K791" s="110">
        <v>0</v>
      </c>
      <c r="L791" s="110"/>
      <c r="M791" s="110">
        <v>0</v>
      </c>
      <c r="N791" s="110"/>
      <c r="O791" s="110"/>
      <c r="P791" s="110">
        <f t="shared" si="96"/>
        <v>0</v>
      </c>
      <c r="Q791" s="110">
        <f t="shared" si="97"/>
        <v>0</v>
      </c>
      <c r="R791" s="110">
        <f t="shared" si="98"/>
        <v>0</v>
      </c>
      <c r="S791" s="112">
        <v>0</v>
      </c>
    </row>
    <row r="792" spans="1:19">
      <c r="A792" s="79"/>
      <c r="B792" s="77" t="s">
        <v>253</v>
      </c>
      <c r="C792" s="76" t="s">
        <v>4</v>
      </c>
      <c r="D792" s="143">
        <v>2</v>
      </c>
      <c r="E792" s="74"/>
      <c r="F792" s="334"/>
      <c r="G792" s="112">
        <v>0</v>
      </c>
      <c r="H792" s="120">
        <v>0</v>
      </c>
      <c r="I792" s="120">
        <v>0</v>
      </c>
      <c r="J792" s="120">
        <v>0</v>
      </c>
      <c r="K792" s="110">
        <v>0</v>
      </c>
      <c r="L792" s="110"/>
      <c r="M792" s="110">
        <v>0</v>
      </c>
      <c r="N792" s="110"/>
      <c r="O792" s="110"/>
      <c r="P792" s="110">
        <f t="shared" si="96"/>
        <v>0</v>
      </c>
      <c r="Q792" s="110">
        <f t="shared" si="97"/>
        <v>0</v>
      </c>
      <c r="R792" s="110">
        <f t="shared" si="98"/>
        <v>0</v>
      </c>
      <c r="S792" s="112">
        <v>0</v>
      </c>
    </row>
    <row r="793" spans="1:19">
      <c r="A793" s="79"/>
      <c r="B793" s="77" t="s">
        <v>175</v>
      </c>
      <c r="C793" s="76" t="s">
        <v>4</v>
      </c>
      <c r="D793" s="143">
        <v>2</v>
      </c>
      <c r="E793" s="74"/>
      <c r="F793" s="334"/>
      <c r="G793" s="112">
        <v>0</v>
      </c>
      <c r="H793" s="120">
        <v>0</v>
      </c>
      <c r="I793" s="120">
        <v>0</v>
      </c>
      <c r="J793" s="120">
        <v>0</v>
      </c>
      <c r="K793" s="110">
        <v>0</v>
      </c>
      <c r="L793" s="110"/>
      <c r="M793" s="110">
        <v>0</v>
      </c>
      <c r="N793" s="110"/>
      <c r="O793" s="110"/>
      <c r="P793" s="110">
        <f t="shared" si="96"/>
        <v>0</v>
      </c>
      <c r="Q793" s="110">
        <f t="shared" si="97"/>
        <v>0</v>
      </c>
      <c r="R793" s="110">
        <f t="shared" si="98"/>
        <v>0</v>
      </c>
      <c r="S793" s="112">
        <v>0</v>
      </c>
    </row>
    <row r="794" spans="1:19">
      <c r="A794" s="79"/>
      <c r="B794" s="77" t="s">
        <v>176</v>
      </c>
      <c r="C794" s="76" t="s">
        <v>4</v>
      </c>
      <c r="D794" s="143">
        <v>4</v>
      </c>
      <c r="E794" s="74"/>
      <c r="F794" s="334"/>
      <c r="G794" s="112">
        <v>0</v>
      </c>
      <c r="H794" s="120">
        <v>0</v>
      </c>
      <c r="I794" s="120">
        <v>0</v>
      </c>
      <c r="J794" s="120">
        <v>0</v>
      </c>
      <c r="K794" s="110">
        <v>0</v>
      </c>
      <c r="L794" s="110"/>
      <c r="M794" s="110">
        <v>0</v>
      </c>
      <c r="N794" s="110"/>
      <c r="O794" s="110"/>
      <c r="P794" s="110">
        <f t="shared" si="96"/>
        <v>0</v>
      </c>
      <c r="Q794" s="110">
        <f t="shared" si="97"/>
        <v>0</v>
      </c>
      <c r="R794" s="110">
        <f t="shared" si="98"/>
        <v>0</v>
      </c>
      <c r="S794" s="112">
        <v>0</v>
      </c>
    </row>
    <row r="795" spans="1:19">
      <c r="A795" s="79"/>
      <c r="B795" s="77" t="s">
        <v>177</v>
      </c>
      <c r="C795" s="76" t="s">
        <v>17</v>
      </c>
      <c r="D795" s="143">
        <v>1</v>
      </c>
      <c r="E795" s="75"/>
      <c r="F795" s="334"/>
      <c r="G795" s="112">
        <v>0</v>
      </c>
      <c r="H795" s="120">
        <v>0</v>
      </c>
      <c r="I795" s="120">
        <v>0</v>
      </c>
      <c r="J795" s="120">
        <v>0</v>
      </c>
      <c r="K795" s="110">
        <v>0</v>
      </c>
      <c r="L795" s="110"/>
      <c r="M795" s="110">
        <v>0</v>
      </c>
      <c r="N795" s="110"/>
      <c r="O795" s="110"/>
      <c r="P795" s="110">
        <f t="shared" si="96"/>
        <v>0</v>
      </c>
      <c r="Q795" s="110">
        <f t="shared" si="97"/>
        <v>0</v>
      </c>
      <c r="R795" s="110">
        <f t="shared" si="98"/>
        <v>0</v>
      </c>
      <c r="S795" s="112">
        <v>0</v>
      </c>
    </row>
    <row r="796" spans="1:19">
      <c r="A796" s="79"/>
      <c r="B796" s="77" t="s">
        <v>254</v>
      </c>
      <c r="C796" s="76" t="s">
        <v>4</v>
      </c>
      <c r="D796" s="143">
        <v>1</v>
      </c>
      <c r="E796" s="73"/>
      <c r="F796" s="334"/>
      <c r="G796" s="112">
        <v>0</v>
      </c>
      <c r="H796" s="120">
        <v>0</v>
      </c>
      <c r="I796" s="120">
        <v>0</v>
      </c>
      <c r="J796" s="120">
        <v>0</v>
      </c>
      <c r="K796" s="110">
        <v>0</v>
      </c>
      <c r="L796" s="110"/>
      <c r="M796" s="110">
        <v>0</v>
      </c>
      <c r="N796" s="110"/>
      <c r="O796" s="110"/>
      <c r="P796" s="110">
        <f t="shared" si="96"/>
        <v>0</v>
      </c>
      <c r="Q796" s="110">
        <f t="shared" si="97"/>
        <v>0</v>
      </c>
      <c r="R796" s="110">
        <f t="shared" si="98"/>
        <v>0</v>
      </c>
      <c r="S796" s="112">
        <v>0</v>
      </c>
    </row>
    <row r="797" spans="1:19">
      <c r="A797" s="79"/>
      <c r="B797" s="77" t="s">
        <v>163</v>
      </c>
      <c r="C797" s="76" t="s">
        <v>4</v>
      </c>
      <c r="D797" s="143">
        <v>1</v>
      </c>
      <c r="E797" s="50"/>
      <c r="F797" s="334"/>
      <c r="G797" s="112">
        <v>0</v>
      </c>
      <c r="H797" s="120">
        <v>0</v>
      </c>
      <c r="I797" s="120">
        <v>0</v>
      </c>
      <c r="J797" s="120">
        <v>0</v>
      </c>
      <c r="K797" s="110">
        <v>0</v>
      </c>
      <c r="L797" s="110"/>
      <c r="M797" s="110">
        <v>0</v>
      </c>
      <c r="N797" s="110"/>
      <c r="O797" s="110"/>
      <c r="P797" s="110">
        <f t="shared" si="96"/>
        <v>0</v>
      </c>
      <c r="Q797" s="110">
        <f t="shared" si="97"/>
        <v>0</v>
      </c>
      <c r="R797" s="110">
        <f t="shared" si="98"/>
        <v>0</v>
      </c>
      <c r="S797" s="112">
        <v>0</v>
      </c>
    </row>
    <row r="798" spans="1:19">
      <c r="A798" s="79"/>
      <c r="B798" s="77" t="s">
        <v>268</v>
      </c>
      <c r="C798" s="76" t="s">
        <v>8</v>
      </c>
      <c r="D798" s="143">
        <v>1</v>
      </c>
      <c r="E798" s="57"/>
      <c r="F798" s="334"/>
      <c r="G798" s="112">
        <v>0</v>
      </c>
      <c r="H798" s="120">
        <v>0</v>
      </c>
      <c r="I798" s="120">
        <v>0</v>
      </c>
      <c r="J798" s="120">
        <v>0</v>
      </c>
      <c r="K798" s="110">
        <v>0</v>
      </c>
      <c r="L798" s="110"/>
      <c r="M798" s="110">
        <v>0</v>
      </c>
      <c r="N798" s="110"/>
      <c r="O798" s="110"/>
      <c r="P798" s="110">
        <f t="shared" si="96"/>
        <v>0</v>
      </c>
      <c r="Q798" s="110">
        <f t="shared" si="97"/>
        <v>0</v>
      </c>
      <c r="R798" s="110">
        <f t="shared" si="98"/>
        <v>0</v>
      </c>
      <c r="S798" s="112">
        <v>0</v>
      </c>
    </row>
    <row r="799" spans="1:19" ht="45">
      <c r="A799" s="79"/>
      <c r="B799" s="77" t="s">
        <v>166</v>
      </c>
      <c r="C799" s="76" t="s">
        <v>17</v>
      </c>
      <c r="D799" s="143">
        <v>1</v>
      </c>
      <c r="E799" s="50"/>
      <c r="F799" s="334"/>
      <c r="G799" s="112">
        <v>0</v>
      </c>
      <c r="H799" s="120">
        <v>0</v>
      </c>
      <c r="I799" s="120">
        <v>0</v>
      </c>
      <c r="J799" s="120">
        <v>0</v>
      </c>
      <c r="K799" s="110">
        <v>0</v>
      </c>
      <c r="L799" s="110"/>
      <c r="M799" s="110">
        <v>0</v>
      </c>
      <c r="N799" s="110"/>
      <c r="O799" s="110"/>
      <c r="P799" s="110">
        <f t="shared" si="96"/>
        <v>0</v>
      </c>
      <c r="Q799" s="110">
        <f t="shared" si="97"/>
        <v>0</v>
      </c>
      <c r="R799" s="110">
        <f t="shared" si="98"/>
        <v>0</v>
      </c>
      <c r="S799" s="112">
        <v>0</v>
      </c>
    </row>
    <row r="800" spans="1:19" ht="60">
      <c r="A800" s="79">
        <v>18</v>
      </c>
      <c r="B800" s="77" t="s">
        <v>269</v>
      </c>
      <c r="C800" s="76" t="s">
        <v>6</v>
      </c>
      <c r="D800" s="143">
        <v>1</v>
      </c>
      <c r="E800" s="50"/>
      <c r="F800" s="334">
        <v>1</v>
      </c>
      <c r="G800" s="112" t="s">
        <v>269</v>
      </c>
      <c r="H800" s="120" t="s">
        <v>1076</v>
      </c>
      <c r="I800" s="120" t="s">
        <v>828</v>
      </c>
      <c r="J800" s="120" t="s">
        <v>829</v>
      </c>
      <c r="K800" s="110">
        <v>9511000</v>
      </c>
      <c r="L800" s="110"/>
      <c r="M800" s="110">
        <v>1471000</v>
      </c>
      <c r="N800" s="110"/>
      <c r="O800" s="110"/>
      <c r="P800" s="110">
        <f t="shared" si="96"/>
        <v>10982000</v>
      </c>
      <c r="Q800" s="110">
        <f t="shared" si="97"/>
        <v>10982000</v>
      </c>
      <c r="R800" s="110">
        <f t="shared" si="98"/>
        <v>10982000</v>
      </c>
      <c r="S800" s="112" t="s">
        <v>4094</v>
      </c>
    </row>
    <row r="801" spans="1:19" ht="45">
      <c r="A801" s="79"/>
      <c r="B801" s="77" t="s">
        <v>219</v>
      </c>
      <c r="C801" s="76" t="s">
        <v>4</v>
      </c>
      <c r="D801" s="143">
        <v>1</v>
      </c>
      <c r="E801" s="50"/>
      <c r="F801" s="334"/>
      <c r="G801" s="112">
        <v>0</v>
      </c>
      <c r="H801" s="120">
        <v>0</v>
      </c>
      <c r="I801" s="120">
        <v>0</v>
      </c>
      <c r="J801" s="120">
        <v>0</v>
      </c>
      <c r="K801" s="110">
        <v>0</v>
      </c>
      <c r="L801" s="110"/>
      <c r="M801" s="110">
        <v>0</v>
      </c>
      <c r="N801" s="110"/>
      <c r="O801" s="110"/>
      <c r="P801" s="110">
        <f t="shared" si="96"/>
        <v>0</v>
      </c>
      <c r="Q801" s="110">
        <f t="shared" si="97"/>
        <v>0</v>
      </c>
      <c r="R801" s="110">
        <f t="shared" si="98"/>
        <v>0</v>
      </c>
      <c r="S801" s="112" t="s">
        <v>150</v>
      </c>
    </row>
    <row r="802" spans="1:19">
      <c r="A802" s="79"/>
      <c r="B802" s="77" t="s">
        <v>151</v>
      </c>
      <c r="C802" s="76"/>
      <c r="D802" s="143"/>
      <c r="E802" s="50"/>
      <c r="F802" s="50"/>
      <c r="G802" s="112">
        <v>0</v>
      </c>
      <c r="H802" s="120">
        <v>0</v>
      </c>
      <c r="I802" s="120">
        <v>0</v>
      </c>
      <c r="J802" s="120">
        <v>0</v>
      </c>
      <c r="K802" s="110">
        <v>0</v>
      </c>
      <c r="L802" s="110"/>
      <c r="M802" s="110">
        <v>0</v>
      </c>
      <c r="N802" s="110"/>
      <c r="O802" s="110"/>
      <c r="P802" s="110">
        <f t="shared" si="96"/>
        <v>0</v>
      </c>
      <c r="Q802" s="110">
        <f t="shared" si="97"/>
        <v>0</v>
      </c>
      <c r="R802" s="110">
        <f t="shared" si="98"/>
        <v>0</v>
      </c>
      <c r="S802" s="112">
        <v>0</v>
      </c>
    </row>
    <row r="803" spans="1:19">
      <c r="A803" s="79"/>
      <c r="B803" s="77" t="s">
        <v>168</v>
      </c>
      <c r="C803" s="76" t="s">
        <v>4</v>
      </c>
      <c r="D803" s="143">
        <v>1</v>
      </c>
      <c r="E803" s="50"/>
      <c r="F803" s="334"/>
      <c r="G803" s="112">
        <v>0</v>
      </c>
      <c r="H803" s="120">
        <v>0</v>
      </c>
      <c r="I803" s="120">
        <v>0</v>
      </c>
      <c r="J803" s="120">
        <v>0</v>
      </c>
      <c r="K803" s="110">
        <v>0</v>
      </c>
      <c r="L803" s="110"/>
      <c r="M803" s="110">
        <v>0</v>
      </c>
      <c r="N803" s="110"/>
      <c r="O803" s="110"/>
      <c r="P803" s="110">
        <f t="shared" si="96"/>
        <v>0</v>
      </c>
      <c r="Q803" s="110">
        <f t="shared" si="97"/>
        <v>0</v>
      </c>
      <c r="R803" s="110">
        <f t="shared" si="98"/>
        <v>0</v>
      </c>
      <c r="S803" s="112">
        <v>0</v>
      </c>
    </row>
    <row r="804" spans="1:19">
      <c r="A804" s="79"/>
      <c r="B804" s="77" t="s">
        <v>14</v>
      </c>
      <c r="C804" s="76" t="s">
        <v>4</v>
      </c>
      <c r="D804" s="143">
        <v>3</v>
      </c>
      <c r="E804" s="74"/>
      <c r="F804" s="334"/>
      <c r="G804" s="112">
        <v>0</v>
      </c>
      <c r="H804" s="120">
        <v>0</v>
      </c>
      <c r="I804" s="120">
        <v>0</v>
      </c>
      <c r="J804" s="120">
        <v>0</v>
      </c>
      <c r="K804" s="110">
        <v>0</v>
      </c>
      <c r="L804" s="110"/>
      <c r="M804" s="110">
        <v>0</v>
      </c>
      <c r="N804" s="110"/>
      <c r="O804" s="110"/>
      <c r="P804" s="110">
        <f t="shared" si="96"/>
        <v>0</v>
      </c>
      <c r="Q804" s="110">
        <f t="shared" si="97"/>
        <v>0</v>
      </c>
      <c r="R804" s="110">
        <f t="shared" si="98"/>
        <v>0</v>
      </c>
      <c r="S804" s="112">
        <v>0</v>
      </c>
    </row>
    <row r="805" spans="1:19">
      <c r="A805" s="79"/>
      <c r="B805" s="77" t="s">
        <v>153</v>
      </c>
      <c r="C805" s="76" t="s">
        <v>4</v>
      </c>
      <c r="D805" s="143">
        <v>3</v>
      </c>
      <c r="E805" s="74"/>
      <c r="F805" s="334"/>
      <c r="G805" s="112">
        <v>0</v>
      </c>
      <c r="H805" s="120">
        <v>0</v>
      </c>
      <c r="I805" s="120">
        <v>0</v>
      </c>
      <c r="J805" s="120">
        <v>0</v>
      </c>
      <c r="K805" s="110">
        <v>0</v>
      </c>
      <c r="L805" s="110"/>
      <c r="M805" s="110">
        <v>0</v>
      </c>
      <c r="N805" s="110"/>
      <c r="O805" s="110"/>
      <c r="P805" s="110">
        <f t="shared" si="96"/>
        <v>0</v>
      </c>
      <c r="Q805" s="110">
        <f t="shared" si="97"/>
        <v>0</v>
      </c>
      <c r="R805" s="110">
        <f t="shared" si="98"/>
        <v>0</v>
      </c>
      <c r="S805" s="112">
        <v>0</v>
      </c>
    </row>
    <row r="806" spans="1:19">
      <c r="A806" s="79"/>
      <c r="B806" s="77" t="s">
        <v>154</v>
      </c>
      <c r="C806" s="76"/>
      <c r="D806" s="143"/>
      <c r="E806" s="74"/>
      <c r="F806" s="74"/>
      <c r="G806" s="112">
        <v>0</v>
      </c>
      <c r="H806" s="120">
        <v>0</v>
      </c>
      <c r="I806" s="120">
        <v>0</v>
      </c>
      <c r="J806" s="120">
        <v>0</v>
      </c>
      <c r="K806" s="110">
        <v>0</v>
      </c>
      <c r="L806" s="110"/>
      <c r="M806" s="110">
        <v>0</v>
      </c>
      <c r="N806" s="110"/>
      <c r="O806" s="110"/>
      <c r="P806" s="110">
        <f t="shared" si="96"/>
        <v>0</v>
      </c>
      <c r="Q806" s="110">
        <f t="shared" si="97"/>
        <v>0</v>
      </c>
      <c r="R806" s="110">
        <f t="shared" si="98"/>
        <v>0</v>
      </c>
      <c r="S806" s="112">
        <v>0</v>
      </c>
    </row>
    <row r="807" spans="1:19">
      <c r="A807" s="79"/>
      <c r="B807" s="77" t="s">
        <v>213</v>
      </c>
      <c r="C807" s="76" t="s">
        <v>4</v>
      </c>
      <c r="D807" s="143">
        <v>1</v>
      </c>
      <c r="E807" s="74"/>
      <c r="F807" s="334"/>
      <c r="G807" s="112">
        <v>0</v>
      </c>
      <c r="H807" s="120">
        <v>0</v>
      </c>
      <c r="I807" s="120">
        <v>0</v>
      </c>
      <c r="J807" s="120">
        <v>0</v>
      </c>
      <c r="K807" s="110">
        <v>0</v>
      </c>
      <c r="L807" s="110"/>
      <c r="M807" s="110">
        <v>0</v>
      </c>
      <c r="N807" s="110"/>
      <c r="O807" s="110"/>
      <c r="P807" s="110">
        <f t="shared" si="96"/>
        <v>0</v>
      </c>
      <c r="Q807" s="110">
        <f t="shared" si="97"/>
        <v>0</v>
      </c>
      <c r="R807" s="110">
        <f t="shared" si="98"/>
        <v>0</v>
      </c>
      <c r="S807" s="112">
        <v>0</v>
      </c>
    </row>
    <row r="808" spans="1:19">
      <c r="A808" s="79"/>
      <c r="B808" s="77" t="s">
        <v>223</v>
      </c>
      <c r="C808" s="76" t="s">
        <v>4</v>
      </c>
      <c r="D808" s="143">
        <v>1</v>
      </c>
      <c r="E808" s="74"/>
      <c r="F808" s="334"/>
      <c r="G808" s="112">
        <v>0</v>
      </c>
      <c r="H808" s="120">
        <v>0</v>
      </c>
      <c r="I808" s="120">
        <v>0</v>
      </c>
      <c r="J808" s="120">
        <v>0</v>
      </c>
      <c r="K808" s="110">
        <v>0</v>
      </c>
      <c r="L808" s="110"/>
      <c r="M808" s="110">
        <v>0</v>
      </c>
      <c r="N808" s="110"/>
      <c r="O808" s="110"/>
      <c r="P808" s="110">
        <f t="shared" si="96"/>
        <v>0</v>
      </c>
      <c r="Q808" s="110">
        <f t="shared" si="97"/>
        <v>0</v>
      </c>
      <c r="R808" s="110">
        <f t="shared" si="98"/>
        <v>0</v>
      </c>
      <c r="S808" s="112">
        <v>0</v>
      </c>
    </row>
    <row r="809" spans="1:19">
      <c r="A809" s="79"/>
      <c r="B809" s="77" t="s">
        <v>156</v>
      </c>
      <c r="C809" s="76" t="s">
        <v>4</v>
      </c>
      <c r="D809" s="143">
        <v>2</v>
      </c>
      <c r="E809" s="74"/>
      <c r="F809" s="334"/>
      <c r="G809" s="112">
        <v>0</v>
      </c>
      <c r="H809" s="120">
        <v>0</v>
      </c>
      <c r="I809" s="120">
        <v>0</v>
      </c>
      <c r="J809" s="120">
        <v>0</v>
      </c>
      <c r="K809" s="110">
        <v>0</v>
      </c>
      <c r="L809" s="110"/>
      <c r="M809" s="110">
        <v>0</v>
      </c>
      <c r="N809" s="110"/>
      <c r="O809" s="110"/>
      <c r="P809" s="110">
        <f t="shared" si="96"/>
        <v>0</v>
      </c>
      <c r="Q809" s="110">
        <f t="shared" si="97"/>
        <v>0</v>
      </c>
      <c r="R809" s="110">
        <f t="shared" si="98"/>
        <v>0</v>
      </c>
      <c r="S809" s="112">
        <v>0</v>
      </c>
    </row>
    <row r="810" spans="1:19">
      <c r="A810" s="79"/>
      <c r="B810" s="77" t="s">
        <v>157</v>
      </c>
      <c r="C810" s="76" t="s">
        <v>4</v>
      </c>
      <c r="D810" s="143">
        <v>1</v>
      </c>
      <c r="E810" s="74"/>
      <c r="F810" s="334"/>
      <c r="G810" s="112">
        <v>0</v>
      </c>
      <c r="H810" s="120">
        <v>0</v>
      </c>
      <c r="I810" s="120">
        <v>0</v>
      </c>
      <c r="J810" s="120">
        <v>0</v>
      </c>
      <c r="K810" s="110">
        <v>0</v>
      </c>
      <c r="L810" s="110"/>
      <c r="M810" s="110">
        <v>0</v>
      </c>
      <c r="N810" s="110"/>
      <c r="O810" s="110"/>
      <c r="P810" s="110">
        <f t="shared" si="96"/>
        <v>0</v>
      </c>
      <c r="Q810" s="110">
        <f t="shared" si="97"/>
        <v>0</v>
      </c>
      <c r="R810" s="110">
        <f t="shared" si="98"/>
        <v>0</v>
      </c>
      <c r="S810" s="112">
        <v>0</v>
      </c>
    </row>
    <row r="811" spans="1:19" ht="30">
      <c r="A811" s="79"/>
      <c r="B811" s="77" t="s">
        <v>189</v>
      </c>
      <c r="C811" s="76" t="s">
        <v>8</v>
      </c>
      <c r="D811" s="143">
        <v>1</v>
      </c>
      <c r="E811" s="74"/>
      <c r="F811" s="334"/>
      <c r="G811" s="112">
        <v>0</v>
      </c>
      <c r="H811" s="120">
        <v>0</v>
      </c>
      <c r="I811" s="120">
        <v>0</v>
      </c>
      <c r="J811" s="120">
        <v>0</v>
      </c>
      <c r="K811" s="110">
        <v>0</v>
      </c>
      <c r="L811" s="110"/>
      <c r="M811" s="110">
        <v>0</v>
      </c>
      <c r="N811" s="110"/>
      <c r="O811" s="110"/>
      <c r="P811" s="110">
        <f t="shared" si="96"/>
        <v>0</v>
      </c>
      <c r="Q811" s="110">
        <f t="shared" si="97"/>
        <v>0</v>
      </c>
      <c r="R811" s="110">
        <f t="shared" si="98"/>
        <v>0</v>
      </c>
      <c r="S811" s="112">
        <v>0</v>
      </c>
    </row>
    <row r="812" spans="1:19" ht="45">
      <c r="A812" s="79"/>
      <c r="B812" s="77" t="s">
        <v>166</v>
      </c>
      <c r="C812" s="76" t="s">
        <v>17</v>
      </c>
      <c r="D812" s="143">
        <v>1</v>
      </c>
      <c r="E812" s="74"/>
      <c r="F812" s="334"/>
      <c r="G812" s="112">
        <v>0</v>
      </c>
      <c r="H812" s="120">
        <v>0</v>
      </c>
      <c r="I812" s="120">
        <v>0</v>
      </c>
      <c r="J812" s="120">
        <v>0</v>
      </c>
      <c r="K812" s="110">
        <v>0</v>
      </c>
      <c r="L812" s="110"/>
      <c r="M812" s="110">
        <v>0</v>
      </c>
      <c r="N812" s="110"/>
      <c r="O812" s="110"/>
      <c r="P812" s="110">
        <f t="shared" si="96"/>
        <v>0</v>
      </c>
      <c r="Q812" s="110">
        <f t="shared" si="97"/>
        <v>0</v>
      </c>
      <c r="R812" s="110">
        <f t="shared" si="98"/>
        <v>0</v>
      </c>
      <c r="S812" s="112">
        <v>0</v>
      </c>
    </row>
    <row r="813" spans="1:19" ht="60">
      <c r="A813" s="79">
        <v>19</v>
      </c>
      <c r="B813" s="77" t="s">
        <v>270</v>
      </c>
      <c r="C813" s="76" t="s">
        <v>6</v>
      </c>
      <c r="D813" s="143">
        <v>1</v>
      </c>
      <c r="E813" s="74"/>
      <c r="F813" s="334">
        <v>1</v>
      </c>
      <c r="G813" s="112" t="s">
        <v>835</v>
      </c>
      <c r="H813" s="120" t="s">
        <v>1076</v>
      </c>
      <c r="I813" s="120" t="s">
        <v>828</v>
      </c>
      <c r="J813" s="120" t="s">
        <v>829</v>
      </c>
      <c r="K813" s="110">
        <v>3545400</v>
      </c>
      <c r="L813" s="110"/>
      <c r="M813" s="110">
        <v>1209000</v>
      </c>
      <c r="N813" s="110"/>
      <c r="O813" s="110"/>
      <c r="P813" s="110">
        <f t="shared" si="96"/>
        <v>4754400</v>
      </c>
      <c r="Q813" s="110">
        <f t="shared" si="97"/>
        <v>4754400</v>
      </c>
      <c r="R813" s="110">
        <f t="shared" si="98"/>
        <v>4754400</v>
      </c>
      <c r="S813" s="112" t="s">
        <v>4094</v>
      </c>
    </row>
    <row r="814" spans="1:19" ht="45">
      <c r="A814" s="79"/>
      <c r="B814" s="77" t="s">
        <v>219</v>
      </c>
      <c r="C814" s="76" t="s">
        <v>4</v>
      </c>
      <c r="D814" s="143">
        <v>1</v>
      </c>
      <c r="E814" s="74"/>
      <c r="F814" s="334"/>
      <c r="G814" s="112">
        <v>0</v>
      </c>
      <c r="H814" s="120">
        <v>0</v>
      </c>
      <c r="I814" s="120">
        <v>0</v>
      </c>
      <c r="J814" s="120">
        <v>0</v>
      </c>
      <c r="K814" s="110">
        <v>0</v>
      </c>
      <c r="L814" s="110"/>
      <c r="M814" s="110">
        <v>0</v>
      </c>
      <c r="N814" s="110"/>
      <c r="O814" s="110"/>
      <c r="P814" s="110">
        <f t="shared" si="96"/>
        <v>0</v>
      </c>
      <c r="Q814" s="110">
        <f t="shared" si="97"/>
        <v>0</v>
      </c>
      <c r="R814" s="110">
        <f t="shared" si="98"/>
        <v>0</v>
      </c>
      <c r="S814" s="112" t="s">
        <v>150</v>
      </c>
    </row>
    <row r="815" spans="1:19">
      <c r="A815" s="79"/>
      <c r="B815" s="77" t="s">
        <v>151</v>
      </c>
      <c r="C815" s="76"/>
      <c r="D815" s="143"/>
      <c r="E815" s="74"/>
      <c r="F815" s="74"/>
      <c r="G815" s="112">
        <v>0</v>
      </c>
      <c r="H815" s="120">
        <v>0</v>
      </c>
      <c r="I815" s="120">
        <v>0</v>
      </c>
      <c r="J815" s="120">
        <v>0</v>
      </c>
      <c r="K815" s="110">
        <v>0</v>
      </c>
      <c r="L815" s="110"/>
      <c r="M815" s="110">
        <v>0</v>
      </c>
      <c r="N815" s="110"/>
      <c r="O815" s="110"/>
      <c r="P815" s="110">
        <f t="shared" si="96"/>
        <v>0</v>
      </c>
      <c r="Q815" s="110">
        <f t="shared" si="97"/>
        <v>0</v>
      </c>
      <c r="R815" s="110">
        <f t="shared" si="98"/>
        <v>0</v>
      </c>
      <c r="S815" s="112">
        <v>0</v>
      </c>
    </row>
    <row r="816" spans="1:19">
      <c r="A816" s="79"/>
      <c r="B816" s="77" t="s">
        <v>220</v>
      </c>
      <c r="C816" s="76" t="s">
        <v>4</v>
      </c>
      <c r="D816" s="143">
        <v>1</v>
      </c>
      <c r="E816" s="74"/>
      <c r="F816" s="334"/>
      <c r="G816" s="112">
        <v>0</v>
      </c>
      <c r="H816" s="120">
        <v>0</v>
      </c>
      <c r="I816" s="120">
        <v>0</v>
      </c>
      <c r="J816" s="120">
        <v>0</v>
      </c>
      <c r="K816" s="110">
        <v>0</v>
      </c>
      <c r="L816" s="110"/>
      <c r="M816" s="110">
        <v>0</v>
      </c>
      <c r="N816" s="110"/>
      <c r="O816" s="110"/>
      <c r="P816" s="110">
        <f t="shared" si="96"/>
        <v>0</v>
      </c>
      <c r="Q816" s="110">
        <f t="shared" si="97"/>
        <v>0</v>
      </c>
      <c r="R816" s="110">
        <f t="shared" si="98"/>
        <v>0</v>
      </c>
      <c r="S816" s="112">
        <v>0</v>
      </c>
    </row>
    <row r="817" spans="1:19">
      <c r="A817" s="79"/>
      <c r="B817" s="77" t="s">
        <v>154</v>
      </c>
      <c r="C817" s="76"/>
      <c r="D817" s="143"/>
      <c r="E817" s="74"/>
      <c r="F817" s="74"/>
      <c r="G817" s="112">
        <v>0</v>
      </c>
      <c r="H817" s="120">
        <v>0</v>
      </c>
      <c r="I817" s="120">
        <v>0</v>
      </c>
      <c r="J817" s="120">
        <v>0</v>
      </c>
      <c r="K817" s="110">
        <v>0</v>
      </c>
      <c r="L817" s="110"/>
      <c r="M817" s="110">
        <v>0</v>
      </c>
      <c r="N817" s="110"/>
      <c r="O817" s="110"/>
      <c r="P817" s="110">
        <f t="shared" ref="P817:P880" si="99">+K817+L817+M817+N817+O817</f>
        <v>0</v>
      </c>
      <c r="Q817" s="110">
        <f t="shared" ref="Q817:Q880" si="100">+P817*D817</f>
        <v>0</v>
      </c>
      <c r="R817" s="110">
        <f t="shared" ref="R817:R880" si="101">P817*F817</f>
        <v>0</v>
      </c>
      <c r="S817" s="112">
        <v>0</v>
      </c>
    </row>
    <row r="818" spans="1:19">
      <c r="A818" s="79"/>
      <c r="B818" s="77" t="s">
        <v>157</v>
      </c>
      <c r="C818" s="76" t="s">
        <v>4</v>
      </c>
      <c r="D818" s="143">
        <v>7</v>
      </c>
      <c r="E818" s="74"/>
      <c r="F818" s="334"/>
      <c r="G818" s="112">
        <v>0</v>
      </c>
      <c r="H818" s="120">
        <v>0</v>
      </c>
      <c r="I818" s="120">
        <v>0</v>
      </c>
      <c r="J818" s="120">
        <v>0</v>
      </c>
      <c r="K818" s="110">
        <v>0</v>
      </c>
      <c r="L818" s="110"/>
      <c r="M818" s="110">
        <v>0</v>
      </c>
      <c r="N818" s="110"/>
      <c r="O818" s="110"/>
      <c r="P818" s="110">
        <f t="shared" si="99"/>
        <v>0</v>
      </c>
      <c r="Q818" s="110">
        <f t="shared" si="100"/>
        <v>0</v>
      </c>
      <c r="R818" s="110">
        <f t="shared" si="101"/>
        <v>0</v>
      </c>
      <c r="S818" s="112">
        <v>0</v>
      </c>
    </row>
    <row r="819" spans="1:19" ht="30">
      <c r="A819" s="79"/>
      <c r="B819" s="77" t="s">
        <v>189</v>
      </c>
      <c r="C819" s="76" t="s">
        <v>8</v>
      </c>
      <c r="D819" s="143">
        <v>1</v>
      </c>
      <c r="E819" s="74"/>
      <c r="F819" s="334"/>
      <c r="G819" s="112">
        <v>0</v>
      </c>
      <c r="H819" s="120">
        <v>0</v>
      </c>
      <c r="I819" s="120">
        <v>0</v>
      </c>
      <c r="J819" s="120">
        <v>0</v>
      </c>
      <c r="K819" s="110">
        <v>0</v>
      </c>
      <c r="L819" s="110"/>
      <c r="M819" s="110">
        <v>0</v>
      </c>
      <c r="N819" s="110"/>
      <c r="O819" s="110"/>
      <c r="P819" s="110">
        <f t="shared" si="99"/>
        <v>0</v>
      </c>
      <c r="Q819" s="110">
        <f t="shared" si="100"/>
        <v>0</v>
      </c>
      <c r="R819" s="110">
        <f t="shared" si="101"/>
        <v>0</v>
      </c>
      <c r="S819" s="112">
        <v>0</v>
      </c>
    </row>
    <row r="820" spans="1:19" ht="45">
      <c r="A820" s="79"/>
      <c r="B820" s="77" t="s">
        <v>166</v>
      </c>
      <c r="C820" s="76" t="s">
        <v>17</v>
      </c>
      <c r="D820" s="143">
        <v>1</v>
      </c>
      <c r="E820" s="74"/>
      <c r="F820" s="334"/>
      <c r="G820" s="112">
        <v>0</v>
      </c>
      <c r="H820" s="120">
        <v>0</v>
      </c>
      <c r="I820" s="120">
        <v>0</v>
      </c>
      <c r="J820" s="120">
        <v>0</v>
      </c>
      <c r="K820" s="110">
        <v>0</v>
      </c>
      <c r="L820" s="110"/>
      <c r="M820" s="110">
        <v>0</v>
      </c>
      <c r="N820" s="110"/>
      <c r="O820" s="110"/>
      <c r="P820" s="110">
        <f t="shared" si="99"/>
        <v>0</v>
      </c>
      <c r="Q820" s="110">
        <f t="shared" si="100"/>
        <v>0</v>
      </c>
      <c r="R820" s="110">
        <f t="shared" si="101"/>
        <v>0</v>
      </c>
      <c r="S820" s="112">
        <v>0</v>
      </c>
    </row>
    <row r="821" spans="1:19" ht="60">
      <c r="A821" s="79">
        <v>20</v>
      </c>
      <c r="B821" s="77" t="s">
        <v>271</v>
      </c>
      <c r="C821" s="76" t="s">
        <v>6</v>
      </c>
      <c r="D821" s="143">
        <v>1</v>
      </c>
      <c r="E821" s="74"/>
      <c r="F821" s="334">
        <v>1</v>
      </c>
      <c r="G821" s="112" t="s">
        <v>271</v>
      </c>
      <c r="H821" s="120" t="s">
        <v>1076</v>
      </c>
      <c r="I821" s="120" t="s">
        <v>828</v>
      </c>
      <c r="J821" s="120" t="s">
        <v>829</v>
      </c>
      <c r="K821" s="110">
        <v>7799400</v>
      </c>
      <c r="L821" s="110"/>
      <c r="M821" s="110">
        <v>1471000</v>
      </c>
      <c r="N821" s="110"/>
      <c r="O821" s="110"/>
      <c r="P821" s="110">
        <f t="shared" si="99"/>
        <v>9270400</v>
      </c>
      <c r="Q821" s="110">
        <f t="shared" si="100"/>
        <v>9270400</v>
      </c>
      <c r="R821" s="110">
        <f t="shared" si="101"/>
        <v>9270400</v>
      </c>
      <c r="S821" s="112" t="s">
        <v>4094</v>
      </c>
    </row>
    <row r="822" spans="1:19" ht="45">
      <c r="A822" s="79"/>
      <c r="B822" s="77" t="s">
        <v>219</v>
      </c>
      <c r="C822" s="76" t="s">
        <v>4</v>
      </c>
      <c r="D822" s="143">
        <v>1</v>
      </c>
      <c r="E822" s="74"/>
      <c r="F822" s="334"/>
      <c r="G822" s="112">
        <v>0</v>
      </c>
      <c r="H822" s="120">
        <v>0</v>
      </c>
      <c r="I822" s="120">
        <v>0</v>
      </c>
      <c r="J822" s="120">
        <v>0</v>
      </c>
      <c r="K822" s="110">
        <v>0</v>
      </c>
      <c r="L822" s="110"/>
      <c r="M822" s="110">
        <v>0</v>
      </c>
      <c r="N822" s="110"/>
      <c r="O822" s="110"/>
      <c r="P822" s="110">
        <f t="shared" si="99"/>
        <v>0</v>
      </c>
      <c r="Q822" s="110">
        <f t="shared" si="100"/>
        <v>0</v>
      </c>
      <c r="R822" s="110">
        <f t="shared" si="101"/>
        <v>0</v>
      </c>
      <c r="S822" s="112" t="s">
        <v>150</v>
      </c>
    </row>
    <row r="823" spans="1:19">
      <c r="A823" s="79"/>
      <c r="B823" s="77" t="s">
        <v>151</v>
      </c>
      <c r="C823" s="76"/>
      <c r="D823" s="143"/>
      <c r="E823" s="74"/>
      <c r="F823" s="74"/>
      <c r="G823" s="112">
        <v>0</v>
      </c>
      <c r="H823" s="120">
        <v>0</v>
      </c>
      <c r="I823" s="120">
        <v>0</v>
      </c>
      <c r="J823" s="120">
        <v>0</v>
      </c>
      <c r="K823" s="110">
        <v>0</v>
      </c>
      <c r="L823" s="110"/>
      <c r="M823" s="110">
        <v>0</v>
      </c>
      <c r="N823" s="110"/>
      <c r="O823" s="110"/>
      <c r="P823" s="110">
        <f t="shared" si="99"/>
        <v>0</v>
      </c>
      <c r="Q823" s="110">
        <f t="shared" si="100"/>
        <v>0</v>
      </c>
      <c r="R823" s="110">
        <f t="shared" si="101"/>
        <v>0</v>
      </c>
      <c r="S823" s="112">
        <v>0</v>
      </c>
    </row>
    <row r="824" spans="1:19">
      <c r="A824" s="79"/>
      <c r="B824" s="77" t="s">
        <v>168</v>
      </c>
      <c r="C824" s="76" t="s">
        <v>4</v>
      </c>
      <c r="D824" s="143">
        <v>1</v>
      </c>
      <c r="E824" s="74"/>
      <c r="F824" s="334"/>
      <c r="G824" s="112">
        <v>0</v>
      </c>
      <c r="H824" s="120">
        <v>0</v>
      </c>
      <c r="I824" s="120">
        <v>0</v>
      </c>
      <c r="J824" s="120">
        <v>0</v>
      </c>
      <c r="K824" s="110">
        <v>0</v>
      </c>
      <c r="L824" s="110"/>
      <c r="M824" s="110">
        <v>0</v>
      </c>
      <c r="N824" s="110"/>
      <c r="O824" s="110"/>
      <c r="P824" s="110">
        <f t="shared" si="99"/>
        <v>0</v>
      </c>
      <c r="Q824" s="110">
        <f t="shared" si="100"/>
        <v>0</v>
      </c>
      <c r="R824" s="110">
        <f t="shared" si="101"/>
        <v>0</v>
      </c>
      <c r="S824" s="112">
        <v>0</v>
      </c>
    </row>
    <row r="825" spans="1:19">
      <c r="A825" s="79"/>
      <c r="B825" s="77" t="s">
        <v>14</v>
      </c>
      <c r="C825" s="76" t="s">
        <v>4</v>
      </c>
      <c r="D825" s="143">
        <v>3</v>
      </c>
      <c r="E825" s="74"/>
      <c r="F825" s="334"/>
      <c r="G825" s="112">
        <v>0</v>
      </c>
      <c r="H825" s="120">
        <v>0</v>
      </c>
      <c r="I825" s="120">
        <v>0</v>
      </c>
      <c r="J825" s="120">
        <v>0</v>
      </c>
      <c r="K825" s="110">
        <v>0</v>
      </c>
      <c r="L825" s="110"/>
      <c r="M825" s="110">
        <v>0</v>
      </c>
      <c r="N825" s="110"/>
      <c r="O825" s="110"/>
      <c r="P825" s="110">
        <f t="shared" si="99"/>
        <v>0</v>
      </c>
      <c r="Q825" s="110">
        <f t="shared" si="100"/>
        <v>0</v>
      </c>
      <c r="R825" s="110">
        <f t="shared" si="101"/>
        <v>0</v>
      </c>
      <c r="S825" s="112">
        <v>0</v>
      </c>
    </row>
    <row r="826" spans="1:19">
      <c r="A826" s="79"/>
      <c r="B826" s="77" t="s">
        <v>153</v>
      </c>
      <c r="C826" s="76" t="s">
        <v>4</v>
      </c>
      <c r="D826" s="143">
        <v>3</v>
      </c>
      <c r="E826" s="74"/>
      <c r="F826" s="334"/>
      <c r="G826" s="112">
        <v>0</v>
      </c>
      <c r="H826" s="120">
        <v>0</v>
      </c>
      <c r="I826" s="120">
        <v>0</v>
      </c>
      <c r="J826" s="120">
        <v>0</v>
      </c>
      <c r="K826" s="110">
        <v>0</v>
      </c>
      <c r="L826" s="110"/>
      <c r="M826" s="110">
        <v>0</v>
      </c>
      <c r="N826" s="110"/>
      <c r="O826" s="110"/>
      <c r="P826" s="110">
        <f t="shared" si="99"/>
        <v>0</v>
      </c>
      <c r="Q826" s="110">
        <f t="shared" si="100"/>
        <v>0</v>
      </c>
      <c r="R826" s="110">
        <f t="shared" si="101"/>
        <v>0</v>
      </c>
      <c r="S826" s="112">
        <v>0</v>
      </c>
    </row>
    <row r="827" spans="1:19">
      <c r="A827" s="79"/>
      <c r="B827" s="77" t="s">
        <v>154</v>
      </c>
      <c r="C827" s="76"/>
      <c r="D827" s="143"/>
      <c r="E827" s="74"/>
      <c r="F827" s="74"/>
      <c r="G827" s="112">
        <v>0</v>
      </c>
      <c r="H827" s="120">
        <v>0</v>
      </c>
      <c r="I827" s="120">
        <v>0</v>
      </c>
      <c r="J827" s="120">
        <v>0</v>
      </c>
      <c r="K827" s="110">
        <v>0</v>
      </c>
      <c r="L827" s="110"/>
      <c r="M827" s="110">
        <v>0</v>
      </c>
      <c r="N827" s="110"/>
      <c r="O827" s="110"/>
      <c r="P827" s="110">
        <f t="shared" si="99"/>
        <v>0</v>
      </c>
      <c r="Q827" s="110">
        <f t="shared" si="100"/>
        <v>0</v>
      </c>
      <c r="R827" s="110">
        <f t="shared" si="101"/>
        <v>0</v>
      </c>
      <c r="S827" s="112">
        <v>0</v>
      </c>
    </row>
    <row r="828" spans="1:19">
      <c r="A828" s="79"/>
      <c r="B828" s="77" t="s">
        <v>213</v>
      </c>
      <c r="C828" s="76" t="s">
        <v>4</v>
      </c>
      <c r="D828" s="143">
        <v>1</v>
      </c>
      <c r="E828" s="74"/>
      <c r="F828" s="334"/>
      <c r="G828" s="112">
        <v>0</v>
      </c>
      <c r="H828" s="120">
        <v>0</v>
      </c>
      <c r="I828" s="120">
        <v>0</v>
      </c>
      <c r="J828" s="120">
        <v>0</v>
      </c>
      <c r="K828" s="110">
        <v>0</v>
      </c>
      <c r="L828" s="110"/>
      <c r="M828" s="110">
        <v>0</v>
      </c>
      <c r="N828" s="110"/>
      <c r="O828" s="110"/>
      <c r="P828" s="110">
        <f t="shared" si="99"/>
        <v>0</v>
      </c>
      <c r="Q828" s="110">
        <f t="shared" si="100"/>
        <v>0</v>
      </c>
      <c r="R828" s="110">
        <f t="shared" si="101"/>
        <v>0</v>
      </c>
      <c r="S828" s="112">
        <v>0</v>
      </c>
    </row>
    <row r="829" spans="1:19">
      <c r="A829" s="79"/>
      <c r="B829" s="77" t="s">
        <v>272</v>
      </c>
      <c r="C829" s="76" t="s">
        <v>4</v>
      </c>
      <c r="D829" s="143">
        <v>1</v>
      </c>
      <c r="E829" s="74"/>
      <c r="F829" s="334"/>
      <c r="G829" s="112">
        <v>0</v>
      </c>
      <c r="H829" s="120">
        <v>0</v>
      </c>
      <c r="I829" s="120">
        <v>0</v>
      </c>
      <c r="J829" s="120">
        <v>0</v>
      </c>
      <c r="K829" s="110">
        <v>0</v>
      </c>
      <c r="L829" s="110"/>
      <c r="M829" s="110">
        <v>0</v>
      </c>
      <c r="N829" s="110"/>
      <c r="O829" s="110"/>
      <c r="P829" s="110">
        <f t="shared" si="99"/>
        <v>0</v>
      </c>
      <c r="Q829" s="110">
        <f t="shared" si="100"/>
        <v>0</v>
      </c>
      <c r="R829" s="110">
        <f t="shared" si="101"/>
        <v>0</v>
      </c>
      <c r="S829" s="112">
        <v>0</v>
      </c>
    </row>
    <row r="830" spans="1:19">
      <c r="A830" s="79"/>
      <c r="B830" s="77" t="s">
        <v>156</v>
      </c>
      <c r="C830" s="76" t="s">
        <v>4</v>
      </c>
      <c r="D830" s="143">
        <v>6</v>
      </c>
      <c r="E830" s="74"/>
      <c r="F830" s="334"/>
      <c r="G830" s="112">
        <v>0</v>
      </c>
      <c r="H830" s="120">
        <v>0</v>
      </c>
      <c r="I830" s="120">
        <v>0</v>
      </c>
      <c r="J830" s="120">
        <v>0</v>
      </c>
      <c r="K830" s="110">
        <v>0</v>
      </c>
      <c r="L830" s="110"/>
      <c r="M830" s="110">
        <v>0</v>
      </c>
      <c r="N830" s="110"/>
      <c r="O830" s="110"/>
      <c r="P830" s="110">
        <f t="shared" si="99"/>
        <v>0</v>
      </c>
      <c r="Q830" s="110">
        <f t="shared" si="100"/>
        <v>0</v>
      </c>
      <c r="R830" s="110">
        <f t="shared" si="101"/>
        <v>0</v>
      </c>
      <c r="S830" s="112">
        <v>0</v>
      </c>
    </row>
    <row r="831" spans="1:19">
      <c r="A831" s="79"/>
      <c r="B831" s="77" t="s">
        <v>157</v>
      </c>
      <c r="C831" s="76" t="s">
        <v>4</v>
      </c>
      <c r="D831" s="143">
        <v>1</v>
      </c>
      <c r="E831" s="74"/>
      <c r="F831" s="334"/>
      <c r="G831" s="112">
        <v>0</v>
      </c>
      <c r="H831" s="120">
        <v>0</v>
      </c>
      <c r="I831" s="120">
        <v>0</v>
      </c>
      <c r="J831" s="120">
        <v>0</v>
      </c>
      <c r="K831" s="110">
        <v>0</v>
      </c>
      <c r="L831" s="110"/>
      <c r="M831" s="110">
        <v>0</v>
      </c>
      <c r="N831" s="110"/>
      <c r="O831" s="110"/>
      <c r="P831" s="110">
        <f t="shared" si="99"/>
        <v>0</v>
      </c>
      <c r="Q831" s="110">
        <f t="shared" si="100"/>
        <v>0</v>
      </c>
      <c r="R831" s="110">
        <f t="shared" si="101"/>
        <v>0</v>
      </c>
      <c r="S831" s="112">
        <v>0</v>
      </c>
    </row>
    <row r="832" spans="1:19" ht="30">
      <c r="A832" s="79"/>
      <c r="B832" s="77" t="s">
        <v>189</v>
      </c>
      <c r="C832" s="76" t="s">
        <v>8</v>
      </c>
      <c r="D832" s="143">
        <v>1</v>
      </c>
      <c r="E832" s="74"/>
      <c r="F832" s="334"/>
      <c r="G832" s="112">
        <v>0</v>
      </c>
      <c r="H832" s="120">
        <v>0</v>
      </c>
      <c r="I832" s="120">
        <v>0</v>
      </c>
      <c r="J832" s="120">
        <v>0</v>
      </c>
      <c r="K832" s="110">
        <v>0</v>
      </c>
      <c r="L832" s="110"/>
      <c r="M832" s="110">
        <v>0</v>
      </c>
      <c r="N832" s="110"/>
      <c r="O832" s="110"/>
      <c r="P832" s="110">
        <f t="shared" si="99"/>
        <v>0</v>
      </c>
      <c r="Q832" s="110">
        <f t="shared" si="100"/>
        <v>0</v>
      </c>
      <c r="R832" s="110">
        <f t="shared" si="101"/>
        <v>0</v>
      </c>
      <c r="S832" s="112">
        <v>0</v>
      </c>
    </row>
    <row r="833" spans="1:19" ht="45">
      <c r="A833" s="79"/>
      <c r="B833" s="77" t="s">
        <v>166</v>
      </c>
      <c r="C833" s="76" t="s">
        <v>17</v>
      </c>
      <c r="D833" s="143">
        <v>1</v>
      </c>
      <c r="E833" s="74"/>
      <c r="F833" s="334"/>
      <c r="G833" s="112">
        <v>0</v>
      </c>
      <c r="H833" s="120">
        <v>0</v>
      </c>
      <c r="I833" s="120">
        <v>0</v>
      </c>
      <c r="J833" s="120">
        <v>0</v>
      </c>
      <c r="K833" s="110">
        <v>0</v>
      </c>
      <c r="L833" s="110"/>
      <c r="M833" s="110">
        <v>0</v>
      </c>
      <c r="N833" s="110"/>
      <c r="O833" s="110"/>
      <c r="P833" s="110">
        <f t="shared" si="99"/>
        <v>0</v>
      </c>
      <c r="Q833" s="110">
        <f t="shared" si="100"/>
        <v>0</v>
      </c>
      <c r="R833" s="110">
        <f t="shared" si="101"/>
        <v>0</v>
      </c>
      <c r="S833" s="112">
        <v>0</v>
      </c>
    </row>
    <row r="834" spans="1:19" ht="60">
      <c r="A834" s="79">
        <v>21</v>
      </c>
      <c r="B834" s="77" t="s">
        <v>273</v>
      </c>
      <c r="C834" s="76" t="s">
        <v>6</v>
      </c>
      <c r="D834" s="143">
        <v>1</v>
      </c>
      <c r="E834" s="74"/>
      <c r="F834" s="334">
        <v>1</v>
      </c>
      <c r="G834" s="112" t="s">
        <v>836</v>
      </c>
      <c r="H834" s="120" t="s">
        <v>1076</v>
      </c>
      <c r="I834" s="120" t="s">
        <v>828</v>
      </c>
      <c r="J834" s="120" t="s">
        <v>829</v>
      </c>
      <c r="K834" s="110">
        <v>82603600</v>
      </c>
      <c r="L834" s="110"/>
      <c r="M834" s="110">
        <v>5541300</v>
      </c>
      <c r="N834" s="110"/>
      <c r="O834" s="110"/>
      <c r="P834" s="110">
        <f t="shared" si="99"/>
        <v>88144900</v>
      </c>
      <c r="Q834" s="110">
        <f t="shared" si="100"/>
        <v>88144900</v>
      </c>
      <c r="R834" s="110">
        <f t="shared" si="101"/>
        <v>88144900</v>
      </c>
      <c r="S834" s="112" t="s">
        <v>4094</v>
      </c>
    </row>
    <row r="835" spans="1:19" ht="45">
      <c r="A835" s="79"/>
      <c r="B835" s="77" t="s">
        <v>274</v>
      </c>
      <c r="C835" s="76" t="s">
        <v>4</v>
      </c>
      <c r="D835" s="143">
        <v>1</v>
      </c>
      <c r="E835" s="75"/>
      <c r="F835" s="334"/>
      <c r="G835" s="112">
        <v>0</v>
      </c>
      <c r="H835" s="120">
        <v>0</v>
      </c>
      <c r="I835" s="120">
        <v>0</v>
      </c>
      <c r="J835" s="120">
        <v>0</v>
      </c>
      <c r="K835" s="110">
        <v>0</v>
      </c>
      <c r="L835" s="110"/>
      <c r="M835" s="110">
        <v>0</v>
      </c>
      <c r="N835" s="110"/>
      <c r="O835" s="110"/>
      <c r="P835" s="110">
        <f t="shared" si="99"/>
        <v>0</v>
      </c>
      <c r="Q835" s="110">
        <f t="shared" si="100"/>
        <v>0</v>
      </c>
      <c r="R835" s="110">
        <f t="shared" si="101"/>
        <v>0</v>
      </c>
      <c r="S835" s="112" t="s">
        <v>150</v>
      </c>
    </row>
    <row r="836" spans="1:19">
      <c r="A836" s="79"/>
      <c r="B836" s="77" t="s">
        <v>151</v>
      </c>
      <c r="C836" s="76"/>
      <c r="D836" s="143"/>
      <c r="E836" s="73"/>
      <c r="F836" s="73"/>
      <c r="G836" s="112">
        <v>0</v>
      </c>
      <c r="H836" s="120">
        <v>0</v>
      </c>
      <c r="I836" s="120">
        <v>0</v>
      </c>
      <c r="J836" s="120">
        <v>0</v>
      </c>
      <c r="K836" s="110">
        <v>0</v>
      </c>
      <c r="L836" s="110"/>
      <c r="M836" s="110">
        <v>0</v>
      </c>
      <c r="N836" s="110"/>
      <c r="O836" s="110"/>
      <c r="P836" s="110">
        <f t="shared" si="99"/>
        <v>0</v>
      </c>
      <c r="Q836" s="110">
        <f t="shared" si="100"/>
        <v>0</v>
      </c>
      <c r="R836" s="110">
        <f t="shared" si="101"/>
        <v>0</v>
      </c>
      <c r="S836" s="112">
        <v>0</v>
      </c>
    </row>
    <row r="837" spans="1:19">
      <c r="A837" s="79"/>
      <c r="B837" s="77" t="s">
        <v>275</v>
      </c>
      <c r="C837" s="76" t="s">
        <v>4</v>
      </c>
      <c r="D837" s="143">
        <v>1</v>
      </c>
      <c r="E837" s="50"/>
      <c r="F837" s="334"/>
      <c r="G837" s="112">
        <v>0</v>
      </c>
      <c r="H837" s="120">
        <v>0</v>
      </c>
      <c r="I837" s="120">
        <v>0</v>
      </c>
      <c r="J837" s="120">
        <v>0</v>
      </c>
      <c r="K837" s="110">
        <v>0</v>
      </c>
      <c r="L837" s="110"/>
      <c r="M837" s="110">
        <v>0</v>
      </c>
      <c r="N837" s="110"/>
      <c r="O837" s="110"/>
      <c r="P837" s="110">
        <f t="shared" si="99"/>
        <v>0</v>
      </c>
      <c r="Q837" s="110">
        <f t="shared" si="100"/>
        <v>0</v>
      </c>
      <c r="R837" s="110">
        <f t="shared" si="101"/>
        <v>0</v>
      </c>
      <c r="S837" s="112">
        <v>0</v>
      </c>
    </row>
    <row r="838" spans="1:19">
      <c r="A838" s="79"/>
      <c r="B838" s="77" t="s">
        <v>14</v>
      </c>
      <c r="C838" s="76" t="s">
        <v>4</v>
      </c>
      <c r="D838" s="143">
        <v>3</v>
      </c>
      <c r="E838" s="57"/>
      <c r="F838" s="334"/>
      <c r="G838" s="112">
        <v>0</v>
      </c>
      <c r="H838" s="120">
        <v>0</v>
      </c>
      <c r="I838" s="120">
        <v>0</v>
      </c>
      <c r="J838" s="120">
        <v>0</v>
      </c>
      <c r="K838" s="110">
        <v>0</v>
      </c>
      <c r="L838" s="110"/>
      <c r="M838" s="110">
        <v>0</v>
      </c>
      <c r="N838" s="110"/>
      <c r="O838" s="110"/>
      <c r="P838" s="110">
        <f t="shared" si="99"/>
        <v>0</v>
      </c>
      <c r="Q838" s="110">
        <f t="shared" si="100"/>
        <v>0</v>
      </c>
      <c r="R838" s="110">
        <f t="shared" si="101"/>
        <v>0</v>
      </c>
      <c r="S838" s="112">
        <v>0</v>
      </c>
    </row>
    <row r="839" spans="1:19">
      <c r="A839" s="79"/>
      <c r="B839" s="77" t="s">
        <v>153</v>
      </c>
      <c r="C839" s="76" t="s">
        <v>4</v>
      </c>
      <c r="D839" s="143">
        <v>3</v>
      </c>
      <c r="E839" s="50"/>
      <c r="F839" s="334"/>
      <c r="G839" s="112">
        <v>0</v>
      </c>
      <c r="H839" s="120">
        <v>0</v>
      </c>
      <c r="I839" s="120">
        <v>0</v>
      </c>
      <c r="J839" s="120">
        <v>0</v>
      </c>
      <c r="K839" s="110">
        <v>0</v>
      </c>
      <c r="L839" s="110"/>
      <c r="M839" s="110">
        <v>0</v>
      </c>
      <c r="N839" s="110"/>
      <c r="O839" s="110"/>
      <c r="P839" s="110">
        <f t="shared" si="99"/>
        <v>0</v>
      </c>
      <c r="Q839" s="110">
        <f t="shared" si="100"/>
        <v>0</v>
      </c>
      <c r="R839" s="110">
        <f t="shared" si="101"/>
        <v>0</v>
      </c>
      <c r="S839" s="112">
        <v>0</v>
      </c>
    </row>
    <row r="840" spans="1:19">
      <c r="A840" s="79"/>
      <c r="B840" s="77" t="s">
        <v>154</v>
      </c>
      <c r="C840" s="76"/>
      <c r="D840" s="143"/>
      <c r="E840" s="50"/>
      <c r="F840" s="50"/>
      <c r="G840" s="112">
        <v>0</v>
      </c>
      <c r="H840" s="120">
        <v>0</v>
      </c>
      <c r="I840" s="120">
        <v>0</v>
      </c>
      <c r="J840" s="120">
        <v>0</v>
      </c>
      <c r="K840" s="110">
        <v>0</v>
      </c>
      <c r="L840" s="110"/>
      <c r="M840" s="110">
        <v>0</v>
      </c>
      <c r="N840" s="110"/>
      <c r="O840" s="110"/>
      <c r="P840" s="110">
        <f t="shared" si="99"/>
        <v>0</v>
      </c>
      <c r="Q840" s="110">
        <f t="shared" si="100"/>
        <v>0</v>
      </c>
      <c r="R840" s="110">
        <f t="shared" si="101"/>
        <v>0</v>
      </c>
      <c r="S840" s="112">
        <v>0</v>
      </c>
    </row>
    <row r="841" spans="1:19">
      <c r="A841" s="79"/>
      <c r="B841" s="77" t="s">
        <v>223</v>
      </c>
      <c r="C841" s="76" t="s">
        <v>4</v>
      </c>
      <c r="D841" s="143">
        <v>4</v>
      </c>
      <c r="E841" s="50"/>
      <c r="F841" s="334"/>
      <c r="G841" s="112">
        <v>0</v>
      </c>
      <c r="H841" s="120">
        <v>0</v>
      </c>
      <c r="I841" s="120">
        <v>0</v>
      </c>
      <c r="J841" s="120">
        <v>0</v>
      </c>
      <c r="K841" s="110">
        <v>0</v>
      </c>
      <c r="L841" s="110"/>
      <c r="M841" s="110">
        <v>0</v>
      </c>
      <c r="N841" s="110"/>
      <c r="O841" s="110"/>
      <c r="P841" s="110">
        <f t="shared" si="99"/>
        <v>0</v>
      </c>
      <c r="Q841" s="110">
        <f t="shared" si="100"/>
        <v>0</v>
      </c>
      <c r="R841" s="110">
        <f t="shared" si="101"/>
        <v>0</v>
      </c>
      <c r="S841" s="112">
        <v>0</v>
      </c>
    </row>
    <row r="842" spans="1:19">
      <c r="A842" s="79"/>
      <c r="B842" s="77" t="s">
        <v>276</v>
      </c>
      <c r="C842" s="76" t="s">
        <v>4</v>
      </c>
      <c r="D842" s="143">
        <v>2</v>
      </c>
      <c r="E842" s="50"/>
      <c r="F842" s="334"/>
      <c r="G842" s="112">
        <v>0</v>
      </c>
      <c r="H842" s="120">
        <v>0</v>
      </c>
      <c r="I842" s="120">
        <v>0</v>
      </c>
      <c r="J842" s="120">
        <v>0</v>
      </c>
      <c r="K842" s="110">
        <v>0</v>
      </c>
      <c r="L842" s="110"/>
      <c r="M842" s="110">
        <v>0</v>
      </c>
      <c r="N842" s="110"/>
      <c r="O842" s="110"/>
      <c r="P842" s="110">
        <f t="shared" si="99"/>
        <v>0</v>
      </c>
      <c r="Q842" s="110">
        <f t="shared" si="100"/>
        <v>0</v>
      </c>
      <c r="R842" s="110">
        <f t="shared" si="101"/>
        <v>0</v>
      </c>
      <c r="S842" s="112">
        <v>0</v>
      </c>
    </row>
    <row r="843" spans="1:19">
      <c r="A843" s="79"/>
      <c r="B843" s="77" t="s">
        <v>277</v>
      </c>
      <c r="C843" s="76" t="s">
        <v>4</v>
      </c>
      <c r="D843" s="143">
        <v>2</v>
      </c>
      <c r="E843" s="74"/>
      <c r="F843" s="334"/>
      <c r="G843" s="112">
        <v>0</v>
      </c>
      <c r="H843" s="120">
        <v>0</v>
      </c>
      <c r="I843" s="120">
        <v>0</v>
      </c>
      <c r="J843" s="120">
        <v>0</v>
      </c>
      <c r="K843" s="110">
        <v>0</v>
      </c>
      <c r="L843" s="110"/>
      <c r="M843" s="110">
        <v>0</v>
      </c>
      <c r="N843" s="110"/>
      <c r="O843" s="110"/>
      <c r="P843" s="110">
        <f t="shared" si="99"/>
        <v>0</v>
      </c>
      <c r="Q843" s="110">
        <f t="shared" si="100"/>
        <v>0</v>
      </c>
      <c r="R843" s="110">
        <f t="shared" si="101"/>
        <v>0</v>
      </c>
      <c r="S843" s="112">
        <v>0</v>
      </c>
    </row>
    <row r="844" spans="1:19">
      <c r="A844" s="79"/>
      <c r="B844" s="77" t="s">
        <v>158</v>
      </c>
      <c r="C844" s="76" t="s">
        <v>4</v>
      </c>
      <c r="D844" s="143">
        <v>1</v>
      </c>
      <c r="E844" s="74"/>
      <c r="F844" s="334"/>
      <c r="G844" s="112">
        <v>0</v>
      </c>
      <c r="H844" s="120">
        <v>0</v>
      </c>
      <c r="I844" s="120">
        <v>0</v>
      </c>
      <c r="J844" s="120">
        <v>0</v>
      </c>
      <c r="K844" s="110">
        <v>0</v>
      </c>
      <c r="L844" s="110"/>
      <c r="M844" s="110">
        <v>0</v>
      </c>
      <c r="N844" s="110"/>
      <c r="O844" s="110"/>
      <c r="P844" s="110">
        <f t="shared" si="99"/>
        <v>0</v>
      </c>
      <c r="Q844" s="110">
        <f t="shared" si="100"/>
        <v>0</v>
      </c>
      <c r="R844" s="110">
        <f t="shared" si="101"/>
        <v>0</v>
      </c>
      <c r="S844" s="112">
        <v>0</v>
      </c>
    </row>
    <row r="845" spans="1:19">
      <c r="A845" s="79"/>
      <c r="B845" s="77" t="s">
        <v>246</v>
      </c>
      <c r="C845" s="76" t="s">
        <v>4</v>
      </c>
      <c r="D845" s="143">
        <v>8</v>
      </c>
      <c r="E845" s="82"/>
      <c r="F845" s="334"/>
      <c r="G845" s="112">
        <v>0</v>
      </c>
      <c r="H845" s="120">
        <v>0</v>
      </c>
      <c r="I845" s="120">
        <v>0</v>
      </c>
      <c r="J845" s="120">
        <v>0</v>
      </c>
      <c r="K845" s="110">
        <v>0</v>
      </c>
      <c r="L845" s="110"/>
      <c r="M845" s="110">
        <v>0</v>
      </c>
      <c r="N845" s="110"/>
      <c r="O845" s="110"/>
      <c r="P845" s="110">
        <f t="shared" si="99"/>
        <v>0</v>
      </c>
      <c r="Q845" s="110">
        <f t="shared" si="100"/>
        <v>0</v>
      </c>
      <c r="R845" s="110">
        <f t="shared" si="101"/>
        <v>0</v>
      </c>
      <c r="S845" s="112">
        <v>0</v>
      </c>
    </row>
    <row r="846" spans="1:19">
      <c r="A846" s="79"/>
      <c r="B846" s="77" t="s">
        <v>278</v>
      </c>
      <c r="C846" s="76" t="s">
        <v>4</v>
      </c>
      <c r="D846" s="143">
        <v>4</v>
      </c>
      <c r="E846" s="73"/>
      <c r="F846" s="334"/>
      <c r="G846" s="112">
        <v>0</v>
      </c>
      <c r="H846" s="120">
        <v>0</v>
      </c>
      <c r="I846" s="120">
        <v>0</v>
      </c>
      <c r="J846" s="120">
        <v>0</v>
      </c>
      <c r="K846" s="110">
        <v>0</v>
      </c>
      <c r="L846" s="110"/>
      <c r="M846" s="110">
        <v>0</v>
      </c>
      <c r="N846" s="110"/>
      <c r="O846" s="110"/>
      <c r="P846" s="110">
        <f t="shared" si="99"/>
        <v>0</v>
      </c>
      <c r="Q846" s="110">
        <f t="shared" si="100"/>
        <v>0</v>
      </c>
      <c r="R846" s="110">
        <f t="shared" si="101"/>
        <v>0</v>
      </c>
      <c r="S846" s="112">
        <v>0</v>
      </c>
    </row>
    <row r="847" spans="1:19">
      <c r="A847" s="79"/>
      <c r="B847" s="77" t="s">
        <v>279</v>
      </c>
      <c r="C847" s="76" t="s">
        <v>4</v>
      </c>
      <c r="D847" s="143">
        <v>4</v>
      </c>
      <c r="E847" s="50"/>
      <c r="F847" s="334"/>
      <c r="G847" s="112">
        <v>0</v>
      </c>
      <c r="H847" s="120">
        <v>0</v>
      </c>
      <c r="I847" s="120">
        <v>0</v>
      </c>
      <c r="J847" s="120">
        <v>0</v>
      </c>
      <c r="K847" s="110">
        <v>0</v>
      </c>
      <c r="L847" s="110"/>
      <c r="M847" s="110">
        <v>0</v>
      </c>
      <c r="N847" s="110"/>
      <c r="O847" s="110"/>
      <c r="P847" s="110">
        <f t="shared" si="99"/>
        <v>0</v>
      </c>
      <c r="Q847" s="110">
        <f t="shared" si="100"/>
        <v>0</v>
      </c>
      <c r="R847" s="110">
        <f t="shared" si="101"/>
        <v>0</v>
      </c>
      <c r="S847" s="112">
        <v>0</v>
      </c>
    </row>
    <row r="848" spans="1:19">
      <c r="A848" s="79"/>
      <c r="B848" s="77" t="s">
        <v>280</v>
      </c>
      <c r="C848" s="76" t="s">
        <v>4</v>
      </c>
      <c r="D848" s="143">
        <v>8</v>
      </c>
      <c r="E848" s="57"/>
      <c r="F848" s="334"/>
      <c r="G848" s="112">
        <v>0</v>
      </c>
      <c r="H848" s="120">
        <v>0</v>
      </c>
      <c r="I848" s="120">
        <v>0</v>
      </c>
      <c r="J848" s="120">
        <v>0</v>
      </c>
      <c r="K848" s="110">
        <v>0</v>
      </c>
      <c r="L848" s="110"/>
      <c r="M848" s="110">
        <v>0</v>
      </c>
      <c r="N848" s="110"/>
      <c r="O848" s="110"/>
      <c r="P848" s="110">
        <f t="shared" si="99"/>
        <v>0</v>
      </c>
      <c r="Q848" s="110">
        <f t="shared" si="100"/>
        <v>0</v>
      </c>
      <c r="R848" s="110">
        <f t="shared" si="101"/>
        <v>0</v>
      </c>
      <c r="S848" s="112">
        <v>0</v>
      </c>
    </row>
    <row r="849" spans="1:19">
      <c r="A849" s="79"/>
      <c r="B849" s="77" t="s">
        <v>281</v>
      </c>
      <c r="C849" s="76" t="s">
        <v>4</v>
      </c>
      <c r="D849" s="143">
        <v>8</v>
      </c>
      <c r="E849" s="50"/>
      <c r="F849" s="334"/>
      <c r="G849" s="112">
        <v>0</v>
      </c>
      <c r="H849" s="120">
        <v>0</v>
      </c>
      <c r="I849" s="120">
        <v>0</v>
      </c>
      <c r="J849" s="120">
        <v>0</v>
      </c>
      <c r="K849" s="110">
        <v>0</v>
      </c>
      <c r="L849" s="110"/>
      <c r="M849" s="110">
        <v>0</v>
      </c>
      <c r="N849" s="110"/>
      <c r="O849" s="110"/>
      <c r="P849" s="110">
        <f t="shared" si="99"/>
        <v>0</v>
      </c>
      <c r="Q849" s="110">
        <f t="shared" si="100"/>
        <v>0</v>
      </c>
      <c r="R849" s="110">
        <f t="shared" si="101"/>
        <v>0</v>
      </c>
      <c r="S849" s="112">
        <v>0</v>
      </c>
    </row>
    <row r="850" spans="1:19" ht="30">
      <c r="A850" s="79"/>
      <c r="B850" s="77" t="s">
        <v>282</v>
      </c>
      <c r="C850" s="76" t="s">
        <v>8</v>
      </c>
      <c r="D850" s="143">
        <v>1</v>
      </c>
      <c r="E850" s="50"/>
      <c r="F850" s="334"/>
      <c r="G850" s="112">
        <v>0</v>
      </c>
      <c r="H850" s="120">
        <v>0</v>
      </c>
      <c r="I850" s="120">
        <v>0</v>
      </c>
      <c r="J850" s="120">
        <v>0</v>
      </c>
      <c r="K850" s="110">
        <v>0</v>
      </c>
      <c r="L850" s="110"/>
      <c r="M850" s="110">
        <v>0</v>
      </c>
      <c r="N850" s="110"/>
      <c r="O850" s="110"/>
      <c r="P850" s="110">
        <f t="shared" si="99"/>
        <v>0</v>
      </c>
      <c r="Q850" s="110">
        <f t="shared" si="100"/>
        <v>0</v>
      </c>
      <c r="R850" s="110">
        <f t="shared" si="101"/>
        <v>0</v>
      </c>
      <c r="S850" s="112">
        <v>0</v>
      </c>
    </row>
    <row r="851" spans="1:19" ht="45">
      <c r="A851" s="79"/>
      <c r="B851" s="77" t="s">
        <v>166</v>
      </c>
      <c r="C851" s="76" t="s">
        <v>17</v>
      </c>
      <c r="D851" s="143">
        <v>1</v>
      </c>
      <c r="E851" s="50"/>
      <c r="F851" s="334"/>
      <c r="G851" s="112">
        <v>0</v>
      </c>
      <c r="H851" s="120">
        <v>0</v>
      </c>
      <c r="I851" s="120">
        <v>0</v>
      </c>
      <c r="J851" s="120">
        <v>0</v>
      </c>
      <c r="K851" s="110">
        <v>0</v>
      </c>
      <c r="L851" s="110"/>
      <c r="M851" s="110">
        <v>0</v>
      </c>
      <c r="N851" s="110"/>
      <c r="O851" s="110"/>
      <c r="P851" s="110">
        <f t="shared" si="99"/>
        <v>0</v>
      </c>
      <c r="Q851" s="110">
        <f t="shared" si="100"/>
        <v>0</v>
      </c>
      <c r="R851" s="110">
        <f t="shared" si="101"/>
        <v>0</v>
      </c>
      <c r="S851" s="112">
        <v>0</v>
      </c>
    </row>
    <row r="852" spans="1:19" ht="60">
      <c r="A852" s="79">
        <v>22</v>
      </c>
      <c r="B852" s="77" t="s">
        <v>283</v>
      </c>
      <c r="C852" s="76" t="s">
        <v>6</v>
      </c>
      <c r="D852" s="143">
        <v>1</v>
      </c>
      <c r="E852" s="50"/>
      <c r="F852" s="334">
        <v>1</v>
      </c>
      <c r="G852" s="112" t="s">
        <v>837</v>
      </c>
      <c r="H852" s="120" t="s">
        <v>1076</v>
      </c>
      <c r="I852" s="120" t="s">
        <v>828</v>
      </c>
      <c r="J852" s="120" t="s">
        <v>829</v>
      </c>
      <c r="K852" s="110">
        <v>65229900</v>
      </c>
      <c r="L852" s="110"/>
      <c r="M852" s="110">
        <v>3828500</v>
      </c>
      <c r="N852" s="110"/>
      <c r="O852" s="110"/>
      <c r="P852" s="110">
        <f t="shared" si="99"/>
        <v>69058400</v>
      </c>
      <c r="Q852" s="110">
        <f t="shared" si="100"/>
        <v>69058400</v>
      </c>
      <c r="R852" s="110">
        <f t="shared" si="101"/>
        <v>69058400</v>
      </c>
      <c r="S852" s="112" t="s">
        <v>4094</v>
      </c>
    </row>
    <row r="853" spans="1:19" ht="45">
      <c r="A853" s="79"/>
      <c r="B853" s="77" t="s">
        <v>274</v>
      </c>
      <c r="C853" s="76" t="s">
        <v>4</v>
      </c>
      <c r="D853" s="143">
        <v>1</v>
      </c>
      <c r="E853" s="74"/>
      <c r="F853" s="334"/>
      <c r="G853" s="112">
        <v>0</v>
      </c>
      <c r="H853" s="120">
        <v>0</v>
      </c>
      <c r="I853" s="120">
        <v>0</v>
      </c>
      <c r="J853" s="120">
        <v>0</v>
      </c>
      <c r="K853" s="110">
        <v>0</v>
      </c>
      <c r="L853" s="110"/>
      <c r="M853" s="110">
        <v>0</v>
      </c>
      <c r="N853" s="110"/>
      <c r="O853" s="110"/>
      <c r="P853" s="110">
        <f t="shared" si="99"/>
        <v>0</v>
      </c>
      <c r="Q853" s="110">
        <f t="shared" si="100"/>
        <v>0</v>
      </c>
      <c r="R853" s="110">
        <f t="shared" si="101"/>
        <v>0</v>
      </c>
      <c r="S853" s="112" t="s">
        <v>150</v>
      </c>
    </row>
    <row r="854" spans="1:19">
      <c r="A854" s="79"/>
      <c r="B854" s="77" t="s">
        <v>151</v>
      </c>
      <c r="C854" s="76"/>
      <c r="D854" s="143"/>
      <c r="E854" s="82"/>
      <c r="F854" s="82"/>
      <c r="G854" s="112">
        <v>0</v>
      </c>
      <c r="H854" s="120">
        <v>0</v>
      </c>
      <c r="I854" s="120">
        <v>0</v>
      </c>
      <c r="J854" s="120">
        <v>0</v>
      </c>
      <c r="K854" s="110">
        <v>0</v>
      </c>
      <c r="L854" s="110"/>
      <c r="M854" s="110">
        <v>0</v>
      </c>
      <c r="N854" s="110"/>
      <c r="O854" s="110"/>
      <c r="P854" s="110">
        <f t="shared" si="99"/>
        <v>0</v>
      </c>
      <c r="Q854" s="110">
        <f t="shared" si="100"/>
        <v>0</v>
      </c>
      <c r="R854" s="110">
        <f t="shared" si="101"/>
        <v>0</v>
      </c>
      <c r="S854" s="112">
        <v>0</v>
      </c>
    </row>
    <row r="855" spans="1:19">
      <c r="A855" s="79"/>
      <c r="B855" s="77" t="s">
        <v>204</v>
      </c>
      <c r="C855" s="76" t="s">
        <v>4</v>
      </c>
      <c r="D855" s="143">
        <v>1</v>
      </c>
      <c r="E855" s="73"/>
      <c r="F855" s="334"/>
      <c r="G855" s="112">
        <v>0</v>
      </c>
      <c r="H855" s="120">
        <v>0</v>
      </c>
      <c r="I855" s="120">
        <v>0</v>
      </c>
      <c r="J855" s="120">
        <v>0</v>
      </c>
      <c r="K855" s="110">
        <v>0</v>
      </c>
      <c r="L855" s="110"/>
      <c r="M855" s="110">
        <v>0</v>
      </c>
      <c r="N855" s="110"/>
      <c r="O855" s="110"/>
      <c r="P855" s="110">
        <f t="shared" si="99"/>
        <v>0</v>
      </c>
      <c r="Q855" s="110">
        <f t="shared" si="100"/>
        <v>0</v>
      </c>
      <c r="R855" s="110">
        <f t="shared" si="101"/>
        <v>0</v>
      </c>
      <c r="S855" s="112">
        <v>0</v>
      </c>
    </row>
    <row r="856" spans="1:19">
      <c r="A856" s="79"/>
      <c r="B856" s="77" t="s">
        <v>14</v>
      </c>
      <c r="C856" s="76" t="s">
        <v>4</v>
      </c>
      <c r="D856" s="143">
        <v>3</v>
      </c>
      <c r="E856" s="50"/>
      <c r="F856" s="334"/>
      <c r="G856" s="112">
        <v>0</v>
      </c>
      <c r="H856" s="120">
        <v>0</v>
      </c>
      <c r="I856" s="120">
        <v>0</v>
      </c>
      <c r="J856" s="120">
        <v>0</v>
      </c>
      <c r="K856" s="110">
        <v>0</v>
      </c>
      <c r="L856" s="110"/>
      <c r="M856" s="110">
        <v>0</v>
      </c>
      <c r="N856" s="110"/>
      <c r="O856" s="110"/>
      <c r="P856" s="110">
        <f t="shared" si="99"/>
        <v>0</v>
      </c>
      <c r="Q856" s="110">
        <f t="shared" si="100"/>
        <v>0</v>
      </c>
      <c r="R856" s="110">
        <f t="shared" si="101"/>
        <v>0</v>
      </c>
      <c r="S856" s="112">
        <v>0</v>
      </c>
    </row>
    <row r="857" spans="1:19">
      <c r="A857" s="79"/>
      <c r="B857" s="77" t="s">
        <v>153</v>
      </c>
      <c r="C857" s="76" t="s">
        <v>4</v>
      </c>
      <c r="D857" s="143">
        <v>3</v>
      </c>
      <c r="E857" s="57"/>
      <c r="F857" s="334"/>
      <c r="G857" s="112">
        <v>0</v>
      </c>
      <c r="H857" s="120">
        <v>0</v>
      </c>
      <c r="I857" s="120">
        <v>0</v>
      </c>
      <c r="J857" s="120">
        <v>0</v>
      </c>
      <c r="K857" s="110">
        <v>0</v>
      </c>
      <c r="L857" s="110"/>
      <c r="M857" s="110">
        <v>0</v>
      </c>
      <c r="N857" s="110"/>
      <c r="O857" s="110"/>
      <c r="P857" s="110">
        <f t="shared" si="99"/>
        <v>0</v>
      </c>
      <c r="Q857" s="110">
        <f t="shared" si="100"/>
        <v>0</v>
      </c>
      <c r="R857" s="110">
        <f t="shared" si="101"/>
        <v>0</v>
      </c>
      <c r="S857" s="112">
        <v>0</v>
      </c>
    </row>
    <row r="858" spans="1:19">
      <c r="A858" s="79"/>
      <c r="B858" s="77" t="s">
        <v>154</v>
      </c>
      <c r="C858" s="76"/>
      <c r="D858" s="143"/>
      <c r="E858" s="50"/>
      <c r="F858" s="50"/>
      <c r="G858" s="112">
        <v>0</v>
      </c>
      <c r="H858" s="120">
        <v>0</v>
      </c>
      <c r="I858" s="120">
        <v>0</v>
      </c>
      <c r="J858" s="120">
        <v>0</v>
      </c>
      <c r="K858" s="110">
        <v>0</v>
      </c>
      <c r="L858" s="110"/>
      <c r="M858" s="110">
        <v>0</v>
      </c>
      <c r="N858" s="110"/>
      <c r="O858" s="110"/>
      <c r="P858" s="110">
        <f t="shared" si="99"/>
        <v>0</v>
      </c>
      <c r="Q858" s="110">
        <f t="shared" si="100"/>
        <v>0</v>
      </c>
      <c r="R858" s="110">
        <f t="shared" si="101"/>
        <v>0</v>
      </c>
      <c r="S858" s="112">
        <v>0</v>
      </c>
    </row>
    <row r="859" spans="1:19">
      <c r="A859" s="79"/>
      <c r="B859" s="77" t="s">
        <v>223</v>
      </c>
      <c r="C859" s="76" t="s">
        <v>4</v>
      </c>
      <c r="D859" s="143">
        <v>1</v>
      </c>
      <c r="E859" s="50"/>
      <c r="F859" s="334"/>
      <c r="G859" s="112">
        <v>0</v>
      </c>
      <c r="H859" s="120">
        <v>0</v>
      </c>
      <c r="I859" s="120">
        <v>0</v>
      </c>
      <c r="J859" s="120">
        <v>0</v>
      </c>
      <c r="K859" s="110">
        <v>0</v>
      </c>
      <c r="L859" s="110"/>
      <c r="M859" s="110">
        <v>0</v>
      </c>
      <c r="N859" s="110"/>
      <c r="O859" s="110"/>
      <c r="P859" s="110">
        <f t="shared" si="99"/>
        <v>0</v>
      </c>
      <c r="Q859" s="110">
        <f t="shared" si="100"/>
        <v>0</v>
      </c>
      <c r="R859" s="110">
        <f t="shared" si="101"/>
        <v>0</v>
      </c>
      <c r="S859" s="112">
        <v>0</v>
      </c>
    </row>
    <row r="860" spans="1:19">
      <c r="A860" s="79"/>
      <c r="B860" s="77" t="s">
        <v>276</v>
      </c>
      <c r="C860" s="76" t="s">
        <v>4</v>
      </c>
      <c r="D860" s="143">
        <v>2</v>
      </c>
      <c r="E860" s="50"/>
      <c r="F860" s="334"/>
      <c r="G860" s="112">
        <v>0</v>
      </c>
      <c r="H860" s="120">
        <v>0</v>
      </c>
      <c r="I860" s="120">
        <v>0</v>
      </c>
      <c r="J860" s="120">
        <v>0</v>
      </c>
      <c r="K860" s="110">
        <v>0</v>
      </c>
      <c r="L860" s="110"/>
      <c r="M860" s="110">
        <v>0</v>
      </c>
      <c r="N860" s="110"/>
      <c r="O860" s="110"/>
      <c r="P860" s="110">
        <f t="shared" si="99"/>
        <v>0</v>
      </c>
      <c r="Q860" s="110">
        <f t="shared" si="100"/>
        <v>0</v>
      </c>
      <c r="R860" s="110">
        <f t="shared" si="101"/>
        <v>0</v>
      </c>
      <c r="S860" s="112">
        <v>0</v>
      </c>
    </row>
    <row r="861" spans="1:19">
      <c r="A861" s="79"/>
      <c r="B861" s="77" t="s">
        <v>277</v>
      </c>
      <c r="C861" s="76" t="s">
        <v>4</v>
      </c>
      <c r="D861" s="143">
        <v>1</v>
      </c>
      <c r="E861" s="76"/>
      <c r="F861" s="334"/>
      <c r="G861" s="112">
        <v>0</v>
      </c>
      <c r="H861" s="120">
        <v>0</v>
      </c>
      <c r="I861" s="120">
        <v>0</v>
      </c>
      <c r="J861" s="120">
        <v>0</v>
      </c>
      <c r="K861" s="110">
        <v>0</v>
      </c>
      <c r="L861" s="110"/>
      <c r="M861" s="110">
        <v>0</v>
      </c>
      <c r="N861" s="110"/>
      <c r="O861" s="110"/>
      <c r="P861" s="110">
        <f t="shared" si="99"/>
        <v>0</v>
      </c>
      <c r="Q861" s="110">
        <f t="shared" si="100"/>
        <v>0</v>
      </c>
      <c r="R861" s="110">
        <f t="shared" si="101"/>
        <v>0</v>
      </c>
      <c r="S861" s="112">
        <v>0</v>
      </c>
    </row>
    <row r="862" spans="1:19">
      <c r="A862" s="79"/>
      <c r="B862" s="77" t="s">
        <v>272</v>
      </c>
      <c r="C862" s="76" t="s">
        <v>4</v>
      </c>
      <c r="D862" s="143">
        <v>2</v>
      </c>
      <c r="E862" s="83"/>
      <c r="F862" s="334"/>
      <c r="G862" s="112">
        <v>0</v>
      </c>
      <c r="H862" s="120">
        <v>0</v>
      </c>
      <c r="I862" s="120">
        <v>0</v>
      </c>
      <c r="J862" s="120">
        <v>0</v>
      </c>
      <c r="K862" s="110">
        <v>0</v>
      </c>
      <c r="L862" s="110"/>
      <c r="M862" s="110">
        <v>0</v>
      </c>
      <c r="N862" s="110"/>
      <c r="O862" s="110"/>
      <c r="P862" s="110">
        <f t="shared" si="99"/>
        <v>0</v>
      </c>
      <c r="Q862" s="110">
        <f t="shared" si="100"/>
        <v>0</v>
      </c>
      <c r="R862" s="110">
        <f t="shared" si="101"/>
        <v>0</v>
      </c>
      <c r="S862" s="112">
        <v>0</v>
      </c>
    </row>
    <row r="863" spans="1:19">
      <c r="A863" s="79"/>
      <c r="B863" s="77" t="s">
        <v>284</v>
      </c>
      <c r="C863" s="76" t="s">
        <v>4</v>
      </c>
      <c r="D863" s="143">
        <v>3</v>
      </c>
      <c r="E863" s="83"/>
      <c r="F863" s="334"/>
      <c r="G863" s="112">
        <v>0</v>
      </c>
      <c r="H863" s="120">
        <v>0</v>
      </c>
      <c r="I863" s="120">
        <v>0</v>
      </c>
      <c r="J863" s="120">
        <v>0</v>
      </c>
      <c r="K863" s="110">
        <v>0</v>
      </c>
      <c r="L863" s="110"/>
      <c r="M863" s="110">
        <v>0</v>
      </c>
      <c r="N863" s="110"/>
      <c r="O863" s="110"/>
      <c r="P863" s="110">
        <f t="shared" si="99"/>
        <v>0</v>
      </c>
      <c r="Q863" s="110">
        <f t="shared" si="100"/>
        <v>0</v>
      </c>
      <c r="R863" s="110">
        <f t="shared" si="101"/>
        <v>0</v>
      </c>
      <c r="S863" s="112">
        <v>0</v>
      </c>
    </row>
    <row r="864" spans="1:19">
      <c r="A864" s="79"/>
      <c r="B864" s="77" t="s">
        <v>158</v>
      </c>
      <c r="C864" s="76" t="s">
        <v>4</v>
      </c>
      <c r="D864" s="143">
        <v>1</v>
      </c>
      <c r="E864" s="50"/>
      <c r="F864" s="334"/>
      <c r="G864" s="112">
        <v>0</v>
      </c>
      <c r="H864" s="120">
        <v>0</v>
      </c>
      <c r="I864" s="120">
        <v>0</v>
      </c>
      <c r="J864" s="120">
        <v>0</v>
      </c>
      <c r="K864" s="110">
        <v>0</v>
      </c>
      <c r="L864" s="110"/>
      <c r="M864" s="110">
        <v>0</v>
      </c>
      <c r="N864" s="110"/>
      <c r="O864" s="110"/>
      <c r="P864" s="110">
        <f t="shared" si="99"/>
        <v>0</v>
      </c>
      <c r="Q864" s="110">
        <f t="shared" si="100"/>
        <v>0</v>
      </c>
      <c r="R864" s="110">
        <f t="shared" si="101"/>
        <v>0</v>
      </c>
      <c r="S864" s="112">
        <v>0</v>
      </c>
    </row>
    <row r="865" spans="1:19">
      <c r="A865" s="79"/>
      <c r="B865" s="77" t="s">
        <v>246</v>
      </c>
      <c r="C865" s="76" t="s">
        <v>4</v>
      </c>
      <c r="D865" s="143">
        <v>2</v>
      </c>
      <c r="E865" s="73"/>
      <c r="F865" s="334"/>
      <c r="G865" s="112">
        <v>0</v>
      </c>
      <c r="H865" s="120">
        <v>0</v>
      </c>
      <c r="I865" s="120">
        <v>0</v>
      </c>
      <c r="J865" s="120">
        <v>0</v>
      </c>
      <c r="K865" s="110">
        <v>0</v>
      </c>
      <c r="L865" s="110"/>
      <c r="M865" s="110">
        <v>0</v>
      </c>
      <c r="N865" s="110"/>
      <c r="O865" s="110"/>
      <c r="P865" s="110">
        <f t="shared" si="99"/>
        <v>0</v>
      </c>
      <c r="Q865" s="110">
        <f t="shared" si="100"/>
        <v>0</v>
      </c>
      <c r="R865" s="110">
        <f t="shared" si="101"/>
        <v>0</v>
      </c>
      <c r="S865" s="112">
        <v>0</v>
      </c>
    </row>
    <row r="866" spans="1:19">
      <c r="A866" s="79"/>
      <c r="B866" s="77" t="s">
        <v>278</v>
      </c>
      <c r="C866" s="76" t="s">
        <v>4</v>
      </c>
      <c r="D866" s="143">
        <v>4</v>
      </c>
      <c r="E866" s="74"/>
      <c r="F866" s="334"/>
      <c r="G866" s="112">
        <v>0</v>
      </c>
      <c r="H866" s="120">
        <v>0</v>
      </c>
      <c r="I866" s="120">
        <v>0</v>
      </c>
      <c r="J866" s="120">
        <v>0</v>
      </c>
      <c r="K866" s="110">
        <v>0</v>
      </c>
      <c r="L866" s="110"/>
      <c r="M866" s="110">
        <v>0</v>
      </c>
      <c r="N866" s="110"/>
      <c r="O866" s="110"/>
      <c r="P866" s="110">
        <f t="shared" si="99"/>
        <v>0</v>
      </c>
      <c r="Q866" s="110">
        <f t="shared" si="100"/>
        <v>0</v>
      </c>
      <c r="R866" s="110">
        <f t="shared" si="101"/>
        <v>0</v>
      </c>
      <c r="S866" s="112">
        <v>0</v>
      </c>
    </row>
    <row r="867" spans="1:19">
      <c r="A867" s="79"/>
      <c r="B867" s="77" t="s">
        <v>279</v>
      </c>
      <c r="C867" s="76" t="s">
        <v>4</v>
      </c>
      <c r="D867" s="143">
        <v>2</v>
      </c>
      <c r="E867" s="74"/>
      <c r="F867" s="334"/>
      <c r="G867" s="112">
        <v>0</v>
      </c>
      <c r="H867" s="120">
        <v>0</v>
      </c>
      <c r="I867" s="120">
        <v>0</v>
      </c>
      <c r="J867" s="120">
        <v>0</v>
      </c>
      <c r="K867" s="110">
        <v>0</v>
      </c>
      <c r="L867" s="110"/>
      <c r="M867" s="110">
        <v>0</v>
      </c>
      <c r="N867" s="110"/>
      <c r="O867" s="110"/>
      <c r="P867" s="110">
        <f t="shared" si="99"/>
        <v>0</v>
      </c>
      <c r="Q867" s="110">
        <f t="shared" si="100"/>
        <v>0</v>
      </c>
      <c r="R867" s="110">
        <f t="shared" si="101"/>
        <v>0</v>
      </c>
      <c r="S867" s="112">
        <v>0</v>
      </c>
    </row>
    <row r="868" spans="1:19">
      <c r="A868" s="79"/>
      <c r="B868" s="77" t="s">
        <v>285</v>
      </c>
      <c r="C868" s="76" t="s">
        <v>4</v>
      </c>
      <c r="D868" s="143">
        <v>4</v>
      </c>
      <c r="E868" s="74"/>
      <c r="F868" s="334"/>
      <c r="G868" s="112">
        <v>0</v>
      </c>
      <c r="H868" s="120">
        <v>0</v>
      </c>
      <c r="I868" s="120">
        <v>0</v>
      </c>
      <c r="J868" s="120">
        <v>0</v>
      </c>
      <c r="K868" s="110">
        <v>0</v>
      </c>
      <c r="L868" s="110"/>
      <c r="M868" s="110">
        <v>0</v>
      </c>
      <c r="N868" s="110"/>
      <c r="O868" s="110"/>
      <c r="P868" s="110">
        <f t="shared" si="99"/>
        <v>0</v>
      </c>
      <c r="Q868" s="110">
        <f t="shared" si="100"/>
        <v>0</v>
      </c>
      <c r="R868" s="110">
        <f t="shared" si="101"/>
        <v>0</v>
      </c>
      <c r="S868" s="112">
        <v>0</v>
      </c>
    </row>
    <row r="869" spans="1:19">
      <c r="A869" s="79"/>
      <c r="B869" s="77" t="s">
        <v>286</v>
      </c>
      <c r="C869" s="76" t="s">
        <v>4</v>
      </c>
      <c r="D869" s="143">
        <v>6</v>
      </c>
      <c r="E869" s="74"/>
      <c r="F869" s="334"/>
      <c r="G869" s="112">
        <v>0</v>
      </c>
      <c r="H869" s="120">
        <v>0</v>
      </c>
      <c r="I869" s="120">
        <v>0</v>
      </c>
      <c r="J869" s="120">
        <v>0</v>
      </c>
      <c r="K869" s="110">
        <v>0</v>
      </c>
      <c r="L869" s="110"/>
      <c r="M869" s="110">
        <v>0</v>
      </c>
      <c r="N869" s="110"/>
      <c r="O869" s="110"/>
      <c r="P869" s="110">
        <f t="shared" si="99"/>
        <v>0</v>
      </c>
      <c r="Q869" s="110">
        <f t="shared" si="100"/>
        <v>0</v>
      </c>
      <c r="R869" s="110">
        <f t="shared" si="101"/>
        <v>0</v>
      </c>
      <c r="S869" s="112">
        <v>0</v>
      </c>
    </row>
    <row r="870" spans="1:19">
      <c r="A870" s="79"/>
      <c r="B870" s="77" t="s">
        <v>280</v>
      </c>
      <c r="C870" s="76" t="s">
        <v>4</v>
      </c>
      <c r="D870" s="143">
        <v>2</v>
      </c>
      <c r="E870" s="74"/>
      <c r="F870" s="334"/>
      <c r="G870" s="112">
        <v>0</v>
      </c>
      <c r="H870" s="120">
        <v>0</v>
      </c>
      <c r="I870" s="120">
        <v>0</v>
      </c>
      <c r="J870" s="120">
        <v>0</v>
      </c>
      <c r="K870" s="110">
        <v>0</v>
      </c>
      <c r="L870" s="110"/>
      <c r="M870" s="110">
        <v>0</v>
      </c>
      <c r="N870" s="110"/>
      <c r="O870" s="110"/>
      <c r="P870" s="110">
        <f t="shared" si="99"/>
        <v>0</v>
      </c>
      <c r="Q870" s="110">
        <f t="shared" si="100"/>
        <v>0</v>
      </c>
      <c r="R870" s="110">
        <f t="shared" si="101"/>
        <v>0</v>
      </c>
      <c r="S870" s="112">
        <v>0</v>
      </c>
    </row>
    <row r="871" spans="1:19">
      <c r="A871" s="79"/>
      <c r="B871" s="77" t="s">
        <v>287</v>
      </c>
      <c r="C871" s="76" t="s">
        <v>4</v>
      </c>
      <c r="D871" s="143">
        <v>16</v>
      </c>
      <c r="E871" s="74"/>
      <c r="F871" s="334"/>
      <c r="G871" s="112">
        <v>0</v>
      </c>
      <c r="H871" s="120">
        <v>0</v>
      </c>
      <c r="I871" s="120">
        <v>0</v>
      </c>
      <c r="J871" s="120">
        <v>0</v>
      </c>
      <c r="K871" s="110">
        <v>0</v>
      </c>
      <c r="L871" s="110"/>
      <c r="M871" s="110">
        <v>0</v>
      </c>
      <c r="N871" s="110"/>
      <c r="O871" s="110"/>
      <c r="P871" s="110">
        <f t="shared" si="99"/>
        <v>0</v>
      </c>
      <c r="Q871" s="110">
        <f t="shared" si="100"/>
        <v>0</v>
      </c>
      <c r="R871" s="110">
        <f t="shared" si="101"/>
        <v>0</v>
      </c>
      <c r="S871" s="112">
        <v>0</v>
      </c>
    </row>
    <row r="872" spans="1:19" ht="30">
      <c r="A872" s="79"/>
      <c r="B872" s="77" t="s">
        <v>288</v>
      </c>
      <c r="C872" s="76" t="s">
        <v>8</v>
      </c>
      <c r="D872" s="143">
        <v>1</v>
      </c>
      <c r="E872" s="74"/>
      <c r="F872" s="334"/>
      <c r="G872" s="112">
        <v>0</v>
      </c>
      <c r="H872" s="120">
        <v>0</v>
      </c>
      <c r="I872" s="120">
        <v>0</v>
      </c>
      <c r="J872" s="120">
        <v>0</v>
      </c>
      <c r="K872" s="110">
        <v>0</v>
      </c>
      <c r="L872" s="110"/>
      <c r="M872" s="110">
        <v>0</v>
      </c>
      <c r="N872" s="110"/>
      <c r="O872" s="110"/>
      <c r="P872" s="110">
        <f t="shared" si="99"/>
        <v>0</v>
      </c>
      <c r="Q872" s="110">
        <f t="shared" si="100"/>
        <v>0</v>
      </c>
      <c r="R872" s="110">
        <f t="shared" si="101"/>
        <v>0</v>
      </c>
      <c r="S872" s="112">
        <v>0</v>
      </c>
    </row>
    <row r="873" spans="1:19" ht="45">
      <c r="A873" s="79"/>
      <c r="B873" s="77" t="s">
        <v>166</v>
      </c>
      <c r="C873" s="76" t="s">
        <v>17</v>
      </c>
      <c r="D873" s="143">
        <v>1</v>
      </c>
      <c r="E873" s="74"/>
      <c r="F873" s="334"/>
      <c r="G873" s="112">
        <v>0</v>
      </c>
      <c r="H873" s="120">
        <v>0</v>
      </c>
      <c r="I873" s="120">
        <v>0</v>
      </c>
      <c r="J873" s="120">
        <v>0</v>
      </c>
      <c r="K873" s="110">
        <v>0</v>
      </c>
      <c r="L873" s="110"/>
      <c r="M873" s="110">
        <v>0</v>
      </c>
      <c r="N873" s="110"/>
      <c r="O873" s="110"/>
      <c r="P873" s="110">
        <f t="shared" si="99"/>
        <v>0</v>
      </c>
      <c r="Q873" s="110">
        <f t="shared" si="100"/>
        <v>0</v>
      </c>
      <c r="R873" s="110">
        <f t="shared" si="101"/>
        <v>0</v>
      </c>
      <c r="S873" s="112">
        <v>0</v>
      </c>
    </row>
    <row r="874" spans="1:19" ht="60">
      <c r="A874" s="79">
        <v>23</v>
      </c>
      <c r="B874" s="77" t="s">
        <v>289</v>
      </c>
      <c r="C874" s="76" t="s">
        <v>6</v>
      </c>
      <c r="D874" s="143">
        <v>1</v>
      </c>
      <c r="E874" s="74"/>
      <c r="F874" s="334">
        <v>1</v>
      </c>
      <c r="G874" s="112" t="s">
        <v>838</v>
      </c>
      <c r="H874" s="120" t="s">
        <v>1076</v>
      </c>
      <c r="I874" s="120" t="s">
        <v>828</v>
      </c>
      <c r="J874" s="120" t="s">
        <v>829</v>
      </c>
      <c r="K874" s="110">
        <v>103159300</v>
      </c>
      <c r="L874" s="110"/>
      <c r="M874" s="110">
        <v>5541300</v>
      </c>
      <c r="N874" s="110"/>
      <c r="O874" s="110"/>
      <c r="P874" s="110">
        <f t="shared" si="99"/>
        <v>108700600</v>
      </c>
      <c r="Q874" s="110">
        <f t="shared" si="100"/>
        <v>108700600</v>
      </c>
      <c r="R874" s="110">
        <f t="shared" si="101"/>
        <v>108700600</v>
      </c>
      <c r="S874" s="112" t="s">
        <v>4094</v>
      </c>
    </row>
    <row r="875" spans="1:19" ht="45">
      <c r="A875" s="79"/>
      <c r="B875" s="77" t="s">
        <v>274</v>
      </c>
      <c r="C875" s="76" t="s">
        <v>4</v>
      </c>
      <c r="D875" s="143">
        <v>1</v>
      </c>
      <c r="E875" s="74"/>
      <c r="F875" s="334"/>
      <c r="G875" s="112">
        <v>0</v>
      </c>
      <c r="H875" s="120">
        <v>0</v>
      </c>
      <c r="I875" s="120">
        <v>0</v>
      </c>
      <c r="J875" s="120">
        <v>0</v>
      </c>
      <c r="K875" s="110">
        <v>0</v>
      </c>
      <c r="L875" s="110"/>
      <c r="M875" s="110">
        <v>0</v>
      </c>
      <c r="N875" s="110"/>
      <c r="O875" s="110"/>
      <c r="P875" s="110">
        <f t="shared" si="99"/>
        <v>0</v>
      </c>
      <c r="Q875" s="110">
        <f t="shared" si="100"/>
        <v>0</v>
      </c>
      <c r="R875" s="110">
        <f t="shared" si="101"/>
        <v>0</v>
      </c>
      <c r="S875" s="112" t="s">
        <v>150</v>
      </c>
    </row>
    <row r="876" spans="1:19">
      <c r="A876" s="79"/>
      <c r="B876" s="77" t="s">
        <v>151</v>
      </c>
      <c r="C876" s="76"/>
      <c r="D876" s="143"/>
      <c r="E876" s="74"/>
      <c r="F876" s="74"/>
      <c r="G876" s="112">
        <v>0</v>
      </c>
      <c r="H876" s="120">
        <v>0</v>
      </c>
      <c r="I876" s="120">
        <v>0</v>
      </c>
      <c r="J876" s="120">
        <v>0</v>
      </c>
      <c r="K876" s="110">
        <v>0</v>
      </c>
      <c r="L876" s="110"/>
      <c r="M876" s="110">
        <v>0</v>
      </c>
      <c r="N876" s="110"/>
      <c r="O876" s="110"/>
      <c r="P876" s="110">
        <f t="shared" si="99"/>
        <v>0</v>
      </c>
      <c r="Q876" s="110">
        <f t="shared" si="100"/>
        <v>0</v>
      </c>
      <c r="R876" s="110">
        <f t="shared" si="101"/>
        <v>0</v>
      </c>
      <c r="S876" s="112">
        <v>0</v>
      </c>
    </row>
    <row r="877" spans="1:19">
      <c r="A877" s="79"/>
      <c r="B877" s="77" t="s">
        <v>290</v>
      </c>
      <c r="C877" s="76" t="s">
        <v>4</v>
      </c>
      <c r="D877" s="143">
        <v>1</v>
      </c>
      <c r="E877" s="82"/>
      <c r="F877" s="334"/>
      <c r="G877" s="112">
        <v>0</v>
      </c>
      <c r="H877" s="120">
        <v>0</v>
      </c>
      <c r="I877" s="120">
        <v>0</v>
      </c>
      <c r="J877" s="120">
        <v>0</v>
      </c>
      <c r="K877" s="110">
        <v>0</v>
      </c>
      <c r="L877" s="110"/>
      <c r="M877" s="110">
        <v>0</v>
      </c>
      <c r="N877" s="110"/>
      <c r="O877" s="110"/>
      <c r="P877" s="110">
        <f t="shared" si="99"/>
        <v>0</v>
      </c>
      <c r="Q877" s="110">
        <f t="shared" si="100"/>
        <v>0</v>
      </c>
      <c r="R877" s="110">
        <f t="shared" si="101"/>
        <v>0</v>
      </c>
      <c r="S877" s="112">
        <v>0</v>
      </c>
    </row>
    <row r="878" spans="1:19">
      <c r="A878" s="79"/>
      <c r="B878" s="77" t="s">
        <v>14</v>
      </c>
      <c r="C878" s="76" t="s">
        <v>4</v>
      </c>
      <c r="D878" s="143">
        <v>3</v>
      </c>
      <c r="E878" s="73"/>
      <c r="F878" s="334"/>
      <c r="G878" s="112">
        <v>0</v>
      </c>
      <c r="H878" s="120">
        <v>0</v>
      </c>
      <c r="I878" s="120">
        <v>0</v>
      </c>
      <c r="J878" s="120">
        <v>0</v>
      </c>
      <c r="K878" s="110">
        <v>0</v>
      </c>
      <c r="L878" s="110"/>
      <c r="M878" s="110">
        <v>0</v>
      </c>
      <c r="N878" s="110"/>
      <c r="O878" s="110"/>
      <c r="P878" s="110">
        <f t="shared" si="99"/>
        <v>0</v>
      </c>
      <c r="Q878" s="110">
        <f t="shared" si="100"/>
        <v>0</v>
      </c>
      <c r="R878" s="110">
        <f t="shared" si="101"/>
        <v>0</v>
      </c>
      <c r="S878" s="112">
        <v>0</v>
      </c>
    </row>
    <row r="879" spans="1:19">
      <c r="A879" s="79"/>
      <c r="B879" s="77" t="s">
        <v>153</v>
      </c>
      <c r="C879" s="76" t="s">
        <v>4</v>
      </c>
      <c r="D879" s="143">
        <v>3</v>
      </c>
      <c r="E879" s="50"/>
      <c r="F879" s="334"/>
      <c r="G879" s="112">
        <v>0</v>
      </c>
      <c r="H879" s="120">
        <v>0</v>
      </c>
      <c r="I879" s="120">
        <v>0</v>
      </c>
      <c r="J879" s="120">
        <v>0</v>
      </c>
      <c r="K879" s="110">
        <v>0</v>
      </c>
      <c r="L879" s="110"/>
      <c r="M879" s="110">
        <v>0</v>
      </c>
      <c r="N879" s="110"/>
      <c r="O879" s="110"/>
      <c r="P879" s="110">
        <f t="shared" si="99"/>
        <v>0</v>
      </c>
      <c r="Q879" s="110">
        <f t="shared" si="100"/>
        <v>0</v>
      </c>
      <c r="R879" s="110">
        <f t="shared" si="101"/>
        <v>0</v>
      </c>
      <c r="S879" s="112">
        <v>0</v>
      </c>
    </row>
    <row r="880" spans="1:19">
      <c r="A880" s="79"/>
      <c r="B880" s="77" t="s">
        <v>154</v>
      </c>
      <c r="C880" s="76"/>
      <c r="D880" s="143"/>
      <c r="E880" s="57"/>
      <c r="F880" s="57"/>
      <c r="G880" s="112">
        <v>0</v>
      </c>
      <c r="H880" s="120">
        <v>0</v>
      </c>
      <c r="I880" s="120">
        <v>0</v>
      </c>
      <c r="J880" s="120">
        <v>0</v>
      </c>
      <c r="K880" s="110">
        <v>0</v>
      </c>
      <c r="L880" s="110"/>
      <c r="M880" s="110">
        <v>0</v>
      </c>
      <c r="N880" s="110"/>
      <c r="O880" s="110"/>
      <c r="P880" s="110">
        <f t="shared" si="99"/>
        <v>0</v>
      </c>
      <c r="Q880" s="110">
        <f t="shared" si="100"/>
        <v>0</v>
      </c>
      <c r="R880" s="110">
        <f t="shared" si="101"/>
        <v>0</v>
      </c>
      <c r="S880" s="112">
        <v>0</v>
      </c>
    </row>
    <row r="881" spans="1:19">
      <c r="A881" s="79"/>
      <c r="B881" s="77" t="s">
        <v>291</v>
      </c>
      <c r="C881" s="76" t="s">
        <v>4</v>
      </c>
      <c r="D881" s="143">
        <v>1</v>
      </c>
      <c r="E881" s="50"/>
      <c r="F881" s="334"/>
      <c r="G881" s="112">
        <v>0</v>
      </c>
      <c r="H881" s="120">
        <v>0</v>
      </c>
      <c r="I881" s="120">
        <v>0</v>
      </c>
      <c r="J881" s="120">
        <v>0</v>
      </c>
      <c r="K881" s="110">
        <v>0</v>
      </c>
      <c r="L881" s="110"/>
      <c r="M881" s="110">
        <v>0</v>
      </c>
      <c r="N881" s="110"/>
      <c r="O881" s="110"/>
      <c r="P881" s="110">
        <f t="shared" ref="P881:P944" si="102">+K881+L881+M881+N881+O881</f>
        <v>0</v>
      </c>
      <c r="Q881" s="110">
        <f t="shared" ref="Q881:Q944" si="103">+P881*D881</f>
        <v>0</v>
      </c>
      <c r="R881" s="110">
        <f t="shared" ref="R881:R944" si="104">P881*F881</f>
        <v>0</v>
      </c>
      <c r="S881" s="112">
        <v>0</v>
      </c>
    </row>
    <row r="882" spans="1:19">
      <c r="A882" s="79"/>
      <c r="B882" s="77" t="s">
        <v>292</v>
      </c>
      <c r="C882" s="76" t="s">
        <v>4</v>
      </c>
      <c r="D882" s="143">
        <v>2</v>
      </c>
      <c r="E882" s="50"/>
      <c r="F882" s="334"/>
      <c r="G882" s="112">
        <v>0</v>
      </c>
      <c r="H882" s="120">
        <v>0</v>
      </c>
      <c r="I882" s="120">
        <v>0</v>
      </c>
      <c r="J882" s="120">
        <v>0</v>
      </c>
      <c r="K882" s="110">
        <v>0</v>
      </c>
      <c r="L882" s="110"/>
      <c r="M882" s="110">
        <v>0</v>
      </c>
      <c r="N882" s="110"/>
      <c r="O882" s="110"/>
      <c r="P882" s="110">
        <f t="shared" si="102"/>
        <v>0</v>
      </c>
      <c r="Q882" s="110">
        <f t="shared" si="103"/>
        <v>0</v>
      </c>
      <c r="R882" s="110">
        <f t="shared" si="104"/>
        <v>0</v>
      </c>
      <c r="S882" s="112">
        <v>0</v>
      </c>
    </row>
    <row r="883" spans="1:19">
      <c r="A883" s="79"/>
      <c r="B883" s="77" t="s">
        <v>223</v>
      </c>
      <c r="C883" s="76" t="s">
        <v>4</v>
      </c>
      <c r="D883" s="143">
        <v>4</v>
      </c>
      <c r="E883" s="50"/>
      <c r="F883" s="334"/>
      <c r="G883" s="112">
        <v>0</v>
      </c>
      <c r="H883" s="120">
        <v>0</v>
      </c>
      <c r="I883" s="120">
        <v>0</v>
      </c>
      <c r="J883" s="120">
        <v>0</v>
      </c>
      <c r="K883" s="110">
        <v>0</v>
      </c>
      <c r="L883" s="110"/>
      <c r="M883" s="110">
        <v>0</v>
      </c>
      <c r="N883" s="110"/>
      <c r="O883" s="110"/>
      <c r="P883" s="110">
        <f t="shared" si="102"/>
        <v>0</v>
      </c>
      <c r="Q883" s="110">
        <f t="shared" si="103"/>
        <v>0</v>
      </c>
      <c r="R883" s="110">
        <f t="shared" si="104"/>
        <v>0</v>
      </c>
      <c r="S883" s="112">
        <v>0</v>
      </c>
    </row>
    <row r="884" spans="1:19">
      <c r="A884" s="79"/>
      <c r="B884" s="77" t="s">
        <v>158</v>
      </c>
      <c r="C884" s="76" t="s">
        <v>4</v>
      </c>
      <c r="D884" s="143">
        <v>1</v>
      </c>
      <c r="E884" s="76"/>
      <c r="F884" s="334"/>
      <c r="G884" s="112">
        <v>0</v>
      </c>
      <c r="H884" s="120">
        <v>0</v>
      </c>
      <c r="I884" s="120">
        <v>0</v>
      </c>
      <c r="J884" s="120">
        <v>0</v>
      </c>
      <c r="K884" s="110">
        <v>0</v>
      </c>
      <c r="L884" s="110"/>
      <c r="M884" s="110">
        <v>0</v>
      </c>
      <c r="N884" s="110"/>
      <c r="O884" s="110"/>
      <c r="P884" s="110">
        <f t="shared" si="102"/>
        <v>0</v>
      </c>
      <c r="Q884" s="110">
        <f t="shared" si="103"/>
        <v>0</v>
      </c>
      <c r="R884" s="110">
        <f t="shared" si="104"/>
        <v>0</v>
      </c>
      <c r="S884" s="112">
        <v>0</v>
      </c>
    </row>
    <row r="885" spans="1:19">
      <c r="A885" s="79"/>
      <c r="B885" s="77" t="s">
        <v>276</v>
      </c>
      <c r="C885" s="76" t="s">
        <v>4</v>
      </c>
      <c r="D885" s="143">
        <v>5</v>
      </c>
      <c r="E885" s="83"/>
      <c r="F885" s="334"/>
      <c r="G885" s="112">
        <v>0</v>
      </c>
      <c r="H885" s="120">
        <v>0</v>
      </c>
      <c r="I885" s="120">
        <v>0</v>
      </c>
      <c r="J885" s="120">
        <v>0</v>
      </c>
      <c r="K885" s="110">
        <v>0</v>
      </c>
      <c r="L885" s="110"/>
      <c r="M885" s="110">
        <v>0</v>
      </c>
      <c r="N885" s="110"/>
      <c r="O885" s="110"/>
      <c r="P885" s="110">
        <f t="shared" si="102"/>
        <v>0</v>
      </c>
      <c r="Q885" s="110">
        <f t="shared" si="103"/>
        <v>0</v>
      </c>
      <c r="R885" s="110">
        <f t="shared" si="104"/>
        <v>0</v>
      </c>
      <c r="S885" s="112">
        <v>0</v>
      </c>
    </row>
    <row r="886" spans="1:19">
      <c r="A886" s="79"/>
      <c r="B886" s="77" t="s">
        <v>277</v>
      </c>
      <c r="C886" s="76" t="s">
        <v>4</v>
      </c>
      <c r="D886" s="143">
        <v>1</v>
      </c>
      <c r="E886" s="83"/>
      <c r="F886" s="334"/>
      <c r="G886" s="112">
        <v>0</v>
      </c>
      <c r="H886" s="120">
        <v>0</v>
      </c>
      <c r="I886" s="120">
        <v>0</v>
      </c>
      <c r="J886" s="120">
        <v>0</v>
      </c>
      <c r="K886" s="110">
        <v>0</v>
      </c>
      <c r="L886" s="110"/>
      <c r="M886" s="110">
        <v>0</v>
      </c>
      <c r="N886" s="110"/>
      <c r="O886" s="110"/>
      <c r="P886" s="110">
        <f t="shared" si="102"/>
        <v>0</v>
      </c>
      <c r="Q886" s="110">
        <f t="shared" si="103"/>
        <v>0</v>
      </c>
      <c r="R886" s="110">
        <f t="shared" si="104"/>
        <v>0</v>
      </c>
      <c r="S886" s="112">
        <v>0</v>
      </c>
    </row>
    <row r="887" spans="1:19">
      <c r="A887" s="79"/>
      <c r="B887" s="77" t="s">
        <v>284</v>
      </c>
      <c r="C887" s="76" t="s">
        <v>4</v>
      </c>
      <c r="D887" s="143">
        <v>4</v>
      </c>
      <c r="E887" s="50"/>
      <c r="F887" s="334"/>
      <c r="G887" s="112">
        <v>0</v>
      </c>
      <c r="H887" s="120">
        <v>0</v>
      </c>
      <c r="I887" s="120">
        <v>0</v>
      </c>
      <c r="J887" s="120">
        <v>0</v>
      </c>
      <c r="K887" s="110">
        <v>0</v>
      </c>
      <c r="L887" s="110"/>
      <c r="M887" s="110">
        <v>0</v>
      </c>
      <c r="N887" s="110"/>
      <c r="O887" s="110"/>
      <c r="P887" s="110">
        <f t="shared" si="102"/>
        <v>0</v>
      </c>
      <c r="Q887" s="110">
        <f t="shared" si="103"/>
        <v>0</v>
      </c>
      <c r="R887" s="110">
        <f t="shared" si="104"/>
        <v>0</v>
      </c>
      <c r="S887" s="112">
        <v>0</v>
      </c>
    </row>
    <row r="888" spans="1:19">
      <c r="A888" s="79"/>
      <c r="B888" s="77" t="s">
        <v>293</v>
      </c>
      <c r="C888" s="76" t="s">
        <v>4</v>
      </c>
      <c r="D888" s="143">
        <v>2</v>
      </c>
      <c r="E888" s="74"/>
      <c r="F888" s="334"/>
      <c r="G888" s="112">
        <v>0</v>
      </c>
      <c r="H888" s="120">
        <v>0</v>
      </c>
      <c r="I888" s="120">
        <v>0</v>
      </c>
      <c r="J888" s="120">
        <v>0</v>
      </c>
      <c r="K888" s="110">
        <v>0</v>
      </c>
      <c r="L888" s="110"/>
      <c r="M888" s="110">
        <v>0</v>
      </c>
      <c r="N888" s="110"/>
      <c r="O888" s="110"/>
      <c r="P888" s="110">
        <f t="shared" si="102"/>
        <v>0</v>
      </c>
      <c r="Q888" s="110">
        <f t="shared" si="103"/>
        <v>0</v>
      </c>
      <c r="R888" s="110">
        <f t="shared" si="104"/>
        <v>0</v>
      </c>
      <c r="S888" s="112">
        <v>0</v>
      </c>
    </row>
    <row r="889" spans="1:19">
      <c r="A889" s="79"/>
      <c r="B889" s="77" t="s">
        <v>294</v>
      </c>
      <c r="C889" s="76" t="s">
        <v>4</v>
      </c>
      <c r="D889" s="143">
        <v>4</v>
      </c>
      <c r="E889" s="74"/>
      <c r="F889" s="334"/>
      <c r="G889" s="112">
        <v>0</v>
      </c>
      <c r="H889" s="120">
        <v>0</v>
      </c>
      <c r="I889" s="120">
        <v>0</v>
      </c>
      <c r="J889" s="120">
        <v>0</v>
      </c>
      <c r="K889" s="110">
        <v>0</v>
      </c>
      <c r="L889" s="110"/>
      <c r="M889" s="110">
        <v>0</v>
      </c>
      <c r="N889" s="110"/>
      <c r="O889" s="110"/>
      <c r="P889" s="110">
        <f t="shared" si="102"/>
        <v>0</v>
      </c>
      <c r="Q889" s="110">
        <f t="shared" si="103"/>
        <v>0</v>
      </c>
      <c r="R889" s="110">
        <f t="shared" si="104"/>
        <v>0</v>
      </c>
      <c r="S889" s="112">
        <v>0</v>
      </c>
    </row>
    <row r="890" spans="1:19">
      <c r="A890" s="79"/>
      <c r="B890" s="77" t="s">
        <v>246</v>
      </c>
      <c r="C890" s="76" t="s">
        <v>4</v>
      </c>
      <c r="D890" s="143">
        <v>8</v>
      </c>
      <c r="E890" s="74"/>
      <c r="F890" s="334"/>
      <c r="G890" s="112">
        <v>0</v>
      </c>
      <c r="H890" s="120">
        <v>0</v>
      </c>
      <c r="I890" s="120">
        <v>0</v>
      </c>
      <c r="J890" s="120">
        <v>0</v>
      </c>
      <c r="K890" s="110">
        <v>0</v>
      </c>
      <c r="L890" s="110"/>
      <c r="M890" s="110">
        <v>0</v>
      </c>
      <c r="N890" s="110"/>
      <c r="O890" s="110"/>
      <c r="P890" s="110">
        <f t="shared" si="102"/>
        <v>0</v>
      </c>
      <c r="Q890" s="110">
        <f t="shared" si="103"/>
        <v>0</v>
      </c>
      <c r="R890" s="110">
        <f t="shared" si="104"/>
        <v>0</v>
      </c>
      <c r="S890" s="112">
        <v>0</v>
      </c>
    </row>
    <row r="891" spans="1:19">
      <c r="A891" s="79"/>
      <c r="B891" s="77" t="s">
        <v>278</v>
      </c>
      <c r="C891" s="76" t="s">
        <v>4</v>
      </c>
      <c r="D891" s="143">
        <v>10</v>
      </c>
      <c r="E891" s="74"/>
      <c r="F891" s="334"/>
      <c r="G891" s="112">
        <v>0</v>
      </c>
      <c r="H891" s="120">
        <v>0</v>
      </c>
      <c r="I891" s="120">
        <v>0</v>
      </c>
      <c r="J891" s="120">
        <v>0</v>
      </c>
      <c r="K891" s="110">
        <v>0</v>
      </c>
      <c r="L891" s="110"/>
      <c r="M891" s="110">
        <v>0</v>
      </c>
      <c r="N891" s="110"/>
      <c r="O891" s="110"/>
      <c r="P891" s="110">
        <f t="shared" si="102"/>
        <v>0</v>
      </c>
      <c r="Q891" s="110">
        <f t="shared" si="103"/>
        <v>0</v>
      </c>
      <c r="R891" s="110">
        <f t="shared" si="104"/>
        <v>0</v>
      </c>
      <c r="S891" s="112">
        <v>0</v>
      </c>
    </row>
    <row r="892" spans="1:19">
      <c r="A892" s="79"/>
      <c r="B892" s="77" t="s">
        <v>279</v>
      </c>
      <c r="C892" s="76" t="s">
        <v>4</v>
      </c>
      <c r="D892" s="143">
        <v>2</v>
      </c>
      <c r="E892" s="82"/>
      <c r="F892" s="334"/>
      <c r="G892" s="112">
        <v>0</v>
      </c>
      <c r="H892" s="120">
        <v>0</v>
      </c>
      <c r="I892" s="120">
        <v>0</v>
      </c>
      <c r="J892" s="120">
        <v>0</v>
      </c>
      <c r="K892" s="110">
        <v>0</v>
      </c>
      <c r="L892" s="110"/>
      <c r="M892" s="110">
        <v>0</v>
      </c>
      <c r="N892" s="110"/>
      <c r="O892" s="110"/>
      <c r="P892" s="110">
        <f t="shared" si="102"/>
        <v>0</v>
      </c>
      <c r="Q892" s="110">
        <f t="shared" si="103"/>
        <v>0</v>
      </c>
      <c r="R892" s="110">
        <f t="shared" si="104"/>
        <v>0</v>
      </c>
      <c r="S892" s="112">
        <v>0</v>
      </c>
    </row>
    <row r="893" spans="1:19">
      <c r="A893" s="79"/>
      <c r="B893" s="77" t="s">
        <v>286</v>
      </c>
      <c r="C893" s="76" t="s">
        <v>4</v>
      </c>
      <c r="D893" s="143">
        <v>8</v>
      </c>
      <c r="E893" s="59"/>
      <c r="F893" s="334"/>
      <c r="G893" s="112">
        <v>0</v>
      </c>
      <c r="H893" s="120">
        <v>0</v>
      </c>
      <c r="I893" s="120">
        <v>0</v>
      </c>
      <c r="J893" s="120">
        <v>0</v>
      </c>
      <c r="K893" s="110">
        <v>0</v>
      </c>
      <c r="L893" s="110"/>
      <c r="M893" s="110">
        <v>0</v>
      </c>
      <c r="N893" s="110"/>
      <c r="O893" s="110"/>
      <c r="P893" s="110">
        <f t="shared" si="102"/>
        <v>0</v>
      </c>
      <c r="Q893" s="110">
        <f t="shared" si="103"/>
        <v>0</v>
      </c>
      <c r="R893" s="110">
        <f t="shared" si="104"/>
        <v>0</v>
      </c>
      <c r="S893" s="112">
        <v>0</v>
      </c>
    </row>
    <row r="894" spans="1:19" ht="30">
      <c r="A894" s="79"/>
      <c r="B894" s="77" t="s">
        <v>295</v>
      </c>
      <c r="C894" s="76" t="s">
        <v>8</v>
      </c>
      <c r="D894" s="143">
        <v>1</v>
      </c>
      <c r="E894" s="77"/>
      <c r="F894" s="334"/>
      <c r="G894" s="112">
        <v>0</v>
      </c>
      <c r="H894" s="120">
        <v>0</v>
      </c>
      <c r="I894" s="120">
        <v>0</v>
      </c>
      <c r="J894" s="120">
        <v>0</v>
      </c>
      <c r="K894" s="110">
        <v>0</v>
      </c>
      <c r="L894" s="110"/>
      <c r="M894" s="110">
        <v>0</v>
      </c>
      <c r="N894" s="110"/>
      <c r="O894" s="110"/>
      <c r="P894" s="110">
        <f t="shared" si="102"/>
        <v>0</v>
      </c>
      <c r="Q894" s="110">
        <f t="shared" si="103"/>
        <v>0</v>
      </c>
      <c r="R894" s="110">
        <f t="shared" si="104"/>
        <v>0</v>
      </c>
      <c r="S894" s="112">
        <v>0</v>
      </c>
    </row>
    <row r="895" spans="1:19" ht="45">
      <c r="A895" s="79"/>
      <c r="B895" s="77" t="s">
        <v>166</v>
      </c>
      <c r="C895" s="76" t="s">
        <v>17</v>
      </c>
      <c r="D895" s="143">
        <v>1</v>
      </c>
      <c r="E895" s="77"/>
      <c r="F895" s="334"/>
      <c r="G895" s="112">
        <v>0</v>
      </c>
      <c r="H895" s="120">
        <v>0</v>
      </c>
      <c r="I895" s="120">
        <v>0</v>
      </c>
      <c r="J895" s="120">
        <v>0</v>
      </c>
      <c r="K895" s="110">
        <v>0</v>
      </c>
      <c r="L895" s="110"/>
      <c r="M895" s="110">
        <v>0</v>
      </c>
      <c r="N895" s="110"/>
      <c r="O895" s="110"/>
      <c r="P895" s="110">
        <f t="shared" si="102"/>
        <v>0</v>
      </c>
      <c r="Q895" s="110">
        <f t="shared" si="103"/>
        <v>0</v>
      </c>
      <c r="R895" s="110">
        <f t="shared" si="104"/>
        <v>0</v>
      </c>
      <c r="S895" s="112">
        <v>0</v>
      </c>
    </row>
    <row r="896" spans="1:19" ht="60">
      <c r="A896" s="79">
        <v>24</v>
      </c>
      <c r="B896" s="77" t="s">
        <v>296</v>
      </c>
      <c r="C896" s="76" t="s">
        <v>6</v>
      </c>
      <c r="D896" s="143">
        <v>1</v>
      </c>
      <c r="E896" s="77"/>
      <c r="F896" s="334">
        <v>1</v>
      </c>
      <c r="G896" s="112" t="s">
        <v>839</v>
      </c>
      <c r="H896" s="120" t="s">
        <v>1076</v>
      </c>
      <c r="I896" s="120" t="s">
        <v>828</v>
      </c>
      <c r="J896" s="120" t="s">
        <v>829</v>
      </c>
      <c r="K896" s="110">
        <v>69673900</v>
      </c>
      <c r="L896" s="110"/>
      <c r="M896" s="110">
        <v>3828500</v>
      </c>
      <c r="N896" s="110"/>
      <c r="O896" s="110"/>
      <c r="P896" s="110">
        <f t="shared" si="102"/>
        <v>73502400</v>
      </c>
      <c r="Q896" s="110">
        <f t="shared" si="103"/>
        <v>73502400</v>
      </c>
      <c r="R896" s="110">
        <f t="shared" si="104"/>
        <v>73502400</v>
      </c>
      <c r="S896" s="112" t="s">
        <v>4094</v>
      </c>
    </row>
    <row r="897" spans="1:19" ht="45">
      <c r="A897" s="79"/>
      <c r="B897" s="77" t="s">
        <v>274</v>
      </c>
      <c r="C897" s="76" t="s">
        <v>4</v>
      </c>
      <c r="D897" s="143">
        <v>1</v>
      </c>
      <c r="E897" s="77"/>
      <c r="F897" s="334"/>
      <c r="G897" s="112">
        <v>0</v>
      </c>
      <c r="H897" s="120">
        <v>0</v>
      </c>
      <c r="I897" s="120">
        <v>0</v>
      </c>
      <c r="J897" s="120">
        <v>0</v>
      </c>
      <c r="K897" s="110">
        <v>0</v>
      </c>
      <c r="L897" s="110"/>
      <c r="M897" s="110">
        <v>0</v>
      </c>
      <c r="N897" s="110"/>
      <c r="O897" s="110"/>
      <c r="P897" s="110">
        <f t="shared" si="102"/>
        <v>0</v>
      </c>
      <c r="Q897" s="110">
        <f t="shared" si="103"/>
        <v>0</v>
      </c>
      <c r="R897" s="110">
        <f t="shared" si="104"/>
        <v>0</v>
      </c>
      <c r="S897" s="112" t="s">
        <v>150</v>
      </c>
    </row>
    <row r="898" spans="1:19">
      <c r="A898" s="79"/>
      <c r="B898" s="77" t="s">
        <v>297</v>
      </c>
      <c r="C898" s="76" t="s">
        <v>4</v>
      </c>
      <c r="D898" s="143">
        <v>3</v>
      </c>
      <c r="E898" s="77"/>
      <c r="F898" s="334"/>
      <c r="G898" s="112">
        <v>0</v>
      </c>
      <c r="H898" s="120">
        <v>0</v>
      </c>
      <c r="I898" s="120">
        <v>0</v>
      </c>
      <c r="J898" s="120">
        <v>0</v>
      </c>
      <c r="K898" s="110">
        <v>0</v>
      </c>
      <c r="L898" s="110"/>
      <c r="M898" s="110">
        <v>0</v>
      </c>
      <c r="N898" s="110"/>
      <c r="O898" s="110"/>
      <c r="P898" s="110">
        <f t="shared" si="102"/>
        <v>0</v>
      </c>
      <c r="Q898" s="110">
        <f t="shared" si="103"/>
        <v>0</v>
      </c>
      <c r="R898" s="110">
        <f t="shared" si="104"/>
        <v>0</v>
      </c>
      <c r="S898" s="112">
        <v>0</v>
      </c>
    </row>
    <row r="899" spans="1:19">
      <c r="A899" s="79"/>
      <c r="B899" s="77" t="s">
        <v>280</v>
      </c>
      <c r="C899" s="76" t="s">
        <v>4</v>
      </c>
      <c r="D899" s="143">
        <v>4</v>
      </c>
      <c r="E899" s="77"/>
      <c r="F899" s="334"/>
      <c r="G899" s="112">
        <v>0</v>
      </c>
      <c r="H899" s="120">
        <v>0</v>
      </c>
      <c r="I899" s="120">
        <v>0</v>
      </c>
      <c r="J899" s="120">
        <v>0</v>
      </c>
      <c r="K899" s="110">
        <v>0</v>
      </c>
      <c r="L899" s="110"/>
      <c r="M899" s="110">
        <v>0</v>
      </c>
      <c r="N899" s="110"/>
      <c r="O899" s="110"/>
      <c r="P899" s="110">
        <f t="shared" si="102"/>
        <v>0</v>
      </c>
      <c r="Q899" s="110">
        <f t="shared" si="103"/>
        <v>0</v>
      </c>
      <c r="R899" s="110">
        <f t="shared" si="104"/>
        <v>0</v>
      </c>
      <c r="S899" s="112">
        <v>0</v>
      </c>
    </row>
    <row r="900" spans="1:19">
      <c r="A900" s="79"/>
      <c r="B900" s="77" t="s">
        <v>281</v>
      </c>
      <c r="C900" s="76" t="s">
        <v>4</v>
      </c>
      <c r="D900" s="143">
        <v>6</v>
      </c>
      <c r="E900" s="77"/>
      <c r="F900" s="334"/>
      <c r="G900" s="112">
        <v>0</v>
      </c>
      <c r="H900" s="120">
        <v>0</v>
      </c>
      <c r="I900" s="120">
        <v>0</v>
      </c>
      <c r="J900" s="120">
        <v>0</v>
      </c>
      <c r="K900" s="110">
        <v>0</v>
      </c>
      <c r="L900" s="110"/>
      <c r="M900" s="110">
        <v>0</v>
      </c>
      <c r="N900" s="110"/>
      <c r="O900" s="110"/>
      <c r="P900" s="110">
        <f t="shared" si="102"/>
        <v>0</v>
      </c>
      <c r="Q900" s="110">
        <f t="shared" si="103"/>
        <v>0</v>
      </c>
      <c r="R900" s="110">
        <f t="shared" si="104"/>
        <v>0</v>
      </c>
      <c r="S900" s="112">
        <v>0</v>
      </c>
    </row>
    <row r="901" spans="1:19">
      <c r="A901" s="79"/>
      <c r="B901" s="77" t="s">
        <v>287</v>
      </c>
      <c r="C901" s="76" t="s">
        <v>4</v>
      </c>
      <c r="D901" s="143">
        <v>4</v>
      </c>
      <c r="E901" s="77"/>
      <c r="F901" s="334"/>
      <c r="G901" s="112">
        <v>0</v>
      </c>
      <c r="H901" s="120">
        <v>0</v>
      </c>
      <c r="I901" s="120">
        <v>0</v>
      </c>
      <c r="J901" s="120">
        <v>0</v>
      </c>
      <c r="K901" s="110">
        <v>0</v>
      </c>
      <c r="L901" s="110"/>
      <c r="M901" s="110">
        <v>0</v>
      </c>
      <c r="N901" s="110"/>
      <c r="O901" s="110"/>
      <c r="P901" s="110">
        <f t="shared" si="102"/>
        <v>0</v>
      </c>
      <c r="Q901" s="110">
        <f t="shared" si="103"/>
        <v>0</v>
      </c>
      <c r="R901" s="110">
        <f t="shared" si="104"/>
        <v>0</v>
      </c>
      <c r="S901" s="112">
        <v>0</v>
      </c>
    </row>
    <row r="902" spans="1:19" ht="60">
      <c r="A902" s="79">
        <v>25</v>
      </c>
      <c r="B902" s="77" t="s">
        <v>298</v>
      </c>
      <c r="C902" s="76" t="s">
        <v>6</v>
      </c>
      <c r="D902" s="143">
        <v>1</v>
      </c>
      <c r="E902" s="77"/>
      <c r="F902" s="334">
        <v>1</v>
      </c>
      <c r="G902" s="112" t="s">
        <v>840</v>
      </c>
      <c r="H902" s="120" t="s">
        <v>1076</v>
      </c>
      <c r="I902" s="120" t="s">
        <v>828</v>
      </c>
      <c r="J902" s="120" t="s">
        <v>829</v>
      </c>
      <c r="K902" s="110">
        <v>68252500</v>
      </c>
      <c r="L902" s="110"/>
      <c r="M902" s="110">
        <v>3828500</v>
      </c>
      <c r="N902" s="110"/>
      <c r="O902" s="110"/>
      <c r="P902" s="110">
        <f t="shared" si="102"/>
        <v>72081000</v>
      </c>
      <c r="Q902" s="110">
        <f t="shared" si="103"/>
        <v>72081000</v>
      </c>
      <c r="R902" s="110">
        <f t="shared" si="104"/>
        <v>72081000</v>
      </c>
      <c r="S902" s="112" t="s">
        <v>4094</v>
      </c>
    </row>
    <row r="903" spans="1:19" ht="45">
      <c r="A903" s="79"/>
      <c r="B903" s="77" t="s">
        <v>274</v>
      </c>
      <c r="C903" s="76" t="s">
        <v>4</v>
      </c>
      <c r="D903" s="143">
        <v>1</v>
      </c>
      <c r="E903" s="77"/>
      <c r="F903" s="334"/>
      <c r="G903" s="112">
        <v>0</v>
      </c>
      <c r="H903" s="120">
        <v>0</v>
      </c>
      <c r="I903" s="120">
        <v>0</v>
      </c>
      <c r="J903" s="120">
        <v>0</v>
      </c>
      <c r="K903" s="110">
        <v>0</v>
      </c>
      <c r="L903" s="110"/>
      <c r="M903" s="110">
        <v>0</v>
      </c>
      <c r="N903" s="110"/>
      <c r="O903" s="110"/>
      <c r="P903" s="110">
        <f t="shared" si="102"/>
        <v>0</v>
      </c>
      <c r="Q903" s="110">
        <f t="shared" si="103"/>
        <v>0</v>
      </c>
      <c r="R903" s="110">
        <f t="shared" si="104"/>
        <v>0</v>
      </c>
      <c r="S903" s="112" t="s">
        <v>150</v>
      </c>
    </row>
    <row r="904" spans="1:19">
      <c r="A904" s="79"/>
      <c r="B904" s="77" t="s">
        <v>151</v>
      </c>
      <c r="C904" s="76"/>
      <c r="D904" s="143"/>
      <c r="E904" s="77"/>
      <c r="F904" s="76"/>
      <c r="G904" s="112">
        <v>0</v>
      </c>
      <c r="H904" s="120">
        <v>0</v>
      </c>
      <c r="I904" s="120">
        <v>0</v>
      </c>
      <c r="J904" s="120">
        <v>0</v>
      </c>
      <c r="K904" s="110">
        <v>0</v>
      </c>
      <c r="L904" s="110"/>
      <c r="M904" s="110">
        <v>0</v>
      </c>
      <c r="N904" s="110"/>
      <c r="O904" s="110"/>
      <c r="P904" s="110">
        <f t="shared" si="102"/>
        <v>0</v>
      </c>
      <c r="Q904" s="110">
        <f t="shared" si="103"/>
        <v>0</v>
      </c>
      <c r="R904" s="110">
        <f t="shared" si="104"/>
        <v>0</v>
      </c>
      <c r="S904" s="112">
        <v>0</v>
      </c>
    </row>
    <row r="905" spans="1:19">
      <c r="A905" s="79"/>
      <c r="B905" s="77" t="s">
        <v>275</v>
      </c>
      <c r="C905" s="76" t="s">
        <v>4</v>
      </c>
      <c r="D905" s="143">
        <v>1</v>
      </c>
      <c r="E905" s="77"/>
      <c r="F905" s="334"/>
      <c r="G905" s="112">
        <v>0</v>
      </c>
      <c r="H905" s="120">
        <v>0</v>
      </c>
      <c r="I905" s="120">
        <v>0</v>
      </c>
      <c r="J905" s="120">
        <v>0</v>
      </c>
      <c r="K905" s="110">
        <v>0</v>
      </c>
      <c r="L905" s="110"/>
      <c r="M905" s="110">
        <v>0</v>
      </c>
      <c r="N905" s="110"/>
      <c r="O905" s="110"/>
      <c r="P905" s="110">
        <f t="shared" si="102"/>
        <v>0</v>
      </c>
      <c r="Q905" s="110">
        <f t="shared" si="103"/>
        <v>0</v>
      </c>
      <c r="R905" s="110">
        <f t="shared" si="104"/>
        <v>0</v>
      </c>
      <c r="S905" s="112">
        <v>0</v>
      </c>
    </row>
    <row r="906" spans="1:19">
      <c r="A906" s="79"/>
      <c r="B906" s="77" t="s">
        <v>14</v>
      </c>
      <c r="C906" s="76" t="s">
        <v>4</v>
      </c>
      <c r="D906" s="143">
        <v>3</v>
      </c>
      <c r="E906" s="77"/>
      <c r="F906" s="334"/>
      <c r="G906" s="112">
        <v>0</v>
      </c>
      <c r="H906" s="120">
        <v>0</v>
      </c>
      <c r="I906" s="120">
        <v>0</v>
      </c>
      <c r="J906" s="120">
        <v>0</v>
      </c>
      <c r="K906" s="110">
        <v>0</v>
      </c>
      <c r="L906" s="110"/>
      <c r="M906" s="110">
        <v>0</v>
      </c>
      <c r="N906" s="110"/>
      <c r="O906" s="110"/>
      <c r="P906" s="110">
        <f t="shared" si="102"/>
        <v>0</v>
      </c>
      <c r="Q906" s="110">
        <f t="shared" si="103"/>
        <v>0</v>
      </c>
      <c r="R906" s="110">
        <f t="shared" si="104"/>
        <v>0</v>
      </c>
      <c r="S906" s="112">
        <v>0</v>
      </c>
    </row>
    <row r="907" spans="1:19">
      <c r="A907" s="79"/>
      <c r="B907" s="77" t="s">
        <v>153</v>
      </c>
      <c r="C907" s="76" t="s">
        <v>4</v>
      </c>
      <c r="D907" s="143">
        <v>3</v>
      </c>
      <c r="E907" s="77"/>
      <c r="F907" s="334"/>
      <c r="G907" s="112">
        <v>0</v>
      </c>
      <c r="H907" s="120">
        <v>0</v>
      </c>
      <c r="I907" s="120">
        <v>0</v>
      </c>
      <c r="J907" s="120">
        <v>0</v>
      </c>
      <c r="K907" s="110">
        <v>0</v>
      </c>
      <c r="L907" s="110"/>
      <c r="M907" s="110">
        <v>0</v>
      </c>
      <c r="N907" s="110"/>
      <c r="O907" s="110"/>
      <c r="P907" s="110">
        <f t="shared" si="102"/>
        <v>0</v>
      </c>
      <c r="Q907" s="110">
        <f t="shared" si="103"/>
        <v>0</v>
      </c>
      <c r="R907" s="110">
        <f t="shared" si="104"/>
        <v>0</v>
      </c>
      <c r="S907" s="112">
        <v>0</v>
      </c>
    </row>
    <row r="908" spans="1:19">
      <c r="A908" s="79"/>
      <c r="B908" s="77" t="s">
        <v>154</v>
      </c>
      <c r="C908" s="76"/>
      <c r="D908" s="143"/>
      <c r="E908" s="77"/>
      <c r="F908" s="76"/>
      <c r="G908" s="112">
        <v>0</v>
      </c>
      <c r="H908" s="120">
        <v>0</v>
      </c>
      <c r="I908" s="120">
        <v>0</v>
      </c>
      <c r="J908" s="120">
        <v>0</v>
      </c>
      <c r="K908" s="110">
        <v>0</v>
      </c>
      <c r="L908" s="110"/>
      <c r="M908" s="110">
        <v>0</v>
      </c>
      <c r="N908" s="110"/>
      <c r="O908" s="110"/>
      <c r="P908" s="110">
        <f t="shared" si="102"/>
        <v>0</v>
      </c>
      <c r="Q908" s="110">
        <f t="shared" si="103"/>
        <v>0</v>
      </c>
      <c r="R908" s="110">
        <f t="shared" si="104"/>
        <v>0</v>
      </c>
      <c r="S908" s="112">
        <v>0</v>
      </c>
    </row>
    <row r="909" spans="1:19">
      <c r="A909" s="79"/>
      <c r="B909" s="77" t="s">
        <v>223</v>
      </c>
      <c r="C909" s="76" t="s">
        <v>4</v>
      </c>
      <c r="D909" s="143">
        <v>1</v>
      </c>
      <c r="E909" s="77"/>
      <c r="F909" s="334"/>
      <c r="G909" s="112">
        <v>0</v>
      </c>
      <c r="H909" s="120">
        <v>0</v>
      </c>
      <c r="I909" s="120">
        <v>0</v>
      </c>
      <c r="J909" s="120">
        <v>0</v>
      </c>
      <c r="K909" s="110">
        <v>0</v>
      </c>
      <c r="L909" s="110"/>
      <c r="M909" s="110">
        <v>0</v>
      </c>
      <c r="N909" s="110"/>
      <c r="O909" s="110"/>
      <c r="P909" s="110">
        <f t="shared" si="102"/>
        <v>0</v>
      </c>
      <c r="Q909" s="110">
        <f t="shared" si="103"/>
        <v>0</v>
      </c>
      <c r="R909" s="110">
        <f t="shared" si="104"/>
        <v>0</v>
      </c>
      <c r="S909" s="112">
        <v>0</v>
      </c>
    </row>
    <row r="910" spans="1:19">
      <c r="A910" s="79"/>
      <c r="B910" s="77" t="s">
        <v>158</v>
      </c>
      <c r="C910" s="76" t="s">
        <v>4</v>
      </c>
      <c r="D910" s="143">
        <v>1</v>
      </c>
      <c r="E910" s="77"/>
      <c r="F910" s="334"/>
      <c r="G910" s="112">
        <v>0</v>
      </c>
      <c r="H910" s="120">
        <v>0</v>
      </c>
      <c r="I910" s="120">
        <v>0</v>
      </c>
      <c r="J910" s="120">
        <v>0</v>
      </c>
      <c r="K910" s="110">
        <v>0</v>
      </c>
      <c r="L910" s="110"/>
      <c r="M910" s="110">
        <v>0</v>
      </c>
      <c r="N910" s="110"/>
      <c r="O910" s="110"/>
      <c r="P910" s="110">
        <f t="shared" si="102"/>
        <v>0</v>
      </c>
      <c r="Q910" s="110">
        <f t="shared" si="103"/>
        <v>0</v>
      </c>
      <c r="R910" s="110">
        <f t="shared" si="104"/>
        <v>0</v>
      </c>
      <c r="S910" s="112">
        <v>0</v>
      </c>
    </row>
    <row r="911" spans="1:19">
      <c r="A911" s="79"/>
      <c r="B911" s="77" t="s">
        <v>276</v>
      </c>
      <c r="C911" s="76" t="s">
        <v>4</v>
      </c>
      <c r="D911" s="143">
        <v>3</v>
      </c>
      <c r="E911" s="77"/>
      <c r="F911" s="334"/>
      <c r="G911" s="112">
        <v>0</v>
      </c>
      <c r="H911" s="120">
        <v>0</v>
      </c>
      <c r="I911" s="120">
        <v>0</v>
      </c>
      <c r="J911" s="120">
        <v>0</v>
      </c>
      <c r="K911" s="110">
        <v>0</v>
      </c>
      <c r="L911" s="110"/>
      <c r="M911" s="110">
        <v>0</v>
      </c>
      <c r="N911" s="110"/>
      <c r="O911" s="110"/>
      <c r="P911" s="110">
        <f t="shared" si="102"/>
        <v>0</v>
      </c>
      <c r="Q911" s="110">
        <f t="shared" si="103"/>
        <v>0</v>
      </c>
      <c r="R911" s="110">
        <f t="shared" si="104"/>
        <v>0</v>
      </c>
      <c r="S911" s="112">
        <v>0</v>
      </c>
    </row>
    <row r="912" spans="1:19">
      <c r="A912" s="79"/>
      <c r="B912" s="77" t="s">
        <v>272</v>
      </c>
      <c r="C912" s="76" t="s">
        <v>4</v>
      </c>
      <c r="D912" s="143">
        <v>4</v>
      </c>
      <c r="E912" s="77"/>
      <c r="F912" s="334"/>
      <c r="G912" s="112">
        <v>0</v>
      </c>
      <c r="H912" s="120">
        <v>0</v>
      </c>
      <c r="I912" s="120">
        <v>0</v>
      </c>
      <c r="J912" s="120">
        <v>0</v>
      </c>
      <c r="K912" s="110">
        <v>0</v>
      </c>
      <c r="L912" s="110"/>
      <c r="M912" s="110">
        <v>0</v>
      </c>
      <c r="N912" s="110"/>
      <c r="O912" s="110"/>
      <c r="P912" s="110">
        <f t="shared" si="102"/>
        <v>0</v>
      </c>
      <c r="Q912" s="110">
        <f t="shared" si="103"/>
        <v>0</v>
      </c>
      <c r="R912" s="110">
        <f t="shared" si="104"/>
        <v>0</v>
      </c>
      <c r="S912" s="112">
        <v>0</v>
      </c>
    </row>
    <row r="913" spans="1:19">
      <c r="A913" s="79"/>
      <c r="B913" s="77" t="s">
        <v>284</v>
      </c>
      <c r="C913" s="76" t="s">
        <v>4</v>
      </c>
      <c r="D913" s="143">
        <v>5</v>
      </c>
      <c r="E913" s="77"/>
      <c r="F913" s="334"/>
      <c r="G913" s="112">
        <v>0</v>
      </c>
      <c r="H913" s="120">
        <v>0</v>
      </c>
      <c r="I913" s="120">
        <v>0</v>
      </c>
      <c r="J913" s="120">
        <v>0</v>
      </c>
      <c r="K913" s="110">
        <v>0</v>
      </c>
      <c r="L913" s="110"/>
      <c r="M913" s="110">
        <v>0</v>
      </c>
      <c r="N913" s="110"/>
      <c r="O913" s="110"/>
      <c r="P913" s="110">
        <f t="shared" si="102"/>
        <v>0</v>
      </c>
      <c r="Q913" s="110">
        <f t="shared" si="103"/>
        <v>0</v>
      </c>
      <c r="R913" s="110">
        <f t="shared" si="104"/>
        <v>0</v>
      </c>
      <c r="S913" s="112">
        <v>0</v>
      </c>
    </row>
    <row r="914" spans="1:19">
      <c r="A914" s="79"/>
      <c r="B914" s="77" t="s">
        <v>246</v>
      </c>
      <c r="C914" s="76" t="s">
        <v>4</v>
      </c>
      <c r="D914" s="143">
        <v>2</v>
      </c>
      <c r="E914" s="77"/>
      <c r="F914" s="334"/>
      <c r="G914" s="112">
        <v>0</v>
      </c>
      <c r="H914" s="120">
        <v>0</v>
      </c>
      <c r="I914" s="120">
        <v>0</v>
      </c>
      <c r="J914" s="120">
        <v>0</v>
      </c>
      <c r="K914" s="110">
        <v>0</v>
      </c>
      <c r="L914" s="110"/>
      <c r="M914" s="110">
        <v>0</v>
      </c>
      <c r="N914" s="110"/>
      <c r="O914" s="110"/>
      <c r="P914" s="110">
        <f t="shared" si="102"/>
        <v>0</v>
      </c>
      <c r="Q914" s="110">
        <f t="shared" si="103"/>
        <v>0</v>
      </c>
      <c r="R914" s="110">
        <f t="shared" si="104"/>
        <v>0</v>
      </c>
      <c r="S914" s="112">
        <v>0</v>
      </c>
    </row>
    <row r="915" spans="1:19">
      <c r="A915" s="79"/>
      <c r="B915" s="77" t="s">
        <v>278</v>
      </c>
      <c r="C915" s="76" t="s">
        <v>4</v>
      </c>
      <c r="D915" s="143">
        <v>8</v>
      </c>
      <c r="E915" s="77"/>
      <c r="F915" s="334"/>
      <c r="G915" s="112">
        <v>0</v>
      </c>
      <c r="H915" s="120">
        <v>0</v>
      </c>
      <c r="I915" s="120">
        <v>0</v>
      </c>
      <c r="J915" s="120">
        <v>0</v>
      </c>
      <c r="K915" s="110">
        <v>0</v>
      </c>
      <c r="L915" s="110"/>
      <c r="M915" s="110">
        <v>0</v>
      </c>
      <c r="N915" s="110"/>
      <c r="O915" s="110"/>
      <c r="P915" s="110">
        <f t="shared" si="102"/>
        <v>0</v>
      </c>
      <c r="Q915" s="110">
        <f t="shared" si="103"/>
        <v>0</v>
      </c>
      <c r="R915" s="110">
        <f t="shared" si="104"/>
        <v>0</v>
      </c>
      <c r="S915" s="112">
        <v>0</v>
      </c>
    </row>
    <row r="916" spans="1:19">
      <c r="A916" s="79"/>
      <c r="B916" s="77" t="s">
        <v>285</v>
      </c>
      <c r="C916" s="76" t="s">
        <v>4</v>
      </c>
      <c r="D916" s="143">
        <v>8</v>
      </c>
      <c r="E916" s="77"/>
      <c r="F916" s="334"/>
      <c r="G916" s="112">
        <v>0</v>
      </c>
      <c r="H916" s="120">
        <v>0</v>
      </c>
      <c r="I916" s="120">
        <v>0</v>
      </c>
      <c r="J916" s="120">
        <v>0</v>
      </c>
      <c r="K916" s="110">
        <v>0</v>
      </c>
      <c r="L916" s="110"/>
      <c r="M916" s="110">
        <v>0</v>
      </c>
      <c r="N916" s="110"/>
      <c r="O916" s="110"/>
      <c r="P916" s="110">
        <f t="shared" si="102"/>
        <v>0</v>
      </c>
      <c r="Q916" s="110">
        <f t="shared" si="103"/>
        <v>0</v>
      </c>
      <c r="R916" s="110">
        <f t="shared" si="104"/>
        <v>0</v>
      </c>
      <c r="S916" s="112">
        <v>0</v>
      </c>
    </row>
    <row r="917" spans="1:19">
      <c r="A917" s="79"/>
      <c r="B917" s="77" t="s">
        <v>286</v>
      </c>
      <c r="C917" s="76" t="s">
        <v>4</v>
      </c>
      <c r="D917" s="143">
        <v>12</v>
      </c>
      <c r="E917" s="77"/>
      <c r="F917" s="334"/>
      <c r="G917" s="112">
        <v>0</v>
      </c>
      <c r="H917" s="120">
        <v>0</v>
      </c>
      <c r="I917" s="120">
        <v>0</v>
      </c>
      <c r="J917" s="120">
        <v>0</v>
      </c>
      <c r="K917" s="110">
        <v>0</v>
      </c>
      <c r="L917" s="110"/>
      <c r="M917" s="110">
        <v>0</v>
      </c>
      <c r="N917" s="110"/>
      <c r="O917" s="110"/>
      <c r="P917" s="110">
        <f t="shared" si="102"/>
        <v>0</v>
      </c>
      <c r="Q917" s="110">
        <f t="shared" si="103"/>
        <v>0</v>
      </c>
      <c r="R917" s="110">
        <f t="shared" si="104"/>
        <v>0</v>
      </c>
      <c r="S917" s="112">
        <v>0</v>
      </c>
    </row>
    <row r="918" spans="1:19">
      <c r="A918" s="79"/>
      <c r="B918" s="77" t="s">
        <v>280</v>
      </c>
      <c r="C918" s="76" t="s">
        <v>4</v>
      </c>
      <c r="D918" s="143">
        <v>1</v>
      </c>
      <c r="E918" s="77"/>
      <c r="F918" s="334"/>
      <c r="G918" s="112">
        <v>0</v>
      </c>
      <c r="H918" s="120">
        <v>0</v>
      </c>
      <c r="I918" s="120">
        <v>0</v>
      </c>
      <c r="J918" s="120">
        <v>0</v>
      </c>
      <c r="K918" s="110">
        <v>0</v>
      </c>
      <c r="L918" s="110"/>
      <c r="M918" s="110">
        <v>0</v>
      </c>
      <c r="N918" s="110"/>
      <c r="O918" s="110"/>
      <c r="P918" s="110">
        <f t="shared" si="102"/>
        <v>0</v>
      </c>
      <c r="Q918" s="110">
        <f t="shared" si="103"/>
        <v>0</v>
      </c>
      <c r="R918" s="110">
        <f t="shared" si="104"/>
        <v>0</v>
      </c>
      <c r="S918" s="112">
        <v>0</v>
      </c>
    </row>
    <row r="919" spans="1:19">
      <c r="A919" s="79"/>
      <c r="B919" s="77" t="s">
        <v>281</v>
      </c>
      <c r="C919" s="76" t="s">
        <v>4</v>
      </c>
      <c r="D919" s="143">
        <v>3</v>
      </c>
      <c r="E919" s="77"/>
      <c r="F919" s="334"/>
      <c r="G919" s="112">
        <v>0</v>
      </c>
      <c r="H919" s="120">
        <v>0</v>
      </c>
      <c r="I919" s="120">
        <v>0</v>
      </c>
      <c r="J919" s="120">
        <v>0</v>
      </c>
      <c r="K919" s="110">
        <v>0</v>
      </c>
      <c r="L919" s="110"/>
      <c r="M919" s="110">
        <v>0</v>
      </c>
      <c r="N919" s="110"/>
      <c r="O919" s="110"/>
      <c r="P919" s="110">
        <f t="shared" si="102"/>
        <v>0</v>
      </c>
      <c r="Q919" s="110">
        <f t="shared" si="103"/>
        <v>0</v>
      </c>
      <c r="R919" s="110">
        <f t="shared" si="104"/>
        <v>0</v>
      </c>
      <c r="S919" s="112">
        <v>0</v>
      </c>
    </row>
    <row r="920" spans="1:19">
      <c r="A920" s="79"/>
      <c r="B920" s="77" t="s">
        <v>287</v>
      </c>
      <c r="C920" s="76" t="s">
        <v>4</v>
      </c>
      <c r="D920" s="143">
        <v>9</v>
      </c>
      <c r="E920" s="77"/>
      <c r="F920" s="334"/>
      <c r="G920" s="112">
        <v>0</v>
      </c>
      <c r="H920" s="120">
        <v>0</v>
      </c>
      <c r="I920" s="120">
        <v>0</v>
      </c>
      <c r="J920" s="120">
        <v>0</v>
      </c>
      <c r="K920" s="110">
        <v>0</v>
      </c>
      <c r="L920" s="110"/>
      <c r="M920" s="110">
        <v>0</v>
      </c>
      <c r="N920" s="110"/>
      <c r="O920" s="110"/>
      <c r="P920" s="110">
        <f t="shared" si="102"/>
        <v>0</v>
      </c>
      <c r="Q920" s="110">
        <f t="shared" si="103"/>
        <v>0</v>
      </c>
      <c r="R920" s="110">
        <f t="shared" si="104"/>
        <v>0</v>
      </c>
      <c r="S920" s="112">
        <v>0</v>
      </c>
    </row>
    <row r="921" spans="1:19" ht="30">
      <c r="A921" s="79"/>
      <c r="B921" s="77" t="s">
        <v>282</v>
      </c>
      <c r="C921" s="76" t="s">
        <v>8</v>
      </c>
      <c r="D921" s="143">
        <v>1</v>
      </c>
      <c r="E921" s="77"/>
      <c r="F921" s="334"/>
      <c r="G921" s="112">
        <v>0</v>
      </c>
      <c r="H921" s="120">
        <v>0</v>
      </c>
      <c r="I921" s="120">
        <v>0</v>
      </c>
      <c r="J921" s="120">
        <v>0</v>
      </c>
      <c r="K921" s="110">
        <v>0</v>
      </c>
      <c r="L921" s="110"/>
      <c r="M921" s="110">
        <v>0</v>
      </c>
      <c r="N921" s="110"/>
      <c r="O921" s="110"/>
      <c r="P921" s="110">
        <f t="shared" si="102"/>
        <v>0</v>
      </c>
      <c r="Q921" s="110">
        <f t="shared" si="103"/>
        <v>0</v>
      </c>
      <c r="R921" s="110">
        <f t="shared" si="104"/>
        <v>0</v>
      </c>
      <c r="S921" s="112">
        <v>0</v>
      </c>
    </row>
    <row r="922" spans="1:19" ht="45">
      <c r="A922" s="79"/>
      <c r="B922" s="77" t="s">
        <v>166</v>
      </c>
      <c r="C922" s="76" t="s">
        <v>17</v>
      </c>
      <c r="D922" s="143">
        <v>1</v>
      </c>
      <c r="E922" s="77"/>
      <c r="F922" s="334"/>
      <c r="G922" s="112">
        <v>0</v>
      </c>
      <c r="H922" s="120">
        <v>0</v>
      </c>
      <c r="I922" s="120">
        <v>0</v>
      </c>
      <c r="J922" s="120">
        <v>0</v>
      </c>
      <c r="K922" s="110">
        <v>0</v>
      </c>
      <c r="L922" s="110"/>
      <c r="M922" s="110">
        <v>0</v>
      </c>
      <c r="N922" s="110"/>
      <c r="O922" s="110"/>
      <c r="P922" s="110">
        <f t="shared" si="102"/>
        <v>0</v>
      </c>
      <c r="Q922" s="110">
        <f t="shared" si="103"/>
        <v>0</v>
      </c>
      <c r="R922" s="110">
        <f t="shared" si="104"/>
        <v>0</v>
      </c>
      <c r="S922" s="112">
        <v>0</v>
      </c>
    </row>
    <row r="923" spans="1:19" ht="60">
      <c r="A923" s="79">
        <v>26</v>
      </c>
      <c r="B923" s="77" t="s">
        <v>299</v>
      </c>
      <c r="C923" s="76" t="s">
        <v>6</v>
      </c>
      <c r="D923" s="143">
        <v>1</v>
      </c>
      <c r="E923" s="77"/>
      <c r="F923" s="334">
        <v>1</v>
      </c>
      <c r="G923" s="112" t="s">
        <v>839</v>
      </c>
      <c r="H923" s="120" t="s">
        <v>1076</v>
      </c>
      <c r="I923" s="120" t="s">
        <v>828</v>
      </c>
      <c r="J923" s="120" t="s">
        <v>829</v>
      </c>
      <c r="K923" s="110">
        <v>69673900</v>
      </c>
      <c r="L923" s="110"/>
      <c r="M923" s="110">
        <v>3828500</v>
      </c>
      <c r="N923" s="110"/>
      <c r="O923" s="110"/>
      <c r="P923" s="110">
        <f t="shared" si="102"/>
        <v>73502400</v>
      </c>
      <c r="Q923" s="110">
        <f t="shared" si="103"/>
        <v>73502400</v>
      </c>
      <c r="R923" s="110">
        <f t="shared" si="104"/>
        <v>73502400</v>
      </c>
      <c r="S923" s="112" t="s">
        <v>4094</v>
      </c>
    </row>
    <row r="924" spans="1:19" ht="45">
      <c r="A924" s="79"/>
      <c r="B924" s="77" t="s">
        <v>274</v>
      </c>
      <c r="C924" s="76" t="s">
        <v>4</v>
      </c>
      <c r="D924" s="143">
        <v>1</v>
      </c>
      <c r="E924" s="77"/>
      <c r="F924" s="334"/>
      <c r="G924" s="112">
        <v>0</v>
      </c>
      <c r="H924" s="120">
        <v>0</v>
      </c>
      <c r="I924" s="120">
        <v>0</v>
      </c>
      <c r="J924" s="120">
        <v>0</v>
      </c>
      <c r="K924" s="110">
        <v>0</v>
      </c>
      <c r="L924" s="110"/>
      <c r="M924" s="110">
        <v>0</v>
      </c>
      <c r="N924" s="110"/>
      <c r="O924" s="110"/>
      <c r="P924" s="110">
        <f t="shared" si="102"/>
        <v>0</v>
      </c>
      <c r="Q924" s="110">
        <f t="shared" si="103"/>
        <v>0</v>
      </c>
      <c r="R924" s="110">
        <f t="shared" si="104"/>
        <v>0</v>
      </c>
      <c r="S924" s="112" t="s">
        <v>150</v>
      </c>
    </row>
    <row r="925" spans="1:19">
      <c r="A925" s="79"/>
      <c r="B925" s="77" t="s">
        <v>280</v>
      </c>
      <c r="C925" s="76" t="s">
        <v>4</v>
      </c>
      <c r="D925" s="143">
        <v>1</v>
      </c>
      <c r="E925" s="59"/>
      <c r="F925" s="334"/>
      <c r="G925" s="112">
        <v>0</v>
      </c>
      <c r="H925" s="120">
        <v>0</v>
      </c>
      <c r="I925" s="120">
        <v>0</v>
      </c>
      <c r="J925" s="120">
        <v>0</v>
      </c>
      <c r="K925" s="110">
        <v>0</v>
      </c>
      <c r="L925" s="110"/>
      <c r="M925" s="110">
        <v>0</v>
      </c>
      <c r="N925" s="110"/>
      <c r="O925" s="110"/>
      <c r="P925" s="110">
        <f t="shared" si="102"/>
        <v>0</v>
      </c>
      <c r="Q925" s="110">
        <f t="shared" si="103"/>
        <v>0</v>
      </c>
      <c r="R925" s="110">
        <f t="shared" si="104"/>
        <v>0</v>
      </c>
      <c r="S925" s="112">
        <v>0</v>
      </c>
    </row>
    <row r="926" spans="1:19">
      <c r="A926" s="79"/>
      <c r="B926" s="77" t="s">
        <v>281</v>
      </c>
      <c r="C926" s="76" t="s">
        <v>4</v>
      </c>
      <c r="D926" s="143">
        <v>3</v>
      </c>
      <c r="E926" s="341"/>
      <c r="F926" s="334"/>
      <c r="G926" s="112">
        <v>0</v>
      </c>
      <c r="H926" s="120">
        <v>0</v>
      </c>
      <c r="I926" s="120">
        <v>0</v>
      </c>
      <c r="J926" s="120">
        <v>0</v>
      </c>
      <c r="K926" s="110">
        <v>0</v>
      </c>
      <c r="L926" s="110"/>
      <c r="M926" s="110">
        <v>0</v>
      </c>
      <c r="N926" s="110"/>
      <c r="O926" s="110"/>
      <c r="P926" s="110">
        <f t="shared" si="102"/>
        <v>0</v>
      </c>
      <c r="Q926" s="110">
        <f t="shared" si="103"/>
        <v>0</v>
      </c>
      <c r="R926" s="110">
        <f t="shared" si="104"/>
        <v>0</v>
      </c>
      <c r="S926" s="112">
        <v>0</v>
      </c>
    </row>
    <row r="927" spans="1:19">
      <c r="A927" s="79"/>
      <c r="B927" s="77" t="s">
        <v>287</v>
      </c>
      <c r="C927" s="76" t="s">
        <v>4</v>
      </c>
      <c r="D927" s="143">
        <v>9</v>
      </c>
      <c r="E927" s="341"/>
      <c r="F927" s="334"/>
      <c r="G927" s="112">
        <v>0</v>
      </c>
      <c r="H927" s="120">
        <v>0</v>
      </c>
      <c r="I927" s="120">
        <v>0</v>
      </c>
      <c r="J927" s="120">
        <v>0</v>
      </c>
      <c r="K927" s="110">
        <v>0</v>
      </c>
      <c r="L927" s="110"/>
      <c r="M927" s="110">
        <v>0</v>
      </c>
      <c r="N927" s="110"/>
      <c r="O927" s="110"/>
      <c r="P927" s="110">
        <f t="shared" si="102"/>
        <v>0</v>
      </c>
      <c r="Q927" s="110">
        <f t="shared" si="103"/>
        <v>0</v>
      </c>
      <c r="R927" s="110">
        <f t="shared" si="104"/>
        <v>0</v>
      </c>
      <c r="S927" s="112">
        <v>0</v>
      </c>
    </row>
    <row r="928" spans="1:19" ht="60">
      <c r="A928" s="79">
        <v>27</v>
      </c>
      <c r="B928" s="77" t="s">
        <v>300</v>
      </c>
      <c r="C928" s="76" t="s">
        <v>6</v>
      </c>
      <c r="D928" s="143">
        <v>1</v>
      </c>
      <c r="E928" s="341"/>
      <c r="F928" s="334">
        <v>1</v>
      </c>
      <c r="G928" s="112" t="s">
        <v>300</v>
      </c>
      <c r="H928" s="120" t="s">
        <v>1076</v>
      </c>
      <c r="I928" s="120" t="s">
        <v>828</v>
      </c>
      <c r="J928" s="120" t="s">
        <v>829</v>
      </c>
      <c r="K928" s="110">
        <v>16513400</v>
      </c>
      <c r="L928" s="110"/>
      <c r="M928" s="110">
        <v>2821000</v>
      </c>
      <c r="N928" s="110"/>
      <c r="O928" s="110"/>
      <c r="P928" s="110">
        <f t="shared" si="102"/>
        <v>19334400</v>
      </c>
      <c r="Q928" s="110">
        <f t="shared" si="103"/>
        <v>19334400</v>
      </c>
      <c r="R928" s="110">
        <f t="shared" si="104"/>
        <v>19334400</v>
      </c>
      <c r="S928" s="112" t="s">
        <v>4094</v>
      </c>
    </row>
    <row r="929" spans="1:19" ht="45">
      <c r="A929" s="79"/>
      <c r="B929" s="77" t="s">
        <v>301</v>
      </c>
      <c r="C929" s="76" t="s">
        <v>4</v>
      </c>
      <c r="D929" s="143">
        <v>1</v>
      </c>
      <c r="E929" s="341"/>
      <c r="F929" s="334"/>
      <c r="G929" s="112">
        <v>0</v>
      </c>
      <c r="H929" s="120">
        <v>0</v>
      </c>
      <c r="I929" s="120">
        <v>0</v>
      </c>
      <c r="J929" s="120">
        <v>0</v>
      </c>
      <c r="K929" s="110">
        <v>0</v>
      </c>
      <c r="L929" s="110"/>
      <c r="M929" s="110">
        <v>0</v>
      </c>
      <c r="N929" s="110"/>
      <c r="O929" s="110"/>
      <c r="P929" s="110">
        <f t="shared" si="102"/>
        <v>0</v>
      </c>
      <c r="Q929" s="110">
        <f t="shared" si="103"/>
        <v>0</v>
      </c>
      <c r="R929" s="110">
        <f t="shared" si="104"/>
        <v>0</v>
      </c>
      <c r="S929" s="112" t="s">
        <v>150</v>
      </c>
    </row>
    <row r="930" spans="1:19">
      <c r="A930" s="79"/>
      <c r="B930" s="77" t="s">
        <v>151</v>
      </c>
      <c r="C930" s="76"/>
      <c r="D930" s="143"/>
      <c r="E930" s="341"/>
      <c r="F930" s="345"/>
      <c r="G930" s="112">
        <v>0</v>
      </c>
      <c r="H930" s="120">
        <v>0</v>
      </c>
      <c r="I930" s="120">
        <v>0</v>
      </c>
      <c r="J930" s="120">
        <v>0</v>
      </c>
      <c r="K930" s="110">
        <v>0</v>
      </c>
      <c r="L930" s="110"/>
      <c r="M930" s="110">
        <v>0</v>
      </c>
      <c r="N930" s="110"/>
      <c r="O930" s="110"/>
      <c r="P930" s="110">
        <f t="shared" si="102"/>
        <v>0</v>
      </c>
      <c r="Q930" s="110">
        <f t="shared" si="103"/>
        <v>0</v>
      </c>
      <c r="R930" s="110">
        <f t="shared" si="104"/>
        <v>0</v>
      </c>
      <c r="S930" s="112">
        <v>0</v>
      </c>
    </row>
    <row r="931" spans="1:19">
      <c r="A931" s="79"/>
      <c r="B931" s="77" t="s">
        <v>302</v>
      </c>
      <c r="C931" s="76" t="s">
        <v>4</v>
      </c>
      <c r="D931" s="143">
        <v>1</v>
      </c>
      <c r="E931" s="341"/>
      <c r="F931" s="334"/>
      <c r="G931" s="112">
        <v>0</v>
      </c>
      <c r="H931" s="120">
        <v>0</v>
      </c>
      <c r="I931" s="120">
        <v>0</v>
      </c>
      <c r="J931" s="120">
        <v>0</v>
      </c>
      <c r="K931" s="110">
        <v>0</v>
      </c>
      <c r="L931" s="110"/>
      <c r="M931" s="110">
        <v>0</v>
      </c>
      <c r="N931" s="110"/>
      <c r="O931" s="110"/>
      <c r="P931" s="110">
        <f t="shared" si="102"/>
        <v>0</v>
      </c>
      <c r="Q931" s="110">
        <f t="shared" si="103"/>
        <v>0</v>
      </c>
      <c r="R931" s="110">
        <f t="shared" si="104"/>
        <v>0</v>
      </c>
      <c r="S931" s="112">
        <v>0</v>
      </c>
    </row>
    <row r="932" spans="1:19">
      <c r="A932" s="79"/>
      <c r="B932" s="77" t="s">
        <v>14</v>
      </c>
      <c r="C932" s="76" t="s">
        <v>4</v>
      </c>
      <c r="D932" s="143">
        <v>3</v>
      </c>
      <c r="E932" s="341"/>
      <c r="F932" s="334"/>
      <c r="G932" s="112">
        <v>0</v>
      </c>
      <c r="H932" s="120">
        <v>0</v>
      </c>
      <c r="I932" s="120">
        <v>0</v>
      </c>
      <c r="J932" s="120">
        <v>0</v>
      </c>
      <c r="K932" s="110">
        <v>0</v>
      </c>
      <c r="L932" s="110"/>
      <c r="M932" s="110">
        <v>0</v>
      </c>
      <c r="N932" s="110"/>
      <c r="O932" s="110"/>
      <c r="P932" s="110">
        <f t="shared" si="102"/>
        <v>0</v>
      </c>
      <c r="Q932" s="110">
        <f t="shared" si="103"/>
        <v>0</v>
      </c>
      <c r="R932" s="110">
        <f t="shared" si="104"/>
        <v>0</v>
      </c>
      <c r="S932" s="112">
        <v>0</v>
      </c>
    </row>
    <row r="933" spans="1:19">
      <c r="A933" s="79"/>
      <c r="B933" s="77" t="s">
        <v>153</v>
      </c>
      <c r="C933" s="76" t="s">
        <v>4</v>
      </c>
      <c r="D933" s="143">
        <v>3</v>
      </c>
      <c r="E933" s="341"/>
      <c r="F933" s="334"/>
      <c r="G933" s="112">
        <v>0</v>
      </c>
      <c r="H933" s="120">
        <v>0</v>
      </c>
      <c r="I933" s="120">
        <v>0</v>
      </c>
      <c r="J933" s="120">
        <v>0</v>
      </c>
      <c r="K933" s="110">
        <v>0</v>
      </c>
      <c r="L933" s="110"/>
      <c r="M933" s="110">
        <v>0</v>
      </c>
      <c r="N933" s="110"/>
      <c r="O933" s="110"/>
      <c r="P933" s="110">
        <f t="shared" si="102"/>
        <v>0</v>
      </c>
      <c r="Q933" s="110">
        <f t="shared" si="103"/>
        <v>0</v>
      </c>
      <c r="R933" s="110">
        <f t="shared" si="104"/>
        <v>0</v>
      </c>
      <c r="S933" s="112">
        <v>0</v>
      </c>
    </row>
    <row r="934" spans="1:19">
      <c r="A934" s="79"/>
      <c r="B934" s="77" t="s">
        <v>154</v>
      </c>
      <c r="C934" s="76"/>
      <c r="D934" s="143"/>
      <c r="E934" s="341"/>
      <c r="F934" s="345"/>
      <c r="G934" s="112">
        <v>0</v>
      </c>
      <c r="H934" s="120">
        <v>0</v>
      </c>
      <c r="I934" s="120">
        <v>0</v>
      </c>
      <c r="J934" s="120">
        <v>0</v>
      </c>
      <c r="K934" s="110">
        <v>0</v>
      </c>
      <c r="L934" s="110"/>
      <c r="M934" s="110">
        <v>0</v>
      </c>
      <c r="N934" s="110"/>
      <c r="O934" s="110"/>
      <c r="P934" s="110">
        <f t="shared" si="102"/>
        <v>0</v>
      </c>
      <c r="Q934" s="110">
        <f t="shared" si="103"/>
        <v>0</v>
      </c>
      <c r="R934" s="110">
        <f t="shared" si="104"/>
        <v>0</v>
      </c>
      <c r="S934" s="112">
        <v>0</v>
      </c>
    </row>
    <row r="935" spans="1:19">
      <c r="A935" s="79"/>
      <c r="B935" s="77" t="s">
        <v>169</v>
      </c>
      <c r="C935" s="76" t="s">
        <v>4</v>
      </c>
      <c r="D935" s="143">
        <v>1</v>
      </c>
      <c r="E935" s="341"/>
      <c r="F935" s="334"/>
      <c r="G935" s="112">
        <v>0</v>
      </c>
      <c r="H935" s="120">
        <v>0</v>
      </c>
      <c r="I935" s="120">
        <v>0</v>
      </c>
      <c r="J935" s="120">
        <v>0</v>
      </c>
      <c r="K935" s="110">
        <v>0</v>
      </c>
      <c r="L935" s="110"/>
      <c r="M935" s="110">
        <v>0</v>
      </c>
      <c r="N935" s="110"/>
      <c r="O935" s="110"/>
      <c r="P935" s="110">
        <f t="shared" si="102"/>
        <v>0</v>
      </c>
      <c r="Q935" s="110">
        <f t="shared" si="103"/>
        <v>0</v>
      </c>
      <c r="R935" s="110">
        <f t="shared" si="104"/>
        <v>0</v>
      </c>
      <c r="S935" s="112">
        <v>0</v>
      </c>
    </row>
    <row r="936" spans="1:19">
      <c r="A936" s="79"/>
      <c r="B936" s="77" t="s">
        <v>156</v>
      </c>
      <c r="C936" s="76" t="s">
        <v>4</v>
      </c>
      <c r="D936" s="143">
        <v>6</v>
      </c>
      <c r="E936" s="341"/>
      <c r="F936" s="334"/>
      <c r="G936" s="112">
        <v>0</v>
      </c>
      <c r="H936" s="120">
        <v>0</v>
      </c>
      <c r="I936" s="120">
        <v>0</v>
      </c>
      <c r="J936" s="120">
        <v>0</v>
      </c>
      <c r="K936" s="110">
        <v>0</v>
      </c>
      <c r="L936" s="110"/>
      <c r="M936" s="110">
        <v>0</v>
      </c>
      <c r="N936" s="110"/>
      <c r="O936" s="110"/>
      <c r="P936" s="110">
        <f t="shared" si="102"/>
        <v>0</v>
      </c>
      <c r="Q936" s="110">
        <f t="shared" si="103"/>
        <v>0</v>
      </c>
      <c r="R936" s="110">
        <f t="shared" si="104"/>
        <v>0</v>
      </c>
      <c r="S936" s="112">
        <v>0</v>
      </c>
    </row>
    <row r="937" spans="1:19">
      <c r="A937" s="79"/>
      <c r="B937" s="77" t="s">
        <v>157</v>
      </c>
      <c r="C937" s="76" t="s">
        <v>4</v>
      </c>
      <c r="D937" s="143">
        <v>9</v>
      </c>
      <c r="E937" s="341"/>
      <c r="F937" s="334"/>
      <c r="G937" s="112">
        <v>0</v>
      </c>
      <c r="H937" s="120">
        <v>0</v>
      </c>
      <c r="I937" s="120">
        <v>0</v>
      </c>
      <c r="J937" s="120">
        <v>0</v>
      </c>
      <c r="K937" s="110">
        <v>0</v>
      </c>
      <c r="L937" s="110"/>
      <c r="M937" s="110">
        <v>0</v>
      </c>
      <c r="N937" s="110"/>
      <c r="O937" s="110"/>
      <c r="P937" s="110">
        <f t="shared" si="102"/>
        <v>0</v>
      </c>
      <c r="Q937" s="110">
        <f t="shared" si="103"/>
        <v>0</v>
      </c>
      <c r="R937" s="110">
        <f t="shared" si="104"/>
        <v>0</v>
      </c>
      <c r="S937" s="112">
        <v>0</v>
      </c>
    </row>
    <row r="938" spans="1:19">
      <c r="A938" s="79"/>
      <c r="B938" s="77" t="s">
        <v>158</v>
      </c>
      <c r="C938" s="76" t="s">
        <v>4</v>
      </c>
      <c r="D938" s="143">
        <v>1</v>
      </c>
      <c r="E938" s="341"/>
      <c r="F938" s="334"/>
      <c r="G938" s="112">
        <v>0</v>
      </c>
      <c r="H938" s="120">
        <v>0</v>
      </c>
      <c r="I938" s="120">
        <v>0</v>
      </c>
      <c r="J938" s="120">
        <v>0</v>
      </c>
      <c r="K938" s="110">
        <v>0</v>
      </c>
      <c r="L938" s="110"/>
      <c r="M938" s="110">
        <v>0</v>
      </c>
      <c r="N938" s="110"/>
      <c r="O938" s="110"/>
      <c r="P938" s="110">
        <f t="shared" si="102"/>
        <v>0</v>
      </c>
      <c r="Q938" s="110">
        <f t="shared" si="103"/>
        <v>0</v>
      </c>
      <c r="R938" s="110">
        <f t="shared" si="104"/>
        <v>0</v>
      </c>
      <c r="S938" s="112">
        <v>0</v>
      </c>
    </row>
    <row r="939" spans="1:19">
      <c r="A939" s="79"/>
      <c r="B939" s="77" t="s">
        <v>159</v>
      </c>
      <c r="C939" s="76"/>
      <c r="D939" s="143"/>
      <c r="E939" s="341"/>
      <c r="F939" s="345"/>
      <c r="G939" s="112">
        <v>0</v>
      </c>
      <c r="H939" s="120">
        <v>0</v>
      </c>
      <c r="I939" s="120">
        <v>0</v>
      </c>
      <c r="J939" s="120">
        <v>0</v>
      </c>
      <c r="K939" s="110">
        <v>0</v>
      </c>
      <c r="L939" s="110"/>
      <c r="M939" s="110">
        <v>0</v>
      </c>
      <c r="N939" s="110"/>
      <c r="O939" s="110"/>
      <c r="P939" s="110">
        <f t="shared" si="102"/>
        <v>0</v>
      </c>
      <c r="Q939" s="110">
        <f t="shared" si="103"/>
        <v>0</v>
      </c>
      <c r="R939" s="110">
        <f t="shared" si="104"/>
        <v>0</v>
      </c>
      <c r="S939" s="112">
        <v>0</v>
      </c>
    </row>
    <row r="940" spans="1:19">
      <c r="A940" s="79"/>
      <c r="B940" s="77" t="s">
        <v>160</v>
      </c>
      <c r="C940" s="76" t="s">
        <v>4</v>
      </c>
      <c r="D940" s="143">
        <v>5</v>
      </c>
      <c r="E940" s="341"/>
      <c r="F940" s="334"/>
      <c r="G940" s="112">
        <v>0</v>
      </c>
      <c r="H940" s="120">
        <v>0</v>
      </c>
      <c r="I940" s="120">
        <v>0</v>
      </c>
      <c r="J940" s="120">
        <v>0</v>
      </c>
      <c r="K940" s="110">
        <v>0</v>
      </c>
      <c r="L940" s="110"/>
      <c r="M940" s="110">
        <v>0</v>
      </c>
      <c r="N940" s="110"/>
      <c r="O940" s="110"/>
      <c r="P940" s="110">
        <f t="shared" si="102"/>
        <v>0</v>
      </c>
      <c r="Q940" s="110">
        <f t="shared" si="103"/>
        <v>0</v>
      </c>
      <c r="R940" s="110">
        <f t="shared" si="104"/>
        <v>0</v>
      </c>
      <c r="S940" s="112">
        <v>0</v>
      </c>
    </row>
    <row r="941" spans="1:19">
      <c r="A941" s="79"/>
      <c r="B941" s="77" t="s">
        <v>161</v>
      </c>
      <c r="C941" s="76" t="s">
        <v>4</v>
      </c>
      <c r="D941" s="143">
        <v>1</v>
      </c>
      <c r="E941" s="341"/>
      <c r="F941" s="334"/>
      <c r="G941" s="112">
        <v>0</v>
      </c>
      <c r="H941" s="120">
        <v>0</v>
      </c>
      <c r="I941" s="120">
        <v>0</v>
      </c>
      <c r="J941" s="120">
        <v>0</v>
      </c>
      <c r="K941" s="110">
        <v>0</v>
      </c>
      <c r="L941" s="110"/>
      <c r="M941" s="110">
        <v>0</v>
      </c>
      <c r="N941" s="110"/>
      <c r="O941" s="110"/>
      <c r="P941" s="110">
        <f t="shared" si="102"/>
        <v>0</v>
      </c>
      <c r="Q941" s="110">
        <f t="shared" si="103"/>
        <v>0</v>
      </c>
      <c r="R941" s="110">
        <f t="shared" si="104"/>
        <v>0</v>
      </c>
      <c r="S941" s="112">
        <v>0</v>
      </c>
    </row>
    <row r="942" spans="1:19">
      <c r="A942" s="79"/>
      <c r="B942" s="77" t="s">
        <v>162</v>
      </c>
      <c r="C942" s="76" t="s">
        <v>17</v>
      </c>
      <c r="D942" s="143">
        <v>1</v>
      </c>
      <c r="E942" s="341"/>
      <c r="F942" s="334"/>
      <c r="G942" s="112">
        <v>0</v>
      </c>
      <c r="H942" s="120">
        <v>0</v>
      </c>
      <c r="I942" s="120">
        <v>0</v>
      </c>
      <c r="J942" s="120">
        <v>0</v>
      </c>
      <c r="K942" s="110">
        <v>0</v>
      </c>
      <c r="L942" s="110"/>
      <c r="M942" s="110">
        <v>0</v>
      </c>
      <c r="N942" s="110"/>
      <c r="O942" s="110"/>
      <c r="P942" s="110">
        <f t="shared" si="102"/>
        <v>0</v>
      </c>
      <c r="Q942" s="110">
        <f t="shared" si="103"/>
        <v>0</v>
      </c>
      <c r="R942" s="110">
        <f t="shared" si="104"/>
        <v>0</v>
      </c>
      <c r="S942" s="112">
        <v>0</v>
      </c>
    </row>
    <row r="943" spans="1:19">
      <c r="A943" s="79"/>
      <c r="B943" s="77" t="s">
        <v>163</v>
      </c>
      <c r="C943" s="76" t="s">
        <v>4</v>
      </c>
      <c r="D943" s="143">
        <v>1</v>
      </c>
      <c r="E943" s="341"/>
      <c r="F943" s="334"/>
      <c r="G943" s="112">
        <v>0</v>
      </c>
      <c r="H943" s="120">
        <v>0</v>
      </c>
      <c r="I943" s="120">
        <v>0</v>
      </c>
      <c r="J943" s="120">
        <v>0</v>
      </c>
      <c r="K943" s="110">
        <v>0</v>
      </c>
      <c r="L943" s="110"/>
      <c r="M943" s="110">
        <v>0</v>
      </c>
      <c r="N943" s="110"/>
      <c r="O943" s="110"/>
      <c r="P943" s="110">
        <f t="shared" si="102"/>
        <v>0</v>
      </c>
      <c r="Q943" s="110">
        <f t="shared" si="103"/>
        <v>0</v>
      </c>
      <c r="R943" s="110">
        <f t="shared" si="104"/>
        <v>0</v>
      </c>
      <c r="S943" s="112">
        <v>0</v>
      </c>
    </row>
    <row r="944" spans="1:19" ht="30">
      <c r="A944" s="79"/>
      <c r="B944" s="77" t="s">
        <v>189</v>
      </c>
      <c r="C944" s="76" t="s">
        <v>8</v>
      </c>
      <c r="D944" s="143">
        <v>1</v>
      </c>
      <c r="E944" s="341"/>
      <c r="F944" s="334"/>
      <c r="G944" s="112">
        <v>0</v>
      </c>
      <c r="H944" s="120">
        <v>0</v>
      </c>
      <c r="I944" s="120">
        <v>0</v>
      </c>
      <c r="J944" s="120">
        <v>0</v>
      </c>
      <c r="K944" s="110">
        <v>0</v>
      </c>
      <c r="L944" s="110"/>
      <c r="M944" s="110">
        <v>0</v>
      </c>
      <c r="N944" s="110"/>
      <c r="O944" s="110"/>
      <c r="P944" s="110">
        <f t="shared" si="102"/>
        <v>0</v>
      </c>
      <c r="Q944" s="110">
        <f t="shared" si="103"/>
        <v>0</v>
      </c>
      <c r="R944" s="110">
        <f t="shared" si="104"/>
        <v>0</v>
      </c>
      <c r="S944" s="112">
        <v>0</v>
      </c>
    </row>
    <row r="945" spans="1:19" ht="45">
      <c r="A945" s="79"/>
      <c r="B945" s="77" t="s">
        <v>166</v>
      </c>
      <c r="C945" s="76" t="s">
        <v>17</v>
      </c>
      <c r="D945" s="143">
        <v>1</v>
      </c>
      <c r="E945" s="341"/>
      <c r="F945" s="334"/>
      <c r="G945" s="112">
        <v>0</v>
      </c>
      <c r="H945" s="120">
        <v>0</v>
      </c>
      <c r="I945" s="120">
        <v>0</v>
      </c>
      <c r="J945" s="120">
        <v>0</v>
      </c>
      <c r="K945" s="110">
        <v>0</v>
      </c>
      <c r="L945" s="110"/>
      <c r="M945" s="110">
        <v>0</v>
      </c>
      <c r="N945" s="110"/>
      <c r="O945" s="110"/>
      <c r="P945" s="110">
        <f t="shared" ref="P945:P1008" si="105">+K945+L945+M945+N945+O945</f>
        <v>0</v>
      </c>
      <c r="Q945" s="110">
        <f t="shared" ref="Q945:Q1008" si="106">+P945*D945</f>
        <v>0</v>
      </c>
      <c r="R945" s="110">
        <f t="shared" ref="R945:R1008" si="107">P945*F945</f>
        <v>0</v>
      </c>
      <c r="S945" s="112">
        <v>0</v>
      </c>
    </row>
    <row r="946" spans="1:19" ht="60">
      <c r="A946" s="79">
        <v>28</v>
      </c>
      <c r="B946" s="77" t="s">
        <v>303</v>
      </c>
      <c r="C946" s="76" t="s">
        <v>6</v>
      </c>
      <c r="D946" s="143">
        <v>1</v>
      </c>
      <c r="E946" s="341"/>
      <c r="F946" s="334">
        <v>1</v>
      </c>
      <c r="G946" s="112" t="s">
        <v>303</v>
      </c>
      <c r="H946" s="120" t="s">
        <v>1076</v>
      </c>
      <c r="I946" s="120" t="s">
        <v>828</v>
      </c>
      <c r="J946" s="120" t="s">
        <v>829</v>
      </c>
      <c r="K946" s="110">
        <v>16156700</v>
      </c>
      <c r="L946" s="110"/>
      <c r="M946" s="110">
        <v>2821000</v>
      </c>
      <c r="N946" s="110"/>
      <c r="O946" s="110"/>
      <c r="P946" s="110">
        <f t="shared" si="105"/>
        <v>18977700</v>
      </c>
      <c r="Q946" s="110">
        <f t="shared" si="106"/>
        <v>18977700</v>
      </c>
      <c r="R946" s="110">
        <f t="shared" si="107"/>
        <v>18977700</v>
      </c>
      <c r="S946" s="112" t="s">
        <v>4094</v>
      </c>
    </row>
    <row r="947" spans="1:19" ht="45">
      <c r="A947" s="79"/>
      <c r="B947" s="77" t="s">
        <v>301</v>
      </c>
      <c r="C947" s="76" t="s">
        <v>4</v>
      </c>
      <c r="D947" s="143">
        <v>1</v>
      </c>
      <c r="E947" s="341"/>
      <c r="F947" s="334"/>
      <c r="G947" s="112">
        <v>0</v>
      </c>
      <c r="H947" s="120">
        <v>0</v>
      </c>
      <c r="I947" s="120">
        <v>0</v>
      </c>
      <c r="J947" s="120">
        <v>0</v>
      </c>
      <c r="K947" s="110">
        <v>0</v>
      </c>
      <c r="L947" s="110"/>
      <c r="M947" s="110">
        <v>0</v>
      </c>
      <c r="N947" s="110"/>
      <c r="O947" s="110"/>
      <c r="P947" s="110">
        <f t="shared" si="105"/>
        <v>0</v>
      </c>
      <c r="Q947" s="110">
        <f t="shared" si="106"/>
        <v>0</v>
      </c>
      <c r="R947" s="110">
        <f t="shared" si="107"/>
        <v>0</v>
      </c>
      <c r="S947" s="112" t="s">
        <v>150</v>
      </c>
    </row>
    <row r="948" spans="1:19">
      <c r="A948" s="79"/>
      <c r="B948" s="77" t="s">
        <v>151</v>
      </c>
      <c r="C948" s="76"/>
      <c r="D948" s="143"/>
      <c r="E948" s="341"/>
      <c r="F948" s="345"/>
      <c r="G948" s="112">
        <v>0</v>
      </c>
      <c r="H948" s="120">
        <v>0</v>
      </c>
      <c r="I948" s="120">
        <v>0</v>
      </c>
      <c r="J948" s="120">
        <v>0</v>
      </c>
      <c r="K948" s="110">
        <v>0</v>
      </c>
      <c r="L948" s="110"/>
      <c r="M948" s="110">
        <v>0</v>
      </c>
      <c r="N948" s="110"/>
      <c r="O948" s="110"/>
      <c r="P948" s="110">
        <f t="shared" si="105"/>
        <v>0</v>
      </c>
      <c r="Q948" s="110">
        <f t="shared" si="106"/>
        <v>0</v>
      </c>
      <c r="R948" s="110">
        <f t="shared" si="107"/>
        <v>0</v>
      </c>
      <c r="S948" s="112">
        <v>0</v>
      </c>
    </row>
    <row r="949" spans="1:19">
      <c r="A949" s="79"/>
      <c r="B949" s="77" t="s">
        <v>302</v>
      </c>
      <c r="C949" s="76" t="s">
        <v>4</v>
      </c>
      <c r="D949" s="143">
        <v>1</v>
      </c>
      <c r="E949" s="341"/>
      <c r="F949" s="334"/>
      <c r="G949" s="112">
        <v>0</v>
      </c>
      <c r="H949" s="120">
        <v>0</v>
      </c>
      <c r="I949" s="120">
        <v>0</v>
      </c>
      <c r="J949" s="120">
        <v>0</v>
      </c>
      <c r="K949" s="110">
        <v>0</v>
      </c>
      <c r="L949" s="110"/>
      <c r="M949" s="110">
        <v>0</v>
      </c>
      <c r="N949" s="110"/>
      <c r="O949" s="110"/>
      <c r="P949" s="110">
        <f t="shared" si="105"/>
        <v>0</v>
      </c>
      <c r="Q949" s="110">
        <f t="shared" si="106"/>
        <v>0</v>
      </c>
      <c r="R949" s="110">
        <f t="shared" si="107"/>
        <v>0</v>
      </c>
      <c r="S949" s="112">
        <v>0</v>
      </c>
    </row>
    <row r="950" spans="1:19">
      <c r="A950" s="79"/>
      <c r="B950" s="77" t="s">
        <v>14</v>
      </c>
      <c r="C950" s="76" t="s">
        <v>4</v>
      </c>
      <c r="D950" s="143">
        <v>3</v>
      </c>
      <c r="E950" s="341"/>
      <c r="F950" s="334"/>
      <c r="G950" s="112">
        <v>0</v>
      </c>
      <c r="H950" s="120">
        <v>0</v>
      </c>
      <c r="I950" s="120">
        <v>0</v>
      </c>
      <c r="J950" s="120">
        <v>0</v>
      </c>
      <c r="K950" s="110">
        <v>0</v>
      </c>
      <c r="L950" s="110"/>
      <c r="M950" s="110">
        <v>0</v>
      </c>
      <c r="N950" s="110"/>
      <c r="O950" s="110"/>
      <c r="P950" s="110">
        <f t="shared" si="105"/>
        <v>0</v>
      </c>
      <c r="Q950" s="110">
        <f t="shared" si="106"/>
        <v>0</v>
      </c>
      <c r="R950" s="110">
        <f t="shared" si="107"/>
        <v>0</v>
      </c>
      <c r="S950" s="112">
        <v>0</v>
      </c>
    </row>
    <row r="951" spans="1:19">
      <c r="A951" s="79"/>
      <c r="B951" s="77" t="s">
        <v>153</v>
      </c>
      <c r="C951" s="76" t="s">
        <v>4</v>
      </c>
      <c r="D951" s="143">
        <v>3</v>
      </c>
      <c r="E951" s="341"/>
      <c r="F951" s="334"/>
      <c r="G951" s="112">
        <v>0</v>
      </c>
      <c r="H951" s="120">
        <v>0</v>
      </c>
      <c r="I951" s="120">
        <v>0</v>
      </c>
      <c r="J951" s="120">
        <v>0</v>
      </c>
      <c r="K951" s="110">
        <v>0</v>
      </c>
      <c r="L951" s="110"/>
      <c r="M951" s="110">
        <v>0</v>
      </c>
      <c r="N951" s="110"/>
      <c r="O951" s="110"/>
      <c r="P951" s="110">
        <f t="shared" si="105"/>
        <v>0</v>
      </c>
      <c r="Q951" s="110">
        <f t="shared" si="106"/>
        <v>0</v>
      </c>
      <c r="R951" s="110">
        <f t="shared" si="107"/>
        <v>0</v>
      </c>
      <c r="S951" s="112">
        <v>0</v>
      </c>
    </row>
    <row r="952" spans="1:19">
      <c r="A952" s="79"/>
      <c r="B952" s="77" t="s">
        <v>154</v>
      </c>
      <c r="C952" s="76"/>
      <c r="D952" s="143"/>
      <c r="E952" s="341"/>
      <c r="F952" s="345"/>
      <c r="G952" s="112">
        <v>0</v>
      </c>
      <c r="H952" s="120">
        <v>0</v>
      </c>
      <c r="I952" s="120">
        <v>0</v>
      </c>
      <c r="J952" s="120">
        <v>0</v>
      </c>
      <c r="K952" s="110">
        <v>0</v>
      </c>
      <c r="L952" s="110"/>
      <c r="M952" s="110">
        <v>0</v>
      </c>
      <c r="N952" s="110"/>
      <c r="O952" s="110"/>
      <c r="P952" s="110">
        <f t="shared" si="105"/>
        <v>0</v>
      </c>
      <c r="Q952" s="110">
        <f t="shared" si="106"/>
        <v>0</v>
      </c>
      <c r="R952" s="110">
        <f t="shared" si="107"/>
        <v>0</v>
      </c>
      <c r="S952" s="112">
        <v>0</v>
      </c>
    </row>
    <row r="953" spans="1:19">
      <c r="A953" s="79"/>
      <c r="B953" s="77" t="s">
        <v>155</v>
      </c>
      <c r="C953" s="76" t="s">
        <v>4</v>
      </c>
      <c r="D953" s="143">
        <v>1</v>
      </c>
      <c r="E953" s="341"/>
      <c r="F953" s="334"/>
      <c r="G953" s="112">
        <v>0</v>
      </c>
      <c r="H953" s="120">
        <v>0</v>
      </c>
      <c r="I953" s="120">
        <v>0</v>
      </c>
      <c r="J953" s="120">
        <v>0</v>
      </c>
      <c r="K953" s="110">
        <v>0</v>
      </c>
      <c r="L953" s="110"/>
      <c r="M953" s="110">
        <v>0</v>
      </c>
      <c r="N953" s="110"/>
      <c r="O953" s="110"/>
      <c r="P953" s="110">
        <f t="shared" si="105"/>
        <v>0</v>
      </c>
      <c r="Q953" s="110">
        <f t="shared" si="106"/>
        <v>0</v>
      </c>
      <c r="R953" s="110">
        <f t="shared" si="107"/>
        <v>0</v>
      </c>
      <c r="S953" s="112">
        <v>0</v>
      </c>
    </row>
    <row r="954" spans="1:19">
      <c r="A954" s="79"/>
      <c r="B954" s="77" t="s">
        <v>156</v>
      </c>
      <c r="C954" s="76" t="s">
        <v>4</v>
      </c>
      <c r="D954" s="143">
        <v>6</v>
      </c>
      <c r="E954" s="341"/>
      <c r="F954" s="334"/>
      <c r="G954" s="112">
        <v>0</v>
      </c>
      <c r="H954" s="120">
        <v>0</v>
      </c>
      <c r="I954" s="120">
        <v>0</v>
      </c>
      <c r="J954" s="120">
        <v>0</v>
      </c>
      <c r="K954" s="110">
        <v>0</v>
      </c>
      <c r="L954" s="110"/>
      <c r="M954" s="110">
        <v>0</v>
      </c>
      <c r="N954" s="110"/>
      <c r="O954" s="110"/>
      <c r="P954" s="110">
        <f t="shared" si="105"/>
        <v>0</v>
      </c>
      <c r="Q954" s="110">
        <f t="shared" si="106"/>
        <v>0</v>
      </c>
      <c r="R954" s="110">
        <f t="shared" si="107"/>
        <v>0</v>
      </c>
      <c r="S954" s="112">
        <v>0</v>
      </c>
    </row>
    <row r="955" spans="1:19">
      <c r="A955" s="79"/>
      <c r="B955" s="77" t="s">
        <v>157</v>
      </c>
      <c r="C955" s="76" t="s">
        <v>4</v>
      </c>
      <c r="D955" s="143">
        <v>9</v>
      </c>
      <c r="E955" s="341"/>
      <c r="F955" s="334"/>
      <c r="G955" s="112">
        <v>0</v>
      </c>
      <c r="H955" s="120">
        <v>0</v>
      </c>
      <c r="I955" s="120">
        <v>0</v>
      </c>
      <c r="J955" s="120">
        <v>0</v>
      </c>
      <c r="K955" s="110">
        <v>0</v>
      </c>
      <c r="L955" s="110"/>
      <c r="M955" s="110">
        <v>0</v>
      </c>
      <c r="N955" s="110"/>
      <c r="O955" s="110"/>
      <c r="P955" s="110">
        <f t="shared" si="105"/>
        <v>0</v>
      </c>
      <c r="Q955" s="110">
        <f t="shared" si="106"/>
        <v>0</v>
      </c>
      <c r="R955" s="110">
        <f t="shared" si="107"/>
        <v>0</v>
      </c>
      <c r="S955" s="112">
        <v>0</v>
      </c>
    </row>
    <row r="956" spans="1:19">
      <c r="A956" s="79"/>
      <c r="B956" s="77" t="s">
        <v>158</v>
      </c>
      <c r="C956" s="76" t="s">
        <v>4</v>
      </c>
      <c r="D956" s="143">
        <v>1</v>
      </c>
      <c r="E956" s="341"/>
      <c r="F956" s="334"/>
      <c r="G956" s="112">
        <v>0</v>
      </c>
      <c r="H956" s="120">
        <v>0</v>
      </c>
      <c r="I956" s="120">
        <v>0</v>
      </c>
      <c r="J956" s="120">
        <v>0</v>
      </c>
      <c r="K956" s="110">
        <v>0</v>
      </c>
      <c r="L956" s="110"/>
      <c r="M956" s="110">
        <v>0</v>
      </c>
      <c r="N956" s="110"/>
      <c r="O956" s="110"/>
      <c r="P956" s="110">
        <f t="shared" si="105"/>
        <v>0</v>
      </c>
      <c r="Q956" s="110">
        <f t="shared" si="106"/>
        <v>0</v>
      </c>
      <c r="R956" s="110">
        <f t="shared" si="107"/>
        <v>0</v>
      </c>
      <c r="S956" s="112">
        <v>0</v>
      </c>
    </row>
    <row r="957" spans="1:19">
      <c r="A957" s="79"/>
      <c r="B957" s="77" t="s">
        <v>159</v>
      </c>
      <c r="C957" s="76"/>
      <c r="D957" s="143"/>
      <c r="E957" s="341"/>
      <c r="F957" s="345"/>
      <c r="G957" s="112">
        <v>0</v>
      </c>
      <c r="H957" s="120">
        <v>0</v>
      </c>
      <c r="I957" s="120">
        <v>0</v>
      </c>
      <c r="J957" s="120">
        <v>0</v>
      </c>
      <c r="K957" s="110">
        <v>0</v>
      </c>
      <c r="L957" s="110"/>
      <c r="M957" s="110">
        <v>0</v>
      </c>
      <c r="N957" s="110"/>
      <c r="O957" s="110"/>
      <c r="P957" s="110">
        <f t="shared" si="105"/>
        <v>0</v>
      </c>
      <c r="Q957" s="110">
        <f t="shared" si="106"/>
        <v>0</v>
      </c>
      <c r="R957" s="110">
        <f t="shared" si="107"/>
        <v>0</v>
      </c>
      <c r="S957" s="112">
        <v>0</v>
      </c>
    </row>
    <row r="958" spans="1:19">
      <c r="A958" s="79"/>
      <c r="B958" s="77" t="s">
        <v>160</v>
      </c>
      <c r="C958" s="76" t="s">
        <v>4</v>
      </c>
      <c r="D958" s="143">
        <v>5</v>
      </c>
      <c r="E958" s="341"/>
      <c r="F958" s="334"/>
      <c r="G958" s="112">
        <v>0</v>
      </c>
      <c r="H958" s="120">
        <v>0</v>
      </c>
      <c r="I958" s="120">
        <v>0</v>
      </c>
      <c r="J958" s="120">
        <v>0</v>
      </c>
      <c r="K958" s="110">
        <v>0</v>
      </c>
      <c r="L958" s="110"/>
      <c r="M958" s="110">
        <v>0</v>
      </c>
      <c r="N958" s="110"/>
      <c r="O958" s="110"/>
      <c r="P958" s="110">
        <f t="shared" si="105"/>
        <v>0</v>
      </c>
      <c r="Q958" s="110">
        <f t="shared" si="106"/>
        <v>0</v>
      </c>
      <c r="R958" s="110">
        <f t="shared" si="107"/>
        <v>0</v>
      </c>
      <c r="S958" s="112">
        <v>0</v>
      </c>
    </row>
    <row r="959" spans="1:19">
      <c r="A959" s="79"/>
      <c r="B959" s="77" t="s">
        <v>161</v>
      </c>
      <c r="C959" s="76" t="s">
        <v>4</v>
      </c>
      <c r="D959" s="143">
        <v>1</v>
      </c>
      <c r="E959" s="341"/>
      <c r="F959" s="334"/>
      <c r="G959" s="112">
        <v>0</v>
      </c>
      <c r="H959" s="120">
        <v>0</v>
      </c>
      <c r="I959" s="120">
        <v>0</v>
      </c>
      <c r="J959" s="120">
        <v>0</v>
      </c>
      <c r="K959" s="110">
        <v>0</v>
      </c>
      <c r="L959" s="110"/>
      <c r="M959" s="110">
        <v>0</v>
      </c>
      <c r="N959" s="110"/>
      <c r="O959" s="110"/>
      <c r="P959" s="110">
        <f t="shared" si="105"/>
        <v>0</v>
      </c>
      <c r="Q959" s="110">
        <f t="shared" si="106"/>
        <v>0</v>
      </c>
      <c r="R959" s="110">
        <f t="shared" si="107"/>
        <v>0</v>
      </c>
      <c r="S959" s="112">
        <v>0</v>
      </c>
    </row>
    <row r="960" spans="1:19">
      <c r="A960" s="79"/>
      <c r="B960" s="77" t="s">
        <v>162</v>
      </c>
      <c r="C960" s="76" t="s">
        <v>17</v>
      </c>
      <c r="D960" s="143">
        <v>1</v>
      </c>
      <c r="E960" s="341"/>
      <c r="F960" s="334"/>
      <c r="G960" s="112">
        <v>0</v>
      </c>
      <c r="H960" s="120">
        <v>0</v>
      </c>
      <c r="I960" s="120">
        <v>0</v>
      </c>
      <c r="J960" s="120">
        <v>0</v>
      </c>
      <c r="K960" s="110">
        <v>0</v>
      </c>
      <c r="L960" s="110"/>
      <c r="M960" s="110">
        <v>0</v>
      </c>
      <c r="N960" s="110"/>
      <c r="O960" s="110"/>
      <c r="P960" s="110">
        <f t="shared" si="105"/>
        <v>0</v>
      </c>
      <c r="Q960" s="110">
        <f t="shared" si="106"/>
        <v>0</v>
      </c>
      <c r="R960" s="110">
        <f t="shared" si="107"/>
        <v>0</v>
      </c>
      <c r="S960" s="112">
        <v>0</v>
      </c>
    </row>
    <row r="961" spans="1:19">
      <c r="A961" s="79"/>
      <c r="B961" s="77" t="s">
        <v>163</v>
      </c>
      <c r="C961" s="76" t="s">
        <v>4</v>
      </c>
      <c r="D961" s="143">
        <v>1</v>
      </c>
      <c r="E961" s="341"/>
      <c r="F961" s="334"/>
      <c r="G961" s="112">
        <v>0</v>
      </c>
      <c r="H961" s="120">
        <v>0</v>
      </c>
      <c r="I961" s="120">
        <v>0</v>
      </c>
      <c r="J961" s="120">
        <v>0</v>
      </c>
      <c r="K961" s="110">
        <v>0</v>
      </c>
      <c r="L961" s="110"/>
      <c r="M961" s="110">
        <v>0</v>
      </c>
      <c r="N961" s="110"/>
      <c r="O961" s="110"/>
      <c r="P961" s="110">
        <f t="shared" si="105"/>
        <v>0</v>
      </c>
      <c r="Q961" s="110">
        <f t="shared" si="106"/>
        <v>0</v>
      </c>
      <c r="R961" s="110">
        <f t="shared" si="107"/>
        <v>0</v>
      </c>
      <c r="S961" s="112">
        <v>0</v>
      </c>
    </row>
    <row r="962" spans="1:19" ht="30">
      <c r="A962" s="79"/>
      <c r="B962" s="77" t="s">
        <v>189</v>
      </c>
      <c r="C962" s="76" t="s">
        <v>8</v>
      </c>
      <c r="D962" s="143">
        <v>1</v>
      </c>
      <c r="E962" s="341"/>
      <c r="F962" s="334"/>
      <c r="G962" s="112">
        <v>0</v>
      </c>
      <c r="H962" s="120">
        <v>0</v>
      </c>
      <c r="I962" s="120">
        <v>0</v>
      </c>
      <c r="J962" s="120">
        <v>0</v>
      </c>
      <c r="K962" s="110">
        <v>0</v>
      </c>
      <c r="L962" s="110"/>
      <c r="M962" s="110">
        <v>0</v>
      </c>
      <c r="N962" s="110"/>
      <c r="O962" s="110"/>
      <c r="P962" s="110">
        <f t="shared" si="105"/>
        <v>0</v>
      </c>
      <c r="Q962" s="110">
        <f t="shared" si="106"/>
        <v>0</v>
      </c>
      <c r="R962" s="110">
        <f t="shared" si="107"/>
        <v>0</v>
      </c>
      <c r="S962" s="112">
        <v>0</v>
      </c>
    </row>
    <row r="963" spans="1:19" ht="45">
      <c r="A963" s="79"/>
      <c r="B963" s="77" t="s">
        <v>166</v>
      </c>
      <c r="C963" s="76" t="s">
        <v>17</v>
      </c>
      <c r="D963" s="143">
        <v>1</v>
      </c>
      <c r="E963" s="341"/>
      <c r="F963" s="334"/>
      <c r="G963" s="112">
        <v>0</v>
      </c>
      <c r="H963" s="120">
        <v>0</v>
      </c>
      <c r="I963" s="120">
        <v>0</v>
      </c>
      <c r="J963" s="120">
        <v>0</v>
      </c>
      <c r="K963" s="110">
        <v>0</v>
      </c>
      <c r="L963" s="110"/>
      <c r="M963" s="110">
        <v>0</v>
      </c>
      <c r="N963" s="110"/>
      <c r="O963" s="110"/>
      <c r="P963" s="110">
        <f t="shared" si="105"/>
        <v>0</v>
      </c>
      <c r="Q963" s="110">
        <f t="shared" si="106"/>
        <v>0</v>
      </c>
      <c r="R963" s="110">
        <f t="shared" si="107"/>
        <v>0</v>
      </c>
      <c r="S963" s="112">
        <v>0</v>
      </c>
    </row>
    <row r="964" spans="1:19" ht="60">
      <c r="A964" s="79">
        <v>29</v>
      </c>
      <c r="B964" s="77" t="s">
        <v>304</v>
      </c>
      <c r="C964" s="76" t="s">
        <v>6</v>
      </c>
      <c r="D964" s="143">
        <v>1</v>
      </c>
      <c r="E964" s="341"/>
      <c r="F964" s="334">
        <v>1</v>
      </c>
      <c r="G964" s="112" t="s">
        <v>841</v>
      </c>
      <c r="H964" s="120" t="s">
        <v>1076</v>
      </c>
      <c r="I964" s="120" t="s">
        <v>828</v>
      </c>
      <c r="J964" s="120" t="s">
        <v>829</v>
      </c>
      <c r="K964" s="110">
        <v>35635700</v>
      </c>
      <c r="L964" s="110"/>
      <c r="M964" s="110">
        <v>3123300</v>
      </c>
      <c r="N964" s="110"/>
      <c r="O964" s="110"/>
      <c r="P964" s="110">
        <f t="shared" si="105"/>
        <v>38759000</v>
      </c>
      <c r="Q964" s="110">
        <f t="shared" si="106"/>
        <v>38759000</v>
      </c>
      <c r="R964" s="110">
        <f t="shared" si="107"/>
        <v>38759000</v>
      </c>
      <c r="S964" s="112" t="s">
        <v>4094</v>
      </c>
    </row>
    <row r="965" spans="1:19" ht="45">
      <c r="A965" s="79"/>
      <c r="B965" s="77" t="s">
        <v>211</v>
      </c>
      <c r="C965" s="76" t="s">
        <v>4</v>
      </c>
      <c r="D965" s="143">
        <v>1</v>
      </c>
      <c r="E965" s="341"/>
      <c r="F965" s="334"/>
      <c r="G965" s="112">
        <v>0</v>
      </c>
      <c r="H965" s="120">
        <v>0</v>
      </c>
      <c r="I965" s="120">
        <v>0</v>
      </c>
      <c r="J965" s="120">
        <v>0</v>
      </c>
      <c r="K965" s="110">
        <v>0</v>
      </c>
      <c r="L965" s="110"/>
      <c r="M965" s="110">
        <v>0</v>
      </c>
      <c r="N965" s="110"/>
      <c r="O965" s="110"/>
      <c r="P965" s="110">
        <f t="shared" si="105"/>
        <v>0</v>
      </c>
      <c r="Q965" s="110">
        <f t="shared" si="106"/>
        <v>0</v>
      </c>
      <c r="R965" s="110">
        <f t="shared" si="107"/>
        <v>0</v>
      </c>
      <c r="S965" s="112" t="s">
        <v>150</v>
      </c>
    </row>
    <row r="966" spans="1:19">
      <c r="A966" s="79"/>
      <c r="B966" s="77" t="s">
        <v>151</v>
      </c>
      <c r="C966" s="76"/>
      <c r="D966" s="143"/>
      <c r="E966" s="341"/>
      <c r="F966" s="345"/>
      <c r="G966" s="112">
        <v>0</v>
      </c>
      <c r="H966" s="120">
        <v>0</v>
      </c>
      <c r="I966" s="120">
        <v>0</v>
      </c>
      <c r="J966" s="120">
        <v>0</v>
      </c>
      <c r="K966" s="110">
        <v>0</v>
      </c>
      <c r="L966" s="110"/>
      <c r="M966" s="110">
        <v>0</v>
      </c>
      <c r="N966" s="110"/>
      <c r="O966" s="110"/>
      <c r="P966" s="110">
        <f t="shared" si="105"/>
        <v>0</v>
      </c>
      <c r="Q966" s="110">
        <f t="shared" si="106"/>
        <v>0</v>
      </c>
      <c r="R966" s="110">
        <f t="shared" si="107"/>
        <v>0</v>
      </c>
      <c r="S966" s="112">
        <v>0</v>
      </c>
    </row>
    <row r="967" spans="1:19">
      <c r="A967" s="79"/>
      <c r="B967" s="77" t="s">
        <v>168</v>
      </c>
      <c r="C967" s="76" t="s">
        <v>4</v>
      </c>
      <c r="D967" s="143">
        <v>1</v>
      </c>
      <c r="E967" s="341"/>
      <c r="F967" s="334"/>
      <c r="G967" s="112">
        <v>0</v>
      </c>
      <c r="H967" s="120">
        <v>0</v>
      </c>
      <c r="I967" s="120">
        <v>0</v>
      </c>
      <c r="J967" s="120">
        <v>0</v>
      </c>
      <c r="K967" s="110">
        <v>0</v>
      </c>
      <c r="L967" s="110"/>
      <c r="M967" s="110">
        <v>0</v>
      </c>
      <c r="N967" s="110"/>
      <c r="O967" s="110"/>
      <c r="P967" s="110">
        <f t="shared" si="105"/>
        <v>0</v>
      </c>
      <c r="Q967" s="110">
        <f t="shared" si="106"/>
        <v>0</v>
      </c>
      <c r="R967" s="110">
        <f t="shared" si="107"/>
        <v>0</v>
      </c>
      <c r="S967" s="112">
        <v>0</v>
      </c>
    </row>
    <row r="968" spans="1:19">
      <c r="A968" s="79"/>
      <c r="B968" s="77" t="s">
        <v>192</v>
      </c>
      <c r="C968" s="76" t="s">
        <v>12</v>
      </c>
      <c r="D968" s="143">
        <v>3</v>
      </c>
      <c r="E968" s="341"/>
      <c r="F968" s="334"/>
      <c r="G968" s="112">
        <v>0</v>
      </c>
      <c r="H968" s="120">
        <v>0</v>
      </c>
      <c r="I968" s="120">
        <v>0</v>
      </c>
      <c r="J968" s="120">
        <v>0</v>
      </c>
      <c r="K968" s="110">
        <v>0</v>
      </c>
      <c r="L968" s="110"/>
      <c r="M968" s="110">
        <v>0</v>
      </c>
      <c r="N968" s="110"/>
      <c r="O968" s="110"/>
      <c r="P968" s="110">
        <f t="shared" si="105"/>
        <v>0</v>
      </c>
      <c r="Q968" s="110">
        <f t="shared" si="106"/>
        <v>0</v>
      </c>
      <c r="R968" s="110">
        <f t="shared" si="107"/>
        <v>0</v>
      </c>
      <c r="S968" s="112">
        <v>0</v>
      </c>
    </row>
    <row r="969" spans="1:19">
      <c r="A969" s="79"/>
      <c r="B969" s="77" t="s">
        <v>29</v>
      </c>
      <c r="C969" s="76" t="s">
        <v>4</v>
      </c>
      <c r="D969" s="143">
        <v>1</v>
      </c>
      <c r="E969" s="341"/>
      <c r="F969" s="334"/>
      <c r="G969" s="112">
        <v>0</v>
      </c>
      <c r="H969" s="120">
        <v>0</v>
      </c>
      <c r="I969" s="120">
        <v>0</v>
      </c>
      <c r="J969" s="120">
        <v>0</v>
      </c>
      <c r="K969" s="110">
        <v>0</v>
      </c>
      <c r="L969" s="110"/>
      <c r="M969" s="110">
        <v>0</v>
      </c>
      <c r="N969" s="110"/>
      <c r="O969" s="110"/>
      <c r="P969" s="110">
        <f t="shared" si="105"/>
        <v>0</v>
      </c>
      <c r="Q969" s="110">
        <f t="shared" si="106"/>
        <v>0</v>
      </c>
      <c r="R969" s="110">
        <f t="shared" si="107"/>
        <v>0</v>
      </c>
      <c r="S969" s="112">
        <v>0</v>
      </c>
    </row>
    <row r="970" spans="1:19">
      <c r="A970" s="79"/>
      <c r="B970" s="77" t="s">
        <v>30</v>
      </c>
      <c r="C970" s="76" t="s">
        <v>4</v>
      </c>
      <c r="D970" s="143">
        <v>1</v>
      </c>
      <c r="E970" s="341"/>
      <c r="F970" s="334"/>
      <c r="G970" s="112">
        <v>0</v>
      </c>
      <c r="H970" s="120">
        <v>0</v>
      </c>
      <c r="I970" s="120">
        <v>0</v>
      </c>
      <c r="J970" s="120">
        <v>0</v>
      </c>
      <c r="K970" s="110">
        <v>0</v>
      </c>
      <c r="L970" s="110"/>
      <c r="M970" s="110">
        <v>0</v>
      </c>
      <c r="N970" s="110"/>
      <c r="O970" s="110"/>
      <c r="P970" s="110">
        <f t="shared" si="105"/>
        <v>0</v>
      </c>
      <c r="Q970" s="110">
        <f t="shared" si="106"/>
        <v>0</v>
      </c>
      <c r="R970" s="110">
        <f t="shared" si="107"/>
        <v>0</v>
      </c>
      <c r="S970" s="112">
        <v>0</v>
      </c>
    </row>
    <row r="971" spans="1:19">
      <c r="A971" s="79"/>
      <c r="B971" s="77" t="s">
        <v>193</v>
      </c>
      <c r="C971" s="76" t="s">
        <v>4</v>
      </c>
      <c r="D971" s="143">
        <v>3</v>
      </c>
      <c r="E971" s="341"/>
      <c r="F971" s="334"/>
      <c r="G971" s="112">
        <v>0</v>
      </c>
      <c r="H971" s="120">
        <v>0</v>
      </c>
      <c r="I971" s="120">
        <v>0</v>
      </c>
      <c r="J971" s="120">
        <v>0</v>
      </c>
      <c r="K971" s="110">
        <v>0</v>
      </c>
      <c r="L971" s="110"/>
      <c r="M971" s="110">
        <v>0</v>
      </c>
      <c r="N971" s="110"/>
      <c r="O971" s="110"/>
      <c r="P971" s="110">
        <f t="shared" si="105"/>
        <v>0</v>
      </c>
      <c r="Q971" s="110">
        <f t="shared" si="106"/>
        <v>0</v>
      </c>
      <c r="R971" s="110">
        <f t="shared" si="107"/>
        <v>0</v>
      </c>
      <c r="S971" s="112">
        <v>0</v>
      </c>
    </row>
    <row r="972" spans="1:19">
      <c r="A972" s="79"/>
      <c r="B972" s="77" t="s">
        <v>14</v>
      </c>
      <c r="C972" s="76" t="s">
        <v>4</v>
      </c>
      <c r="D972" s="143">
        <v>3</v>
      </c>
      <c r="E972" s="341"/>
      <c r="F972" s="334"/>
      <c r="G972" s="112">
        <v>0</v>
      </c>
      <c r="H972" s="120">
        <v>0</v>
      </c>
      <c r="I972" s="120">
        <v>0</v>
      </c>
      <c r="J972" s="120">
        <v>0</v>
      </c>
      <c r="K972" s="110">
        <v>0</v>
      </c>
      <c r="L972" s="110"/>
      <c r="M972" s="110">
        <v>0</v>
      </c>
      <c r="N972" s="110"/>
      <c r="O972" s="110"/>
      <c r="P972" s="110">
        <f t="shared" si="105"/>
        <v>0</v>
      </c>
      <c r="Q972" s="110">
        <f t="shared" si="106"/>
        <v>0</v>
      </c>
      <c r="R972" s="110">
        <f t="shared" si="107"/>
        <v>0</v>
      </c>
      <c r="S972" s="112">
        <v>0</v>
      </c>
    </row>
    <row r="973" spans="1:19">
      <c r="A973" s="79"/>
      <c r="B973" s="77" t="s">
        <v>153</v>
      </c>
      <c r="C973" s="76" t="s">
        <v>4</v>
      </c>
      <c r="D973" s="143">
        <v>3</v>
      </c>
      <c r="E973" s="341"/>
      <c r="F973" s="334"/>
      <c r="G973" s="112">
        <v>0</v>
      </c>
      <c r="H973" s="120">
        <v>0</v>
      </c>
      <c r="I973" s="120">
        <v>0</v>
      </c>
      <c r="J973" s="120">
        <v>0</v>
      </c>
      <c r="K973" s="110">
        <v>0</v>
      </c>
      <c r="L973" s="110"/>
      <c r="M973" s="110">
        <v>0</v>
      </c>
      <c r="N973" s="110"/>
      <c r="O973" s="110"/>
      <c r="P973" s="110">
        <f t="shared" si="105"/>
        <v>0</v>
      </c>
      <c r="Q973" s="110">
        <f t="shared" si="106"/>
        <v>0</v>
      </c>
      <c r="R973" s="110">
        <f t="shared" si="107"/>
        <v>0</v>
      </c>
      <c r="S973" s="112">
        <v>0</v>
      </c>
    </row>
    <row r="974" spans="1:19">
      <c r="A974" s="79"/>
      <c r="B974" s="77" t="s">
        <v>154</v>
      </c>
      <c r="C974" s="76"/>
      <c r="D974" s="143"/>
      <c r="E974" s="341"/>
      <c r="F974" s="345"/>
      <c r="G974" s="112">
        <v>0</v>
      </c>
      <c r="H974" s="120">
        <v>0</v>
      </c>
      <c r="I974" s="120">
        <v>0</v>
      </c>
      <c r="J974" s="120">
        <v>0</v>
      </c>
      <c r="K974" s="110">
        <v>0</v>
      </c>
      <c r="L974" s="110"/>
      <c r="M974" s="110">
        <v>0</v>
      </c>
      <c r="N974" s="110"/>
      <c r="O974" s="110"/>
      <c r="P974" s="110">
        <f t="shared" si="105"/>
        <v>0</v>
      </c>
      <c r="Q974" s="110">
        <f t="shared" si="106"/>
        <v>0</v>
      </c>
      <c r="R974" s="110">
        <f t="shared" si="107"/>
        <v>0</v>
      </c>
      <c r="S974" s="112">
        <v>0</v>
      </c>
    </row>
    <row r="975" spans="1:19">
      <c r="A975" s="79"/>
      <c r="B975" s="77" t="s">
        <v>155</v>
      </c>
      <c r="C975" s="76" t="s">
        <v>4</v>
      </c>
      <c r="D975" s="143">
        <v>1</v>
      </c>
      <c r="E975" s="439"/>
      <c r="F975" s="334"/>
      <c r="G975" s="112">
        <v>0</v>
      </c>
      <c r="H975" s="120">
        <v>0</v>
      </c>
      <c r="I975" s="120">
        <v>0</v>
      </c>
      <c r="J975" s="120">
        <v>0</v>
      </c>
      <c r="K975" s="110">
        <v>0</v>
      </c>
      <c r="L975" s="110"/>
      <c r="M975" s="110">
        <v>0</v>
      </c>
      <c r="N975" s="110"/>
      <c r="O975" s="110"/>
      <c r="P975" s="110">
        <f t="shared" si="105"/>
        <v>0</v>
      </c>
      <c r="Q975" s="110">
        <f t="shared" si="106"/>
        <v>0</v>
      </c>
      <c r="R975" s="110">
        <f t="shared" si="107"/>
        <v>0</v>
      </c>
      <c r="S975" s="112">
        <v>0</v>
      </c>
    </row>
    <row r="976" spans="1:19">
      <c r="A976" s="79"/>
      <c r="B976" s="77" t="s">
        <v>170</v>
      </c>
      <c r="C976" s="76" t="s">
        <v>4</v>
      </c>
      <c r="D976" s="143">
        <v>2</v>
      </c>
      <c r="E976" s="439"/>
      <c r="F976" s="334"/>
      <c r="G976" s="112">
        <v>0</v>
      </c>
      <c r="H976" s="120">
        <v>0</v>
      </c>
      <c r="I976" s="120">
        <v>0</v>
      </c>
      <c r="J976" s="120">
        <v>0</v>
      </c>
      <c r="K976" s="110">
        <v>0</v>
      </c>
      <c r="L976" s="110"/>
      <c r="M976" s="110">
        <v>0</v>
      </c>
      <c r="N976" s="110"/>
      <c r="O976" s="110"/>
      <c r="P976" s="110">
        <f t="shared" si="105"/>
        <v>0</v>
      </c>
      <c r="Q976" s="110">
        <f t="shared" si="106"/>
        <v>0</v>
      </c>
      <c r="R976" s="110">
        <f t="shared" si="107"/>
        <v>0</v>
      </c>
      <c r="S976" s="112">
        <v>0</v>
      </c>
    </row>
    <row r="977" spans="1:19">
      <c r="A977" s="79"/>
      <c r="B977" s="77" t="s">
        <v>305</v>
      </c>
      <c r="C977" s="76" t="s">
        <v>4</v>
      </c>
      <c r="D977" s="143">
        <v>0</v>
      </c>
      <c r="E977" s="341"/>
      <c r="F977" s="334"/>
      <c r="G977" s="112">
        <v>0</v>
      </c>
      <c r="H977" s="120">
        <v>0</v>
      </c>
      <c r="I977" s="120">
        <v>0</v>
      </c>
      <c r="J977" s="120">
        <v>0</v>
      </c>
      <c r="K977" s="110">
        <v>0</v>
      </c>
      <c r="L977" s="110"/>
      <c r="M977" s="110">
        <v>0</v>
      </c>
      <c r="N977" s="110"/>
      <c r="O977" s="110"/>
      <c r="P977" s="110">
        <f t="shared" si="105"/>
        <v>0</v>
      </c>
      <c r="Q977" s="110">
        <f t="shared" si="106"/>
        <v>0</v>
      </c>
      <c r="R977" s="110">
        <f t="shared" si="107"/>
        <v>0</v>
      </c>
      <c r="S977" s="112">
        <v>0</v>
      </c>
    </row>
    <row r="978" spans="1:19">
      <c r="A978" s="79"/>
      <c r="B978" s="77" t="s">
        <v>306</v>
      </c>
      <c r="C978" s="76" t="s">
        <v>4</v>
      </c>
      <c r="D978" s="143">
        <v>1</v>
      </c>
      <c r="E978" s="341"/>
      <c r="F978" s="334"/>
      <c r="G978" s="112">
        <v>0</v>
      </c>
      <c r="H978" s="120">
        <v>0</v>
      </c>
      <c r="I978" s="120">
        <v>0</v>
      </c>
      <c r="J978" s="120">
        <v>0</v>
      </c>
      <c r="K978" s="110">
        <v>0</v>
      </c>
      <c r="L978" s="110"/>
      <c r="M978" s="110">
        <v>0</v>
      </c>
      <c r="N978" s="110"/>
      <c r="O978" s="110"/>
      <c r="P978" s="110">
        <f t="shared" si="105"/>
        <v>0</v>
      </c>
      <c r="Q978" s="110">
        <f t="shared" si="106"/>
        <v>0</v>
      </c>
      <c r="R978" s="110">
        <f t="shared" si="107"/>
        <v>0</v>
      </c>
      <c r="S978" s="112">
        <v>0</v>
      </c>
    </row>
    <row r="979" spans="1:19">
      <c r="A979" s="79"/>
      <c r="B979" s="77" t="s">
        <v>156</v>
      </c>
      <c r="C979" s="76" t="s">
        <v>4</v>
      </c>
      <c r="D979" s="143">
        <v>13</v>
      </c>
      <c r="E979" s="341"/>
      <c r="F979" s="334"/>
      <c r="G979" s="112">
        <v>0</v>
      </c>
      <c r="H979" s="120">
        <v>0</v>
      </c>
      <c r="I979" s="120">
        <v>0</v>
      </c>
      <c r="J979" s="120">
        <v>0</v>
      </c>
      <c r="K979" s="110">
        <v>0</v>
      </c>
      <c r="L979" s="110"/>
      <c r="M979" s="110">
        <v>0</v>
      </c>
      <c r="N979" s="110"/>
      <c r="O979" s="110"/>
      <c r="P979" s="110">
        <f t="shared" si="105"/>
        <v>0</v>
      </c>
      <c r="Q979" s="110">
        <f t="shared" si="106"/>
        <v>0</v>
      </c>
      <c r="R979" s="110">
        <f t="shared" si="107"/>
        <v>0</v>
      </c>
      <c r="S979" s="112">
        <v>0</v>
      </c>
    </row>
    <row r="980" spans="1:19">
      <c r="A980" s="79"/>
      <c r="B980" s="77" t="s">
        <v>157</v>
      </c>
      <c r="C980" s="76" t="s">
        <v>4</v>
      </c>
      <c r="D980" s="143">
        <v>8</v>
      </c>
      <c r="E980" s="341"/>
      <c r="F980" s="334"/>
      <c r="G980" s="112">
        <v>0</v>
      </c>
      <c r="H980" s="120">
        <v>0</v>
      </c>
      <c r="I980" s="120">
        <v>0</v>
      </c>
      <c r="J980" s="120">
        <v>0</v>
      </c>
      <c r="K980" s="110">
        <v>0</v>
      </c>
      <c r="L980" s="110"/>
      <c r="M980" s="110">
        <v>0</v>
      </c>
      <c r="N980" s="110"/>
      <c r="O980" s="110"/>
      <c r="P980" s="110">
        <f t="shared" si="105"/>
        <v>0</v>
      </c>
      <c r="Q980" s="110">
        <f t="shared" si="106"/>
        <v>0</v>
      </c>
      <c r="R980" s="110">
        <f t="shared" si="107"/>
        <v>0</v>
      </c>
      <c r="S980" s="112">
        <v>0</v>
      </c>
    </row>
    <row r="981" spans="1:19">
      <c r="A981" s="79"/>
      <c r="B981" s="77" t="s">
        <v>158</v>
      </c>
      <c r="C981" s="76" t="s">
        <v>4</v>
      </c>
      <c r="D981" s="143">
        <v>1</v>
      </c>
      <c r="E981" s="341"/>
      <c r="F981" s="334"/>
      <c r="G981" s="112">
        <v>0</v>
      </c>
      <c r="H981" s="120">
        <v>0</v>
      </c>
      <c r="I981" s="120">
        <v>0</v>
      </c>
      <c r="J981" s="120">
        <v>0</v>
      </c>
      <c r="K981" s="110">
        <v>0</v>
      </c>
      <c r="L981" s="110"/>
      <c r="M981" s="110">
        <v>0</v>
      </c>
      <c r="N981" s="110"/>
      <c r="O981" s="110"/>
      <c r="P981" s="110">
        <f t="shared" si="105"/>
        <v>0</v>
      </c>
      <c r="Q981" s="110">
        <f t="shared" si="106"/>
        <v>0</v>
      </c>
      <c r="R981" s="110">
        <f t="shared" si="107"/>
        <v>0</v>
      </c>
      <c r="S981" s="112">
        <v>0</v>
      </c>
    </row>
    <row r="982" spans="1:19">
      <c r="A982" s="79"/>
      <c r="B982" s="77" t="s">
        <v>159</v>
      </c>
      <c r="C982" s="76"/>
      <c r="D982" s="143"/>
      <c r="E982" s="341"/>
      <c r="F982" s="345"/>
      <c r="G982" s="112">
        <v>0</v>
      </c>
      <c r="H982" s="120">
        <v>0</v>
      </c>
      <c r="I982" s="120">
        <v>0</v>
      </c>
      <c r="J982" s="120">
        <v>0</v>
      </c>
      <c r="K982" s="110">
        <v>0</v>
      </c>
      <c r="L982" s="110"/>
      <c r="M982" s="110">
        <v>0</v>
      </c>
      <c r="N982" s="110"/>
      <c r="O982" s="110"/>
      <c r="P982" s="110">
        <f t="shared" si="105"/>
        <v>0</v>
      </c>
      <c r="Q982" s="110">
        <f t="shared" si="106"/>
        <v>0</v>
      </c>
      <c r="R982" s="110">
        <f t="shared" si="107"/>
        <v>0</v>
      </c>
      <c r="S982" s="112">
        <v>0</v>
      </c>
    </row>
    <row r="983" spans="1:19">
      <c r="A983" s="79"/>
      <c r="B983" s="77" t="s">
        <v>160</v>
      </c>
      <c r="C983" s="76" t="s">
        <v>4</v>
      </c>
      <c r="D983" s="143">
        <v>13</v>
      </c>
      <c r="E983" s="341"/>
      <c r="F983" s="334"/>
      <c r="G983" s="112">
        <v>0</v>
      </c>
      <c r="H983" s="120">
        <v>0</v>
      </c>
      <c r="I983" s="120">
        <v>0</v>
      </c>
      <c r="J983" s="120">
        <v>0</v>
      </c>
      <c r="K983" s="110">
        <v>0</v>
      </c>
      <c r="L983" s="110"/>
      <c r="M983" s="110">
        <v>0</v>
      </c>
      <c r="N983" s="110"/>
      <c r="O983" s="110"/>
      <c r="P983" s="110">
        <f t="shared" si="105"/>
        <v>0</v>
      </c>
      <c r="Q983" s="110">
        <f t="shared" si="106"/>
        <v>0</v>
      </c>
      <c r="R983" s="110">
        <f t="shared" si="107"/>
        <v>0</v>
      </c>
      <c r="S983" s="112">
        <v>0</v>
      </c>
    </row>
    <row r="984" spans="1:19">
      <c r="A984" s="79"/>
      <c r="B984" s="77" t="s">
        <v>161</v>
      </c>
      <c r="C984" s="76" t="s">
        <v>4</v>
      </c>
      <c r="D984" s="143">
        <v>1</v>
      </c>
      <c r="E984" s="341"/>
      <c r="F984" s="334"/>
      <c r="G984" s="112">
        <v>0</v>
      </c>
      <c r="H984" s="120">
        <v>0</v>
      </c>
      <c r="I984" s="120">
        <v>0</v>
      </c>
      <c r="J984" s="120">
        <v>0</v>
      </c>
      <c r="K984" s="110">
        <v>0</v>
      </c>
      <c r="L984" s="110"/>
      <c r="M984" s="110">
        <v>0</v>
      </c>
      <c r="N984" s="110"/>
      <c r="O984" s="110"/>
      <c r="P984" s="110">
        <f t="shared" si="105"/>
        <v>0</v>
      </c>
      <c r="Q984" s="110">
        <f t="shared" si="106"/>
        <v>0</v>
      </c>
      <c r="R984" s="110">
        <f t="shared" si="107"/>
        <v>0</v>
      </c>
      <c r="S984" s="112">
        <v>0</v>
      </c>
    </row>
    <row r="985" spans="1:19">
      <c r="A985" s="79"/>
      <c r="B985" s="77" t="s">
        <v>162</v>
      </c>
      <c r="C985" s="76" t="s">
        <v>17</v>
      </c>
      <c r="D985" s="143">
        <v>1</v>
      </c>
      <c r="E985" s="341"/>
      <c r="F985" s="334"/>
      <c r="G985" s="112">
        <v>0</v>
      </c>
      <c r="H985" s="120">
        <v>0</v>
      </c>
      <c r="I985" s="120">
        <v>0</v>
      </c>
      <c r="J985" s="120">
        <v>0</v>
      </c>
      <c r="K985" s="110">
        <v>0</v>
      </c>
      <c r="L985" s="110"/>
      <c r="M985" s="110">
        <v>0</v>
      </c>
      <c r="N985" s="110"/>
      <c r="O985" s="110"/>
      <c r="P985" s="110">
        <f t="shared" si="105"/>
        <v>0</v>
      </c>
      <c r="Q985" s="110">
        <f t="shared" si="106"/>
        <v>0</v>
      </c>
      <c r="R985" s="110">
        <f t="shared" si="107"/>
        <v>0</v>
      </c>
      <c r="S985" s="112">
        <v>0</v>
      </c>
    </row>
    <row r="986" spans="1:19">
      <c r="A986" s="79"/>
      <c r="B986" s="77" t="s">
        <v>265</v>
      </c>
      <c r="C986" s="76" t="s">
        <v>8</v>
      </c>
      <c r="D986" s="143">
        <v>1</v>
      </c>
      <c r="E986" s="341"/>
      <c r="F986" s="334"/>
      <c r="G986" s="112">
        <v>0</v>
      </c>
      <c r="H986" s="120">
        <v>0</v>
      </c>
      <c r="I986" s="120">
        <v>0</v>
      </c>
      <c r="J986" s="120">
        <v>0</v>
      </c>
      <c r="K986" s="110">
        <v>0</v>
      </c>
      <c r="L986" s="110"/>
      <c r="M986" s="110">
        <v>0</v>
      </c>
      <c r="N986" s="110"/>
      <c r="O986" s="110"/>
      <c r="P986" s="110">
        <f t="shared" si="105"/>
        <v>0</v>
      </c>
      <c r="Q986" s="110">
        <f t="shared" si="106"/>
        <v>0</v>
      </c>
      <c r="R986" s="110">
        <f t="shared" si="107"/>
        <v>0</v>
      </c>
      <c r="S986" s="112">
        <v>0</v>
      </c>
    </row>
    <row r="987" spans="1:19">
      <c r="A987" s="79"/>
      <c r="B987" s="77" t="s">
        <v>172</v>
      </c>
      <c r="C987" s="76" t="s">
        <v>4</v>
      </c>
      <c r="D987" s="143">
        <v>1</v>
      </c>
      <c r="E987" s="341"/>
      <c r="F987" s="334"/>
      <c r="G987" s="112">
        <v>0</v>
      </c>
      <c r="H987" s="120">
        <v>0</v>
      </c>
      <c r="I987" s="120">
        <v>0</v>
      </c>
      <c r="J987" s="120">
        <v>0</v>
      </c>
      <c r="K987" s="110">
        <v>0</v>
      </c>
      <c r="L987" s="110"/>
      <c r="M987" s="110">
        <v>0</v>
      </c>
      <c r="N987" s="110"/>
      <c r="O987" s="110"/>
      <c r="P987" s="110">
        <f t="shared" si="105"/>
        <v>0</v>
      </c>
      <c r="Q987" s="110">
        <f t="shared" si="106"/>
        <v>0</v>
      </c>
      <c r="R987" s="110">
        <f t="shared" si="107"/>
        <v>0</v>
      </c>
      <c r="S987" s="112">
        <v>0</v>
      </c>
    </row>
    <row r="988" spans="1:19">
      <c r="A988" s="79"/>
      <c r="B988" s="77" t="s">
        <v>173</v>
      </c>
      <c r="C988" s="76" t="s">
        <v>4</v>
      </c>
      <c r="D988" s="143">
        <v>1</v>
      </c>
      <c r="E988" s="341"/>
      <c r="F988" s="334"/>
      <c r="G988" s="112">
        <v>0</v>
      </c>
      <c r="H988" s="120">
        <v>0</v>
      </c>
      <c r="I988" s="120">
        <v>0</v>
      </c>
      <c r="J988" s="120">
        <v>0</v>
      </c>
      <c r="K988" s="110">
        <v>0</v>
      </c>
      <c r="L988" s="110"/>
      <c r="M988" s="110">
        <v>0</v>
      </c>
      <c r="N988" s="110"/>
      <c r="O988" s="110"/>
      <c r="P988" s="110">
        <f t="shared" si="105"/>
        <v>0</v>
      </c>
      <c r="Q988" s="110">
        <f t="shared" si="106"/>
        <v>0</v>
      </c>
      <c r="R988" s="110">
        <f t="shared" si="107"/>
        <v>0</v>
      </c>
      <c r="S988" s="112">
        <v>0</v>
      </c>
    </row>
    <row r="989" spans="1:19">
      <c r="A989" s="79"/>
      <c r="B989" s="77" t="s">
        <v>266</v>
      </c>
      <c r="C989" s="76" t="s">
        <v>4</v>
      </c>
      <c r="D989" s="143">
        <v>1</v>
      </c>
      <c r="E989" s="341"/>
      <c r="F989" s="334"/>
      <c r="G989" s="112">
        <v>0</v>
      </c>
      <c r="H989" s="120">
        <v>0</v>
      </c>
      <c r="I989" s="120">
        <v>0</v>
      </c>
      <c r="J989" s="120">
        <v>0</v>
      </c>
      <c r="K989" s="110">
        <v>0</v>
      </c>
      <c r="L989" s="110"/>
      <c r="M989" s="110">
        <v>0</v>
      </c>
      <c r="N989" s="110"/>
      <c r="O989" s="110"/>
      <c r="P989" s="110">
        <f t="shared" si="105"/>
        <v>0</v>
      </c>
      <c r="Q989" s="110">
        <f t="shared" si="106"/>
        <v>0</v>
      </c>
      <c r="R989" s="110">
        <f t="shared" si="107"/>
        <v>0</v>
      </c>
      <c r="S989" s="112">
        <v>0</v>
      </c>
    </row>
    <row r="990" spans="1:19">
      <c r="A990" s="79"/>
      <c r="B990" s="77" t="s">
        <v>175</v>
      </c>
      <c r="C990" s="76" t="s">
        <v>4</v>
      </c>
      <c r="D990" s="143">
        <v>1</v>
      </c>
      <c r="E990" s="341"/>
      <c r="F990" s="334"/>
      <c r="G990" s="112">
        <v>0</v>
      </c>
      <c r="H990" s="120">
        <v>0</v>
      </c>
      <c r="I990" s="120">
        <v>0</v>
      </c>
      <c r="J990" s="120">
        <v>0</v>
      </c>
      <c r="K990" s="110">
        <v>0</v>
      </c>
      <c r="L990" s="110"/>
      <c r="M990" s="110">
        <v>0</v>
      </c>
      <c r="N990" s="110"/>
      <c r="O990" s="110"/>
      <c r="P990" s="110">
        <f t="shared" si="105"/>
        <v>0</v>
      </c>
      <c r="Q990" s="110">
        <f t="shared" si="106"/>
        <v>0</v>
      </c>
      <c r="R990" s="110">
        <f t="shared" si="107"/>
        <v>0</v>
      </c>
      <c r="S990" s="112">
        <v>0</v>
      </c>
    </row>
    <row r="991" spans="1:19">
      <c r="A991" s="79"/>
      <c r="B991" s="77" t="s">
        <v>176</v>
      </c>
      <c r="C991" s="76" t="s">
        <v>4</v>
      </c>
      <c r="D991" s="143">
        <v>2</v>
      </c>
      <c r="E991" s="341"/>
      <c r="F991" s="334"/>
      <c r="G991" s="112">
        <v>0</v>
      </c>
      <c r="H991" s="120">
        <v>0</v>
      </c>
      <c r="I991" s="120">
        <v>0</v>
      </c>
      <c r="J991" s="120">
        <v>0</v>
      </c>
      <c r="K991" s="110">
        <v>0</v>
      </c>
      <c r="L991" s="110"/>
      <c r="M991" s="110">
        <v>0</v>
      </c>
      <c r="N991" s="110"/>
      <c r="O991" s="110"/>
      <c r="P991" s="110">
        <f t="shared" si="105"/>
        <v>0</v>
      </c>
      <c r="Q991" s="110">
        <f t="shared" si="106"/>
        <v>0</v>
      </c>
      <c r="R991" s="110">
        <f t="shared" si="107"/>
        <v>0</v>
      </c>
      <c r="S991" s="112">
        <v>0</v>
      </c>
    </row>
    <row r="992" spans="1:19">
      <c r="A992" s="79"/>
      <c r="B992" s="77" t="s">
        <v>177</v>
      </c>
      <c r="C992" s="76" t="s">
        <v>17</v>
      </c>
      <c r="D992" s="143">
        <v>1</v>
      </c>
      <c r="E992" s="341"/>
      <c r="F992" s="334"/>
      <c r="G992" s="112">
        <v>0</v>
      </c>
      <c r="H992" s="120">
        <v>0</v>
      </c>
      <c r="I992" s="120">
        <v>0</v>
      </c>
      <c r="J992" s="120">
        <v>0</v>
      </c>
      <c r="K992" s="110">
        <v>0</v>
      </c>
      <c r="L992" s="110"/>
      <c r="M992" s="110">
        <v>0</v>
      </c>
      <c r="N992" s="110"/>
      <c r="O992" s="110"/>
      <c r="P992" s="110">
        <f t="shared" si="105"/>
        <v>0</v>
      </c>
      <c r="Q992" s="110">
        <f t="shared" si="106"/>
        <v>0</v>
      </c>
      <c r="R992" s="110">
        <f t="shared" si="107"/>
        <v>0</v>
      </c>
      <c r="S992" s="112">
        <v>0</v>
      </c>
    </row>
    <row r="993" spans="1:19">
      <c r="A993" s="79"/>
      <c r="B993" s="77" t="s">
        <v>216</v>
      </c>
      <c r="C993" s="76" t="s">
        <v>8</v>
      </c>
      <c r="D993" s="143">
        <v>1</v>
      </c>
      <c r="E993" s="341"/>
      <c r="F993" s="334"/>
      <c r="G993" s="112">
        <v>0</v>
      </c>
      <c r="H993" s="120">
        <v>0</v>
      </c>
      <c r="I993" s="120">
        <v>0</v>
      </c>
      <c r="J993" s="120">
        <v>0</v>
      </c>
      <c r="K993" s="110">
        <v>0</v>
      </c>
      <c r="L993" s="110"/>
      <c r="M993" s="110">
        <v>0</v>
      </c>
      <c r="N993" s="110"/>
      <c r="O993" s="110"/>
      <c r="P993" s="110">
        <f t="shared" si="105"/>
        <v>0</v>
      </c>
      <c r="Q993" s="110">
        <f t="shared" si="106"/>
        <v>0</v>
      </c>
      <c r="R993" s="110">
        <f t="shared" si="107"/>
        <v>0</v>
      </c>
      <c r="S993" s="112">
        <v>0</v>
      </c>
    </row>
    <row r="994" spans="1:19">
      <c r="A994" s="79"/>
      <c r="B994" s="77" t="s">
        <v>172</v>
      </c>
      <c r="C994" s="76" t="s">
        <v>4</v>
      </c>
      <c r="D994" s="143">
        <v>1</v>
      </c>
      <c r="E994" s="59"/>
      <c r="F994" s="334"/>
      <c r="G994" s="112">
        <v>0</v>
      </c>
      <c r="H994" s="120">
        <v>0</v>
      </c>
      <c r="I994" s="120">
        <v>0</v>
      </c>
      <c r="J994" s="120">
        <v>0</v>
      </c>
      <c r="K994" s="110">
        <v>0</v>
      </c>
      <c r="L994" s="110"/>
      <c r="M994" s="110">
        <v>0</v>
      </c>
      <c r="N994" s="110"/>
      <c r="O994" s="110"/>
      <c r="P994" s="110">
        <f t="shared" si="105"/>
        <v>0</v>
      </c>
      <c r="Q994" s="110">
        <f t="shared" si="106"/>
        <v>0</v>
      </c>
      <c r="R994" s="110">
        <f t="shared" si="107"/>
        <v>0</v>
      </c>
      <c r="S994" s="112">
        <v>0</v>
      </c>
    </row>
    <row r="995" spans="1:19">
      <c r="A995" s="79"/>
      <c r="B995" s="77" t="s">
        <v>173</v>
      </c>
      <c r="C995" s="76" t="s">
        <v>4</v>
      </c>
      <c r="D995" s="143">
        <v>1</v>
      </c>
      <c r="E995" s="77"/>
      <c r="F995" s="334"/>
      <c r="G995" s="112">
        <v>0</v>
      </c>
      <c r="H995" s="120">
        <v>0</v>
      </c>
      <c r="I995" s="120">
        <v>0</v>
      </c>
      <c r="J995" s="120">
        <v>0</v>
      </c>
      <c r="K995" s="110">
        <v>0</v>
      </c>
      <c r="L995" s="110"/>
      <c r="M995" s="110">
        <v>0</v>
      </c>
      <c r="N995" s="110"/>
      <c r="O995" s="110"/>
      <c r="P995" s="110">
        <f t="shared" si="105"/>
        <v>0</v>
      </c>
      <c r="Q995" s="110">
        <f t="shared" si="106"/>
        <v>0</v>
      </c>
      <c r="R995" s="110">
        <f t="shared" si="107"/>
        <v>0</v>
      </c>
      <c r="S995" s="112">
        <v>0</v>
      </c>
    </row>
    <row r="996" spans="1:19">
      <c r="A996" s="79"/>
      <c r="B996" s="77" t="s">
        <v>180</v>
      </c>
      <c r="C996" s="76" t="s">
        <v>4</v>
      </c>
      <c r="D996" s="143">
        <v>1</v>
      </c>
      <c r="E996" s="77"/>
      <c r="F996" s="334"/>
      <c r="G996" s="112">
        <v>0</v>
      </c>
      <c r="H996" s="120">
        <v>0</v>
      </c>
      <c r="I996" s="120">
        <v>0</v>
      </c>
      <c r="J996" s="120">
        <v>0</v>
      </c>
      <c r="K996" s="110">
        <v>0</v>
      </c>
      <c r="L996" s="110"/>
      <c r="M996" s="110">
        <v>0</v>
      </c>
      <c r="N996" s="110"/>
      <c r="O996" s="110"/>
      <c r="P996" s="110">
        <f t="shared" si="105"/>
        <v>0</v>
      </c>
      <c r="Q996" s="110">
        <f t="shared" si="106"/>
        <v>0</v>
      </c>
      <c r="R996" s="110">
        <f t="shared" si="107"/>
        <v>0</v>
      </c>
      <c r="S996" s="112">
        <v>0</v>
      </c>
    </row>
    <row r="997" spans="1:19">
      <c r="A997" s="79"/>
      <c r="B997" s="77" t="s">
        <v>175</v>
      </c>
      <c r="C997" s="76" t="s">
        <v>4</v>
      </c>
      <c r="D997" s="143">
        <v>1</v>
      </c>
      <c r="E997" s="77"/>
      <c r="F997" s="334"/>
      <c r="G997" s="112">
        <v>0</v>
      </c>
      <c r="H997" s="120">
        <v>0</v>
      </c>
      <c r="I997" s="120">
        <v>0</v>
      </c>
      <c r="J997" s="120">
        <v>0</v>
      </c>
      <c r="K997" s="110">
        <v>0</v>
      </c>
      <c r="L997" s="110"/>
      <c r="M997" s="110">
        <v>0</v>
      </c>
      <c r="N997" s="110"/>
      <c r="O997" s="110"/>
      <c r="P997" s="110">
        <f t="shared" si="105"/>
        <v>0</v>
      </c>
      <c r="Q997" s="110">
        <f t="shared" si="106"/>
        <v>0</v>
      </c>
      <c r="R997" s="110">
        <f t="shared" si="107"/>
        <v>0</v>
      </c>
      <c r="S997" s="112">
        <v>0</v>
      </c>
    </row>
    <row r="998" spans="1:19">
      <c r="A998" s="79"/>
      <c r="B998" s="77" t="s">
        <v>176</v>
      </c>
      <c r="C998" s="76" t="s">
        <v>4</v>
      </c>
      <c r="D998" s="143">
        <v>2</v>
      </c>
      <c r="E998" s="77"/>
      <c r="F998" s="334"/>
      <c r="G998" s="112">
        <v>0</v>
      </c>
      <c r="H998" s="120">
        <v>0</v>
      </c>
      <c r="I998" s="120">
        <v>0</v>
      </c>
      <c r="J998" s="120">
        <v>0</v>
      </c>
      <c r="K998" s="110">
        <v>0</v>
      </c>
      <c r="L998" s="110"/>
      <c r="M998" s="110">
        <v>0</v>
      </c>
      <c r="N998" s="110"/>
      <c r="O998" s="110"/>
      <c r="P998" s="110">
        <f t="shared" si="105"/>
        <v>0</v>
      </c>
      <c r="Q998" s="110">
        <f t="shared" si="106"/>
        <v>0</v>
      </c>
      <c r="R998" s="110">
        <f t="shared" si="107"/>
        <v>0</v>
      </c>
      <c r="S998" s="112">
        <v>0</v>
      </c>
    </row>
    <row r="999" spans="1:19">
      <c r="A999" s="79"/>
      <c r="B999" s="77" t="s">
        <v>177</v>
      </c>
      <c r="C999" s="76" t="s">
        <v>17</v>
      </c>
      <c r="D999" s="143">
        <v>1</v>
      </c>
      <c r="E999" s="77"/>
      <c r="F999" s="334"/>
      <c r="G999" s="112">
        <v>0</v>
      </c>
      <c r="H999" s="120">
        <v>0</v>
      </c>
      <c r="I999" s="120">
        <v>0</v>
      </c>
      <c r="J999" s="120">
        <v>0</v>
      </c>
      <c r="K999" s="110">
        <v>0</v>
      </c>
      <c r="L999" s="110"/>
      <c r="M999" s="110">
        <v>0</v>
      </c>
      <c r="N999" s="110"/>
      <c r="O999" s="110"/>
      <c r="P999" s="110">
        <f t="shared" si="105"/>
        <v>0</v>
      </c>
      <c r="Q999" s="110">
        <f t="shared" si="106"/>
        <v>0</v>
      </c>
      <c r="R999" s="110">
        <f t="shared" si="107"/>
        <v>0</v>
      </c>
      <c r="S999" s="112">
        <v>0</v>
      </c>
    </row>
    <row r="1000" spans="1:19">
      <c r="A1000" s="79"/>
      <c r="B1000" s="77" t="s">
        <v>307</v>
      </c>
      <c r="C1000" s="76" t="s">
        <v>8</v>
      </c>
      <c r="D1000" s="143">
        <v>1</v>
      </c>
      <c r="E1000" s="77"/>
      <c r="F1000" s="334"/>
      <c r="G1000" s="112">
        <v>0</v>
      </c>
      <c r="H1000" s="120">
        <v>0</v>
      </c>
      <c r="I1000" s="120">
        <v>0</v>
      </c>
      <c r="J1000" s="120">
        <v>0</v>
      </c>
      <c r="K1000" s="110">
        <v>0</v>
      </c>
      <c r="L1000" s="110"/>
      <c r="M1000" s="110">
        <v>0</v>
      </c>
      <c r="N1000" s="110"/>
      <c r="O1000" s="110"/>
      <c r="P1000" s="110">
        <f t="shared" si="105"/>
        <v>0</v>
      </c>
      <c r="Q1000" s="110">
        <f t="shared" si="106"/>
        <v>0</v>
      </c>
      <c r="R1000" s="110">
        <f t="shared" si="107"/>
        <v>0</v>
      </c>
      <c r="S1000" s="112">
        <v>0</v>
      </c>
    </row>
    <row r="1001" spans="1:19">
      <c r="A1001" s="79"/>
      <c r="B1001" s="77" t="s">
        <v>308</v>
      </c>
      <c r="C1001" s="76" t="s">
        <v>4</v>
      </c>
      <c r="D1001" s="143">
        <v>1</v>
      </c>
      <c r="E1001" s="77"/>
      <c r="F1001" s="334"/>
      <c r="G1001" s="112">
        <v>0</v>
      </c>
      <c r="H1001" s="120">
        <v>0</v>
      </c>
      <c r="I1001" s="120">
        <v>0</v>
      </c>
      <c r="J1001" s="120">
        <v>0</v>
      </c>
      <c r="K1001" s="110">
        <v>0</v>
      </c>
      <c r="L1001" s="110"/>
      <c r="M1001" s="110">
        <v>0</v>
      </c>
      <c r="N1001" s="110"/>
      <c r="O1001" s="110"/>
      <c r="P1001" s="110">
        <f t="shared" si="105"/>
        <v>0</v>
      </c>
      <c r="Q1001" s="110">
        <f t="shared" si="106"/>
        <v>0</v>
      </c>
      <c r="R1001" s="110">
        <f t="shared" si="107"/>
        <v>0</v>
      </c>
      <c r="S1001" s="112">
        <v>0</v>
      </c>
    </row>
    <row r="1002" spans="1:19">
      <c r="A1002" s="79"/>
      <c r="B1002" s="77" t="s">
        <v>173</v>
      </c>
      <c r="C1002" s="76" t="s">
        <v>4</v>
      </c>
      <c r="D1002" s="143">
        <v>1</v>
      </c>
      <c r="E1002" s="77"/>
      <c r="F1002" s="334"/>
      <c r="G1002" s="112">
        <v>0</v>
      </c>
      <c r="H1002" s="120">
        <v>0</v>
      </c>
      <c r="I1002" s="120">
        <v>0</v>
      </c>
      <c r="J1002" s="120">
        <v>0</v>
      </c>
      <c r="K1002" s="110">
        <v>0</v>
      </c>
      <c r="L1002" s="110"/>
      <c r="M1002" s="110">
        <v>0</v>
      </c>
      <c r="N1002" s="110"/>
      <c r="O1002" s="110"/>
      <c r="P1002" s="110">
        <f t="shared" si="105"/>
        <v>0</v>
      </c>
      <c r="Q1002" s="110">
        <f t="shared" si="106"/>
        <v>0</v>
      </c>
      <c r="R1002" s="110">
        <f t="shared" si="107"/>
        <v>0</v>
      </c>
      <c r="S1002" s="112">
        <v>0</v>
      </c>
    </row>
    <row r="1003" spans="1:19">
      <c r="A1003" s="79"/>
      <c r="B1003" s="77" t="s">
        <v>180</v>
      </c>
      <c r="C1003" s="76" t="s">
        <v>4</v>
      </c>
      <c r="D1003" s="143">
        <v>1</v>
      </c>
      <c r="E1003" s="77"/>
      <c r="F1003" s="334"/>
      <c r="G1003" s="112">
        <v>0</v>
      </c>
      <c r="H1003" s="120">
        <v>0</v>
      </c>
      <c r="I1003" s="120">
        <v>0</v>
      </c>
      <c r="J1003" s="120">
        <v>0</v>
      </c>
      <c r="K1003" s="110">
        <v>0</v>
      </c>
      <c r="L1003" s="110"/>
      <c r="M1003" s="110">
        <v>0</v>
      </c>
      <c r="N1003" s="110"/>
      <c r="O1003" s="110"/>
      <c r="P1003" s="110">
        <f t="shared" si="105"/>
        <v>0</v>
      </c>
      <c r="Q1003" s="110">
        <f t="shared" si="106"/>
        <v>0</v>
      </c>
      <c r="R1003" s="110">
        <f t="shared" si="107"/>
        <v>0</v>
      </c>
      <c r="S1003" s="112">
        <v>0</v>
      </c>
    </row>
    <row r="1004" spans="1:19">
      <c r="A1004" s="79"/>
      <c r="B1004" s="77" t="s">
        <v>175</v>
      </c>
      <c r="C1004" s="76" t="s">
        <v>4</v>
      </c>
      <c r="D1004" s="143">
        <v>1</v>
      </c>
      <c r="E1004" s="77"/>
      <c r="F1004" s="334"/>
      <c r="G1004" s="112">
        <v>0</v>
      </c>
      <c r="H1004" s="120">
        <v>0</v>
      </c>
      <c r="I1004" s="120">
        <v>0</v>
      </c>
      <c r="J1004" s="120">
        <v>0</v>
      </c>
      <c r="K1004" s="110">
        <v>0</v>
      </c>
      <c r="L1004" s="110"/>
      <c r="M1004" s="110">
        <v>0</v>
      </c>
      <c r="N1004" s="110"/>
      <c r="O1004" s="110"/>
      <c r="P1004" s="110">
        <f t="shared" si="105"/>
        <v>0</v>
      </c>
      <c r="Q1004" s="110">
        <f t="shared" si="106"/>
        <v>0</v>
      </c>
      <c r="R1004" s="110">
        <f t="shared" si="107"/>
        <v>0</v>
      </c>
      <c r="S1004" s="112">
        <v>0</v>
      </c>
    </row>
    <row r="1005" spans="1:19">
      <c r="A1005" s="79"/>
      <c r="B1005" s="77" t="s">
        <v>176</v>
      </c>
      <c r="C1005" s="76" t="s">
        <v>4</v>
      </c>
      <c r="D1005" s="143">
        <v>2</v>
      </c>
      <c r="E1005" s="77"/>
      <c r="F1005" s="334"/>
      <c r="G1005" s="112">
        <v>0</v>
      </c>
      <c r="H1005" s="120">
        <v>0</v>
      </c>
      <c r="I1005" s="120">
        <v>0</v>
      </c>
      <c r="J1005" s="120">
        <v>0</v>
      </c>
      <c r="K1005" s="110">
        <v>0</v>
      </c>
      <c r="L1005" s="110"/>
      <c r="M1005" s="110">
        <v>0</v>
      </c>
      <c r="N1005" s="110"/>
      <c r="O1005" s="110"/>
      <c r="P1005" s="110">
        <f t="shared" si="105"/>
        <v>0</v>
      </c>
      <c r="Q1005" s="110">
        <f t="shared" si="106"/>
        <v>0</v>
      </c>
      <c r="R1005" s="110">
        <f t="shared" si="107"/>
        <v>0</v>
      </c>
      <c r="S1005" s="112">
        <v>0</v>
      </c>
    </row>
    <row r="1006" spans="1:19">
      <c r="A1006" s="79"/>
      <c r="B1006" s="77" t="s">
        <v>177</v>
      </c>
      <c r="C1006" s="76" t="s">
        <v>17</v>
      </c>
      <c r="D1006" s="143">
        <v>1</v>
      </c>
      <c r="E1006" s="77"/>
      <c r="F1006" s="334"/>
      <c r="G1006" s="112">
        <v>0</v>
      </c>
      <c r="H1006" s="120">
        <v>0</v>
      </c>
      <c r="I1006" s="120">
        <v>0</v>
      </c>
      <c r="J1006" s="120">
        <v>0</v>
      </c>
      <c r="K1006" s="110">
        <v>0</v>
      </c>
      <c r="L1006" s="110"/>
      <c r="M1006" s="110">
        <v>0</v>
      </c>
      <c r="N1006" s="110"/>
      <c r="O1006" s="110"/>
      <c r="P1006" s="110">
        <f t="shared" si="105"/>
        <v>0</v>
      </c>
      <c r="Q1006" s="110">
        <f t="shared" si="106"/>
        <v>0</v>
      </c>
      <c r="R1006" s="110">
        <f t="shared" si="107"/>
        <v>0</v>
      </c>
      <c r="S1006" s="112">
        <v>0</v>
      </c>
    </row>
    <row r="1007" spans="1:19">
      <c r="A1007" s="79"/>
      <c r="B1007" s="77" t="s">
        <v>163</v>
      </c>
      <c r="C1007" s="76" t="s">
        <v>4</v>
      </c>
      <c r="D1007" s="143">
        <v>1</v>
      </c>
      <c r="E1007" s="77"/>
      <c r="F1007" s="334"/>
      <c r="G1007" s="112">
        <v>0</v>
      </c>
      <c r="H1007" s="120">
        <v>0</v>
      </c>
      <c r="I1007" s="120">
        <v>0</v>
      </c>
      <c r="J1007" s="120">
        <v>0</v>
      </c>
      <c r="K1007" s="110">
        <v>0</v>
      </c>
      <c r="L1007" s="110"/>
      <c r="M1007" s="110">
        <v>0</v>
      </c>
      <c r="N1007" s="110"/>
      <c r="O1007" s="110"/>
      <c r="P1007" s="110">
        <f t="shared" si="105"/>
        <v>0</v>
      </c>
      <c r="Q1007" s="110">
        <f t="shared" si="106"/>
        <v>0</v>
      </c>
      <c r="R1007" s="110">
        <f t="shared" si="107"/>
        <v>0</v>
      </c>
      <c r="S1007" s="112">
        <v>0</v>
      </c>
    </row>
    <row r="1008" spans="1:19" ht="30">
      <c r="A1008" s="79"/>
      <c r="B1008" s="77" t="s">
        <v>189</v>
      </c>
      <c r="C1008" s="76" t="s">
        <v>8</v>
      </c>
      <c r="D1008" s="143">
        <v>1</v>
      </c>
      <c r="E1008" s="77"/>
      <c r="F1008" s="334"/>
      <c r="G1008" s="112">
        <v>0</v>
      </c>
      <c r="H1008" s="120">
        <v>0</v>
      </c>
      <c r="I1008" s="120">
        <v>0</v>
      </c>
      <c r="J1008" s="120">
        <v>0</v>
      </c>
      <c r="K1008" s="110">
        <v>0</v>
      </c>
      <c r="L1008" s="110"/>
      <c r="M1008" s="110">
        <v>0</v>
      </c>
      <c r="N1008" s="110"/>
      <c r="O1008" s="110"/>
      <c r="P1008" s="110">
        <f t="shared" si="105"/>
        <v>0</v>
      </c>
      <c r="Q1008" s="110">
        <f t="shared" si="106"/>
        <v>0</v>
      </c>
      <c r="R1008" s="110">
        <f t="shared" si="107"/>
        <v>0</v>
      </c>
      <c r="S1008" s="112">
        <v>0</v>
      </c>
    </row>
    <row r="1009" spans="1:19" ht="45">
      <c r="A1009" s="79"/>
      <c r="B1009" s="77" t="s">
        <v>166</v>
      </c>
      <c r="C1009" s="76" t="s">
        <v>17</v>
      </c>
      <c r="D1009" s="143">
        <v>1</v>
      </c>
      <c r="E1009" s="77"/>
      <c r="F1009" s="334"/>
      <c r="G1009" s="112">
        <v>0</v>
      </c>
      <c r="H1009" s="120">
        <v>0</v>
      </c>
      <c r="I1009" s="120">
        <v>0</v>
      </c>
      <c r="J1009" s="120">
        <v>0</v>
      </c>
      <c r="K1009" s="110">
        <v>0</v>
      </c>
      <c r="L1009" s="110"/>
      <c r="M1009" s="110">
        <v>0</v>
      </c>
      <c r="N1009" s="110"/>
      <c r="O1009" s="110"/>
      <c r="P1009" s="110">
        <f t="shared" ref="P1009:P1072" si="108">+K1009+L1009+M1009+N1009+O1009</f>
        <v>0</v>
      </c>
      <c r="Q1009" s="110">
        <f t="shared" ref="Q1009:Q1072" si="109">+P1009*D1009</f>
        <v>0</v>
      </c>
      <c r="R1009" s="110">
        <f t="shared" ref="R1009:R1072" si="110">P1009*F1009</f>
        <v>0</v>
      </c>
      <c r="S1009" s="112">
        <v>0</v>
      </c>
    </row>
    <row r="1010" spans="1:19" ht="60">
      <c r="A1010" s="79">
        <v>30</v>
      </c>
      <c r="B1010" s="77" t="s">
        <v>309</v>
      </c>
      <c r="C1010" s="76" t="s">
        <v>6</v>
      </c>
      <c r="D1010" s="143">
        <v>1</v>
      </c>
      <c r="E1010" s="77"/>
      <c r="F1010" s="334">
        <v>1</v>
      </c>
      <c r="G1010" s="112" t="s">
        <v>309</v>
      </c>
      <c r="H1010" s="120" t="s">
        <v>1076</v>
      </c>
      <c r="I1010" s="120" t="s">
        <v>828</v>
      </c>
      <c r="J1010" s="120" t="s">
        <v>829</v>
      </c>
      <c r="K1010" s="110">
        <v>52784200</v>
      </c>
      <c r="L1010" s="110"/>
      <c r="M1010" s="110">
        <v>3828500</v>
      </c>
      <c r="N1010" s="110"/>
      <c r="O1010" s="110"/>
      <c r="P1010" s="110">
        <f t="shared" si="108"/>
        <v>56612700</v>
      </c>
      <c r="Q1010" s="110">
        <f t="shared" si="109"/>
        <v>56612700</v>
      </c>
      <c r="R1010" s="110">
        <f t="shared" si="110"/>
        <v>56612700</v>
      </c>
      <c r="S1010" s="112" t="s">
        <v>4094</v>
      </c>
    </row>
    <row r="1011" spans="1:19" ht="45">
      <c r="A1011" s="79"/>
      <c r="B1011" s="77" t="s">
        <v>310</v>
      </c>
      <c r="C1011" s="76" t="s">
        <v>4</v>
      </c>
      <c r="D1011" s="143">
        <v>1</v>
      </c>
      <c r="E1011" s="77"/>
      <c r="F1011" s="334"/>
      <c r="G1011" s="112">
        <v>0</v>
      </c>
      <c r="H1011" s="120">
        <v>0</v>
      </c>
      <c r="I1011" s="120">
        <v>0</v>
      </c>
      <c r="J1011" s="120">
        <v>0</v>
      </c>
      <c r="K1011" s="110">
        <v>0</v>
      </c>
      <c r="L1011" s="110"/>
      <c r="M1011" s="110">
        <v>0</v>
      </c>
      <c r="N1011" s="110"/>
      <c r="O1011" s="110"/>
      <c r="P1011" s="110">
        <f t="shared" si="108"/>
        <v>0</v>
      </c>
      <c r="Q1011" s="110">
        <f t="shared" si="109"/>
        <v>0</v>
      </c>
      <c r="R1011" s="110">
        <f t="shared" si="110"/>
        <v>0</v>
      </c>
      <c r="S1011" s="112" t="s">
        <v>150</v>
      </c>
    </row>
    <row r="1012" spans="1:19">
      <c r="A1012" s="79"/>
      <c r="B1012" s="77" t="s">
        <v>151</v>
      </c>
      <c r="C1012" s="76"/>
      <c r="D1012" s="143"/>
      <c r="E1012" s="77"/>
      <c r="F1012" s="76"/>
      <c r="G1012" s="112">
        <v>0</v>
      </c>
      <c r="H1012" s="120">
        <v>0</v>
      </c>
      <c r="I1012" s="120">
        <v>0</v>
      </c>
      <c r="J1012" s="120">
        <v>0</v>
      </c>
      <c r="K1012" s="110">
        <v>0</v>
      </c>
      <c r="L1012" s="110"/>
      <c r="M1012" s="110">
        <v>0</v>
      </c>
      <c r="N1012" s="110"/>
      <c r="O1012" s="110"/>
      <c r="P1012" s="110">
        <f t="shared" si="108"/>
        <v>0</v>
      </c>
      <c r="Q1012" s="110">
        <f t="shared" si="109"/>
        <v>0</v>
      </c>
      <c r="R1012" s="110">
        <f t="shared" si="110"/>
        <v>0</v>
      </c>
      <c r="S1012" s="112">
        <v>0</v>
      </c>
    </row>
    <row r="1013" spans="1:19">
      <c r="A1013" s="79"/>
      <c r="B1013" s="77" t="s">
        <v>227</v>
      </c>
      <c r="C1013" s="76" t="s">
        <v>4</v>
      </c>
      <c r="D1013" s="143">
        <v>1</v>
      </c>
      <c r="E1013" s="77"/>
      <c r="F1013" s="334"/>
      <c r="G1013" s="112">
        <v>0</v>
      </c>
      <c r="H1013" s="120">
        <v>0</v>
      </c>
      <c r="I1013" s="120">
        <v>0</v>
      </c>
      <c r="J1013" s="120">
        <v>0</v>
      </c>
      <c r="K1013" s="110">
        <v>0</v>
      </c>
      <c r="L1013" s="110"/>
      <c r="M1013" s="110">
        <v>0</v>
      </c>
      <c r="N1013" s="110"/>
      <c r="O1013" s="110"/>
      <c r="P1013" s="110">
        <f t="shared" si="108"/>
        <v>0</v>
      </c>
      <c r="Q1013" s="110">
        <f t="shared" si="109"/>
        <v>0</v>
      </c>
      <c r="R1013" s="110">
        <f t="shared" si="110"/>
        <v>0</v>
      </c>
      <c r="S1013" s="112">
        <v>0</v>
      </c>
    </row>
    <row r="1014" spans="1:19">
      <c r="A1014" s="79"/>
      <c r="B1014" s="77" t="s">
        <v>14</v>
      </c>
      <c r="C1014" s="76" t="s">
        <v>4</v>
      </c>
      <c r="D1014" s="143">
        <v>3</v>
      </c>
      <c r="E1014" s="77"/>
      <c r="F1014" s="334"/>
      <c r="G1014" s="112">
        <v>0</v>
      </c>
      <c r="H1014" s="120">
        <v>0</v>
      </c>
      <c r="I1014" s="120">
        <v>0</v>
      </c>
      <c r="J1014" s="120">
        <v>0</v>
      </c>
      <c r="K1014" s="110">
        <v>0</v>
      </c>
      <c r="L1014" s="110"/>
      <c r="M1014" s="110">
        <v>0</v>
      </c>
      <c r="N1014" s="110"/>
      <c r="O1014" s="110"/>
      <c r="P1014" s="110">
        <f t="shared" si="108"/>
        <v>0</v>
      </c>
      <c r="Q1014" s="110">
        <f t="shared" si="109"/>
        <v>0</v>
      </c>
      <c r="R1014" s="110">
        <f t="shared" si="110"/>
        <v>0</v>
      </c>
      <c r="S1014" s="112">
        <v>0</v>
      </c>
    </row>
    <row r="1015" spans="1:19">
      <c r="A1015" s="79"/>
      <c r="B1015" s="77" t="s">
        <v>153</v>
      </c>
      <c r="C1015" s="76" t="s">
        <v>4</v>
      </c>
      <c r="D1015" s="143">
        <v>3</v>
      </c>
      <c r="E1015" s="77"/>
      <c r="F1015" s="334"/>
      <c r="G1015" s="112">
        <v>0</v>
      </c>
      <c r="H1015" s="120">
        <v>0</v>
      </c>
      <c r="I1015" s="120">
        <v>0</v>
      </c>
      <c r="J1015" s="120">
        <v>0</v>
      </c>
      <c r="K1015" s="110">
        <v>0</v>
      </c>
      <c r="L1015" s="110"/>
      <c r="M1015" s="110">
        <v>0</v>
      </c>
      <c r="N1015" s="110"/>
      <c r="O1015" s="110"/>
      <c r="P1015" s="110">
        <f t="shared" si="108"/>
        <v>0</v>
      </c>
      <c r="Q1015" s="110">
        <f t="shared" si="109"/>
        <v>0</v>
      </c>
      <c r="R1015" s="110">
        <f t="shared" si="110"/>
        <v>0</v>
      </c>
      <c r="S1015" s="112">
        <v>0</v>
      </c>
    </row>
    <row r="1016" spans="1:19">
      <c r="A1016" s="79"/>
      <c r="B1016" s="77" t="s">
        <v>154</v>
      </c>
      <c r="C1016" s="76"/>
      <c r="D1016" s="143"/>
      <c r="E1016" s="77"/>
      <c r="F1016" s="76"/>
      <c r="G1016" s="112">
        <v>0</v>
      </c>
      <c r="H1016" s="120">
        <v>0</v>
      </c>
      <c r="I1016" s="120">
        <v>0</v>
      </c>
      <c r="J1016" s="120">
        <v>0</v>
      </c>
      <c r="K1016" s="110">
        <v>0</v>
      </c>
      <c r="L1016" s="110"/>
      <c r="M1016" s="110">
        <v>0</v>
      </c>
      <c r="N1016" s="110"/>
      <c r="O1016" s="110"/>
      <c r="P1016" s="110">
        <f t="shared" si="108"/>
        <v>0</v>
      </c>
      <c r="Q1016" s="110">
        <f t="shared" si="109"/>
        <v>0</v>
      </c>
      <c r="R1016" s="110">
        <f t="shared" si="110"/>
        <v>0</v>
      </c>
      <c r="S1016" s="112">
        <v>0</v>
      </c>
    </row>
    <row r="1017" spans="1:19">
      <c r="A1017" s="79"/>
      <c r="B1017" s="77" t="s">
        <v>311</v>
      </c>
      <c r="C1017" s="76" t="s">
        <v>4</v>
      </c>
      <c r="D1017" s="143">
        <v>1</v>
      </c>
      <c r="E1017" s="77"/>
      <c r="F1017" s="334"/>
      <c r="G1017" s="112">
        <v>0</v>
      </c>
      <c r="H1017" s="120">
        <v>0</v>
      </c>
      <c r="I1017" s="120">
        <v>0</v>
      </c>
      <c r="J1017" s="120">
        <v>0</v>
      </c>
      <c r="K1017" s="110">
        <v>0</v>
      </c>
      <c r="L1017" s="110"/>
      <c r="M1017" s="110">
        <v>0</v>
      </c>
      <c r="N1017" s="110"/>
      <c r="O1017" s="110"/>
      <c r="P1017" s="110">
        <f t="shared" si="108"/>
        <v>0</v>
      </c>
      <c r="Q1017" s="110">
        <f t="shared" si="109"/>
        <v>0</v>
      </c>
      <c r="R1017" s="110">
        <f t="shared" si="110"/>
        <v>0</v>
      </c>
      <c r="S1017" s="112">
        <v>0</v>
      </c>
    </row>
    <row r="1018" spans="1:19">
      <c r="A1018" s="79"/>
      <c r="B1018" s="77" t="s">
        <v>199</v>
      </c>
      <c r="C1018" s="76" t="s">
        <v>4</v>
      </c>
      <c r="D1018" s="143">
        <v>3</v>
      </c>
      <c r="E1018" s="59"/>
      <c r="F1018" s="334"/>
      <c r="G1018" s="112">
        <v>0</v>
      </c>
      <c r="H1018" s="120">
        <v>0</v>
      </c>
      <c r="I1018" s="120">
        <v>0</v>
      </c>
      <c r="J1018" s="120">
        <v>0</v>
      </c>
      <c r="K1018" s="110">
        <v>0</v>
      </c>
      <c r="L1018" s="110"/>
      <c r="M1018" s="110">
        <v>0</v>
      </c>
      <c r="N1018" s="110"/>
      <c r="O1018" s="110"/>
      <c r="P1018" s="110">
        <f t="shared" si="108"/>
        <v>0</v>
      </c>
      <c r="Q1018" s="110">
        <f t="shared" si="109"/>
        <v>0</v>
      </c>
      <c r="R1018" s="110">
        <f t="shared" si="110"/>
        <v>0</v>
      </c>
      <c r="S1018" s="112">
        <v>0</v>
      </c>
    </row>
    <row r="1019" spans="1:19">
      <c r="A1019" s="79"/>
      <c r="B1019" s="77" t="s">
        <v>312</v>
      </c>
      <c r="C1019" s="76" t="s">
        <v>4</v>
      </c>
      <c r="D1019" s="143">
        <v>3</v>
      </c>
      <c r="E1019" s="77"/>
      <c r="F1019" s="334"/>
      <c r="G1019" s="112">
        <v>0</v>
      </c>
      <c r="H1019" s="120">
        <v>0</v>
      </c>
      <c r="I1019" s="120">
        <v>0</v>
      </c>
      <c r="J1019" s="120">
        <v>0</v>
      </c>
      <c r="K1019" s="110">
        <v>0</v>
      </c>
      <c r="L1019" s="110"/>
      <c r="M1019" s="110">
        <v>0</v>
      </c>
      <c r="N1019" s="110"/>
      <c r="O1019" s="110"/>
      <c r="P1019" s="110">
        <f t="shared" si="108"/>
        <v>0</v>
      </c>
      <c r="Q1019" s="110">
        <f t="shared" si="109"/>
        <v>0</v>
      </c>
      <c r="R1019" s="110">
        <f t="shared" si="110"/>
        <v>0</v>
      </c>
      <c r="S1019" s="112">
        <v>0</v>
      </c>
    </row>
    <row r="1020" spans="1:19">
      <c r="A1020" s="79"/>
      <c r="B1020" s="77" t="s">
        <v>313</v>
      </c>
      <c r="C1020" s="76" t="s">
        <v>4</v>
      </c>
      <c r="D1020" s="143">
        <v>3</v>
      </c>
      <c r="E1020" s="77"/>
      <c r="F1020" s="334"/>
      <c r="G1020" s="112">
        <v>0</v>
      </c>
      <c r="H1020" s="120">
        <v>0</v>
      </c>
      <c r="I1020" s="120">
        <v>0</v>
      </c>
      <c r="J1020" s="120">
        <v>0</v>
      </c>
      <c r="K1020" s="110">
        <v>0</v>
      </c>
      <c r="L1020" s="110"/>
      <c r="M1020" s="110">
        <v>0</v>
      </c>
      <c r="N1020" s="110"/>
      <c r="O1020" s="110"/>
      <c r="P1020" s="110">
        <f t="shared" si="108"/>
        <v>0</v>
      </c>
      <c r="Q1020" s="110">
        <f t="shared" si="109"/>
        <v>0</v>
      </c>
      <c r="R1020" s="110">
        <f t="shared" si="110"/>
        <v>0</v>
      </c>
      <c r="S1020" s="112">
        <v>0</v>
      </c>
    </row>
    <row r="1021" spans="1:19">
      <c r="A1021" s="79"/>
      <c r="B1021" s="77" t="s">
        <v>314</v>
      </c>
      <c r="C1021" s="76" t="s">
        <v>4</v>
      </c>
      <c r="D1021" s="143">
        <v>1</v>
      </c>
      <c r="E1021" s="77"/>
      <c r="F1021" s="334"/>
      <c r="G1021" s="112">
        <v>0</v>
      </c>
      <c r="H1021" s="120">
        <v>0</v>
      </c>
      <c r="I1021" s="120">
        <v>0</v>
      </c>
      <c r="J1021" s="120">
        <v>0</v>
      </c>
      <c r="K1021" s="110">
        <v>0</v>
      </c>
      <c r="L1021" s="110"/>
      <c r="M1021" s="110">
        <v>0</v>
      </c>
      <c r="N1021" s="110"/>
      <c r="O1021" s="110"/>
      <c r="P1021" s="110">
        <f t="shared" si="108"/>
        <v>0</v>
      </c>
      <c r="Q1021" s="110">
        <f t="shared" si="109"/>
        <v>0</v>
      </c>
      <c r="R1021" s="110">
        <f t="shared" si="110"/>
        <v>0</v>
      </c>
      <c r="S1021" s="112">
        <v>0</v>
      </c>
    </row>
    <row r="1022" spans="1:19" ht="30">
      <c r="A1022" s="79"/>
      <c r="B1022" s="77" t="s">
        <v>315</v>
      </c>
      <c r="C1022" s="76" t="s">
        <v>8</v>
      </c>
      <c r="D1022" s="143">
        <v>1</v>
      </c>
      <c r="E1022" s="77"/>
      <c r="F1022" s="334"/>
      <c r="G1022" s="112">
        <v>0</v>
      </c>
      <c r="H1022" s="120">
        <v>0</v>
      </c>
      <c r="I1022" s="120">
        <v>0</v>
      </c>
      <c r="J1022" s="120">
        <v>0</v>
      </c>
      <c r="K1022" s="110">
        <v>0</v>
      </c>
      <c r="L1022" s="110"/>
      <c r="M1022" s="110">
        <v>0</v>
      </c>
      <c r="N1022" s="110"/>
      <c r="O1022" s="110"/>
      <c r="P1022" s="110">
        <f t="shared" si="108"/>
        <v>0</v>
      </c>
      <c r="Q1022" s="110">
        <f t="shared" si="109"/>
        <v>0</v>
      </c>
      <c r="R1022" s="110">
        <f t="shared" si="110"/>
        <v>0</v>
      </c>
      <c r="S1022" s="112">
        <v>0</v>
      </c>
    </row>
    <row r="1023" spans="1:19" ht="45">
      <c r="A1023" s="79"/>
      <c r="B1023" s="77" t="s">
        <v>166</v>
      </c>
      <c r="C1023" s="76" t="s">
        <v>17</v>
      </c>
      <c r="D1023" s="143">
        <v>1</v>
      </c>
      <c r="E1023" s="77"/>
      <c r="F1023" s="334"/>
      <c r="G1023" s="112">
        <v>0</v>
      </c>
      <c r="H1023" s="120">
        <v>0</v>
      </c>
      <c r="I1023" s="120">
        <v>0</v>
      </c>
      <c r="J1023" s="120">
        <v>0</v>
      </c>
      <c r="K1023" s="110">
        <v>0</v>
      </c>
      <c r="L1023" s="110"/>
      <c r="M1023" s="110">
        <v>0</v>
      </c>
      <c r="N1023" s="110"/>
      <c r="O1023" s="110"/>
      <c r="P1023" s="110">
        <f t="shared" si="108"/>
        <v>0</v>
      </c>
      <c r="Q1023" s="110">
        <f t="shared" si="109"/>
        <v>0</v>
      </c>
      <c r="R1023" s="110">
        <f t="shared" si="110"/>
        <v>0</v>
      </c>
      <c r="S1023" s="112">
        <v>0</v>
      </c>
    </row>
    <row r="1024" spans="1:19" ht="60">
      <c r="A1024" s="79">
        <v>31</v>
      </c>
      <c r="B1024" s="77" t="s">
        <v>316</v>
      </c>
      <c r="C1024" s="76" t="s">
        <v>6</v>
      </c>
      <c r="D1024" s="143">
        <v>1</v>
      </c>
      <c r="E1024" s="77"/>
      <c r="F1024" s="334">
        <v>1</v>
      </c>
      <c r="G1024" s="112" t="s">
        <v>842</v>
      </c>
      <c r="H1024" s="120" t="s">
        <v>1076</v>
      </c>
      <c r="I1024" s="120" t="s">
        <v>828</v>
      </c>
      <c r="J1024" s="120" t="s">
        <v>829</v>
      </c>
      <c r="K1024" s="110">
        <v>31528500</v>
      </c>
      <c r="L1024" s="110"/>
      <c r="M1024" s="110">
        <v>3123300</v>
      </c>
      <c r="N1024" s="110"/>
      <c r="O1024" s="110"/>
      <c r="P1024" s="110">
        <f t="shared" si="108"/>
        <v>34651800</v>
      </c>
      <c r="Q1024" s="110">
        <f t="shared" si="109"/>
        <v>34651800</v>
      </c>
      <c r="R1024" s="110">
        <f t="shared" si="110"/>
        <v>34651800</v>
      </c>
      <c r="S1024" s="112" t="s">
        <v>4094</v>
      </c>
    </row>
    <row r="1025" spans="1:19" ht="45">
      <c r="A1025" s="79"/>
      <c r="B1025" s="77" t="s">
        <v>317</v>
      </c>
      <c r="C1025" s="76" t="s">
        <v>4</v>
      </c>
      <c r="D1025" s="143">
        <v>1</v>
      </c>
      <c r="E1025" s="77"/>
      <c r="F1025" s="334"/>
      <c r="G1025" s="112">
        <v>0</v>
      </c>
      <c r="H1025" s="120">
        <v>0</v>
      </c>
      <c r="I1025" s="120">
        <v>0</v>
      </c>
      <c r="J1025" s="120">
        <v>0</v>
      </c>
      <c r="K1025" s="110">
        <v>0</v>
      </c>
      <c r="L1025" s="110"/>
      <c r="M1025" s="110">
        <v>0</v>
      </c>
      <c r="N1025" s="110"/>
      <c r="O1025" s="110"/>
      <c r="P1025" s="110">
        <f t="shared" si="108"/>
        <v>0</v>
      </c>
      <c r="Q1025" s="110">
        <f t="shared" si="109"/>
        <v>0</v>
      </c>
      <c r="R1025" s="110">
        <f t="shared" si="110"/>
        <v>0</v>
      </c>
      <c r="S1025" s="112" t="s">
        <v>150</v>
      </c>
    </row>
    <row r="1026" spans="1:19">
      <c r="A1026" s="79"/>
      <c r="B1026" s="77" t="s">
        <v>151</v>
      </c>
      <c r="C1026" s="76"/>
      <c r="D1026" s="143"/>
      <c r="E1026" s="77"/>
      <c r="F1026" s="76"/>
      <c r="G1026" s="112">
        <v>0</v>
      </c>
      <c r="H1026" s="120">
        <v>0</v>
      </c>
      <c r="I1026" s="120">
        <v>0</v>
      </c>
      <c r="J1026" s="120">
        <v>0</v>
      </c>
      <c r="K1026" s="110">
        <v>0</v>
      </c>
      <c r="L1026" s="110"/>
      <c r="M1026" s="110">
        <v>0</v>
      </c>
      <c r="N1026" s="110"/>
      <c r="O1026" s="110"/>
      <c r="P1026" s="110">
        <f t="shared" si="108"/>
        <v>0</v>
      </c>
      <c r="Q1026" s="110">
        <f t="shared" si="109"/>
        <v>0</v>
      </c>
      <c r="R1026" s="110">
        <f t="shared" si="110"/>
        <v>0</v>
      </c>
      <c r="S1026" s="112">
        <v>0</v>
      </c>
    </row>
    <row r="1027" spans="1:19">
      <c r="A1027" s="79"/>
      <c r="B1027" s="77" t="s">
        <v>168</v>
      </c>
      <c r="C1027" s="76" t="s">
        <v>4</v>
      </c>
      <c r="D1027" s="143">
        <v>1</v>
      </c>
      <c r="E1027" s="77"/>
      <c r="F1027" s="334"/>
      <c r="G1027" s="112">
        <v>0</v>
      </c>
      <c r="H1027" s="120">
        <v>0</v>
      </c>
      <c r="I1027" s="120">
        <v>0</v>
      </c>
      <c r="J1027" s="120">
        <v>0</v>
      </c>
      <c r="K1027" s="110">
        <v>0</v>
      </c>
      <c r="L1027" s="110"/>
      <c r="M1027" s="110">
        <v>0</v>
      </c>
      <c r="N1027" s="110"/>
      <c r="O1027" s="110"/>
      <c r="P1027" s="110">
        <f t="shared" si="108"/>
        <v>0</v>
      </c>
      <c r="Q1027" s="110">
        <f t="shared" si="109"/>
        <v>0</v>
      </c>
      <c r="R1027" s="110">
        <f t="shared" si="110"/>
        <v>0</v>
      </c>
      <c r="S1027" s="112">
        <v>0</v>
      </c>
    </row>
    <row r="1028" spans="1:19">
      <c r="A1028" s="79"/>
      <c r="B1028" s="77" t="s">
        <v>14</v>
      </c>
      <c r="C1028" s="76" t="s">
        <v>4</v>
      </c>
      <c r="D1028" s="143">
        <v>3</v>
      </c>
      <c r="E1028" s="77"/>
      <c r="F1028" s="334"/>
      <c r="G1028" s="112">
        <v>0</v>
      </c>
      <c r="H1028" s="120">
        <v>0</v>
      </c>
      <c r="I1028" s="120">
        <v>0</v>
      </c>
      <c r="J1028" s="120">
        <v>0</v>
      </c>
      <c r="K1028" s="110">
        <v>0</v>
      </c>
      <c r="L1028" s="110"/>
      <c r="M1028" s="110">
        <v>0</v>
      </c>
      <c r="N1028" s="110"/>
      <c r="O1028" s="110"/>
      <c r="P1028" s="110">
        <f t="shared" si="108"/>
        <v>0</v>
      </c>
      <c r="Q1028" s="110">
        <f t="shared" si="109"/>
        <v>0</v>
      </c>
      <c r="R1028" s="110">
        <f t="shared" si="110"/>
        <v>0</v>
      </c>
      <c r="S1028" s="112">
        <v>0</v>
      </c>
    </row>
    <row r="1029" spans="1:19">
      <c r="A1029" s="79"/>
      <c r="B1029" s="77" t="s">
        <v>153</v>
      </c>
      <c r="C1029" s="76" t="s">
        <v>4</v>
      </c>
      <c r="D1029" s="143">
        <v>3</v>
      </c>
      <c r="E1029" s="77"/>
      <c r="F1029" s="334"/>
      <c r="G1029" s="112">
        <v>0</v>
      </c>
      <c r="H1029" s="120">
        <v>0</v>
      </c>
      <c r="I1029" s="120">
        <v>0</v>
      </c>
      <c r="J1029" s="120">
        <v>0</v>
      </c>
      <c r="K1029" s="110">
        <v>0</v>
      </c>
      <c r="L1029" s="110"/>
      <c r="M1029" s="110">
        <v>0</v>
      </c>
      <c r="N1029" s="110"/>
      <c r="O1029" s="110"/>
      <c r="P1029" s="110">
        <f t="shared" si="108"/>
        <v>0</v>
      </c>
      <c r="Q1029" s="110">
        <f t="shared" si="109"/>
        <v>0</v>
      </c>
      <c r="R1029" s="110">
        <f t="shared" si="110"/>
        <v>0</v>
      </c>
      <c r="S1029" s="112">
        <v>0</v>
      </c>
    </row>
    <row r="1030" spans="1:19">
      <c r="A1030" s="79"/>
      <c r="B1030" s="77" t="s">
        <v>154</v>
      </c>
      <c r="C1030" s="76"/>
      <c r="D1030" s="143"/>
      <c r="E1030" s="77"/>
      <c r="F1030" s="76"/>
      <c r="G1030" s="112">
        <v>0</v>
      </c>
      <c r="H1030" s="120">
        <v>0</v>
      </c>
      <c r="I1030" s="120">
        <v>0</v>
      </c>
      <c r="J1030" s="120">
        <v>0</v>
      </c>
      <c r="K1030" s="110">
        <v>0</v>
      </c>
      <c r="L1030" s="110"/>
      <c r="M1030" s="110">
        <v>0</v>
      </c>
      <c r="N1030" s="110"/>
      <c r="O1030" s="110"/>
      <c r="P1030" s="110">
        <f t="shared" si="108"/>
        <v>0</v>
      </c>
      <c r="Q1030" s="110">
        <f t="shared" si="109"/>
        <v>0</v>
      </c>
      <c r="R1030" s="110">
        <f t="shared" si="110"/>
        <v>0</v>
      </c>
      <c r="S1030" s="112">
        <v>0</v>
      </c>
    </row>
    <row r="1031" spans="1:19">
      <c r="A1031" s="79"/>
      <c r="B1031" s="77" t="s">
        <v>169</v>
      </c>
      <c r="C1031" s="76" t="s">
        <v>4</v>
      </c>
      <c r="D1031" s="143">
        <v>2</v>
      </c>
      <c r="E1031" s="77"/>
      <c r="F1031" s="334"/>
      <c r="G1031" s="112">
        <v>0</v>
      </c>
      <c r="H1031" s="120">
        <v>0</v>
      </c>
      <c r="I1031" s="120">
        <v>0</v>
      </c>
      <c r="J1031" s="120">
        <v>0</v>
      </c>
      <c r="K1031" s="110">
        <v>0</v>
      </c>
      <c r="L1031" s="110"/>
      <c r="M1031" s="110">
        <v>0</v>
      </c>
      <c r="N1031" s="110"/>
      <c r="O1031" s="110"/>
      <c r="P1031" s="110">
        <f t="shared" si="108"/>
        <v>0</v>
      </c>
      <c r="Q1031" s="110">
        <f t="shared" si="109"/>
        <v>0</v>
      </c>
      <c r="R1031" s="110">
        <f t="shared" si="110"/>
        <v>0</v>
      </c>
      <c r="S1031" s="112">
        <v>0</v>
      </c>
    </row>
    <row r="1032" spans="1:19">
      <c r="A1032" s="79"/>
      <c r="B1032" s="77" t="s">
        <v>155</v>
      </c>
      <c r="C1032" s="76" t="s">
        <v>4</v>
      </c>
      <c r="D1032" s="143">
        <v>1</v>
      </c>
      <c r="E1032" s="77"/>
      <c r="F1032" s="334"/>
      <c r="G1032" s="112">
        <v>0</v>
      </c>
      <c r="H1032" s="120">
        <v>0</v>
      </c>
      <c r="I1032" s="120">
        <v>0</v>
      </c>
      <c r="J1032" s="120">
        <v>0</v>
      </c>
      <c r="K1032" s="110">
        <v>0</v>
      </c>
      <c r="L1032" s="110"/>
      <c r="M1032" s="110">
        <v>0</v>
      </c>
      <c r="N1032" s="110"/>
      <c r="O1032" s="110"/>
      <c r="P1032" s="110">
        <f t="shared" si="108"/>
        <v>0</v>
      </c>
      <c r="Q1032" s="110">
        <f t="shared" si="109"/>
        <v>0</v>
      </c>
      <c r="R1032" s="110">
        <f t="shared" si="110"/>
        <v>0</v>
      </c>
      <c r="S1032" s="112">
        <v>0</v>
      </c>
    </row>
    <row r="1033" spans="1:19">
      <c r="A1033" s="79"/>
      <c r="B1033" s="77" t="s">
        <v>156</v>
      </c>
      <c r="C1033" s="76" t="s">
        <v>4</v>
      </c>
      <c r="D1033" s="143">
        <v>11</v>
      </c>
      <c r="E1033" s="77"/>
      <c r="F1033" s="334"/>
      <c r="G1033" s="112">
        <v>0</v>
      </c>
      <c r="H1033" s="120">
        <v>0</v>
      </c>
      <c r="I1033" s="120">
        <v>0</v>
      </c>
      <c r="J1033" s="120">
        <v>0</v>
      </c>
      <c r="K1033" s="110">
        <v>0</v>
      </c>
      <c r="L1033" s="110"/>
      <c r="M1033" s="110">
        <v>0</v>
      </c>
      <c r="N1033" s="110"/>
      <c r="O1033" s="110"/>
      <c r="P1033" s="110">
        <f t="shared" si="108"/>
        <v>0</v>
      </c>
      <c r="Q1033" s="110">
        <f t="shared" si="109"/>
        <v>0</v>
      </c>
      <c r="R1033" s="110">
        <f t="shared" si="110"/>
        <v>0</v>
      </c>
      <c r="S1033" s="112">
        <v>0</v>
      </c>
    </row>
    <row r="1034" spans="1:19">
      <c r="A1034" s="79"/>
      <c r="B1034" s="77" t="s">
        <v>157</v>
      </c>
      <c r="C1034" s="76" t="s">
        <v>4</v>
      </c>
      <c r="D1034" s="143">
        <v>12</v>
      </c>
      <c r="E1034" s="77"/>
      <c r="F1034" s="334"/>
      <c r="G1034" s="112">
        <v>0</v>
      </c>
      <c r="H1034" s="120">
        <v>0</v>
      </c>
      <c r="I1034" s="120">
        <v>0</v>
      </c>
      <c r="J1034" s="120">
        <v>0</v>
      </c>
      <c r="K1034" s="110">
        <v>0</v>
      </c>
      <c r="L1034" s="110"/>
      <c r="M1034" s="110">
        <v>0</v>
      </c>
      <c r="N1034" s="110"/>
      <c r="O1034" s="110"/>
      <c r="P1034" s="110">
        <f t="shared" si="108"/>
        <v>0</v>
      </c>
      <c r="Q1034" s="110">
        <f t="shared" si="109"/>
        <v>0</v>
      </c>
      <c r="R1034" s="110">
        <f t="shared" si="110"/>
        <v>0</v>
      </c>
      <c r="S1034" s="112">
        <v>0</v>
      </c>
    </row>
    <row r="1035" spans="1:19">
      <c r="A1035" s="79"/>
      <c r="B1035" s="77" t="s">
        <v>158</v>
      </c>
      <c r="C1035" s="76" t="s">
        <v>4</v>
      </c>
      <c r="D1035" s="143">
        <v>1</v>
      </c>
      <c r="E1035" s="77"/>
      <c r="F1035" s="334"/>
      <c r="G1035" s="112">
        <v>0</v>
      </c>
      <c r="H1035" s="120">
        <v>0</v>
      </c>
      <c r="I1035" s="120">
        <v>0</v>
      </c>
      <c r="J1035" s="120">
        <v>0</v>
      </c>
      <c r="K1035" s="110">
        <v>0</v>
      </c>
      <c r="L1035" s="110"/>
      <c r="M1035" s="110">
        <v>0</v>
      </c>
      <c r="N1035" s="110"/>
      <c r="O1035" s="110"/>
      <c r="P1035" s="110">
        <f t="shared" si="108"/>
        <v>0</v>
      </c>
      <c r="Q1035" s="110">
        <f t="shared" si="109"/>
        <v>0</v>
      </c>
      <c r="R1035" s="110">
        <f t="shared" si="110"/>
        <v>0</v>
      </c>
      <c r="S1035" s="112">
        <v>0</v>
      </c>
    </row>
    <row r="1036" spans="1:19">
      <c r="A1036" s="79"/>
      <c r="B1036" s="77" t="s">
        <v>159</v>
      </c>
      <c r="C1036" s="76"/>
      <c r="D1036" s="143"/>
      <c r="E1036" s="77"/>
      <c r="F1036" s="76"/>
      <c r="G1036" s="112">
        <v>0</v>
      </c>
      <c r="H1036" s="120">
        <v>0</v>
      </c>
      <c r="I1036" s="120">
        <v>0</v>
      </c>
      <c r="J1036" s="120">
        <v>0</v>
      </c>
      <c r="K1036" s="110">
        <v>0</v>
      </c>
      <c r="L1036" s="110"/>
      <c r="M1036" s="110">
        <v>0</v>
      </c>
      <c r="N1036" s="110"/>
      <c r="O1036" s="110"/>
      <c r="P1036" s="110">
        <f t="shared" si="108"/>
        <v>0</v>
      </c>
      <c r="Q1036" s="110">
        <f t="shared" si="109"/>
        <v>0</v>
      </c>
      <c r="R1036" s="110">
        <f t="shared" si="110"/>
        <v>0</v>
      </c>
      <c r="S1036" s="112">
        <v>0</v>
      </c>
    </row>
    <row r="1037" spans="1:19">
      <c r="A1037" s="79"/>
      <c r="B1037" s="77" t="s">
        <v>160</v>
      </c>
      <c r="C1037" s="76" t="s">
        <v>4</v>
      </c>
      <c r="D1037" s="143">
        <v>17</v>
      </c>
      <c r="E1037" s="77"/>
      <c r="F1037" s="334"/>
      <c r="G1037" s="112">
        <v>0</v>
      </c>
      <c r="H1037" s="120">
        <v>0</v>
      </c>
      <c r="I1037" s="120">
        <v>0</v>
      </c>
      <c r="J1037" s="120">
        <v>0</v>
      </c>
      <c r="K1037" s="110">
        <v>0</v>
      </c>
      <c r="L1037" s="110"/>
      <c r="M1037" s="110">
        <v>0</v>
      </c>
      <c r="N1037" s="110"/>
      <c r="O1037" s="110"/>
      <c r="P1037" s="110">
        <f t="shared" si="108"/>
        <v>0</v>
      </c>
      <c r="Q1037" s="110">
        <f t="shared" si="109"/>
        <v>0</v>
      </c>
      <c r="R1037" s="110">
        <f t="shared" si="110"/>
        <v>0</v>
      </c>
      <c r="S1037" s="112">
        <v>0</v>
      </c>
    </row>
    <row r="1038" spans="1:19">
      <c r="A1038" s="79"/>
      <c r="B1038" s="77" t="s">
        <v>161</v>
      </c>
      <c r="C1038" s="76" t="s">
        <v>4</v>
      </c>
      <c r="D1038" s="143">
        <v>1</v>
      </c>
      <c r="E1038" s="77"/>
      <c r="F1038" s="334"/>
      <c r="G1038" s="112">
        <v>0</v>
      </c>
      <c r="H1038" s="120">
        <v>0</v>
      </c>
      <c r="I1038" s="120">
        <v>0</v>
      </c>
      <c r="J1038" s="120">
        <v>0</v>
      </c>
      <c r="K1038" s="110">
        <v>0</v>
      </c>
      <c r="L1038" s="110"/>
      <c r="M1038" s="110">
        <v>0</v>
      </c>
      <c r="N1038" s="110"/>
      <c r="O1038" s="110"/>
      <c r="P1038" s="110">
        <f t="shared" si="108"/>
        <v>0</v>
      </c>
      <c r="Q1038" s="110">
        <f t="shared" si="109"/>
        <v>0</v>
      </c>
      <c r="R1038" s="110">
        <f t="shared" si="110"/>
        <v>0</v>
      </c>
      <c r="S1038" s="112">
        <v>0</v>
      </c>
    </row>
    <row r="1039" spans="1:19">
      <c r="A1039" s="79"/>
      <c r="B1039" s="77" t="s">
        <v>162</v>
      </c>
      <c r="C1039" s="76" t="s">
        <v>17</v>
      </c>
      <c r="D1039" s="143">
        <v>1</v>
      </c>
      <c r="E1039" s="77"/>
      <c r="F1039" s="334"/>
      <c r="G1039" s="112">
        <v>0</v>
      </c>
      <c r="H1039" s="120">
        <v>0</v>
      </c>
      <c r="I1039" s="120">
        <v>0</v>
      </c>
      <c r="J1039" s="120">
        <v>0</v>
      </c>
      <c r="K1039" s="110">
        <v>0</v>
      </c>
      <c r="L1039" s="110"/>
      <c r="M1039" s="110">
        <v>0</v>
      </c>
      <c r="N1039" s="110"/>
      <c r="O1039" s="110"/>
      <c r="P1039" s="110">
        <f t="shared" si="108"/>
        <v>0</v>
      </c>
      <c r="Q1039" s="110">
        <f t="shared" si="109"/>
        <v>0</v>
      </c>
      <c r="R1039" s="110">
        <f t="shared" si="110"/>
        <v>0</v>
      </c>
      <c r="S1039" s="112">
        <v>0</v>
      </c>
    </row>
    <row r="1040" spans="1:19">
      <c r="A1040" s="79"/>
      <c r="B1040" s="77" t="s">
        <v>163</v>
      </c>
      <c r="C1040" s="76" t="s">
        <v>4</v>
      </c>
      <c r="D1040" s="143">
        <v>1</v>
      </c>
      <c r="E1040" s="59"/>
      <c r="F1040" s="334"/>
      <c r="G1040" s="112">
        <v>0</v>
      </c>
      <c r="H1040" s="120">
        <v>0</v>
      </c>
      <c r="I1040" s="120">
        <v>0</v>
      </c>
      <c r="J1040" s="120">
        <v>0</v>
      </c>
      <c r="K1040" s="110">
        <v>0</v>
      </c>
      <c r="L1040" s="110"/>
      <c r="M1040" s="110">
        <v>0</v>
      </c>
      <c r="N1040" s="110"/>
      <c r="O1040" s="110"/>
      <c r="P1040" s="110">
        <f t="shared" si="108"/>
        <v>0</v>
      </c>
      <c r="Q1040" s="110">
        <f t="shared" si="109"/>
        <v>0</v>
      </c>
      <c r="R1040" s="110">
        <f t="shared" si="110"/>
        <v>0</v>
      </c>
      <c r="S1040" s="112">
        <v>0</v>
      </c>
    </row>
    <row r="1041" spans="1:19" ht="30">
      <c r="A1041" s="79"/>
      <c r="B1041" s="77" t="s">
        <v>318</v>
      </c>
      <c r="C1041" s="76" t="s">
        <v>8</v>
      </c>
      <c r="D1041" s="143">
        <v>1</v>
      </c>
      <c r="E1041" s="84"/>
      <c r="F1041" s="334"/>
      <c r="G1041" s="112">
        <v>0</v>
      </c>
      <c r="H1041" s="120">
        <v>0</v>
      </c>
      <c r="I1041" s="120">
        <v>0</v>
      </c>
      <c r="J1041" s="120">
        <v>0</v>
      </c>
      <c r="K1041" s="110">
        <v>0</v>
      </c>
      <c r="L1041" s="110"/>
      <c r="M1041" s="110">
        <v>0</v>
      </c>
      <c r="N1041" s="110"/>
      <c r="O1041" s="110"/>
      <c r="P1041" s="110">
        <f t="shared" si="108"/>
        <v>0</v>
      </c>
      <c r="Q1041" s="110">
        <f t="shared" si="109"/>
        <v>0</v>
      </c>
      <c r="R1041" s="110">
        <f t="shared" si="110"/>
        <v>0</v>
      </c>
      <c r="S1041" s="112">
        <v>0</v>
      </c>
    </row>
    <row r="1042" spans="1:19">
      <c r="A1042" s="79"/>
      <c r="B1042" s="77" t="s">
        <v>165</v>
      </c>
      <c r="C1042" s="76" t="s">
        <v>8</v>
      </c>
      <c r="D1042" s="143">
        <v>1</v>
      </c>
      <c r="E1042" s="84"/>
      <c r="F1042" s="334"/>
      <c r="G1042" s="112">
        <v>0</v>
      </c>
      <c r="H1042" s="120">
        <v>0</v>
      </c>
      <c r="I1042" s="120">
        <v>0</v>
      </c>
      <c r="J1042" s="120">
        <v>0</v>
      </c>
      <c r="K1042" s="110">
        <v>0</v>
      </c>
      <c r="L1042" s="110"/>
      <c r="M1042" s="110">
        <v>0</v>
      </c>
      <c r="N1042" s="110"/>
      <c r="O1042" s="110"/>
      <c r="P1042" s="110">
        <f t="shared" si="108"/>
        <v>0</v>
      </c>
      <c r="Q1042" s="110">
        <f t="shared" si="109"/>
        <v>0</v>
      </c>
      <c r="R1042" s="110">
        <f t="shared" si="110"/>
        <v>0</v>
      </c>
      <c r="S1042" s="112">
        <v>0</v>
      </c>
    </row>
    <row r="1043" spans="1:19" ht="45">
      <c r="A1043" s="79"/>
      <c r="B1043" s="77" t="s">
        <v>166</v>
      </c>
      <c r="C1043" s="76" t="s">
        <v>17</v>
      </c>
      <c r="D1043" s="143">
        <v>1</v>
      </c>
      <c r="E1043" s="84"/>
      <c r="F1043" s="334"/>
      <c r="G1043" s="112">
        <v>0</v>
      </c>
      <c r="H1043" s="120">
        <v>0</v>
      </c>
      <c r="I1043" s="120">
        <v>0</v>
      </c>
      <c r="J1043" s="120">
        <v>0</v>
      </c>
      <c r="K1043" s="110">
        <v>0</v>
      </c>
      <c r="L1043" s="110"/>
      <c r="M1043" s="110">
        <v>0</v>
      </c>
      <c r="N1043" s="110"/>
      <c r="O1043" s="110"/>
      <c r="P1043" s="110">
        <f t="shared" si="108"/>
        <v>0</v>
      </c>
      <c r="Q1043" s="110">
        <f t="shared" si="109"/>
        <v>0</v>
      </c>
      <c r="R1043" s="110">
        <f t="shared" si="110"/>
        <v>0</v>
      </c>
      <c r="S1043" s="112">
        <v>0</v>
      </c>
    </row>
    <row r="1044" spans="1:19" ht="60">
      <c r="A1044" s="79">
        <v>32</v>
      </c>
      <c r="B1044" s="77" t="s">
        <v>319</v>
      </c>
      <c r="C1044" s="76" t="s">
        <v>6</v>
      </c>
      <c r="D1044" s="143">
        <v>1</v>
      </c>
      <c r="E1044" s="84"/>
      <c r="F1044" s="334">
        <v>1</v>
      </c>
      <c r="G1044" s="112" t="s">
        <v>843</v>
      </c>
      <c r="H1044" s="120" t="s">
        <v>1076</v>
      </c>
      <c r="I1044" s="120" t="s">
        <v>828</v>
      </c>
      <c r="J1044" s="120" t="s">
        <v>829</v>
      </c>
      <c r="K1044" s="110">
        <v>35602200</v>
      </c>
      <c r="L1044" s="110"/>
      <c r="M1044" s="110">
        <v>3123300</v>
      </c>
      <c r="N1044" s="110"/>
      <c r="O1044" s="110"/>
      <c r="P1044" s="110">
        <f t="shared" si="108"/>
        <v>38725500</v>
      </c>
      <c r="Q1044" s="110">
        <f t="shared" si="109"/>
        <v>38725500</v>
      </c>
      <c r="R1044" s="110">
        <f t="shared" si="110"/>
        <v>38725500</v>
      </c>
      <c r="S1044" s="112" t="s">
        <v>4094</v>
      </c>
    </row>
    <row r="1045" spans="1:19" ht="45">
      <c r="A1045" s="79"/>
      <c r="B1045" s="77" t="s">
        <v>317</v>
      </c>
      <c r="C1045" s="76" t="s">
        <v>4</v>
      </c>
      <c r="D1045" s="143">
        <v>1</v>
      </c>
      <c r="E1045" s="84"/>
      <c r="F1045" s="334"/>
      <c r="G1045" s="112">
        <v>0</v>
      </c>
      <c r="H1045" s="120">
        <v>0</v>
      </c>
      <c r="I1045" s="120">
        <v>0</v>
      </c>
      <c r="J1045" s="120">
        <v>0</v>
      </c>
      <c r="K1045" s="110">
        <v>0</v>
      </c>
      <c r="L1045" s="110"/>
      <c r="M1045" s="110">
        <v>0</v>
      </c>
      <c r="N1045" s="110"/>
      <c r="O1045" s="110"/>
      <c r="P1045" s="110">
        <f t="shared" si="108"/>
        <v>0</v>
      </c>
      <c r="Q1045" s="110">
        <f t="shared" si="109"/>
        <v>0</v>
      </c>
      <c r="R1045" s="110">
        <f t="shared" si="110"/>
        <v>0</v>
      </c>
      <c r="S1045" s="112" t="s">
        <v>150</v>
      </c>
    </row>
    <row r="1046" spans="1:19">
      <c r="A1046" s="79"/>
      <c r="B1046" s="77" t="s">
        <v>151</v>
      </c>
      <c r="C1046" s="76"/>
      <c r="D1046" s="143"/>
      <c r="E1046" s="84"/>
      <c r="F1046" s="327"/>
      <c r="G1046" s="112">
        <v>0</v>
      </c>
      <c r="H1046" s="120">
        <v>0</v>
      </c>
      <c r="I1046" s="120">
        <v>0</v>
      </c>
      <c r="J1046" s="120">
        <v>0</v>
      </c>
      <c r="K1046" s="110">
        <v>0</v>
      </c>
      <c r="L1046" s="110"/>
      <c r="M1046" s="110">
        <v>0</v>
      </c>
      <c r="N1046" s="110"/>
      <c r="O1046" s="110"/>
      <c r="P1046" s="110">
        <f t="shared" si="108"/>
        <v>0</v>
      </c>
      <c r="Q1046" s="110">
        <f t="shared" si="109"/>
        <v>0</v>
      </c>
      <c r="R1046" s="110">
        <f t="shared" si="110"/>
        <v>0</v>
      </c>
      <c r="S1046" s="112">
        <v>0</v>
      </c>
    </row>
    <row r="1047" spans="1:19">
      <c r="A1047" s="79"/>
      <c r="B1047" s="77" t="s">
        <v>168</v>
      </c>
      <c r="C1047" s="76" t="s">
        <v>4</v>
      </c>
      <c r="D1047" s="143">
        <v>1</v>
      </c>
      <c r="E1047" s="84"/>
      <c r="F1047" s="334"/>
      <c r="G1047" s="112">
        <v>0</v>
      </c>
      <c r="H1047" s="120">
        <v>0</v>
      </c>
      <c r="I1047" s="120">
        <v>0</v>
      </c>
      <c r="J1047" s="120">
        <v>0</v>
      </c>
      <c r="K1047" s="110">
        <v>0</v>
      </c>
      <c r="L1047" s="110"/>
      <c r="M1047" s="110">
        <v>0</v>
      </c>
      <c r="N1047" s="110"/>
      <c r="O1047" s="110"/>
      <c r="P1047" s="110">
        <f t="shared" si="108"/>
        <v>0</v>
      </c>
      <c r="Q1047" s="110">
        <f t="shared" si="109"/>
        <v>0</v>
      </c>
      <c r="R1047" s="110">
        <f t="shared" si="110"/>
        <v>0</v>
      </c>
      <c r="S1047" s="112">
        <v>0</v>
      </c>
    </row>
    <row r="1048" spans="1:19">
      <c r="A1048" s="79"/>
      <c r="B1048" s="77" t="s">
        <v>14</v>
      </c>
      <c r="C1048" s="76" t="s">
        <v>4</v>
      </c>
      <c r="D1048" s="143">
        <v>3</v>
      </c>
      <c r="E1048" s="84"/>
      <c r="F1048" s="334"/>
      <c r="G1048" s="112">
        <v>0</v>
      </c>
      <c r="H1048" s="120">
        <v>0</v>
      </c>
      <c r="I1048" s="120">
        <v>0</v>
      </c>
      <c r="J1048" s="120">
        <v>0</v>
      </c>
      <c r="K1048" s="110">
        <v>0</v>
      </c>
      <c r="L1048" s="110"/>
      <c r="M1048" s="110">
        <v>0</v>
      </c>
      <c r="N1048" s="110"/>
      <c r="O1048" s="110"/>
      <c r="P1048" s="110">
        <f t="shared" si="108"/>
        <v>0</v>
      </c>
      <c r="Q1048" s="110">
        <f t="shared" si="109"/>
        <v>0</v>
      </c>
      <c r="R1048" s="110">
        <f t="shared" si="110"/>
        <v>0</v>
      </c>
      <c r="S1048" s="112">
        <v>0</v>
      </c>
    </row>
    <row r="1049" spans="1:19">
      <c r="A1049" s="79"/>
      <c r="B1049" s="77" t="s">
        <v>153</v>
      </c>
      <c r="C1049" s="76" t="s">
        <v>4</v>
      </c>
      <c r="D1049" s="143">
        <v>3</v>
      </c>
      <c r="E1049" s="84"/>
      <c r="F1049" s="334"/>
      <c r="G1049" s="112">
        <v>0</v>
      </c>
      <c r="H1049" s="120">
        <v>0</v>
      </c>
      <c r="I1049" s="120">
        <v>0</v>
      </c>
      <c r="J1049" s="120">
        <v>0</v>
      </c>
      <c r="K1049" s="110">
        <v>0</v>
      </c>
      <c r="L1049" s="110"/>
      <c r="M1049" s="110">
        <v>0</v>
      </c>
      <c r="N1049" s="110"/>
      <c r="O1049" s="110"/>
      <c r="P1049" s="110">
        <f t="shared" si="108"/>
        <v>0</v>
      </c>
      <c r="Q1049" s="110">
        <f t="shared" si="109"/>
        <v>0</v>
      </c>
      <c r="R1049" s="110">
        <f t="shared" si="110"/>
        <v>0</v>
      </c>
      <c r="S1049" s="112">
        <v>0</v>
      </c>
    </row>
    <row r="1050" spans="1:19">
      <c r="A1050" s="79"/>
      <c r="B1050" s="77" t="s">
        <v>154</v>
      </c>
      <c r="C1050" s="76"/>
      <c r="D1050" s="143"/>
      <c r="E1050" s="84"/>
      <c r="F1050" s="327"/>
      <c r="G1050" s="112">
        <v>0</v>
      </c>
      <c r="H1050" s="120">
        <v>0</v>
      </c>
      <c r="I1050" s="120">
        <v>0</v>
      </c>
      <c r="J1050" s="120">
        <v>0</v>
      </c>
      <c r="K1050" s="110">
        <v>0</v>
      </c>
      <c r="L1050" s="110"/>
      <c r="M1050" s="110">
        <v>0</v>
      </c>
      <c r="N1050" s="110"/>
      <c r="O1050" s="110"/>
      <c r="P1050" s="110">
        <f t="shared" si="108"/>
        <v>0</v>
      </c>
      <c r="Q1050" s="110">
        <f t="shared" si="109"/>
        <v>0</v>
      </c>
      <c r="R1050" s="110">
        <f t="shared" si="110"/>
        <v>0</v>
      </c>
      <c r="S1050" s="112">
        <v>0</v>
      </c>
    </row>
    <row r="1051" spans="1:19">
      <c r="A1051" s="79"/>
      <c r="B1051" s="77" t="s">
        <v>169</v>
      </c>
      <c r="C1051" s="76" t="s">
        <v>4</v>
      </c>
      <c r="D1051" s="143">
        <v>1</v>
      </c>
      <c r="E1051" s="84"/>
      <c r="F1051" s="334"/>
      <c r="G1051" s="112">
        <v>0</v>
      </c>
      <c r="H1051" s="120">
        <v>0</v>
      </c>
      <c r="I1051" s="120">
        <v>0</v>
      </c>
      <c r="J1051" s="120">
        <v>0</v>
      </c>
      <c r="K1051" s="110">
        <v>0</v>
      </c>
      <c r="L1051" s="110"/>
      <c r="M1051" s="110">
        <v>0</v>
      </c>
      <c r="N1051" s="110"/>
      <c r="O1051" s="110"/>
      <c r="P1051" s="110">
        <f t="shared" si="108"/>
        <v>0</v>
      </c>
      <c r="Q1051" s="110">
        <f t="shared" si="109"/>
        <v>0</v>
      </c>
      <c r="R1051" s="110">
        <f t="shared" si="110"/>
        <v>0</v>
      </c>
      <c r="S1051" s="112">
        <v>0</v>
      </c>
    </row>
    <row r="1052" spans="1:19">
      <c r="A1052" s="79"/>
      <c r="B1052" s="77" t="s">
        <v>155</v>
      </c>
      <c r="C1052" s="76" t="s">
        <v>4</v>
      </c>
      <c r="D1052" s="143">
        <v>2</v>
      </c>
      <c r="E1052" s="345"/>
      <c r="F1052" s="334"/>
      <c r="G1052" s="112">
        <v>0</v>
      </c>
      <c r="H1052" s="120">
        <v>0</v>
      </c>
      <c r="I1052" s="120">
        <v>0</v>
      </c>
      <c r="J1052" s="120">
        <v>0</v>
      </c>
      <c r="K1052" s="110">
        <v>0</v>
      </c>
      <c r="L1052" s="110"/>
      <c r="M1052" s="110">
        <v>0</v>
      </c>
      <c r="N1052" s="110"/>
      <c r="O1052" s="110"/>
      <c r="P1052" s="110">
        <f t="shared" si="108"/>
        <v>0</v>
      </c>
      <c r="Q1052" s="110">
        <f t="shared" si="109"/>
        <v>0</v>
      </c>
      <c r="R1052" s="110">
        <f t="shared" si="110"/>
        <v>0</v>
      </c>
      <c r="S1052" s="112">
        <v>0</v>
      </c>
    </row>
    <row r="1053" spans="1:19">
      <c r="A1053" s="79"/>
      <c r="B1053" s="77" t="s">
        <v>156</v>
      </c>
      <c r="C1053" s="76" t="s">
        <v>4</v>
      </c>
      <c r="D1053" s="143">
        <v>12</v>
      </c>
      <c r="E1053" s="345"/>
      <c r="F1053" s="334"/>
      <c r="G1053" s="112">
        <v>0</v>
      </c>
      <c r="H1053" s="120">
        <v>0</v>
      </c>
      <c r="I1053" s="120">
        <v>0</v>
      </c>
      <c r="J1053" s="120">
        <v>0</v>
      </c>
      <c r="K1053" s="110">
        <v>0</v>
      </c>
      <c r="L1053" s="110"/>
      <c r="M1053" s="110">
        <v>0</v>
      </c>
      <c r="N1053" s="110"/>
      <c r="O1053" s="110"/>
      <c r="P1053" s="110">
        <f t="shared" si="108"/>
        <v>0</v>
      </c>
      <c r="Q1053" s="110">
        <f t="shared" si="109"/>
        <v>0</v>
      </c>
      <c r="R1053" s="110">
        <f t="shared" si="110"/>
        <v>0</v>
      </c>
      <c r="S1053" s="112">
        <v>0</v>
      </c>
    </row>
    <row r="1054" spans="1:19">
      <c r="A1054" s="79"/>
      <c r="B1054" s="77" t="s">
        <v>157</v>
      </c>
      <c r="C1054" s="76" t="s">
        <v>4</v>
      </c>
      <c r="D1054" s="143">
        <v>15</v>
      </c>
      <c r="E1054" s="77"/>
      <c r="F1054" s="334"/>
      <c r="G1054" s="112">
        <v>0</v>
      </c>
      <c r="H1054" s="120">
        <v>0</v>
      </c>
      <c r="I1054" s="120">
        <v>0</v>
      </c>
      <c r="J1054" s="120">
        <v>0</v>
      </c>
      <c r="K1054" s="110">
        <v>0</v>
      </c>
      <c r="L1054" s="110"/>
      <c r="M1054" s="110">
        <v>0</v>
      </c>
      <c r="N1054" s="110"/>
      <c r="O1054" s="110"/>
      <c r="P1054" s="110">
        <f t="shared" si="108"/>
        <v>0</v>
      </c>
      <c r="Q1054" s="110">
        <f t="shared" si="109"/>
        <v>0</v>
      </c>
      <c r="R1054" s="110">
        <f t="shared" si="110"/>
        <v>0</v>
      </c>
      <c r="S1054" s="112">
        <v>0</v>
      </c>
    </row>
    <row r="1055" spans="1:19">
      <c r="A1055" s="79"/>
      <c r="B1055" s="77" t="s">
        <v>158</v>
      </c>
      <c r="C1055" s="76" t="s">
        <v>4</v>
      </c>
      <c r="D1055" s="143">
        <v>1</v>
      </c>
      <c r="E1055" s="59"/>
      <c r="F1055" s="334"/>
      <c r="G1055" s="112">
        <v>0</v>
      </c>
      <c r="H1055" s="120">
        <v>0</v>
      </c>
      <c r="I1055" s="120">
        <v>0</v>
      </c>
      <c r="J1055" s="120">
        <v>0</v>
      </c>
      <c r="K1055" s="110">
        <v>0</v>
      </c>
      <c r="L1055" s="110"/>
      <c r="M1055" s="110">
        <v>0</v>
      </c>
      <c r="N1055" s="110"/>
      <c r="O1055" s="110"/>
      <c r="P1055" s="110">
        <f t="shared" si="108"/>
        <v>0</v>
      </c>
      <c r="Q1055" s="110">
        <f t="shared" si="109"/>
        <v>0</v>
      </c>
      <c r="R1055" s="110">
        <f t="shared" si="110"/>
        <v>0</v>
      </c>
      <c r="S1055" s="112">
        <v>0</v>
      </c>
    </row>
    <row r="1056" spans="1:19">
      <c r="A1056" s="79"/>
      <c r="B1056" s="77" t="s">
        <v>159</v>
      </c>
      <c r="C1056" s="76"/>
      <c r="D1056" s="143"/>
      <c r="E1056" s="60"/>
      <c r="F1056" s="325"/>
      <c r="G1056" s="112">
        <v>0</v>
      </c>
      <c r="H1056" s="120">
        <v>0</v>
      </c>
      <c r="I1056" s="120">
        <v>0</v>
      </c>
      <c r="J1056" s="120">
        <v>0</v>
      </c>
      <c r="K1056" s="110">
        <v>0</v>
      </c>
      <c r="L1056" s="110"/>
      <c r="M1056" s="110">
        <v>0</v>
      </c>
      <c r="N1056" s="110"/>
      <c r="O1056" s="110"/>
      <c r="P1056" s="110">
        <f t="shared" si="108"/>
        <v>0</v>
      </c>
      <c r="Q1056" s="110">
        <f t="shared" si="109"/>
        <v>0</v>
      </c>
      <c r="R1056" s="110">
        <f t="shared" si="110"/>
        <v>0</v>
      </c>
      <c r="S1056" s="112">
        <v>0</v>
      </c>
    </row>
    <row r="1057" spans="1:19">
      <c r="A1057" s="79"/>
      <c r="B1057" s="77" t="s">
        <v>160</v>
      </c>
      <c r="C1057" s="76" t="s">
        <v>4</v>
      </c>
      <c r="D1057" s="143">
        <v>23</v>
      </c>
      <c r="E1057" s="61"/>
      <c r="F1057" s="334"/>
      <c r="G1057" s="112">
        <v>0</v>
      </c>
      <c r="H1057" s="120">
        <v>0</v>
      </c>
      <c r="I1057" s="120">
        <v>0</v>
      </c>
      <c r="J1057" s="120">
        <v>0</v>
      </c>
      <c r="K1057" s="110">
        <v>0</v>
      </c>
      <c r="L1057" s="110"/>
      <c r="M1057" s="110">
        <v>0</v>
      </c>
      <c r="N1057" s="110"/>
      <c r="O1057" s="110"/>
      <c r="P1057" s="110">
        <f t="shared" si="108"/>
        <v>0</v>
      </c>
      <c r="Q1057" s="110">
        <f t="shared" si="109"/>
        <v>0</v>
      </c>
      <c r="R1057" s="110">
        <f t="shared" si="110"/>
        <v>0</v>
      </c>
      <c r="S1057" s="112">
        <v>0</v>
      </c>
    </row>
    <row r="1058" spans="1:19">
      <c r="A1058" s="79"/>
      <c r="B1058" s="77" t="s">
        <v>161</v>
      </c>
      <c r="C1058" s="76" t="s">
        <v>4</v>
      </c>
      <c r="D1058" s="143">
        <v>1</v>
      </c>
      <c r="E1058" s="62"/>
      <c r="F1058" s="334"/>
      <c r="G1058" s="112">
        <v>0</v>
      </c>
      <c r="H1058" s="120">
        <v>0</v>
      </c>
      <c r="I1058" s="120">
        <v>0</v>
      </c>
      <c r="J1058" s="120">
        <v>0</v>
      </c>
      <c r="K1058" s="110">
        <v>0</v>
      </c>
      <c r="L1058" s="110"/>
      <c r="M1058" s="110">
        <v>0</v>
      </c>
      <c r="N1058" s="110"/>
      <c r="O1058" s="110"/>
      <c r="P1058" s="110">
        <f t="shared" si="108"/>
        <v>0</v>
      </c>
      <c r="Q1058" s="110">
        <f t="shared" si="109"/>
        <v>0</v>
      </c>
      <c r="R1058" s="110">
        <f t="shared" si="110"/>
        <v>0</v>
      </c>
      <c r="S1058" s="112">
        <v>0</v>
      </c>
    </row>
    <row r="1059" spans="1:19">
      <c r="A1059" s="79"/>
      <c r="B1059" s="77" t="s">
        <v>162</v>
      </c>
      <c r="C1059" s="76" t="s">
        <v>17</v>
      </c>
      <c r="D1059" s="143">
        <v>1</v>
      </c>
      <c r="E1059" s="62"/>
      <c r="F1059" s="334"/>
      <c r="G1059" s="112">
        <v>0</v>
      </c>
      <c r="H1059" s="120">
        <v>0</v>
      </c>
      <c r="I1059" s="120">
        <v>0</v>
      </c>
      <c r="J1059" s="120">
        <v>0</v>
      </c>
      <c r="K1059" s="110">
        <v>0</v>
      </c>
      <c r="L1059" s="110"/>
      <c r="M1059" s="110">
        <v>0</v>
      </c>
      <c r="N1059" s="110"/>
      <c r="O1059" s="110"/>
      <c r="P1059" s="110">
        <f t="shared" si="108"/>
        <v>0</v>
      </c>
      <c r="Q1059" s="110">
        <f t="shared" si="109"/>
        <v>0</v>
      </c>
      <c r="R1059" s="110">
        <f t="shared" si="110"/>
        <v>0</v>
      </c>
      <c r="S1059" s="112">
        <v>0</v>
      </c>
    </row>
    <row r="1060" spans="1:19">
      <c r="A1060" s="79"/>
      <c r="B1060" s="77" t="s">
        <v>163</v>
      </c>
      <c r="C1060" s="76" t="s">
        <v>4</v>
      </c>
      <c r="D1060" s="143">
        <v>1</v>
      </c>
      <c r="E1060" s="62"/>
      <c r="F1060" s="334"/>
      <c r="G1060" s="112">
        <v>0</v>
      </c>
      <c r="H1060" s="120">
        <v>0</v>
      </c>
      <c r="I1060" s="120">
        <v>0</v>
      </c>
      <c r="J1060" s="120">
        <v>0</v>
      </c>
      <c r="K1060" s="110">
        <v>0</v>
      </c>
      <c r="L1060" s="110"/>
      <c r="M1060" s="110">
        <v>0</v>
      </c>
      <c r="N1060" s="110"/>
      <c r="O1060" s="110"/>
      <c r="P1060" s="110">
        <f t="shared" si="108"/>
        <v>0</v>
      </c>
      <c r="Q1060" s="110">
        <f t="shared" si="109"/>
        <v>0</v>
      </c>
      <c r="R1060" s="110">
        <f t="shared" si="110"/>
        <v>0</v>
      </c>
      <c r="S1060" s="112">
        <v>0</v>
      </c>
    </row>
    <row r="1061" spans="1:19" ht="30">
      <c r="A1061" s="79"/>
      <c r="B1061" s="77" t="s">
        <v>318</v>
      </c>
      <c r="C1061" s="76" t="s">
        <v>8</v>
      </c>
      <c r="D1061" s="143">
        <v>1</v>
      </c>
      <c r="E1061" s="63"/>
      <c r="F1061" s="334"/>
      <c r="G1061" s="112">
        <v>0</v>
      </c>
      <c r="H1061" s="120">
        <v>0</v>
      </c>
      <c r="I1061" s="120">
        <v>0</v>
      </c>
      <c r="J1061" s="120">
        <v>0</v>
      </c>
      <c r="K1061" s="110">
        <v>0</v>
      </c>
      <c r="L1061" s="110"/>
      <c r="M1061" s="110">
        <v>0</v>
      </c>
      <c r="N1061" s="110"/>
      <c r="O1061" s="110"/>
      <c r="P1061" s="110">
        <f t="shared" si="108"/>
        <v>0</v>
      </c>
      <c r="Q1061" s="110">
        <f t="shared" si="109"/>
        <v>0</v>
      </c>
      <c r="R1061" s="110">
        <f t="shared" si="110"/>
        <v>0</v>
      </c>
      <c r="S1061" s="112">
        <v>0</v>
      </c>
    </row>
    <row r="1062" spans="1:19">
      <c r="A1062" s="79"/>
      <c r="B1062" s="77" t="s">
        <v>165</v>
      </c>
      <c r="C1062" s="76" t="s">
        <v>8</v>
      </c>
      <c r="D1062" s="143">
        <v>1</v>
      </c>
      <c r="E1062" s="64"/>
      <c r="F1062" s="334"/>
      <c r="G1062" s="112">
        <v>0</v>
      </c>
      <c r="H1062" s="120">
        <v>0</v>
      </c>
      <c r="I1062" s="120">
        <v>0</v>
      </c>
      <c r="J1062" s="120">
        <v>0</v>
      </c>
      <c r="K1062" s="110">
        <v>0</v>
      </c>
      <c r="L1062" s="110"/>
      <c r="M1062" s="110">
        <v>0</v>
      </c>
      <c r="N1062" s="110"/>
      <c r="O1062" s="110"/>
      <c r="P1062" s="110">
        <f t="shared" si="108"/>
        <v>0</v>
      </c>
      <c r="Q1062" s="110">
        <f t="shared" si="109"/>
        <v>0</v>
      </c>
      <c r="R1062" s="110">
        <f t="shared" si="110"/>
        <v>0</v>
      </c>
      <c r="S1062" s="112">
        <v>0</v>
      </c>
    </row>
    <row r="1063" spans="1:19" ht="45">
      <c r="A1063" s="79"/>
      <c r="B1063" s="77" t="s">
        <v>166</v>
      </c>
      <c r="C1063" s="76" t="s">
        <v>17</v>
      </c>
      <c r="D1063" s="143">
        <v>1</v>
      </c>
      <c r="E1063" s="65"/>
      <c r="F1063" s="334"/>
      <c r="G1063" s="112">
        <v>0</v>
      </c>
      <c r="H1063" s="120">
        <v>0</v>
      </c>
      <c r="I1063" s="120">
        <v>0</v>
      </c>
      <c r="J1063" s="120">
        <v>0</v>
      </c>
      <c r="K1063" s="110">
        <v>0</v>
      </c>
      <c r="L1063" s="110"/>
      <c r="M1063" s="110">
        <v>0</v>
      </c>
      <c r="N1063" s="110"/>
      <c r="O1063" s="110"/>
      <c r="P1063" s="110">
        <f t="shared" si="108"/>
        <v>0</v>
      </c>
      <c r="Q1063" s="110">
        <f t="shared" si="109"/>
        <v>0</v>
      </c>
      <c r="R1063" s="110">
        <f t="shared" si="110"/>
        <v>0</v>
      </c>
      <c r="S1063" s="112">
        <v>0</v>
      </c>
    </row>
    <row r="1064" spans="1:19" ht="60">
      <c r="A1064" s="79">
        <v>33</v>
      </c>
      <c r="B1064" s="77" t="s">
        <v>320</v>
      </c>
      <c r="C1064" s="76" t="s">
        <v>6</v>
      </c>
      <c r="D1064" s="143">
        <v>1</v>
      </c>
      <c r="E1064" s="65"/>
      <c r="F1064" s="334">
        <v>1</v>
      </c>
      <c r="G1064" s="112" t="s">
        <v>320</v>
      </c>
      <c r="H1064" s="120" t="s">
        <v>1076</v>
      </c>
      <c r="I1064" s="120" t="s">
        <v>828</v>
      </c>
      <c r="J1064" s="120" t="s">
        <v>829</v>
      </c>
      <c r="K1064" s="110">
        <v>54582000</v>
      </c>
      <c r="L1064" s="110"/>
      <c r="M1064" s="110">
        <v>3828500</v>
      </c>
      <c r="N1064" s="110"/>
      <c r="O1064" s="110"/>
      <c r="P1064" s="110">
        <f t="shared" si="108"/>
        <v>58410500</v>
      </c>
      <c r="Q1064" s="110">
        <f t="shared" si="109"/>
        <v>58410500</v>
      </c>
      <c r="R1064" s="110">
        <f t="shared" si="110"/>
        <v>58410500</v>
      </c>
      <c r="S1064" s="112" t="s">
        <v>4094</v>
      </c>
    </row>
    <row r="1065" spans="1:19" ht="45">
      <c r="A1065" s="79"/>
      <c r="B1065" s="77" t="s">
        <v>310</v>
      </c>
      <c r="C1065" s="76" t="s">
        <v>4</v>
      </c>
      <c r="D1065" s="143">
        <v>1</v>
      </c>
      <c r="E1065" s="436"/>
      <c r="F1065" s="334"/>
      <c r="G1065" s="112">
        <v>0</v>
      </c>
      <c r="H1065" s="120">
        <v>0</v>
      </c>
      <c r="I1065" s="120">
        <v>0</v>
      </c>
      <c r="J1065" s="120">
        <v>0</v>
      </c>
      <c r="K1065" s="110">
        <v>0</v>
      </c>
      <c r="L1065" s="110"/>
      <c r="M1065" s="110">
        <v>0</v>
      </c>
      <c r="N1065" s="110"/>
      <c r="O1065" s="110"/>
      <c r="P1065" s="110">
        <f t="shared" si="108"/>
        <v>0</v>
      </c>
      <c r="Q1065" s="110">
        <f t="shared" si="109"/>
        <v>0</v>
      </c>
      <c r="R1065" s="110">
        <f t="shared" si="110"/>
        <v>0</v>
      </c>
      <c r="S1065" s="112" t="s">
        <v>150</v>
      </c>
    </row>
    <row r="1066" spans="1:19">
      <c r="A1066" s="79"/>
      <c r="B1066" s="77" t="s">
        <v>151</v>
      </c>
      <c r="C1066" s="76"/>
      <c r="D1066" s="143"/>
      <c r="E1066" s="66"/>
      <c r="F1066" s="324"/>
      <c r="G1066" s="112">
        <v>0</v>
      </c>
      <c r="H1066" s="120">
        <v>0</v>
      </c>
      <c r="I1066" s="120">
        <v>0</v>
      </c>
      <c r="J1066" s="120">
        <v>0</v>
      </c>
      <c r="K1066" s="110">
        <v>0</v>
      </c>
      <c r="L1066" s="110"/>
      <c r="M1066" s="110">
        <v>0</v>
      </c>
      <c r="N1066" s="110"/>
      <c r="O1066" s="110"/>
      <c r="P1066" s="110">
        <f t="shared" si="108"/>
        <v>0</v>
      </c>
      <c r="Q1066" s="110">
        <f t="shared" si="109"/>
        <v>0</v>
      </c>
      <c r="R1066" s="110">
        <f t="shared" si="110"/>
        <v>0</v>
      </c>
      <c r="S1066" s="112">
        <v>0</v>
      </c>
    </row>
    <row r="1067" spans="1:19">
      <c r="A1067" s="79"/>
      <c r="B1067" s="77" t="s">
        <v>290</v>
      </c>
      <c r="C1067" s="76" t="s">
        <v>4</v>
      </c>
      <c r="D1067" s="143">
        <v>1</v>
      </c>
      <c r="E1067" s="66"/>
      <c r="F1067" s="334"/>
      <c r="G1067" s="112">
        <v>0</v>
      </c>
      <c r="H1067" s="120">
        <v>0</v>
      </c>
      <c r="I1067" s="120">
        <v>0</v>
      </c>
      <c r="J1067" s="120">
        <v>0</v>
      </c>
      <c r="K1067" s="110">
        <v>0</v>
      </c>
      <c r="L1067" s="110"/>
      <c r="M1067" s="110">
        <v>0</v>
      </c>
      <c r="N1067" s="110"/>
      <c r="O1067" s="110"/>
      <c r="P1067" s="110">
        <f t="shared" si="108"/>
        <v>0</v>
      </c>
      <c r="Q1067" s="110">
        <f t="shared" si="109"/>
        <v>0</v>
      </c>
      <c r="R1067" s="110">
        <f t="shared" si="110"/>
        <v>0</v>
      </c>
      <c r="S1067" s="112">
        <v>0</v>
      </c>
    </row>
    <row r="1068" spans="1:19">
      <c r="A1068" s="79"/>
      <c r="B1068" s="77" t="s">
        <v>14</v>
      </c>
      <c r="C1068" s="76" t="s">
        <v>4</v>
      </c>
      <c r="D1068" s="143">
        <v>3</v>
      </c>
      <c r="E1068" s="66"/>
      <c r="F1068" s="334"/>
      <c r="G1068" s="112">
        <v>0</v>
      </c>
      <c r="H1068" s="120">
        <v>0</v>
      </c>
      <c r="I1068" s="120">
        <v>0</v>
      </c>
      <c r="J1068" s="120">
        <v>0</v>
      </c>
      <c r="K1068" s="110">
        <v>0</v>
      </c>
      <c r="L1068" s="110"/>
      <c r="M1068" s="110">
        <v>0</v>
      </c>
      <c r="N1068" s="110"/>
      <c r="O1068" s="110"/>
      <c r="P1068" s="110">
        <f t="shared" si="108"/>
        <v>0</v>
      </c>
      <c r="Q1068" s="110">
        <f t="shared" si="109"/>
        <v>0</v>
      </c>
      <c r="R1068" s="110">
        <f t="shared" si="110"/>
        <v>0</v>
      </c>
      <c r="S1068" s="112">
        <v>0</v>
      </c>
    </row>
    <row r="1069" spans="1:19">
      <c r="A1069" s="79"/>
      <c r="B1069" s="77" t="s">
        <v>153</v>
      </c>
      <c r="C1069" s="76" t="s">
        <v>4</v>
      </c>
      <c r="D1069" s="143">
        <v>3</v>
      </c>
      <c r="E1069" s="66"/>
      <c r="F1069" s="334"/>
      <c r="G1069" s="112">
        <v>0</v>
      </c>
      <c r="H1069" s="120">
        <v>0</v>
      </c>
      <c r="I1069" s="120">
        <v>0</v>
      </c>
      <c r="J1069" s="120">
        <v>0</v>
      </c>
      <c r="K1069" s="110">
        <v>0</v>
      </c>
      <c r="L1069" s="110"/>
      <c r="M1069" s="110">
        <v>0</v>
      </c>
      <c r="N1069" s="110"/>
      <c r="O1069" s="110"/>
      <c r="P1069" s="110">
        <f t="shared" si="108"/>
        <v>0</v>
      </c>
      <c r="Q1069" s="110">
        <f t="shared" si="109"/>
        <v>0</v>
      </c>
      <c r="R1069" s="110">
        <f t="shared" si="110"/>
        <v>0</v>
      </c>
      <c r="S1069" s="112">
        <v>0</v>
      </c>
    </row>
    <row r="1070" spans="1:19">
      <c r="A1070" s="79"/>
      <c r="B1070" s="77" t="s">
        <v>154</v>
      </c>
      <c r="C1070" s="76"/>
      <c r="D1070" s="143"/>
      <c r="E1070" s="67"/>
      <c r="F1070" s="67"/>
      <c r="G1070" s="112">
        <v>0</v>
      </c>
      <c r="H1070" s="120">
        <v>0</v>
      </c>
      <c r="I1070" s="120">
        <v>0</v>
      </c>
      <c r="J1070" s="120">
        <v>0</v>
      </c>
      <c r="K1070" s="110">
        <v>0</v>
      </c>
      <c r="L1070" s="110"/>
      <c r="M1070" s="110">
        <v>0</v>
      </c>
      <c r="N1070" s="110"/>
      <c r="O1070" s="110"/>
      <c r="P1070" s="110">
        <f t="shared" si="108"/>
        <v>0</v>
      </c>
      <c r="Q1070" s="110">
        <f t="shared" si="109"/>
        <v>0</v>
      </c>
      <c r="R1070" s="110">
        <f t="shared" si="110"/>
        <v>0</v>
      </c>
      <c r="S1070" s="112">
        <v>0</v>
      </c>
    </row>
    <row r="1071" spans="1:19">
      <c r="A1071" s="79"/>
      <c r="B1071" s="77" t="s">
        <v>242</v>
      </c>
      <c r="C1071" s="76" t="s">
        <v>4</v>
      </c>
      <c r="D1071" s="143">
        <v>2</v>
      </c>
      <c r="E1071" s="66"/>
      <c r="F1071" s="334"/>
      <c r="G1071" s="112">
        <v>0</v>
      </c>
      <c r="H1071" s="120">
        <v>0</v>
      </c>
      <c r="I1071" s="120">
        <v>0</v>
      </c>
      <c r="J1071" s="120">
        <v>0</v>
      </c>
      <c r="K1071" s="110">
        <v>0</v>
      </c>
      <c r="L1071" s="110"/>
      <c r="M1071" s="110">
        <v>0</v>
      </c>
      <c r="N1071" s="110"/>
      <c r="O1071" s="110"/>
      <c r="P1071" s="110">
        <f t="shared" si="108"/>
        <v>0</v>
      </c>
      <c r="Q1071" s="110">
        <f t="shared" si="109"/>
        <v>0</v>
      </c>
      <c r="R1071" s="110">
        <f t="shared" si="110"/>
        <v>0</v>
      </c>
      <c r="S1071" s="112">
        <v>0</v>
      </c>
    </row>
    <row r="1072" spans="1:19">
      <c r="A1072" s="79"/>
      <c r="B1072" s="77" t="s">
        <v>321</v>
      </c>
      <c r="C1072" s="76" t="s">
        <v>4</v>
      </c>
      <c r="D1072" s="143">
        <v>1</v>
      </c>
      <c r="E1072" s="66"/>
      <c r="F1072" s="334"/>
      <c r="G1072" s="112">
        <v>0</v>
      </c>
      <c r="H1072" s="120">
        <v>0</v>
      </c>
      <c r="I1072" s="120">
        <v>0</v>
      </c>
      <c r="J1072" s="120">
        <v>0</v>
      </c>
      <c r="K1072" s="110">
        <v>0</v>
      </c>
      <c r="L1072" s="110"/>
      <c r="M1072" s="110">
        <v>0</v>
      </c>
      <c r="N1072" s="110"/>
      <c r="O1072" s="110"/>
      <c r="P1072" s="110">
        <f t="shared" si="108"/>
        <v>0</v>
      </c>
      <c r="Q1072" s="110">
        <f t="shared" si="109"/>
        <v>0</v>
      </c>
      <c r="R1072" s="110">
        <f t="shared" si="110"/>
        <v>0</v>
      </c>
      <c r="S1072" s="112">
        <v>0</v>
      </c>
    </row>
    <row r="1073" spans="1:19">
      <c r="A1073" s="79"/>
      <c r="B1073" s="77" t="s">
        <v>185</v>
      </c>
      <c r="C1073" s="76" t="s">
        <v>4</v>
      </c>
      <c r="D1073" s="143">
        <v>1</v>
      </c>
      <c r="E1073" s="60"/>
      <c r="F1073" s="334"/>
      <c r="G1073" s="112">
        <v>0</v>
      </c>
      <c r="H1073" s="120">
        <v>0</v>
      </c>
      <c r="I1073" s="120">
        <v>0</v>
      </c>
      <c r="J1073" s="120">
        <v>0</v>
      </c>
      <c r="K1073" s="110">
        <v>0</v>
      </c>
      <c r="L1073" s="110"/>
      <c r="M1073" s="110">
        <v>0</v>
      </c>
      <c r="N1073" s="110"/>
      <c r="O1073" s="110"/>
      <c r="P1073" s="110">
        <f t="shared" ref="P1073:P1136" si="111">+K1073+L1073+M1073+N1073+O1073</f>
        <v>0</v>
      </c>
      <c r="Q1073" s="110">
        <f t="shared" ref="Q1073:Q1136" si="112">+P1073*D1073</f>
        <v>0</v>
      </c>
      <c r="R1073" s="110">
        <f t="shared" ref="R1073:R1136" si="113">P1073*F1073</f>
        <v>0</v>
      </c>
      <c r="S1073" s="112">
        <v>0</v>
      </c>
    </row>
    <row r="1074" spans="1:19">
      <c r="A1074" s="79"/>
      <c r="B1074" s="77" t="s">
        <v>322</v>
      </c>
      <c r="C1074" s="76" t="s">
        <v>4</v>
      </c>
      <c r="D1074" s="143">
        <v>3</v>
      </c>
      <c r="E1074" s="60"/>
      <c r="F1074" s="334"/>
      <c r="G1074" s="112">
        <v>0</v>
      </c>
      <c r="H1074" s="120">
        <v>0</v>
      </c>
      <c r="I1074" s="120">
        <v>0</v>
      </c>
      <c r="J1074" s="120">
        <v>0</v>
      </c>
      <c r="K1074" s="110">
        <v>0</v>
      </c>
      <c r="L1074" s="110"/>
      <c r="M1074" s="110">
        <v>0</v>
      </c>
      <c r="N1074" s="110"/>
      <c r="O1074" s="110"/>
      <c r="P1074" s="110">
        <f t="shared" si="111"/>
        <v>0</v>
      </c>
      <c r="Q1074" s="110">
        <f t="shared" si="112"/>
        <v>0</v>
      </c>
      <c r="R1074" s="110">
        <f t="shared" si="113"/>
        <v>0</v>
      </c>
      <c r="S1074" s="112">
        <v>0</v>
      </c>
    </row>
    <row r="1075" spans="1:19">
      <c r="A1075" s="79"/>
      <c r="B1075" s="77" t="s">
        <v>323</v>
      </c>
      <c r="C1075" s="76" t="s">
        <v>4</v>
      </c>
      <c r="D1075" s="143">
        <v>1</v>
      </c>
      <c r="E1075" s="60"/>
      <c r="F1075" s="334"/>
      <c r="G1075" s="112">
        <v>0</v>
      </c>
      <c r="H1075" s="120">
        <v>0</v>
      </c>
      <c r="I1075" s="120">
        <v>0</v>
      </c>
      <c r="J1075" s="120">
        <v>0</v>
      </c>
      <c r="K1075" s="110">
        <v>0</v>
      </c>
      <c r="L1075" s="110"/>
      <c r="M1075" s="110">
        <v>0</v>
      </c>
      <c r="N1075" s="110"/>
      <c r="O1075" s="110"/>
      <c r="P1075" s="110">
        <f t="shared" si="111"/>
        <v>0</v>
      </c>
      <c r="Q1075" s="110">
        <f t="shared" si="112"/>
        <v>0</v>
      </c>
      <c r="R1075" s="110">
        <f t="shared" si="113"/>
        <v>0</v>
      </c>
      <c r="S1075" s="112">
        <v>0</v>
      </c>
    </row>
    <row r="1076" spans="1:19" ht="30">
      <c r="A1076" s="79"/>
      <c r="B1076" s="77" t="s">
        <v>295</v>
      </c>
      <c r="C1076" s="76" t="s">
        <v>8</v>
      </c>
      <c r="D1076" s="143">
        <v>1</v>
      </c>
      <c r="E1076" s="68"/>
      <c r="F1076" s="334"/>
      <c r="G1076" s="112">
        <v>0</v>
      </c>
      <c r="H1076" s="120">
        <v>0</v>
      </c>
      <c r="I1076" s="120">
        <v>0</v>
      </c>
      <c r="J1076" s="120">
        <v>0</v>
      </c>
      <c r="K1076" s="110">
        <v>0</v>
      </c>
      <c r="L1076" s="110"/>
      <c r="M1076" s="110">
        <v>0</v>
      </c>
      <c r="N1076" s="110"/>
      <c r="O1076" s="110"/>
      <c r="P1076" s="110">
        <f t="shared" si="111"/>
        <v>0</v>
      </c>
      <c r="Q1076" s="110">
        <f t="shared" si="112"/>
        <v>0</v>
      </c>
      <c r="R1076" s="110">
        <f t="shared" si="113"/>
        <v>0</v>
      </c>
      <c r="S1076" s="112">
        <v>0</v>
      </c>
    </row>
    <row r="1077" spans="1:19" ht="45">
      <c r="A1077" s="79"/>
      <c r="B1077" s="77" t="s">
        <v>166</v>
      </c>
      <c r="C1077" s="76" t="s">
        <v>17</v>
      </c>
      <c r="D1077" s="143">
        <v>1</v>
      </c>
      <c r="E1077" s="68"/>
      <c r="F1077" s="334"/>
      <c r="G1077" s="112">
        <v>0</v>
      </c>
      <c r="H1077" s="120">
        <v>0</v>
      </c>
      <c r="I1077" s="120">
        <v>0</v>
      </c>
      <c r="J1077" s="120">
        <v>0</v>
      </c>
      <c r="K1077" s="110">
        <v>0</v>
      </c>
      <c r="L1077" s="110"/>
      <c r="M1077" s="110">
        <v>0</v>
      </c>
      <c r="N1077" s="110"/>
      <c r="O1077" s="110"/>
      <c r="P1077" s="110">
        <f t="shared" si="111"/>
        <v>0</v>
      </c>
      <c r="Q1077" s="110">
        <f t="shared" si="112"/>
        <v>0</v>
      </c>
      <c r="R1077" s="110">
        <f t="shared" si="113"/>
        <v>0</v>
      </c>
      <c r="S1077" s="112">
        <v>0</v>
      </c>
    </row>
    <row r="1078" spans="1:19" ht="60">
      <c r="A1078" s="79">
        <v>34</v>
      </c>
      <c r="B1078" s="77" t="s">
        <v>324</v>
      </c>
      <c r="C1078" s="76" t="s">
        <v>6</v>
      </c>
      <c r="D1078" s="143">
        <v>1</v>
      </c>
      <c r="E1078" s="68"/>
      <c r="F1078" s="334">
        <v>1</v>
      </c>
      <c r="G1078" s="112" t="s">
        <v>844</v>
      </c>
      <c r="H1078" s="120" t="s">
        <v>1076</v>
      </c>
      <c r="I1078" s="120" t="s">
        <v>828</v>
      </c>
      <c r="J1078" s="120" t="s">
        <v>829</v>
      </c>
      <c r="K1078" s="110">
        <v>23616600</v>
      </c>
      <c r="L1078" s="110"/>
      <c r="M1078" s="110">
        <v>2821000</v>
      </c>
      <c r="N1078" s="110"/>
      <c r="O1078" s="110"/>
      <c r="P1078" s="110">
        <f t="shared" si="111"/>
        <v>26437600</v>
      </c>
      <c r="Q1078" s="110">
        <f t="shared" si="112"/>
        <v>26437600</v>
      </c>
      <c r="R1078" s="110">
        <f t="shared" si="113"/>
        <v>26437600</v>
      </c>
      <c r="S1078" s="112" t="s">
        <v>4094</v>
      </c>
    </row>
    <row r="1079" spans="1:19" ht="45">
      <c r="A1079" s="79"/>
      <c r="B1079" s="77" t="s">
        <v>182</v>
      </c>
      <c r="C1079" s="76" t="s">
        <v>4</v>
      </c>
      <c r="D1079" s="143">
        <v>1</v>
      </c>
      <c r="E1079" s="340"/>
      <c r="F1079" s="334"/>
      <c r="G1079" s="112">
        <v>0</v>
      </c>
      <c r="H1079" s="120">
        <v>0</v>
      </c>
      <c r="I1079" s="120">
        <v>0</v>
      </c>
      <c r="J1079" s="120">
        <v>0</v>
      </c>
      <c r="K1079" s="110">
        <v>0</v>
      </c>
      <c r="L1079" s="110"/>
      <c r="M1079" s="110">
        <v>0</v>
      </c>
      <c r="N1079" s="110"/>
      <c r="O1079" s="110"/>
      <c r="P1079" s="110">
        <f t="shared" si="111"/>
        <v>0</v>
      </c>
      <c r="Q1079" s="110">
        <f t="shared" si="112"/>
        <v>0</v>
      </c>
      <c r="R1079" s="110">
        <f t="shared" si="113"/>
        <v>0</v>
      </c>
      <c r="S1079" s="112" t="s">
        <v>150</v>
      </c>
    </row>
    <row r="1080" spans="1:19">
      <c r="A1080" s="79"/>
      <c r="B1080" s="77" t="s">
        <v>151</v>
      </c>
      <c r="C1080" s="76"/>
      <c r="D1080" s="143"/>
      <c r="E1080" s="66"/>
      <c r="F1080" s="324"/>
      <c r="G1080" s="112">
        <v>0</v>
      </c>
      <c r="H1080" s="120">
        <v>0</v>
      </c>
      <c r="I1080" s="120">
        <v>0</v>
      </c>
      <c r="J1080" s="120">
        <v>0</v>
      </c>
      <c r="K1080" s="110">
        <v>0</v>
      </c>
      <c r="L1080" s="110"/>
      <c r="M1080" s="110">
        <v>0</v>
      </c>
      <c r="N1080" s="110"/>
      <c r="O1080" s="110"/>
      <c r="P1080" s="110">
        <f t="shared" si="111"/>
        <v>0</v>
      </c>
      <c r="Q1080" s="110">
        <f t="shared" si="112"/>
        <v>0</v>
      </c>
      <c r="R1080" s="110">
        <f t="shared" si="113"/>
        <v>0</v>
      </c>
      <c r="S1080" s="112">
        <v>0</v>
      </c>
    </row>
    <row r="1081" spans="1:19">
      <c r="A1081" s="79"/>
      <c r="B1081" s="77" t="s">
        <v>152</v>
      </c>
      <c r="C1081" s="76" t="s">
        <v>4</v>
      </c>
      <c r="D1081" s="143">
        <v>1</v>
      </c>
      <c r="E1081" s="62"/>
      <c r="F1081" s="334"/>
      <c r="G1081" s="112">
        <v>0</v>
      </c>
      <c r="H1081" s="120">
        <v>0</v>
      </c>
      <c r="I1081" s="120">
        <v>0</v>
      </c>
      <c r="J1081" s="120">
        <v>0</v>
      </c>
      <c r="K1081" s="110">
        <v>0</v>
      </c>
      <c r="L1081" s="110"/>
      <c r="M1081" s="110">
        <v>0</v>
      </c>
      <c r="N1081" s="110"/>
      <c r="O1081" s="110"/>
      <c r="P1081" s="110">
        <f t="shared" si="111"/>
        <v>0</v>
      </c>
      <c r="Q1081" s="110">
        <f t="shared" si="112"/>
        <v>0</v>
      </c>
      <c r="R1081" s="110">
        <f t="shared" si="113"/>
        <v>0</v>
      </c>
      <c r="S1081" s="112">
        <v>0</v>
      </c>
    </row>
    <row r="1082" spans="1:19">
      <c r="A1082" s="79"/>
      <c r="B1082" s="77" t="s">
        <v>192</v>
      </c>
      <c r="C1082" s="76" t="s">
        <v>12</v>
      </c>
      <c r="D1082" s="143">
        <v>3</v>
      </c>
      <c r="E1082" s="61"/>
      <c r="F1082" s="334"/>
      <c r="G1082" s="112">
        <v>0</v>
      </c>
      <c r="H1082" s="120">
        <v>0</v>
      </c>
      <c r="I1082" s="120">
        <v>0</v>
      </c>
      <c r="J1082" s="120">
        <v>0</v>
      </c>
      <c r="K1082" s="110">
        <v>0</v>
      </c>
      <c r="L1082" s="110"/>
      <c r="M1082" s="110">
        <v>0</v>
      </c>
      <c r="N1082" s="110"/>
      <c r="O1082" s="110"/>
      <c r="P1082" s="110">
        <f t="shared" si="111"/>
        <v>0</v>
      </c>
      <c r="Q1082" s="110">
        <f t="shared" si="112"/>
        <v>0</v>
      </c>
      <c r="R1082" s="110">
        <f t="shared" si="113"/>
        <v>0</v>
      </c>
      <c r="S1082" s="112">
        <v>0</v>
      </c>
    </row>
    <row r="1083" spans="1:19">
      <c r="A1083" s="79"/>
      <c r="B1083" s="77" t="s">
        <v>29</v>
      </c>
      <c r="C1083" s="76" t="s">
        <v>4</v>
      </c>
      <c r="D1083" s="143">
        <v>1</v>
      </c>
      <c r="E1083" s="62"/>
      <c r="F1083" s="334"/>
      <c r="G1083" s="112">
        <v>0</v>
      </c>
      <c r="H1083" s="120">
        <v>0</v>
      </c>
      <c r="I1083" s="120">
        <v>0</v>
      </c>
      <c r="J1083" s="120">
        <v>0</v>
      </c>
      <c r="K1083" s="110">
        <v>0</v>
      </c>
      <c r="L1083" s="110"/>
      <c r="M1083" s="110">
        <v>0</v>
      </c>
      <c r="N1083" s="110"/>
      <c r="O1083" s="110"/>
      <c r="P1083" s="110">
        <f t="shared" si="111"/>
        <v>0</v>
      </c>
      <c r="Q1083" s="110">
        <f t="shared" si="112"/>
        <v>0</v>
      </c>
      <c r="R1083" s="110">
        <f t="shared" si="113"/>
        <v>0</v>
      </c>
      <c r="S1083" s="112">
        <v>0</v>
      </c>
    </row>
    <row r="1084" spans="1:19">
      <c r="A1084" s="79"/>
      <c r="B1084" s="77" t="s">
        <v>30</v>
      </c>
      <c r="C1084" s="76" t="s">
        <v>4</v>
      </c>
      <c r="D1084" s="143">
        <v>1</v>
      </c>
      <c r="E1084" s="62"/>
      <c r="F1084" s="334"/>
      <c r="G1084" s="112">
        <v>0</v>
      </c>
      <c r="H1084" s="120">
        <v>0</v>
      </c>
      <c r="I1084" s="120">
        <v>0</v>
      </c>
      <c r="J1084" s="120">
        <v>0</v>
      </c>
      <c r="K1084" s="110">
        <v>0</v>
      </c>
      <c r="L1084" s="110"/>
      <c r="M1084" s="110">
        <v>0</v>
      </c>
      <c r="N1084" s="110"/>
      <c r="O1084" s="110"/>
      <c r="P1084" s="110">
        <f t="shared" si="111"/>
        <v>0</v>
      </c>
      <c r="Q1084" s="110">
        <f t="shared" si="112"/>
        <v>0</v>
      </c>
      <c r="R1084" s="110">
        <f t="shared" si="113"/>
        <v>0</v>
      </c>
      <c r="S1084" s="112">
        <v>0</v>
      </c>
    </row>
    <row r="1085" spans="1:19">
      <c r="A1085" s="79"/>
      <c r="B1085" s="77" t="s">
        <v>193</v>
      </c>
      <c r="C1085" s="76" t="s">
        <v>4</v>
      </c>
      <c r="D1085" s="143">
        <v>3</v>
      </c>
      <c r="E1085" s="62"/>
      <c r="F1085" s="334"/>
      <c r="G1085" s="112">
        <v>0</v>
      </c>
      <c r="H1085" s="120">
        <v>0</v>
      </c>
      <c r="I1085" s="120">
        <v>0</v>
      </c>
      <c r="J1085" s="120">
        <v>0</v>
      </c>
      <c r="K1085" s="110">
        <v>0</v>
      </c>
      <c r="L1085" s="110"/>
      <c r="M1085" s="110">
        <v>0</v>
      </c>
      <c r="N1085" s="110"/>
      <c r="O1085" s="110"/>
      <c r="P1085" s="110">
        <f t="shared" si="111"/>
        <v>0</v>
      </c>
      <c r="Q1085" s="110">
        <f t="shared" si="112"/>
        <v>0</v>
      </c>
      <c r="R1085" s="110">
        <f t="shared" si="113"/>
        <v>0</v>
      </c>
      <c r="S1085" s="112">
        <v>0</v>
      </c>
    </row>
    <row r="1086" spans="1:19">
      <c r="A1086" s="79"/>
      <c r="B1086" s="77" t="s">
        <v>14</v>
      </c>
      <c r="C1086" s="76" t="s">
        <v>4</v>
      </c>
      <c r="D1086" s="143">
        <v>3</v>
      </c>
      <c r="E1086" s="62"/>
      <c r="F1086" s="334"/>
      <c r="G1086" s="112">
        <v>0</v>
      </c>
      <c r="H1086" s="120">
        <v>0</v>
      </c>
      <c r="I1086" s="120">
        <v>0</v>
      </c>
      <c r="J1086" s="120">
        <v>0</v>
      </c>
      <c r="K1086" s="110">
        <v>0</v>
      </c>
      <c r="L1086" s="110"/>
      <c r="M1086" s="110">
        <v>0</v>
      </c>
      <c r="N1086" s="110"/>
      <c r="O1086" s="110"/>
      <c r="P1086" s="110">
        <f t="shared" si="111"/>
        <v>0</v>
      </c>
      <c r="Q1086" s="110">
        <f t="shared" si="112"/>
        <v>0</v>
      </c>
      <c r="R1086" s="110">
        <f t="shared" si="113"/>
        <v>0</v>
      </c>
      <c r="S1086" s="112">
        <v>0</v>
      </c>
    </row>
    <row r="1087" spans="1:19">
      <c r="A1087" s="79"/>
      <c r="B1087" s="77" t="s">
        <v>153</v>
      </c>
      <c r="C1087" s="76" t="s">
        <v>4</v>
      </c>
      <c r="D1087" s="143">
        <v>3</v>
      </c>
      <c r="E1087" s="62"/>
      <c r="F1087" s="334"/>
      <c r="G1087" s="112">
        <v>0</v>
      </c>
      <c r="H1087" s="120">
        <v>0</v>
      </c>
      <c r="I1087" s="120">
        <v>0</v>
      </c>
      <c r="J1087" s="120">
        <v>0</v>
      </c>
      <c r="K1087" s="110">
        <v>0</v>
      </c>
      <c r="L1087" s="110"/>
      <c r="M1087" s="110">
        <v>0</v>
      </c>
      <c r="N1087" s="110"/>
      <c r="O1087" s="110"/>
      <c r="P1087" s="110">
        <f t="shared" si="111"/>
        <v>0</v>
      </c>
      <c r="Q1087" s="110">
        <f t="shared" si="112"/>
        <v>0</v>
      </c>
      <c r="R1087" s="110">
        <f t="shared" si="113"/>
        <v>0</v>
      </c>
      <c r="S1087" s="112">
        <v>0</v>
      </c>
    </row>
    <row r="1088" spans="1:19">
      <c r="A1088" s="79"/>
      <c r="B1088" s="77" t="s">
        <v>154</v>
      </c>
      <c r="C1088" s="76"/>
      <c r="D1088" s="143"/>
      <c r="E1088" s="62"/>
      <c r="F1088" s="323"/>
      <c r="G1088" s="112">
        <v>0</v>
      </c>
      <c r="H1088" s="120">
        <v>0</v>
      </c>
      <c r="I1088" s="120">
        <v>0</v>
      </c>
      <c r="J1088" s="120">
        <v>0</v>
      </c>
      <c r="K1088" s="110">
        <v>0</v>
      </c>
      <c r="L1088" s="110"/>
      <c r="M1088" s="110">
        <v>0</v>
      </c>
      <c r="N1088" s="110"/>
      <c r="O1088" s="110"/>
      <c r="P1088" s="110">
        <f t="shared" si="111"/>
        <v>0</v>
      </c>
      <c r="Q1088" s="110">
        <f t="shared" si="112"/>
        <v>0</v>
      </c>
      <c r="R1088" s="110">
        <f t="shared" si="113"/>
        <v>0</v>
      </c>
      <c r="S1088" s="112">
        <v>0</v>
      </c>
    </row>
    <row r="1089" spans="1:19">
      <c r="A1089" s="79"/>
      <c r="B1089" s="77" t="s">
        <v>170</v>
      </c>
      <c r="C1089" s="76" t="s">
        <v>4</v>
      </c>
      <c r="D1089" s="143">
        <v>2</v>
      </c>
      <c r="E1089" s="62"/>
      <c r="F1089" s="334"/>
      <c r="G1089" s="112">
        <v>0</v>
      </c>
      <c r="H1089" s="120">
        <v>0</v>
      </c>
      <c r="I1089" s="120">
        <v>0</v>
      </c>
      <c r="J1089" s="120">
        <v>0</v>
      </c>
      <c r="K1089" s="110">
        <v>0</v>
      </c>
      <c r="L1089" s="110"/>
      <c r="M1089" s="110">
        <v>0</v>
      </c>
      <c r="N1089" s="110"/>
      <c r="O1089" s="110"/>
      <c r="P1089" s="110">
        <f t="shared" si="111"/>
        <v>0</v>
      </c>
      <c r="Q1089" s="110">
        <f t="shared" si="112"/>
        <v>0</v>
      </c>
      <c r="R1089" s="110">
        <f t="shared" si="113"/>
        <v>0</v>
      </c>
      <c r="S1089" s="112">
        <v>0</v>
      </c>
    </row>
    <row r="1090" spans="1:19">
      <c r="A1090" s="79"/>
      <c r="B1090" s="77" t="s">
        <v>156</v>
      </c>
      <c r="C1090" s="76" t="s">
        <v>4</v>
      </c>
      <c r="D1090" s="143">
        <v>15</v>
      </c>
      <c r="E1090" s="62"/>
      <c r="F1090" s="334"/>
      <c r="G1090" s="112">
        <v>0</v>
      </c>
      <c r="H1090" s="120">
        <v>0</v>
      </c>
      <c r="I1090" s="120">
        <v>0</v>
      </c>
      <c r="J1090" s="120">
        <v>0</v>
      </c>
      <c r="K1090" s="110">
        <v>0</v>
      </c>
      <c r="L1090" s="110"/>
      <c r="M1090" s="110">
        <v>0</v>
      </c>
      <c r="N1090" s="110"/>
      <c r="O1090" s="110"/>
      <c r="P1090" s="110">
        <f t="shared" si="111"/>
        <v>0</v>
      </c>
      <c r="Q1090" s="110">
        <f t="shared" si="112"/>
        <v>0</v>
      </c>
      <c r="R1090" s="110">
        <f t="shared" si="113"/>
        <v>0</v>
      </c>
      <c r="S1090" s="112">
        <v>0</v>
      </c>
    </row>
    <row r="1091" spans="1:19">
      <c r="A1091" s="79"/>
      <c r="B1091" s="77" t="s">
        <v>158</v>
      </c>
      <c r="C1091" s="76" t="s">
        <v>4</v>
      </c>
      <c r="D1091" s="143">
        <v>1</v>
      </c>
      <c r="E1091" s="62"/>
      <c r="F1091" s="334"/>
      <c r="G1091" s="112">
        <v>0</v>
      </c>
      <c r="H1091" s="120">
        <v>0</v>
      </c>
      <c r="I1091" s="120">
        <v>0</v>
      </c>
      <c r="J1091" s="120">
        <v>0</v>
      </c>
      <c r="K1091" s="110">
        <v>0</v>
      </c>
      <c r="L1091" s="110"/>
      <c r="M1091" s="110">
        <v>0</v>
      </c>
      <c r="N1091" s="110"/>
      <c r="O1091" s="110"/>
      <c r="P1091" s="110">
        <f t="shared" si="111"/>
        <v>0</v>
      </c>
      <c r="Q1091" s="110">
        <f t="shared" si="112"/>
        <v>0</v>
      </c>
      <c r="R1091" s="110">
        <f t="shared" si="113"/>
        <v>0</v>
      </c>
      <c r="S1091" s="112">
        <v>0</v>
      </c>
    </row>
    <row r="1092" spans="1:19">
      <c r="A1092" s="79"/>
      <c r="B1092" s="77" t="s">
        <v>265</v>
      </c>
      <c r="C1092" s="76" t="s">
        <v>8</v>
      </c>
      <c r="D1092" s="143">
        <v>2</v>
      </c>
      <c r="E1092" s="62"/>
      <c r="F1092" s="334"/>
      <c r="G1092" s="112">
        <v>0</v>
      </c>
      <c r="H1092" s="120">
        <v>0</v>
      </c>
      <c r="I1092" s="120">
        <v>0</v>
      </c>
      <c r="J1092" s="120">
        <v>0</v>
      </c>
      <c r="K1092" s="110">
        <v>0</v>
      </c>
      <c r="L1092" s="110"/>
      <c r="M1092" s="110">
        <v>0</v>
      </c>
      <c r="N1092" s="110"/>
      <c r="O1092" s="110"/>
      <c r="P1092" s="110">
        <f t="shared" si="111"/>
        <v>0</v>
      </c>
      <c r="Q1092" s="110">
        <f t="shared" si="112"/>
        <v>0</v>
      </c>
      <c r="R1092" s="110">
        <f t="shared" si="113"/>
        <v>0</v>
      </c>
      <c r="S1092" s="112">
        <v>0</v>
      </c>
    </row>
    <row r="1093" spans="1:19">
      <c r="A1093" s="79"/>
      <c r="B1093" s="77" t="s">
        <v>172</v>
      </c>
      <c r="C1093" s="76" t="s">
        <v>4</v>
      </c>
      <c r="D1093" s="143">
        <v>2</v>
      </c>
      <c r="E1093" s="60"/>
      <c r="F1093" s="334"/>
      <c r="G1093" s="112">
        <v>0</v>
      </c>
      <c r="H1093" s="120">
        <v>0</v>
      </c>
      <c r="I1093" s="120">
        <v>0</v>
      </c>
      <c r="J1093" s="120">
        <v>0</v>
      </c>
      <c r="K1093" s="110">
        <v>0</v>
      </c>
      <c r="L1093" s="110"/>
      <c r="M1093" s="110">
        <v>0</v>
      </c>
      <c r="N1093" s="110"/>
      <c r="O1093" s="110"/>
      <c r="P1093" s="110">
        <f t="shared" si="111"/>
        <v>0</v>
      </c>
      <c r="Q1093" s="110">
        <f t="shared" si="112"/>
        <v>0</v>
      </c>
      <c r="R1093" s="110">
        <f t="shared" si="113"/>
        <v>0</v>
      </c>
      <c r="S1093" s="112">
        <v>0</v>
      </c>
    </row>
    <row r="1094" spans="1:19">
      <c r="A1094" s="79"/>
      <c r="B1094" s="77" t="s">
        <v>173</v>
      </c>
      <c r="C1094" s="76" t="s">
        <v>4</v>
      </c>
      <c r="D1094" s="143">
        <v>2</v>
      </c>
      <c r="E1094" s="61"/>
      <c r="F1094" s="334"/>
      <c r="G1094" s="112">
        <v>0</v>
      </c>
      <c r="H1094" s="120">
        <v>0</v>
      </c>
      <c r="I1094" s="120">
        <v>0</v>
      </c>
      <c r="J1094" s="120">
        <v>0</v>
      </c>
      <c r="K1094" s="110">
        <v>0</v>
      </c>
      <c r="L1094" s="110"/>
      <c r="M1094" s="110">
        <v>0</v>
      </c>
      <c r="N1094" s="110"/>
      <c r="O1094" s="110"/>
      <c r="P1094" s="110">
        <f t="shared" si="111"/>
        <v>0</v>
      </c>
      <c r="Q1094" s="110">
        <f t="shared" si="112"/>
        <v>0</v>
      </c>
      <c r="R1094" s="110">
        <f t="shared" si="113"/>
        <v>0</v>
      </c>
      <c r="S1094" s="112">
        <v>0</v>
      </c>
    </row>
    <row r="1095" spans="1:19">
      <c r="A1095" s="79"/>
      <c r="B1095" s="77" t="s">
        <v>266</v>
      </c>
      <c r="C1095" s="76" t="s">
        <v>4</v>
      </c>
      <c r="D1095" s="143">
        <v>2</v>
      </c>
      <c r="E1095" s="63"/>
      <c r="F1095" s="334"/>
      <c r="G1095" s="112">
        <v>0</v>
      </c>
      <c r="H1095" s="120">
        <v>0</v>
      </c>
      <c r="I1095" s="120">
        <v>0</v>
      </c>
      <c r="J1095" s="120">
        <v>0</v>
      </c>
      <c r="K1095" s="110">
        <v>0</v>
      </c>
      <c r="L1095" s="110"/>
      <c r="M1095" s="110">
        <v>0</v>
      </c>
      <c r="N1095" s="110"/>
      <c r="O1095" s="110"/>
      <c r="P1095" s="110">
        <f t="shared" si="111"/>
        <v>0</v>
      </c>
      <c r="Q1095" s="110">
        <f t="shared" si="112"/>
        <v>0</v>
      </c>
      <c r="R1095" s="110">
        <f t="shared" si="113"/>
        <v>0</v>
      </c>
      <c r="S1095" s="112">
        <v>0</v>
      </c>
    </row>
    <row r="1096" spans="1:19">
      <c r="A1096" s="79"/>
      <c r="B1096" s="77" t="s">
        <v>175</v>
      </c>
      <c r="C1096" s="76" t="s">
        <v>4</v>
      </c>
      <c r="D1096" s="143">
        <v>2</v>
      </c>
      <c r="E1096" s="66"/>
      <c r="F1096" s="334"/>
      <c r="G1096" s="112">
        <v>0</v>
      </c>
      <c r="H1096" s="120">
        <v>0</v>
      </c>
      <c r="I1096" s="120">
        <v>0</v>
      </c>
      <c r="J1096" s="120">
        <v>0</v>
      </c>
      <c r="K1096" s="110">
        <v>0</v>
      </c>
      <c r="L1096" s="110"/>
      <c r="M1096" s="110">
        <v>0</v>
      </c>
      <c r="N1096" s="110"/>
      <c r="O1096" s="110"/>
      <c r="P1096" s="110">
        <f t="shared" si="111"/>
        <v>0</v>
      </c>
      <c r="Q1096" s="110">
        <f t="shared" si="112"/>
        <v>0</v>
      </c>
      <c r="R1096" s="110">
        <f t="shared" si="113"/>
        <v>0</v>
      </c>
      <c r="S1096" s="112">
        <v>0</v>
      </c>
    </row>
    <row r="1097" spans="1:19">
      <c r="A1097" s="79"/>
      <c r="B1097" s="77" t="s">
        <v>176</v>
      </c>
      <c r="C1097" s="76" t="s">
        <v>4</v>
      </c>
      <c r="D1097" s="143">
        <v>4</v>
      </c>
      <c r="E1097" s="50"/>
      <c r="F1097" s="334"/>
      <c r="G1097" s="112">
        <v>0</v>
      </c>
      <c r="H1097" s="120">
        <v>0</v>
      </c>
      <c r="I1097" s="120">
        <v>0</v>
      </c>
      <c r="J1097" s="120">
        <v>0</v>
      </c>
      <c r="K1097" s="110">
        <v>0</v>
      </c>
      <c r="L1097" s="110"/>
      <c r="M1097" s="110">
        <v>0</v>
      </c>
      <c r="N1097" s="110"/>
      <c r="O1097" s="110"/>
      <c r="P1097" s="110">
        <f t="shared" si="111"/>
        <v>0</v>
      </c>
      <c r="Q1097" s="110">
        <f t="shared" si="112"/>
        <v>0</v>
      </c>
      <c r="R1097" s="110">
        <f t="shared" si="113"/>
        <v>0</v>
      </c>
      <c r="S1097" s="112">
        <v>0</v>
      </c>
    </row>
    <row r="1098" spans="1:19">
      <c r="A1098" s="79"/>
      <c r="B1098" s="77" t="s">
        <v>177</v>
      </c>
      <c r="C1098" s="76" t="s">
        <v>17</v>
      </c>
      <c r="D1098" s="143">
        <v>1</v>
      </c>
      <c r="E1098" s="66"/>
      <c r="F1098" s="334"/>
      <c r="G1098" s="112">
        <v>0</v>
      </c>
      <c r="H1098" s="120">
        <v>0</v>
      </c>
      <c r="I1098" s="120">
        <v>0</v>
      </c>
      <c r="J1098" s="120">
        <v>0</v>
      </c>
      <c r="K1098" s="110">
        <v>0</v>
      </c>
      <c r="L1098" s="110"/>
      <c r="M1098" s="110">
        <v>0</v>
      </c>
      <c r="N1098" s="110"/>
      <c r="O1098" s="110"/>
      <c r="P1098" s="110">
        <f t="shared" si="111"/>
        <v>0</v>
      </c>
      <c r="Q1098" s="110">
        <f t="shared" si="112"/>
        <v>0</v>
      </c>
      <c r="R1098" s="110">
        <f t="shared" si="113"/>
        <v>0</v>
      </c>
      <c r="S1098" s="112">
        <v>0</v>
      </c>
    </row>
    <row r="1099" spans="1:19">
      <c r="A1099" s="79"/>
      <c r="B1099" s="77" t="s">
        <v>163</v>
      </c>
      <c r="C1099" s="76" t="s">
        <v>4</v>
      </c>
      <c r="D1099" s="143">
        <v>1</v>
      </c>
      <c r="E1099" s="63"/>
      <c r="F1099" s="334"/>
      <c r="G1099" s="112">
        <v>0</v>
      </c>
      <c r="H1099" s="120">
        <v>0</v>
      </c>
      <c r="I1099" s="120">
        <v>0</v>
      </c>
      <c r="J1099" s="120">
        <v>0</v>
      </c>
      <c r="K1099" s="110">
        <v>0</v>
      </c>
      <c r="L1099" s="110"/>
      <c r="M1099" s="110">
        <v>0</v>
      </c>
      <c r="N1099" s="110"/>
      <c r="O1099" s="110"/>
      <c r="P1099" s="110">
        <f t="shared" si="111"/>
        <v>0</v>
      </c>
      <c r="Q1099" s="110">
        <f t="shared" si="112"/>
        <v>0</v>
      </c>
      <c r="R1099" s="110">
        <f t="shared" si="113"/>
        <v>0</v>
      </c>
      <c r="S1099" s="112">
        <v>0</v>
      </c>
    </row>
    <row r="1100" spans="1:19" ht="30">
      <c r="A1100" s="79"/>
      <c r="B1100" s="77" t="s">
        <v>189</v>
      </c>
      <c r="C1100" s="76" t="s">
        <v>8</v>
      </c>
      <c r="D1100" s="143">
        <v>1</v>
      </c>
      <c r="E1100" s="69"/>
      <c r="F1100" s="334"/>
      <c r="G1100" s="112">
        <v>0</v>
      </c>
      <c r="H1100" s="120">
        <v>0</v>
      </c>
      <c r="I1100" s="120">
        <v>0</v>
      </c>
      <c r="J1100" s="120">
        <v>0</v>
      </c>
      <c r="K1100" s="110">
        <v>0</v>
      </c>
      <c r="L1100" s="110"/>
      <c r="M1100" s="110">
        <v>0</v>
      </c>
      <c r="N1100" s="110"/>
      <c r="O1100" s="110"/>
      <c r="P1100" s="110">
        <f t="shared" si="111"/>
        <v>0</v>
      </c>
      <c r="Q1100" s="110">
        <f t="shared" si="112"/>
        <v>0</v>
      </c>
      <c r="R1100" s="110">
        <f t="shared" si="113"/>
        <v>0</v>
      </c>
      <c r="S1100" s="112">
        <v>0</v>
      </c>
    </row>
    <row r="1101" spans="1:19" ht="45">
      <c r="A1101" s="79"/>
      <c r="B1101" s="77" t="s">
        <v>166</v>
      </c>
      <c r="C1101" s="76" t="s">
        <v>17</v>
      </c>
      <c r="D1101" s="143">
        <v>1</v>
      </c>
      <c r="E1101" s="66"/>
      <c r="F1101" s="334"/>
      <c r="G1101" s="112">
        <v>0</v>
      </c>
      <c r="H1101" s="120">
        <v>0</v>
      </c>
      <c r="I1101" s="120">
        <v>0</v>
      </c>
      <c r="J1101" s="120">
        <v>0</v>
      </c>
      <c r="K1101" s="110">
        <v>0</v>
      </c>
      <c r="L1101" s="110"/>
      <c r="M1101" s="110">
        <v>0</v>
      </c>
      <c r="N1101" s="110"/>
      <c r="O1101" s="110"/>
      <c r="P1101" s="110">
        <f t="shared" si="111"/>
        <v>0</v>
      </c>
      <c r="Q1101" s="110">
        <f t="shared" si="112"/>
        <v>0</v>
      </c>
      <c r="R1101" s="110">
        <f t="shared" si="113"/>
        <v>0</v>
      </c>
      <c r="S1101" s="112">
        <v>0</v>
      </c>
    </row>
    <row r="1102" spans="1:19" ht="60">
      <c r="A1102" s="79">
        <v>35</v>
      </c>
      <c r="B1102" s="77" t="s">
        <v>325</v>
      </c>
      <c r="C1102" s="76" t="s">
        <v>6</v>
      </c>
      <c r="D1102" s="143">
        <v>1</v>
      </c>
      <c r="E1102" s="65"/>
      <c r="F1102" s="334">
        <v>1</v>
      </c>
      <c r="G1102" s="112" t="s">
        <v>847</v>
      </c>
      <c r="H1102" s="120" t="s">
        <v>1076</v>
      </c>
      <c r="I1102" s="120" t="s">
        <v>828</v>
      </c>
      <c r="J1102" s="120" t="s">
        <v>829</v>
      </c>
      <c r="K1102" s="110">
        <v>26306700</v>
      </c>
      <c r="L1102" s="110"/>
      <c r="M1102" s="110">
        <v>3123300</v>
      </c>
      <c r="N1102" s="110"/>
      <c r="O1102" s="110"/>
      <c r="P1102" s="110">
        <f t="shared" si="111"/>
        <v>29430000</v>
      </c>
      <c r="Q1102" s="110">
        <f t="shared" si="112"/>
        <v>29430000</v>
      </c>
      <c r="R1102" s="110">
        <f t="shared" si="113"/>
        <v>29430000</v>
      </c>
      <c r="S1102" s="112" t="s">
        <v>4094</v>
      </c>
    </row>
    <row r="1103" spans="1:19" ht="45">
      <c r="A1103" s="79"/>
      <c r="B1103" s="77" t="s">
        <v>182</v>
      </c>
      <c r="C1103" s="76" t="s">
        <v>4</v>
      </c>
      <c r="D1103" s="143">
        <v>1</v>
      </c>
      <c r="E1103" s="61"/>
      <c r="F1103" s="334"/>
      <c r="G1103" s="112">
        <v>0</v>
      </c>
      <c r="H1103" s="120">
        <v>0</v>
      </c>
      <c r="I1103" s="120">
        <v>0</v>
      </c>
      <c r="J1103" s="120">
        <v>0</v>
      </c>
      <c r="K1103" s="110">
        <v>0</v>
      </c>
      <c r="L1103" s="110"/>
      <c r="M1103" s="110">
        <v>0</v>
      </c>
      <c r="N1103" s="110"/>
      <c r="O1103" s="110"/>
      <c r="P1103" s="110">
        <f t="shared" si="111"/>
        <v>0</v>
      </c>
      <c r="Q1103" s="110">
        <f t="shared" si="112"/>
        <v>0</v>
      </c>
      <c r="R1103" s="110">
        <f t="shared" si="113"/>
        <v>0</v>
      </c>
      <c r="S1103" s="112" t="s">
        <v>150</v>
      </c>
    </row>
    <row r="1104" spans="1:19">
      <c r="A1104" s="79"/>
      <c r="B1104" s="77" t="s">
        <v>151</v>
      </c>
      <c r="C1104" s="76"/>
      <c r="D1104" s="143"/>
      <c r="E1104" s="66"/>
      <c r="F1104" s="324"/>
      <c r="G1104" s="112">
        <v>0</v>
      </c>
      <c r="H1104" s="120">
        <v>0</v>
      </c>
      <c r="I1104" s="120">
        <v>0</v>
      </c>
      <c r="J1104" s="120">
        <v>0</v>
      </c>
      <c r="K1104" s="110">
        <v>0</v>
      </c>
      <c r="L1104" s="110"/>
      <c r="M1104" s="110">
        <v>0</v>
      </c>
      <c r="N1104" s="110"/>
      <c r="O1104" s="110"/>
      <c r="P1104" s="110">
        <f t="shared" si="111"/>
        <v>0</v>
      </c>
      <c r="Q1104" s="110">
        <f t="shared" si="112"/>
        <v>0</v>
      </c>
      <c r="R1104" s="110">
        <f t="shared" si="113"/>
        <v>0</v>
      </c>
      <c r="S1104" s="112">
        <v>0</v>
      </c>
    </row>
    <row r="1105" spans="1:19">
      <c r="A1105" s="79"/>
      <c r="B1105" s="77" t="s">
        <v>152</v>
      </c>
      <c r="C1105" s="76" t="s">
        <v>4</v>
      </c>
      <c r="D1105" s="143">
        <v>1</v>
      </c>
      <c r="E1105" s="66"/>
      <c r="F1105" s="334"/>
      <c r="G1105" s="112">
        <v>0</v>
      </c>
      <c r="H1105" s="120">
        <v>0</v>
      </c>
      <c r="I1105" s="120">
        <v>0</v>
      </c>
      <c r="J1105" s="120">
        <v>0</v>
      </c>
      <c r="K1105" s="110">
        <v>0</v>
      </c>
      <c r="L1105" s="110"/>
      <c r="M1105" s="110">
        <v>0</v>
      </c>
      <c r="N1105" s="110"/>
      <c r="O1105" s="110"/>
      <c r="P1105" s="110">
        <f t="shared" si="111"/>
        <v>0</v>
      </c>
      <c r="Q1105" s="110">
        <f t="shared" si="112"/>
        <v>0</v>
      </c>
      <c r="R1105" s="110">
        <f t="shared" si="113"/>
        <v>0</v>
      </c>
      <c r="S1105" s="112">
        <v>0</v>
      </c>
    </row>
    <row r="1106" spans="1:19">
      <c r="A1106" s="79"/>
      <c r="B1106" s="77" t="s">
        <v>192</v>
      </c>
      <c r="C1106" s="76" t="s">
        <v>12</v>
      </c>
      <c r="D1106" s="143">
        <v>3</v>
      </c>
      <c r="E1106" s="66"/>
      <c r="F1106" s="334"/>
      <c r="G1106" s="112">
        <v>0</v>
      </c>
      <c r="H1106" s="120">
        <v>0</v>
      </c>
      <c r="I1106" s="120">
        <v>0</v>
      </c>
      <c r="J1106" s="120">
        <v>0</v>
      </c>
      <c r="K1106" s="110">
        <v>0</v>
      </c>
      <c r="L1106" s="110"/>
      <c r="M1106" s="110">
        <v>0</v>
      </c>
      <c r="N1106" s="110"/>
      <c r="O1106" s="110"/>
      <c r="P1106" s="110">
        <f t="shared" si="111"/>
        <v>0</v>
      </c>
      <c r="Q1106" s="110">
        <f t="shared" si="112"/>
        <v>0</v>
      </c>
      <c r="R1106" s="110">
        <f t="shared" si="113"/>
        <v>0</v>
      </c>
      <c r="S1106" s="112">
        <v>0</v>
      </c>
    </row>
    <row r="1107" spans="1:19">
      <c r="A1107" s="79"/>
      <c r="B1107" s="77" t="s">
        <v>29</v>
      </c>
      <c r="C1107" s="76" t="s">
        <v>4</v>
      </c>
      <c r="D1107" s="143">
        <v>1</v>
      </c>
      <c r="E1107" s="66"/>
      <c r="F1107" s="334"/>
      <c r="G1107" s="112">
        <v>0</v>
      </c>
      <c r="H1107" s="120">
        <v>0</v>
      </c>
      <c r="I1107" s="120">
        <v>0</v>
      </c>
      <c r="J1107" s="120">
        <v>0</v>
      </c>
      <c r="K1107" s="110">
        <v>0</v>
      </c>
      <c r="L1107" s="110"/>
      <c r="M1107" s="110">
        <v>0</v>
      </c>
      <c r="N1107" s="110"/>
      <c r="O1107" s="110"/>
      <c r="P1107" s="110">
        <f t="shared" si="111"/>
        <v>0</v>
      </c>
      <c r="Q1107" s="110">
        <f t="shared" si="112"/>
        <v>0</v>
      </c>
      <c r="R1107" s="110">
        <f t="shared" si="113"/>
        <v>0</v>
      </c>
      <c r="S1107" s="112">
        <v>0</v>
      </c>
    </row>
    <row r="1108" spans="1:19">
      <c r="A1108" s="79"/>
      <c r="B1108" s="77" t="s">
        <v>30</v>
      </c>
      <c r="C1108" s="76" t="s">
        <v>4</v>
      </c>
      <c r="D1108" s="143">
        <v>1</v>
      </c>
      <c r="E1108" s="66"/>
      <c r="F1108" s="334"/>
      <c r="G1108" s="112">
        <v>0</v>
      </c>
      <c r="H1108" s="120">
        <v>0</v>
      </c>
      <c r="I1108" s="120">
        <v>0</v>
      </c>
      <c r="J1108" s="120">
        <v>0</v>
      </c>
      <c r="K1108" s="110">
        <v>0</v>
      </c>
      <c r="L1108" s="110"/>
      <c r="M1108" s="110">
        <v>0</v>
      </c>
      <c r="N1108" s="110"/>
      <c r="O1108" s="110"/>
      <c r="P1108" s="110">
        <f t="shared" si="111"/>
        <v>0</v>
      </c>
      <c r="Q1108" s="110">
        <f t="shared" si="112"/>
        <v>0</v>
      </c>
      <c r="R1108" s="110">
        <f t="shared" si="113"/>
        <v>0</v>
      </c>
      <c r="S1108" s="112">
        <v>0</v>
      </c>
    </row>
    <row r="1109" spans="1:19">
      <c r="A1109" s="79"/>
      <c r="B1109" s="77" t="s">
        <v>193</v>
      </c>
      <c r="C1109" s="76" t="s">
        <v>4</v>
      </c>
      <c r="D1109" s="143">
        <v>3</v>
      </c>
      <c r="E1109" s="60"/>
      <c r="F1109" s="334"/>
      <c r="G1109" s="112">
        <v>0</v>
      </c>
      <c r="H1109" s="120">
        <v>0</v>
      </c>
      <c r="I1109" s="120">
        <v>0</v>
      </c>
      <c r="J1109" s="120">
        <v>0</v>
      </c>
      <c r="K1109" s="110">
        <v>0</v>
      </c>
      <c r="L1109" s="110"/>
      <c r="M1109" s="110">
        <v>0</v>
      </c>
      <c r="N1109" s="110"/>
      <c r="O1109" s="110"/>
      <c r="P1109" s="110">
        <f t="shared" si="111"/>
        <v>0</v>
      </c>
      <c r="Q1109" s="110">
        <f t="shared" si="112"/>
        <v>0</v>
      </c>
      <c r="R1109" s="110">
        <f t="shared" si="113"/>
        <v>0</v>
      </c>
      <c r="S1109" s="112">
        <v>0</v>
      </c>
    </row>
    <row r="1110" spans="1:19">
      <c r="A1110" s="79"/>
      <c r="B1110" s="77" t="s">
        <v>14</v>
      </c>
      <c r="C1110" s="76" t="s">
        <v>4</v>
      </c>
      <c r="D1110" s="143">
        <v>3</v>
      </c>
      <c r="E1110" s="60"/>
      <c r="F1110" s="334"/>
      <c r="G1110" s="112">
        <v>0</v>
      </c>
      <c r="H1110" s="120">
        <v>0</v>
      </c>
      <c r="I1110" s="120">
        <v>0</v>
      </c>
      <c r="J1110" s="120">
        <v>0</v>
      </c>
      <c r="K1110" s="110">
        <v>0</v>
      </c>
      <c r="L1110" s="110"/>
      <c r="M1110" s="110">
        <v>0</v>
      </c>
      <c r="N1110" s="110"/>
      <c r="O1110" s="110"/>
      <c r="P1110" s="110">
        <f t="shared" si="111"/>
        <v>0</v>
      </c>
      <c r="Q1110" s="110">
        <f t="shared" si="112"/>
        <v>0</v>
      </c>
      <c r="R1110" s="110">
        <f t="shared" si="113"/>
        <v>0</v>
      </c>
      <c r="S1110" s="112">
        <v>0</v>
      </c>
    </row>
    <row r="1111" spans="1:19">
      <c r="A1111" s="79"/>
      <c r="B1111" s="77" t="s">
        <v>153</v>
      </c>
      <c r="C1111" s="76" t="s">
        <v>4</v>
      </c>
      <c r="D1111" s="143">
        <v>3</v>
      </c>
      <c r="E1111" s="60"/>
      <c r="F1111" s="334"/>
      <c r="G1111" s="112">
        <v>0</v>
      </c>
      <c r="H1111" s="120">
        <v>0</v>
      </c>
      <c r="I1111" s="120">
        <v>0</v>
      </c>
      <c r="J1111" s="120">
        <v>0</v>
      </c>
      <c r="K1111" s="110">
        <v>0</v>
      </c>
      <c r="L1111" s="110"/>
      <c r="M1111" s="110">
        <v>0</v>
      </c>
      <c r="N1111" s="110"/>
      <c r="O1111" s="110"/>
      <c r="P1111" s="110">
        <f t="shared" si="111"/>
        <v>0</v>
      </c>
      <c r="Q1111" s="110">
        <f t="shared" si="112"/>
        <v>0</v>
      </c>
      <c r="R1111" s="110">
        <f t="shared" si="113"/>
        <v>0</v>
      </c>
      <c r="S1111" s="112">
        <v>0</v>
      </c>
    </row>
    <row r="1112" spans="1:19">
      <c r="A1112" s="79"/>
      <c r="B1112" s="77" t="s">
        <v>154</v>
      </c>
      <c r="C1112" s="76"/>
      <c r="D1112" s="143"/>
      <c r="E1112" s="60"/>
      <c r="F1112" s="325"/>
      <c r="G1112" s="112">
        <v>0</v>
      </c>
      <c r="H1112" s="120">
        <v>0</v>
      </c>
      <c r="I1112" s="120">
        <v>0</v>
      </c>
      <c r="J1112" s="120">
        <v>0</v>
      </c>
      <c r="K1112" s="110">
        <v>0</v>
      </c>
      <c r="L1112" s="110"/>
      <c r="M1112" s="110">
        <v>0</v>
      </c>
      <c r="N1112" s="110"/>
      <c r="O1112" s="110"/>
      <c r="P1112" s="110">
        <f t="shared" si="111"/>
        <v>0</v>
      </c>
      <c r="Q1112" s="110">
        <f t="shared" si="112"/>
        <v>0</v>
      </c>
      <c r="R1112" s="110">
        <f t="shared" si="113"/>
        <v>0</v>
      </c>
      <c r="S1112" s="112">
        <v>0</v>
      </c>
    </row>
    <row r="1113" spans="1:19">
      <c r="A1113" s="79"/>
      <c r="B1113" s="77" t="s">
        <v>170</v>
      </c>
      <c r="C1113" s="76" t="s">
        <v>4</v>
      </c>
      <c r="D1113" s="143">
        <v>3</v>
      </c>
      <c r="E1113" s="66"/>
      <c r="F1113" s="334"/>
      <c r="G1113" s="112">
        <v>0</v>
      </c>
      <c r="H1113" s="120">
        <v>0</v>
      </c>
      <c r="I1113" s="120">
        <v>0</v>
      </c>
      <c r="J1113" s="120">
        <v>0</v>
      </c>
      <c r="K1113" s="110">
        <v>0</v>
      </c>
      <c r="L1113" s="110"/>
      <c r="M1113" s="110">
        <v>0</v>
      </c>
      <c r="N1113" s="110"/>
      <c r="O1113" s="110"/>
      <c r="P1113" s="110">
        <f t="shared" si="111"/>
        <v>0</v>
      </c>
      <c r="Q1113" s="110">
        <f t="shared" si="112"/>
        <v>0</v>
      </c>
      <c r="R1113" s="110">
        <f t="shared" si="113"/>
        <v>0</v>
      </c>
      <c r="S1113" s="112">
        <v>0</v>
      </c>
    </row>
    <row r="1114" spans="1:19">
      <c r="A1114" s="79"/>
      <c r="B1114" s="77" t="s">
        <v>156</v>
      </c>
      <c r="C1114" s="76" t="s">
        <v>4</v>
      </c>
      <c r="D1114" s="143">
        <v>14</v>
      </c>
      <c r="E1114" s="66"/>
      <c r="F1114" s="334"/>
      <c r="G1114" s="112">
        <v>0</v>
      </c>
      <c r="H1114" s="120">
        <v>0</v>
      </c>
      <c r="I1114" s="120">
        <v>0</v>
      </c>
      <c r="J1114" s="120">
        <v>0</v>
      </c>
      <c r="K1114" s="110">
        <v>0</v>
      </c>
      <c r="L1114" s="110"/>
      <c r="M1114" s="110">
        <v>0</v>
      </c>
      <c r="N1114" s="110"/>
      <c r="O1114" s="110"/>
      <c r="P1114" s="110">
        <f t="shared" si="111"/>
        <v>0</v>
      </c>
      <c r="Q1114" s="110">
        <f t="shared" si="112"/>
        <v>0</v>
      </c>
      <c r="R1114" s="110">
        <f t="shared" si="113"/>
        <v>0</v>
      </c>
      <c r="S1114" s="112">
        <v>0</v>
      </c>
    </row>
    <row r="1115" spans="1:19">
      <c r="A1115" s="79"/>
      <c r="B1115" s="77" t="s">
        <v>158</v>
      </c>
      <c r="C1115" s="76" t="s">
        <v>4</v>
      </c>
      <c r="D1115" s="143">
        <v>1</v>
      </c>
      <c r="E1115" s="61"/>
      <c r="F1115" s="334"/>
      <c r="G1115" s="112">
        <v>0</v>
      </c>
      <c r="H1115" s="120">
        <v>0</v>
      </c>
      <c r="I1115" s="120">
        <v>0</v>
      </c>
      <c r="J1115" s="120">
        <v>0</v>
      </c>
      <c r="K1115" s="110">
        <v>0</v>
      </c>
      <c r="L1115" s="110"/>
      <c r="M1115" s="110">
        <v>0</v>
      </c>
      <c r="N1115" s="110"/>
      <c r="O1115" s="110"/>
      <c r="P1115" s="110">
        <f t="shared" si="111"/>
        <v>0</v>
      </c>
      <c r="Q1115" s="110">
        <f t="shared" si="112"/>
        <v>0</v>
      </c>
      <c r="R1115" s="110">
        <f t="shared" si="113"/>
        <v>0</v>
      </c>
      <c r="S1115" s="112">
        <v>0</v>
      </c>
    </row>
    <row r="1116" spans="1:19">
      <c r="A1116" s="79"/>
      <c r="B1116" s="77" t="s">
        <v>265</v>
      </c>
      <c r="C1116" s="76" t="s">
        <v>8</v>
      </c>
      <c r="D1116" s="143">
        <v>3</v>
      </c>
      <c r="E1116" s="63"/>
      <c r="F1116" s="334"/>
      <c r="G1116" s="112">
        <v>0</v>
      </c>
      <c r="H1116" s="120">
        <v>0</v>
      </c>
      <c r="I1116" s="120">
        <v>0</v>
      </c>
      <c r="J1116" s="120">
        <v>0</v>
      </c>
      <c r="K1116" s="110">
        <v>0</v>
      </c>
      <c r="L1116" s="110"/>
      <c r="M1116" s="110">
        <v>0</v>
      </c>
      <c r="N1116" s="110"/>
      <c r="O1116" s="110"/>
      <c r="P1116" s="110">
        <f t="shared" si="111"/>
        <v>0</v>
      </c>
      <c r="Q1116" s="110">
        <f t="shared" si="112"/>
        <v>0</v>
      </c>
      <c r="R1116" s="110">
        <f t="shared" si="113"/>
        <v>0</v>
      </c>
      <c r="S1116" s="112">
        <v>0</v>
      </c>
    </row>
    <row r="1117" spans="1:19">
      <c r="A1117" s="79"/>
      <c r="B1117" s="77" t="s">
        <v>172</v>
      </c>
      <c r="C1117" s="76" t="s">
        <v>4</v>
      </c>
      <c r="D1117" s="143">
        <v>3</v>
      </c>
      <c r="E1117" s="64"/>
      <c r="F1117" s="334"/>
      <c r="G1117" s="112">
        <v>0</v>
      </c>
      <c r="H1117" s="120">
        <v>0</v>
      </c>
      <c r="I1117" s="120">
        <v>0</v>
      </c>
      <c r="J1117" s="120">
        <v>0</v>
      </c>
      <c r="K1117" s="110">
        <v>0</v>
      </c>
      <c r="L1117" s="110"/>
      <c r="M1117" s="110">
        <v>0</v>
      </c>
      <c r="N1117" s="110"/>
      <c r="O1117" s="110"/>
      <c r="P1117" s="110">
        <f t="shared" si="111"/>
        <v>0</v>
      </c>
      <c r="Q1117" s="110">
        <f t="shared" si="112"/>
        <v>0</v>
      </c>
      <c r="R1117" s="110">
        <f t="shared" si="113"/>
        <v>0</v>
      </c>
      <c r="S1117" s="112">
        <v>0</v>
      </c>
    </row>
    <row r="1118" spans="1:19">
      <c r="A1118" s="79"/>
      <c r="B1118" s="77" t="s">
        <v>173</v>
      </c>
      <c r="C1118" s="76" t="s">
        <v>4</v>
      </c>
      <c r="D1118" s="143">
        <v>3</v>
      </c>
      <c r="E1118" s="50"/>
      <c r="F1118" s="334"/>
      <c r="G1118" s="112">
        <v>0</v>
      </c>
      <c r="H1118" s="120">
        <v>0</v>
      </c>
      <c r="I1118" s="120">
        <v>0</v>
      </c>
      <c r="J1118" s="120">
        <v>0</v>
      </c>
      <c r="K1118" s="110">
        <v>0</v>
      </c>
      <c r="L1118" s="110"/>
      <c r="M1118" s="110">
        <v>0</v>
      </c>
      <c r="N1118" s="110"/>
      <c r="O1118" s="110"/>
      <c r="P1118" s="110">
        <f t="shared" si="111"/>
        <v>0</v>
      </c>
      <c r="Q1118" s="110">
        <f t="shared" si="112"/>
        <v>0</v>
      </c>
      <c r="R1118" s="110">
        <f t="shared" si="113"/>
        <v>0</v>
      </c>
      <c r="S1118" s="112">
        <v>0</v>
      </c>
    </row>
    <row r="1119" spans="1:19">
      <c r="A1119" s="79"/>
      <c r="B1119" s="77" t="s">
        <v>266</v>
      </c>
      <c r="C1119" s="76" t="s">
        <v>4</v>
      </c>
      <c r="D1119" s="143">
        <v>3</v>
      </c>
      <c r="E1119" s="66"/>
      <c r="F1119" s="334"/>
      <c r="G1119" s="112">
        <v>0</v>
      </c>
      <c r="H1119" s="120">
        <v>0</v>
      </c>
      <c r="I1119" s="120">
        <v>0</v>
      </c>
      <c r="J1119" s="120">
        <v>0</v>
      </c>
      <c r="K1119" s="110">
        <v>0</v>
      </c>
      <c r="L1119" s="110"/>
      <c r="M1119" s="110">
        <v>0</v>
      </c>
      <c r="N1119" s="110"/>
      <c r="O1119" s="110"/>
      <c r="P1119" s="110">
        <f t="shared" si="111"/>
        <v>0</v>
      </c>
      <c r="Q1119" s="110">
        <f t="shared" si="112"/>
        <v>0</v>
      </c>
      <c r="R1119" s="110">
        <f t="shared" si="113"/>
        <v>0</v>
      </c>
      <c r="S1119" s="112">
        <v>0</v>
      </c>
    </row>
    <row r="1120" spans="1:19">
      <c r="A1120" s="79"/>
      <c r="B1120" s="77" t="s">
        <v>175</v>
      </c>
      <c r="C1120" s="76" t="s">
        <v>4</v>
      </c>
      <c r="D1120" s="143">
        <v>3</v>
      </c>
      <c r="E1120" s="60"/>
      <c r="F1120" s="334"/>
      <c r="G1120" s="112">
        <v>0</v>
      </c>
      <c r="H1120" s="120">
        <v>0</v>
      </c>
      <c r="I1120" s="120">
        <v>0</v>
      </c>
      <c r="J1120" s="120">
        <v>0</v>
      </c>
      <c r="K1120" s="110">
        <v>0</v>
      </c>
      <c r="L1120" s="110"/>
      <c r="M1120" s="110">
        <v>0</v>
      </c>
      <c r="N1120" s="110"/>
      <c r="O1120" s="110"/>
      <c r="P1120" s="110">
        <f t="shared" si="111"/>
        <v>0</v>
      </c>
      <c r="Q1120" s="110">
        <f t="shared" si="112"/>
        <v>0</v>
      </c>
      <c r="R1120" s="110">
        <f t="shared" si="113"/>
        <v>0</v>
      </c>
      <c r="S1120" s="112">
        <v>0</v>
      </c>
    </row>
    <row r="1121" spans="1:19">
      <c r="A1121" s="79"/>
      <c r="B1121" s="77" t="s">
        <v>176</v>
      </c>
      <c r="C1121" s="76" t="s">
        <v>4</v>
      </c>
      <c r="D1121" s="143">
        <v>6</v>
      </c>
      <c r="E1121" s="71"/>
      <c r="F1121" s="334"/>
      <c r="G1121" s="112">
        <v>0</v>
      </c>
      <c r="H1121" s="120">
        <v>0</v>
      </c>
      <c r="I1121" s="120">
        <v>0</v>
      </c>
      <c r="J1121" s="120">
        <v>0</v>
      </c>
      <c r="K1121" s="110">
        <v>0</v>
      </c>
      <c r="L1121" s="110"/>
      <c r="M1121" s="110">
        <v>0</v>
      </c>
      <c r="N1121" s="110"/>
      <c r="O1121" s="110"/>
      <c r="P1121" s="110">
        <f t="shared" si="111"/>
        <v>0</v>
      </c>
      <c r="Q1121" s="110">
        <f t="shared" si="112"/>
        <v>0</v>
      </c>
      <c r="R1121" s="110">
        <f t="shared" si="113"/>
        <v>0</v>
      </c>
      <c r="S1121" s="112">
        <v>0</v>
      </c>
    </row>
    <row r="1122" spans="1:19">
      <c r="A1122" s="79"/>
      <c r="B1122" s="77" t="s">
        <v>177</v>
      </c>
      <c r="C1122" s="76" t="s">
        <v>17</v>
      </c>
      <c r="D1122" s="143">
        <v>1</v>
      </c>
      <c r="E1122" s="50"/>
      <c r="F1122" s="334"/>
      <c r="G1122" s="112">
        <v>0</v>
      </c>
      <c r="H1122" s="120">
        <v>0</v>
      </c>
      <c r="I1122" s="120">
        <v>0</v>
      </c>
      <c r="J1122" s="120">
        <v>0</v>
      </c>
      <c r="K1122" s="110">
        <v>0</v>
      </c>
      <c r="L1122" s="110"/>
      <c r="M1122" s="110">
        <v>0</v>
      </c>
      <c r="N1122" s="110"/>
      <c r="O1122" s="110"/>
      <c r="P1122" s="110">
        <f t="shared" si="111"/>
        <v>0</v>
      </c>
      <c r="Q1122" s="110">
        <f t="shared" si="112"/>
        <v>0</v>
      </c>
      <c r="R1122" s="110">
        <f t="shared" si="113"/>
        <v>0</v>
      </c>
      <c r="S1122" s="112">
        <v>0</v>
      </c>
    </row>
    <row r="1123" spans="1:19">
      <c r="A1123" s="79"/>
      <c r="B1123" s="77" t="s">
        <v>163</v>
      </c>
      <c r="C1123" s="76" t="s">
        <v>4</v>
      </c>
      <c r="D1123" s="143">
        <v>1</v>
      </c>
      <c r="E1123" s="60"/>
      <c r="F1123" s="334"/>
      <c r="G1123" s="112">
        <v>0</v>
      </c>
      <c r="H1123" s="120">
        <v>0</v>
      </c>
      <c r="I1123" s="120">
        <v>0</v>
      </c>
      <c r="J1123" s="120">
        <v>0</v>
      </c>
      <c r="K1123" s="110">
        <v>0</v>
      </c>
      <c r="L1123" s="110"/>
      <c r="M1123" s="110">
        <v>0</v>
      </c>
      <c r="N1123" s="110"/>
      <c r="O1123" s="110"/>
      <c r="P1123" s="110">
        <f t="shared" si="111"/>
        <v>0</v>
      </c>
      <c r="Q1123" s="110">
        <f t="shared" si="112"/>
        <v>0</v>
      </c>
      <c r="R1123" s="110">
        <f t="shared" si="113"/>
        <v>0</v>
      </c>
      <c r="S1123" s="112">
        <v>0</v>
      </c>
    </row>
    <row r="1124" spans="1:19" ht="30">
      <c r="A1124" s="79"/>
      <c r="B1124" s="77" t="s">
        <v>189</v>
      </c>
      <c r="C1124" s="76" t="s">
        <v>8</v>
      </c>
      <c r="D1124" s="143">
        <v>1</v>
      </c>
      <c r="E1124" s="60"/>
      <c r="F1124" s="334"/>
      <c r="G1124" s="112">
        <v>0</v>
      </c>
      <c r="H1124" s="120">
        <v>0</v>
      </c>
      <c r="I1124" s="120">
        <v>0</v>
      </c>
      <c r="J1124" s="120">
        <v>0</v>
      </c>
      <c r="K1124" s="110">
        <v>0</v>
      </c>
      <c r="L1124" s="110"/>
      <c r="M1124" s="110">
        <v>0</v>
      </c>
      <c r="N1124" s="110"/>
      <c r="O1124" s="110"/>
      <c r="P1124" s="110">
        <f t="shared" si="111"/>
        <v>0</v>
      </c>
      <c r="Q1124" s="110">
        <f t="shared" si="112"/>
        <v>0</v>
      </c>
      <c r="R1124" s="110">
        <f t="shared" si="113"/>
        <v>0</v>
      </c>
      <c r="S1124" s="112">
        <v>0</v>
      </c>
    </row>
    <row r="1125" spans="1:19" ht="45">
      <c r="A1125" s="79"/>
      <c r="B1125" s="77" t="s">
        <v>166</v>
      </c>
      <c r="C1125" s="76" t="s">
        <v>17</v>
      </c>
      <c r="D1125" s="143">
        <v>1</v>
      </c>
      <c r="E1125" s="71"/>
      <c r="F1125" s="334"/>
      <c r="G1125" s="112">
        <v>0</v>
      </c>
      <c r="H1125" s="120">
        <v>0</v>
      </c>
      <c r="I1125" s="120">
        <v>0</v>
      </c>
      <c r="J1125" s="120">
        <v>0</v>
      </c>
      <c r="K1125" s="110">
        <v>0</v>
      </c>
      <c r="L1125" s="110"/>
      <c r="M1125" s="110">
        <v>0</v>
      </c>
      <c r="N1125" s="110"/>
      <c r="O1125" s="110"/>
      <c r="P1125" s="110">
        <f t="shared" si="111"/>
        <v>0</v>
      </c>
      <c r="Q1125" s="110">
        <f t="shared" si="112"/>
        <v>0</v>
      </c>
      <c r="R1125" s="110">
        <f t="shared" si="113"/>
        <v>0</v>
      </c>
      <c r="S1125" s="112">
        <v>0</v>
      </c>
    </row>
    <row r="1126" spans="1:19" ht="60">
      <c r="A1126" s="79">
        <v>36</v>
      </c>
      <c r="B1126" s="77" t="s">
        <v>326</v>
      </c>
      <c r="C1126" s="76" t="s">
        <v>6</v>
      </c>
      <c r="D1126" s="143">
        <v>1</v>
      </c>
      <c r="E1126" s="66"/>
      <c r="F1126" s="334">
        <v>1</v>
      </c>
      <c r="G1126" s="112" t="s">
        <v>846</v>
      </c>
      <c r="H1126" s="120" t="s">
        <v>1076</v>
      </c>
      <c r="I1126" s="120" t="s">
        <v>828</v>
      </c>
      <c r="J1126" s="120" t="s">
        <v>829</v>
      </c>
      <c r="K1126" s="110">
        <v>18564000</v>
      </c>
      <c r="L1126" s="110"/>
      <c r="M1126" s="110">
        <v>2821000</v>
      </c>
      <c r="N1126" s="110"/>
      <c r="O1126" s="110"/>
      <c r="P1126" s="110">
        <f t="shared" si="111"/>
        <v>21385000</v>
      </c>
      <c r="Q1126" s="110">
        <f t="shared" si="112"/>
        <v>21385000</v>
      </c>
      <c r="R1126" s="110">
        <f t="shared" si="113"/>
        <v>21385000</v>
      </c>
      <c r="S1126" s="112" t="s">
        <v>4094</v>
      </c>
    </row>
    <row r="1127" spans="1:19" ht="45">
      <c r="A1127" s="79"/>
      <c r="B1127" s="77" t="s">
        <v>225</v>
      </c>
      <c r="C1127" s="76" t="s">
        <v>4</v>
      </c>
      <c r="D1127" s="143">
        <v>1</v>
      </c>
      <c r="E1127" s="66"/>
      <c r="F1127" s="334"/>
      <c r="G1127" s="112">
        <v>0</v>
      </c>
      <c r="H1127" s="120">
        <v>0</v>
      </c>
      <c r="I1127" s="120">
        <v>0</v>
      </c>
      <c r="J1127" s="120">
        <v>0</v>
      </c>
      <c r="K1127" s="110">
        <v>0</v>
      </c>
      <c r="L1127" s="110"/>
      <c r="M1127" s="110">
        <v>0</v>
      </c>
      <c r="N1127" s="110"/>
      <c r="O1127" s="110"/>
      <c r="P1127" s="110">
        <f t="shared" si="111"/>
        <v>0</v>
      </c>
      <c r="Q1127" s="110">
        <f t="shared" si="112"/>
        <v>0</v>
      </c>
      <c r="R1127" s="110">
        <f t="shared" si="113"/>
        <v>0</v>
      </c>
      <c r="S1127" s="112" t="s">
        <v>150</v>
      </c>
    </row>
    <row r="1128" spans="1:19">
      <c r="A1128" s="79"/>
      <c r="B1128" s="77" t="s">
        <v>151</v>
      </c>
      <c r="C1128" s="76"/>
      <c r="D1128" s="143"/>
      <c r="E1128" s="50"/>
      <c r="F1128" s="50"/>
      <c r="G1128" s="112">
        <v>0</v>
      </c>
      <c r="H1128" s="120">
        <v>0</v>
      </c>
      <c r="I1128" s="120">
        <v>0</v>
      </c>
      <c r="J1128" s="120">
        <v>0</v>
      </c>
      <c r="K1128" s="110">
        <v>0</v>
      </c>
      <c r="L1128" s="110"/>
      <c r="M1128" s="110">
        <v>0</v>
      </c>
      <c r="N1128" s="110"/>
      <c r="O1128" s="110"/>
      <c r="P1128" s="110">
        <f t="shared" si="111"/>
        <v>0</v>
      </c>
      <c r="Q1128" s="110">
        <f t="shared" si="112"/>
        <v>0</v>
      </c>
      <c r="R1128" s="110">
        <f t="shared" si="113"/>
        <v>0</v>
      </c>
      <c r="S1128" s="112">
        <v>0</v>
      </c>
    </row>
    <row r="1129" spans="1:19">
      <c r="A1129" s="79"/>
      <c r="B1129" s="77" t="s">
        <v>327</v>
      </c>
      <c r="C1129" s="76" t="s">
        <v>4</v>
      </c>
      <c r="D1129" s="143">
        <v>1</v>
      </c>
      <c r="E1129" s="62"/>
      <c r="F1129" s="334"/>
      <c r="G1129" s="112">
        <v>0</v>
      </c>
      <c r="H1129" s="120">
        <v>0</v>
      </c>
      <c r="I1129" s="120">
        <v>0</v>
      </c>
      <c r="J1129" s="120">
        <v>0</v>
      </c>
      <c r="K1129" s="110">
        <v>0</v>
      </c>
      <c r="L1129" s="110"/>
      <c r="M1129" s="110">
        <v>0</v>
      </c>
      <c r="N1129" s="110"/>
      <c r="O1129" s="110"/>
      <c r="P1129" s="110">
        <f t="shared" si="111"/>
        <v>0</v>
      </c>
      <c r="Q1129" s="110">
        <f t="shared" si="112"/>
        <v>0</v>
      </c>
      <c r="R1129" s="110">
        <f t="shared" si="113"/>
        <v>0</v>
      </c>
      <c r="S1129" s="112">
        <v>0</v>
      </c>
    </row>
    <row r="1130" spans="1:19">
      <c r="A1130" s="79"/>
      <c r="B1130" s="77" t="s">
        <v>14</v>
      </c>
      <c r="C1130" s="76" t="s">
        <v>4</v>
      </c>
      <c r="D1130" s="143">
        <v>3</v>
      </c>
      <c r="E1130" s="340"/>
      <c r="F1130" s="334"/>
      <c r="G1130" s="112">
        <v>0</v>
      </c>
      <c r="H1130" s="120">
        <v>0</v>
      </c>
      <c r="I1130" s="120">
        <v>0</v>
      </c>
      <c r="J1130" s="120">
        <v>0</v>
      </c>
      <c r="K1130" s="110">
        <v>0</v>
      </c>
      <c r="L1130" s="110"/>
      <c r="M1130" s="110">
        <v>0</v>
      </c>
      <c r="N1130" s="110"/>
      <c r="O1130" s="110"/>
      <c r="P1130" s="110">
        <f t="shared" si="111"/>
        <v>0</v>
      </c>
      <c r="Q1130" s="110">
        <f t="shared" si="112"/>
        <v>0</v>
      </c>
      <c r="R1130" s="110">
        <f t="shared" si="113"/>
        <v>0</v>
      </c>
      <c r="S1130" s="112">
        <v>0</v>
      </c>
    </row>
    <row r="1131" spans="1:19">
      <c r="A1131" s="79"/>
      <c r="B1131" s="77" t="s">
        <v>153</v>
      </c>
      <c r="C1131" s="76" t="s">
        <v>4</v>
      </c>
      <c r="D1131" s="143">
        <v>3</v>
      </c>
      <c r="E1131" s="66"/>
      <c r="F1131" s="334"/>
      <c r="G1131" s="112">
        <v>0</v>
      </c>
      <c r="H1131" s="120">
        <v>0</v>
      </c>
      <c r="I1131" s="120">
        <v>0</v>
      </c>
      <c r="J1131" s="120">
        <v>0</v>
      </c>
      <c r="K1131" s="110">
        <v>0</v>
      </c>
      <c r="L1131" s="110"/>
      <c r="M1131" s="110">
        <v>0</v>
      </c>
      <c r="N1131" s="110"/>
      <c r="O1131" s="110"/>
      <c r="P1131" s="110">
        <f t="shared" si="111"/>
        <v>0</v>
      </c>
      <c r="Q1131" s="110">
        <f t="shared" si="112"/>
        <v>0</v>
      </c>
      <c r="R1131" s="110">
        <f t="shared" si="113"/>
        <v>0</v>
      </c>
      <c r="S1131" s="112">
        <v>0</v>
      </c>
    </row>
    <row r="1132" spans="1:19">
      <c r="A1132" s="79"/>
      <c r="B1132" s="77" t="s">
        <v>154</v>
      </c>
      <c r="C1132" s="76"/>
      <c r="D1132" s="143"/>
      <c r="E1132" s="61"/>
      <c r="F1132" s="328"/>
      <c r="G1132" s="112">
        <v>0</v>
      </c>
      <c r="H1132" s="120">
        <v>0</v>
      </c>
      <c r="I1132" s="120">
        <v>0</v>
      </c>
      <c r="J1132" s="120">
        <v>0</v>
      </c>
      <c r="K1132" s="110">
        <v>0</v>
      </c>
      <c r="L1132" s="110"/>
      <c r="M1132" s="110">
        <v>0</v>
      </c>
      <c r="N1132" s="110"/>
      <c r="O1132" s="110"/>
      <c r="P1132" s="110">
        <f t="shared" si="111"/>
        <v>0</v>
      </c>
      <c r="Q1132" s="110">
        <f t="shared" si="112"/>
        <v>0</v>
      </c>
      <c r="R1132" s="110">
        <f t="shared" si="113"/>
        <v>0</v>
      </c>
      <c r="S1132" s="112">
        <v>0</v>
      </c>
    </row>
    <row r="1133" spans="1:19">
      <c r="A1133" s="79"/>
      <c r="B1133" s="77" t="s">
        <v>328</v>
      </c>
      <c r="C1133" s="76" t="s">
        <v>4</v>
      </c>
      <c r="D1133" s="143">
        <v>2</v>
      </c>
      <c r="E1133" s="63"/>
      <c r="F1133" s="334"/>
      <c r="G1133" s="112">
        <v>0</v>
      </c>
      <c r="H1133" s="120">
        <v>0</v>
      </c>
      <c r="I1133" s="120">
        <v>0</v>
      </c>
      <c r="J1133" s="120">
        <v>0</v>
      </c>
      <c r="K1133" s="110">
        <v>0</v>
      </c>
      <c r="L1133" s="110"/>
      <c r="M1133" s="110">
        <v>0</v>
      </c>
      <c r="N1133" s="110"/>
      <c r="O1133" s="110"/>
      <c r="P1133" s="110">
        <f t="shared" si="111"/>
        <v>0</v>
      </c>
      <c r="Q1133" s="110">
        <f t="shared" si="112"/>
        <v>0</v>
      </c>
      <c r="R1133" s="110">
        <f t="shared" si="113"/>
        <v>0</v>
      </c>
      <c r="S1133" s="112">
        <v>0</v>
      </c>
    </row>
    <row r="1134" spans="1:19" ht="30">
      <c r="A1134" s="79"/>
      <c r="B1134" s="77" t="s">
        <v>206</v>
      </c>
      <c r="C1134" s="76" t="s">
        <v>8</v>
      </c>
      <c r="D1134" s="143">
        <v>1</v>
      </c>
      <c r="E1134" s="64"/>
      <c r="F1134" s="334"/>
      <c r="G1134" s="112">
        <v>0</v>
      </c>
      <c r="H1134" s="120">
        <v>0</v>
      </c>
      <c r="I1134" s="120">
        <v>0</v>
      </c>
      <c r="J1134" s="120">
        <v>0</v>
      </c>
      <c r="K1134" s="110">
        <v>0</v>
      </c>
      <c r="L1134" s="110"/>
      <c r="M1134" s="110">
        <v>0</v>
      </c>
      <c r="N1134" s="110"/>
      <c r="O1134" s="110"/>
      <c r="P1134" s="110">
        <f t="shared" si="111"/>
        <v>0</v>
      </c>
      <c r="Q1134" s="110">
        <f t="shared" si="112"/>
        <v>0</v>
      </c>
      <c r="R1134" s="110">
        <f t="shared" si="113"/>
        <v>0</v>
      </c>
      <c r="S1134" s="112">
        <v>0</v>
      </c>
    </row>
    <row r="1135" spans="1:19">
      <c r="A1135" s="79"/>
      <c r="B1135" s="77" t="s">
        <v>207</v>
      </c>
      <c r="C1135" s="76" t="s">
        <v>8</v>
      </c>
      <c r="D1135" s="143">
        <v>1</v>
      </c>
      <c r="E1135" s="66"/>
      <c r="F1135" s="334"/>
      <c r="G1135" s="112">
        <v>0</v>
      </c>
      <c r="H1135" s="120">
        <v>0</v>
      </c>
      <c r="I1135" s="120">
        <v>0</v>
      </c>
      <c r="J1135" s="120">
        <v>0</v>
      </c>
      <c r="K1135" s="110">
        <v>0</v>
      </c>
      <c r="L1135" s="110"/>
      <c r="M1135" s="110">
        <v>0</v>
      </c>
      <c r="N1135" s="110"/>
      <c r="O1135" s="110"/>
      <c r="P1135" s="110">
        <f t="shared" si="111"/>
        <v>0</v>
      </c>
      <c r="Q1135" s="110">
        <f t="shared" si="112"/>
        <v>0</v>
      </c>
      <c r="R1135" s="110">
        <f t="shared" si="113"/>
        <v>0</v>
      </c>
      <c r="S1135" s="112">
        <v>0</v>
      </c>
    </row>
    <row r="1136" spans="1:19" ht="45">
      <c r="A1136" s="79"/>
      <c r="B1136" s="77" t="s">
        <v>166</v>
      </c>
      <c r="C1136" s="76" t="s">
        <v>17</v>
      </c>
      <c r="D1136" s="143">
        <v>1</v>
      </c>
      <c r="E1136" s="60"/>
      <c r="F1136" s="334"/>
      <c r="G1136" s="112">
        <v>0</v>
      </c>
      <c r="H1136" s="120">
        <v>0</v>
      </c>
      <c r="I1136" s="120">
        <v>0</v>
      </c>
      <c r="J1136" s="120">
        <v>0</v>
      </c>
      <c r="K1136" s="110">
        <v>0</v>
      </c>
      <c r="L1136" s="110"/>
      <c r="M1136" s="110">
        <v>0</v>
      </c>
      <c r="N1136" s="110"/>
      <c r="O1136" s="110"/>
      <c r="P1136" s="110">
        <f t="shared" si="111"/>
        <v>0</v>
      </c>
      <c r="Q1136" s="110">
        <f t="shared" si="112"/>
        <v>0</v>
      </c>
      <c r="R1136" s="110">
        <f t="shared" si="113"/>
        <v>0</v>
      </c>
      <c r="S1136" s="112">
        <v>0</v>
      </c>
    </row>
    <row r="1137" spans="1:19" ht="60">
      <c r="A1137" s="79">
        <v>37</v>
      </c>
      <c r="B1137" s="77" t="s">
        <v>329</v>
      </c>
      <c r="C1137" s="76" t="s">
        <v>6</v>
      </c>
      <c r="D1137" s="143">
        <v>1</v>
      </c>
      <c r="E1137" s="71"/>
      <c r="F1137" s="334">
        <v>1</v>
      </c>
      <c r="G1137" s="112" t="s">
        <v>845</v>
      </c>
      <c r="H1137" s="120" t="s">
        <v>1076</v>
      </c>
      <c r="I1137" s="120" t="s">
        <v>828</v>
      </c>
      <c r="J1137" s="120" t="s">
        <v>829</v>
      </c>
      <c r="K1137" s="110">
        <v>129909600</v>
      </c>
      <c r="L1137" s="110"/>
      <c r="M1137" s="110">
        <v>7556300</v>
      </c>
      <c r="N1137" s="110"/>
      <c r="O1137" s="110"/>
      <c r="P1137" s="110">
        <f t="shared" ref="P1137:P1200" si="114">+K1137+L1137+M1137+N1137+O1137</f>
        <v>137465900</v>
      </c>
      <c r="Q1137" s="110">
        <f t="shared" ref="Q1137:Q1200" si="115">+P1137*D1137</f>
        <v>137465900</v>
      </c>
      <c r="R1137" s="110">
        <f t="shared" ref="R1137:R1200" si="116">P1137*F1137</f>
        <v>137465900</v>
      </c>
      <c r="S1137" s="112" t="s">
        <v>4094</v>
      </c>
    </row>
    <row r="1138" spans="1:19" ht="45">
      <c r="A1138" s="79"/>
      <c r="B1138" s="77" t="s">
        <v>330</v>
      </c>
      <c r="C1138" s="76" t="s">
        <v>4</v>
      </c>
      <c r="D1138" s="143">
        <v>1</v>
      </c>
      <c r="E1138" s="66"/>
      <c r="F1138" s="334"/>
      <c r="G1138" s="112">
        <v>0</v>
      </c>
      <c r="H1138" s="120">
        <v>0</v>
      </c>
      <c r="I1138" s="120">
        <v>0</v>
      </c>
      <c r="J1138" s="120">
        <v>0</v>
      </c>
      <c r="K1138" s="110">
        <v>0</v>
      </c>
      <c r="L1138" s="110"/>
      <c r="M1138" s="110">
        <v>0</v>
      </c>
      <c r="N1138" s="110"/>
      <c r="O1138" s="110"/>
      <c r="P1138" s="110">
        <f t="shared" si="114"/>
        <v>0</v>
      </c>
      <c r="Q1138" s="110">
        <f t="shared" si="115"/>
        <v>0</v>
      </c>
      <c r="R1138" s="110">
        <f t="shared" si="116"/>
        <v>0</v>
      </c>
      <c r="S1138" s="112" t="s">
        <v>150</v>
      </c>
    </row>
    <row r="1139" spans="1:19">
      <c r="A1139" s="79"/>
      <c r="B1139" s="77" t="s">
        <v>151</v>
      </c>
      <c r="C1139" s="76"/>
      <c r="D1139" s="143"/>
      <c r="E1139" s="66"/>
      <c r="F1139" s="324"/>
      <c r="G1139" s="112">
        <v>0</v>
      </c>
      <c r="H1139" s="120">
        <v>0</v>
      </c>
      <c r="I1139" s="120">
        <v>0</v>
      </c>
      <c r="J1139" s="120">
        <v>0</v>
      </c>
      <c r="K1139" s="110">
        <v>0</v>
      </c>
      <c r="L1139" s="110"/>
      <c r="M1139" s="110">
        <v>0</v>
      </c>
      <c r="N1139" s="110"/>
      <c r="O1139" s="110"/>
      <c r="P1139" s="110">
        <f t="shared" si="114"/>
        <v>0</v>
      </c>
      <c r="Q1139" s="110">
        <f t="shared" si="115"/>
        <v>0</v>
      </c>
      <c r="R1139" s="110">
        <f t="shared" si="116"/>
        <v>0</v>
      </c>
      <c r="S1139" s="112">
        <v>0</v>
      </c>
    </row>
    <row r="1140" spans="1:19">
      <c r="A1140" s="79"/>
      <c r="B1140" s="77" t="s">
        <v>331</v>
      </c>
      <c r="C1140" s="76" t="s">
        <v>4</v>
      </c>
      <c r="D1140" s="143">
        <v>1</v>
      </c>
      <c r="E1140" s="66"/>
      <c r="F1140" s="334"/>
      <c r="G1140" s="112">
        <v>0</v>
      </c>
      <c r="H1140" s="120">
        <v>0</v>
      </c>
      <c r="I1140" s="120">
        <v>0</v>
      </c>
      <c r="J1140" s="120">
        <v>0</v>
      </c>
      <c r="K1140" s="110">
        <v>0</v>
      </c>
      <c r="L1140" s="110"/>
      <c r="M1140" s="110">
        <v>0</v>
      </c>
      <c r="N1140" s="110"/>
      <c r="O1140" s="110"/>
      <c r="P1140" s="110">
        <f t="shared" si="114"/>
        <v>0</v>
      </c>
      <c r="Q1140" s="110">
        <f t="shared" si="115"/>
        <v>0</v>
      </c>
      <c r="R1140" s="110">
        <f t="shared" si="116"/>
        <v>0</v>
      </c>
      <c r="S1140" s="112">
        <v>0</v>
      </c>
    </row>
    <row r="1141" spans="1:19">
      <c r="A1141" s="79"/>
      <c r="B1141" s="77" t="s">
        <v>48</v>
      </c>
      <c r="C1141" s="76" t="s">
        <v>12</v>
      </c>
      <c r="D1141" s="143">
        <v>6</v>
      </c>
      <c r="E1141" s="66"/>
      <c r="F1141" s="334"/>
      <c r="G1141" s="112">
        <v>0</v>
      </c>
      <c r="H1141" s="120">
        <v>0</v>
      </c>
      <c r="I1141" s="120">
        <v>0</v>
      </c>
      <c r="J1141" s="120">
        <v>0</v>
      </c>
      <c r="K1141" s="110">
        <v>0</v>
      </c>
      <c r="L1141" s="110"/>
      <c r="M1141" s="110">
        <v>0</v>
      </c>
      <c r="N1141" s="110"/>
      <c r="O1141" s="110"/>
      <c r="P1141" s="110">
        <f t="shared" si="114"/>
        <v>0</v>
      </c>
      <c r="Q1141" s="110">
        <f t="shared" si="115"/>
        <v>0</v>
      </c>
      <c r="R1141" s="110">
        <f t="shared" si="116"/>
        <v>0</v>
      </c>
      <c r="S1141" s="112">
        <v>0</v>
      </c>
    </row>
    <row r="1142" spans="1:19">
      <c r="A1142" s="79"/>
      <c r="B1142" s="77" t="s">
        <v>332</v>
      </c>
      <c r="C1142" s="76" t="s">
        <v>4</v>
      </c>
      <c r="D1142" s="143">
        <v>1</v>
      </c>
      <c r="E1142" s="66"/>
      <c r="F1142" s="334"/>
      <c r="G1142" s="112">
        <v>0</v>
      </c>
      <c r="H1142" s="120">
        <v>0</v>
      </c>
      <c r="I1142" s="120">
        <v>0</v>
      </c>
      <c r="J1142" s="120">
        <v>0</v>
      </c>
      <c r="K1142" s="110">
        <v>0</v>
      </c>
      <c r="L1142" s="110"/>
      <c r="M1142" s="110">
        <v>0</v>
      </c>
      <c r="N1142" s="110"/>
      <c r="O1142" s="110"/>
      <c r="P1142" s="110">
        <f t="shared" si="114"/>
        <v>0</v>
      </c>
      <c r="Q1142" s="110">
        <f t="shared" si="115"/>
        <v>0</v>
      </c>
      <c r="R1142" s="110">
        <f t="shared" si="116"/>
        <v>0</v>
      </c>
      <c r="S1142" s="112">
        <v>0</v>
      </c>
    </row>
    <row r="1143" spans="1:19">
      <c r="A1143" s="79"/>
      <c r="B1143" s="77" t="s">
        <v>333</v>
      </c>
      <c r="C1143" s="76" t="s">
        <v>4</v>
      </c>
      <c r="D1143" s="143">
        <v>2</v>
      </c>
      <c r="E1143" s="62"/>
      <c r="F1143" s="334"/>
      <c r="G1143" s="112">
        <v>0</v>
      </c>
      <c r="H1143" s="120">
        <v>0</v>
      </c>
      <c r="I1143" s="120">
        <v>0</v>
      </c>
      <c r="J1143" s="120">
        <v>0</v>
      </c>
      <c r="K1143" s="110">
        <v>0</v>
      </c>
      <c r="L1143" s="110"/>
      <c r="M1143" s="110">
        <v>0</v>
      </c>
      <c r="N1143" s="110"/>
      <c r="O1143" s="110"/>
      <c r="P1143" s="110">
        <f t="shared" si="114"/>
        <v>0</v>
      </c>
      <c r="Q1143" s="110">
        <f t="shared" si="115"/>
        <v>0</v>
      </c>
      <c r="R1143" s="110">
        <f t="shared" si="116"/>
        <v>0</v>
      </c>
      <c r="S1143" s="112">
        <v>0</v>
      </c>
    </row>
    <row r="1144" spans="1:19">
      <c r="A1144" s="79"/>
      <c r="B1144" s="77" t="s">
        <v>14</v>
      </c>
      <c r="C1144" s="76" t="s">
        <v>4</v>
      </c>
      <c r="D1144" s="143">
        <v>6</v>
      </c>
      <c r="E1144" s="340"/>
      <c r="F1144" s="334"/>
      <c r="G1144" s="112">
        <v>0</v>
      </c>
      <c r="H1144" s="120">
        <v>0</v>
      </c>
      <c r="I1144" s="120">
        <v>0</v>
      </c>
      <c r="J1144" s="120">
        <v>0</v>
      </c>
      <c r="K1144" s="110">
        <v>0</v>
      </c>
      <c r="L1144" s="110"/>
      <c r="M1144" s="110">
        <v>0</v>
      </c>
      <c r="N1144" s="110"/>
      <c r="O1144" s="110"/>
      <c r="P1144" s="110">
        <f t="shared" si="114"/>
        <v>0</v>
      </c>
      <c r="Q1144" s="110">
        <f t="shared" si="115"/>
        <v>0</v>
      </c>
      <c r="R1144" s="110">
        <f t="shared" si="116"/>
        <v>0</v>
      </c>
      <c r="S1144" s="112">
        <v>0</v>
      </c>
    </row>
    <row r="1145" spans="1:19">
      <c r="A1145" s="79"/>
      <c r="B1145" s="77" t="s">
        <v>153</v>
      </c>
      <c r="C1145" s="76" t="s">
        <v>4</v>
      </c>
      <c r="D1145" s="143">
        <v>6</v>
      </c>
      <c r="E1145" s="59"/>
      <c r="F1145" s="334"/>
      <c r="G1145" s="112">
        <v>0</v>
      </c>
      <c r="H1145" s="120">
        <v>0</v>
      </c>
      <c r="I1145" s="120">
        <v>0</v>
      </c>
      <c r="J1145" s="120">
        <v>0</v>
      </c>
      <c r="K1145" s="110">
        <v>0</v>
      </c>
      <c r="L1145" s="110"/>
      <c r="M1145" s="110">
        <v>0</v>
      </c>
      <c r="N1145" s="110"/>
      <c r="O1145" s="110"/>
      <c r="P1145" s="110">
        <f t="shared" si="114"/>
        <v>0</v>
      </c>
      <c r="Q1145" s="110">
        <f t="shared" si="115"/>
        <v>0</v>
      </c>
      <c r="R1145" s="110">
        <f t="shared" si="116"/>
        <v>0</v>
      </c>
      <c r="S1145" s="112">
        <v>0</v>
      </c>
    </row>
    <row r="1146" spans="1:19">
      <c r="A1146" s="79"/>
      <c r="B1146" s="77" t="s">
        <v>154</v>
      </c>
      <c r="C1146" s="76"/>
      <c r="D1146" s="143"/>
      <c r="E1146" s="77"/>
      <c r="F1146" s="76"/>
      <c r="G1146" s="112">
        <v>0</v>
      </c>
      <c r="H1146" s="120">
        <v>0</v>
      </c>
      <c r="I1146" s="120">
        <v>0</v>
      </c>
      <c r="J1146" s="120">
        <v>0</v>
      </c>
      <c r="K1146" s="110">
        <v>0</v>
      </c>
      <c r="L1146" s="110"/>
      <c r="M1146" s="110">
        <v>0</v>
      </c>
      <c r="N1146" s="110"/>
      <c r="O1146" s="110"/>
      <c r="P1146" s="110">
        <f t="shared" si="114"/>
        <v>0</v>
      </c>
      <c r="Q1146" s="110">
        <f t="shared" si="115"/>
        <v>0</v>
      </c>
      <c r="R1146" s="110">
        <f t="shared" si="116"/>
        <v>0</v>
      </c>
      <c r="S1146" s="112">
        <v>0</v>
      </c>
    </row>
    <row r="1147" spans="1:19">
      <c r="A1147" s="79"/>
      <c r="B1147" s="77" t="s">
        <v>229</v>
      </c>
      <c r="C1147" s="76" t="s">
        <v>4</v>
      </c>
      <c r="D1147" s="143">
        <v>1</v>
      </c>
      <c r="E1147" s="77"/>
      <c r="F1147" s="334"/>
      <c r="G1147" s="112">
        <v>0</v>
      </c>
      <c r="H1147" s="120">
        <v>0</v>
      </c>
      <c r="I1147" s="120">
        <v>0</v>
      </c>
      <c r="J1147" s="120">
        <v>0</v>
      </c>
      <c r="K1147" s="110">
        <v>0</v>
      </c>
      <c r="L1147" s="110"/>
      <c r="M1147" s="110">
        <v>0</v>
      </c>
      <c r="N1147" s="110"/>
      <c r="O1147" s="110"/>
      <c r="P1147" s="110">
        <f t="shared" si="114"/>
        <v>0</v>
      </c>
      <c r="Q1147" s="110">
        <f t="shared" si="115"/>
        <v>0</v>
      </c>
      <c r="R1147" s="110">
        <f t="shared" si="116"/>
        <v>0</v>
      </c>
      <c r="S1147" s="112">
        <v>0</v>
      </c>
    </row>
    <row r="1148" spans="1:19">
      <c r="A1148" s="79"/>
      <c r="B1148" s="77" t="s">
        <v>311</v>
      </c>
      <c r="C1148" s="76" t="s">
        <v>4</v>
      </c>
      <c r="D1148" s="143">
        <v>1</v>
      </c>
      <c r="E1148" s="77"/>
      <c r="F1148" s="334"/>
      <c r="G1148" s="112">
        <v>0</v>
      </c>
      <c r="H1148" s="120">
        <v>0</v>
      </c>
      <c r="I1148" s="120">
        <v>0</v>
      </c>
      <c r="J1148" s="120">
        <v>0</v>
      </c>
      <c r="K1148" s="110">
        <v>0</v>
      </c>
      <c r="L1148" s="110"/>
      <c r="M1148" s="110">
        <v>0</v>
      </c>
      <c r="N1148" s="110"/>
      <c r="O1148" s="110"/>
      <c r="P1148" s="110">
        <f t="shared" si="114"/>
        <v>0</v>
      </c>
      <c r="Q1148" s="110">
        <f t="shared" si="115"/>
        <v>0</v>
      </c>
      <c r="R1148" s="110">
        <f t="shared" si="116"/>
        <v>0</v>
      </c>
      <c r="S1148" s="112">
        <v>0</v>
      </c>
    </row>
    <row r="1149" spans="1:19">
      <c r="A1149" s="79"/>
      <c r="B1149" s="77" t="s">
        <v>185</v>
      </c>
      <c r="C1149" s="76" t="s">
        <v>4</v>
      </c>
      <c r="D1149" s="143">
        <v>1</v>
      </c>
      <c r="E1149" s="77"/>
      <c r="F1149" s="334"/>
      <c r="G1149" s="112">
        <v>0</v>
      </c>
      <c r="H1149" s="120">
        <v>0</v>
      </c>
      <c r="I1149" s="120">
        <v>0</v>
      </c>
      <c r="J1149" s="120">
        <v>0</v>
      </c>
      <c r="K1149" s="110">
        <v>0</v>
      </c>
      <c r="L1149" s="110"/>
      <c r="M1149" s="110">
        <v>0</v>
      </c>
      <c r="N1149" s="110"/>
      <c r="O1149" s="110"/>
      <c r="P1149" s="110">
        <f t="shared" si="114"/>
        <v>0</v>
      </c>
      <c r="Q1149" s="110">
        <f t="shared" si="115"/>
        <v>0</v>
      </c>
      <c r="R1149" s="110">
        <f t="shared" si="116"/>
        <v>0</v>
      </c>
      <c r="S1149" s="112">
        <v>0</v>
      </c>
    </row>
    <row r="1150" spans="1:19">
      <c r="A1150" s="79"/>
      <c r="B1150" s="77" t="s">
        <v>306</v>
      </c>
      <c r="C1150" s="76" t="s">
        <v>4</v>
      </c>
      <c r="D1150" s="143">
        <v>1</v>
      </c>
      <c r="E1150" s="77"/>
      <c r="F1150" s="334"/>
      <c r="G1150" s="112">
        <v>0</v>
      </c>
      <c r="H1150" s="120">
        <v>0</v>
      </c>
      <c r="I1150" s="120">
        <v>0</v>
      </c>
      <c r="J1150" s="120">
        <v>0</v>
      </c>
      <c r="K1150" s="110">
        <v>0</v>
      </c>
      <c r="L1150" s="110"/>
      <c r="M1150" s="110">
        <v>0</v>
      </c>
      <c r="N1150" s="110"/>
      <c r="O1150" s="110"/>
      <c r="P1150" s="110">
        <f t="shared" si="114"/>
        <v>0</v>
      </c>
      <c r="Q1150" s="110">
        <f t="shared" si="115"/>
        <v>0</v>
      </c>
      <c r="R1150" s="110">
        <f t="shared" si="116"/>
        <v>0</v>
      </c>
      <c r="S1150" s="112">
        <v>0</v>
      </c>
    </row>
    <row r="1151" spans="1:19" ht="30">
      <c r="A1151" s="79"/>
      <c r="B1151" s="77" t="s">
        <v>334</v>
      </c>
      <c r="C1151" s="76" t="s">
        <v>8</v>
      </c>
      <c r="D1151" s="143">
        <v>1</v>
      </c>
      <c r="E1151" s="77"/>
      <c r="F1151" s="334"/>
      <c r="G1151" s="112">
        <v>0</v>
      </c>
      <c r="H1151" s="120">
        <v>0</v>
      </c>
      <c r="I1151" s="120">
        <v>0</v>
      </c>
      <c r="J1151" s="120">
        <v>0</v>
      </c>
      <c r="K1151" s="110">
        <v>0</v>
      </c>
      <c r="L1151" s="110"/>
      <c r="M1151" s="110">
        <v>0</v>
      </c>
      <c r="N1151" s="110"/>
      <c r="O1151" s="110"/>
      <c r="P1151" s="110">
        <f t="shared" si="114"/>
        <v>0</v>
      </c>
      <c r="Q1151" s="110">
        <f t="shared" si="115"/>
        <v>0</v>
      </c>
      <c r="R1151" s="110">
        <f t="shared" si="116"/>
        <v>0</v>
      </c>
      <c r="S1151" s="112">
        <v>0</v>
      </c>
    </row>
    <row r="1152" spans="1:19">
      <c r="A1152" s="79"/>
      <c r="B1152" s="77" t="s">
        <v>207</v>
      </c>
      <c r="C1152" s="76" t="s">
        <v>8</v>
      </c>
      <c r="D1152" s="143">
        <v>1</v>
      </c>
      <c r="E1152" s="77"/>
      <c r="F1152" s="334"/>
      <c r="G1152" s="112">
        <v>0</v>
      </c>
      <c r="H1152" s="120">
        <v>0</v>
      </c>
      <c r="I1152" s="120">
        <v>0</v>
      </c>
      <c r="J1152" s="120">
        <v>0</v>
      </c>
      <c r="K1152" s="110">
        <v>0</v>
      </c>
      <c r="L1152" s="110"/>
      <c r="M1152" s="110">
        <v>0</v>
      </c>
      <c r="N1152" s="110"/>
      <c r="O1152" s="110"/>
      <c r="P1152" s="110">
        <f t="shared" si="114"/>
        <v>0</v>
      </c>
      <c r="Q1152" s="110">
        <f t="shared" si="115"/>
        <v>0</v>
      </c>
      <c r="R1152" s="110">
        <f t="shared" si="116"/>
        <v>0</v>
      </c>
      <c r="S1152" s="112">
        <v>0</v>
      </c>
    </row>
    <row r="1153" spans="1:19" ht="45">
      <c r="A1153" s="79"/>
      <c r="B1153" s="77" t="s">
        <v>166</v>
      </c>
      <c r="C1153" s="76" t="s">
        <v>17</v>
      </c>
      <c r="D1153" s="143">
        <v>1</v>
      </c>
      <c r="E1153" s="77"/>
      <c r="F1153" s="334"/>
      <c r="G1153" s="112">
        <v>0</v>
      </c>
      <c r="H1153" s="120">
        <v>0</v>
      </c>
      <c r="I1153" s="120">
        <v>0</v>
      </c>
      <c r="J1153" s="120">
        <v>0</v>
      </c>
      <c r="K1153" s="110">
        <v>0</v>
      </c>
      <c r="L1153" s="110"/>
      <c r="M1153" s="110">
        <v>0</v>
      </c>
      <c r="N1153" s="110"/>
      <c r="O1153" s="110"/>
      <c r="P1153" s="110">
        <f t="shared" si="114"/>
        <v>0</v>
      </c>
      <c r="Q1153" s="110">
        <f t="shared" si="115"/>
        <v>0</v>
      </c>
      <c r="R1153" s="110">
        <f t="shared" si="116"/>
        <v>0</v>
      </c>
      <c r="S1153" s="112">
        <v>0</v>
      </c>
    </row>
    <row r="1154" spans="1:19" ht="60">
      <c r="A1154" s="79">
        <v>38</v>
      </c>
      <c r="B1154" s="77" t="s">
        <v>335</v>
      </c>
      <c r="C1154" s="76" t="s">
        <v>6</v>
      </c>
      <c r="D1154" s="143">
        <v>1</v>
      </c>
      <c r="E1154" s="77"/>
      <c r="F1154" s="334">
        <v>1</v>
      </c>
      <c r="G1154" s="112" t="s">
        <v>848</v>
      </c>
      <c r="H1154" s="120" t="s">
        <v>1076</v>
      </c>
      <c r="I1154" s="120" t="s">
        <v>828</v>
      </c>
      <c r="J1154" s="120" t="s">
        <v>829</v>
      </c>
      <c r="K1154" s="110">
        <v>39999200</v>
      </c>
      <c r="L1154" s="110"/>
      <c r="M1154" s="110">
        <v>3828500</v>
      </c>
      <c r="N1154" s="110"/>
      <c r="O1154" s="110"/>
      <c r="P1154" s="110">
        <f t="shared" si="114"/>
        <v>43827700</v>
      </c>
      <c r="Q1154" s="110">
        <f t="shared" si="115"/>
        <v>43827700</v>
      </c>
      <c r="R1154" s="110">
        <f t="shared" si="116"/>
        <v>43827700</v>
      </c>
      <c r="S1154" s="112" t="s">
        <v>4094</v>
      </c>
    </row>
    <row r="1155" spans="1:19" ht="45">
      <c r="A1155" s="79"/>
      <c r="B1155" s="77" t="s">
        <v>336</v>
      </c>
      <c r="C1155" s="76" t="s">
        <v>4</v>
      </c>
      <c r="D1155" s="143">
        <v>1</v>
      </c>
      <c r="E1155" s="77"/>
      <c r="F1155" s="334"/>
      <c r="G1155" s="112">
        <v>0</v>
      </c>
      <c r="H1155" s="120">
        <v>0</v>
      </c>
      <c r="I1155" s="120">
        <v>0</v>
      </c>
      <c r="J1155" s="120">
        <v>0</v>
      </c>
      <c r="K1155" s="110">
        <v>0</v>
      </c>
      <c r="L1155" s="110"/>
      <c r="M1155" s="110">
        <v>0</v>
      </c>
      <c r="N1155" s="110"/>
      <c r="O1155" s="110"/>
      <c r="P1155" s="110">
        <f t="shared" si="114"/>
        <v>0</v>
      </c>
      <c r="Q1155" s="110">
        <f t="shared" si="115"/>
        <v>0</v>
      </c>
      <c r="R1155" s="110">
        <f t="shared" si="116"/>
        <v>0</v>
      </c>
      <c r="S1155" s="112" t="s">
        <v>150</v>
      </c>
    </row>
    <row r="1156" spans="1:19">
      <c r="A1156" s="79"/>
      <c r="B1156" s="77" t="s">
        <v>151</v>
      </c>
      <c r="C1156" s="76"/>
      <c r="D1156" s="143"/>
      <c r="E1156" s="77"/>
      <c r="F1156" s="76"/>
      <c r="G1156" s="112">
        <v>0</v>
      </c>
      <c r="H1156" s="120">
        <v>0</v>
      </c>
      <c r="I1156" s="120">
        <v>0</v>
      </c>
      <c r="J1156" s="120">
        <v>0</v>
      </c>
      <c r="K1156" s="110">
        <v>0</v>
      </c>
      <c r="L1156" s="110"/>
      <c r="M1156" s="110">
        <v>0</v>
      </c>
      <c r="N1156" s="110"/>
      <c r="O1156" s="110"/>
      <c r="P1156" s="110">
        <f t="shared" si="114"/>
        <v>0</v>
      </c>
      <c r="Q1156" s="110">
        <f t="shared" si="115"/>
        <v>0</v>
      </c>
      <c r="R1156" s="110">
        <f t="shared" si="116"/>
        <v>0</v>
      </c>
      <c r="S1156" s="112">
        <v>0</v>
      </c>
    </row>
    <row r="1157" spans="1:19">
      <c r="A1157" s="79"/>
      <c r="B1157" s="77" t="s">
        <v>337</v>
      </c>
      <c r="C1157" s="76" t="s">
        <v>4</v>
      </c>
      <c r="D1157" s="143">
        <v>1</v>
      </c>
      <c r="E1157" s="77"/>
      <c r="F1157" s="334"/>
      <c r="G1157" s="112">
        <v>0</v>
      </c>
      <c r="H1157" s="120">
        <v>0</v>
      </c>
      <c r="I1157" s="120">
        <v>0</v>
      </c>
      <c r="J1157" s="120">
        <v>0</v>
      </c>
      <c r="K1157" s="110">
        <v>0</v>
      </c>
      <c r="L1157" s="110"/>
      <c r="M1157" s="110">
        <v>0</v>
      </c>
      <c r="N1157" s="110"/>
      <c r="O1157" s="110"/>
      <c r="P1157" s="110">
        <f t="shared" si="114"/>
        <v>0</v>
      </c>
      <c r="Q1157" s="110">
        <f t="shared" si="115"/>
        <v>0</v>
      </c>
      <c r="R1157" s="110">
        <f t="shared" si="116"/>
        <v>0</v>
      </c>
      <c r="S1157" s="112">
        <v>0</v>
      </c>
    </row>
    <row r="1158" spans="1:19">
      <c r="A1158" s="79"/>
      <c r="B1158" s="77" t="s">
        <v>57</v>
      </c>
      <c r="C1158" s="76" t="s">
        <v>12</v>
      </c>
      <c r="D1158" s="143">
        <v>3</v>
      </c>
      <c r="E1158" s="77"/>
      <c r="F1158" s="334"/>
      <c r="G1158" s="112">
        <v>0</v>
      </c>
      <c r="H1158" s="120">
        <v>0</v>
      </c>
      <c r="I1158" s="120">
        <v>0</v>
      </c>
      <c r="J1158" s="120">
        <v>0</v>
      </c>
      <c r="K1158" s="110">
        <v>0</v>
      </c>
      <c r="L1158" s="110"/>
      <c r="M1158" s="110">
        <v>0</v>
      </c>
      <c r="N1158" s="110"/>
      <c r="O1158" s="110"/>
      <c r="P1158" s="110">
        <f t="shared" si="114"/>
        <v>0</v>
      </c>
      <c r="Q1158" s="110">
        <f t="shared" si="115"/>
        <v>0</v>
      </c>
      <c r="R1158" s="110">
        <f t="shared" si="116"/>
        <v>0</v>
      </c>
      <c r="S1158" s="112">
        <v>0</v>
      </c>
    </row>
    <row r="1159" spans="1:19">
      <c r="A1159" s="79"/>
      <c r="B1159" s="77" t="s">
        <v>29</v>
      </c>
      <c r="C1159" s="76" t="s">
        <v>4</v>
      </c>
      <c r="D1159" s="143">
        <v>1</v>
      </c>
      <c r="E1159" s="77"/>
      <c r="F1159" s="334"/>
      <c r="G1159" s="112">
        <v>0</v>
      </c>
      <c r="H1159" s="120">
        <v>0</v>
      </c>
      <c r="I1159" s="120">
        <v>0</v>
      </c>
      <c r="J1159" s="120">
        <v>0</v>
      </c>
      <c r="K1159" s="110">
        <v>0</v>
      </c>
      <c r="L1159" s="110"/>
      <c r="M1159" s="110">
        <v>0</v>
      </c>
      <c r="N1159" s="110"/>
      <c r="O1159" s="110"/>
      <c r="P1159" s="110">
        <f t="shared" si="114"/>
        <v>0</v>
      </c>
      <c r="Q1159" s="110">
        <f t="shared" si="115"/>
        <v>0</v>
      </c>
      <c r="R1159" s="110">
        <f t="shared" si="116"/>
        <v>0</v>
      </c>
      <c r="S1159" s="112">
        <v>0</v>
      </c>
    </row>
    <row r="1160" spans="1:19">
      <c r="A1160" s="79"/>
      <c r="B1160" s="77" t="s">
        <v>30</v>
      </c>
      <c r="C1160" s="76" t="s">
        <v>4</v>
      </c>
      <c r="D1160" s="143">
        <v>1</v>
      </c>
      <c r="E1160" s="77"/>
      <c r="F1160" s="334"/>
      <c r="G1160" s="112">
        <v>0</v>
      </c>
      <c r="H1160" s="120">
        <v>0</v>
      </c>
      <c r="I1160" s="120">
        <v>0</v>
      </c>
      <c r="J1160" s="120">
        <v>0</v>
      </c>
      <c r="K1160" s="110">
        <v>0</v>
      </c>
      <c r="L1160" s="110"/>
      <c r="M1160" s="110">
        <v>0</v>
      </c>
      <c r="N1160" s="110"/>
      <c r="O1160" s="110"/>
      <c r="P1160" s="110">
        <f t="shared" si="114"/>
        <v>0</v>
      </c>
      <c r="Q1160" s="110">
        <f t="shared" si="115"/>
        <v>0</v>
      </c>
      <c r="R1160" s="110">
        <f t="shared" si="116"/>
        <v>0</v>
      </c>
      <c r="S1160" s="112">
        <v>0</v>
      </c>
    </row>
    <row r="1161" spans="1:19">
      <c r="A1161" s="79"/>
      <c r="B1161" s="77" t="s">
        <v>184</v>
      </c>
      <c r="C1161" s="76" t="s">
        <v>4</v>
      </c>
      <c r="D1161" s="143">
        <v>3</v>
      </c>
      <c r="E1161" s="77"/>
      <c r="F1161" s="334"/>
      <c r="G1161" s="112">
        <v>0</v>
      </c>
      <c r="H1161" s="120">
        <v>0</v>
      </c>
      <c r="I1161" s="120">
        <v>0</v>
      </c>
      <c r="J1161" s="120">
        <v>0</v>
      </c>
      <c r="K1161" s="110">
        <v>0</v>
      </c>
      <c r="L1161" s="110"/>
      <c r="M1161" s="110">
        <v>0</v>
      </c>
      <c r="N1161" s="110"/>
      <c r="O1161" s="110"/>
      <c r="P1161" s="110">
        <f t="shared" si="114"/>
        <v>0</v>
      </c>
      <c r="Q1161" s="110">
        <f t="shared" si="115"/>
        <v>0</v>
      </c>
      <c r="R1161" s="110">
        <f t="shared" si="116"/>
        <v>0</v>
      </c>
      <c r="S1161" s="112">
        <v>0</v>
      </c>
    </row>
    <row r="1162" spans="1:19">
      <c r="A1162" s="79"/>
      <c r="B1162" s="77" t="s">
        <v>14</v>
      </c>
      <c r="C1162" s="76" t="s">
        <v>4</v>
      </c>
      <c r="D1162" s="143">
        <v>3</v>
      </c>
      <c r="E1162" s="77"/>
      <c r="F1162" s="334"/>
      <c r="G1162" s="112">
        <v>0</v>
      </c>
      <c r="H1162" s="120">
        <v>0</v>
      </c>
      <c r="I1162" s="120">
        <v>0</v>
      </c>
      <c r="J1162" s="120">
        <v>0</v>
      </c>
      <c r="K1162" s="110">
        <v>0</v>
      </c>
      <c r="L1162" s="110"/>
      <c r="M1162" s="110">
        <v>0</v>
      </c>
      <c r="N1162" s="110"/>
      <c r="O1162" s="110"/>
      <c r="P1162" s="110">
        <f t="shared" si="114"/>
        <v>0</v>
      </c>
      <c r="Q1162" s="110">
        <f t="shared" si="115"/>
        <v>0</v>
      </c>
      <c r="R1162" s="110">
        <f t="shared" si="116"/>
        <v>0</v>
      </c>
      <c r="S1162" s="112">
        <v>0</v>
      </c>
    </row>
    <row r="1163" spans="1:19">
      <c r="A1163" s="79"/>
      <c r="B1163" s="77" t="s">
        <v>153</v>
      </c>
      <c r="C1163" s="76" t="s">
        <v>4</v>
      </c>
      <c r="D1163" s="143">
        <v>3</v>
      </c>
      <c r="E1163" s="77"/>
      <c r="F1163" s="334"/>
      <c r="G1163" s="112">
        <v>0</v>
      </c>
      <c r="H1163" s="120">
        <v>0</v>
      </c>
      <c r="I1163" s="120">
        <v>0</v>
      </c>
      <c r="J1163" s="120">
        <v>0</v>
      </c>
      <c r="K1163" s="110">
        <v>0</v>
      </c>
      <c r="L1163" s="110"/>
      <c r="M1163" s="110">
        <v>0</v>
      </c>
      <c r="N1163" s="110"/>
      <c r="O1163" s="110"/>
      <c r="P1163" s="110">
        <f t="shared" si="114"/>
        <v>0</v>
      </c>
      <c r="Q1163" s="110">
        <f t="shared" si="115"/>
        <v>0</v>
      </c>
      <c r="R1163" s="110">
        <f t="shared" si="116"/>
        <v>0</v>
      </c>
      <c r="S1163" s="112">
        <v>0</v>
      </c>
    </row>
    <row r="1164" spans="1:19">
      <c r="A1164" s="79"/>
      <c r="B1164" s="77" t="s">
        <v>154</v>
      </c>
      <c r="C1164" s="76"/>
      <c r="D1164" s="143"/>
      <c r="E1164" s="77"/>
      <c r="F1164" s="76"/>
      <c r="G1164" s="112">
        <v>0</v>
      </c>
      <c r="H1164" s="120">
        <v>0</v>
      </c>
      <c r="I1164" s="120">
        <v>0</v>
      </c>
      <c r="J1164" s="120">
        <v>0</v>
      </c>
      <c r="K1164" s="110">
        <v>0</v>
      </c>
      <c r="L1164" s="110"/>
      <c r="M1164" s="110">
        <v>0</v>
      </c>
      <c r="N1164" s="110"/>
      <c r="O1164" s="110"/>
      <c r="P1164" s="110">
        <f t="shared" si="114"/>
        <v>0</v>
      </c>
      <c r="Q1164" s="110">
        <f t="shared" si="115"/>
        <v>0</v>
      </c>
      <c r="R1164" s="110">
        <f t="shared" si="116"/>
        <v>0</v>
      </c>
      <c r="S1164" s="112">
        <v>0</v>
      </c>
    </row>
    <row r="1165" spans="1:19">
      <c r="A1165" s="79"/>
      <c r="B1165" s="77" t="s">
        <v>170</v>
      </c>
      <c r="C1165" s="76" t="s">
        <v>4</v>
      </c>
      <c r="D1165" s="143">
        <v>7</v>
      </c>
      <c r="E1165" s="77"/>
      <c r="F1165" s="334"/>
      <c r="G1165" s="112">
        <v>0</v>
      </c>
      <c r="H1165" s="120">
        <v>0</v>
      </c>
      <c r="I1165" s="120">
        <v>0</v>
      </c>
      <c r="J1165" s="120">
        <v>0</v>
      </c>
      <c r="K1165" s="110">
        <v>0</v>
      </c>
      <c r="L1165" s="110"/>
      <c r="M1165" s="110">
        <v>0</v>
      </c>
      <c r="N1165" s="110"/>
      <c r="O1165" s="110"/>
      <c r="P1165" s="110">
        <f t="shared" si="114"/>
        <v>0</v>
      </c>
      <c r="Q1165" s="110">
        <f t="shared" si="115"/>
        <v>0</v>
      </c>
      <c r="R1165" s="110">
        <f t="shared" si="116"/>
        <v>0</v>
      </c>
      <c r="S1165" s="112">
        <v>0</v>
      </c>
    </row>
    <row r="1166" spans="1:19">
      <c r="A1166" s="79"/>
      <c r="B1166" s="77" t="s">
        <v>156</v>
      </c>
      <c r="C1166" s="76" t="s">
        <v>4</v>
      </c>
      <c r="D1166" s="143">
        <v>28</v>
      </c>
      <c r="E1166" s="77"/>
      <c r="F1166" s="334"/>
      <c r="G1166" s="112">
        <v>0</v>
      </c>
      <c r="H1166" s="120">
        <v>0</v>
      </c>
      <c r="I1166" s="120">
        <v>0</v>
      </c>
      <c r="J1166" s="120">
        <v>0</v>
      </c>
      <c r="K1166" s="110">
        <v>0</v>
      </c>
      <c r="L1166" s="110"/>
      <c r="M1166" s="110">
        <v>0</v>
      </c>
      <c r="N1166" s="110"/>
      <c r="O1166" s="110"/>
      <c r="P1166" s="110">
        <f t="shared" si="114"/>
        <v>0</v>
      </c>
      <c r="Q1166" s="110">
        <f t="shared" si="115"/>
        <v>0</v>
      </c>
      <c r="R1166" s="110">
        <f t="shared" si="116"/>
        <v>0</v>
      </c>
      <c r="S1166" s="112">
        <v>0</v>
      </c>
    </row>
    <row r="1167" spans="1:19">
      <c r="A1167" s="79"/>
      <c r="B1167" s="77" t="s">
        <v>158</v>
      </c>
      <c r="C1167" s="76" t="s">
        <v>4</v>
      </c>
      <c r="D1167" s="143">
        <v>1</v>
      </c>
      <c r="E1167" s="59"/>
      <c r="F1167" s="334"/>
      <c r="G1167" s="112">
        <v>0</v>
      </c>
      <c r="H1167" s="120">
        <v>0</v>
      </c>
      <c r="I1167" s="120">
        <v>0</v>
      </c>
      <c r="J1167" s="120">
        <v>0</v>
      </c>
      <c r="K1167" s="110">
        <v>0</v>
      </c>
      <c r="L1167" s="110"/>
      <c r="M1167" s="110">
        <v>0</v>
      </c>
      <c r="N1167" s="110"/>
      <c r="O1167" s="110"/>
      <c r="P1167" s="110">
        <f t="shared" si="114"/>
        <v>0</v>
      </c>
      <c r="Q1167" s="110">
        <f t="shared" si="115"/>
        <v>0</v>
      </c>
      <c r="R1167" s="110">
        <f t="shared" si="116"/>
        <v>0</v>
      </c>
      <c r="S1167" s="112">
        <v>0</v>
      </c>
    </row>
    <row r="1168" spans="1:19">
      <c r="A1168" s="79"/>
      <c r="B1168" s="77" t="s">
        <v>265</v>
      </c>
      <c r="C1168" s="76" t="s">
        <v>8</v>
      </c>
      <c r="D1168" s="143">
        <v>4</v>
      </c>
      <c r="E1168" s="73"/>
      <c r="F1168" s="334"/>
      <c r="G1168" s="112">
        <v>0</v>
      </c>
      <c r="H1168" s="120">
        <v>0</v>
      </c>
      <c r="I1168" s="120">
        <v>0</v>
      </c>
      <c r="J1168" s="120">
        <v>0</v>
      </c>
      <c r="K1168" s="110">
        <v>0</v>
      </c>
      <c r="L1168" s="110"/>
      <c r="M1168" s="110">
        <v>0</v>
      </c>
      <c r="N1168" s="110"/>
      <c r="O1168" s="110"/>
      <c r="P1168" s="110">
        <f t="shared" si="114"/>
        <v>0</v>
      </c>
      <c r="Q1168" s="110">
        <f t="shared" si="115"/>
        <v>0</v>
      </c>
      <c r="R1168" s="110">
        <f t="shared" si="116"/>
        <v>0</v>
      </c>
      <c r="S1168" s="112">
        <v>0</v>
      </c>
    </row>
    <row r="1169" spans="1:19">
      <c r="A1169" s="79"/>
      <c r="B1169" s="77" t="s">
        <v>172</v>
      </c>
      <c r="C1169" s="76" t="s">
        <v>4</v>
      </c>
      <c r="D1169" s="143">
        <v>4</v>
      </c>
      <c r="E1169" s="50"/>
      <c r="F1169" s="334"/>
      <c r="G1169" s="112">
        <v>0</v>
      </c>
      <c r="H1169" s="120">
        <v>0</v>
      </c>
      <c r="I1169" s="120">
        <v>0</v>
      </c>
      <c r="J1169" s="120">
        <v>0</v>
      </c>
      <c r="K1169" s="110">
        <v>0</v>
      </c>
      <c r="L1169" s="110"/>
      <c r="M1169" s="110">
        <v>0</v>
      </c>
      <c r="N1169" s="110"/>
      <c r="O1169" s="110"/>
      <c r="P1169" s="110">
        <f t="shared" si="114"/>
        <v>0</v>
      </c>
      <c r="Q1169" s="110">
        <f t="shared" si="115"/>
        <v>0</v>
      </c>
      <c r="R1169" s="110">
        <f t="shared" si="116"/>
        <v>0</v>
      </c>
      <c r="S1169" s="112">
        <v>0</v>
      </c>
    </row>
    <row r="1170" spans="1:19">
      <c r="A1170" s="79"/>
      <c r="B1170" s="77" t="s">
        <v>173</v>
      </c>
      <c r="C1170" s="76" t="s">
        <v>4</v>
      </c>
      <c r="D1170" s="143">
        <v>4</v>
      </c>
      <c r="E1170" s="57"/>
      <c r="F1170" s="334"/>
      <c r="G1170" s="112">
        <v>0</v>
      </c>
      <c r="H1170" s="120">
        <v>0</v>
      </c>
      <c r="I1170" s="120">
        <v>0</v>
      </c>
      <c r="J1170" s="120">
        <v>0</v>
      </c>
      <c r="K1170" s="110">
        <v>0</v>
      </c>
      <c r="L1170" s="110"/>
      <c r="M1170" s="110">
        <v>0</v>
      </c>
      <c r="N1170" s="110"/>
      <c r="O1170" s="110"/>
      <c r="P1170" s="110">
        <f t="shared" si="114"/>
        <v>0</v>
      </c>
      <c r="Q1170" s="110">
        <f t="shared" si="115"/>
        <v>0</v>
      </c>
      <c r="R1170" s="110">
        <f t="shared" si="116"/>
        <v>0</v>
      </c>
      <c r="S1170" s="112">
        <v>0</v>
      </c>
    </row>
    <row r="1171" spans="1:19">
      <c r="A1171" s="79"/>
      <c r="B1171" s="77" t="s">
        <v>266</v>
      </c>
      <c r="C1171" s="76" t="s">
        <v>4</v>
      </c>
      <c r="D1171" s="143">
        <v>4</v>
      </c>
      <c r="E1171" s="50"/>
      <c r="F1171" s="334"/>
      <c r="G1171" s="112">
        <v>0</v>
      </c>
      <c r="H1171" s="120">
        <v>0</v>
      </c>
      <c r="I1171" s="120">
        <v>0</v>
      </c>
      <c r="J1171" s="120">
        <v>0</v>
      </c>
      <c r="K1171" s="110">
        <v>0</v>
      </c>
      <c r="L1171" s="110"/>
      <c r="M1171" s="110">
        <v>0</v>
      </c>
      <c r="N1171" s="110"/>
      <c r="O1171" s="110"/>
      <c r="P1171" s="110">
        <f t="shared" si="114"/>
        <v>0</v>
      </c>
      <c r="Q1171" s="110">
        <f t="shared" si="115"/>
        <v>0</v>
      </c>
      <c r="R1171" s="110">
        <f t="shared" si="116"/>
        <v>0</v>
      </c>
      <c r="S1171" s="112">
        <v>0</v>
      </c>
    </row>
    <row r="1172" spans="1:19">
      <c r="A1172" s="79"/>
      <c r="B1172" s="77" t="s">
        <v>175</v>
      </c>
      <c r="C1172" s="76" t="s">
        <v>4</v>
      </c>
      <c r="D1172" s="143">
        <v>4</v>
      </c>
      <c r="E1172" s="50"/>
      <c r="F1172" s="334"/>
      <c r="G1172" s="112">
        <v>0</v>
      </c>
      <c r="H1172" s="120">
        <v>0</v>
      </c>
      <c r="I1172" s="120">
        <v>0</v>
      </c>
      <c r="J1172" s="120">
        <v>0</v>
      </c>
      <c r="K1172" s="110">
        <v>0</v>
      </c>
      <c r="L1172" s="110"/>
      <c r="M1172" s="110">
        <v>0</v>
      </c>
      <c r="N1172" s="110"/>
      <c r="O1172" s="110"/>
      <c r="P1172" s="110">
        <f t="shared" si="114"/>
        <v>0</v>
      </c>
      <c r="Q1172" s="110">
        <f t="shared" si="115"/>
        <v>0</v>
      </c>
      <c r="R1172" s="110">
        <f t="shared" si="116"/>
        <v>0</v>
      </c>
      <c r="S1172" s="112">
        <v>0</v>
      </c>
    </row>
    <row r="1173" spans="1:19">
      <c r="A1173" s="79"/>
      <c r="B1173" s="77" t="s">
        <v>176</v>
      </c>
      <c r="C1173" s="76" t="s">
        <v>4</v>
      </c>
      <c r="D1173" s="143">
        <v>8</v>
      </c>
      <c r="E1173" s="50"/>
      <c r="F1173" s="334"/>
      <c r="G1173" s="112">
        <v>0</v>
      </c>
      <c r="H1173" s="120">
        <v>0</v>
      </c>
      <c r="I1173" s="120">
        <v>0</v>
      </c>
      <c r="J1173" s="120">
        <v>0</v>
      </c>
      <c r="K1173" s="110">
        <v>0</v>
      </c>
      <c r="L1173" s="110"/>
      <c r="M1173" s="110">
        <v>0</v>
      </c>
      <c r="N1173" s="110"/>
      <c r="O1173" s="110"/>
      <c r="P1173" s="110">
        <f t="shared" si="114"/>
        <v>0</v>
      </c>
      <c r="Q1173" s="110">
        <f t="shared" si="115"/>
        <v>0</v>
      </c>
      <c r="R1173" s="110">
        <f t="shared" si="116"/>
        <v>0</v>
      </c>
      <c r="S1173" s="112">
        <v>0</v>
      </c>
    </row>
    <row r="1174" spans="1:19">
      <c r="A1174" s="79"/>
      <c r="B1174" s="77" t="s">
        <v>177</v>
      </c>
      <c r="C1174" s="76" t="s">
        <v>17</v>
      </c>
      <c r="D1174" s="143">
        <v>1</v>
      </c>
      <c r="E1174" s="50"/>
      <c r="F1174" s="334"/>
      <c r="G1174" s="112">
        <v>0</v>
      </c>
      <c r="H1174" s="120">
        <v>0</v>
      </c>
      <c r="I1174" s="120">
        <v>0</v>
      </c>
      <c r="J1174" s="120">
        <v>0</v>
      </c>
      <c r="K1174" s="110">
        <v>0</v>
      </c>
      <c r="L1174" s="110"/>
      <c r="M1174" s="110">
        <v>0</v>
      </c>
      <c r="N1174" s="110"/>
      <c r="O1174" s="110"/>
      <c r="P1174" s="110">
        <f t="shared" si="114"/>
        <v>0</v>
      </c>
      <c r="Q1174" s="110">
        <f t="shared" si="115"/>
        <v>0</v>
      </c>
      <c r="R1174" s="110">
        <f t="shared" si="116"/>
        <v>0</v>
      </c>
      <c r="S1174" s="112">
        <v>0</v>
      </c>
    </row>
    <row r="1175" spans="1:19">
      <c r="A1175" s="79"/>
      <c r="B1175" s="77" t="s">
        <v>216</v>
      </c>
      <c r="C1175" s="76" t="s">
        <v>8</v>
      </c>
      <c r="D1175" s="143">
        <v>3</v>
      </c>
      <c r="E1175" s="74"/>
      <c r="F1175" s="334"/>
      <c r="G1175" s="112">
        <v>0</v>
      </c>
      <c r="H1175" s="120">
        <v>0</v>
      </c>
      <c r="I1175" s="120">
        <v>0</v>
      </c>
      <c r="J1175" s="120">
        <v>0</v>
      </c>
      <c r="K1175" s="110">
        <v>0</v>
      </c>
      <c r="L1175" s="110"/>
      <c r="M1175" s="110">
        <v>0</v>
      </c>
      <c r="N1175" s="110"/>
      <c r="O1175" s="110"/>
      <c r="P1175" s="110">
        <f t="shared" si="114"/>
        <v>0</v>
      </c>
      <c r="Q1175" s="110">
        <f t="shared" si="115"/>
        <v>0</v>
      </c>
      <c r="R1175" s="110">
        <f t="shared" si="116"/>
        <v>0</v>
      </c>
      <c r="S1175" s="112">
        <v>0</v>
      </c>
    </row>
    <row r="1176" spans="1:19">
      <c r="A1176" s="79"/>
      <c r="B1176" s="77" t="s">
        <v>172</v>
      </c>
      <c r="C1176" s="76" t="s">
        <v>4</v>
      </c>
      <c r="D1176" s="143">
        <v>3</v>
      </c>
      <c r="E1176" s="74"/>
      <c r="F1176" s="334"/>
      <c r="G1176" s="112">
        <v>0</v>
      </c>
      <c r="H1176" s="120">
        <v>0</v>
      </c>
      <c r="I1176" s="120">
        <v>0</v>
      </c>
      <c r="J1176" s="120">
        <v>0</v>
      </c>
      <c r="K1176" s="110">
        <v>0</v>
      </c>
      <c r="L1176" s="110"/>
      <c r="M1176" s="110">
        <v>0</v>
      </c>
      <c r="N1176" s="110"/>
      <c r="O1176" s="110"/>
      <c r="P1176" s="110">
        <f t="shared" si="114"/>
        <v>0</v>
      </c>
      <c r="Q1176" s="110">
        <f t="shared" si="115"/>
        <v>0</v>
      </c>
      <c r="R1176" s="110">
        <f t="shared" si="116"/>
        <v>0</v>
      </c>
      <c r="S1176" s="112">
        <v>0</v>
      </c>
    </row>
    <row r="1177" spans="1:19">
      <c r="A1177" s="79"/>
      <c r="B1177" s="77" t="s">
        <v>173</v>
      </c>
      <c r="C1177" s="76" t="s">
        <v>4</v>
      </c>
      <c r="D1177" s="143">
        <v>3</v>
      </c>
      <c r="E1177" s="74"/>
      <c r="F1177" s="334"/>
      <c r="G1177" s="112">
        <v>0</v>
      </c>
      <c r="H1177" s="120">
        <v>0</v>
      </c>
      <c r="I1177" s="120">
        <v>0</v>
      </c>
      <c r="J1177" s="120">
        <v>0</v>
      </c>
      <c r="K1177" s="110">
        <v>0</v>
      </c>
      <c r="L1177" s="110"/>
      <c r="M1177" s="110">
        <v>0</v>
      </c>
      <c r="N1177" s="110"/>
      <c r="O1177" s="110"/>
      <c r="P1177" s="110">
        <f t="shared" si="114"/>
        <v>0</v>
      </c>
      <c r="Q1177" s="110">
        <f t="shared" si="115"/>
        <v>0</v>
      </c>
      <c r="R1177" s="110">
        <f t="shared" si="116"/>
        <v>0</v>
      </c>
      <c r="S1177" s="112">
        <v>0</v>
      </c>
    </row>
    <row r="1178" spans="1:19">
      <c r="A1178" s="79"/>
      <c r="B1178" s="77" t="s">
        <v>180</v>
      </c>
      <c r="C1178" s="76" t="s">
        <v>4</v>
      </c>
      <c r="D1178" s="143">
        <v>3</v>
      </c>
      <c r="E1178" s="74"/>
      <c r="F1178" s="334"/>
      <c r="G1178" s="112">
        <v>0</v>
      </c>
      <c r="H1178" s="120">
        <v>0</v>
      </c>
      <c r="I1178" s="120">
        <v>0</v>
      </c>
      <c r="J1178" s="120">
        <v>0</v>
      </c>
      <c r="K1178" s="110">
        <v>0</v>
      </c>
      <c r="L1178" s="110"/>
      <c r="M1178" s="110">
        <v>0</v>
      </c>
      <c r="N1178" s="110"/>
      <c r="O1178" s="110"/>
      <c r="P1178" s="110">
        <f t="shared" si="114"/>
        <v>0</v>
      </c>
      <c r="Q1178" s="110">
        <f t="shared" si="115"/>
        <v>0</v>
      </c>
      <c r="R1178" s="110">
        <f t="shared" si="116"/>
        <v>0</v>
      </c>
      <c r="S1178" s="112">
        <v>0</v>
      </c>
    </row>
    <row r="1179" spans="1:19">
      <c r="A1179" s="79"/>
      <c r="B1179" s="77" t="s">
        <v>175</v>
      </c>
      <c r="C1179" s="76" t="s">
        <v>4</v>
      </c>
      <c r="D1179" s="143">
        <v>3</v>
      </c>
      <c r="E1179" s="74"/>
      <c r="F1179" s="334"/>
      <c r="G1179" s="112">
        <v>0</v>
      </c>
      <c r="H1179" s="120">
        <v>0</v>
      </c>
      <c r="I1179" s="120">
        <v>0</v>
      </c>
      <c r="J1179" s="120">
        <v>0</v>
      </c>
      <c r="K1179" s="110">
        <v>0</v>
      </c>
      <c r="L1179" s="110"/>
      <c r="M1179" s="110">
        <v>0</v>
      </c>
      <c r="N1179" s="110"/>
      <c r="O1179" s="110"/>
      <c r="P1179" s="110">
        <f t="shared" si="114"/>
        <v>0</v>
      </c>
      <c r="Q1179" s="110">
        <f t="shared" si="115"/>
        <v>0</v>
      </c>
      <c r="R1179" s="110">
        <f t="shared" si="116"/>
        <v>0</v>
      </c>
      <c r="S1179" s="112">
        <v>0</v>
      </c>
    </row>
    <row r="1180" spans="1:19">
      <c r="A1180" s="79"/>
      <c r="B1180" s="77" t="s">
        <v>176</v>
      </c>
      <c r="C1180" s="76" t="s">
        <v>4</v>
      </c>
      <c r="D1180" s="143">
        <v>6</v>
      </c>
      <c r="E1180" s="74"/>
      <c r="F1180" s="334"/>
      <c r="G1180" s="112">
        <v>0</v>
      </c>
      <c r="H1180" s="120">
        <v>0</v>
      </c>
      <c r="I1180" s="120">
        <v>0</v>
      </c>
      <c r="J1180" s="120">
        <v>0</v>
      </c>
      <c r="K1180" s="110">
        <v>0</v>
      </c>
      <c r="L1180" s="110"/>
      <c r="M1180" s="110">
        <v>0</v>
      </c>
      <c r="N1180" s="110"/>
      <c r="O1180" s="110"/>
      <c r="P1180" s="110">
        <f t="shared" si="114"/>
        <v>0</v>
      </c>
      <c r="Q1180" s="110">
        <f t="shared" si="115"/>
        <v>0</v>
      </c>
      <c r="R1180" s="110">
        <f t="shared" si="116"/>
        <v>0</v>
      </c>
      <c r="S1180" s="112">
        <v>0</v>
      </c>
    </row>
    <row r="1181" spans="1:19">
      <c r="A1181" s="79"/>
      <c r="B1181" s="77" t="s">
        <v>177</v>
      </c>
      <c r="C1181" s="76" t="s">
        <v>17</v>
      </c>
      <c r="D1181" s="143">
        <v>1</v>
      </c>
      <c r="E1181" s="73"/>
      <c r="F1181" s="334"/>
      <c r="G1181" s="112">
        <v>0</v>
      </c>
      <c r="H1181" s="120">
        <v>0</v>
      </c>
      <c r="I1181" s="120">
        <v>0</v>
      </c>
      <c r="J1181" s="120">
        <v>0</v>
      </c>
      <c r="K1181" s="110">
        <v>0</v>
      </c>
      <c r="L1181" s="110"/>
      <c r="M1181" s="110">
        <v>0</v>
      </c>
      <c r="N1181" s="110"/>
      <c r="O1181" s="110"/>
      <c r="P1181" s="110">
        <f t="shared" si="114"/>
        <v>0</v>
      </c>
      <c r="Q1181" s="110">
        <f t="shared" si="115"/>
        <v>0</v>
      </c>
      <c r="R1181" s="110">
        <f t="shared" si="116"/>
        <v>0</v>
      </c>
      <c r="S1181" s="112">
        <v>0</v>
      </c>
    </row>
    <row r="1182" spans="1:19">
      <c r="A1182" s="79"/>
      <c r="B1182" s="77" t="s">
        <v>163</v>
      </c>
      <c r="C1182" s="76" t="s">
        <v>4</v>
      </c>
      <c r="D1182" s="143">
        <v>1</v>
      </c>
      <c r="E1182" s="74"/>
      <c r="F1182" s="334"/>
      <c r="G1182" s="112">
        <v>0</v>
      </c>
      <c r="H1182" s="120">
        <v>0</v>
      </c>
      <c r="I1182" s="120">
        <v>0</v>
      </c>
      <c r="J1182" s="120">
        <v>0</v>
      </c>
      <c r="K1182" s="110">
        <v>0</v>
      </c>
      <c r="L1182" s="110"/>
      <c r="M1182" s="110">
        <v>0</v>
      </c>
      <c r="N1182" s="110"/>
      <c r="O1182" s="110"/>
      <c r="P1182" s="110">
        <f t="shared" si="114"/>
        <v>0</v>
      </c>
      <c r="Q1182" s="110">
        <f t="shared" si="115"/>
        <v>0</v>
      </c>
      <c r="R1182" s="110">
        <f t="shared" si="116"/>
        <v>0</v>
      </c>
      <c r="S1182" s="112">
        <v>0</v>
      </c>
    </row>
    <row r="1183" spans="1:19" ht="30">
      <c r="A1183" s="79"/>
      <c r="B1183" s="77" t="s">
        <v>338</v>
      </c>
      <c r="C1183" s="76" t="s">
        <v>8</v>
      </c>
      <c r="D1183" s="143">
        <v>1</v>
      </c>
      <c r="E1183" s="74"/>
      <c r="F1183" s="334"/>
      <c r="G1183" s="112">
        <v>0</v>
      </c>
      <c r="H1183" s="120">
        <v>0</v>
      </c>
      <c r="I1183" s="120">
        <v>0</v>
      </c>
      <c r="J1183" s="120">
        <v>0</v>
      </c>
      <c r="K1183" s="110">
        <v>0</v>
      </c>
      <c r="L1183" s="110"/>
      <c r="M1183" s="110">
        <v>0</v>
      </c>
      <c r="N1183" s="110"/>
      <c r="O1183" s="110"/>
      <c r="P1183" s="110">
        <f t="shared" si="114"/>
        <v>0</v>
      </c>
      <c r="Q1183" s="110">
        <f t="shared" si="115"/>
        <v>0</v>
      </c>
      <c r="R1183" s="110">
        <f t="shared" si="116"/>
        <v>0</v>
      </c>
      <c r="S1183" s="112">
        <v>0</v>
      </c>
    </row>
    <row r="1184" spans="1:19">
      <c r="A1184" s="79"/>
      <c r="B1184" s="77" t="s">
        <v>207</v>
      </c>
      <c r="C1184" s="76" t="s">
        <v>8</v>
      </c>
      <c r="D1184" s="143">
        <v>1</v>
      </c>
      <c r="E1184" s="74"/>
      <c r="F1184" s="334"/>
      <c r="G1184" s="112">
        <v>0</v>
      </c>
      <c r="H1184" s="120">
        <v>0</v>
      </c>
      <c r="I1184" s="120">
        <v>0</v>
      </c>
      <c r="J1184" s="120">
        <v>0</v>
      </c>
      <c r="K1184" s="110">
        <v>0</v>
      </c>
      <c r="L1184" s="110"/>
      <c r="M1184" s="110">
        <v>0</v>
      </c>
      <c r="N1184" s="110"/>
      <c r="O1184" s="110"/>
      <c r="P1184" s="110">
        <f t="shared" si="114"/>
        <v>0</v>
      </c>
      <c r="Q1184" s="110">
        <f t="shared" si="115"/>
        <v>0</v>
      </c>
      <c r="R1184" s="110">
        <f t="shared" si="116"/>
        <v>0</v>
      </c>
      <c r="S1184" s="112">
        <v>0</v>
      </c>
    </row>
    <row r="1185" spans="1:19" ht="45">
      <c r="A1185" s="79"/>
      <c r="B1185" s="77" t="s">
        <v>166</v>
      </c>
      <c r="C1185" s="76" t="s">
        <v>17</v>
      </c>
      <c r="D1185" s="143">
        <v>1</v>
      </c>
      <c r="E1185" s="74"/>
      <c r="F1185" s="334"/>
      <c r="G1185" s="112">
        <v>0</v>
      </c>
      <c r="H1185" s="120">
        <v>0</v>
      </c>
      <c r="I1185" s="120">
        <v>0</v>
      </c>
      <c r="J1185" s="120">
        <v>0</v>
      </c>
      <c r="K1185" s="110">
        <v>0</v>
      </c>
      <c r="L1185" s="110"/>
      <c r="M1185" s="110">
        <v>0</v>
      </c>
      <c r="N1185" s="110"/>
      <c r="O1185" s="110"/>
      <c r="P1185" s="110">
        <f t="shared" si="114"/>
        <v>0</v>
      </c>
      <c r="Q1185" s="110">
        <f t="shared" si="115"/>
        <v>0</v>
      </c>
      <c r="R1185" s="110">
        <f t="shared" si="116"/>
        <v>0</v>
      </c>
      <c r="S1185" s="112">
        <v>0</v>
      </c>
    </row>
    <row r="1186" spans="1:19" ht="60">
      <c r="A1186" s="79">
        <v>39</v>
      </c>
      <c r="B1186" s="77" t="s">
        <v>339</v>
      </c>
      <c r="C1186" s="76" t="s">
        <v>6</v>
      </c>
      <c r="D1186" s="143">
        <v>1</v>
      </c>
      <c r="E1186" s="75"/>
      <c r="F1186" s="334">
        <v>1</v>
      </c>
      <c r="G1186" s="112" t="s">
        <v>339</v>
      </c>
      <c r="H1186" s="120" t="s">
        <v>1076</v>
      </c>
      <c r="I1186" s="120" t="s">
        <v>828</v>
      </c>
      <c r="J1186" s="120" t="s">
        <v>829</v>
      </c>
      <c r="K1186" s="110">
        <v>86878000</v>
      </c>
      <c r="L1186" s="110"/>
      <c r="M1186" s="110">
        <v>5541300</v>
      </c>
      <c r="N1186" s="110"/>
      <c r="O1186" s="110"/>
      <c r="P1186" s="110">
        <f t="shared" si="114"/>
        <v>92419300</v>
      </c>
      <c r="Q1186" s="110">
        <f t="shared" si="115"/>
        <v>92419300</v>
      </c>
      <c r="R1186" s="110">
        <f t="shared" si="116"/>
        <v>92419300</v>
      </c>
      <c r="S1186" s="112" t="s">
        <v>4094</v>
      </c>
    </row>
    <row r="1187" spans="1:19" ht="45">
      <c r="A1187" s="79"/>
      <c r="B1187" s="77" t="s">
        <v>310</v>
      </c>
      <c r="C1187" s="76" t="s">
        <v>4</v>
      </c>
      <c r="D1187" s="143">
        <v>1</v>
      </c>
      <c r="E1187" s="73"/>
      <c r="F1187" s="334"/>
      <c r="G1187" s="112">
        <v>0</v>
      </c>
      <c r="H1187" s="120">
        <v>0</v>
      </c>
      <c r="I1187" s="120">
        <v>0</v>
      </c>
      <c r="J1187" s="120">
        <v>0</v>
      </c>
      <c r="K1187" s="110">
        <v>0</v>
      </c>
      <c r="L1187" s="110"/>
      <c r="M1187" s="110">
        <v>0</v>
      </c>
      <c r="N1187" s="110"/>
      <c r="O1187" s="110"/>
      <c r="P1187" s="110">
        <f t="shared" si="114"/>
        <v>0</v>
      </c>
      <c r="Q1187" s="110">
        <f t="shared" si="115"/>
        <v>0</v>
      </c>
      <c r="R1187" s="110">
        <f t="shared" si="116"/>
        <v>0</v>
      </c>
      <c r="S1187" s="112" t="s">
        <v>150</v>
      </c>
    </row>
    <row r="1188" spans="1:19">
      <c r="A1188" s="79"/>
      <c r="B1188" s="77" t="s">
        <v>151</v>
      </c>
      <c r="C1188" s="76"/>
      <c r="D1188" s="143"/>
      <c r="E1188" s="50"/>
      <c r="F1188" s="50"/>
      <c r="G1188" s="112">
        <v>0</v>
      </c>
      <c r="H1188" s="120">
        <v>0</v>
      </c>
      <c r="I1188" s="120">
        <v>0</v>
      </c>
      <c r="J1188" s="120">
        <v>0</v>
      </c>
      <c r="K1188" s="110">
        <v>0</v>
      </c>
      <c r="L1188" s="110"/>
      <c r="M1188" s="110">
        <v>0</v>
      </c>
      <c r="N1188" s="110"/>
      <c r="O1188" s="110"/>
      <c r="P1188" s="110">
        <f t="shared" si="114"/>
        <v>0</v>
      </c>
      <c r="Q1188" s="110">
        <f t="shared" si="115"/>
        <v>0</v>
      </c>
      <c r="R1188" s="110">
        <f t="shared" si="116"/>
        <v>0</v>
      </c>
      <c r="S1188" s="112">
        <v>0</v>
      </c>
    </row>
    <row r="1189" spans="1:19">
      <c r="A1189" s="79"/>
      <c r="B1189" s="77" t="s">
        <v>340</v>
      </c>
      <c r="C1189" s="76" t="s">
        <v>4</v>
      </c>
      <c r="D1189" s="143">
        <v>1</v>
      </c>
      <c r="E1189" s="57"/>
      <c r="F1189" s="334"/>
      <c r="G1189" s="112">
        <v>0</v>
      </c>
      <c r="H1189" s="120">
        <v>0</v>
      </c>
      <c r="I1189" s="120">
        <v>0</v>
      </c>
      <c r="J1189" s="120">
        <v>0</v>
      </c>
      <c r="K1189" s="110">
        <v>0</v>
      </c>
      <c r="L1189" s="110"/>
      <c r="M1189" s="110">
        <v>0</v>
      </c>
      <c r="N1189" s="110"/>
      <c r="O1189" s="110"/>
      <c r="P1189" s="110">
        <f t="shared" si="114"/>
        <v>0</v>
      </c>
      <c r="Q1189" s="110">
        <f t="shared" si="115"/>
        <v>0</v>
      </c>
      <c r="R1189" s="110">
        <f t="shared" si="116"/>
        <v>0</v>
      </c>
      <c r="S1189" s="112">
        <v>0</v>
      </c>
    </row>
    <row r="1190" spans="1:19">
      <c r="A1190" s="79"/>
      <c r="B1190" s="77" t="s">
        <v>14</v>
      </c>
      <c r="C1190" s="76" t="s">
        <v>4</v>
      </c>
      <c r="D1190" s="143">
        <v>3</v>
      </c>
      <c r="E1190" s="50"/>
      <c r="F1190" s="334"/>
      <c r="G1190" s="112">
        <v>0</v>
      </c>
      <c r="H1190" s="120">
        <v>0</v>
      </c>
      <c r="I1190" s="120">
        <v>0</v>
      </c>
      <c r="J1190" s="120">
        <v>0</v>
      </c>
      <c r="K1190" s="110">
        <v>0</v>
      </c>
      <c r="L1190" s="110"/>
      <c r="M1190" s="110">
        <v>0</v>
      </c>
      <c r="N1190" s="110"/>
      <c r="O1190" s="110"/>
      <c r="P1190" s="110">
        <f t="shared" si="114"/>
        <v>0</v>
      </c>
      <c r="Q1190" s="110">
        <f t="shared" si="115"/>
        <v>0</v>
      </c>
      <c r="R1190" s="110">
        <f t="shared" si="116"/>
        <v>0</v>
      </c>
      <c r="S1190" s="112">
        <v>0</v>
      </c>
    </row>
    <row r="1191" spans="1:19">
      <c r="A1191" s="79"/>
      <c r="B1191" s="77" t="s">
        <v>153</v>
      </c>
      <c r="C1191" s="76" t="s">
        <v>4</v>
      </c>
      <c r="D1191" s="143">
        <v>3</v>
      </c>
      <c r="E1191" s="50"/>
      <c r="F1191" s="334"/>
      <c r="G1191" s="112">
        <v>0</v>
      </c>
      <c r="H1191" s="120">
        <v>0</v>
      </c>
      <c r="I1191" s="120">
        <v>0</v>
      </c>
      <c r="J1191" s="120">
        <v>0</v>
      </c>
      <c r="K1191" s="110">
        <v>0</v>
      </c>
      <c r="L1191" s="110"/>
      <c r="M1191" s="110">
        <v>0</v>
      </c>
      <c r="N1191" s="110"/>
      <c r="O1191" s="110"/>
      <c r="P1191" s="110">
        <f t="shared" si="114"/>
        <v>0</v>
      </c>
      <c r="Q1191" s="110">
        <f t="shared" si="115"/>
        <v>0</v>
      </c>
      <c r="R1191" s="110">
        <f t="shared" si="116"/>
        <v>0</v>
      </c>
      <c r="S1191" s="112">
        <v>0</v>
      </c>
    </row>
    <row r="1192" spans="1:19">
      <c r="A1192" s="79"/>
      <c r="B1192" s="77" t="s">
        <v>154</v>
      </c>
      <c r="C1192" s="76"/>
      <c r="D1192" s="143"/>
      <c r="E1192" s="50"/>
      <c r="F1192" s="50"/>
      <c r="G1192" s="112">
        <v>0</v>
      </c>
      <c r="H1192" s="120">
        <v>0</v>
      </c>
      <c r="I1192" s="120">
        <v>0</v>
      </c>
      <c r="J1192" s="120">
        <v>0</v>
      </c>
      <c r="K1192" s="110">
        <v>0</v>
      </c>
      <c r="L1192" s="110"/>
      <c r="M1192" s="110">
        <v>0</v>
      </c>
      <c r="N1192" s="110"/>
      <c r="O1192" s="110"/>
      <c r="P1192" s="110">
        <f t="shared" si="114"/>
        <v>0</v>
      </c>
      <c r="Q1192" s="110">
        <f t="shared" si="115"/>
        <v>0</v>
      </c>
      <c r="R1192" s="110">
        <f t="shared" si="116"/>
        <v>0</v>
      </c>
      <c r="S1192" s="112">
        <v>0</v>
      </c>
    </row>
    <row r="1193" spans="1:19">
      <c r="A1193" s="79"/>
      <c r="B1193" s="77" t="s">
        <v>311</v>
      </c>
      <c r="C1193" s="76" t="s">
        <v>4</v>
      </c>
      <c r="D1193" s="143">
        <v>4</v>
      </c>
      <c r="E1193" s="50"/>
      <c r="F1193" s="334"/>
      <c r="G1193" s="112">
        <v>0</v>
      </c>
      <c r="H1193" s="120">
        <v>0</v>
      </c>
      <c r="I1193" s="120">
        <v>0</v>
      </c>
      <c r="J1193" s="120">
        <v>0</v>
      </c>
      <c r="K1193" s="110">
        <v>0</v>
      </c>
      <c r="L1193" s="110"/>
      <c r="M1193" s="110">
        <v>0</v>
      </c>
      <c r="N1193" s="110"/>
      <c r="O1193" s="110"/>
      <c r="P1193" s="110">
        <f t="shared" si="114"/>
        <v>0</v>
      </c>
      <c r="Q1193" s="110">
        <f t="shared" si="115"/>
        <v>0</v>
      </c>
      <c r="R1193" s="110">
        <f t="shared" si="116"/>
        <v>0</v>
      </c>
      <c r="S1193" s="112">
        <v>0</v>
      </c>
    </row>
    <row r="1194" spans="1:19">
      <c r="A1194" s="79"/>
      <c r="B1194" s="77" t="s">
        <v>312</v>
      </c>
      <c r="C1194" s="76" t="s">
        <v>4</v>
      </c>
      <c r="D1194" s="143">
        <v>12</v>
      </c>
      <c r="E1194" s="74"/>
      <c r="F1194" s="334"/>
      <c r="G1194" s="112">
        <v>0</v>
      </c>
      <c r="H1194" s="120">
        <v>0</v>
      </c>
      <c r="I1194" s="120">
        <v>0</v>
      </c>
      <c r="J1194" s="120">
        <v>0</v>
      </c>
      <c r="K1194" s="110">
        <v>0</v>
      </c>
      <c r="L1194" s="110"/>
      <c r="M1194" s="110">
        <v>0</v>
      </c>
      <c r="N1194" s="110"/>
      <c r="O1194" s="110"/>
      <c r="P1194" s="110">
        <f t="shared" si="114"/>
        <v>0</v>
      </c>
      <c r="Q1194" s="110">
        <f t="shared" si="115"/>
        <v>0</v>
      </c>
      <c r="R1194" s="110">
        <f t="shared" si="116"/>
        <v>0</v>
      </c>
      <c r="S1194" s="112">
        <v>0</v>
      </c>
    </row>
    <row r="1195" spans="1:19">
      <c r="A1195" s="79"/>
      <c r="B1195" s="77" t="s">
        <v>321</v>
      </c>
      <c r="C1195" s="76" t="s">
        <v>4</v>
      </c>
      <c r="D1195" s="143">
        <v>1</v>
      </c>
      <c r="E1195" s="75"/>
      <c r="F1195" s="334"/>
      <c r="G1195" s="112">
        <v>0</v>
      </c>
      <c r="H1195" s="120">
        <v>0</v>
      </c>
      <c r="I1195" s="120">
        <v>0</v>
      </c>
      <c r="J1195" s="120">
        <v>0</v>
      </c>
      <c r="K1195" s="110">
        <v>0</v>
      </c>
      <c r="L1195" s="110"/>
      <c r="M1195" s="110">
        <v>0</v>
      </c>
      <c r="N1195" s="110"/>
      <c r="O1195" s="110"/>
      <c r="P1195" s="110">
        <f t="shared" si="114"/>
        <v>0</v>
      </c>
      <c r="Q1195" s="110">
        <f t="shared" si="115"/>
        <v>0</v>
      </c>
      <c r="R1195" s="110">
        <f t="shared" si="116"/>
        <v>0</v>
      </c>
      <c r="S1195" s="112">
        <v>0</v>
      </c>
    </row>
    <row r="1196" spans="1:19">
      <c r="A1196" s="79"/>
      <c r="B1196" s="77" t="s">
        <v>259</v>
      </c>
      <c r="C1196" s="76" t="s">
        <v>4</v>
      </c>
      <c r="D1196" s="143">
        <v>1</v>
      </c>
      <c r="E1196" s="73"/>
      <c r="F1196" s="334"/>
      <c r="G1196" s="112">
        <v>0</v>
      </c>
      <c r="H1196" s="120">
        <v>0</v>
      </c>
      <c r="I1196" s="120">
        <v>0</v>
      </c>
      <c r="J1196" s="120">
        <v>0</v>
      </c>
      <c r="K1196" s="110">
        <v>0</v>
      </c>
      <c r="L1196" s="110"/>
      <c r="M1196" s="110">
        <v>0</v>
      </c>
      <c r="N1196" s="110"/>
      <c r="O1196" s="110"/>
      <c r="P1196" s="110">
        <f t="shared" si="114"/>
        <v>0</v>
      </c>
      <c r="Q1196" s="110">
        <f t="shared" si="115"/>
        <v>0</v>
      </c>
      <c r="R1196" s="110">
        <f t="shared" si="116"/>
        <v>0</v>
      </c>
      <c r="S1196" s="112">
        <v>0</v>
      </c>
    </row>
    <row r="1197" spans="1:19">
      <c r="A1197" s="79"/>
      <c r="B1197" s="77" t="s">
        <v>322</v>
      </c>
      <c r="C1197" s="76" t="s">
        <v>4</v>
      </c>
      <c r="D1197" s="143">
        <v>1</v>
      </c>
      <c r="E1197" s="50"/>
      <c r="F1197" s="334"/>
      <c r="G1197" s="112">
        <v>0</v>
      </c>
      <c r="H1197" s="120">
        <v>0</v>
      </c>
      <c r="I1197" s="120">
        <v>0</v>
      </c>
      <c r="J1197" s="120">
        <v>0</v>
      </c>
      <c r="K1197" s="110">
        <v>0</v>
      </c>
      <c r="L1197" s="110"/>
      <c r="M1197" s="110">
        <v>0</v>
      </c>
      <c r="N1197" s="110"/>
      <c r="O1197" s="110"/>
      <c r="P1197" s="110">
        <f t="shared" si="114"/>
        <v>0</v>
      </c>
      <c r="Q1197" s="110">
        <f t="shared" si="115"/>
        <v>0</v>
      </c>
      <c r="R1197" s="110">
        <f t="shared" si="116"/>
        <v>0</v>
      </c>
      <c r="S1197" s="112">
        <v>0</v>
      </c>
    </row>
    <row r="1198" spans="1:19">
      <c r="A1198" s="79"/>
      <c r="B1198" s="77" t="s">
        <v>313</v>
      </c>
      <c r="C1198" s="76" t="s">
        <v>4</v>
      </c>
      <c r="D1198" s="143">
        <v>1</v>
      </c>
      <c r="E1198" s="57"/>
      <c r="F1198" s="334"/>
      <c r="G1198" s="112">
        <v>0</v>
      </c>
      <c r="H1198" s="120">
        <v>0</v>
      </c>
      <c r="I1198" s="120">
        <v>0</v>
      </c>
      <c r="J1198" s="120">
        <v>0</v>
      </c>
      <c r="K1198" s="110">
        <v>0</v>
      </c>
      <c r="L1198" s="110"/>
      <c r="M1198" s="110">
        <v>0</v>
      </c>
      <c r="N1198" s="110"/>
      <c r="O1198" s="110"/>
      <c r="P1198" s="110">
        <f t="shared" si="114"/>
        <v>0</v>
      </c>
      <c r="Q1198" s="110">
        <f t="shared" si="115"/>
        <v>0</v>
      </c>
      <c r="R1198" s="110">
        <f t="shared" si="116"/>
        <v>0</v>
      </c>
      <c r="S1198" s="112">
        <v>0</v>
      </c>
    </row>
    <row r="1199" spans="1:19">
      <c r="A1199" s="79"/>
      <c r="B1199" s="77" t="s">
        <v>341</v>
      </c>
      <c r="C1199" s="76" t="s">
        <v>4</v>
      </c>
      <c r="D1199" s="143">
        <v>4</v>
      </c>
      <c r="E1199" s="50"/>
      <c r="F1199" s="334"/>
      <c r="G1199" s="112">
        <v>0</v>
      </c>
      <c r="H1199" s="120">
        <v>0</v>
      </c>
      <c r="I1199" s="120">
        <v>0</v>
      </c>
      <c r="J1199" s="120">
        <v>0</v>
      </c>
      <c r="K1199" s="110">
        <v>0</v>
      </c>
      <c r="L1199" s="110"/>
      <c r="M1199" s="110">
        <v>0</v>
      </c>
      <c r="N1199" s="110"/>
      <c r="O1199" s="110"/>
      <c r="P1199" s="110">
        <f t="shared" si="114"/>
        <v>0</v>
      </c>
      <c r="Q1199" s="110">
        <f t="shared" si="115"/>
        <v>0</v>
      </c>
      <c r="R1199" s="110">
        <f t="shared" si="116"/>
        <v>0</v>
      </c>
      <c r="S1199" s="112">
        <v>0</v>
      </c>
    </row>
    <row r="1200" spans="1:19" ht="30">
      <c r="A1200" s="79"/>
      <c r="B1200" s="77" t="s">
        <v>342</v>
      </c>
      <c r="C1200" s="76" t="s">
        <v>8</v>
      </c>
      <c r="D1200" s="143">
        <v>1</v>
      </c>
      <c r="E1200" s="50"/>
      <c r="F1200" s="334"/>
      <c r="G1200" s="112">
        <v>0</v>
      </c>
      <c r="H1200" s="120">
        <v>0</v>
      </c>
      <c r="I1200" s="120">
        <v>0</v>
      </c>
      <c r="J1200" s="120">
        <v>0</v>
      </c>
      <c r="K1200" s="110">
        <v>0</v>
      </c>
      <c r="L1200" s="110"/>
      <c r="M1200" s="110">
        <v>0</v>
      </c>
      <c r="N1200" s="110"/>
      <c r="O1200" s="110"/>
      <c r="P1200" s="110">
        <f t="shared" si="114"/>
        <v>0</v>
      </c>
      <c r="Q1200" s="110">
        <f t="shared" si="115"/>
        <v>0</v>
      </c>
      <c r="R1200" s="110">
        <f t="shared" si="116"/>
        <v>0</v>
      </c>
      <c r="S1200" s="112">
        <v>0</v>
      </c>
    </row>
    <row r="1201" spans="1:19">
      <c r="A1201" s="79"/>
      <c r="B1201" s="77" t="s">
        <v>343</v>
      </c>
      <c r="C1201" s="76" t="s">
        <v>8</v>
      </c>
      <c r="D1201" s="143">
        <v>1</v>
      </c>
      <c r="E1201" s="50"/>
      <c r="F1201" s="334"/>
      <c r="G1201" s="112">
        <v>0</v>
      </c>
      <c r="H1201" s="120">
        <v>0</v>
      </c>
      <c r="I1201" s="120">
        <v>0</v>
      </c>
      <c r="J1201" s="120">
        <v>0</v>
      </c>
      <c r="K1201" s="110">
        <v>0</v>
      </c>
      <c r="L1201" s="110"/>
      <c r="M1201" s="110">
        <v>0</v>
      </c>
      <c r="N1201" s="110"/>
      <c r="O1201" s="110"/>
      <c r="P1201" s="110">
        <f t="shared" ref="P1201:P1264" si="117">+K1201+L1201+M1201+N1201+O1201</f>
        <v>0</v>
      </c>
      <c r="Q1201" s="110">
        <f t="shared" ref="Q1201:Q1264" si="118">+P1201*D1201</f>
        <v>0</v>
      </c>
      <c r="R1201" s="110">
        <f t="shared" ref="R1201:R1264" si="119">P1201*F1201</f>
        <v>0</v>
      </c>
      <c r="S1201" s="112">
        <v>0</v>
      </c>
    </row>
    <row r="1202" spans="1:19" ht="45">
      <c r="A1202" s="79"/>
      <c r="B1202" s="77" t="s">
        <v>166</v>
      </c>
      <c r="C1202" s="76" t="s">
        <v>17</v>
      </c>
      <c r="D1202" s="143">
        <v>1</v>
      </c>
      <c r="E1202" s="50"/>
      <c r="F1202" s="334"/>
      <c r="G1202" s="112">
        <v>0</v>
      </c>
      <c r="H1202" s="120">
        <v>0</v>
      </c>
      <c r="I1202" s="120">
        <v>0</v>
      </c>
      <c r="J1202" s="120">
        <v>0</v>
      </c>
      <c r="K1202" s="110">
        <v>0</v>
      </c>
      <c r="L1202" s="110"/>
      <c r="M1202" s="110">
        <v>0</v>
      </c>
      <c r="N1202" s="110"/>
      <c r="O1202" s="110"/>
      <c r="P1202" s="110">
        <f t="shared" si="117"/>
        <v>0</v>
      </c>
      <c r="Q1202" s="110">
        <f t="shared" si="118"/>
        <v>0</v>
      </c>
      <c r="R1202" s="110">
        <f t="shared" si="119"/>
        <v>0</v>
      </c>
      <c r="S1202" s="112">
        <v>0</v>
      </c>
    </row>
    <row r="1203" spans="1:19" ht="60">
      <c r="A1203" s="79">
        <v>40</v>
      </c>
      <c r="B1203" s="77" t="s">
        <v>344</v>
      </c>
      <c r="C1203" s="76" t="s">
        <v>6</v>
      </c>
      <c r="D1203" s="143">
        <v>1</v>
      </c>
      <c r="E1203" s="74"/>
      <c r="F1203" s="334">
        <v>1</v>
      </c>
      <c r="G1203" s="112" t="s">
        <v>344</v>
      </c>
      <c r="H1203" s="120" t="s">
        <v>1076</v>
      </c>
      <c r="I1203" s="120" t="s">
        <v>828</v>
      </c>
      <c r="J1203" s="120" t="s">
        <v>829</v>
      </c>
      <c r="K1203" s="110">
        <v>73909000</v>
      </c>
      <c r="L1203" s="110"/>
      <c r="M1203" s="110">
        <v>3828500</v>
      </c>
      <c r="N1203" s="110"/>
      <c r="O1203" s="110"/>
      <c r="P1203" s="110">
        <f t="shared" si="117"/>
        <v>77737500</v>
      </c>
      <c r="Q1203" s="110">
        <f t="shared" si="118"/>
        <v>77737500</v>
      </c>
      <c r="R1203" s="110">
        <f t="shared" si="119"/>
        <v>77737500</v>
      </c>
      <c r="S1203" s="112" t="s">
        <v>4094</v>
      </c>
    </row>
    <row r="1204" spans="1:19" ht="45">
      <c r="A1204" s="79"/>
      <c r="B1204" s="77" t="s">
        <v>310</v>
      </c>
      <c r="C1204" s="76" t="s">
        <v>4</v>
      </c>
      <c r="D1204" s="143">
        <v>1</v>
      </c>
      <c r="E1204" s="74"/>
      <c r="F1204" s="334"/>
      <c r="G1204" s="112">
        <v>0</v>
      </c>
      <c r="H1204" s="120">
        <v>0</v>
      </c>
      <c r="I1204" s="120">
        <v>0</v>
      </c>
      <c r="J1204" s="120">
        <v>0</v>
      </c>
      <c r="K1204" s="110">
        <v>0</v>
      </c>
      <c r="L1204" s="110"/>
      <c r="M1204" s="110">
        <v>0</v>
      </c>
      <c r="N1204" s="110"/>
      <c r="O1204" s="110"/>
      <c r="P1204" s="110">
        <f t="shared" si="117"/>
        <v>0</v>
      </c>
      <c r="Q1204" s="110">
        <f t="shared" si="118"/>
        <v>0</v>
      </c>
      <c r="R1204" s="110">
        <f t="shared" si="119"/>
        <v>0</v>
      </c>
      <c r="S1204" s="112" t="s">
        <v>150</v>
      </c>
    </row>
    <row r="1205" spans="1:19">
      <c r="A1205" s="79"/>
      <c r="B1205" s="77" t="s">
        <v>151</v>
      </c>
      <c r="C1205" s="76"/>
      <c r="D1205" s="143"/>
      <c r="E1205" s="74"/>
      <c r="F1205" s="74"/>
      <c r="G1205" s="112">
        <v>0</v>
      </c>
      <c r="H1205" s="120">
        <v>0</v>
      </c>
      <c r="I1205" s="120">
        <v>0</v>
      </c>
      <c r="J1205" s="120">
        <v>0</v>
      </c>
      <c r="K1205" s="110">
        <v>0</v>
      </c>
      <c r="L1205" s="110"/>
      <c r="M1205" s="110">
        <v>0</v>
      </c>
      <c r="N1205" s="110"/>
      <c r="O1205" s="110"/>
      <c r="P1205" s="110">
        <f t="shared" si="117"/>
        <v>0</v>
      </c>
      <c r="Q1205" s="110">
        <f t="shared" si="118"/>
        <v>0</v>
      </c>
      <c r="R1205" s="110">
        <f t="shared" si="119"/>
        <v>0</v>
      </c>
      <c r="S1205" s="112">
        <v>0</v>
      </c>
    </row>
    <row r="1206" spans="1:19">
      <c r="A1206" s="79"/>
      <c r="B1206" s="77" t="s">
        <v>345</v>
      </c>
      <c r="C1206" s="76" t="s">
        <v>4</v>
      </c>
      <c r="D1206" s="143">
        <v>1</v>
      </c>
      <c r="E1206" s="74"/>
      <c r="F1206" s="334"/>
      <c r="G1206" s="112">
        <v>0</v>
      </c>
      <c r="H1206" s="120">
        <v>0</v>
      </c>
      <c r="I1206" s="120">
        <v>0</v>
      </c>
      <c r="J1206" s="120">
        <v>0</v>
      </c>
      <c r="K1206" s="110">
        <v>0</v>
      </c>
      <c r="L1206" s="110"/>
      <c r="M1206" s="110">
        <v>0</v>
      </c>
      <c r="N1206" s="110"/>
      <c r="O1206" s="110"/>
      <c r="P1206" s="110">
        <f t="shared" si="117"/>
        <v>0</v>
      </c>
      <c r="Q1206" s="110">
        <f t="shared" si="118"/>
        <v>0</v>
      </c>
      <c r="R1206" s="110">
        <f t="shared" si="119"/>
        <v>0</v>
      </c>
      <c r="S1206" s="112">
        <v>0</v>
      </c>
    </row>
    <row r="1207" spans="1:19">
      <c r="A1207" s="79"/>
      <c r="B1207" s="77" t="s">
        <v>14</v>
      </c>
      <c r="C1207" s="76" t="s">
        <v>4</v>
      </c>
      <c r="D1207" s="143">
        <v>3</v>
      </c>
      <c r="E1207" s="50"/>
      <c r="F1207" s="334"/>
      <c r="G1207" s="112">
        <v>0</v>
      </c>
      <c r="H1207" s="120">
        <v>0</v>
      </c>
      <c r="I1207" s="120">
        <v>0</v>
      </c>
      <c r="J1207" s="120">
        <v>0</v>
      </c>
      <c r="K1207" s="110">
        <v>0</v>
      </c>
      <c r="L1207" s="110"/>
      <c r="M1207" s="110">
        <v>0</v>
      </c>
      <c r="N1207" s="110"/>
      <c r="O1207" s="110"/>
      <c r="P1207" s="110">
        <f t="shared" si="117"/>
        <v>0</v>
      </c>
      <c r="Q1207" s="110">
        <f t="shared" si="118"/>
        <v>0</v>
      </c>
      <c r="R1207" s="110">
        <f t="shared" si="119"/>
        <v>0</v>
      </c>
      <c r="S1207" s="112">
        <v>0</v>
      </c>
    </row>
    <row r="1208" spans="1:19">
      <c r="A1208" s="79"/>
      <c r="B1208" s="77" t="s">
        <v>153</v>
      </c>
      <c r="C1208" s="76" t="s">
        <v>4</v>
      </c>
      <c r="D1208" s="143">
        <v>3</v>
      </c>
      <c r="E1208" s="437"/>
      <c r="F1208" s="334"/>
      <c r="G1208" s="112">
        <v>0</v>
      </c>
      <c r="H1208" s="120">
        <v>0</v>
      </c>
      <c r="I1208" s="120">
        <v>0</v>
      </c>
      <c r="J1208" s="120">
        <v>0</v>
      </c>
      <c r="K1208" s="110">
        <v>0</v>
      </c>
      <c r="L1208" s="110"/>
      <c r="M1208" s="110">
        <v>0</v>
      </c>
      <c r="N1208" s="110"/>
      <c r="O1208" s="110"/>
      <c r="P1208" s="110">
        <f t="shared" si="117"/>
        <v>0</v>
      </c>
      <c r="Q1208" s="110">
        <f t="shared" si="118"/>
        <v>0</v>
      </c>
      <c r="R1208" s="110">
        <f t="shared" si="119"/>
        <v>0</v>
      </c>
      <c r="S1208" s="112">
        <v>0</v>
      </c>
    </row>
    <row r="1209" spans="1:19">
      <c r="A1209" s="79"/>
      <c r="B1209" s="77" t="s">
        <v>154</v>
      </c>
      <c r="C1209" s="76"/>
      <c r="D1209" s="143"/>
      <c r="E1209" s="75"/>
      <c r="F1209" s="75"/>
      <c r="G1209" s="112">
        <v>0</v>
      </c>
      <c r="H1209" s="120">
        <v>0</v>
      </c>
      <c r="I1209" s="120">
        <v>0</v>
      </c>
      <c r="J1209" s="120">
        <v>0</v>
      </c>
      <c r="K1209" s="110">
        <v>0</v>
      </c>
      <c r="L1209" s="110"/>
      <c r="M1209" s="110">
        <v>0</v>
      </c>
      <c r="N1209" s="110"/>
      <c r="O1209" s="110"/>
      <c r="P1209" s="110">
        <f t="shared" si="117"/>
        <v>0</v>
      </c>
      <c r="Q1209" s="110">
        <f t="shared" si="118"/>
        <v>0</v>
      </c>
      <c r="R1209" s="110">
        <f t="shared" si="119"/>
        <v>0</v>
      </c>
      <c r="S1209" s="112">
        <v>0</v>
      </c>
    </row>
    <row r="1210" spans="1:19">
      <c r="A1210" s="79"/>
      <c r="B1210" s="77" t="s">
        <v>321</v>
      </c>
      <c r="C1210" s="76" t="s">
        <v>4</v>
      </c>
      <c r="D1210" s="143">
        <v>4</v>
      </c>
      <c r="E1210" s="73"/>
      <c r="F1210" s="334"/>
      <c r="G1210" s="112">
        <v>0</v>
      </c>
      <c r="H1210" s="120">
        <v>0</v>
      </c>
      <c r="I1210" s="120">
        <v>0</v>
      </c>
      <c r="J1210" s="120">
        <v>0</v>
      </c>
      <c r="K1210" s="110">
        <v>0</v>
      </c>
      <c r="L1210" s="110"/>
      <c r="M1210" s="110">
        <v>0</v>
      </c>
      <c r="N1210" s="110"/>
      <c r="O1210" s="110"/>
      <c r="P1210" s="110">
        <f t="shared" si="117"/>
        <v>0</v>
      </c>
      <c r="Q1210" s="110">
        <f t="shared" si="118"/>
        <v>0</v>
      </c>
      <c r="R1210" s="110">
        <f t="shared" si="119"/>
        <v>0</v>
      </c>
      <c r="S1210" s="112">
        <v>0</v>
      </c>
    </row>
    <row r="1211" spans="1:19">
      <c r="A1211" s="79"/>
      <c r="B1211" s="77" t="s">
        <v>259</v>
      </c>
      <c r="C1211" s="76" t="s">
        <v>4</v>
      </c>
      <c r="D1211" s="143">
        <v>1</v>
      </c>
      <c r="E1211" s="50"/>
      <c r="F1211" s="334"/>
      <c r="G1211" s="112">
        <v>0</v>
      </c>
      <c r="H1211" s="120">
        <v>0</v>
      </c>
      <c r="I1211" s="120">
        <v>0</v>
      </c>
      <c r="J1211" s="120">
        <v>0</v>
      </c>
      <c r="K1211" s="110">
        <v>0</v>
      </c>
      <c r="L1211" s="110"/>
      <c r="M1211" s="110">
        <v>0</v>
      </c>
      <c r="N1211" s="110"/>
      <c r="O1211" s="110"/>
      <c r="P1211" s="110">
        <f t="shared" si="117"/>
        <v>0</v>
      </c>
      <c r="Q1211" s="110">
        <f t="shared" si="118"/>
        <v>0</v>
      </c>
      <c r="R1211" s="110">
        <f t="shared" si="119"/>
        <v>0</v>
      </c>
      <c r="S1211" s="112">
        <v>0</v>
      </c>
    </row>
    <row r="1212" spans="1:19">
      <c r="A1212" s="79"/>
      <c r="B1212" s="77" t="s">
        <v>199</v>
      </c>
      <c r="C1212" s="76" t="s">
        <v>4</v>
      </c>
      <c r="D1212" s="143">
        <v>1</v>
      </c>
      <c r="E1212" s="57"/>
      <c r="F1212" s="334"/>
      <c r="G1212" s="112">
        <v>0</v>
      </c>
      <c r="H1212" s="120">
        <v>0</v>
      </c>
      <c r="I1212" s="120">
        <v>0</v>
      </c>
      <c r="J1212" s="120">
        <v>0</v>
      </c>
      <c r="K1212" s="110">
        <v>0</v>
      </c>
      <c r="L1212" s="110"/>
      <c r="M1212" s="110">
        <v>0</v>
      </c>
      <c r="N1212" s="110"/>
      <c r="O1212" s="110"/>
      <c r="P1212" s="110">
        <f t="shared" si="117"/>
        <v>0</v>
      </c>
      <c r="Q1212" s="110">
        <f t="shared" si="118"/>
        <v>0</v>
      </c>
      <c r="R1212" s="110">
        <f t="shared" si="119"/>
        <v>0</v>
      </c>
      <c r="S1212" s="112">
        <v>0</v>
      </c>
    </row>
    <row r="1213" spans="1:19">
      <c r="A1213" s="79"/>
      <c r="B1213" s="77" t="s">
        <v>313</v>
      </c>
      <c r="C1213" s="76" t="s">
        <v>4</v>
      </c>
      <c r="D1213" s="143">
        <v>2</v>
      </c>
      <c r="E1213" s="50"/>
      <c r="F1213" s="334"/>
      <c r="G1213" s="112">
        <v>0</v>
      </c>
      <c r="H1213" s="120">
        <v>0</v>
      </c>
      <c r="I1213" s="120">
        <v>0</v>
      </c>
      <c r="J1213" s="120">
        <v>0</v>
      </c>
      <c r="K1213" s="110">
        <v>0</v>
      </c>
      <c r="L1213" s="110"/>
      <c r="M1213" s="110">
        <v>0</v>
      </c>
      <c r="N1213" s="110"/>
      <c r="O1213" s="110"/>
      <c r="P1213" s="110">
        <f t="shared" si="117"/>
        <v>0</v>
      </c>
      <c r="Q1213" s="110">
        <f t="shared" si="118"/>
        <v>0</v>
      </c>
      <c r="R1213" s="110">
        <f t="shared" si="119"/>
        <v>0</v>
      </c>
      <c r="S1213" s="112">
        <v>0</v>
      </c>
    </row>
    <row r="1214" spans="1:19">
      <c r="A1214" s="79"/>
      <c r="B1214" s="77" t="s">
        <v>322</v>
      </c>
      <c r="C1214" s="76" t="s">
        <v>4</v>
      </c>
      <c r="D1214" s="143">
        <v>4</v>
      </c>
      <c r="E1214" s="50"/>
      <c r="F1214" s="334"/>
      <c r="G1214" s="112">
        <v>0</v>
      </c>
      <c r="H1214" s="120">
        <v>0</v>
      </c>
      <c r="I1214" s="120">
        <v>0</v>
      </c>
      <c r="J1214" s="120">
        <v>0</v>
      </c>
      <c r="K1214" s="110">
        <v>0</v>
      </c>
      <c r="L1214" s="110"/>
      <c r="M1214" s="110">
        <v>0</v>
      </c>
      <c r="N1214" s="110"/>
      <c r="O1214" s="110"/>
      <c r="P1214" s="110">
        <f t="shared" si="117"/>
        <v>0</v>
      </c>
      <c r="Q1214" s="110">
        <f t="shared" si="118"/>
        <v>0</v>
      </c>
      <c r="R1214" s="110">
        <f t="shared" si="119"/>
        <v>0</v>
      </c>
      <c r="S1214" s="112">
        <v>0</v>
      </c>
    </row>
    <row r="1215" spans="1:19" ht="30">
      <c r="A1215" s="79"/>
      <c r="B1215" s="77" t="s">
        <v>342</v>
      </c>
      <c r="C1215" s="76" t="s">
        <v>8</v>
      </c>
      <c r="D1215" s="143">
        <v>1</v>
      </c>
      <c r="E1215" s="50"/>
      <c r="F1215" s="334"/>
      <c r="G1215" s="112">
        <v>0</v>
      </c>
      <c r="H1215" s="120">
        <v>0</v>
      </c>
      <c r="I1215" s="120">
        <v>0</v>
      </c>
      <c r="J1215" s="120">
        <v>0</v>
      </c>
      <c r="K1215" s="110">
        <v>0</v>
      </c>
      <c r="L1215" s="110"/>
      <c r="M1215" s="110">
        <v>0</v>
      </c>
      <c r="N1215" s="110"/>
      <c r="O1215" s="110"/>
      <c r="P1215" s="110">
        <f t="shared" si="117"/>
        <v>0</v>
      </c>
      <c r="Q1215" s="110">
        <f t="shared" si="118"/>
        <v>0</v>
      </c>
      <c r="R1215" s="110">
        <f t="shared" si="119"/>
        <v>0</v>
      </c>
      <c r="S1215" s="112">
        <v>0</v>
      </c>
    </row>
    <row r="1216" spans="1:19">
      <c r="A1216" s="79"/>
      <c r="B1216" s="77" t="s">
        <v>343</v>
      </c>
      <c r="C1216" s="76" t="s">
        <v>8</v>
      </c>
      <c r="D1216" s="143">
        <v>1</v>
      </c>
      <c r="E1216" s="50"/>
      <c r="F1216" s="334"/>
      <c r="G1216" s="112">
        <v>0</v>
      </c>
      <c r="H1216" s="120">
        <v>0</v>
      </c>
      <c r="I1216" s="120">
        <v>0</v>
      </c>
      <c r="J1216" s="120">
        <v>0</v>
      </c>
      <c r="K1216" s="110">
        <v>0</v>
      </c>
      <c r="L1216" s="110"/>
      <c r="M1216" s="110">
        <v>0</v>
      </c>
      <c r="N1216" s="110"/>
      <c r="O1216" s="110"/>
      <c r="P1216" s="110">
        <f t="shared" si="117"/>
        <v>0</v>
      </c>
      <c r="Q1216" s="110">
        <f t="shared" si="118"/>
        <v>0</v>
      </c>
      <c r="R1216" s="110">
        <f t="shared" si="119"/>
        <v>0</v>
      </c>
      <c r="S1216" s="112">
        <v>0</v>
      </c>
    </row>
    <row r="1217" spans="1:19" ht="45">
      <c r="A1217" s="79"/>
      <c r="B1217" s="77" t="s">
        <v>166</v>
      </c>
      <c r="C1217" s="76" t="s">
        <v>17</v>
      </c>
      <c r="D1217" s="143">
        <v>1</v>
      </c>
      <c r="E1217" s="74"/>
      <c r="F1217" s="334"/>
      <c r="G1217" s="112">
        <v>0</v>
      </c>
      <c r="H1217" s="120">
        <v>0</v>
      </c>
      <c r="I1217" s="120">
        <v>0</v>
      </c>
      <c r="J1217" s="120">
        <v>0</v>
      </c>
      <c r="K1217" s="110">
        <v>0</v>
      </c>
      <c r="L1217" s="110"/>
      <c r="M1217" s="110">
        <v>0</v>
      </c>
      <c r="N1217" s="110"/>
      <c r="O1217" s="110"/>
      <c r="P1217" s="110">
        <f t="shared" si="117"/>
        <v>0</v>
      </c>
      <c r="Q1217" s="110">
        <f t="shared" si="118"/>
        <v>0</v>
      </c>
      <c r="R1217" s="110">
        <f t="shared" si="119"/>
        <v>0</v>
      </c>
      <c r="S1217" s="112">
        <v>0</v>
      </c>
    </row>
    <row r="1218" spans="1:19" ht="60">
      <c r="A1218" s="79">
        <v>41</v>
      </c>
      <c r="B1218" s="77" t="s">
        <v>346</v>
      </c>
      <c r="C1218" s="76" t="s">
        <v>6</v>
      </c>
      <c r="D1218" s="143">
        <v>1</v>
      </c>
      <c r="E1218" s="74"/>
      <c r="F1218" s="334">
        <v>1</v>
      </c>
      <c r="G1218" s="112" t="s">
        <v>346</v>
      </c>
      <c r="H1218" s="120" t="s">
        <v>1076</v>
      </c>
      <c r="I1218" s="120" t="s">
        <v>828</v>
      </c>
      <c r="J1218" s="120" t="s">
        <v>829</v>
      </c>
      <c r="K1218" s="110">
        <v>24937300</v>
      </c>
      <c r="L1218" s="110"/>
      <c r="M1218" s="110">
        <v>3123300</v>
      </c>
      <c r="N1218" s="110"/>
      <c r="O1218" s="110"/>
      <c r="P1218" s="110">
        <f t="shared" si="117"/>
        <v>28060600</v>
      </c>
      <c r="Q1218" s="110">
        <f t="shared" si="118"/>
        <v>28060600</v>
      </c>
      <c r="R1218" s="110">
        <f t="shared" si="119"/>
        <v>28060600</v>
      </c>
      <c r="S1218" s="112" t="s">
        <v>4094</v>
      </c>
    </row>
    <row r="1219" spans="1:19" ht="45">
      <c r="A1219" s="79"/>
      <c r="B1219" s="77" t="s">
        <v>219</v>
      </c>
      <c r="C1219" s="76" t="s">
        <v>4</v>
      </c>
      <c r="D1219" s="143">
        <v>1</v>
      </c>
      <c r="E1219" s="74"/>
      <c r="F1219" s="334"/>
      <c r="G1219" s="112">
        <v>0</v>
      </c>
      <c r="H1219" s="120">
        <v>0</v>
      </c>
      <c r="I1219" s="120">
        <v>0</v>
      </c>
      <c r="J1219" s="120">
        <v>0</v>
      </c>
      <c r="K1219" s="110">
        <v>0</v>
      </c>
      <c r="L1219" s="110"/>
      <c r="M1219" s="110">
        <v>0</v>
      </c>
      <c r="N1219" s="110"/>
      <c r="O1219" s="110"/>
      <c r="P1219" s="110">
        <f t="shared" si="117"/>
        <v>0</v>
      </c>
      <c r="Q1219" s="110">
        <f t="shared" si="118"/>
        <v>0</v>
      </c>
      <c r="R1219" s="110">
        <f t="shared" si="119"/>
        <v>0</v>
      </c>
      <c r="S1219" s="112" t="s">
        <v>150</v>
      </c>
    </row>
    <row r="1220" spans="1:19">
      <c r="A1220" s="79"/>
      <c r="B1220" s="77" t="s">
        <v>151</v>
      </c>
      <c r="C1220" s="76"/>
      <c r="D1220" s="143"/>
      <c r="E1220" s="74"/>
      <c r="F1220" s="74"/>
      <c r="G1220" s="112">
        <v>0</v>
      </c>
      <c r="H1220" s="120">
        <v>0</v>
      </c>
      <c r="I1220" s="120">
        <v>0</v>
      </c>
      <c r="J1220" s="120">
        <v>0</v>
      </c>
      <c r="K1220" s="110">
        <v>0</v>
      </c>
      <c r="L1220" s="110"/>
      <c r="M1220" s="110">
        <v>0</v>
      </c>
      <c r="N1220" s="110"/>
      <c r="O1220" s="110"/>
      <c r="P1220" s="110">
        <f t="shared" si="117"/>
        <v>0</v>
      </c>
      <c r="Q1220" s="110">
        <f t="shared" si="118"/>
        <v>0</v>
      </c>
      <c r="R1220" s="110">
        <f t="shared" si="119"/>
        <v>0</v>
      </c>
      <c r="S1220" s="112">
        <v>0</v>
      </c>
    </row>
    <row r="1221" spans="1:19">
      <c r="A1221" s="79"/>
      <c r="B1221" s="77" t="s">
        <v>347</v>
      </c>
      <c r="C1221" s="76" t="s">
        <v>4</v>
      </c>
      <c r="D1221" s="143">
        <v>1</v>
      </c>
      <c r="E1221" s="74"/>
      <c r="F1221" s="334"/>
      <c r="G1221" s="112">
        <v>0</v>
      </c>
      <c r="H1221" s="120">
        <v>0</v>
      </c>
      <c r="I1221" s="120">
        <v>0</v>
      </c>
      <c r="J1221" s="120">
        <v>0</v>
      </c>
      <c r="K1221" s="110">
        <v>0</v>
      </c>
      <c r="L1221" s="110"/>
      <c r="M1221" s="110">
        <v>0</v>
      </c>
      <c r="N1221" s="110"/>
      <c r="O1221" s="110"/>
      <c r="P1221" s="110">
        <f t="shared" si="117"/>
        <v>0</v>
      </c>
      <c r="Q1221" s="110">
        <f t="shared" si="118"/>
        <v>0</v>
      </c>
      <c r="R1221" s="110">
        <f t="shared" si="119"/>
        <v>0</v>
      </c>
      <c r="S1221" s="112">
        <v>0</v>
      </c>
    </row>
    <row r="1222" spans="1:19">
      <c r="A1222" s="79"/>
      <c r="B1222" s="77" t="s">
        <v>14</v>
      </c>
      <c r="C1222" s="76" t="s">
        <v>4</v>
      </c>
      <c r="D1222" s="143">
        <v>3</v>
      </c>
      <c r="E1222" s="73"/>
      <c r="F1222" s="334"/>
      <c r="G1222" s="112">
        <v>0</v>
      </c>
      <c r="H1222" s="120">
        <v>0</v>
      </c>
      <c r="I1222" s="120">
        <v>0</v>
      </c>
      <c r="J1222" s="120">
        <v>0</v>
      </c>
      <c r="K1222" s="110">
        <v>0</v>
      </c>
      <c r="L1222" s="110"/>
      <c r="M1222" s="110">
        <v>0</v>
      </c>
      <c r="N1222" s="110"/>
      <c r="O1222" s="110"/>
      <c r="P1222" s="110">
        <f t="shared" si="117"/>
        <v>0</v>
      </c>
      <c r="Q1222" s="110">
        <f t="shared" si="118"/>
        <v>0</v>
      </c>
      <c r="R1222" s="110">
        <f t="shared" si="119"/>
        <v>0</v>
      </c>
      <c r="S1222" s="112">
        <v>0</v>
      </c>
    </row>
    <row r="1223" spans="1:19">
      <c r="A1223" s="79"/>
      <c r="B1223" s="77" t="s">
        <v>153</v>
      </c>
      <c r="C1223" s="76" t="s">
        <v>4</v>
      </c>
      <c r="D1223" s="143">
        <v>3</v>
      </c>
      <c r="E1223" s="74"/>
      <c r="F1223" s="334"/>
      <c r="G1223" s="112">
        <v>0</v>
      </c>
      <c r="H1223" s="120">
        <v>0</v>
      </c>
      <c r="I1223" s="120">
        <v>0</v>
      </c>
      <c r="J1223" s="120">
        <v>0</v>
      </c>
      <c r="K1223" s="110">
        <v>0</v>
      </c>
      <c r="L1223" s="110"/>
      <c r="M1223" s="110">
        <v>0</v>
      </c>
      <c r="N1223" s="110"/>
      <c r="O1223" s="110"/>
      <c r="P1223" s="110">
        <f t="shared" si="117"/>
        <v>0</v>
      </c>
      <c r="Q1223" s="110">
        <f t="shared" si="118"/>
        <v>0</v>
      </c>
      <c r="R1223" s="110">
        <f t="shared" si="119"/>
        <v>0</v>
      </c>
      <c r="S1223" s="112">
        <v>0</v>
      </c>
    </row>
    <row r="1224" spans="1:19">
      <c r="A1224" s="79"/>
      <c r="B1224" s="77" t="s">
        <v>154</v>
      </c>
      <c r="C1224" s="76"/>
      <c r="D1224" s="143"/>
      <c r="E1224" s="74"/>
      <c r="F1224" s="74"/>
      <c r="G1224" s="112">
        <v>0</v>
      </c>
      <c r="H1224" s="120">
        <v>0</v>
      </c>
      <c r="I1224" s="120">
        <v>0</v>
      </c>
      <c r="J1224" s="120">
        <v>0</v>
      </c>
      <c r="K1224" s="110">
        <v>0</v>
      </c>
      <c r="L1224" s="110"/>
      <c r="M1224" s="110">
        <v>0</v>
      </c>
      <c r="N1224" s="110"/>
      <c r="O1224" s="110"/>
      <c r="P1224" s="110">
        <f t="shared" si="117"/>
        <v>0</v>
      </c>
      <c r="Q1224" s="110">
        <f t="shared" si="118"/>
        <v>0</v>
      </c>
      <c r="R1224" s="110">
        <f t="shared" si="119"/>
        <v>0</v>
      </c>
      <c r="S1224" s="112">
        <v>0</v>
      </c>
    </row>
    <row r="1225" spans="1:19">
      <c r="A1225" s="79"/>
      <c r="B1225" s="77" t="s">
        <v>169</v>
      </c>
      <c r="C1225" s="76" t="s">
        <v>4</v>
      </c>
      <c r="D1225" s="143">
        <v>2</v>
      </c>
      <c r="E1225" s="74"/>
      <c r="F1225" s="334"/>
      <c r="G1225" s="112">
        <v>0</v>
      </c>
      <c r="H1225" s="120">
        <v>0</v>
      </c>
      <c r="I1225" s="120">
        <v>0</v>
      </c>
      <c r="J1225" s="120">
        <v>0</v>
      </c>
      <c r="K1225" s="110">
        <v>0</v>
      </c>
      <c r="L1225" s="110"/>
      <c r="M1225" s="110">
        <v>0</v>
      </c>
      <c r="N1225" s="110"/>
      <c r="O1225" s="110"/>
      <c r="P1225" s="110">
        <f t="shared" si="117"/>
        <v>0</v>
      </c>
      <c r="Q1225" s="110">
        <f t="shared" si="118"/>
        <v>0</v>
      </c>
      <c r="R1225" s="110">
        <f t="shared" si="119"/>
        <v>0</v>
      </c>
      <c r="S1225" s="112">
        <v>0</v>
      </c>
    </row>
    <row r="1226" spans="1:19">
      <c r="A1226" s="79"/>
      <c r="B1226" s="77" t="s">
        <v>321</v>
      </c>
      <c r="C1226" s="76" t="s">
        <v>4</v>
      </c>
      <c r="D1226" s="143">
        <v>1</v>
      </c>
      <c r="E1226" s="74"/>
      <c r="F1226" s="334"/>
      <c r="G1226" s="112">
        <v>0</v>
      </c>
      <c r="H1226" s="120">
        <v>0</v>
      </c>
      <c r="I1226" s="120">
        <v>0</v>
      </c>
      <c r="J1226" s="120">
        <v>0</v>
      </c>
      <c r="K1226" s="110">
        <v>0</v>
      </c>
      <c r="L1226" s="110"/>
      <c r="M1226" s="110">
        <v>0</v>
      </c>
      <c r="N1226" s="110"/>
      <c r="O1226" s="110"/>
      <c r="P1226" s="110">
        <f t="shared" si="117"/>
        <v>0</v>
      </c>
      <c r="Q1226" s="110">
        <f t="shared" si="118"/>
        <v>0</v>
      </c>
      <c r="R1226" s="110">
        <f t="shared" si="119"/>
        <v>0</v>
      </c>
      <c r="S1226" s="112">
        <v>0</v>
      </c>
    </row>
    <row r="1227" spans="1:19">
      <c r="A1227" s="79"/>
      <c r="B1227" s="77" t="s">
        <v>170</v>
      </c>
      <c r="C1227" s="76" t="s">
        <v>4</v>
      </c>
      <c r="D1227" s="143">
        <v>1</v>
      </c>
      <c r="E1227" s="74"/>
      <c r="F1227" s="334"/>
      <c r="G1227" s="112">
        <v>0</v>
      </c>
      <c r="H1227" s="120">
        <v>0</v>
      </c>
      <c r="I1227" s="120">
        <v>0</v>
      </c>
      <c r="J1227" s="120">
        <v>0</v>
      </c>
      <c r="K1227" s="110">
        <v>0</v>
      </c>
      <c r="L1227" s="110"/>
      <c r="M1227" s="110">
        <v>0</v>
      </c>
      <c r="N1227" s="110"/>
      <c r="O1227" s="110"/>
      <c r="P1227" s="110">
        <f t="shared" si="117"/>
        <v>0</v>
      </c>
      <c r="Q1227" s="110">
        <f t="shared" si="118"/>
        <v>0</v>
      </c>
      <c r="R1227" s="110">
        <f t="shared" si="119"/>
        <v>0</v>
      </c>
      <c r="S1227" s="112">
        <v>0</v>
      </c>
    </row>
    <row r="1228" spans="1:19">
      <c r="A1228" s="79"/>
      <c r="B1228" s="77" t="s">
        <v>156</v>
      </c>
      <c r="C1228" s="76" t="s">
        <v>4</v>
      </c>
      <c r="D1228" s="143">
        <v>11</v>
      </c>
      <c r="E1228" s="74"/>
      <c r="F1228" s="334"/>
      <c r="G1228" s="112">
        <v>0</v>
      </c>
      <c r="H1228" s="120">
        <v>0</v>
      </c>
      <c r="I1228" s="120">
        <v>0</v>
      </c>
      <c r="J1228" s="120">
        <v>0</v>
      </c>
      <c r="K1228" s="110">
        <v>0</v>
      </c>
      <c r="L1228" s="110"/>
      <c r="M1228" s="110">
        <v>0</v>
      </c>
      <c r="N1228" s="110"/>
      <c r="O1228" s="110"/>
      <c r="P1228" s="110">
        <f t="shared" si="117"/>
        <v>0</v>
      </c>
      <c r="Q1228" s="110">
        <f t="shared" si="118"/>
        <v>0</v>
      </c>
      <c r="R1228" s="110">
        <f t="shared" si="119"/>
        <v>0</v>
      </c>
      <c r="S1228" s="112">
        <v>0</v>
      </c>
    </row>
    <row r="1229" spans="1:19">
      <c r="A1229" s="79"/>
      <c r="B1229" s="77" t="s">
        <v>157</v>
      </c>
      <c r="C1229" s="76" t="s">
        <v>4</v>
      </c>
      <c r="D1229" s="143">
        <v>5</v>
      </c>
      <c r="E1229" s="74"/>
      <c r="F1229" s="334"/>
      <c r="G1229" s="112">
        <v>0</v>
      </c>
      <c r="H1229" s="120">
        <v>0</v>
      </c>
      <c r="I1229" s="120">
        <v>0</v>
      </c>
      <c r="J1229" s="120">
        <v>0</v>
      </c>
      <c r="K1229" s="110">
        <v>0</v>
      </c>
      <c r="L1229" s="110"/>
      <c r="M1229" s="110">
        <v>0</v>
      </c>
      <c r="N1229" s="110"/>
      <c r="O1229" s="110"/>
      <c r="P1229" s="110">
        <f t="shared" si="117"/>
        <v>0</v>
      </c>
      <c r="Q1229" s="110">
        <f t="shared" si="118"/>
        <v>0</v>
      </c>
      <c r="R1229" s="110">
        <f t="shared" si="119"/>
        <v>0</v>
      </c>
      <c r="S1229" s="112">
        <v>0</v>
      </c>
    </row>
    <row r="1230" spans="1:19">
      <c r="A1230" s="79"/>
      <c r="B1230" s="77" t="s">
        <v>158</v>
      </c>
      <c r="C1230" s="76" t="s">
        <v>4</v>
      </c>
      <c r="D1230" s="143">
        <v>1</v>
      </c>
      <c r="E1230" s="74"/>
      <c r="F1230" s="334"/>
      <c r="G1230" s="112">
        <v>0</v>
      </c>
      <c r="H1230" s="120">
        <v>0</v>
      </c>
      <c r="I1230" s="120">
        <v>0</v>
      </c>
      <c r="J1230" s="120">
        <v>0</v>
      </c>
      <c r="K1230" s="110">
        <v>0</v>
      </c>
      <c r="L1230" s="110"/>
      <c r="M1230" s="110">
        <v>0</v>
      </c>
      <c r="N1230" s="110"/>
      <c r="O1230" s="110"/>
      <c r="P1230" s="110">
        <f t="shared" si="117"/>
        <v>0</v>
      </c>
      <c r="Q1230" s="110">
        <f t="shared" si="118"/>
        <v>0</v>
      </c>
      <c r="R1230" s="110">
        <f t="shared" si="119"/>
        <v>0</v>
      </c>
      <c r="S1230" s="112">
        <v>0</v>
      </c>
    </row>
    <row r="1231" spans="1:19">
      <c r="A1231" s="79"/>
      <c r="B1231" s="77" t="s">
        <v>216</v>
      </c>
      <c r="C1231" s="76" t="s">
        <v>8</v>
      </c>
      <c r="D1231" s="143">
        <v>1</v>
      </c>
      <c r="E1231" s="74"/>
      <c r="F1231" s="334"/>
      <c r="G1231" s="112">
        <v>0</v>
      </c>
      <c r="H1231" s="120">
        <v>0</v>
      </c>
      <c r="I1231" s="120">
        <v>0</v>
      </c>
      <c r="J1231" s="120">
        <v>0</v>
      </c>
      <c r="K1231" s="110">
        <v>0</v>
      </c>
      <c r="L1231" s="110"/>
      <c r="M1231" s="110">
        <v>0</v>
      </c>
      <c r="N1231" s="110"/>
      <c r="O1231" s="110"/>
      <c r="P1231" s="110">
        <f t="shared" si="117"/>
        <v>0</v>
      </c>
      <c r="Q1231" s="110">
        <f t="shared" si="118"/>
        <v>0</v>
      </c>
      <c r="R1231" s="110">
        <f t="shared" si="119"/>
        <v>0</v>
      </c>
      <c r="S1231" s="112">
        <v>0</v>
      </c>
    </row>
    <row r="1232" spans="1:19">
      <c r="A1232" s="79"/>
      <c r="B1232" s="77" t="s">
        <v>172</v>
      </c>
      <c r="C1232" s="76" t="s">
        <v>4</v>
      </c>
      <c r="D1232" s="143">
        <v>1</v>
      </c>
      <c r="E1232" s="74"/>
      <c r="F1232" s="334"/>
      <c r="G1232" s="112">
        <v>0</v>
      </c>
      <c r="H1232" s="120">
        <v>0</v>
      </c>
      <c r="I1232" s="120">
        <v>0</v>
      </c>
      <c r="J1232" s="120">
        <v>0</v>
      </c>
      <c r="K1232" s="110">
        <v>0</v>
      </c>
      <c r="L1232" s="110"/>
      <c r="M1232" s="110">
        <v>0</v>
      </c>
      <c r="N1232" s="110"/>
      <c r="O1232" s="110"/>
      <c r="P1232" s="110">
        <f t="shared" si="117"/>
        <v>0</v>
      </c>
      <c r="Q1232" s="110">
        <f t="shared" si="118"/>
        <v>0</v>
      </c>
      <c r="R1232" s="110">
        <f t="shared" si="119"/>
        <v>0</v>
      </c>
      <c r="S1232" s="112">
        <v>0</v>
      </c>
    </row>
    <row r="1233" spans="1:19">
      <c r="A1233" s="79"/>
      <c r="B1233" s="77" t="s">
        <v>173</v>
      </c>
      <c r="C1233" s="76" t="s">
        <v>4</v>
      </c>
      <c r="D1233" s="143">
        <v>1</v>
      </c>
      <c r="E1233" s="74"/>
      <c r="F1233" s="334"/>
      <c r="G1233" s="112">
        <v>0</v>
      </c>
      <c r="H1233" s="120">
        <v>0</v>
      </c>
      <c r="I1233" s="120">
        <v>0</v>
      </c>
      <c r="J1233" s="120">
        <v>0</v>
      </c>
      <c r="K1233" s="110">
        <v>0</v>
      </c>
      <c r="L1233" s="110"/>
      <c r="M1233" s="110">
        <v>0</v>
      </c>
      <c r="N1233" s="110"/>
      <c r="O1233" s="110"/>
      <c r="P1233" s="110">
        <f t="shared" si="117"/>
        <v>0</v>
      </c>
      <c r="Q1233" s="110">
        <f t="shared" si="118"/>
        <v>0</v>
      </c>
      <c r="R1233" s="110">
        <f t="shared" si="119"/>
        <v>0</v>
      </c>
      <c r="S1233" s="112">
        <v>0</v>
      </c>
    </row>
    <row r="1234" spans="1:19">
      <c r="A1234" s="79"/>
      <c r="B1234" s="77" t="s">
        <v>180</v>
      </c>
      <c r="C1234" s="76" t="s">
        <v>4</v>
      </c>
      <c r="D1234" s="143">
        <v>1</v>
      </c>
      <c r="E1234" s="75"/>
      <c r="F1234" s="334"/>
      <c r="G1234" s="112">
        <v>0</v>
      </c>
      <c r="H1234" s="120">
        <v>0</v>
      </c>
      <c r="I1234" s="120">
        <v>0</v>
      </c>
      <c r="J1234" s="120">
        <v>0</v>
      </c>
      <c r="K1234" s="110">
        <v>0</v>
      </c>
      <c r="L1234" s="110"/>
      <c r="M1234" s="110">
        <v>0</v>
      </c>
      <c r="N1234" s="110"/>
      <c r="O1234" s="110"/>
      <c r="P1234" s="110">
        <f t="shared" si="117"/>
        <v>0</v>
      </c>
      <c r="Q1234" s="110">
        <f t="shared" si="118"/>
        <v>0</v>
      </c>
      <c r="R1234" s="110">
        <f t="shared" si="119"/>
        <v>0</v>
      </c>
      <c r="S1234" s="112">
        <v>0</v>
      </c>
    </row>
    <row r="1235" spans="1:19">
      <c r="A1235" s="79"/>
      <c r="B1235" s="77" t="s">
        <v>175</v>
      </c>
      <c r="C1235" s="76" t="s">
        <v>4</v>
      </c>
      <c r="D1235" s="143">
        <v>1</v>
      </c>
      <c r="E1235" s="73"/>
      <c r="F1235" s="334"/>
      <c r="G1235" s="112">
        <v>0</v>
      </c>
      <c r="H1235" s="120">
        <v>0</v>
      </c>
      <c r="I1235" s="120">
        <v>0</v>
      </c>
      <c r="J1235" s="120">
        <v>0</v>
      </c>
      <c r="K1235" s="110">
        <v>0</v>
      </c>
      <c r="L1235" s="110"/>
      <c r="M1235" s="110">
        <v>0</v>
      </c>
      <c r="N1235" s="110"/>
      <c r="O1235" s="110"/>
      <c r="P1235" s="110">
        <f t="shared" si="117"/>
        <v>0</v>
      </c>
      <c r="Q1235" s="110">
        <f t="shared" si="118"/>
        <v>0</v>
      </c>
      <c r="R1235" s="110">
        <f t="shared" si="119"/>
        <v>0</v>
      </c>
      <c r="S1235" s="112">
        <v>0</v>
      </c>
    </row>
    <row r="1236" spans="1:19">
      <c r="A1236" s="79"/>
      <c r="B1236" s="77" t="s">
        <v>176</v>
      </c>
      <c r="C1236" s="76" t="s">
        <v>4</v>
      </c>
      <c r="D1236" s="143">
        <v>2</v>
      </c>
      <c r="E1236" s="50"/>
      <c r="F1236" s="334"/>
      <c r="G1236" s="112">
        <v>0</v>
      </c>
      <c r="H1236" s="120">
        <v>0</v>
      </c>
      <c r="I1236" s="120">
        <v>0</v>
      </c>
      <c r="J1236" s="120">
        <v>0</v>
      </c>
      <c r="K1236" s="110">
        <v>0</v>
      </c>
      <c r="L1236" s="110"/>
      <c r="M1236" s="110">
        <v>0</v>
      </c>
      <c r="N1236" s="110"/>
      <c r="O1236" s="110"/>
      <c r="P1236" s="110">
        <f t="shared" si="117"/>
        <v>0</v>
      </c>
      <c r="Q1236" s="110">
        <f t="shared" si="118"/>
        <v>0</v>
      </c>
      <c r="R1236" s="110">
        <f t="shared" si="119"/>
        <v>0</v>
      </c>
      <c r="S1236" s="112">
        <v>0</v>
      </c>
    </row>
    <row r="1237" spans="1:19">
      <c r="A1237" s="79"/>
      <c r="B1237" s="77" t="s">
        <v>177</v>
      </c>
      <c r="C1237" s="76" t="s">
        <v>17</v>
      </c>
      <c r="D1237" s="143">
        <v>1</v>
      </c>
      <c r="E1237" s="57"/>
      <c r="F1237" s="334"/>
      <c r="G1237" s="112">
        <v>0</v>
      </c>
      <c r="H1237" s="120">
        <v>0</v>
      </c>
      <c r="I1237" s="120">
        <v>0</v>
      </c>
      <c r="J1237" s="120">
        <v>0</v>
      </c>
      <c r="K1237" s="110">
        <v>0</v>
      </c>
      <c r="L1237" s="110"/>
      <c r="M1237" s="110">
        <v>0</v>
      </c>
      <c r="N1237" s="110"/>
      <c r="O1237" s="110"/>
      <c r="P1237" s="110">
        <f t="shared" si="117"/>
        <v>0</v>
      </c>
      <c r="Q1237" s="110">
        <f t="shared" si="118"/>
        <v>0</v>
      </c>
      <c r="R1237" s="110">
        <f t="shared" si="119"/>
        <v>0</v>
      </c>
      <c r="S1237" s="112">
        <v>0</v>
      </c>
    </row>
    <row r="1238" spans="1:19">
      <c r="A1238" s="79"/>
      <c r="B1238" s="77" t="s">
        <v>163</v>
      </c>
      <c r="C1238" s="76" t="s">
        <v>4</v>
      </c>
      <c r="D1238" s="143">
        <v>1</v>
      </c>
      <c r="E1238" s="50"/>
      <c r="F1238" s="334"/>
      <c r="G1238" s="112">
        <v>0</v>
      </c>
      <c r="H1238" s="120">
        <v>0</v>
      </c>
      <c r="I1238" s="120">
        <v>0</v>
      </c>
      <c r="J1238" s="120">
        <v>0</v>
      </c>
      <c r="K1238" s="110">
        <v>0</v>
      </c>
      <c r="L1238" s="110"/>
      <c r="M1238" s="110">
        <v>0</v>
      </c>
      <c r="N1238" s="110"/>
      <c r="O1238" s="110"/>
      <c r="P1238" s="110">
        <f t="shared" si="117"/>
        <v>0</v>
      </c>
      <c r="Q1238" s="110">
        <f t="shared" si="118"/>
        <v>0</v>
      </c>
      <c r="R1238" s="110">
        <f t="shared" si="119"/>
        <v>0</v>
      </c>
      <c r="S1238" s="112">
        <v>0</v>
      </c>
    </row>
    <row r="1239" spans="1:19" ht="30">
      <c r="A1239" s="79"/>
      <c r="B1239" s="77" t="s">
        <v>206</v>
      </c>
      <c r="C1239" s="76" t="s">
        <v>8</v>
      </c>
      <c r="D1239" s="143">
        <v>1</v>
      </c>
      <c r="E1239" s="50"/>
      <c r="F1239" s="334"/>
      <c r="G1239" s="112">
        <v>0</v>
      </c>
      <c r="H1239" s="120">
        <v>0</v>
      </c>
      <c r="I1239" s="120">
        <v>0</v>
      </c>
      <c r="J1239" s="120">
        <v>0</v>
      </c>
      <c r="K1239" s="110">
        <v>0</v>
      </c>
      <c r="L1239" s="110"/>
      <c r="M1239" s="110">
        <v>0</v>
      </c>
      <c r="N1239" s="110"/>
      <c r="O1239" s="110"/>
      <c r="P1239" s="110">
        <f t="shared" si="117"/>
        <v>0</v>
      </c>
      <c r="Q1239" s="110">
        <f t="shared" si="118"/>
        <v>0</v>
      </c>
      <c r="R1239" s="110">
        <f t="shared" si="119"/>
        <v>0</v>
      </c>
      <c r="S1239" s="112">
        <v>0</v>
      </c>
    </row>
    <row r="1240" spans="1:19">
      <c r="A1240" s="79"/>
      <c r="B1240" s="77" t="s">
        <v>165</v>
      </c>
      <c r="C1240" s="76" t="s">
        <v>8</v>
      </c>
      <c r="D1240" s="143">
        <v>1</v>
      </c>
      <c r="E1240" s="50"/>
      <c r="F1240" s="334"/>
      <c r="G1240" s="112">
        <v>0</v>
      </c>
      <c r="H1240" s="120">
        <v>0</v>
      </c>
      <c r="I1240" s="120">
        <v>0</v>
      </c>
      <c r="J1240" s="120">
        <v>0</v>
      </c>
      <c r="K1240" s="110">
        <v>0</v>
      </c>
      <c r="L1240" s="110"/>
      <c r="M1240" s="110">
        <v>0</v>
      </c>
      <c r="N1240" s="110"/>
      <c r="O1240" s="110"/>
      <c r="P1240" s="110">
        <f t="shared" si="117"/>
        <v>0</v>
      </c>
      <c r="Q1240" s="110">
        <f t="shared" si="118"/>
        <v>0</v>
      </c>
      <c r="R1240" s="110">
        <f t="shared" si="119"/>
        <v>0</v>
      </c>
      <c r="S1240" s="112">
        <v>0</v>
      </c>
    </row>
    <row r="1241" spans="1:19" ht="45">
      <c r="A1241" s="79"/>
      <c r="B1241" s="77" t="s">
        <v>166</v>
      </c>
      <c r="C1241" s="76" t="s">
        <v>17</v>
      </c>
      <c r="D1241" s="143">
        <v>1</v>
      </c>
      <c r="E1241" s="50"/>
      <c r="F1241" s="334"/>
      <c r="G1241" s="112">
        <v>0</v>
      </c>
      <c r="H1241" s="120">
        <v>0</v>
      </c>
      <c r="I1241" s="120">
        <v>0</v>
      </c>
      <c r="J1241" s="120">
        <v>0</v>
      </c>
      <c r="K1241" s="110">
        <v>0</v>
      </c>
      <c r="L1241" s="110"/>
      <c r="M1241" s="110">
        <v>0</v>
      </c>
      <c r="N1241" s="110"/>
      <c r="O1241" s="110"/>
      <c r="P1241" s="110">
        <f t="shared" si="117"/>
        <v>0</v>
      </c>
      <c r="Q1241" s="110">
        <f t="shared" si="118"/>
        <v>0</v>
      </c>
      <c r="R1241" s="110">
        <f t="shared" si="119"/>
        <v>0</v>
      </c>
      <c r="S1241" s="112">
        <v>0</v>
      </c>
    </row>
    <row r="1242" spans="1:19" ht="60">
      <c r="A1242" s="79">
        <v>42</v>
      </c>
      <c r="B1242" s="77" t="s">
        <v>348</v>
      </c>
      <c r="C1242" s="76" t="s">
        <v>6</v>
      </c>
      <c r="D1242" s="143">
        <v>1</v>
      </c>
      <c r="E1242" s="74"/>
      <c r="F1242" s="334">
        <v>1</v>
      </c>
      <c r="G1242" s="112" t="s">
        <v>849</v>
      </c>
      <c r="H1242" s="120" t="s">
        <v>1076</v>
      </c>
      <c r="I1242" s="120" t="s">
        <v>828</v>
      </c>
      <c r="J1242" s="120" t="s">
        <v>829</v>
      </c>
      <c r="K1242" s="110">
        <v>27835500</v>
      </c>
      <c r="L1242" s="110"/>
      <c r="M1242" s="110">
        <v>3123300</v>
      </c>
      <c r="N1242" s="110"/>
      <c r="O1242" s="110"/>
      <c r="P1242" s="110">
        <f t="shared" si="117"/>
        <v>30958800</v>
      </c>
      <c r="Q1242" s="110">
        <f t="shared" si="118"/>
        <v>30958800</v>
      </c>
      <c r="R1242" s="110">
        <f t="shared" si="119"/>
        <v>30958800</v>
      </c>
      <c r="S1242" s="112" t="s">
        <v>4094</v>
      </c>
    </row>
    <row r="1243" spans="1:19" ht="45">
      <c r="A1243" s="79"/>
      <c r="B1243" s="77" t="s">
        <v>349</v>
      </c>
      <c r="C1243" s="76" t="s">
        <v>4</v>
      </c>
      <c r="D1243" s="143">
        <v>1</v>
      </c>
      <c r="E1243" s="74"/>
      <c r="F1243" s="334"/>
      <c r="G1243" s="112">
        <v>0</v>
      </c>
      <c r="H1243" s="120">
        <v>0</v>
      </c>
      <c r="I1243" s="120">
        <v>0</v>
      </c>
      <c r="J1243" s="120">
        <v>0</v>
      </c>
      <c r="K1243" s="110">
        <v>0</v>
      </c>
      <c r="L1243" s="110"/>
      <c r="M1243" s="110">
        <v>0</v>
      </c>
      <c r="N1243" s="110"/>
      <c r="O1243" s="110"/>
      <c r="P1243" s="110">
        <f t="shared" si="117"/>
        <v>0</v>
      </c>
      <c r="Q1243" s="110">
        <f t="shared" si="118"/>
        <v>0</v>
      </c>
      <c r="R1243" s="110">
        <f t="shared" si="119"/>
        <v>0</v>
      </c>
      <c r="S1243" s="112" t="s">
        <v>150</v>
      </c>
    </row>
    <row r="1244" spans="1:19">
      <c r="A1244" s="79"/>
      <c r="B1244" s="77" t="s">
        <v>151</v>
      </c>
      <c r="C1244" s="76"/>
      <c r="D1244" s="143"/>
      <c r="E1244" s="74"/>
      <c r="F1244" s="74"/>
      <c r="G1244" s="112">
        <v>0</v>
      </c>
      <c r="H1244" s="120">
        <v>0</v>
      </c>
      <c r="I1244" s="120">
        <v>0</v>
      </c>
      <c r="J1244" s="120">
        <v>0</v>
      </c>
      <c r="K1244" s="110">
        <v>0</v>
      </c>
      <c r="L1244" s="110"/>
      <c r="M1244" s="110">
        <v>0</v>
      </c>
      <c r="N1244" s="110"/>
      <c r="O1244" s="110"/>
      <c r="P1244" s="110">
        <f t="shared" si="117"/>
        <v>0</v>
      </c>
      <c r="Q1244" s="110">
        <f t="shared" si="118"/>
        <v>0</v>
      </c>
      <c r="R1244" s="110">
        <f t="shared" si="119"/>
        <v>0</v>
      </c>
      <c r="S1244" s="112">
        <v>0</v>
      </c>
    </row>
    <row r="1245" spans="1:19">
      <c r="A1245" s="79"/>
      <c r="B1245" s="77" t="s">
        <v>168</v>
      </c>
      <c r="C1245" s="76" t="s">
        <v>4</v>
      </c>
      <c r="D1245" s="143">
        <v>1</v>
      </c>
      <c r="E1245" s="74"/>
      <c r="F1245" s="334"/>
      <c r="G1245" s="112">
        <v>0</v>
      </c>
      <c r="H1245" s="120">
        <v>0</v>
      </c>
      <c r="I1245" s="120">
        <v>0</v>
      </c>
      <c r="J1245" s="120">
        <v>0</v>
      </c>
      <c r="K1245" s="110">
        <v>0</v>
      </c>
      <c r="L1245" s="110"/>
      <c r="M1245" s="110">
        <v>0</v>
      </c>
      <c r="N1245" s="110"/>
      <c r="O1245" s="110"/>
      <c r="P1245" s="110">
        <f t="shared" si="117"/>
        <v>0</v>
      </c>
      <c r="Q1245" s="110">
        <f t="shared" si="118"/>
        <v>0</v>
      </c>
      <c r="R1245" s="110">
        <f t="shared" si="119"/>
        <v>0</v>
      </c>
      <c r="S1245" s="112">
        <v>0</v>
      </c>
    </row>
    <row r="1246" spans="1:19">
      <c r="A1246" s="79"/>
      <c r="B1246" s="77" t="s">
        <v>192</v>
      </c>
      <c r="C1246" s="76" t="s">
        <v>12</v>
      </c>
      <c r="D1246" s="143">
        <v>3</v>
      </c>
      <c r="E1246" s="74"/>
      <c r="F1246" s="334"/>
      <c r="G1246" s="112">
        <v>0</v>
      </c>
      <c r="H1246" s="120">
        <v>0</v>
      </c>
      <c r="I1246" s="120">
        <v>0</v>
      </c>
      <c r="J1246" s="120">
        <v>0</v>
      </c>
      <c r="K1246" s="110">
        <v>0</v>
      </c>
      <c r="L1246" s="110"/>
      <c r="M1246" s="110">
        <v>0</v>
      </c>
      <c r="N1246" s="110"/>
      <c r="O1246" s="110"/>
      <c r="P1246" s="110">
        <f t="shared" si="117"/>
        <v>0</v>
      </c>
      <c r="Q1246" s="110">
        <f t="shared" si="118"/>
        <v>0</v>
      </c>
      <c r="R1246" s="110">
        <f t="shared" si="119"/>
        <v>0</v>
      </c>
      <c r="S1246" s="112">
        <v>0</v>
      </c>
    </row>
    <row r="1247" spans="1:19">
      <c r="A1247" s="79"/>
      <c r="B1247" s="77" t="s">
        <v>29</v>
      </c>
      <c r="C1247" s="76" t="s">
        <v>4</v>
      </c>
      <c r="D1247" s="143">
        <v>1</v>
      </c>
      <c r="E1247" s="74"/>
      <c r="F1247" s="334"/>
      <c r="G1247" s="112">
        <v>0</v>
      </c>
      <c r="H1247" s="120">
        <v>0</v>
      </c>
      <c r="I1247" s="120">
        <v>0</v>
      </c>
      <c r="J1247" s="120">
        <v>0</v>
      </c>
      <c r="K1247" s="110">
        <v>0</v>
      </c>
      <c r="L1247" s="110"/>
      <c r="M1247" s="110">
        <v>0</v>
      </c>
      <c r="N1247" s="110"/>
      <c r="O1247" s="110"/>
      <c r="P1247" s="110">
        <f t="shared" si="117"/>
        <v>0</v>
      </c>
      <c r="Q1247" s="110">
        <f t="shared" si="118"/>
        <v>0</v>
      </c>
      <c r="R1247" s="110">
        <f t="shared" si="119"/>
        <v>0</v>
      </c>
      <c r="S1247" s="112">
        <v>0</v>
      </c>
    </row>
    <row r="1248" spans="1:19">
      <c r="A1248" s="79"/>
      <c r="B1248" s="77" t="s">
        <v>30</v>
      </c>
      <c r="C1248" s="76" t="s">
        <v>4</v>
      </c>
      <c r="D1248" s="143">
        <v>1</v>
      </c>
      <c r="E1248" s="73"/>
      <c r="F1248" s="334"/>
      <c r="G1248" s="112">
        <v>0</v>
      </c>
      <c r="H1248" s="120">
        <v>0</v>
      </c>
      <c r="I1248" s="120">
        <v>0</v>
      </c>
      <c r="J1248" s="120">
        <v>0</v>
      </c>
      <c r="K1248" s="110">
        <v>0</v>
      </c>
      <c r="L1248" s="110"/>
      <c r="M1248" s="110">
        <v>0</v>
      </c>
      <c r="N1248" s="110"/>
      <c r="O1248" s="110"/>
      <c r="P1248" s="110">
        <f t="shared" si="117"/>
        <v>0</v>
      </c>
      <c r="Q1248" s="110">
        <f t="shared" si="118"/>
        <v>0</v>
      </c>
      <c r="R1248" s="110">
        <f t="shared" si="119"/>
        <v>0</v>
      </c>
      <c r="S1248" s="112">
        <v>0</v>
      </c>
    </row>
    <row r="1249" spans="1:19">
      <c r="A1249" s="79"/>
      <c r="B1249" s="77" t="s">
        <v>193</v>
      </c>
      <c r="C1249" s="76" t="s">
        <v>4</v>
      </c>
      <c r="D1249" s="143">
        <v>3</v>
      </c>
      <c r="E1249" s="74"/>
      <c r="F1249" s="334"/>
      <c r="G1249" s="112">
        <v>0</v>
      </c>
      <c r="H1249" s="120">
        <v>0</v>
      </c>
      <c r="I1249" s="120">
        <v>0</v>
      </c>
      <c r="J1249" s="120">
        <v>0</v>
      </c>
      <c r="K1249" s="110">
        <v>0</v>
      </c>
      <c r="L1249" s="110"/>
      <c r="M1249" s="110">
        <v>0</v>
      </c>
      <c r="N1249" s="110"/>
      <c r="O1249" s="110"/>
      <c r="P1249" s="110">
        <f t="shared" si="117"/>
        <v>0</v>
      </c>
      <c r="Q1249" s="110">
        <f t="shared" si="118"/>
        <v>0</v>
      </c>
      <c r="R1249" s="110">
        <f t="shared" si="119"/>
        <v>0</v>
      </c>
      <c r="S1249" s="112">
        <v>0</v>
      </c>
    </row>
    <row r="1250" spans="1:19">
      <c r="A1250" s="79"/>
      <c r="B1250" s="77" t="s">
        <v>14</v>
      </c>
      <c r="C1250" s="76" t="s">
        <v>4</v>
      </c>
      <c r="D1250" s="143">
        <v>3</v>
      </c>
      <c r="E1250" s="74"/>
      <c r="F1250" s="334"/>
      <c r="G1250" s="112">
        <v>0</v>
      </c>
      <c r="H1250" s="120">
        <v>0</v>
      </c>
      <c r="I1250" s="120">
        <v>0</v>
      </c>
      <c r="J1250" s="120">
        <v>0</v>
      </c>
      <c r="K1250" s="110">
        <v>0</v>
      </c>
      <c r="L1250" s="110"/>
      <c r="M1250" s="110">
        <v>0</v>
      </c>
      <c r="N1250" s="110"/>
      <c r="O1250" s="110"/>
      <c r="P1250" s="110">
        <f t="shared" si="117"/>
        <v>0</v>
      </c>
      <c r="Q1250" s="110">
        <f t="shared" si="118"/>
        <v>0</v>
      </c>
      <c r="R1250" s="110">
        <f t="shared" si="119"/>
        <v>0</v>
      </c>
      <c r="S1250" s="112">
        <v>0</v>
      </c>
    </row>
    <row r="1251" spans="1:19">
      <c r="A1251" s="79"/>
      <c r="B1251" s="77" t="s">
        <v>153</v>
      </c>
      <c r="C1251" s="76" t="s">
        <v>4</v>
      </c>
      <c r="D1251" s="143">
        <v>3</v>
      </c>
      <c r="E1251" s="74"/>
      <c r="F1251" s="334"/>
      <c r="G1251" s="112">
        <v>0</v>
      </c>
      <c r="H1251" s="120">
        <v>0</v>
      </c>
      <c r="I1251" s="120">
        <v>0</v>
      </c>
      <c r="J1251" s="120">
        <v>0</v>
      </c>
      <c r="K1251" s="110">
        <v>0</v>
      </c>
      <c r="L1251" s="110"/>
      <c r="M1251" s="110">
        <v>0</v>
      </c>
      <c r="N1251" s="110"/>
      <c r="O1251" s="110"/>
      <c r="P1251" s="110">
        <f t="shared" si="117"/>
        <v>0</v>
      </c>
      <c r="Q1251" s="110">
        <f t="shared" si="118"/>
        <v>0</v>
      </c>
      <c r="R1251" s="110">
        <f t="shared" si="119"/>
        <v>0</v>
      </c>
      <c r="S1251" s="112">
        <v>0</v>
      </c>
    </row>
    <row r="1252" spans="1:19">
      <c r="A1252" s="79"/>
      <c r="B1252" s="77" t="s">
        <v>154</v>
      </c>
      <c r="C1252" s="76"/>
      <c r="D1252" s="143"/>
      <c r="E1252" s="74"/>
      <c r="F1252" s="74"/>
      <c r="G1252" s="112">
        <v>0</v>
      </c>
      <c r="H1252" s="120">
        <v>0</v>
      </c>
      <c r="I1252" s="120">
        <v>0</v>
      </c>
      <c r="J1252" s="120">
        <v>0</v>
      </c>
      <c r="K1252" s="110">
        <v>0</v>
      </c>
      <c r="L1252" s="110"/>
      <c r="M1252" s="110">
        <v>0</v>
      </c>
      <c r="N1252" s="110"/>
      <c r="O1252" s="110"/>
      <c r="P1252" s="110">
        <f t="shared" si="117"/>
        <v>0</v>
      </c>
      <c r="Q1252" s="110">
        <f t="shared" si="118"/>
        <v>0</v>
      </c>
      <c r="R1252" s="110">
        <f t="shared" si="119"/>
        <v>0</v>
      </c>
      <c r="S1252" s="112">
        <v>0</v>
      </c>
    </row>
    <row r="1253" spans="1:19">
      <c r="A1253" s="79"/>
      <c r="B1253" s="77" t="s">
        <v>170</v>
      </c>
      <c r="C1253" s="76" t="s">
        <v>4</v>
      </c>
      <c r="D1253" s="143">
        <v>3</v>
      </c>
      <c r="E1253" s="75"/>
      <c r="F1253" s="334"/>
      <c r="G1253" s="112">
        <v>0</v>
      </c>
      <c r="H1253" s="120">
        <v>0</v>
      </c>
      <c r="I1253" s="120">
        <v>0</v>
      </c>
      <c r="J1253" s="120">
        <v>0</v>
      </c>
      <c r="K1253" s="110">
        <v>0</v>
      </c>
      <c r="L1253" s="110"/>
      <c r="M1253" s="110">
        <v>0</v>
      </c>
      <c r="N1253" s="110"/>
      <c r="O1253" s="110"/>
      <c r="P1253" s="110">
        <f t="shared" si="117"/>
        <v>0</v>
      </c>
      <c r="Q1253" s="110">
        <f t="shared" si="118"/>
        <v>0</v>
      </c>
      <c r="R1253" s="110">
        <f t="shared" si="119"/>
        <v>0</v>
      </c>
      <c r="S1253" s="112">
        <v>0</v>
      </c>
    </row>
    <row r="1254" spans="1:19">
      <c r="A1254" s="79"/>
      <c r="B1254" s="77" t="s">
        <v>156</v>
      </c>
      <c r="C1254" s="76" t="s">
        <v>4</v>
      </c>
      <c r="D1254" s="143">
        <v>24</v>
      </c>
      <c r="E1254" s="73"/>
      <c r="F1254" s="334"/>
      <c r="G1254" s="112">
        <v>0</v>
      </c>
      <c r="H1254" s="120">
        <v>0</v>
      </c>
      <c r="I1254" s="120">
        <v>0</v>
      </c>
      <c r="J1254" s="120">
        <v>0</v>
      </c>
      <c r="K1254" s="110">
        <v>0</v>
      </c>
      <c r="L1254" s="110"/>
      <c r="M1254" s="110">
        <v>0</v>
      </c>
      <c r="N1254" s="110"/>
      <c r="O1254" s="110"/>
      <c r="P1254" s="110">
        <f t="shared" si="117"/>
        <v>0</v>
      </c>
      <c r="Q1254" s="110">
        <f t="shared" si="118"/>
        <v>0</v>
      </c>
      <c r="R1254" s="110">
        <f t="shared" si="119"/>
        <v>0</v>
      </c>
      <c r="S1254" s="112">
        <v>0</v>
      </c>
    </row>
    <row r="1255" spans="1:19">
      <c r="A1255" s="79"/>
      <c r="B1255" s="77" t="s">
        <v>158</v>
      </c>
      <c r="C1255" s="76" t="s">
        <v>4</v>
      </c>
      <c r="D1255" s="143">
        <v>1</v>
      </c>
      <c r="E1255" s="50"/>
      <c r="F1255" s="334"/>
      <c r="G1255" s="112">
        <v>0</v>
      </c>
      <c r="H1255" s="120">
        <v>0</v>
      </c>
      <c r="I1255" s="120">
        <v>0</v>
      </c>
      <c r="J1255" s="120">
        <v>0</v>
      </c>
      <c r="K1255" s="110">
        <v>0</v>
      </c>
      <c r="L1255" s="110"/>
      <c r="M1255" s="110">
        <v>0</v>
      </c>
      <c r="N1255" s="110"/>
      <c r="O1255" s="110"/>
      <c r="P1255" s="110">
        <f t="shared" si="117"/>
        <v>0</v>
      </c>
      <c r="Q1255" s="110">
        <f t="shared" si="118"/>
        <v>0</v>
      </c>
      <c r="R1255" s="110">
        <f t="shared" si="119"/>
        <v>0</v>
      </c>
      <c r="S1255" s="112">
        <v>0</v>
      </c>
    </row>
    <row r="1256" spans="1:19">
      <c r="A1256" s="79"/>
      <c r="B1256" s="77" t="s">
        <v>265</v>
      </c>
      <c r="C1256" s="76" t="s">
        <v>8</v>
      </c>
      <c r="D1256" s="143">
        <v>3</v>
      </c>
      <c r="E1256" s="57"/>
      <c r="F1256" s="334"/>
      <c r="G1256" s="112">
        <v>0</v>
      </c>
      <c r="H1256" s="120">
        <v>0</v>
      </c>
      <c r="I1256" s="120">
        <v>0</v>
      </c>
      <c r="J1256" s="120">
        <v>0</v>
      </c>
      <c r="K1256" s="110">
        <v>0</v>
      </c>
      <c r="L1256" s="110"/>
      <c r="M1256" s="110">
        <v>0</v>
      </c>
      <c r="N1256" s="110"/>
      <c r="O1256" s="110"/>
      <c r="P1256" s="110">
        <f t="shared" si="117"/>
        <v>0</v>
      </c>
      <c r="Q1256" s="110">
        <f t="shared" si="118"/>
        <v>0</v>
      </c>
      <c r="R1256" s="110">
        <f t="shared" si="119"/>
        <v>0</v>
      </c>
      <c r="S1256" s="112">
        <v>0</v>
      </c>
    </row>
    <row r="1257" spans="1:19">
      <c r="A1257" s="79"/>
      <c r="B1257" s="77" t="s">
        <v>172</v>
      </c>
      <c r="C1257" s="76" t="s">
        <v>4</v>
      </c>
      <c r="D1257" s="143">
        <v>3</v>
      </c>
      <c r="E1257" s="50"/>
      <c r="F1257" s="334"/>
      <c r="G1257" s="112">
        <v>0</v>
      </c>
      <c r="H1257" s="120">
        <v>0</v>
      </c>
      <c r="I1257" s="120">
        <v>0</v>
      </c>
      <c r="J1257" s="120">
        <v>0</v>
      </c>
      <c r="K1257" s="110">
        <v>0</v>
      </c>
      <c r="L1257" s="110"/>
      <c r="M1257" s="110">
        <v>0</v>
      </c>
      <c r="N1257" s="110"/>
      <c r="O1257" s="110"/>
      <c r="P1257" s="110">
        <f t="shared" si="117"/>
        <v>0</v>
      </c>
      <c r="Q1257" s="110">
        <f t="shared" si="118"/>
        <v>0</v>
      </c>
      <c r="R1257" s="110">
        <f t="shared" si="119"/>
        <v>0</v>
      </c>
      <c r="S1257" s="112">
        <v>0</v>
      </c>
    </row>
    <row r="1258" spans="1:19">
      <c r="A1258" s="79"/>
      <c r="B1258" s="77" t="s">
        <v>173</v>
      </c>
      <c r="C1258" s="76" t="s">
        <v>4</v>
      </c>
      <c r="D1258" s="143">
        <v>3</v>
      </c>
      <c r="E1258" s="50"/>
      <c r="F1258" s="334"/>
      <c r="G1258" s="112">
        <v>0</v>
      </c>
      <c r="H1258" s="120">
        <v>0</v>
      </c>
      <c r="I1258" s="120">
        <v>0</v>
      </c>
      <c r="J1258" s="120">
        <v>0</v>
      </c>
      <c r="K1258" s="110">
        <v>0</v>
      </c>
      <c r="L1258" s="110"/>
      <c r="M1258" s="110">
        <v>0</v>
      </c>
      <c r="N1258" s="110"/>
      <c r="O1258" s="110"/>
      <c r="P1258" s="110">
        <f t="shared" si="117"/>
        <v>0</v>
      </c>
      <c r="Q1258" s="110">
        <f t="shared" si="118"/>
        <v>0</v>
      </c>
      <c r="R1258" s="110">
        <f t="shared" si="119"/>
        <v>0</v>
      </c>
      <c r="S1258" s="112">
        <v>0</v>
      </c>
    </row>
    <row r="1259" spans="1:19">
      <c r="A1259" s="79"/>
      <c r="B1259" s="77" t="s">
        <v>266</v>
      </c>
      <c r="C1259" s="76" t="s">
        <v>4</v>
      </c>
      <c r="D1259" s="143">
        <v>3</v>
      </c>
      <c r="E1259" s="50"/>
      <c r="F1259" s="334"/>
      <c r="G1259" s="112">
        <v>0</v>
      </c>
      <c r="H1259" s="120">
        <v>0</v>
      </c>
      <c r="I1259" s="120">
        <v>0</v>
      </c>
      <c r="J1259" s="120">
        <v>0</v>
      </c>
      <c r="K1259" s="110">
        <v>0</v>
      </c>
      <c r="L1259" s="110"/>
      <c r="M1259" s="110">
        <v>0</v>
      </c>
      <c r="N1259" s="110"/>
      <c r="O1259" s="110"/>
      <c r="P1259" s="110">
        <f t="shared" si="117"/>
        <v>0</v>
      </c>
      <c r="Q1259" s="110">
        <f t="shared" si="118"/>
        <v>0</v>
      </c>
      <c r="R1259" s="110">
        <f t="shared" si="119"/>
        <v>0</v>
      </c>
      <c r="S1259" s="112">
        <v>0</v>
      </c>
    </row>
    <row r="1260" spans="1:19">
      <c r="A1260" s="79"/>
      <c r="B1260" s="77" t="s">
        <v>175</v>
      </c>
      <c r="C1260" s="76" t="s">
        <v>4</v>
      </c>
      <c r="D1260" s="143">
        <v>3</v>
      </c>
      <c r="E1260" s="50"/>
      <c r="F1260" s="334"/>
      <c r="G1260" s="112">
        <v>0</v>
      </c>
      <c r="H1260" s="120">
        <v>0</v>
      </c>
      <c r="I1260" s="120">
        <v>0</v>
      </c>
      <c r="J1260" s="120">
        <v>0</v>
      </c>
      <c r="K1260" s="110">
        <v>0</v>
      </c>
      <c r="L1260" s="110"/>
      <c r="M1260" s="110">
        <v>0</v>
      </c>
      <c r="N1260" s="110"/>
      <c r="O1260" s="110"/>
      <c r="P1260" s="110">
        <f t="shared" si="117"/>
        <v>0</v>
      </c>
      <c r="Q1260" s="110">
        <f t="shared" si="118"/>
        <v>0</v>
      </c>
      <c r="R1260" s="110">
        <f t="shared" si="119"/>
        <v>0</v>
      </c>
      <c r="S1260" s="112">
        <v>0</v>
      </c>
    </row>
    <row r="1261" spans="1:19">
      <c r="A1261" s="79"/>
      <c r="B1261" s="77" t="s">
        <v>176</v>
      </c>
      <c r="C1261" s="76" t="s">
        <v>4</v>
      </c>
      <c r="D1261" s="143">
        <v>6</v>
      </c>
      <c r="E1261" s="74"/>
      <c r="F1261" s="334"/>
      <c r="G1261" s="112">
        <v>0</v>
      </c>
      <c r="H1261" s="120">
        <v>0</v>
      </c>
      <c r="I1261" s="120">
        <v>0</v>
      </c>
      <c r="J1261" s="120">
        <v>0</v>
      </c>
      <c r="K1261" s="110">
        <v>0</v>
      </c>
      <c r="L1261" s="110"/>
      <c r="M1261" s="110">
        <v>0</v>
      </c>
      <c r="N1261" s="110"/>
      <c r="O1261" s="110"/>
      <c r="P1261" s="110">
        <f t="shared" si="117"/>
        <v>0</v>
      </c>
      <c r="Q1261" s="110">
        <f t="shared" si="118"/>
        <v>0</v>
      </c>
      <c r="R1261" s="110">
        <f t="shared" si="119"/>
        <v>0</v>
      </c>
      <c r="S1261" s="112">
        <v>0</v>
      </c>
    </row>
    <row r="1262" spans="1:19">
      <c r="A1262" s="79"/>
      <c r="B1262" s="77" t="s">
        <v>177</v>
      </c>
      <c r="C1262" s="76" t="s">
        <v>17</v>
      </c>
      <c r="D1262" s="143">
        <v>1</v>
      </c>
      <c r="E1262" s="74"/>
      <c r="F1262" s="334"/>
      <c r="G1262" s="112">
        <v>0</v>
      </c>
      <c r="H1262" s="120">
        <v>0</v>
      </c>
      <c r="I1262" s="120">
        <v>0</v>
      </c>
      <c r="J1262" s="120">
        <v>0</v>
      </c>
      <c r="K1262" s="110">
        <v>0</v>
      </c>
      <c r="L1262" s="110"/>
      <c r="M1262" s="110">
        <v>0</v>
      </c>
      <c r="N1262" s="110"/>
      <c r="O1262" s="110"/>
      <c r="P1262" s="110">
        <f t="shared" si="117"/>
        <v>0</v>
      </c>
      <c r="Q1262" s="110">
        <f t="shared" si="118"/>
        <v>0</v>
      </c>
      <c r="R1262" s="110">
        <f t="shared" si="119"/>
        <v>0</v>
      </c>
      <c r="S1262" s="112">
        <v>0</v>
      </c>
    </row>
    <row r="1263" spans="1:19">
      <c r="A1263" s="79"/>
      <c r="B1263" s="77" t="s">
        <v>163</v>
      </c>
      <c r="C1263" s="76" t="s">
        <v>4</v>
      </c>
      <c r="D1263" s="143">
        <v>1</v>
      </c>
      <c r="E1263" s="74"/>
      <c r="F1263" s="334"/>
      <c r="G1263" s="112">
        <v>0</v>
      </c>
      <c r="H1263" s="120">
        <v>0</v>
      </c>
      <c r="I1263" s="120">
        <v>0</v>
      </c>
      <c r="J1263" s="120">
        <v>0</v>
      </c>
      <c r="K1263" s="110">
        <v>0</v>
      </c>
      <c r="L1263" s="110"/>
      <c r="M1263" s="110">
        <v>0</v>
      </c>
      <c r="N1263" s="110"/>
      <c r="O1263" s="110"/>
      <c r="P1263" s="110">
        <f t="shared" si="117"/>
        <v>0</v>
      </c>
      <c r="Q1263" s="110">
        <f t="shared" si="118"/>
        <v>0</v>
      </c>
      <c r="R1263" s="110">
        <f t="shared" si="119"/>
        <v>0</v>
      </c>
      <c r="S1263" s="112">
        <v>0</v>
      </c>
    </row>
    <row r="1264" spans="1:19" ht="30">
      <c r="A1264" s="79"/>
      <c r="B1264" s="77" t="s">
        <v>189</v>
      </c>
      <c r="C1264" s="76" t="s">
        <v>8</v>
      </c>
      <c r="D1264" s="143">
        <v>1</v>
      </c>
      <c r="E1264" s="74"/>
      <c r="F1264" s="334"/>
      <c r="G1264" s="112">
        <v>0</v>
      </c>
      <c r="H1264" s="120">
        <v>0</v>
      </c>
      <c r="I1264" s="120">
        <v>0</v>
      </c>
      <c r="J1264" s="120">
        <v>0</v>
      </c>
      <c r="K1264" s="110">
        <v>0</v>
      </c>
      <c r="L1264" s="110"/>
      <c r="M1264" s="110">
        <v>0</v>
      </c>
      <c r="N1264" s="110"/>
      <c r="O1264" s="110"/>
      <c r="P1264" s="110">
        <f t="shared" si="117"/>
        <v>0</v>
      </c>
      <c r="Q1264" s="110">
        <f t="shared" si="118"/>
        <v>0</v>
      </c>
      <c r="R1264" s="110">
        <f t="shared" si="119"/>
        <v>0</v>
      </c>
      <c r="S1264" s="112">
        <v>0</v>
      </c>
    </row>
    <row r="1265" spans="1:19" ht="45">
      <c r="A1265" s="79"/>
      <c r="B1265" s="77" t="s">
        <v>166</v>
      </c>
      <c r="C1265" s="76" t="s">
        <v>17</v>
      </c>
      <c r="D1265" s="143">
        <v>1</v>
      </c>
      <c r="E1265" s="50"/>
      <c r="F1265" s="334"/>
      <c r="G1265" s="112">
        <v>0</v>
      </c>
      <c r="H1265" s="120">
        <v>0</v>
      </c>
      <c r="I1265" s="120">
        <v>0</v>
      </c>
      <c r="J1265" s="120">
        <v>0</v>
      </c>
      <c r="K1265" s="110">
        <v>0</v>
      </c>
      <c r="L1265" s="110"/>
      <c r="M1265" s="110">
        <v>0</v>
      </c>
      <c r="N1265" s="110"/>
      <c r="O1265" s="110"/>
      <c r="P1265" s="110">
        <f t="shared" ref="P1265:P1328" si="120">+K1265+L1265+M1265+N1265+O1265</f>
        <v>0</v>
      </c>
      <c r="Q1265" s="110">
        <f t="shared" ref="Q1265:Q1328" si="121">+P1265*D1265</f>
        <v>0</v>
      </c>
      <c r="R1265" s="110">
        <f t="shared" ref="R1265:R1328" si="122">P1265*F1265</f>
        <v>0</v>
      </c>
      <c r="S1265" s="112">
        <v>0</v>
      </c>
    </row>
    <row r="1266" spans="1:19" ht="60">
      <c r="A1266" s="79">
        <v>43</v>
      </c>
      <c r="B1266" s="77" t="s">
        <v>350</v>
      </c>
      <c r="C1266" s="76" t="s">
        <v>6</v>
      </c>
      <c r="D1266" s="143">
        <v>1</v>
      </c>
      <c r="E1266" s="437"/>
      <c r="F1266" s="334">
        <v>1</v>
      </c>
      <c r="G1266" s="112" t="s">
        <v>350</v>
      </c>
      <c r="H1266" s="120" t="s">
        <v>1076</v>
      </c>
      <c r="I1266" s="120" t="s">
        <v>828</v>
      </c>
      <c r="J1266" s="120" t="s">
        <v>829</v>
      </c>
      <c r="K1266" s="110">
        <v>34452300</v>
      </c>
      <c r="L1266" s="110"/>
      <c r="M1266" s="110">
        <v>3123300</v>
      </c>
      <c r="N1266" s="110"/>
      <c r="O1266" s="110"/>
      <c r="P1266" s="110">
        <f t="shared" si="120"/>
        <v>37575600</v>
      </c>
      <c r="Q1266" s="110">
        <f t="shared" si="121"/>
        <v>37575600</v>
      </c>
      <c r="R1266" s="110">
        <f t="shared" si="122"/>
        <v>37575600</v>
      </c>
      <c r="S1266" s="112" t="s">
        <v>4094</v>
      </c>
    </row>
    <row r="1267" spans="1:19" ht="45">
      <c r="A1267" s="79"/>
      <c r="B1267" s="77" t="s">
        <v>182</v>
      </c>
      <c r="C1267" s="76" t="s">
        <v>4</v>
      </c>
      <c r="D1267" s="143">
        <v>1</v>
      </c>
      <c r="E1267" s="75"/>
      <c r="F1267" s="334"/>
      <c r="G1267" s="112">
        <v>0</v>
      </c>
      <c r="H1267" s="120">
        <v>0</v>
      </c>
      <c r="I1267" s="120">
        <v>0</v>
      </c>
      <c r="J1267" s="120">
        <v>0</v>
      </c>
      <c r="K1267" s="110">
        <v>0</v>
      </c>
      <c r="L1267" s="110"/>
      <c r="M1267" s="110">
        <v>0</v>
      </c>
      <c r="N1267" s="110"/>
      <c r="O1267" s="110"/>
      <c r="P1267" s="110">
        <f t="shared" si="120"/>
        <v>0</v>
      </c>
      <c r="Q1267" s="110">
        <f t="shared" si="121"/>
        <v>0</v>
      </c>
      <c r="R1267" s="110">
        <f t="shared" si="122"/>
        <v>0</v>
      </c>
      <c r="S1267" s="112" t="s">
        <v>150</v>
      </c>
    </row>
    <row r="1268" spans="1:19">
      <c r="A1268" s="79"/>
      <c r="B1268" s="77" t="s">
        <v>151</v>
      </c>
      <c r="C1268" s="76"/>
      <c r="D1268" s="143"/>
      <c r="E1268" s="73"/>
      <c r="F1268" s="73"/>
      <c r="G1268" s="112">
        <v>0</v>
      </c>
      <c r="H1268" s="120">
        <v>0</v>
      </c>
      <c r="I1268" s="120">
        <v>0</v>
      </c>
      <c r="J1268" s="120">
        <v>0</v>
      </c>
      <c r="K1268" s="110">
        <v>0</v>
      </c>
      <c r="L1268" s="110"/>
      <c r="M1268" s="110">
        <v>0</v>
      </c>
      <c r="N1268" s="110"/>
      <c r="O1268" s="110"/>
      <c r="P1268" s="110">
        <f t="shared" si="120"/>
        <v>0</v>
      </c>
      <c r="Q1268" s="110">
        <f t="shared" si="121"/>
        <v>0</v>
      </c>
      <c r="R1268" s="110">
        <f t="shared" si="122"/>
        <v>0</v>
      </c>
      <c r="S1268" s="112">
        <v>0</v>
      </c>
    </row>
    <row r="1269" spans="1:19">
      <c r="A1269" s="79"/>
      <c r="B1269" s="77" t="s">
        <v>239</v>
      </c>
      <c r="C1269" s="76" t="s">
        <v>4</v>
      </c>
      <c r="D1269" s="143">
        <v>1</v>
      </c>
      <c r="E1269" s="50"/>
      <c r="F1269" s="334"/>
      <c r="G1269" s="112">
        <v>0</v>
      </c>
      <c r="H1269" s="120">
        <v>0</v>
      </c>
      <c r="I1269" s="120">
        <v>0</v>
      </c>
      <c r="J1269" s="120">
        <v>0</v>
      </c>
      <c r="K1269" s="110">
        <v>0</v>
      </c>
      <c r="L1269" s="110"/>
      <c r="M1269" s="110">
        <v>0</v>
      </c>
      <c r="N1269" s="110"/>
      <c r="O1269" s="110"/>
      <c r="P1269" s="110">
        <f t="shared" si="120"/>
        <v>0</v>
      </c>
      <c r="Q1269" s="110">
        <f t="shared" si="121"/>
        <v>0</v>
      </c>
      <c r="R1269" s="110">
        <f t="shared" si="122"/>
        <v>0</v>
      </c>
      <c r="S1269" s="112">
        <v>0</v>
      </c>
    </row>
    <row r="1270" spans="1:19">
      <c r="A1270" s="79"/>
      <c r="B1270" s="77" t="s">
        <v>240</v>
      </c>
      <c r="C1270" s="76" t="s">
        <v>12</v>
      </c>
      <c r="D1270" s="143">
        <v>3</v>
      </c>
      <c r="E1270" s="57"/>
      <c r="F1270" s="334"/>
      <c r="G1270" s="112">
        <v>0</v>
      </c>
      <c r="H1270" s="120">
        <v>0</v>
      </c>
      <c r="I1270" s="120">
        <v>0</v>
      </c>
      <c r="J1270" s="120">
        <v>0</v>
      </c>
      <c r="K1270" s="110">
        <v>0</v>
      </c>
      <c r="L1270" s="110"/>
      <c r="M1270" s="110">
        <v>0</v>
      </c>
      <c r="N1270" s="110"/>
      <c r="O1270" s="110"/>
      <c r="P1270" s="110">
        <f t="shared" si="120"/>
        <v>0</v>
      </c>
      <c r="Q1270" s="110">
        <f t="shared" si="121"/>
        <v>0</v>
      </c>
      <c r="R1270" s="110">
        <f t="shared" si="122"/>
        <v>0</v>
      </c>
      <c r="S1270" s="112">
        <v>0</v>
      </c>
    </row>
    <row r="1271" spans="1:19">
      <c r="A1271" s="79"/>
      <c r="B1271" s="77" t="s">
        <v>29</v>
      </c>
      <c r="C1271" s="76" t="s">
        <v>4</v>
      </c>
      <c r="D1271" s="143">
        <v>1</v>
      </c>
      <c r="E1271" s="50"/>
      <c r="F1271" s="334"/>
      <c r="G1271" s="112">
        <v>0</v>
      </c>
      <c r="H1271" s="120">
        <v>0</v>
      </c>
      <c r="I1271" s="120">
        <v>0</v>
      </c>
      <c r="J1271" s="120">
        <v>0</v>
      </c>
      <c r="K1271" s="110">
        <v>0</v>
      </c>
      <c r="L1271" s="110"/>
      <c r="M1271" s="110">
        <v>0</v>
      </c>
      <c r="N1271" s="110"/>
      <c r="O1271" s="110"/>
      <c r="P1271" s="110">
        <f t="shared" si="120"/>
        <v>0</v>
      </c>
      <c r="Q1271" s="110">
        <f t="shared" si="121"/>
        <v>0</v>
      </c>
      <c r="R1271" s="110">
        <f t="shared" si="122"/>
        <v>0</v>
      </c>
      <c r="S1271" s="112">
        <v>0</v>
      </c>
    </row>
    <row r="1272" spans="1:19">
      <c r="A1272" s="79"/>
      <c r="B1272" s="77" t="s">
        <v>30</v>
      </c>
      <c r="C1272" s="76" t="s">
        <v>4</v>
      </c>
      <c r="D1272" s="143">
        <v>1</v>
      </c>
      <c r="E1272" s="50"/>
      <c r="F1272" s="334"/>
      <c r="G1272" s="112">
        <v>0</v>
      </c>
      <c r="H1272" s="120">
        <v>0</v>
      </c>
      <c r="I1272" s="120">
        <v>0</v>
      </c>
      <c r="J1272" s="120">
        <v>0</v>
      </c>
      <c r="K1272" s="110">
        <v>0</v>
      </c>
      <c r="L1272" s="110"/>
      <c r="M1272" s="110">
        <v>0</v>
      </c>
      <c r="N1272" s="110"/>
      <c r="O1272" s="110"/>
      <c r="P1272" s="110">
        <f t="shared" si="120"/>
        <v>0</v>
      </c>
      <c r="Q1272" s="110">
        <f t="shared" si="121"/>
        <v>0</v>
      </c>
      <c r="R1272" s="110">
        <f t="shared" si="122"/>
        <v>0</v>
      </c>
      <c r="S1272" s="112">
        <v>0</v>
      </c>
    </row>
    <row r="1273" spans="1:19">
      <c r="A1273" s="79"/>
      <c r="B1273" s="77" t="s">
        <v>241</v>
      </c>
      <c r="C1273" s="76" t="s">
        <v>4</v>
      </c>
      <c r="D1273" s="143">
        <v>3</v>
      </c>
      <c r="E1273" s="50"/>
      <c r="F1273" s="334"/>
      <c r="G1273" s="112">
        <v>0</v>
      </c>
      <c r="H1273" s="120">
        <v>0</v>
      </c>
      <c r="I1273" s="120">
        <v>0</v>
      </c>
      <c r="J1273" s="120">
        <v>0</v>
      </c>
      <c r="K1273" s="110">
        <v>0</v>
      </c>
      <c r="L1273" s="110"/>
      <c r="M1273" s="110">
        <v>0</v>
      </c>
      <c r="N1273" s="110"/>
      <c r="O1273" s="110"/>
      <c r="P1273" s="110">
        <f t="shared" si="120"/>
        <v>0</v>
      </c>
      <c r="Q1273" s="110">
        <f t="shared" si="121"/>
        <v>0</v>
      </c>
      <c r="R1273" s="110">
        <f t="shared" si="122"/>
        <v>0</v>
      </c>
      <c r="S1273" s="112">
        <v>0</v>
      </c>
    </row>
    <row r="1274" spans="1:19">
      <c r="A1274" s="79"/>
      <c r="B1274" s="77" t="s">
        <v>14</v>
      </c>
      <c r="C1274" s="76" t="s">
        <v>4</v>
      </c>
      <c r="D1274" s="143">
        <v>3</v>
      </c>
      <c r="E1274" s="50"/>
      <c r="F1274" s="334"/>
      <c r="G1274" s="112">
        <v>0</v>
      </c>
      <c r="H1274" s="120">
        <v>0</v>
      </c>
      <c r="I1274" s="120">
        <v>0</v>
      </c>
      <c r="J1274" s="120">
        <v>0</v>
      </c>
      <c r="K1274" s="110">
        <v>0</v>
      </c>
      <c r="L1274" s="110"/>
      <c r="M1274" s="110">
        <v>0</v>
      </c>
      <c r="N1274" s="110"/>
      <c r="O1274" s="110"/>
      <c r="P1274" s="110">
        <f t="shared" si="120"/>
        <v>0</v>
      </c>
      <c r="Q1274" s="110">
        <f t="shared" si="121"/>
        <v>0</v>
      </c>
      <c r="R1274" s="110">
        <f t="shared" si="122"/>
        <v>0</v>
      </c>
      <c r="S1274" s="112">
        <v>0</v>
      </c>
    </row>
    <row r="1275" spans="1:19">
      <c r="A1275" s="79"/>
      <c r="B1275" s="77" t="s">
        <v>153</v>
      </c>
      <c r="C1275" s="76" t="s">
        <v>4</v>
      </c>
      <c r="D1275" s="143">
        <v>3</v>
      </c>
      <c r="E1275" s="74"/>
      <c r="F1275" s="334"/>
      <c r="G1275" s="112">
        <v>0</v>
      </c>
      <c r="H1275" s="120">
        <v>0</v>
      </c>
      <c r="I1275" s="120">
        <v>0</v>
      </c>
      <c r="J1275" s="120">
        <v>0</v>
      </c>
      <c r="K1275" s="110">
        <v>0</v>
      </c>
      <c r="L1275" s="110"/>
      <c r="M1275" s="110">
        <v>0</v>
      </c>
      <c r="N1275" s="110"/>
      <c r="O1275" s="110"/>
      <c r="P1275" s="110">
        <f t="shared" si="120"/>
        <v>0</v>
      </c>
      <c r="Q1275" s="110">
        <f t="shared" si="121"/>
        <v>0</v>
      </c>
      <c r="R1275" s="110">
        <f t="shared" si="122"/>
        <v>0</v>
      </c>
      <c r="S1275" s="112">
        <v>0</v>
      </c>
    </row>
    <row r="1276" spans="1:19">
      <c r="A1276" s="79"/>
      <c r="B1276" s="77" t="s">
        <v>154</v>
      </c>
      <c r="C1276" s="76"/>
      <c r="D1276" s="143"/>
      <c r="E1276" s="74"/>
      <c r="F1276" s="74"/>
      <c r="G1276" s="112">
        <v>0</v>
      </c>
      <c r="H1276" s="120">
        <v>0</v>
      </c>
      <c r="I1276" s="120">
        <v>0</v>
      </c>
      <c r="J1276" s="120">
        <v>0</v>
      </c>
      <c r="K1276" s="110">
        <v>0</v>
      </c>
      <c r="L1276" s="110"/>
      <c r="M1276" s="110">
        <v>0</v>
      </c>
      <c r="N1276" s="110"/>
      <c r="O1276" s="110"/>
      <c r="P1276" s="110">
        <f t="shared" si="120"/>
        <v>0</v>
      </c>
      <c r="Q1276" s="110">
        <f t="shared" si="121"/>
        <v>0</v>
      </c>
      <c r="R1276" s="110">
        <f t="shared" si="122"/>
        <v>0</v>
      </c>
      <c r="S1276" s="112">
        <v>0</v>
      </c>
    </row>
    <row r="1277" spans="1:19">
      <c r="A1277" s="79"/>
      <c r="B1277" s="77" t="s">
        <v>242</v>
      </c>
      <c r="C1277" s="76" t="s">
        <v>4</v>
      </c>
      <c r="D1277" s="143">
        <v>1</v>
      </c>
      <c r="E1277" s="74"/>
      <c r="F1277" s="334"/>
      <c r="G1277" s="112">
        <v>0</v>
      </c>
      <c r="H1277" s="120">
        <v>0</v>
      </c>
      <c r="I1277" s="120">
        <v>0</v>
      </c>
      <c r="J1277" s="120">
        <v>0</v>
      </c>
      <c r="K1277" s="110">
        <v>0</v>
      </c>
      <c r="L1277" s="110"/>
      <c r="M1277" s="110">
        <v>0</v>
      </c>
      <c r="N1277" s="110"/>
      <c r="O1277" s="110"/>
      <c r="P1277" s="110">
        <f t="shared" si="120"/>
        <v>0</v>
      </c>
      <c r="Q1277" s="110">
        <f t="shared" si="121"/>
        <v>0</v>
      </c>
      <c r="R1277" s="110">
        <f t="shared" si="122"/>
        <v>0</v>
      </c>
      <c r="S1277" s="112">
        <v>0</v>
      </c>
    </row>
    <row r="1278" spans="1:19">
      <c r="A1278" s="79"/>
      <c r="B1278" s="77" t="s">
        <v>199</v>
      </c>
      <c r="C1278" s="76" t="s">
        <v>4</v>
      </c>
      <c r="D1278" s="143">
        <v>1</v>
      </c>
      <c r="E1278" s="74"/>
      <c r="F1278" s="334"/>
      <c r="G1278" s="112">
        <v>0</v>
      </c>
      <c r="H1278" s="120">
        <v>0</v>
      </c>
      <c r="I1278" s="120">
        <v>0</v>
      </c>
      <c r="J1278" s="120">
        <v>0</v>
      </c>
      <c r="K1278" s="110">
        <v>0</v>
      </c>
      <c r="L1278" s="110"/>
      <c r="M1278" s="110">
        <v>0</v>
      </c>
      <c r="N1278" s="110"/>
      <c r="O1278" s="110"/>
      <c r="P1278" s="110">
        <f t="shared" si="120"/>
        <v>0</v>
      </c>
      <c r="Q1278" s="110">
        <f t="shared" si="121"/>
        <v>0</v>
      </c>
      <c r="R1278" s="110">
        <f t="shared" si="122"/>
        <v>0</v>
      </c>
      <c r="S1278" s="112">
        <v>0</v>
      </c>
    </row>
    <row r="1279" spans="1:19">
      <c r="A1279" s="79"/>
      <c r="B1279" s="77" t="s">
        <v>158</v>
      </c>
      <c r="C1279" s="76" t="s">
        <v>4</v>
      </c>
      <c r="D1279" s="143">
        <v>1</v>
      </c>
      <c r="E1279" s="74"/>
      <c r="F1279" s="334"/>
      <c r="G1279" s="112">
        <v>0</v>
      </c>
      <c r="H1279" s="120">
        <v>0</v>
      </c>
      <c r="I1279" s="120">
        <v>0</v>
      </c>
      <c r="J1279" s="120">
        <v>0</v>
      </c>
      <c r="K1279" s="110">
        <v>0</v>
      </c>
      <c r="L1279" s="110"/>
      <c r="M1279" s="110">
        <v>0</v>
      </c>
      <c r="N1279" s="110"/>
      <c r="O1279" s="110"/>
      <c r="P1279" s="110">
        <f t="shared" si="120"/>
        <v>0</v>
      </c>
      <c r="Q1279" s="110">
        <f t="shared" si="121"/>
        <v>0</v>
      </c>
      <c r="R1279" s="110">
        <f t="shared" si="122"/>
        <v>0</v>
      </c>
      <c r="S1279" s="112">
        <v>0</v>
      </c>
    </row>
    <row r="1280" spans="1:19">
      <c r="A1280" s="79"/>
      <c r="B1280" s="77" t="s">
        <v>200</v>
      </c>
      <c r="C1280" s="76" t="s">
        <v>8</v>
      </c>
      <c r="D1280" s="143">
        <v>1</v>
      </c>
      <c r="E1280" s="73"/>
      <c r="F1280" s="334"/>
      <c r="G1280" s="112">
        <v>0</v>
      </c>
      <c r="H1280" s="120">
        <v>0</v>
      </c>
      <c r="I1280" s="120">
        <v>0</v>
      </c>
      <c r="J1280" s="120">
        <v>0</v>
      </c>
      <c r="K1280" s="110">
        <v>0</v>
      </c>
      <c r="L1280" s="110"/>
      <c r="M1280" s="110">
        <v>0</v>
      </c>
      <c r="N1280" s="110"/>
      <c r="O1280" s="110"/>
      <c r="P1280" s="110">
        <f t="shared" si="120"/>
        <v>0</v>
      </c>
      <c r="Q1280" s="110">
        <f t="shared" si="121"/>
        <v>0</v>
      </c>
      <c r="R1280" s="110">
        <f t="shared" si="122"/>
        <v>0</v>
      </c>
      <c r="S1280" s="112">
        <v>0</v>
      </c>
    </row>
    <row r="1281" spans="1:19">
      <c r="A1281" s="79"/>
      <c r="B1281" s="77" t="s">
        <v>187</v>
      </c>
      <c r="C1281" s="76" t="s">
        <v>4</v>
      </c>
      <c r="D1281" s="143">
        <v>2</v>
      </c>
      <c r="E1281" s="74"/>
      <c r="F1281" s="334"/>
      <c r="G1281" s="112">
        <v>0</v>
      </c>
      <c r="H1281" s="120">
        <v>0</v>
      </c>
      <c r="I1281" s="120">
        <v>0</v>
      </c>
      <c r="J1281" s="120">
        <v>0</v>
      </c>
      <c r="K1281" s="110">
        <v>0</v>
      </c>
      <c r="L1281" s="110"/>
      <c r="M1281" s="110">
        <v>0</v>
      </c>
      <c r="N1281" s="110"/>
      <c r="O1281" s="110"/>
      <c r="P1281" s="110">
        <f t="shared" si="120"/>
        <v>0</v>
      </c>
      <c r="Q1281" s="110">
        <f t="shared" si="121"/>
        <v>0</v>
      </c>
      <c r="R1281" s="110">
        <f t="shared" si="122"/>
        <v>0</v>
      </c>
      <c r="S1281" s="112">
        <v>0</v>
      </c>
    </row>
    <row r="1282" spans="1:19">
      <c r="A1282" s="79"/>
      <c r="B1282" s="77" t="s">
        <v>196</v>
      </c>
      <c r="C1282" s="76" t="s">
        <v>4</v>
      </c>
      <c r="D1282" s="143">
        <v>1</v>
      </c>
      <c r="E1282" s="74"/>
      <c r="F1282" s="334"/>
      <c r="G1282" s="112">
        <v>0</v>
      </c>
      <c r="H1282" s="120">
        <v>0</v>
      </c>
      <c r="I1282" s="120">
        <v>0</v>
      </c>
      <c r="J1282" s="120">
        <v>0</v>
      </c>
      <c r="K1282" s="110">
        <v>0</v>
      </c>
      <c r="L1282" s="110"/>
      <c r="M1282" s="110">
        <v>0</v>
      </c>
      <c r="N1282" s="110"/>
      <c r="O1282" s="110"/>
      <c r="P1282" s="110">
        <f t="shared" si="120"/>
        <v>0</v>
      </c>
      <c r="Q1282" s="110">
        <f t="shared" si="121"/>
        <v>0</v>
      </c>
      <c r="R1282" s="110">
        <f t="shared" si="122"/>
        <v>0</v>
      </c>
      <c r="S1282" s="112">
        <v>0</v>
      </c>
    </row>
    <row r="1283" spans="1:19">
      <c r="A1283" s="79"/>
      <c r="B1283" s="77" t="s">
        <v>201</v>
      </c>
      <c r="C1283" s="76" t="s">
        <v>4</v>
      </c>
      <c r="D1283" s="143">
        <v>1</v>
      </c>
      <c r="E1283" s="74"/>
      <c r="F1283" s="334"/>
      <c r="G1283" s="112">
        <v>0</v>
      </c>
      <c r="H1283" s="120">
        <v>0</v>
      </c>
      <c r="I1283" s="120">
        <v>0</v>
      </c>
      <c r="J1283" s="120">
        <v>0</v>
      </c>
      <c r="K1283" s="110">
        <v>0</v>
      </c>
      <c r="L1283" s="110"/>
      <c r="M1283" s="110">
        <v>0</v>
      </c>
      <c r="N1283" s="110"/>
      <c r="O1283" s="110"/>
      <c r="P1283" s="110">
        <f t="shared" si="120"/>
        <v>0</v>
      </c>
      <c r="Q1283" s="110">
        <f t="shared" si="121"/>
        <v>0</v>
      </c>
      <c r="R1283" s="110">
        <f t="shared" si="122"/>
        <v>0</v>
      </c>
      <c r="S1283" s="112">
        <v>0</v>
      </c>
    </row>
    <row r="1284" spans="1:19">
      <c r="A1284" s="79"/>
      <c r="B1284" s="77" t="s">
        <v>188</v>
      </c>
      <c r="C1284" s="76" t="s">
        <v>4</v>
      </c>
      <c r="D1284" s="143">
        <v>1</v>
      </c>
      <c r="E1284" s="74"/>
      <c r="F1284" s="334"/>
      <c r="G1284" s="112">
        <v>0</v>
      </c>
      <c r="H1284" s="120">
        <v>0</v>
      </c>
      <c r="I1284" s="120">
        <v>0</v>
      </c>
      <c r="J1284" s="120">
        <v>0</v>
      </c>
      <c r="K1284" s="110">
        <v>0</v>
      </c>
      <c r="L1284" s="110"/>
      <c r="M1284" s="110">
        <v>0</v>
      </c>
      <c r="N1284" s="110"/>
      <c r="O1284" s="110"/>
      <c r="P1284" s="110">
        <f t="shared" si="120"/>
        <v>0</v>
      </c>
      <c r="Q1284" s="110">
        <f t="shared" si="121"/>
        <v>0</v>
      </c>
      <c r="R1284" s="110">
        <f t="shared" si="122"/>
        <v>0</v>
      </c>
      <c r="S1284" s="112">
        <v>0</v>
      </c>
    </row>
    <row r="1285" spans="1:19">
      <c r="A1285" s="79"/>
      <c r="B1285" s="77" t="s">
        <v>175</v>
      </c>
      <c r="C1285" s="76" t="s">
        <v>4</v>
      </c>
      <c r="D1285" s="143">
        <v>1</v>
      </c>
      <c r="E1285" s="75"/>
      <c r="F1285" s="334"/>
      <c r="G1285" s="112">
        <v>0</v>
      </c>
      <c r="H1285" s="120">
        <v>0</v>
      </c>
      <c r="I1285" s="120">
        <v>0</v>
      </c>
      <c r="J1285" s="120">
        <v>0</v>
      </c>
      <c r="K1285" s="110">
        <v>0</v>
      </c>
      <c r="L1285" s="110"/>
      <c r="M1285" s="110">
        <v>0</v>
      </c>
      <c r="N1285" s="110"/>
      <c r="O1285" s="110"/>
      <c r="P1285" s="110">
        <f t="shared" si="120"/>
        <v>0</v>
      </c>
      <c r="Q1285" s="110">
        <f t="shared" si="121"/>
        <v>0</v>
      </c>
      <c r="R1285" s="110">
        <f t="shared" si="122"/>
        <v>0</v>
      </c>
      <c r="S1285" s="112">
        <v>0</v>
      </c>
    </row>
    <row r="1286" spans="1:19">
      <c r="A1286" s="79"/>
      <c r="B1286" s="77" t="s">
        <v>202</v>
      </c>
      <c r="C1286" s="76" t="s">
        <v>4</v>
      </c>
      <c r="D1286" s="143">
        <v>1</v>
      </c>
      <c r="E1286" s="73"/>
      <c r="F1286" s="334"/>
      <c r="G1286" s="112">
        <v>0</v>
      </c>
      <c r="H1286" s="120">
        <v>0</v>
      </c>
      <c r="I1286" s="120">
        <v>0</v>
      </c>
      <c r="J1286" s="120">
        <v>0</v>
      </c>
      <c r="K1286" s="110">
        <v>0</v>
      </c>
      <c r="L1286" s="110"/>
      <c r="M1286" s="110">
        <v>0</v>
      </c>
      <c r="N1286" s="110"/>
      <c r="O1286" s="110"/>
      <c r="P1286" s="110">
        <f t="shared" si="120"/>
        <v>0</v>
      </c>
      <c r="Q1286" s="110">
        <f t="shared" si="121"/>
        <v>0</v>
      </c>
      <c r="R1286" s="110">
        <f t="shared" si="122"/>
        <v>0</v>
      </c>
      <c r="S1286" s="112">
        <v>0</v>
      </c>
    </row>
    <row r="1287" spans="1:19">
      <c r="A1287" s="79"/>
      <c r="B1287" s="77" t="s">
        <v>176</v>
      </c>
      <c r="C1287" s="76" t="s">
        <v>4</v>
      </c>
      <c r="D1287" s="143">
        <v>2</v>
      </c>
      <c r="E1287" s="50"/>
      <c r="F1287" s="334"/>
      <c r="G1287" s="112">
        <v>0</v>
      </c>
      <c r="H1287" s="120">
        <v>0</v>
      </c>
      <c r="I1287" s="120">
        <v>0</v>
      </c>
      <c r="J1287" s="120">
        <v>0</v>
      </c>
      <c r="K1287" s="110">
        <v>0</v>
      </c>
      <c r="L1287" s="110"/>
      <c r="M1287" s="110">
        <v>0</v>
      </c>
      <c r="N1287" s="110"/>
      <c r="O1287" s="110"/>
      <c r="P1287" s="110">
        <f t="shared" si="120"/>
        <v>0</v>
      </c>
      <c r="Q1287" s="110">
        <f t="shared" si="121"/>
        <v>0</v>
      </c>
      <c r="R1287" s="110">
        <f t="shared" si="122"/>
        <v>0</v>
      </c>
      <c r="S1287" s="112">
        <v>0</v>
      </c>
    </row>
    <row r="1288" spans="1:19">
      <c r="A1288" s="79"/>
      <c r="B1288" s="77" t="s">
        <v>161</v>
      </c>
      <c r="C1288" s="76" t="s">
        <v>4</v>
      </c>
      <c r="D1288" s="143">
        <v>1</v>
      </c>
      <c r="E1288" s="57"/>
      <c r="F1288" s="334"/>
      <c r="G1288" s="112">
        <v>0</v>
      </c>
      <c r="H1288" s="120">
        <v>0</v>
      </c>
      <c r="I1288" s="120">
        <v>0</v>
      </c>
      <c r="J1288" s="120">
        <v>0</v>
      </c>
      <c r="K1288" s="110">
        <v>0</v>
      </c>
      <c r="L1288" s="110"/>
      <c r="M1288" s="110">
        <v>0</v>
      </c>
      <c r="N1288" s="110"/>
      <c r="O1288" s="110"/>
      <c r="P1288" s="110">
        <f t="shared" si="120"/>
        <v>0</v>
      </c>
      <c r="Q1288" s="110">
        <f t="shared" si="121"/>
        <v>0</v>
      </c>
      <c r="R1288" s="110">
        <f t="shared" si="122"/>
        <v>0</v>
      </c>
      <c r="S1288" s="112">
        <v>0</v>
      </c>
    </row>
    <row r="1289" spans="1:19">
      <c r="A1289" s="79"/>
      <c r="B1289" s="77" t="s">
        <v>177</v>
      </c>
      <c r="C1289" s="76" t="s">
        <v>17</v>
      </c>
      <c r="D1289" s="143">
        <v>1</v>
      </c>
      <c r="E1289" s="50"/>
      <c r="F1289" s="334"/>
      <c r="G1289" s="112">
        <v>0</v>
      </c>
      <c r="H1289" s="120">
        <v>0</v>
      </c>
      <c r="I1289" s="120">
        <v>0</v>
      </c>
      <c r="J1289" s="120">
        <v>0</v>
      </c>
      <c r="K1289" s="110">
        <v>0</v>
      </c>
      <c r="L1289" s="110"/>
      <c r="M1289" s="110">
        <v>0</v>
      </c>
      <c r="N1289" s="110"/>
      <c r="O1289" s="110"/>
      <c r="P1289" s="110">
        <f t="shared" si="120"/>
        <v>0</v>
      </c>
      <c r="Q1289" s="110">
        <f t="shared" si="121"/>
        <v>0</v>
      </c>
      <c r="R1289" s="110">
        <f t="shared" si="122"/>
        <v>0</v>
      </c>
      <c r="S1289" s="112">
        <v>0</v>
      </c>
    </row>
    <row r="1290" spans="1:19">
      <c r="A1290" s="79"/>
      <c r="B1290" s="77" t="s">
        <v>351</v>
      </c>
      <c r="C1290" s="76" t="s">
        <v>8</v>
      </c>
      <c r="D1290" s="143">
        <v>1</v>
      </c>
      <c r="E1290" s="50"/>
      <c r="F1290" s="334"/>
      <c r="G1290" s="112">
        <v>0</v>
      </c>
      <c r="H1290" s="120">
        <v>0</v>
      </c>
      <c r="I1290" s="120">
        <v>0</v>
      </c>
      <c r="J1290" s="120">
        <v>0</v>
      </c>
      <c r="K1290" s="110">
        <v>0</v>
      </c>
      <c r="L1290" s="110"/>
      <c r="M1290" s="110">
        <v>0</v>
      </c>
      <c r="N1290" s="110"/>
      <c r="O1290" s="110"/>
      <c r="P1290" s="110">
        <f t="shared" si="120"/>
        <v>0</v>
      </c>
      <c r="Q1290" s="110">
        <f t="shared" si="121"/>
        <v>0</v>
      </c>
      <c r="R1290" s="110">
        <f t="shared" si="122"/>
        <v>0</v>
      </c>
      <c r="S1290" s="112">
        <v>0</v>
      </c>
    </row>
    <row r="1291" spans="1:19">
      <c r="A1291" s="79"/>
      <c r="B1291" s="77" t="s">
        <v>245</v>
      </c>
      <c r="C1291" s="76" t="s">
        <v>4</v>
      </c>
      <c r="D1291" s="143">
        <v>2</v>
      </c>
      <c r="E1291" s="50"/>
      <c r="F1291" s="334"/>
      <c r="G1291" s="112">
        <v>0</v>
      </c>
      <c r="H1291" s="120">
        <v>0</v>
      </c>
      <c r="I1291" s="120">
        <v>0</v>
      </c>
      <c r="J1291" s="120">
        <v>0</v>
      </c>
      <c r="K1291" s="110">
        <v>0</v>
      </c>
      <c r="L1291" s="110"/>
      <c r="M1291" s="110">
        <v>0</v>
      </c>
      <c r="N1291" s="110"/>
      <c r="O1291" s="110"/>
      <c r="P1291" s="110">
        <f t="shared" si="120"/>
        <v>0</v>
      </c>
      <c r="Q1291" s="110">
        <f t="shared" si="121"/>
        <v>0</v>
      </c>
      <c r="R1291" s="110">
        <f t="shared" si="122"/>
        <v>0</v>
      </c>
      <c r="S1291" s="112">
        <v>0</v>
      </c>
    </row>
    <row r="1292" spans="1:19">
      <c r="A1292" s="79"/>
      <c r="B1292" s="77" t="s">
        <v>246</v>
      </c>
      <c r="C1292" s="76" t="s">
        <v>4</v>
      </c>
      <c r="D1292" s="143">
        <v>1</v>
      </c>
      <c r="E1292" s="50"/>
      <c r="F1292" s="334"/>
      <c r="G1292" s="112">
        <v>0</v>
      </c>
      <c r="H1292" s="120">
        <v>0</v>
      </c>
      <c r="I1292" s="120">
        <v>0</v>
      </c>
      <c r="J1292" s="120">
        <v>0</v>
      </c>
      <c r="K1292" s="110">
        <v>0</v>
      </c>
      <c r="L1292" s="110"/>
      <c r="M1292" s="110">
        <v>0</v>
      </c>
      <c r="N1292" s="110"/>
      <c r="O1292" s="110"/>
      <c r="P1292" s="110">
        <f t="shared" si="120"/>
        <v>0</v>
      </c>
      <c r="Q1292" s="110">
        <f t="shared" si="121"/>
        <v>0</v>
      </c>
      <c r="R1292" s="110">
        <f t="shared" si="122"/>
        <v>0</v>
      </c>
      <c r="S1292" s="112">
        <v>0</v>
      </c>
    </row>
    <row r="1293" spans="1:19">
      <c r="A1293" s="79"/>
      <c r="B1293" s="77" t="s">
        <v>173</v>
      </c>
      <c r="C1293" s="76" t="s">
        <v>4</v>
      </c>
      <c r="D1293" s="143">
        <v>5</v>
      </c>
      <c r="E1293" s="50"/>
      <c r="F1293" s="334"/>
      <c r="G1293" s="112">
        <v>0</v>
      </c>
      <c r="H1293" s="120">
        <v>0</v>
      </c>
      <c r="I1293" s="120">
        <v>0</v>
      </c>
      <c r="J1293" s="120">
        <v>0</v>
      </c>
      <c r="K1293" s="110">
        <v>0</v>
      </c>
      <c r="L1293" s="110"/>
      <c r="M1293" s="110">
        <v>0</v>
      </c>
      <c r="N1293" s="110"/>
      <c r="O1293" s="110"/>
      <c r="P1293" s="110">
        <f t="shared" si="120"/>
        <v>0</v>
      </c>
      <c r="Q1293" s="110">
        <f t="shared" si="121"/>
        <v>0</v>
      </c>
      <c r="R1293" s="110">
        <f t="shared" si="122"/>
        <v>0</v>
      </c>
      <c r="S1293" s="112">
        <v>0</v>
      </c>
    </row>
    <row r="1294" spans="1:19">
      <c r="A1294" s="79"/>
      <c r="B1294" s="77" t="s">
        <v>201</v>
      </c>
      <c r="C1294" s="76" t="s">
        <v>4</v>
      </c>
      <c r="D1294" s="143">
        <v>1</v>
      </c>
      <c r="E1294" s="74"/>
      <c r="F1294" s="334"/>
      <c r="G1294" s="112">
        <v>0</v>
      </c>
      <c r="H1294" s="120">
        <v>0</v>
      </c>
      <c r="I1294" s="120">
        <v>0</v>
      </c>
      <c r="J1294" s="120">
        <v>0</v>
      </c>
      <c r="K1294" s="110">
        <v>0</v>
      </c>
      <c r="L1294" s="110"/>
      <c r="M1294" s="110">
        <v>0</v>
      </c>
      <c r="N1294" s="110"/>
      <c r="O1294" s="110"/>
      <c r="P1294" s="110">
        <f t="shared" si="120"/>
        <v>0</v>
      </c>
      <c r="Q1294" s="110">
        <f t="shared" si="121"/>
        <v>0</v>
      </c>
      <c r="R1294" s="110">
        <f t="shared" si="122"/>
        <v>0</v>
      </c>
      <c r="S1294" s="112">
        <v>0</v>
      </c>
    </row>
    <row r="1295" spans="1:19">
      <c r="A1295" s="79"/>
      <c r="B1295" s="77" t="s">
        <v>352</v>
      </c>
      <c r="C1295" s="76" t="s">
        <v>4</v>
      </c>
      <c r="D1295" s="143">
        <v>1</v>
      </c>
      <c r="E1295" s="74"/>
      <c r="F1295" s="334"/>
      <c r="G1295" s="112">
        <v>0</v>
      </c>
      <c r="H1295" s="120">
        <v>0</v>
      </c>
      <c r="I1295" s="120">
        <v>0</v>
      </c>
      <c r="J1295" s="120">
        <v>0</v>
      </c>
      <c r="K1295" s="110">
        <v>0</v>
      </c>
      <c r="L1295" s="110"/>
      <c r="M1295" s="110">
        <v>0</v>
      </c>
      <c r="N1295" s="110"/>
      <c r="O1295" s="110"/>
      <c r="P1295" s="110">
        <f t="shared" si="120"/>
        <v>0</v>
      </c>
      <c r="Q1295" s="110">
        <f t="shared" si="121"/>
        <v>0</v>
      </c>
      <c r="R1295" s="110">
        <f t="shared" si="122"/>
        <v>0</v>
      </c>
      <c r="S1295" s="112">
        <v>0</v>
      </c>
    </row>
    <row r="1296" spans="1:19">
      <c r="A1296" s="79"/>
      <c r="B1296" s="77" t="s">
        <v>175</v>
      </c>
      <c r="C1296" s="76" t="s">
        <v>4</v>
      </c>
      <c r="D1296" s="143">
        <v>1</v>
      </c>
      <c r="E1296" s="74"/>
      <c r="F1296" s="334"/>
      <c r="G1296" s="112">
        <v>0</v>
      </c>
      <c r="H1296" s="120">
        <v>0</v>
      </c>
      <c r="I1296" s="120">
        <v>0</v>
      </c>
      <c r="J1296" s="120">
        <v>0</v>
      </c>
      <c r="K1296" s="110">
        <v>0</v>
      </c>
      <c r="L1296" s="110"/>
      <c r="M1296" s="110">
        <v>0</v>
      </c>
      <c r="N1296" s="110"/>
      <c r="O1296" s="110"/>
      <c r="P1296" s="110">
        <f t="shared" si="120"/>
        <v>0</v>
      </c>
      <c r="Q1296" s="110">
        <f t="shared" si="121"/>
        <v>0</v>
      </c>
      <c r="R1296" s="110">
        <f t="shared" si="122"/>
        <v>0</v>
      </c>
      <c r="S1296" s="112">
        <v>0</v>
      </c>
    </row>
    <row r="1297" spans="1:19">
      <c r="A1297" s="79"/>
      <c r="B1297" s="77" t="s">
        <v>202</v>
      </c>
      <c r="C1297" s="76" t="s">
        <v>4</v>
      </c>
      <c r="D1297" s="143">
        <v>1</v>
      </c>
      <c r="E1297" s="74"/>
      <c r="F1297" s="334"/>
      <c r="G1297" s="112">
        <v>0</v>
      </c>
      <c r="H1297" s="120">
        <v>0</v>
      </c>
      <c r="I1297" s="120">
        <v>0</v>
      </c>
      <c r="J1297" s="120">
        <v>0</v>
      </c>
      <c r="K1297" s="110">
        <v>0</v>
      </c>
      <c r="L1297" s="110"/>
      <c r="M1297" s="110">
        <v>0</v>
      </c>
      <c r="N1297" s="110"/>
      <c r="O1297" s="110"/>
      <c r="P1297" s="110">
        <f t="shared" si="120"/>
        <v>0</v>
      </c>
      <c r="Q1297" s="110">
        <f t="shared" si="121"/>
        <v>0</v>
      </c>
      <c r="R1297" s="110">
        <f t="shared" si="122"/>
        <v>0</v>
      </c>
      <c r="S1297" s="112">
        <v>0</v>
      </c>
    </row>
    <row r="1298" spans="1:19">
      <c r="A1298" s="79"/>
      <c r="B1298" s="77" t="s">
        <v>176</v>
      </c>
      <c r="C1298" s="76" t="s">
        <v>4</v>
      </c>
      <c r="D1298" s="143">
        <v>2</v>
      </c>
      <c r="E1298" s="74"/>
      <c r="F1298" s="334"/>
      <c r="G1298" s="112">
        <v>0</v>
      </c>
      <c r="H1298" s="120">
        <v>0</v>
      </c>
      <c r="I1298" s="120">
        <v>0</v>
      </c>
      <c r="J1298" s="120">
        <v>0</v>
      </c>
      <c r="K1298" s="110">
        <v>0</v>
      </c>
      <c r="L1298" s="110"/>
      <c r="M1298" s="110">
        <v>0</v>
      </c>
      <c r="N1298" s="110"/>
      <c r="O1298" s="110"/>
      <c r="P1298" s="110">
        <f t="shared" si="120"/>
        <v>0</v>
      </c>
      <c r="Q1298" s="110">
        <f t="shared" si="121"/>
        <v>0</v>
      </c>
      <c r="R1298" s="110">
        <f t="shared" si="122"/>
        <v>0</v>
      </c>
      <c r="S1298" s="112">
        <v>0</v>
      </c>
    </row>
    <row r="1299" spans="1:19">
      <c r="A1299" s="79"/>
      <c r="B1299" s="77" t="s">
        <v>161</v>
      </c>
      <c r="C1299" s="76" t="s">
        <v>4</v>
      </c>
      <c r="D1299" s="143">
        <v>1</v>
      </c>
      <c r="E1299" s="74"/>
      <c r="F1299" s="334"/>
      <c r="G1299" s="112">
        <v>0</v>
      </c>
      <c r="H1299" s="120">
        <v>0</v>
      </c>
      <c r="I1299" s="120">
        <v>0</v>
      </c>
      <c r="J1299" s="120">
        <v>0</v>
      </c>
      <c r="K1299" s="110">
        <v>0</v>
      </c>
      <c r="L1299" s="110"/>
      <c r="M1299" s="110">
        <v>0</v>
      </c>
      <c r="N1299" s="110"/>
      <c r="O1299" s="110"/>
      <c r="P1299" s="110">
        <f t="shared" si="120"/>
        <v>0</v>
      </c>
      <c r="Q1299" s="110">
        <f t="shared" si="121"/>
        <v>0</v>
      </c>
      <c r="R1299" s="110">
        <f t="shared" si="122"/>
        <v>0</v>
      </c>
      <c r="S1299" s="112">
        <v>0</v>
      </c>
    </row>
    <row r="1300" spans="1:19">
      <c r="A1300" s="79"/>
      <c r="B1300" s="77" t="s">
        <v>177</v>
      </c>
      <c r="C1300" s="76" t="s">
        <v>17</v>
      </c>
      <c r="D1300" s="143">
        <v>1</v>
      </c>
      <c r="E1300" s="74"/>
      <c r="F1300" s="334"/>
      <c r="G1300" s="112">
        <v>0</v>
      </c>
      <c r="H1300" s="120">
        <v>0</v>
      </c>
      <c r="I1300" s="120">
        <v>0</v>
      </c>
      <c r="J1300" s="120">
        <v>0</v>
      </c>
      <c r="K1300" s="110">
        <v>0</v>
      </c>
      <c r="L1300" s="110"/>
      <c r="M1300" s="110">
        <v>0</v>
      </c>
      <c r="N1300" s="110"/>
      <c r="O1300" s="110"/>
      <c r="P1300" s="110">
        <f t="shared" si="120"/>
        <v>0</v>
      </c>
      <c r="Q1300" s="110">
        <f t="shared" si="121"/>
        <v>0</v>
      </c>
      <c r="R1300" s="110">
        <f t="shared" si="122"/>
        <v>0</v>
      </c>
      <c r="S1300" s="112">
        <v>0</v>
      </c>
    </row>
    <row r="1301" spans="1:19">
      <c r="A1301" s="79"/>
      <c r="B1301" s="77" t="s">
        <v>163</v>
      </c>
      <c r="C1301" s="76" t="s">
        <v>4</v>
      </c>
      <c r="D1301" s="143">
        <v>1</v>
      </c>
      <c r="E1301" s="74"/>
      <c r="F1301" s="334"/>
      <c r="G1301" s="112">
        <v>0</v>
      </c>
      <c r="H1301" s="120">
        <v>0</v>
      </c>
      <c r="I1301" s="120">
        <v>0</v>
      </c>
      <c r="J1301" s="120">
        <v>0</v>
      </c>
      <c r="K1301" s="110">
        <v>0</v>
      </c>
      <c r="L1301" s="110"/>
      <c r="M1301" s="110">
        <v>0</v>
      </c>
      <c r="N1301" s="110"/>
      <c r="O1301" s="110"/>
      <c r="P1301" s="110">
        <f t="shared" si="120"/>
        <v>0</v>
      </c>
      <c r="Q1301" s="110">
        <f t="shared" si="121"/>
        <v>0</v>
      </c>
      <c r="R1301" s="110">
        <f t="shared" si="122"/>
        <v>0</v>
      </c>
      <c r="S1301" s="112">
        <v>0</v>
      </c>
    </row>
    <row r="1302" spans="1:19" ht="30">
      <c r="A1302" s="79"/>
      <c r="B1302" s="77" t="s">
        <v>189</v>
      </c>
      <c r="C1302" s="76" t="s">
        <v>8</v>
      </c>
      <c r="D1302" s="143">
        <v>1</v>
      </c>
      <c r="E1302" s="74"/>
      <c r="F1302" s="334"/>
      <c r="G1302" s="112">
        <v>0</v>
      </c>
      <c r="H1302" s="120">
        <v>0</v>
      </c>
      <c r="I1302" s="120">
        <v>0</v>
      </c>
      <c r="J1302" s="120">
        <v>0</v>
      </c>
      <c r="K1302" s="110">
        <v>0</v>
      </c>
      <c r="L1302" s="110"/>
      <c r="M1302" s="110">
        <v>0</v>
      </c>
      <c r="N1302" s="110"/>
      <c r="O1302" s="110"/>
      <c r="P1302" s="110">
        <f t="shared" si="120"/>
        <v>0</v>
      </c>
      <c r="Q1302" s="110">
        <f t="shared" si="121"/>
        <v>0</v>
      </c>
      <c r="R1302" s="110">
        <f t="shared" si="122"/>
        <v>0</v>
      </c>
      <c r="S1302" s="112">
        <v>0</v>
      </c>
    </row>
    <row r="1303" spans="1:19" ht="45">
      <c r="A1303" s="79"/>
      <c r="B1303" s="77" t="s">
        <v>166</v>
      </c>
      <c r="C1303" s="76" t="s">
        <v>17</v>
      </c>
      <c r="D1303" s="143">
        <v>1</v>
      </c>
      <c r="E1303" s="74"/>
      <c r="F1303" s="334"/>
      <c r="G1303" s="112">
        <v>0</v>
      </c>
      <c r="H1303" s="120">
        <v>0</v>
      </c>
      <c r="I1303" s="120">
        <v>0</v>
      </c>
      <c r="J1303" s="120">
        <v>0</v>
      </c>
      <c r="K1303" s="110">
        <v>0</v>
      </c>
      <c r="L1303" s="110"/>
      <c r="M1303" s="110">
        <v>0</v>
      </c>
      <c r="N1303" s="110"/>
      <c r="O1303" s="110"/>
      <c r="P1303" s="110">
        <f t="shared" si="120"/>
        <v>0</v>
      </c>
      <c r="Q1303" s="110">
        <f t="shared" si="121"/>
        <v>0</v>
      </c>
      <c r="R1303" s="110">
        <f t="shared" si="122"/>
        <v>0</v>
      </c>
      <c r="S1303" s="112">
        <v>0</v>
      </c>
    </row>
    <row r="1304" spans="1:19" ht="60">
      <c r="A1304" s="79">
        <v>43</v>
      </c>
      <c r="B1304" s="77" t="s">
        <v>353</v>
      </c>
      <c r="C1304" s="76" t="s">
        <v>6</v>
      </c>
      <c r="D1304" s="143">
        <v>1</v>
      </c>
      <c r="E1304" s="74"/>
      <c r="F1304" s="334">
        <v>1</v>
      </c>
      <c r="G1304" s="112" t="s">
        <v>850</v>
      </c>
      <c r="H1304" s="120" t="s">
        <v>1076</v>
      </c>
      <c r="I1304" s="120" t="s">
        <v>828</v>
      </c>
      <c r="J1304" s="120" t="s">
        <v>829</v>
      </c>
      <c r="K1304" s="110">
        <v>29039600</v>
      </c>
      <c r="L1304" s="110"/>
      <c r="M1304" s="110">
        <v>3123300</v>
      </c>
      <c r="N1304" s="110"/>
      <c r="O1304" s="110"/>
      <c r="P1304" s="110">
        <f t="shared" si="120"/>
        <v>32162900</v>
      </c>
      <c r="Q1304" s="110">
        <f t="shared" si="121"/>
        <v>32162900</v>
      </c>
      <c r="R1304" s="110">
        <f t="shared" si="122"/>
        <v>32162900</v>
      </c>
      <c r="S1304" s="112" t="s">
        <v>4094</v>
      </c>
    </row>
    <row r="1305" spans="1:19" ht="45">
      <c r="A1305" s="79"/>
      <c r="B1305" s="77" t="s">
        <v>149</v>
      </c>
      <c r="C1305" s="76" t="s">
        <v>4</v>
      </c>
      <c r="D1305" s="143">
        <v>1</v>
      </c>
      <c r="E1305" s="74"/>
      <c r="F1305" s="334"/>
      <c r="G1305" s="112">
        <v>0</v>
      </c>
      <c r="H1305" s="120">
        <v>0</v>
      </c>
      <c r="I1305" s="120">
        <v>0</v>
      </c>
      <c r="J1305" s="120">
        <v>0</v>
      </c>
      <c r="K1305" s="110">
        <v>0</v>
      </c>
      <c r="L1305" s="110"/>
      <c r="M1305" s="110">
        <v>0</v>
      </c>
      <c r="N1305" s="110"/>
      <c r="O1305" s="110"/>
      <c r="P1305" s="110">
        <f t="shared" si="120"/>
        <v>0</v>
      </c>
      <c r="Q1305" s="110">
        <f t="shared" si="121"/>
        <v>0</v>
      </c>
      <c r="R1305" s="110">
        <f t="shared" si="122"/>
        <v>0</v>
      </c>
      <c r="S1305" s="112" t="s">
        <v>150</v>
      </c>
    </row>
    <row r="1306" spans="1:19">
      <c r="A1306" s="79"/>
      <c r="B1306" s="77" t="s">
        <v>151</v>
      </c>
      <c r="C1306" s="76"/>
      <c r="D1306" s="143"/>
      <c r="E1306" s="74"/>
      <c r="F1306" s="74"/>
      <c r="G1306" s="112">
        <v>0</v>
      </c>
      <c r="H1306" s="120">
        <v>0</v>
      </c>
      <c r="I1306" s="120">
        <v>0</v>
      </c>
      <c r="J1306" s="120">
        <v>0</v>
      </c>
      <c r="K1306" s="110">
        <v>0</v>
      </c>
      <c r="L1306" s="110"/>
      <c r="M1306" s="110">
        <v>0</v>
      </c>
      <c r="N1306" s="110"/>
      <c r="O1306" s="110"/>
      <c r="P1306" s="110">
        <f t="shared" si="120"/>
        <v>0</v>
      </c>
      <c r="Q1306" s="110">
        <f t="shared" si="121"/>
        <v>0</v>
      </c>
      <c r="R1306" s="110">
        <f t="shared" si="122"/>
        <v>0</v>
      </c>
      <c r="S1306" s="112">
        <v>0</v>
      </c>
    </row>
    <row r="1307" spans="1:19">
      <c r="A1307" s="79"/>
      <c r="B1307" s="77" t="s">
        <v>275</v>
      </c>
      <c r="C1307" s="76" t="s">
        <v>4</v>
      </c>
      <c r="D1307" s="143">
        <v>1</v>
      </c>
      <c r="E1307" s="74"/>
      <c r="F1307" s="334"/>
      <c r="G1307" s="112">
        <v>0</v>
      </c>
      <c r="H1307" s="120">
        <v>0</v>
      </c>
      <c r="I1307" s="120">
        <v>0</v>
      </c>
      <c r="J1307" s="120">
        <v>0</v>
      </c>
      <c r="K1307" s="110">
        <v>0</v>
      </c>
      <c r="L1307" s="110"/>
      <c r="M1307" s="110">
        <v>0</v>
      </c>
      <c r="N1307" s="110"/>
      <c r="O1307" s="110"/>
      <c r="P1307" s="110">
        <f t="shared" si="120"/>
        <v>0</v>
      </c>
      <c r="Q1307" s="110">
        <f t="shared" si="121"/>
        <v>0</v>
      </c>
      <c r="R1307" s="110">
        <f t="shared" si="122"/>
        <v>0</v>
      </c>
      <c r="S1307" s="112">
        <v>0</v>
      </c>
    </row>
    <row r="1308" spans="1:19">
      <c r="A1308" s="79"/>
      <c r="B1308" s="77" t="s">
        <v>354</v>
      </c>
      <c r="C1308" s="76" t="s">
        <v>12</v>
      </c>
      <c r="D1308" s="143">
        <v>3</v>
      </c>
      <c r="E1308" s="74"/>
      <c r="F1308" s="334"/>
      <c r="G1308" s="112">
        <v>0</v>
      </c>
      <c r="H1308" s="120">
        <v>0</v>
      </c>
      <c r="I1308" s="120">
        <v>0</v>
      </c>
      <c r="J1308" s="120">
        <v>0</v>
      </c>
      <c r="K1308" s="110">
        <v>0</v>
      </c>
      <c r="L1308" s="110"/>
      <c r="M1308" s="110">
        <v>0</v>
      </c>
      <c r="N1308" s="110"/>
      <c r="O1308" s="110"/>
      <c r="P1308" s="110">
        <f t="shared" si="120"/>
        <v>0</v>
      </c>
      <c r="Q1308" s="110">
        <f t="shared" si="121"/>
        <v>0</v>
      </c>
      <c r="R1308" s="110">
        <f t="shared" si="122"/>
        <v>0</v>
      </c>
      <c r="S1308" s="112">
        <v>0</v>
      </c>
    </row>
    <row r="1309" spans="1:19">
      <c r="A1309" s="79"/>
      <c r="B1309" s="77" t="s">
        <v>29</v>
      </c>
      <c r="C1309" s="76" t="s">
        <v>4</v>
      </c>
      <c r="D1309" s="143">
        <v>1</v>
      </c>
      <c r="E1309" s="74"/>
      <c r="F1309" s="334"/>
      <c r="G1309" s="112">
        <v>0</v>
      </c>
      <c r="H1309" s="120">
        <v>0</v>
      </c>
      <c r="I1309" s="120">
        <v>0</v>
      </c>
      <c r="J1309" s="120">
        <v>0</v>
      </c>
      <c r="K1309" s="110">
        <v>0</v>
      </c>
      <c r="L1309" s="110"/>
      <c r="M1309" s="110">
        <v>0</v>
      </c>
      <c r="N1309" s="110"/>
      <c r="O1309" s="110"/>
      <c r="P1309" s="110">
        <f t="shared" si="120"/>
        <v>0</v>
      </c>
      <c r="Q1309" s="110">
        <f t="shared" si="121"/>
        <v>0</v>
      </c>
      <c r="R1309" s="110">
        <f t="shared" si="122"/>
        <v>0</v>
      </c>
      <c r="S1309" s="112">
        <v>0</v>
      </c>
    </row>
    <row r="1310" spans="1:19">
      <c r="A1310" s="79"/>
      <c r="B1310" s="77" t="s">
        <v>30</v>
      </c>
      <c r="C1310" s="76" t="s">
        <v>4</v>
      </c>
      <c r="D1310" s="143">
        <v>1</v>
      </c>
      <c r="E1310" s="74"/>
      <c r="F1310" s="334"/>
      <c r="G1310" s="112">
        <v>0</v>
      </c>
      <c r="H1310" s="120">
        <v>0</v>
      </c>
      <c r="I1310" s="120">
        <v>0</v>
      </c>
      <c r="J1310" s="120">
        <v>0</v>
      </c>
      <c r="K1310" s="110">
        <v>0</v>
      </c>
      <c r="L1310" s="110"/>
      <c r="M1310" s="110">
        <v>0</v>
      </c>
      <c r="N1310" s="110"/>
      <c r="O1310" s="110"/>
      <c r="P1310" s="110">
        <f t="shared" si="120"/>
        <v>0</v>
      </c>
      <c r="Q1310" s="110">
        <f t="shared" si="121"/>
        <v>0</v>
      </c>
      <c r="R1310" s="110">
        <f t="shared" si="122"/>
        <v>0</v>
      </c>
      <c r="S1310" s="112">
        <v>0</v>
      </c>
    </row>
    <row r="1311" spans="1:19">
      <c r="A1311" s="79"/>
      <c r="B1311" s="77" t="s">
        <v>355</v>
      </c>
      <c r="C1311" s="76" t="s">
        <v>4</v>
      </c>
      <c r="D1311" s="143">
        <v>3</v>
      </c>
      <c r="E1311" s="74"/>
      <c r="F1311" s="334"/>
      <c r="G1311" s="112">
        <v>0</v>
      </c>
      <c r="H1311" s="120">
        <v>0</v>
      </c>
      <c r="I1311" s="120">
        <v>0</v>
      </c>
      <c r="J1311" s="120">
        <v>0</v>
      </c>
      <c r="K1311" s="110">
        <v>0</v>
      </c>
      <c r="L1311" s="110"/>
      <c r="M1311" s="110">
        <v>0</v>
      </c>
      <c r="N1311" s="110"/>
      <c r="O1311" s="110"/>
      <c r="P1311" s="110">
        <f t="shared" si="120"/>
        <v>0</v>
      </c>
      <c r="Q1311" s="110">
        <f t="shared" si="121"/>
        <v>0</v>
      </c>
      <c r="R1311" s="110">
        <f t="shared" si="122"/>
        <v>0</v>
      </c>
      <c r="S1311" s="112">
        <v>0</v>
      </c>
    </row>
    <row r="1312" spans="1:19">
      <c r="A1312" s="79"/>
      <c r="B1312" s="77" t="s">
        <v>14</v>
      </c>
      <c r="C1312" s="76" t="s">
        <v>4</v>
      </c>
      <c r="D1312" s="143">
        <v>3</v>
      </c>
      <c r="E1312" s="74"/>
      <c r="F1312" s="334"/>
      <c r="G1312" s="112">
        <v>0</v>
      </c>
      <c r="H1312" s="120">
        <v>0</v>
      </c>
      <c r="I1312" s="120">
        <v>0</v>
      </c>
      <c r="J1312" s="120">
        <v>0</v>
      </c>
      <c r="K1312" s="110">
        <v>0</v>
      </c>
      <c r="L1312" s="110"/>
      <c r="M1312" s="110">
        <v>0</v>
      </c>
      <c r="N1312" s="110"/>
      <c r="O1312" s="110"/>
      <c r="P1312" s="110">
        <f t="shared" si="120"/>
        <v>0</v>
      </c>
      <c r="Q1312" s="110">
        <f t="shared" si="121"/>
        <v>0</v>
      </c>
      <c r="R1312" s="110">
        <f t="shared" si="122"/>
        <v>0</v>
      </c>
      <c r="S1312" s="112">
        <v>0</v>
      </c>
    </row>
    <row r="1313" spans="1:19">
      <c r="A1313" s="79"/>
      <c r="B1313" s="77" t="s">
        <v>153</v>
      </c>
      <c r="C1313" s="76" t="s">
        <v>4</v>
      </c>
      <c r="D1313" s="143">
        <v>3</v>
      </c>
      <c r="E1313" s="74"/>
      <c r="F1313" s="334"/>
      <c r="G1313" s="112">
        <v>0</v>
      </c>
      <c r="H1313" s="120">
        <v>0</v>
      </c>
      <c r="I1313" s="120">
        <v>0</v>
      </c>
      <c r="J1313" s="120">
        <v>0</v>
      </c>
      <c r="K1313" s="110">
        <v>0</v>
      </c>
      <c r="L1313" s="110"/>
      <c r="M1313" s="110">
        <v>0</v>
      </c>
      <c r="N1313" s="110"/>
      <c r="O1313" s="110"/>
      <c r="P1313" s="110">
        <f t="shared" si="120"/>
        <v>0</v>
      </c>
      <c r="Q1313" s="110">
        <f t="shared" si="121"/>
        <v>0</v>
      </c>
      <c r="R1313" s="110">
        <f t="shared" si="122"/>
        <v>0</v>
      </c>
      <c r="S1313" s="112">
        <v>0</v>
      </c>
    </row>
    <row r="1314" spans="1:19">
      <c r="A1314" s="79"/>
      <c r="B1314" s="77" t="s">
        <v>154</v>
      </c>
      <c r="C1314" s="76"/>
      <c r="D1314" s="143"/>
      <c r="E1314" s="74"/>
      <c r="F1314" s="74"/>
      <c r="G1314" s="112">
        <v>0</v>
      </c>
      <c r="H1314" s="120">
        <v>0</v>
      </c>
      <c r="I1314" s="120">
        <v>0</v>
      </c>
      <c r="J1314" s="120">
        <v>0</v>
      </c>
      <c r="K1314" s="110">
        <v>0</v>
      </c>
      <c r="L1314" s="110"/>
      <c r="M1314" s="110">
        <v>0</v>
      </c>
      <c r="N1314" s="110"/>
      <c r="O1314" s="110"/>
      <c r="P1314" s="110">
        <f t="shared" si="120"/>
        <v>0</v>
      </c>
      <c r="Q1314" s="110">
        <f t="shared" si="121"/>
        <v>0</v>
      </c>
      <c r="R1314" s="110">
        <f t="shared" si="122"/>
        <v>0</v>
      </c>
      <c r="S1314" s="112">
        <v>0</v>
      </c>
    </row>
    <row r="1315" spans="1:19">
      <c r="A1315" s="79"/>
      <c r="B1315" s="77" t="s">
        <v>242</v>
      </c>
      <c r="C1315" s="76" t="s">
        <v>4</v>
      </c>
      <c r="D1315" s="143">
        <v>1</v>
      </c>
      <c r="E1315" s="74"/>
      <c r="F1315" s="334"/>
      <c r="G1315" s="112">
        <v>0</v>
      </c>
      <c r="H1315" s="120">
        <v>0</v>
      </c>
      <c r="I1315" s="120">
        <v>0</v>
      </c>
      <c r="J1315" s="120">
        <v>0</v>
      </c>
      <c r="K1315" s="110">
        <v>0</v>
      </c>
      <c r="L1315" s="110"/>
      <c r="M1315" s="110">
        <v>0</v>
      </c>
      <c r="N1315" s="110"/>
      <c r="O1315" s="110"/>
      <c r="P1315" s="110">
        <f t="shared" si="120"/>
        <v>0</v>
      </c>
      <c r="Q1315" s="110">
        <f t="shared" si="121"/>
        <v>0</v>
      </c>
      <c r="R1315" s="110">
        <f t="shared" si="122"/>
        <v>0</v>
      </c>
      <c r="S1315" s="112">
        <v>0</v>
      </c>
    </row>
    <row r="1316" spans="1:19">
      <c r="A1316" s="79"/>
      <c r="B1316" s="77" t="s">
        <v>321</v>
      </c>
      <c r="C1316" s="76" t="s">
        <v>4</v>
      </c>
      <c r="D1316" s="143">
        <v>1</v>
      </c>
      <c r="E1316" s="74"/>
      <c r="F1316" s="334"/>
      <c r="G1316" s="112">
        <v>0</v>
      </c>
      <c r="H1316" s="120">
        <v>0</v>
      </c>
      <c r="I1316" s="120">
        <v>0</v>
      </c>
      <c r="J1316" s="120">
        <v>0</v>
      </c>
      <c r="K1316" s="110">
        <v>0</v>
      </c>
      <c r="L1316" s="110"/>
      <c r="M1316" s="110">
        <v>0</v>
      </c>
      <c r="N1316" s="110"/>
      <c r="O1316" s="110"/>
      <c r="P1316" s="110">
        <f t="shared" si="120"/>
        <v>0</v>
      </c>
      <c r="Q1316" s="110">
        <f t="shared" si="121"/>
        <v>0</v>
      </c>
      <c r="R1316" s="110">
        <f t="shared" si="122"/>
        <v>0</v>
      </c>
      <c r="S1316" s="112">
        <v>0</v>
      </c>
    </row>
    <row r="1317" spans="1:19">
      <c r="A1317" s="79"/>
      <c r="B1317" s="77" t="s">
        <v>251</v>
      </c>
      <c r="C1317" s="76" t="s">
        <v>4</v>
      </c>
      <c r="D1317" s="143">
        <v>1</v>
      </c>
      <c r="E1317" s="74"/>
      <c r="F1317" s="334"/>
      <c r="G1317" s="112">
        <v>0</v>
      </c>
      <c r="H1317" s="120">
        <v>0</v>
      </c>
      <c r="I1317" s="120">
        <v>0</v>
      </c>
      <c r="J1317" s="120">
        <v>0</v>
      </c>
      <c r="K1317" s="110">
        <v>0</v>
      </c>
      <c r="L1317" s="110"/>
      <c r="M1317" s="110">
        <v>0</v>
      </c>
      <c r="N1317" s="110"/>
      <c r="O1317" s="110"/>
      <c r="P1317" s="110">
        <f t="shared" si="120"/>
        <v>0</v>
      </c>
      <c r="Q1317" s="110">
        <f t="shared" si="121"/>
        <v>0</v>
      </c>
      <c r="R1317" s="110">
        <f t="shared" si="122"/>
        <v>0</v>
      </c>
      <c r="S1317" s="112">
        <v>0</v>
      </c>
    </row>
    <row r="1318" spans="1:19">
      <c r="A1318" s="79"/>
      <c r="B1318" s="77" t="s">
        <v>155</v>
      </c>
      <c r="C1318" s="76" t="s">
        <v>4</v>
      </c>
      <c r="D1318" s="143">
        <v>1</v>
      </c>
      <c r="E1318" s="74"/>
      <c r="F1318" s="334"/>
      <c r="G1318" s="112">
        <v>0</v>
      </c>
      <c r="H1318" s="120">
        <v>0</v>
      </c>
      <c r="I1318" s="120">
        <v>0</v>
      </c>
      <c r="J1318" s="120">
        <v>0</v>
      </c>
      <c r="K1318" s="110">
        <v>0</v>
      </c>
      <c r="L1318" s="110"/>
      <c r="M1318" s="110">
        <v>0</v>
      </c>
      <c r="N1318" s="110"/>
      <c r="O1318" s="110"/>
      <c r="P1318" s="110">
        <f t="shared" si="120"/>
        <v>0</v>
      </c>
      <c r="Q1318" s="110">
        <f t="shared" si="121"/>
        <v>0</v>
      </c>
      <c r="R1318" s="110">
        <f t="shared" si="122"/>
        <v>0</v>
      </c>
      <c r="S1318" s="112">
        <v>0</v>
      </c>
    </row>
    <row r="1319" spans="1:19">
      <c r="A1319" s="79"/>
      <c r="B1319" s="77" t="s">
        <v>277</v>
      </c>
      <c r="C1319" s="76" t="s">
        <v>4</v>
      </c>
      <c r="D1319" s="143">
        <v>1</v>
      </c>
      <c r="E1319" s="74"/>
      <c r="F1319" s="334"/>
      <c r="G1319" s="112">
        <v>0</v>
      </c>
      <c r="H1319" s="120">
        <v>0</v>
      </c>
      <c r="I1319" s="120">
        <v>0</v>
      </c>
      <c r="J1319" s="120">
        <v>0</v>
      </c>
      <c r="K1319" s="110">
        <v>0</v>
      </c>
      <c r="L1319" s="110"/>
      <c r="M1319" s="110">
        <v>0</v>
      </c>
      <c r="N1319" s="110"/>
      <c r="O1319" s="110"/>
      <c r="P1319" s="110">
        <f t="shared" si="120"/>
        <v>0</v>
      </c>
      <c r="Q1319" s="110">
        <f t="shared" si="121"/>
        <v>0</v>
      </c>
      <c r="R1319" s="110">
        <f t="shared" si="122"/>
        <v>0</v>
      </c>
      <c r="S1319" s="112">
        <v>0</v>
      </c>
    </row>
    <row r="1320" spans="1:19">
      <c r="A1320" s="79"/>
      <c r="B1320" s="77" t="s">
        <v>156</v>
      </c>
      <c r="C1320" s="76" t="s">
        <v>4</v>
      </c>
      <c r="D1320" s="143">
        <v>7</v>
      </c>
      <c r="E1320" s="74"/>
      <c r="F1320" s="334"/>
      <c r="G1320" s="112">
        <v>0</v>
      </c>
      <c r="H1320" s="120">
        <v>0</v>
      </c>
      <c r="I1320" s="120">
        <v>0</v>
      </c>
      <c r="J1320" s="120">
        <v>0</v>
      </c>
      <c r="K1320" s="110">
        <v>0</v>
      </c>
      <c r="L1320" s="110"/>
      <c r="M1320" s="110">
        <v>0</v>
      </c>
      <c r="N1320" s="110"/>
      <c r="O1320" s="110"/>
      <c r="P1320" s="110">
        <f t="shared" si="120"/>
        <v>0</v>
      </c>
      <c r="Q1320" s="110">
        <f t="shared" si="121"/>
        <v>0</v>
      </c>
      <c r="R1320" s="110">
        <f t="shared" si="122"/>
        <v>0</v>
      </c>
      <c r="S1320" s="112">
        <v>0</v>
      </c>
    </row>
    <row r="1321" spans="1:19">
      <c r="A1321" s="79"/>
      <c r="B1321" s="77" t="s">
        <v>157</v>
      </c>
      <c r="C1321" s="76" t="s">
        <v>4</v>
      </c>
      <c r="D1321" s="143">
        <v>3</v>
      </c>
      <c r="E1321" s="74"/>
      <c r="F1321" s="334"/>
      <c r="G1321" s="112">
        <v>0</v>
      </c>
      <c r="H1321" s="120">
        <v>0</v>
      </c>
      <c r="I1321" s="120">
        <v>0</v>
      </c>
      <c r="J1321" s="120">
        <v>0</v>
      </c>
      <c r="K1321" s="110">
        <v>0</v>
      </c>
      <c r="L1321" s="110"/>
      <c r="M1321" s="110">
        <v>0</v>
      </c>
      <c r="N1321" s="110"/>
      <c r="O1321" s="110"/>
      <c r="P1321" s="110">
        <f t="shared" si="120"/>
        <v>0</v>
      </c>
      <c r="Q1321" s="110">
        <f t="shared" si="121"/>
        <v>0</v>
      </c>
      <c r="R1321" s="110">
        <f t="shared" si="122"/>
        <v>0</v>
      </c>
      <c r="S1321" s="112">
        <v>0</v>
      </c>
    </row>
    <row r="1322" spans="1:19">
      <c r="A1322" s="79"/>
      <c r="B1322" s="77" t="s">
        <v>356</v>
      </c>
      <c r="C1322" s="76" t="s">
        <v>4</v>
      </c>
      <c r="D1322" s="143">
        <v>1</v>
      </c>
      <c r="E1322" s="74"/>
      <c r="F1322" s="334"/>
      <c r="G1322" s="112">
        <v>0</v>
      </c>
      <c r="H1322" s="120">
        <v>0</v>
      </c>
      <c r="I1322" s="120">
        <v>0</v>
      </c>
      <c r="J1322" s="120">
        <v>0</v>
      </c>
      <c r="K1322" s="110">
        <v>0</v>
      </c>
      <c r="L1322" s="110"/>
      <c r="M1322" s="110">
        <v>0</v>
      </c>
      <c r="N1322" s="110"/>
      <c r="O1322" s="110"/>
      <c r="P1322" s="110">
        <f t="shared" si="120"/>
        <v>0</v>
      </c>
      <c r="Q1322" s="110">
        <f t="shared" si="121"/>
        <v>0</v>
      </c>
      <c r="R1322" s="110">
        <f t="shared" si="122"/>
        <v>0</v>
      </c>
      <c r="S1322" s="112">
        <v>0</v>
      </c>
    </row>
    <row r="1323" spans="1:19">
      <c r="A1323" s="79"/>
      <c r="B1323" s="77" t="s">
        <v>265</v>
      </c>
      <c r="C1323" s="76" t="s">
        <v>8</v>
      </c>
      <c r="D1323" s="143">
        <v>1</v>
      </c>
      <c r="E1323" s="74"/>
      <c r="F1323" s="334"/>
      <c r="G1323" s="112">
        <v>0</v>
      </c>
      <c r="H1323" s="120">
        <v>0</v>
      </c>
      <c r="I1323" s="120">
        <v>0</v>
      </c>
      <c r="J1323" s="120">
        <v>0</v>
      </c>
      <c r="K1323" s="110">
        <v>0</v>
      </c>
      <c r="L1323" s="110"/>
      <c r="M1323" s="110">
        <v>0</v>
      </c>
      <c r="N1323" s="110"/>
      <c r="O1323" s="110"/>
      <c r="P1323" s="110">
        <f t="shared" si="120"/>
        <v>0</v>
      </c>
      <c r="Q1323" s="110">
        <f t="shared" si="121"/>
        <v>0</v>
      </c>
      <c r="R1323" s="110">
        <f t="shared" si="122"/>
        <v>0</v>
      </c>
      <c r="S1323" s="112">
        <v>0</v>
      </c>
    </row>
    <row r="1324" spans="1:19">
      <c r="A1324" s="79"/>
      <c r="B1324" s="77" t="s">
        <v>172</v>
      </c>
      <c r="C1324" s="76" t="s">
        <v>4</v>
      </c>
      <c r="D1324" s="143">
        <v>1</v>
      </c>
      <c r="E1324" s="74"/>
      <c r="F1324" s="334"/>
      <c r="G1324" s="112">
        <v>0</v>
      </c>
      <c r="H1324" s="120">
        <v>0</v>
      </c>
      <c r="I1324" s="120">
        <v>0</v>
      </c>
      <c r="J1324" s="120">
        <v>0</v>
      </c>
      <c r="K1324" s="110">
        <v>0</v>
      </c>
      <c r="L1324" s="110"/>
      <c r="M1324" s="110">
        <v>0</v>
      </c>
      <c r="N1324" s="110"/>
      <c r="O1324" s="110"/>
      <c r="P1324" s="110">
        <f t="shared" si="120"/>
        <v>0</v>
      </c>
      <c r="Q1324" s="110">
        <f t="shared" si="121"/>
        <v>0</v>
      </c>
      <c r="R1324" s="110">
        <f t="shared" si="122"/>
        <v>0</v>
      </c>
      <c r="S1324" s="112">
        <v>0</v>
      </c>
    </row>
    <row r="1325" spans="1:19">
      <c r="A1325" s="79"/>
      <c r="B1325" s="77" t="s">
        <v>173</v>
      </c>
      <c r="C1325" s="76" t="s">
        <v>4</v>
      </c>
      <c r="D1325" s="143">
        <v>1</v>
      </c>
      <c r="E1325" s="75"/>
      <c r="F1325" s="334"/>
      <c r="G1325" s="112">
        <v>0</v>
      </c>
      <c r="H1325" s="120">
        <v>0</v>
      </c>
      <c r="I1325" s="120">
        <v>0</v>
      </c>
      <c r="J1325" s="120">
        <v>0</v>
      </c>
      <c r="K1325" s="110">
        <v>0</v>
      </c>
      <c r="L1325" s="110"/>
      <c r="M1325" s="110">
        <v>0</v>
      </c>
      <c r="N1325" s="110"/>
      <c r="O1325" s="110"/>
      <c r="P1325" s="110">
        <f t="shared" si="120"/>
        <v>0</v>
      </c>
      <c r="Q1325" s="110">
        <f t="shared" si="121"/>
        <v>0</v>
      </c>
      <c r="R1325" s="110">
        <f t="shared" si="122"/>
        <v>0</v>
      </c>
      <c r="S1325" s="112">
        <v>0</v>
      </c>
    </row>
    <row r="1326" spans="1:19">
      <c r="A1326" s="79"/>
      <c r="B1326" s="77" t="s">
        <v>266</v>
      </c>
      <c r="C1326" s="76" t="s">
        <v>4</v>
      </c>
      <c r="D1326" s="143">
        <v>1</v>
      </c>
      <c r="E1326" s="73"/>
      <c r="F1326" s="334"/>
      <c r="G1326" s="112">
        <v>0</v>
      </c>
      <c r="H1326" s="120">
        <v>0</v>
      </c>
      <c r="I1326" s="120">
        <v>0</v>
      </c>
      <c r="J1326" s="120">
        <v>0</v>
      </c>
      <c r="K1326" s="110">
        <v>0</v>
      </c>
      <c r="L1326" s="110"/>
      <c r="M1326" s="110">
        <v>0</v>
      </c>
      <c r="N1326" s="110"/>
      <c r="O1326" s="110"/>
      <c r="P1326" s="110">
        <f t="shared" si="120"/>
        <v>0</v>
      </c>
      <c r="Q1326" s="110">
        <f t="shared" si="121"/>
        <v>0</v>
      </c>
      <c r="R1326" s="110">
        <f t="shared" si="122"/>
        <v>0</v>
      </c>
      <c r="S1326" s="112">
        <v>0</v>
      </c>
    </row>
    <row r="1327" spans="1:19">
      <c r="A1327" s="79"/>
      <c r="B1327" s="77" t="s">
        <v>175</v>
      </c>
      <c r="C1327" s="76" t="s">
        <v>4</v>
      </c>
      <c r="D1327" s="143">
        <v>1</v>
      </c>
      <c r="E1327" s="50"/>
      <c r="F1327" s="334"/>
      <c r="G1327" s="112">
        <v>0</v>
      </c>
      <c r="H1327" s="120">
        <v>0</v>
      </c>
      <c r="I1327" s="120">
        <v>0</v>
      </c>
      <c r="J1327" s="120">
        <v>0</v>
      </c>
      <c r="K1327" s="110">
        <v>0</v>
      </c>
      <c r="L1327" s="110"/>
      <c r="M1327" s="110">
        <v>0</v>
      </c>
      <c r="N1327" s="110"/>
      <c r="O1327" s="110"/>
      <c r="P1327" s="110">
        <f t="shared" si="120"/>
        <v>0</v>
      </c>
      <c r="Q1327" s="110">
        <f t="shared" si="121"/>
        <v>0</v>
      </c>
      <c r="R1327" s="110">
        <f t="shared" si="122"/>
        <v>0</v>
      </c>
      <c r="S1327" s="112">
        <v>0</v>
      </c>
    </row>
    <row r="1328" spans="1:19">
      <c r="A1328" s="79"/>
      <c r="B1328" s="77" t="s">
        <v>176</v>
      </c>
      <c r="C1328" s="76" t="s">
        <v>4</v>
      </c>
      <c r="D1328" s="143">
        <v>2</v>
      </c>
      <c r="E1328" s="57"/>
      <c r="F1328" s="334"/>
      <c r="G1328" s="112">
        <v>0</v>
      </c>
      <c r="H1328" s="120">
        <v>0</v>
      </c>
      <c r="I1328" s="120">
        <v>0</v>
      </c>
      <c r="J1328" s="120">
        <v>0</v>
      </c>
      <c r="K1328" s="110">
        <v>0</v>
      </c>
      <c r="L1328" s="110"/>
      <c r="M1328" s="110">
        <v>0</v>
      </c>
      <c r="N1328" s="110"/>
      <c r="O1328" s="110"/>
      <c r="P1328" s="110">
        <f t="shared" si="120"/>
        <v>0</v>
      </c>
      <c r="Q1328" s="110">
        <f t="shared" si="121"/>
        <v>0</v>
      </c>
      <c r="R1328" s="110">
        <f t="shared" si="122"/>
        <v>0</v>
      </c>
      <c r="S1328" s="112">
        <v>0</v>
      </c>
    </row>
    <row r="1329" spans="1:19">
      <c r="A1329" s="79"/>
      <c r="B1329" s="77" t="s">
        <v>177</v>
      </c>
      <c r="C1329" s="76" t="s">
        <v>17</v>
      </c>
      <c r="D1329" s="143">
        <v>1</v>
      </c>
      <c r="E1329" s="50"/>
      <c r="F1329" s="334"/>
      <c r="G1329" s="112">
        <v>0</v>
      </c>
      <c r="H1329" s="120">
        <v>0</v>
      </c>
      <c r="I1329" s="120">
        <v>0</v>
      </c>
      <c r="J1329" s="120">
        <v>0</v>
      </c>
      <c r="K1329" s="110">
        <v>0</v>
      </c>
      <c r="L1329" s="110"/>
      <c r="M1329" s="110">
        <v>0</v>
      </c>
      <c r="N1329" s="110"/>
      <c r="O1329" s="110"/>
      <c r="P1329" s="110">
        <f t="shared" ref="P1329:P1392" si="123">+K1329+L1329+M1329+N1329+O1329</f>
        <v>0</v>
      </c>
      <c r="Q1329" s="110">
        <f t="shared" ref="Q1329:Q1392" si="124">+P1329*D1329</f>
        <v>0</v>
      </c>
      <c r="R1329" s="110">
        <f t="shared" ref="R1329:R1392" si="125">P1329*F1329</f>
        <v>0</v>
      </c>
      <c r="S1329" s="112">
        <v>0</v>
      </c>
    </row>
    <row r="1330" spans="1:19">
      <c r="A1330" s="79"/>
      <c r="B1330" s="77" t="s">
        <v>163</v>
      </c>
      <c r="C1330" s="76" t="s">
        <v>4</v>
      </c>
      <c r="D1330" s="143">
        <v>1</v>
      </c>
      <c r="E1330" s="50"/>
      <c r="F1330" s="334"/>
      <c r="G1330" s="112">
        <v>0</v>
      </c>
      <c r="H1330" s="120">
        <v>0</v>
      </c>
      <c r="I1330" s="120">
        <v>0</v>
      </c>
      <c r="J1330" s="120">
        <v>0</v>
      </c>
      <c r="K1330" s="110">
        <v>0</v>
      </c>
      <c r="L1330" s="110"/>
      <c r="M1330" s="110">
        <v>0</v>
      </c>
      <c r="N1330" s="110"/>
      <c r="O1330" s="110"/>
      <c r="P1330" s="110">
        <f t="shared" si="123"/>
        <v>0</v>
      </c>
      <c r="Q1330" s="110">
        <f t="shared" si="124"/>
        <v>0</v>
      </c>
      <c r="R1330" s="110">
        <f t="shared" si="125"/>
        <v>0</v>
      </c>
      <c r="S1330" s="112">
        <v>0</v>
      </c>
    </row>
    <row r="1331" spans="1:19" ht="30">
      <c r="A1331" s="79"/>
      <c r="B1331" s="77" t="s">
        <v>357</v>
      </c>
      <c r="C1331" s="76" t="s">
        <v>8</v>
      </c>
      <c r="D1331" s="143">
        <v>1</v>
      </c>
      <c r="E1331" s="50"/>
      <c r="F1331" s="334"/>
      <c r="G1331" s="112">
        <v>0</v>
      </c>
      <c r="H1331" s="120">
        <v>0</v>
      </c>
      <c r="I1331" s="120">
        <v>0</v>
      </c>
      <c r="J1331" s="120">
        <v>0</v>
      </c>
      <c r="K1331" s="110">
        <v>0</v>
      </c>
      <c r="L1331" s="110"/>
      <c r="M1331" s="110">
        <v>0</v>
      </c>
      <c r="N1331" s="110"/>
      <c r="O1331" s="110"/>
      <c r="P1331" s="110">
        <f t="shared" si="123"/>
        <v>0</v>
      </c>
      <c r="Q1331" s="110">
        <f t="shared" si="124"/>
        <v>0</v>
      </c>
      <c r="R1331" s="110">
        <f t="shared" si="125"/>
        <v>0</v>
      </c>
      <c r="S1331" s="112">
        <v>0</v>
      </c>
    </row>
    <row r="1332" spans="1:19">
      <c r="A1332" s="79"/>
      <c r="B1332" s="77" t="s">
        <v>207</v>
      </c>
      <c r="C1332" s="76" t="s">
        <v>8</v>
      </c>
      <c r="D1332" s="143">
        <v>1</v>
      </c>
      <c r="E1332" s="50"/>
      <c r="F1332" s="334"/>
      <c r="G1332" s="112">
        <v>0</v>
      </c>
      <c r="H1332" s="120">
        <v>0</v>
      </c>
      <c r="I1332" s="120">
        <v>0</v>
      </c>
      <c r="J1332" s="120">
        <v>0</v>
      </c>
      <c r="K1332" s="110">
        <v>0</v>
      </c>
      <c r="L1332" s="110"/>
      <c r="M1332" s="110">
        <v>0</v>
      </c>
      <c r="N1332" s="110"/>
      <c r="O1332" s="110"/>
      <c r="P1332" s="110">
        <f t="shared" si="123"/>
        <v>0</v>
      </c>
      <c r="Q1332" s="110">
        <f t="shared" si="124"/>
        <v>0</v>
      </c>
      <c r="R1332" s="110">
        <f t="shared" si="125"/>
        <v>0</v>
      </c>
      <c r="S1332" s="112">
        <v>0</v>
      </c>
    </row>
    <row r="1333" spans="1:19" ht="45">
      <c r="A1333" s="79"/>
      <c r="B1333" s="77" t="s">
        <v>166</v>
      </c>
      <c r="C1333" s="76" t="s">
        <v>17</v>
      </c>
      <c r="D1333" s="143">
        <v>1</v>
      </c>
      <c r="E1333" s="74"/>
      <c r="F1333" s="334"/>
      <c r="G1333" s="112">
        <v>0</v>
      </c>
      <c r="H1333" s="120">
        <v>0</v>
      </c>
      <c r="I1333" s="120">
        <v>0</v>
      </c>
      <c r="J1333" s="120">
        <v>0</v>
      </c>
      <c r="K1333" s="110">
        <v>0</v>
      </c>
      <c r="L1333" s="110"/>
      <c r="M1333" s="110">
        <v>0</v>
      </c>
      <c r="N1333" s="110"/>
      <c r="O1333" s="110"/>
      <c r="P1333" s="110">
        <f t="shared" si="123"/>
        <v>0</v>
      </c>
      <c r="Q1333" s="110">
        <f t="shared" si="124"/>
        <v>0</v>
      </c>
      <c r="R1333" s="110">
        <f t="shared" si="125"/>
        <v>0</v>
      </c>
      <c r="S1333" s="112">
        <v>0</v>
      </c>
    </row>
    <row r="1334" spans="1:19" ht="60">
      <c r="A1334" s="79">
        <v>45</v>
      </c>
      <c r="B1334" s="77" t="s">
        <v>358</v>
      </c>
      <c r="C1334" s="76" t="s">
        <v>6</v>
      </c>
      <c r="D1334" s="143">
        <v>1</v>
      </c>
      <c r="E1334" s="74"/>
      <c r="F1334" s="334">
        <v>1</v>
      </c>
      <c r="G1334" s="112" t="s">
        <v>851</v>
      </c>
      <c r="H1334" s="120" t="s">
        <v>1077</v>
      </c>
      <c r="I1334" s="120" t="s">
        <v>828</v>
      </c>
      <c r="J1334" s="120" t="s">
        <v>829</v>
      </c>
      <c r="K1334" s="110">
        <v>3495500</v>
      </c>
      <c r="L1334" s="110"/>
      <c r="M1334" s="110">
        <v>1209000</v>
      </c>
      <c r="N1334" s="110"/>
      <c r="O1334" s="110"/>
      <c r="P1334" s="110">
        <f t="shared" si="123"/>
        <v>4704500</v>
      </c>
      <c r="Q1334" s="110">
        <f t="shared" si="124"/>
        <v>4704500</v>
      </c>
      <c r="R1334" s="110">
        <f t="shared" si="125"/>
        <v>4704500</v>
      </c>
      <c r="S1334" s="112" t="s">
        <v>4094</v>
      </c>
    </row>
    <row r="1335" spans="1:19">
      <c r="A1335" s="79"/>
      <c r="B1335" s="77" t="s">
        <v>359</v>
      </c>
      <c r="C1335" s="76" t="s">
        <v>4</v>
      </c>
      <c r="D1335" s="143">
        <v>1</v>
      </c>
      <c r="E1335" s="82"/>
      <c r="F1335" s="334"/>
      <c r="G1335" s="112">
        <v>0</v>
      </c>
      <c r="H1335" s="120">
        <v>0</v>
      </c>
      <c r="I1335" s="120">
        <v>0</v>
      </c>
      <c r="J1335" s="120">
        <v>0</v>
      </c>
      <c r="K1335" s="110">
        <v>0</v>
      </c>
      <c r="L1335" s="110"/>
      <c r="M1335" s="110">
        <v>0</v>
      </c>
      <c r="N1335" s="110"/>
      <c r="O1335" s="110"/>
      <c r="P1335" s="110">
        <f t="shared" si="123"/>
        <v>0</v>
      </c>
      <c r="Q1335" s="110">
        <f t="shared" si="124"/>
        <v>0</v>
      </c>
      <c r="R1335" s="110">
        <f t="shared" si="125"/>
        <v>0</v>
      </c>
      <c r="S1335" s="112">
        <v>0</v>
      </c>
    </row>
    <row r="1336" spans="1:19">
      <c r="A1336" s="79"/>
      <c r="B1336" s="77" t="s">
        <v>151</v>
      </c>
      <c r="C1336" s="76"/>
      <c r="D1336" s="143"/>
      <c r="E1336" s="73"/>
      <c r="F1336" s="73"/>
      <c r="G1336" s="112">
        <v>0</v>
      </c>
      <c r="H1336" s="120">
        <v>0</v>
      </c>
      <c r="I1336" s="120">
        <v>0</v>
      </c>
      <c r="J1336" s="120">
        <v>0</v>
      </c>
      <c r="K1336" s="110">
        <v>0</v>
      </c>
      <c r="L1336" s="110"/>
      <c r="M1336" s="110">
        <v>0</v>
      </c>
      <c r="N1336" s="110"/>
      <c r="O1336" s="110"/>
      <c r="P1336" s="110">
        <f t="shared" si="123"/>
        <v>0</v>
      </c>
      <c r="Q1336" s="110">
        <f t="shared" si="124"/>
        <v>0</v>
      </c>
      <c r="R1336" s="110">
        <f t="shared" si="125"/>
        <v>0</v>
      </c>
      <c r="S1336" s="112">
        <v>0</v>
      </c>
    </row>
    <row r="1337" spans="1:19">
      <c r="A1337" s="79"/>
      <c r="B1337" s="77" t="s">
        <v>360</v>
      </c>
      <c r="C1337" s="76" t="s">
        <v>4</v>
      </c>
      <c r="D1337" s="143">
        <v>1</v>
      </c>
      <c r="E1337" s="50"/>
      <c r="F1337" s="334"/>
      <c r="G1337" s="112">
        <v>0</v>
      </c>
      <c r="H1337" s="120">
        <v>0</v>
      </c>
      <c r="I1337" s="120">
        <v>0</v>
      </c>
      <c r="J1337" s="120">
        <v>0</v>
      </c>
      <c r="K1337" s="110">
        <v>0</v>
      </c>
      <c r="L1337" s="110"/>
      <c r="M1337" s="110">
        <v>0</v>
      </c>
      <c r="N1337" s="110"/>
      <c r="O1337" s="110"/>
      <c r="P1337" s="110">
        <f t="shared" si="123"/>
        <v>0</v>
      </c>
      <c r="Q1337" s="110">
        <f t="shared" si="124"/>
        <v>0</v>
      </c>
      <c r="R1337" s="110">
        <f t="shared" si="125"/>
        <v>0</v>
      </c>
      <c r="S1337" s="112">
        <v>0</v>
      </c>
    </row>
    <row r="1338" spans="1:19">
      <c r="A1338" s="79"/>
      <c r="B1338" s="77" t="s">
        <v>154</v>
      </c>
      <c r="C1338" s="76"/>
      <c r="D1338" s="143"/>
      <c r="E1338" s="57"/>
      <c r="F1338" s="57"/>
      <c r="G1338" s="112">
        <v>0</v>
      </c>
      <c r="H1338" s="120">
        <v>0</v>
      </c>
      <c r="I1338" s="120">
        <v>0</v>
      </c>
      <c r="J1338" s="120">
        <v>0</v>
      </c>
      <c r="K1338" s="110">
        <v>0</v>
      </c>
      <c r="L1338" s="110"/>
      <c r="M1338" s="110">
        <v>0</v>
      </c>
      <c r="N1338" s="110"/>
      <c r="O1338" s="110"/>
      <c r="P1338" s="110">
        <f t="shared" si="123"/>
        <v>0</v>
      </c>
      <c r="Q1338" s="110">
        <f t="shared" si="124"/>
        <v>0</v>
      </c>
      <c r="R1338" s="110">
        <f t="shared" si="125"/>
        <v>0</v>
      </c>
      <c r="S1338" s="112">
        <v>0</v>
      </c>
    </row>
    <row r="1339" spans="1:19">
      <c r="A1339" s="79"/>
      <c r="B1339" s="77" t="s">
        <v>361</v>
      </c>
      <c r="C1339" s="76" t="s">
        <v>4</v>
      </c>
      <c r="D1339" s="143">
        <v>1</v>
      </c>
      <c r="E1339" s="50"/>
      <c r="F1339" s="334"/>
      <c r="G1339" s="112">
        <v>0</v>
      </c>
      <c r="H1339" s="120">
        <v>0</v>
      </c>
      <c r="I1339" s="120">
        <v>0</v>
      </c>
      <c r="J1339" s="120">
        <v>0</v>
      </c>
      <c r="K1339" s="110">
        <v>0</v>
      </c>
      <c r="L1339" s="110"/>
      <c r="M1339" s="110">
        <v>0</v>
      </c>
      <c r="N1339" s="110"/>
      <c r="O1339" s="110"/>
      <c r="P1339" s="110">
        <f t="shared" si="123"/>
        <v>0</v>
      </c>
      <c r="Q1339" s="110">
        <f t="shared" si="124"/>
        <v>0</v>
      </c>
      <c r="R1339" s="110">
        <f t="shared" si="125"/>
        <v>0</v>
      </c>
      <c r="S1339" s="112">
        <v>0</v>
      </c>
    </row>
    <row r="1340" spans="1:19">
      <c r="A1340" s="79"/>
      <c r="B1340" s="77" t="s">
        <v>156</v>
      </c>
      <c r="C1340" s="76" t="s">
        <v>4</v>
      </c>
      <c r="D1340" s="143">
        <v>6</v>
      </c>
      <c r="E1340" s="50"/>
      <c r="F1340" s="334"/>
      <c r="G1340" s="112">
        <v>0</v>
      </c>
      <c r="H1340" s="120">
        <v>0</v>
      </c>
      <c r="I1340" s="120">
        <v>0</v>
      </c>
      <c r="J1340" s="120">
        <v>0</v>
      </c>
      <c r="K1340" s="110">
        <v>0</v>
      </c>
      <c r="L1340" s="110"/>
      <c r="M1340" s="110">
        <v>0</v>
      </c>
      <c r="N1340" s="110"/>
      <c r="O1340" s="110"/>
      <c r="P1340" s="110">
        <f t="shared" si="123"/>
        <v>0</v>
      </c>
      <c r="Q1340" s="110">
        <f t="shared" si="124"/>
        <v>0</v>
      </c>
      <c r="R1340" s="110">
        <f t="shared" si="125"/>
        <v>0</v>
      </c>
      <c r="S1340" s="112">
        <v>0</v>
      </c>
    </row>
    <row r="1341" spans="1:19">
      <c r="A1341" s="79"/>
      <c r="B1341" s="77" t="s">
        <v>157</v>
      </c>
      <c r="C1341" s="76" t="s">
        <v>4</v>
      </c>
      <c r="D1341" s="143">
        <v>2</v>
      </c>
      <c r="E1341" s="50"/>
      <c r="F1341" s="334"/>
      <c r="G1341" s="112">
        <v>0</v>
      </c>
      <c r="H1341" s="120">
        <v>0</v>
      </c>
      <c r="I1341" s="120">
        <v>0</v>
      </c>
      <c r="J1341" s="120">
        <v>0</v>
      </c>
      <c r="K1341" s="110">
        <v>0</v>
      </c>
      <c r="L1341" s="110"/>
      <c r="M1341" s="110">
        <v>0</v>
      </c>
      <c r="N1341" s="110"/>
      <c r="O1341" s="110"/>
      <c r="P1341" s="110">
        <f t="shared" si="123"/>
        <v>0</v>
      </c>
      <c r="Q1341" s="110">
        <f t="shared" si="124"/>
        <v>0</v>
      </c>
      <c r="R1341" s="110">
        <f t="shared" si="125"/>
        <v>0</v>
      </c>
      <c r="S1341" s="112">
        <v>0</v>
      </c>
    </row>
    <row r="1342" spans="1:19">
      <c r="A1342" s="79"/>
      <c r="B1342" s="77" t="s">
        <v>362</v>
      </c>
      <c r="C1342" s="76" t="s">
        <v>8</v>
      </c>
      <c r="D1342" s="143">
        <v>1</v>
      </c>
      <c r="E1342" s="50"/>
      <c r="F1342" s="334"/>
      <c r="G1342" s="112">
        <v>0</v>
      </c>
      <c r="H1342" s="120">
        <v>0</v>
      </c>
      <c r="I1342" s="120">
        <v>0</v>
      </c>
      <c r="J1342" s="120">
        <v>0</v>
      </c>
      <c r="K1342" s="110">
        <v>0</v>
      </c>
      <c r="L1342" s="110"/>
      <c r="M1342" s="110">
        <v>0</v>
      </c>
      <c r="N1342" s="110"/>
      <c r="O1342" s="110"/>
      <c r="P1342" s="110">
        <f t="shared" si="123"/>
        <v>0</v>
      </c>
      <c r="Q1342" s="110">
        <f t="shared" si="124"/>
        <v>0</v>
      </c>
      <c r="R1342" s="110">
        <f t="shared" si="125"/>
        <v>0</v>
      </c>
      <c r="S1342" s="112">
        <v>0</v>
      </c>
    </row>
    <row r="1343" spans="1:19" ht="60">
      <c r="A1343" s="79">
        <v>46</v>
      </c>
      <c r="B1343" s="77" t="s">
        <v>363</v>
      </c>
      <c r="C1343" s="76" t="s">
        <v>6</v>
      </c>
      <c r="D1343" s="143">
        <v>1</v>
      </c>
      <c r="E1343" s="74"/>
      <c r="F1343" s="334">
        <v>1</v>
      </c>
      <c r="G1343" s="112" t="s">
        <v>852</v>
      </c>
      <c r="H1343" s="120" t="s">
        <v>1076</v>
      </c>
      <c r="I1343" s="120" t="s">
        <v>828</v>
      </c>
      <c r="J1343" s="120" t="s">
        <v>829</v>
      </c>
      <c r="K1343" s="110">
        <v>44043000</v>
      </c>
      <c r="L1343" s="110"/>
      <c r="M1343" s="110">
        <v>3828500</v>
      </c>
      <c r="N1343" s="110"/>
      <c r="O1343" s="110"/>
      <c r="P1343" s="110">
        <f t="shared" si="123"/>
        <v>47871500</v>
      </c>
      <c r="Q1343" s="110">
        <f t="shared" si="124"/>
        <v>47871500</v>
      </c>
      <c r="R1343" s="110">
        <f t="shared" si="125"/>
        <v>47871500</v>
      </c>
      <c r="S1343" s="112" t="s">
        <v>4094</v>
      </c>
    </row>
    <row r="1344" spans="1:19" ht="45">
      <c r="A1344" s="79"/>
      <c r="B1344" s="77" t="s">
        <v>364</v>
      </c>
      <c r="C1344" s="76" t="s">
        <v>4</v>
      </c>
      <c r="D1344" s="143">
        <v>1</v>
      </c>
      <c r="E1344" s="82"/>
      <c r="F1344" s="334"/>
      <c r="G1344" s="112">
        <v>0</v>
      </c>
      <c r="H1344" s="120">
        <v>0</v>
      </c>
      <c r="I1344" s="120">
        <v>0</v>
      </c>
      <c r="J1344" s="120">
        <v>0</v>
      </c>
      <c r="K1344" s="110">
        <v>0</v>
      </c>
      <c r="L1344" s="110"/>
      <c r="M1344" s="110">
        <v>0</v>
      </c>
      <c r="N1344" s="110"/>
      <c r="O1344" s="110"/>
      <c r="P1344" s="110">
        <f t="shared" si="123"/>
        <v>0</v>
      </c>
      <c r="Q1344" s="110">
        <f t="shared" si="124"/>
        <v>0</v>
      </c>
      <c r="R1344" s="110">
        <f t="shared" si="125"/>
        <v>0</v>
      </c>
      <c r="S1344" s="112" t="s">
        <v>150</v>
      </c>
    </row>
    <row r="1345" spans="1:19">
      <c r="A1345" s="79"/>
      <c r="B1345" s="77" t="s">
        <v>151</v>
      </c>
      <c r="C1345" s="76"/>
      <c r="D1345" s="143"/>
      <c r="E1345" s="73"/>
      <c r="F1345" s="73"/>
      <c r="G1345" s="112">
        <v>0</v>
      </c>
      <c r="H1345" s="120">
        <v>0</v>
      </c>
      <c r="I1345" s="120">
        <v>0</v>
      </c>
      <c r="J1345" s="120">
        <v>0</v>
      </c>
      <c r="K1345" s="110">
        <v>0</v>
      </c>
      <c r="L1345" s="110"/>
      <c r="M1345" s="110">
        <v>0</v>
      </c>
      <c r="N1345" s="110"/>
      <c r="O1345" s="110"/>
      <c r="P1345" s="110">
        <f t="shared" si="123"/>
        <v>0</v>
      </c>
      <c r="Q1345" s="110">
        <f t="shared" si="124"/>
        <v>0</v>
      </c>
      <c r="R1345" s="110">
        <f t="shared" si="125"/>
        <v>0</v>
      </c>
      <c r="S1345" s="112">
        <v>0</v>
      </c>
    </row>
    <row r="1346" spans="1:19">
      <c r="A1346" s="79"/>
      <c r="B1346" s="77" t="s">
        <v>275</v>
      </c>
      <c r="C1346" s="76" t="s">
        <v>4</v>
      </c>
      <c r="D1346" s="143">
        <v>1</v>
      </c>
      <c r="E1346" s="50"/>
      <c r="F1346" s="334"/>
      <c r="G1346" s="112">
        <v>0</v>
      </c>
      <c r="H1346" s="120">
        <v>0</v>
      </c>
      <c r="I1346" s="120">
        <v>0</v>
      </c>
      <c r="J1346" s="120">
        <v>0</v>
      </c>
      <c r="K1346" s="110">
        <v>0</v>
      </c>
      <c r="L1346" s="110"/>
      <c r="M1346" s="110">
        <v>0</v>
      </c>
      <c r="N1346" s="110"/>
      <c r="O1346" s="110"/>
      <c r="P1346" s="110">
        <f t="shared" si="123"/>
        <v>0</v>
      </c>
      <c r="Q1346" s="110">
        <f t="shared" si="124"/>
        <v>0</v>
      </c>
      <c r="R1346" s="110">
        <f t="shared" si="125"/>
        <v>0</v>
      </c>
      <c r="S1346" s="112">
        <v>0</v>
      </c>
    </row>
    <row r="1347" spans="1:19">
      <c r="A1347" s="79"/>
      <c r="B1347" s="77" t="s">
        <v>354</v>
      </c>
      <c r="C1347" s="76" t="s">
        <v>12</v>
      </c>
      <c r="D1347" s="143">
        <v>3</v>
      </c>
      <c r="E1347" s="57"/>
      <c r="F1347" s="334"/>
      <c r="G1347" s="112">
        <v>0</v>
      </c>
      <c r="H1347" s="120">
        <v>0</v>
      </c>
      <c r="I1347" s="120">
        <v>0</v>
      </c>
      <c r="J1347" s="120">
        <v>0</v>
      </c>
      <c r="K1347" s="110">
        <v>0</v>
      </c>
      <c r="L1347" s="110"/>
      <c r="M1347" s="110">
        <v>0</v>
      </c>
      <c r="N1347" s="110"/>
      <c r="O1347" s="110"/>
      <c r="P1347" s="110">
        <f t="shared" si="123"/>
        <v>0</v>
      </c>
      <c r="Q1347" s="110">
        <f t="shared" si="124"/>
        <v>0</v>
      </c>
      <c r="R1347" s="110">
        <f t="shared" si="125"/>
        <v>0</v>
      </c>
      <c r="S1347" s="112">
        <v>0</v>
      </c>
    </row>
    <row r="1348" spans="1:19">
      <c r="A1348" s="79"/>
      <c r="B1348" s="77" t="s">
        <v>29</v>
      </c>
      <c r="C1348" s="76" t="s">
        <v>4</v>
      </c>
      <c r="D1348" s="143">
        <v>1</v>
      </c>
      <c r="E1348" s="50"/>
      <c r="F1348" s="334"/>
      <c r="G1348" s="112">
        <v>0</v>
      </c>
      <c r="H1348" s="120">
        <v>0</v>
      </c>
      <c r="I1348" s="120">
        <v>0</v>
      </c>
      <c r="J1348" s="120">
        <v>0</v>
      </c>
      <c r="K1348" s="110">
        <v>0</v>
      </c>
      <c r="L1348" s="110"/>
      <c r="M1348" s="110">
        <v>0</v>
      </c>
      <c r="N1348" s="110"/>
      <c r="O1348" s="110"/>
      <c r="P1348" s="110">
        <f t="shared" si="123"/>
        <v>0</v>
      </c>
      <c r="Q1348" s="110">
        <f t="shared" si="124"/>
        <v>0</v>
      </c>
      <c r="R1348" s="110">
        <f t="shared" si="125"/>
        <v>0</v>
      </c>
      <c r="S1348" s="112">
        <v>0</v>
      </c>
    </row>
    <row r="1349" spans="1:19">
      <c r="A1349" s="79"/>
      <c r="B1349" s="77" t="s">
        <v>30</v>
      </c>
      <c r="C1349" s="76" t="s">
        <v>4</v>
      </c>
      <c r="D1349" s="143">
        <v>1</v>
      </c>
      <c r="E1349" s="50"/>
      <c r="F1349" s="334"/>
      <c r="G1349" s="112">
        <v>0</v>
      </c>
      <c r="H1349" s="120">
        <v>0</v>
      </c>
      <c r="I1349" s="120">
        <v>0</v>
      </c>
      <c r="J1349" s="120">
        <v>0</v>
      </c>
      <c r="K1349" s="110">
        <v>0</v>
      </c>
      <c r="L1349" s="110"/>
      <c r="M1349" s="110">
        <v>0</v>
      </c>
      <c r="N1349" s="110"/>
      <c r="O1349" s="110"/>
      <c r="P1349" s="110">
        <f t="shared" si="123"/>
        <v>0</v>
      </c>
      <c r="Q1349" s="110">
        <f t="shared" si="124"/>
        <v>0</v>
      </c>
      <c r="R1349" s="110">
        <f t="shared" si="125"/>
        <v>0</v>
      </c>
      <c r="S1349" s="112">
        <v>0</v>
      </c>
    </row>
    <row r="1350" spans="1:19">
      <c r="A1350" s="79"/>
      <c r="B1350" s="77" t="s">
        <v>355</v>
      </c>
      <c r="C1350" s="76" t="s">
        <v>4</v>
      </c>
      <c r="D1350" s="143">
        <v>3</v>
      </c>
      <c r="E1350" s="50"/>
      <c r="F1350" s="334"/>
      <c r="G1350" s="112">
        <v>0</v>
      </c>
      <c r="H1350" s="120">
        <v>0</v>
      </c>
      <c r="I1350" s="120">
        <v>0</v>
      </c>
      <c r="J1350" s="120">
        <v>0</v>
      </c>
      <c r="K1350" s="110">
        <v>0</v>
      </c>
      <c r="L1350" s="110"/>
      <c r="M1350" s="110">
        <v>0</v>
      </c>
      <c r="N1350" s="110"/>
      <c r="O1350" s="110"/>
      <c r="P1350" s="110">
        <f t="shared" si="123"/>
        <v>0</v>
      </c>
      <c r="Q1350" s="110">
        <f t="shared" si="124"/>
        <v>0</v>
      </c>
      <c r="R1350" s="110">
        <f t="shared" si="125"/>
        <v>0</v>
      </c>
      <c r="S1350" s="112">
        <v>0</v>
      </c>
    </row>
    <row r="1351" spans="1:19">
      <c r="A1351" s="79"/>
      <c r="B1351" s="77" t="s">
        <v>14</v>
      </c>
      <c r="C1351" s="76" t="s">
        <v>4</v>
      </c>
      <c r="D1351" s="143">
        <v>3</v>
      </c>
      <c r="E1351" s="76"/>
      <c r="F1351" s="334"/>
      <c r="G1351" s="112">
        <v>0</v>
      </c>
      <c r="H1351" s="120">
        <v>0</v>
      </c>
      <c r="I1351" s="120">
        <v>0</v>
      </c>
      <c r="J1351" s="120">
        <v>0</v>
      </c>
      <c r="K1351" s="110">
        <v>0</v>
      </c>
      <c r="L1351" s="110"/>
      <c r="M1351" s="110">
        <v>0</v>
      </c>
      <c r="N1351" s="110"/>
      <c r="O1351" s="110"/>
      <c r="P1351" s="110">
        <f t="shared" si="123"/>
        <v>0</v>
      </c>
      <c r="Q1351" s="110">
        <f t="shared" si="124"/>
        <v>0</v>
      </c>
      <c r="R1351" s="110">
        <f t="shared" si="125"/>
        <v>0</v>
      </c>
      <c r="S1351" s="112">
        <v>0</v>
      </c>
    </row>
    <row r="1352" spans="1:19">
      <c r="A1352" s="79"/>
      <c r="B1352" s="77" t="s">
        <v>153</v>
      </c>
      <c r="C1352" s="76" t="s">
        <v>4</v>
      </c>
      <c r="D1352" s="143">
        <v>3</v>
      </c>
      <c r="E1352" s="83"/>
      <c r="F1352" s="334"/>
      <c r="G1352" s="112">
        <v>0</v>
      </c>
      <c r="H1352" s="120">
        <v>0</v>
      </c>
      <c r="I1352" s="120">
        <v>0</v>
      </c>
      <c r="J1352" s="120">
        <v>0</v>
      </c>
      <c r="K1352" s="110">
        <v>0</v>
      </c>
      <c r="L1352" s="110"/>
      <c r="M1352" s="110">
        <v>0</v>
      </c>
      <c r="N1352" s="110"/>
      <c r="O1352" s="110"/>
      <c r="P1352" s="110">
        <f t="shared" si="123"/>
        <v>0</v>
      </c>
      <c r="Q1352" s="110">
        <f t="shared" si="124"/>
        <v>0</v>
      </c>
      <c r="R1352" s="110">
        <f t="shared" si="125"/>
        <v>0</v>
      </c>
      <c r="S1352" s="112">
        <v>0</v>
      </c>
    </row>
    <row r="1353" spans="1:19">
      <c r="A1353" s="79"/>
      <c r="B1353" s="77" t="s">
        <v>154</v>
      </c>
      <c r="C1353" s="76"/>
      <c r="D1353" s="143"/>
      <c r="E1353" s="83"/>
      <c r="F1353" s="83"/>
      <c r="G1353" s="112">
        <v>0</v>
      </c>
      <c r="H1353" s="120">
        <v>0</v>
      </c>
      <c r="I1353" s="120">
        <v>0</v>
      </c>
      <c r="J1353" s="120">
        <v>0</v>
      </c>
      <c r="K1353" s="110">
        <v>0</v>
      </c>
      <c r="L1353" s="110"/>
      <c r="M1353" s="110">
        <v>0</v>
      </c>
      <c r="N1353" s="110"/>
      <c r="O1353" s="110"/>
      <c r="P1353" s="110">
        <f t="shared" si="123"/>
        <v>0</v>
      </c>
      <c r="Q1353" s="110">
        <f t="shared" si="124"/>
        <v>0</v>
      </c>
      <c r="R1353" s="110">
        <f t="shared" si="125"/>
        <v>0</v>
      </c>
      <c r="S1353" s="112">
        <v>0</v>
      </c>
    </row>
    <row r="1354" spans="1:19">
      <c r="A1354" s="79"/>
      <c r="B1354" s="77" t="s">
        <v>185</v>
      </c>
      <c r="C1354" s="76" t="s">
        <v>4</v>
      </c>
      <c r="D1354" s="143">
        <v>4</v>
      </c>
      <c r="E1354" s="50"/>
      <c r="F1354" s="334"/>
      <c r="G1354" s="112">
        <v>0</v>
      </c>
      <c r="H1354" s="120">
        <v>0</v>
      </c>
      <c r="I1354" s="120">
        <v>0</v>
      </c>
      <c r="J1354" s="120">
        <v>0</v>
      </c>
      <c r="K1354" s="110">
        <v>0</v>
      </c>
      <c r="L1354" s="110"/>
      <c r="M1354" s="110">
        <v>0</v>
      </c>
      <c r="N1354" s="110"/>
      <c r="O1354" s="110"/>
      <c r="P1354" s="110">
        <f t="shared" si="123"/>
        <v>0</v>
      </c>
      <c r="Q1354" s="110">
        <f t="shared" si="124"/>
        <v>0</v>
      </c>
      <c r="R1354" s="110">
        <f t="shared" si="125"/>
        <v>0</v>
      </c>
      <c r="S1354" s="112">
        <v>0</v>
      </c>
    </row>
    <row r="1355" spans="1:19">
      <c r="A1355" s="79"/>
      <c r="B1355" s="77" t="s">
        <v>243</v>
      </c>
      <c r="C1355" s="76" t="s">
        <v>4</v>
      </c>
      <c r="D1355" s="143">
        <v>1</v>
      </c>
      <c r="E1355" s="74"/>
      <c r="F1355" s="334"/>
      <c r="G1355" s="112">
        <v>0</v>
      </c>
      <c r="H1355" s="120">
        <v>0</v>
      </c>
      <c r="I1355" s="120">
        <v>0</v>
      </c>
      <c r="J1355" s="120">
        <v>0</v>
      </c>
      <c r="K1355" s="110">
        <v>0</v>
      </c>
      <c r="L1355" s="110"/>
      <c r="M1355" s="110">
        <v>0</v>
      </c>
      <c r="N1355" s="110"/>
      <c r="O1355" s="110"/>
      <c r="P1355" s="110">
        <f t="shared" si="123"/>
        <v>0</v>
      </c>
      <c r="Q1355" s="110">
        <f t="shared" si="124"/>
        <v>0</v>
      </c>
      <c r="R1355" s="110">
        <f t="shared" si="125"/>
        <v>0</v>
      </c>
      <c r="S1355" s="112">
        <v>0</v>
      </c>
    </row>
    <row r="1356" spans="1:19">
      <c r="A1356" s="79"/>
      <c r="B1356" s="77" t="s">
        <v>251</v>
      </c>
      <c r="C1356" s="76" t="s">
        <v>4</v>
      </c>
      <c r="D1356" s="143">
        <v>1</v>
      </c>
      <c r="E1356" s="74"/>
      <c r="F1356" s="334"/>
      <c r="G1356" s="112">
        <v>0</v>
      </c>
      <c r="H1356" s="120">
        <v>0</v>
      </c>
      <c r="I1356" s="120">
        <v>0</v>
      </c>
      <c r="J1356" s="120">
        <v>0</v>
      </c>
      <c r="K1356" s="110">
        <v>0</v>
      </c>
      <c r="L1356" s="110"/>
      <c r="M1356" s="110">
        <v>0</v>
      </c>
      <c r="N1356" s="110"/>
      <c r="O1356" s="110"/>
      <c r="P1356" s="110">
        <f t="shared" si="123"/>
        <v>0</v>
      </c>
      <c r="Q1356" s="110">
        <f t="shared" si="124"/>
        <v>0</v>
      </c>
      <c r="R1356" s="110">
        <f t="shared" si="125"/>
        <v>0</v>
      </c>
      <c r="S1356" s="112">
        <v>0</v>
      </c>
    </row>
    <row r="1357" spans="1:19">
      <c r="A1357" s="79"/>
      <c r="B1357" s="77" t="s">
        <v>158</v>
      </c>
      <c r="C1357" s="76" t="s">
        <v>4</v>
      </c>
      <c r="D1357" s="143">
        <v>1</v>
      </c>
      <c r="E1357" s="74"/>
      <c r="F1357" s="334"/>
      <c r="G1357" s="112">
        <v>0</v>
      </c>
      <c r="H1357" s="120">
        <v>0</v>
      </c>
      <c r="I1357" s="120">
        <v>0</v>
      </c>
      <c r="J1357" s="120">
        <v>0</v>
      </c>
      <c r="K1357" s="110">
        <v>0</v>
      </c>
      <c r="L1357" s="110"/>
      <c r="M1357" s="110">
        <v>0</v>
      </c>
      <c r="N1357" s="110"/>
      <c r="O1357" s="110"/>
      <c r="P1357" s="110">
        <f t="shared" si="123"/>
        <v>0</v>
      </c>
      <c r="Q1357" s="110">
        <f t="shared" si="124"/>
        <v>0</v>
      </c>
      <c r="R1357" s="110">
        <f t="shared" si="125"/>
        <v>0</v>
      </c>
      <c r="S1357" s="112">
        <v>0</v>
      </c>
    </row>
    <row r="1358" spans="1:19">
      <c r="A1358" s="79"/>
      <c r="B1358" s="77" t="s">
        <v>186</v>
      </c>
      <c r="C1358" s="76" t="s">
        <v>8</v>
      </c>
      <c r="D1358" s="143">
        <v>4</v>
      </c>
      <c r="E1358" s="74"/>
      <c r="F1358" s="334"/>
      <c r="G1358" s="112">
        <v>0</v>
      </c>
      <c r="H1358" s="120">
        <v>0</v>
      </c>
      <c r="I1358" s="120">
        <v>0</v>
      </c>
      <c r="J1358" s="120">
        <v>0</v>
      </c>
      <c r="K1358" s="110">
        <v>0</v>
      </c>
      <c r="L1358" s="110"/>
      <c r="M1358" s="110">
        <v>0</v>
      </c>
      <c r="N1358" s="110"/>
      <c r="O1358" s="110"/>
      <c r="P1358" s="110">
        <f t="shared" si="123"/>
        <v>0</v>
      </c>
      <c r="Q1358" s="110">
        <f t="shared" si="124"/>
        <v>0</v>
      </c>
      <c r="R1358" s="110">
        <f t="shared" si="125"/>
        <v>0</v>
      </c>
      <c r="S1358" s="112">
        <v>0</v>
      </c>
    </row>
    <row r="1359" spans="1:19">
      <c r="A1359" s="79"/>
      <c r="B1359" s="77" t="s">
        <v>187</v>
      </c>
      <c r="C1359" s="76" t="s">
        <v>4</v>
      </c>
      <c r="D1359" s="143">
        <v>4</v>
      </c>
      <c r="E1359" s="74"/>
      <c r="F1359" s="334"/>
      <c r="G1359" s="112">
        <v>0</v>
      </c>
      <c r="H1359" s="120">
        <v>0</v>
      </c>
      <c r="I1359" s="120">
        <v>0</v>
      </c>
      <c r="J1359" s="120">
        <v>0</v>
      </c>
      <c r="K1359" s="110">
        <v>0</v>
      </c>
      <c r="L1359" s="110"/>
      <c r="M1359" s="110">
        <v>0</v>
      </c>
      <c r="N1359" s="110"/>
      <c r="O1359" s="110"/>
      <c r="P1359" s="110">
        <f t="shared" si="123"/>
        <v>0</v>
      </c>
      <c r="Q1359" s="110">
        <f t="shared" si="124"/>
        <v>0</v>
      </c>
      <c r="R1359" s="110">
        <f t="shared" si="125"/>
        <v>0</v>
      </c>
      <c r="S1359" s="112">
        <v>0</v>
      </c>
    </row>
    <row r="1360" spans="1:19">
      <c r="A1360" s="79"/>
      <c r="B1360" s="77" t="s">
        <v>173</v>
      </c>
      <c r="C1360" s="76" t="s">
        <v>4</v>
      </c>
      <c r="D1360" s="143">
        <v>4</v>
      </c>
      <c r="E1360" s="74"/>
      <c r="F1360" s="334"/>
      <c r="G1360" s="112">
        <v>0</v>
      </c>
      <c r="H1360" s="120">
        <v>0</v>
      </c>
      <c r="I1360" s="120">
        <v>0</v>
      </c>
      <c r="J1360" s="120">
        <v>0</v>
      </c>
      <c r="K1360" s="110">
        <v>0</v>
      </c>
      <c r="L1360" s="110"/>
      <c r="M1360" s="110">
        <v>0</v>
      </c>
      <c r="N1360" s="110"/>
      <c r="O1360" s="110"/>
      <c r="P1360" s="110">
        <f t="shared" si="123"/>
        <v>0</v>
      </c>
      <c r="Q1360" s="110">
        <f t="shared" si="124"/>
        <v>0</v>
      </c>
      <c r="R1360" s="110">
        <f t="shared" si="125"/>
        <v>0</v>
      </c>
      <c r="S1360" s="112">
        <v>0</v>
      </c>
    </row>
    <row r="1361" spans="1:19">
      <c r="A1361" s="79"/>
      <c r="B1361" s="77" t="s">
        <v>188</v>
      </c>
      <c r="C1361" s="76" t="s">
        <v>4</v>
      </c>
      <c r="D1361" s="143">
        <v>4</v>
      </c>
      <c r="E1361" s="74"/>
      <c r="F1361" s="334"/>
      <c r="G1361" s="112">
        <v>0</v>
      </c>
      <c r="H1361" s="120">
        <v>0</v>
      </c>
      <c r="I1361" s="120">
        <v>0</v>
      </c>
      <c r="J1361" s="120">
        <v>0</v>
      </c>
      <c r="K1361" s="110">
        <v>0</v>
      </c>
      <c r="L1361" s="110"/>
      <c r="M1361" s="110">
        <v>0</v>
      </c>
      <c r="N1361" s="110"/>
      <c r="O1361" s="110"/>
      <c r="P1361" s="110">
        <f t="shared" si="123"/>
        <v>0</v>
      </c>
      <c r="Q1361" s="110">
        <f t="shared" si="124"/>
        <v>0</v>
      </c>
      <c r="R1361" s="110">
        <f t="shared" si="125"/>
        <v>0</v>
      </c>
      <c r="S1361" s="112">
        <v>0</v>
      </c>
    </row>
    <row r="1362" spans="1:19">
      <c r="A1362" s="79"/>
      <c r="B1362" s="77" t="s">
        <v>175</v>
      </c>
      <c r="C1362" s="76" t="s">
        <v>4</v>
      </c>
      <c r="D1362" s="143">
        <v>4</v>
      </c>
      <c r="E1362" s="74"/>
      <c r="F1362" s="334"/>
      <c r="G1362" s="112">
        <v>0</v>
      </c>
      <c r="H1362" s="120">
        <v>0</v>
      </c>
      <c r="I1362" s="120">
        <v>0</v>
      </c>
      <c r="J1362" s="120">
        <v>0</v>
      </c>
      <c r="K1362" s="110">
        <v>0</v>
      </c>
      <c r="L1362" s="110"/>
      <c r="M1362" s="110">
        <v>0</v>
      </c>
      <c r="N1362" s="110"/>
      <c r="O1362" s="110"/>
      <c r="P1362" s="110">
        <f t="shared" si="123"/>
        <v>0</v>
      </c>
      <c r="Q1362" s="110">
        <f t="shared" si="124"/>
        <v>0</v>
      </c>
      <c r="R1362" s="110">
        <f t="shared" si="125"/>
        <v>0</v>
      </c>
      <c r="S1362" s="112">
        <v>0</v>
      </c>
    </row>
    <row r="1363" spans="1:19">
      <c r="A1363" s="79"/>
      <c r="B1363" s="77" t="s">
        <v>176</v>
      </c>
      <c r="C1363" s="76" t="s">
        <v>4</v>
      </c>
      <c r="D1363" s="143">
        <v>8</v>
      </c>
      <c r="E1363" s="74"/>
      <c r="F1363" s="334"/>
      <c r="G1363" s="112">
        <v>0</v>
      </c>
      <c r="H1363" s="120">
        <v>0</v>
      </c>
      <c r="I1363" s="120">
        <v>0</v>
      </c>
      <c r="J1363" s="120">
        <v>0</v>
      </c>
      <c r="K1363" s="110">
        <v>0</v>
      </c>
      <c r="L1363" s="110"/>
      <c r="M1363" s="110">
        <v>0</v>
      </c>
      <c r="N1363" s="110"/>
      <c r="O1363" s="110"/>
      <c r="P1363" s="110">
        <f t="shared" si="123"/>
        <v>0</v>
      </c>
      <c r="Q1363" s="110">
        <f t="shared" si="124"/>
        <v>0</v>
      </c>
      <c r="R1363" s="110">
        <f t="shared" si="125"/>
        <v>0</v>
      </c>
      <c r="S1363" s="112">
        <v>0</v>
      </c>
    </row>
    <row r="1364" spans="1:19">
      <c r="A1364" s="79"/>
      <c r="B1364" s="77" t="s">
        <v>177</v>
      </c>
      <c r="C1364" s="76" t="s">
        <v>17</v>
      </c>
      <c r="D1364" s="143">
        <v>1</v>
      </c>
      <c r="E1364" s="74"/>
      <c r="F1364" s="334"/>
      <c r="G1364" s="112">
        <v>0</v>
      </c>
      <c r="H1364" s="120">
        <v>0</v>
      </c>
      <c r="I1364" s="120">
        <v>0</v>
      </c>
      <c r="J1364" s="120">
        <v>0</v>
      </c>
      <c r="K1364" s="110">
        <v>0</v>
      </c>
      <c r="L1364" s="110"/>
      <c r="M1364" s="110">
        <v>0</v>
      </c>
      <c r="N1364" s="110"/>
      <c r="O1364" s="110"/>
      <c r="P1364" s="110">
        <f t="shared" si="123"/>
        <v>0</v>
      </c>
      <c r="Q1364" s="110">
        <f t="shared" si="124"/>
        <v>0</v>
      </c>
      <c r="R1364" s="110">
        <f t="shared" si="125"/>
        <v>0</v>
      </c>
      <c r="S1364" s="112">
        <v>0</v>
      </c>
    </row>
    <row r="1365" spans="1:19">
      <c r="A1365" s="79"/>
      <c r="B1365" s="77" t="s">
        <v>365</v>
      </c>
      <c r="C1365" s="76" t="s">
        <v>8</v>
      </c>
      <c r="D1365" s="143">
        <v>1</v>
      </c>
      <c r="E1365" s="74"/>
      <c r="F1365" s="334"/>
      <c r="G1365" s="112">
        <v>0</v>
      </c>
      <c r="H1365" s="120">
        <v>0</v>
      </c>
      <c r="I1365" s="120">
        <v>0</v>
      </c>
      <c r="J1365" s="120">
        <v>0</v>
      </c>
      <c r="K1365" s="110">
        <v>0</v>
      </c>
      <c r="L1365" s="110"/>
      <c r="M1365" s="110">
        <v>0</v>
      </c>
      <c r="N1365" s="110"/>
      <c r="O1365" s="110"/>
      <c r="P1365" s="110">
        <f t="shared" si="123"/>
        <v>0</v>
      </c>
      <c r="Q1365" s="110">
        <f t="shared" si="124"/>
        <v>0</v>
      </c>
      <c r="R1365" s="110">
        <f t="shared" si="125"/>
        <v>0</v>
      </c>
      <c r="S1365" s="112">
        <v>0</v>
      </c>
    </row>
    <row r="1366" spans="1:19">
      <c r="A1366" s="79"/>
      <c r="B1366" s="77" t="s">
        <v>196</v>
      </c>
      <c r="C1366" s="76" t="s">
        <v>4</v>
      </c>
      <c r="D1366" s="143">
        <v>1</v>
      </c>
      <c r="E1366" s="74"/>
      <c r="F1366" s="334"/>
      <c r="G1366" s="112">
        <v>0</v>
      </c>
      <c r="H1366" s="120">
        <v>0</v>
      </c>
      <c r="I1366" s="120">
        <v>0</v>
      </c>
      <c r="J1366" s="120">
        <v>0</v>
      </c>
      <c r="K1366" s="110">
        <v>0</v>
      </c>
      <c r="L1366" s="110"/>
      <c r="M1366" s="110">
        <v>0</v>
      </c>
      <c r="N1366" s="110"/>
      <c r="O1366" s="110"/>
      <c r="P1366" s="110">
        <f t="shared" si="123"/>
        <v>0</v>
      </c>
      <c r="Q1366" s="110">
        <f t="shared" si="124"/>
        <v>0</v>
      </c>
      <c r="R1366" s="110">
        <f t="shared" si="125"/>
        <v>0</v>
      </c>
      <c r="S1366" s="112">
        <v>0</v>
      </c>
    </row>
    <row r="1367" spans="1:19">
      <c r="A1367" s="79"/>
      <c r="B1367" s="77" t="s">
        <v>173</v>
      </c>
      <c r="C1367" s="76" t="s">
        <v>4</v>
      </c>
      <c r="D1367" s="143">
        <v>1</v>
      </c>
      <c r="E1367" s="82"/>
      <c r="F1367" s="334"/>
      <c r="G1367" s="112">
        <v>0</v>
      </c>
      <c r="H1367" s="120">
        <v>0</v>
      </c>
      <c r="I1367" s="120">
        <v>0</v>
      </c>
      <c r="J1367" s="120">
        <v>0</v>
      </c>
      <c r="K1367" s="110">
        <v>0</v>
      </c>
      <c r="L1367" s="110"/>
      <c r="M1367" s="110">
        <v>0</v>
      </c>
      <c r="N1367" s="110"/>
      <c r="O1367" s="110"/>
      <c r="P1367" s="110">
        <f t="shared" si="123"/>
        <v>0</v>
      </c>
      <c r="Q1367" s="110">
        <f t="shared" si="124"/>
        <v>0</v>
      </c>
      <c r="R1367" s="110">
        <f t="shared" si="125"/>
        <v>0</v>
      </c>
      <c r="S1367" s="112">
        <v>0</v>
      </c>
    </row>
    <row r="1368" spans="1:19">
      <c r="A1368" s="79"/>
      <c r="B1368" s="77" t="s">
        <v>248</v>
      </c>
      <c r="C1368" s="76" t="s">
        <v>4</v>
      </c>
      <c r="D1368" s="143">
        <v>1</v>
      </c>
      <c r="E1368" s="73"/>
      <c r="F1368" s="334"/>
      <c r="G1368" s="112">
        <v>0</v>
      </c>
      <c r="H1368" s="120">
        <v>0</v>
      </c>
      <c r="I1368" s="120">
        <v>0</v>
      </c>
      <c r="J1368" s="120">
        <v>0</v>
      </c>
      <c r="K1368" s="110">
        <v>0</v>
      </c>
      <c r="L1368" s="110"/>
      <c r="M1368" s="110">
        <v>0</v>
      </c>
      <c r="N1368" s="110"/>
      <c r="O1368" s="110"/>
      <c r="P1368" s="110">
        <f t="shared" si="123"/>
        <v>0</v>
      </c>
      <c r="Q1368" s="110">
        <f t="shared" si="124"/>
        <v>0</v>
      </c>
      <c r="R1368" s="110">
        <f t="shared" si="125"/>
        <v>0</v>
      </c>
      <c r="S1368" s="112">
        <v>0</v>
      </c>
    </row>
    <row r="1369" spans="1:19">
      <c r="A1369" s="79"/>
      <c r="B1369" s="77" t="s">
        <v>175</v>
      </c>
      <c r="C1369" s="76" t="s">
        <v>4</v>
      </c>
      <c r="D1369" s="143">
        <v>1</v>
      </c>
      <c r="E1369" s="50"/>
      <c r="F1369" s="334"/>
      <c r="G1369" s="112">
        <v>0</v>
      </c>
      <c r="H1369" s="120">
        <v>0</v>
      </c>
      <c r="I1369" s="120">
        <v>0</v>
      </c>
      <c r="J1369" s="120">
        <v>0</v>
      </c>
      <c r="K1369" s="110">
        <v>0</v>
      </c>
      <c r="L1369" s="110"/>
      <c r="M1369" s="110">
        <v>0</v>
      </c>
      <c r="N1369" s="110"/>
      <c r="O1369" s="110"/>
      <c r="P1369" s="110">
        <f t="shared" si="123"/>
        <v>0</v>
      </c>
      <c r="Q1369" s="110">
        <f t="shared" si="124"/>
        <v>0</v>
      </c>
      <c r="R1369" s="110">
        <f t="shared" si="125"/>
        <v>0</v>
      </c>
      <c r="S1369" s="112">
        <v>0</v>
      </c>
    </row>
    <row r="1370" spans="1:19">
      <c r="A1370" s="79"/>
      <c r="B1370" s="77" t="s">
        <v>176</v>
      </c>
      <c r="C1370" s="76" t="s">
        <v>4</v>
      </c>
      <c r="D1370" s="143">
        <v>2</v>
      </c>
      <c r="E1370" s="57"/>
      <c r="F1370" s="334"/>
      <c r="G1370" s="112">
        <v>0</v>
      </c>
      <c r="H1370" s="120">
        <v>0</v>
      </c>
      <c r="I1370" s="120">
        <v>0</v>
      </c>
      <c r="J1370" s="120">
        <v>0</v>
      </c>
      <c r="K1370" s="110">
        <v>0</v>
      </c>
      <c r="L1370" s="110"/>
      <c r="M1370" s="110">
        <v>0</v>
      </c>
      <c r="N1370" s="110"/>
      <c r="O1370" s="110"/>
      <c r="P1370" s="110">
        <f t="shared" si="123"/>
        <v>0</v>
      </c>
      <c r="Q1370" s="110">
        <f t="shared" si="124"/>
        <v>0</v>
      </c>
      <c r="R1370" s="110">
        <f t="shared" si="125"/>
        <v>0</v>
      </c>
      <c r="S1370" s="112">
        <v>0</v>
      </c>
    </row>
    <row r="1371" spans="1:19">
      <c r="A1371" s="79"/>
      <c r="B1371" s="77" t="s">
        <v>177</v>
      </c>
      <c r="C1371" s="76" t="s">
        <v>17</v>
      </c>
      <c r="D1371" s="143">
        <v>1</v>
      </c>
      <c r="E1371" s="50"/>
      <c r="F1371" s="334"/>
      <c r="G1371" s="112">
        <v>0</v>
      </c>
      <c r="H1371" s="120">
        <v>0</v>
      </c>
      <c r="I1371" s="120">
        <v>0</v>
      </c>
      <c r="J1371" s="120">
        <v>0</v>
      </c>
      <c r="K1371" s="110">
        <v>0</v>
      </c>
      <c r="L1371" s="110"/>
      <c r="M1371" s="110">
        <v>0</v>
      </c>
      <c r="N1371" s="110"/>
      <c r="O1371" s="110"/>
      <c r="P1371" s="110">
        <f t="shared" si="123"/>
        <v>0</v>
      </c>
      <c r="Q1371" s="110">
        <f t="shared" si="124"/>
        <v>0</v>
      </c>
      <c r="R1371" s="110">
        <f t="shared" si="125"/>
        <v>0</v>
      </c>
      <c r="S1371" s="112">
        <v>0</v>
      </c>
    </row>
    <row r="1372" spans="1:19">
      <c r="A1372" s="79"/>
      <c r="B1372" s="77" t="s">
        <v>366</v>
      </c>
      <c r="C1372" s="76" t="s">
        <v>8</v>
      </c>
      <c r="D1372" s="143">
        <v>1</v>
      </c>
      <c r="E1372" s="50"/>
      <c r="F1372" s="334"/>
      <c r="G1372" s="112">
        <v>0</v>
      </c>
      <c r="H1372" s="120">
        <v>0</v>
      </c>
      <c r="I1372" s="120">
        <v>0</v>
      </c>
      <c r="J1372" s="120">
        <v>0</v>
      </c>
      <c r="K1372" s="110">
        <v>0</v>
      </c>
      <c r="L1372" s="110"/>
      <c r="M1372" s="110">
        <v>0</v>
      </c>
      <c r="N1372" s="110"/>
      <c r="O1372" s="110"/>
      <c r="P1372" s="110">
        <f t="shared" si="123"/>
        <v>0</v>
      </c>
      <c r="Q1372" s="110">
        <f t="shared" si="124"/>
        <v>0</v>
      </c>
      <c r="R1372" s="110">
        <f t="shared" si="125"/>
        <v>0</v>
      </c>
      <c r="S1372" s="112">
        <v>0</v>
      </c>
    </row>
    <row r="1373" spans="1:19">
      <c r="A1373" s="79"/>
      <c r="B1373" s="77" t="s">
        <v>172</v>
      </c>
      <c r="C1373" s="76" t="s">
        <v>4</v>
      </c>
      <c r="D1373" s="143">
        <v>1</v>
      </c>
      <c r="E1373" s="50"/>
      <c r="F1373" s="334"/>
      <c r="G1373" s="112">
        <v>0</v>
      </c>
      <c r="H1373" s="120">
        <v>0</v>
      </c>
      <c r="I1373" s="120">
        <v>0</v>
      </c>
      <c r="J1373" s="120">
        <v>0</v>
      </c>
      <c r="K1373" s="110">
        <v>0</v>
      </c>
      <c r="L1373" s="110"/>
      <c r="M1373" s="110">
        <v>0</v>
      </c>
      <c r="N1373" s="110"/>
      <c r="O1373" s="110"/>
      <c r="P1373" s="110">
        <f t="shared" si="123"/>
        <v>0</v>
      </c>
      <c r="Q1373" s="110">
        <f t="shared" si="124"/>
        <v>0</v>
      </c>
      <c r="R1373" s="110">
        <f t="shared" si="125"/>
        <v>0</v>
      </c>
      <c r="S1373" s="112">
        <v>0</v>
      </c>
    </row>
    <row r="1374" spans="1:19">
      <c r="A1374" s="79"/>
      <c r="B1374" s="77" t="s">
        <v>173</v>
      </c>
      <c r="C1374" s="76" t="s">
        <v>4</v>
      </c>
      <c r="D1374" s="143">
        <v>1</v>
      </c>
      <c r="E1374" s="76"/>
      <c r="F1374" s="334"/>
      <c r="G1374" s="112">
        <v>0</v>
      </c>
      <c r="H1374" s="120">
        <v>0</v>
      </c>
      <c r="I1374" s="120">
        <v>0</v>
      </c>
      <c r="J1374" s="120">
        <v>0</v>
      </c>
      <c r="K1374" s="110">
        <v>0</v>
      </c>
      <c r="L1374" s="110"/>
      <c r="M1374" s="110">
        <v>0</v>
      </c>
      <c r="N1374" s="110"/>
      <c r="O1374" s="110"/>
      <c r="P1374" s="110">
        <f t="shared" si="123"/>
        <v>0</v>
      </c>
      <c r="Q1374" s="110">
        <f t="shared" si="124"/>
        <v>0</v>
      </c>
      <c r="R1374" s="110">
        <f t="shared" si="125"/>
        <v>0</v>
      </c>
      <c r="S1374" s="112">
        <v>0</v>
      </c>
    </row>
    <row r="1375" spans="1:19">
      <c r="A1375" s="79"/>
      <c r="B1375" s="77" t="s">
        <v>367</v>
      </c>
      <c r="C1375" s="76" t="s">
        <v>4</v>
      </c>
      <c r="D1375" s="143">
        <v>1</v>
      </c>
      <c r="E1375" s="83"/>
      <c r="F1375" s="334"/>
      <c r="G1375" s="112">
        <v>0</v>
      </c>
      <c r="H1375" s="120">
        <v>0</v>
      </c>
      <c r="I1375" s="120">
        <v>0</v>
      </c>
      <c r="J1375" s="120">
        <v>0</v>
      </c>
      <c r="K1375" s="110">
        <v>0</v>
      </c>
      <c r="L1375" s="110"/>
      <c r="M1375" s="110">
        <v>0</v>
      </c>
      <c r="N1375" s="110"/>
      <c r="O1375" s="110"/>
      <c r="P1375" s="110">
        <f t="shared" si="123"/>
        <v>0</v>
      </c>
      <c r="Q1375" s="110">
        <f t="shared" si="124"/>
        <v>0</v>
      </c>
      <c r="R1375" s="110">
        <f t="shared" si="125"/>
        <v>0</v>
      </c>
      <c r="S1375" s="112">
        <v>0</v>
      </c>
    </row>
    <row r="1376" spans="1:19">
      <c r="A1376" s="79"/>
      <c r="B1376" s="77" t="s">
        <v>175</v>
      </c>
      <c r="C1376" s="76" t="s">
        <v>4</v>
      </c>
      <c r="D1376" s="143">
        <v>1</v>
      </c>
      <c r="E1376" s="83"/>
      <c r="F1376" s="334"/>
      <c r="G1376" s="112">
        <v>0</v>
      </c>
      <c r="H1376" s="120">
        <v>0</v>
      </c>
      <c r="I1376" s="120">
        <v>0</v>
      </c>
      <c r="J1376" s="120">
        <v>0</v>
      </c>
      <c r="K1376" s="110">
        <v>0</v>
      </c>
      <c r="L1376" s="110"/>
      <c r="M1376" s="110">
        <v>0</v>
      </c>
      <c r="N1376" s="110"/>
      <c r="O1376" s="110"/>
      <c r="P1376" s="110">
        <f t="shared" si="123"/>
        <v>0</v>
      </c>
      <c r="Q1376" s="110">
        <f t="shared" si="124"/>
        <v>0</v>
      </c>
      <c r="R1376" s="110">
        <f t="shared" si="125"/>
        <v>0</v>
      </c>
      <c r="S1376" s="112">
        <v>0</v>
      </c>
    </row>
    <row r="1377" spans="1:19">
      <c r="A1377" s="79"/>
      <c r="B1377" s="77" t="s">
        <v>176</v>
      </c>
      <c r="C1377" s="76" t="s">
        <v>4</v>
      </c>
      <c r="D1377" s="143">
        <v>2</v>
      </c>
      <c r="E1377" s="50"/>
      <c r="F1377" s="334"/>
      <c r="G1377" s="112">
        <v>0</v>
      </c>
      <c r="H1377" s="120">
        <v>0</v>
      </c>
      <c r="I1377" s="120">
        <v>0</v>
      </c>
      <c r="J1377" s="120">
        <v>0</v>
      </c>
      <c r="K1377" s="110">
        <v>0</v>
      </c>
      <c r="L1377" s="110"/>
      <c r="M1377" s="110">
        <v>0</v>
      </c>
      <c r="N1377" s="110"/>
      <c r="O1377" s="110"/>
      <c r="P1377" s="110">
        <f t="shared" si="123"/>
        <v>0</v>
      </c>
      <c r="Q1377" s="110">
        <f t="shared" si="124"/>
        <v>0</v>
      </c>
      <c r="R1377" s="110">
        <f t="shared" si="125"/>
        <v>0</v>
      </c>
      <c r="S1377" s="112">
        <v>0</v>
      </c>
    </row>
    <row r="1378" spans="1:19">
      <c r="A1378" s="79"/>
      <c r="B1378" s="77" t="s">
        <v>177</v>
      </c>
      <c r="C1378" s="76" t="s">
        <v>17</v>
      </c>
      <c r="D1378" s="143">
        <v>1</v>
      </c>
      <c r="E1378" s="74"/>
      <c r="F1378" s="334"/>
      <c r="G1378" s="112">
        <v>0</v>
      </c>
      <c r="H1378" s="120">
        <v>0</v>
      </c>
      <c r="I1378" s="120">
        <v>0</v>
      </c>
      <c r="J1378" s="120">
        <v>0</v>
      </c>
      <c r="K1378" s="110">
        <v>0</v>
      </c>
      <c r="L1378" s="110"/>
      <c r="M1378" s="110">
        <v>0</v>
      </c>
      <c r="N1378" s="110"/>
      <c r="O1378" s="110"/>
      <c r="P1378" s="110">
        <f t="shared" si="123"/>
        <v>0</v>
      </c>
      <c r="Q1378" s="110">
        <f t="shared" si="124"/>
        <v>0</v>
      </c>
      <c r="R1378" s="110">
        <f t="shared" si="125"/>
        <v>0</v>
      </c>
      <c r="S1378" s="112">
        <v>0</v>
      </c>
    </row>
    <row r="1379" spans="1:19">
      <c r="A1379" s="79"/>
      <c r="B1379" s="77" t="s">
        <v>163</v>
      </c>
      <c r="C1379" s="76" t="s">
        <v>4</v>
      </c>
      <c r="D1379" s="143">
        <v>1</v>
      </c>
      <c r="E1379" s="74"/>
      <c r="F1379" s="334"/>
      <c r="G1379" s="112">
        <v>0</v>
      </c>
      <c r="H1379" s="120">
        <v>0</v>
      </c>
      <c r="I1379" s="120">
        <v>0</v>
      </c>
      <c r="J1379" s="120">
        <v>0</v>
      </c>
      <c r="K1379" s="110">
        <v>0</v>
      </c>
      <c r="L1379" s="110"/>
      <c r="M1379" s="110">
        <v>0</v>
      </c>
      <c r="N1379" s="110"/>
      <c r="O1379" s="110"/>
      <c r="P1379" s="110">
        <f t="shared" si="123"/>
        <v>0</v>
      </c>
      <c r="Q1379" s="110">
        <f t="shared" si="124"/>
        <v>0</v>
      </c>
      <c r="R1379" s="110">
        <f t="shared" si="125"/>
        <v>0</v>
      </c>
      <c r="S1379" s="112">
        <v>0</v>
      </c>
    </row>
    <row r="1380" spans="1:19" ht="30">
      <c r="A1380" s="79"/>
      <c r="B1380" s="77" t="s">
        <v>357</v>
      </c>
      <c r="C1380" s="76" t="s">
        <v>8</v>
      </c>
      <c r="D1380" s="143">
        <v>1</v>
      </c>
      <c r="E1380" s="74"/>
      <c r="F1380" s="334"/>
      <c r="G1380" s="112">
        <v>0</v>
      </c>
      <c r="H1380" s="120">
        <v>0</v>
      </c>
      <c r="I1380" s="120">
        <v>0</v>
      </c>
      <c r="J1380" s="120">
        <v>0</v>
      </c>
      <c r="K1380" s="110">
        <v>0</v>
      </c>
      <c r="L1380" s="110"/>
      <c r="M1380" s="110">
        <v>0</v>
      </c>
      <c r="N1380" s="110"/>
      <c r="O1380" s="110"/>
      <c r="P1380" s="110">
        <f t="shared" si="123"/>
        <v>0</v>
      </c>
      <c r="Q1380" s="110">
        <f t="shared" si="124"/>
        <v>0</v>
      </c>
      <c r="R1380" s="110">
        <f t="shared" si="125"/>
        <v>0</v>
      </c>
      <c r="S1380" s="112">
        <v>0</v>
      </c>
    </row>
    <row r="1381" spans="1:19">
      <c r="A1381" s="79"/>
      <c r="B1381" s="77" t="s">
        <v>207</v>
      </c>
      <c r="C1381" s="76" t="s">
        <v>8</v>
      </c>
      <c r="D1381" s="143">
        <v>1</v>
      </c>
      <c r="E1381" s="74"/>
      <c r="F1381" s="334"/>
      <c r="G1381" s="112">
        <v>0</v>
      </c>
      <c r="H1381" s="120">
        <v>0</v>
      </c>
      <c r="I1381" s="120">
        <v>0</v>
      </c>
      <c r="J1381" s="120">
        <v>0</v>
      </c>
      <c r="K1381" s="110">
        <v>0</v>
      </c>
      <c r="L1381" s="110"/>
      <c r="M1381" s="110">
        <v>0</v>
      </c>
      <c r="N1381" s="110"/>
      <c r="O1381" s="110"/>
      <c r="P1381" s="110">
        <f t="shared" si="123"/>
        <v>0</v>
      </c>
      <c r="Q1381" s="110">
        <f t="shared" si="124"/>
        <v>0</v>
      </c>
      <c r="R1381" s="110">
        <f t="shared" si="125"/>
        <v>0</v>
      </c>
      <c r="S1381" s="112">
        <v>0</v>
      </c>
    </row>
    <row r="1382" spans="1:19" ht="45">
      <c r="A1382" s="79"/>
      <c r="B1382" s="77" t="s">
        <v>166</v>
      </c>
      <c r="C1382" s="76" t="s">
        <v>17</v>
      </c>
      <c r="D1382" s="143">
        <v>1</v>
      </c>
      <c r="E1382" s="82"/>
      <c r="F1382" s="334"/>
      <c r="G1382" s="112">
        <v>0</v>
      </c>
      <c r="H1382" s="120">
        <v>0</v>
      </c>
      <c r="I1382" s="120">
        <v>0</v>
      </c>
      <c r="J1382" s="120">
        <v>0</v>
      </c>
      <c r="K1382" s="110">
        <v>0</v>
      </c>
      <c r="L1382" s="110"/>
      <c r="M1382" s="110">
        <v>0</v>
      </c>
      <c r="N1382" s="110"/>
      <c r="O1382" s="110"/>
      <c r="P1382" s="110">
        <f t="shared" si="123"/>
        <v>0</v>
      </c>
      <c r="Q1382" s="110">
        <f t="shared" si="124"/>
        <v>0</v>
      </c>
      <c r="R1382" s="110">
        <f t="shared" si="125"/>
        <v>0</v>
      </c>
      <c r="S1382" s="112">
        <v>0</v>
      </c>
    </row>
    <row r="1383" spans="1:19" ht="60">
      <c r="A1383" s="79">
        <v>47</v>
      </c>
      <c r="B1383" s="77" t="s">
        <v>368</v>
      </c>
      <c r="C1383" s="76" t="s">
        <v>6</v>
      </c>
      <c r="D1383" s="143">
        <v>1</v>
      </c>
      <c r="E1383" s="59"/>
      <c r="F1383" s="334">
        <v>1</v>
      </c>
      <c r="G1383" s="112" t="s">
        <v>853</v>
      </c>
      <c r="H1383" s="120" t="s">
        <v>1076</v>
      </c>
      <c r="I1383" s="120" t="s">
        <v>828</v>
      </c>
      <c r="J1383" s="120" t="s">
        <v>829</v>
      </c>
      <c r="K1383" s="110">
        <v>154892100</v>
      </c>
      <c r="L1383" s="110"/>
      <c r="M1383" s="110">
        <v>7556300</v>
      </c>
      <c r="N1383" s="110"/>
      <c r="O1383" s="110"/>
      <c r="P1383" s="110">
        <f t="shared" si="123"/>
        <v>162448400</v>
      </c>
      <c r="Q1383" s="110">
        <f t="shared" si="124"/>
        <v>162448400</v>
      </c>
      <c r="R1383" s="110">
        <f t="shared" si="125"/>
        <v>162448400</v>
      </c>
      <c r="S1383" s="112" t="s">
        <v>4094</v>
      </c>
    </row>
    <row r="1384" spans="1:19" ht="45">
      <c r="A1384" s="79"/>
      <c r="B1384" s="77" t="s">
        <v>330</v>
      </c>
      <c r="C1384" s="76" t="s">
        <v>4</v>
      </c>
      <c r="D1384" s="143">
        <v>1</v>
      </c>
      <c r="E1384" s="77"/>
      <c r="F1384" s="334"/>
      <c r="G1384" s="112">
        <v>0</v>
      </c>
      <c r="H1384" s="120">
        <v>0</v>
      </c>
      <c r="I1384" s="120">
        <v>0</v>
      </c>
      <c r="J1384" s="120">
        <v>0</v>
      </c>
      <c r="K1384" s="110">
        <v>0</v>
      </c>
      <c r="L1384" s="110"/>
      <c r="M1384" s="110">
        <v>0</v>
      </c>
      <c r="N1384" s="110"/>
      <c r="O1384" s="110"/>
      <c r="P1384" s="110">
        <f t="shared" si="123"/>
        <v>0</v>
      </c>
      <c r="Q1384" s="110">
        <f t="shared" si="124"/>
        <v>0</v>
      </c>
      <c r="R1384" s="110">
        <f t="shared" si="125"/>
        <v>0</v>
      </c>
      <c r="S1384" s="112" t="s">
        <v>150</v>
      </c>
    </row>
    <row r="1385" spans="1:19">
      <c r="A1385" s="79"/>
      <c r="B1385" s="77" t="s">
        <v>151</v>
      </c>
      <c r="C1385" s="76"/>
      <c r="D1385" s="143"/>
      <c r="E1385" s="77"/>
      <c r="F1385" s="76"/>
      <c r="G1385" s="112">
        <v>0</v>
      </c>
      <c r="H1385" s="120">
        <v>0</v>
      </c>
      <c r="I1385" s="120">
        <v>0</v>
      </c>
      <c r="J1385" s="120">
        <v>0</v>
      </c>
      <c r="K1385" s="110">
        <v>0</v>
      </c>
      <c r="L1385" s="110"/>
      <c r="M1385" s="110">
        <v>0</v>
      </c>
      <c r="N1385" s="110"/>
      <c r="O1385" s="110"/>
      <c r="P1385" s="110">
        <f t="shared" si="123"/>
        <v>0</v>
      </c>
      <c r="Q1385" s="110">
        <f t="shared" si="124"/>
        <v>0</v>
      </c>
      <c r="R1385" s="110">
        <f t="shared" si="125"/>
        <v>0</v>
      </c>
      <c r="S1385" s="112">
        <v>0</v>
      </c>
    </row>
    <row r="1386" spans="1:19">
      <c r="A1386" s="79"/>
      <c r="B1386" s="77" t="s">
        <v>369</v>
      </c>
      <c r="C1386" s="76" t="s">
        <v>4</v>
      </c>
      <c r="D1386" s="143">
        <v>1</v>
      </c>
      <c r="E1386" s="77"/>
      <c r="F1386" s="334"/>
      <c r="G1386" s="112">
        <v>0</v>
      </c>
      <c r="H1386" s="120">
        <v>0</v>
      </c>
      <c r="I1386" s="120">
        <v>0</v>
      </c>
      <c r="J1386" s="120">
        <v>0</v>
      </c>
      <c r="K1386" s="110">
        <v>0</v>
      </c>
      <c r="L1386" s="110"/>
      <c r="M1386" s="110">
        <v>0</v>
      </c>
      <c r="N1386" s="110"/>
      <c r="O1386" s="110"/>
      <c r="P1386" s="110">
        <f t="shared" si="123"/>
        <v>0</v>
      </c>
      <c r="Q1386" s="110">
        <f t="shared" si="124"/>
        <v>0</v>
      </c>
      <c r="R1386" s="110">
        <f t="shared" si="125"/>
        <v>0</v>
      </c>
      <c r="S1386" s="112">
        <v>0</v>
      </c>
    </row>
    <row r="1387" spans="1:19">
      <c r="A1387" s="79"/>
      <c r="B1387" s="77" t="s">
        <v>370</v>
      </c>
      <c r="C1387" s="76" t="s">
        <v>12</v>
      </c>
      <c r="D1387" s="143">
        <v>6</v>
      </c>
      <c r="E1387" s="77"/>
      <c r="F1387" s="334"/>
      <c r="G1387" s="112">
        <v>0</v>
      </c>
      <c r="H1387" s="120">
        <v>0</v>
      </c>
      <c r="I1387" s="120">
        <v>0</v>
      </c>
      <c r="J1387" s="120">
        <v>0</v>
      </c>
      <c r="K1387" s="110">
        <v>0</v>
      </c>
      <c r="L1387" s="110"/>
      <c r="M1387" s="110">
        <v>0</v>
      </c>
      <c r="N1387" s="110"/>
      <c r="O1387" s="110"/>
      <c r="P1387" s="110">
        <f t="shared" si="123"/>
        <v>0</v>
      </c>
      <c r="Q1387" s="110">
        <f t="shared" si="124"/>
        <v>0</v>
      </c>
      <c r="R1387" s="110">
        <f t="shared" si="125"/>
        <v>0</v>
      </c>
      <c r="S1387" s="112">
        <v>0</v>
      </c>
    </row>
    <row r="1388" spans="1:19">
      <c r="A1388" s="79"/>
      <c r="B1388" s="77" t="s">
        <v>340</v>
      </c>
      <c r="C1388" s="76" t="s">
        <v>4</v>
      </c>
      <c r="D1388" s="143">
        <v>1</v>
      </c>
      <c r="E1388" s="77"/>
      <c r="F1388" s="334"/>
      <c r="G1388" s="112">
        <v>0</v>
      </c>
      <c r="H1388" s="120">
        <v>0</v>
      </c>
      <c r="I1388" s="120">
        <v>0</v>
      </c>
      <c r="J1388" s="120">
        <v>0</v>
      </c>
      <c r="K1388" s="110">
        <v>0</v>
      </c>
      <c r="L1388" s="110"/>
      <c r="M1388" s="110">
        <v>0</v>
      </c>
      <c r="N1388" s="110"/>
      <c r="O1388" s="110"/>
      <c r="P1388" s="110">
        <f t="shared" si="123"/>
        <v>0</v>
      </c>
      <c r="Q1388" s="110">
        <f t="shared" si="124"/>
        <v>0</v>
      </c>
      <c r="R1388" s="110">
        <f t="shared" si="125"/>
        <v>0</v>
      </c>
      <c r="S1388" s="112">
        <v>0</v>
      </c>
    </row>
    <row r="1389" spans="1:19">
      <c r="A1389" s="79"/>
      <c r="B1389" s="77" t="s">
        <v>371</v>
      </c>
      <c r="C1389" s="76" t="s">
        <v>4</v>
      </c>
      <c r="D1389" s="143">
        <v>2</v>
      </c>
      <c r="E1389" s="77"/>
      <c r="F1389" s="334"/>
      <c r="G1389" s="112">
        <v>0</v>
      </c>
      <c r="H1389" s="120">
        <v>0</v>
      </c>
      <c r="I1389" s="120">
        <v>0</v>
      </c>
      <c r="J1389" s="120">
        <v>0</v>
      </c>
      <c r="K1389" s="110">
        <v>0</v>
      </c>
      <c r="L1389" s="110"/>
      <c r="M1389" s="110">
        <v>0</v>
      </c>
      <c r="N1389" s="110"/>
      <c r="O1389" s="110"/>
      <c r="P1389" s="110">
        <f t="shared" si="123"/>
        <v>0</v>
      </c>
      <c r="Q1389" s="110">
        <f t="shared" si="124"/>
        <v>0</v>
      </c>
      <c r="R1389" s="110">
        <f t="shared" si="125"/>
        <v>0</v>
      </c>
      <c r="S1389" s="112">
        <v>0</v>
      </c>
    </row>
    <row r="1390" spans="1:19">
      <c r="A1390" s="79"/>
      <c r="B1390" s="77" t="s">
        <v>14</v>
      </c>
      <c r="C1390" s="76" t="s">
        <v>4</v>
      </c>
      <c r="D1390" s="143">
        <v>6</v>
      </c>
      <c r="E1390" s="77"/>
      <c r="F1390" s="334"/>
      <c r="G1390" s="112">
        <v>0</v>
      </c>
      <c r="H1390" s="120">
        <v>0</v>
      </c>
      <c r="I1390" s="120">
        <v>0</v>
      </c>
      <c r="J1390" s="120">
        <v>0</v>
      </c>
      <c r="K1390" s="110">
        <v>0</v>
      </c>
      <c r="L1390" s="110"/>
      <c r="M1390" s="110">
        <v>0</v>
      </c>
      <c r="N1390" s="110"/>
      <c r="O1390" s="110"/>
      <c r="P1390" s="110">
        <f t="shared" si="123"/>
        <v>0</v>
      </c>
      <c r="Q1390" s="110">
        <f t="shared" si="124"/>
        <v>0</v>
      </c>
      <c r="R1390" s="110">
        <f t="shared" si="125"/>
        <v>0</v>
      </c>
      <c r="S1390" s="112">
        <v>0</v>
      </c>
    </row>
    <row r="1391" spans="1:19">
      <c r="A1391" s="79"/>
      <c r="B1391" s="77" t="s">
        <v>153</v>
      </c>
      <c r="C1391" s="76" t="s">
        <v>4</v>
      </c>
      <c r="D1391" s="143">
        <v>6</v>
      </c>
      <c r="E1391" s="77"/>
      <c r="F1391" s="334"/>
      <c r="G1391" s="112">
        <v>0</v>
      </c>
      <c r="H1391" s="120">
        <v>0</v>
      </c>
      <c r="I1391" s="120">
        <v>0</v>
      </c>
      <c r="J1391" s="120">
        <v>0</v>
      </c>
      <c r="K1391" s="110">
        <v>0</v>
      </c>
      <c r="L1391" s="110"/>
      <c r="M1391" s="110">
        <v>0</v>
      </c>
      <c r="N1391" s="110"/>
      <c r="O1391" s="110"/>
      <c r="P1391" s="110">
        <f t="shared" si="123"/>
        <v>0</v>
      </c>
      <c r="Q1391" s="110">
        <f t="shared" si="124"/>
        <v>0</v>
      </c>
      <c r="R1391" s="110">
        <f t="shared" si="125"/>
        <v>0</v>
      </c>
      <c r="S1391" s="112">
        <v>0</v>
      </c>
    </row>
    <row r="1392" spans="1:19">
      <c r="A1392" s="79"/>
      <c r="B1392" s="77" t="s">
        <v>154</v>
      </c>
      <c r="C1392" s="76"/>
      <c r="D1392" s="143"/>
      <c r="E1392" s="77"/>
      <c r="F1392" s="76"/>
      <c r="G1392" s="112">
        <v>0</v>
      </c>
      <c r="H1392" s="120">
        <v>0</v>
      </c>
      <c r="I1392" s="120">
        <v>0</v>
      </c>
      <c r="J1392" s="120">
        <v>0</v>
      </c>
      <c r="K1392" s="110">
        <v>0</v>
      </c>
      <c r="L1392" s="110"/>
      <c r="M1392" s="110">
        <v>0</v>
      </c>
      <c r="N1392" s="110"/>
      <c r="O1392" s="110"/>
      <c r="P1392" s="110">
        <f t="shared" si="123"/>
        <v>0</v>
      </c>
      <c r="Q1392" s="110">
        <f t="shared" si="124"/>
        <v>0</v>
      </c>
      <c r="R1392" s="110">
        <f t="shared" si="125"/>
        <v>0</v>
      </c>
      <c r="S1392" s="112">
        <v>0</v>
      </c>
    </row>
    <row r="1393" spans="1:19">
      <c r="A1393" s="79"/>
      <c r="B1393" s="77" t="s">
        <v>372</v>
      </c>
      <c r="C1393" s="76" t="s">
        <v>4</v>
      </c>
      <c r="D1393" s="143">
        <v>1</v>
      </c>
      <c r="E1393" s="77"/>
      <c r="F1393" s="334"/>
      <c r="G1393" s="112">
        <v>0</v>
      </c>
      <c r="H1393" s="120">
        <v>0</v>
      </c>
      <c r="I1393" s="120">
        <v>0</v>
      </c>
      <c r="J1393" s="120">
        <v>0</v>
      </c>
      <c r="K1393" s="110">
        <v>0</v>
      </c>
      <c r="L1393" s="110"/>
      <c r="M1393" s="110">
        <v>0</v>
      </c>
      <c r="N1393" s="110"/>
      <c r="O1393" s="110"/>
      <c r="P1393" s="110">
        <f t="shared" ref="P1393:P1456" si="126">+K1393+L1393+M1393+N1393+O1393</f>
        <v>0</v>
      </c>
      <c r="Q1393" s="110">
        <f t="shared" ref="Q1393:Q1456" si="127">+P1393*D1393</f>
        <v>0</v>
      </c>
      <c r="R1393" s="110">
        <f t="shared" ref="R1393:R1456" si="128">P1393*F1393</f>
        <v>0</v>
      </c>
      <c r="S1393" s="112">
        <v>0</v>
      </c>
    </row>
    <row r="1394" spans="1:19">
      <c r="A1394" s="79"/>
      <c r="B1394" s="77" t="s">
        <v>373</v>
      </c>
      <c r="C1394" s="76" t="s">
        <v>4</v>
      </c>
      <c r="D1394" s="143">
        <v>1</v>
      </c>
      <c r="E1394" s="77"/>
      <c r="F1394" s="334"/>
      <c r="G1394" s="112">
        <v>0</v>
      </c>
      <c r="H1394" s="120">
        <v>0</v>
      </c>
      <c r="I1394" s="120">
        <v>0</v>
      </c>
      <c r="J1394" s="120">
        <v>0</v>
      </c>
      <c r="K1394" s="110">
        <v>0</v>
      </c>
      <c r="L1394" s="110"/>
      <c r="M1394" s="110">
        <v>0</v>
      </c>
      <c r="N1394" s="110"/>
      <c r="O1394" s="110"/>
      <c r="P1394" s="110">
        <f t="shared" si="126"/>
        <v>0</v>
      </c>
      <c r="Q1394" s="110">
        <f t="shared" si="127"/>
        <v>0</v>
      </c>
      <c r="R1394" s="110">
        <f t="shared" si="128"/>
        <v>0</v>
      </c>
      <c r="S1394" s="112">
        <v>0</v>
      </c>
    </row>
    <row r="1395" spans="1:19">
      <c r="A1395" s="79"/>
      <c r="B1395" s="77" t="s">
        <v>311</v>
      </c>
      <c r="C1395" s="76" t="s">
        <v>4</v>
      </c>
      <c r="D1395" s="143">
        <v>1</v>
      </c>
      <c r="E1395" s="77"/>
      <c r="F1395" s="334"/>
      <c r="G1395" s="112">
        <v>0</v>
      </c>
      <c r="H1395" s="120">
        <v>0</v>
      </c>
      <c r="I1395" s="120">
        <v>0</v>
      </c>
      <c r="J1395" s="120">
        <v>0</v>
      </c>
      <c r="K1395" s="110">
        <v>0</v>
      </c>
      <c r="L1395" s="110"/>
      <c r="M1395" s="110">
        <v>0</v>
      </c>
      <c r="N1395" s="110"/>
      <c r="O1395" s="110"/>
      <c r="P1395" s="110">
        <f t="shared" si="126"/>
        <v>0</v>
      </c>
      <c r="Q1395" s="110">
        <f t="shared" si="127"/>
        <v>0</v>
      </c>
      <c r="R1395" s="110">
        <f t="shared" si="128"/>
        <v>0</v>
      </c>
      <c r="S1395" s="112">
        <v>0</v>
      </c>
    </row>
    <row r="1396" spans="1:19">
      <c r="A1396" s="79"/>
      <c r="B1396" s="77" t="s">
        <v>242</v>
      </c>
      <c r="C1396" s="76" t="s">
        <v>4</v>
      </c>
      <c r="D1396" s="143">
        <v>1</v>
      </c>
      <c r="E1396" s="77"/>
      <c r="F1396" s="334"/>
      <c r="G1396" s="112">
        <v>0</v>
      </c>
      <c r="H1396" s="120">
        <v>0</v>
      </c>
      <c r="I1396" s="120">
        <v>0</v>
      </c>
      <c r="J1396" s="120">
        <v>0</v>
      </c>
      <c r="K1396" s="110">
        <v>0</v>
      </c>
      <c r="L1396" s="110"/>
      <c r="M1396" s="110">
        <v>0</v>
      </c>
      <c r="N1396" s="110"/>
      <c r="O1396" s="110"/>
      <c r="P1396" s="110">
        <f t="shared" si="126"/>
        <v>0</v>
      </c>
      <c r="Q1396" s="110">
        <f t="shared" si="127"/>
        <v>0</v>
      </c>
      <c r="R1396" s="110">
        <f t="shared" si="128"/>
        <v>0</v>
      </c>
      <c r="S1396" s="112">
        <v>0</v>
      </c>
    </row>
    <row r="1397" spans="1:19" ht="30">
      <c r="A1397" s="79"/>
      <c r="B1397" s="77" t="s">
        <v>374</v>
      </c>
      <c r="C1397" s="76" t="s">
        <v>8</v>
      </c>
      <c r="D1397" s="143">
        <v>1</v>
      </c>
      <c r="E1397" s="77"/>
      <c r="F1397" s="334"/>
      <c r="G1397" s="112">
        <v>0</v>
      </c>
      <c r="H1397" s="120">
        <v>0</v>
      </c>
      <c r="I1397" s="120">
        <v>0</v>
      </c>
      <c r="J1397" s="120">
        <v>0</v>
      </c>
      <c r="K1397" s="110">
        <v>0</v>
      </c>
      <c r="L1397" s="110"/>
      <c r="M1397" s="110">
        <v>0</v>
      </c>
      <c r="N1397" s="110"/>
      <c r="O1397" s="110"/>
      <c r="P1397" s="110">
        <f t="shared" si="126"/>
        <v>0</v>
      </c>
      <c r="Q1397" s="110">
        <f t="shared" si="127"/>
        <v>0</v>
      </c>
      <c r="R1397" s="110">
        <f t="shared" si="128"/>
        <v>0</v>
      </c>
      <c r="S1397" s="112">
        <v>0</v>
      </c>
    </row>
    <row r="1398" spans="1:19">
      <c r="A1398" s="79"/>
      <c r="B1398" s="77" t="s">
        <v>207</v>
      </c>
      <c r="C1398" s="76" t="s">
        <v>8</v>
      </c>
      <c r="D1398" s="143">
        <v>1</v>
      </c>
      <c r="E1398" s="77"/>
      <c r="F1398" s="334"/>
      <c r="G1398" s="112">
        <v>0</v>
      </c>
      <c r="H1398" s="120">
        <v>0</v>
      </c>
      <c r="I1398" s="120">
        <v>0</v>
      </c>
      <c r="J1398" s="120">
        <v>0</v>
      </c>
      <c r="K1398" s="110">
        <v>0</v>
      </c>
      <c r="L1398" s="110"/>
      <c r="M1398" s="110">
        <v>0</v>
      </c>
      <c r="N1398" s="110"/>
      <c r="O1398" s="110"/>
      <c r="P1398" s="110">
        <f t="shared" si="126"/>
        <v>0</v>
      </c>
      <c r="Q1398" s="110">
        <f t="shared" si="127"/>
        <v>0</v>
      </c>
      <c r="R1398" s="110">
        <f t="shared" si="128"/>
        <v>0</v>
      </c>
      <c r="S1398" s="112">
        <v>0</v>
      </c>
    </row>
    <row r="1399" spans="1:19" ht="45">
      <c r="A1399" s="79"/>
      <c r="B1399" s="77" t="s">
        <v>166</v>
      </c>
      <c r="C1399" s="76" t="s">
        <v>17</v>
      </c>
      <c r="D1399" s="143">
        <v>1</v>
      </c>
      <c r="E1399" s="77"/>
      <c r="F1399" s="334"/>
      <c r="G1399" s="112">
        <v>0</v>
      </c>
      <c r="H1399" s="120">
        <v>0</v>
      </c>
      <c r="I1399" s="120">
        <v>0</v>
      </c>
      <c r="J1399" s="120">
        <v>0</v>
      </c>
      <c r="K1399" s="110">
        <v>0</v>
      </c>
      <c r="L1399" s="110"/>
      <c r="M1399" s="110">
        <v>0</v>
      </c>
      <c r="N1399" s="110"/>
      <c r="O1399" s="110"/>
      <c r="P1399" s="110">
        <f t="shared" si="126"/>
        <v>0</v>
      </c>
      <c r="Q1399" s="110">
        <f t="shared" si="127"/>
        <v>0</v>
      </c>
      <c r="R1399" s="110">
        <f t="shared" si="128"/>
        <v>0</v>
      </c>
      <c r="S1399" s="112">
        <v>0</v>
      </c>
    </row>
    <row r="1400" spans="1:19" ht="60">
      <c r="A1400" s="79">
        <v>48</v>
      </c>
      <c r="B1400" s="77" t="s">
        <v>375</v>
      </c>
      <c r="C1400" s="76" t="s">
        <v>6</v>
      </c>
      <c r="D1400" s="143">
        <v>1</v>
      </c>
      <c r="E1400" s="77"/>
      <c r="F1400" s="334">
        <v>1</v>
      </c>
      <c r="G1400" s="112" t="s">
        <v>854</v>
      </c>
      <c r="H1400" s="120" t="s">
        <v>1076</v>
      </c>
      <c r="I1400" s="120" t="s">
        <v>828</v>
      </c>
      <c r="J1400" s="120" t="s">
        <v>829</v>
      </c>
      <c r="K1400" s="110">
        <v>15690700</v>
      </c>
      <c r="L1400" s="110"/>
      <c r="M1400" s="110">
        <v>2821000</v>
      </c>
      <c r="N1400" s="110"/>
      <c r="O1400" s="110"/>
      <c r="P1400" s="110">
        <f t="shared" si="126"/>
        <v>18511700</v>
      </c>
      <c r="Q1400" s="110">
        <f t="shared" si="127"/>
        <v>18511700</v>
      </c>
      <c r="R1400" s="110">
        <f t="shared" si="128"/>
        <v>18511700</v>
      </c>
      <c r="S1400" s="112" t="s">
        <v>4094</v>
      </c>
    </row>
    <row r="1401" spans="1:19" ht="45">
      <c r="A1401" s="79"/>
      <c r="B1401" s="77" t="s">
        <v>225</v>
      </c>
      <c r="C1401" s="76" t="s">
        <v>4</v>
      </c>
      <c r="D1401" s="143">
        <v>1</v>
      </c>
      <c r="E1401" s="77"/>
      <c r="F1401" s="334"/>
      <c r="G1401" s="112">
        <v>0</v>
      </c>
      <c r="H1401" s="120">
        <v>0</v>
      </c>
      <c r="I1401" s="120">
        <v>0</v>
      </c>
      <c r="J1401" s="120">
        <v>0</v>
      </c>
      <c r="K1401" s="110">
        <v>0</v>
      </c>
      <c r="L1401" s="110"/>
      <c r="M1401" s="110">
        <v>0</v>
      </c>
      <c r="N1401" s="110"/>
      <c r="O1401" s="110"/>
      <c r="P1401" s="110">
        <f t="shared" si="126"/>
        <v>0</v>
      </c>
      <c r="Q1401" s="110">
        <f t="shared" si="127"/>
        <v>0</v>
      </c>
      <c r="R1401" s="110">
        <f t="shared" si="128"/>
        <v>0</v>
      </c>
      <c r="S1401" s="112" t="s">
        <v>150</v>
      </c>
    </row>
    <row r="1402" spans="1:19">
      <c r="A1402" s="79"/>
      <c r="B1402" s="77" t="s">
        <v>151</v>
      </c>
      <c r="C1402" s="76"/>
      <c r="D1402" s="143"/>
      <c r="E1402" s="77"/>
      <c r="F1402" s="76"/>
      <c r="G1402" s="112">
        <v>0</v>
      </c>
      <c r="H1402" s="120">
        <v>0</v>
      </c>
      <c r="I1402" s="120">
        <v>0</v>
      </c>
      <c r="J1402" s="120">
        <v>0</v>
      </c>
      <c r="K1402" s="110">
        <v>0</v>
      </c>
      <c r="L1402" s="110"/>
      <c r="M1402" s="110">
        <v>0</v>
      </c>
      <c r="N1402" s="110"/>
      <c r="O1402" s="110"/>
      <c r="P1402" s="110">
        <f t="shared" si="126"/>
        <v>0</v>
      </c>
      <c r="Q1402" s="110">
        <f t="shared" si="127"/>
        <v>0</v>
      </c>
      <c r="R1402" s="110">
        <f t="shared" si="128"/>
        <v>0</v>
      </c>
      <c r="S1402" s="112">
        <v>0</v>
      </c>
    </row>
    <row r="1403" spans="1:19">
      <c r="A1403" s="79"/>
      <c r="B1403" s="77" t="s">
        <v>376</v>
      </c>
      <c r="C1403" s="76" t="s">
        <v>4</v>
      </c>
      <c r="D1403" s="143">
        <v>1</v>
      </c>
      <c r="E1403" s="77"/>
      <c r="F1403" s="334"/>
      <c r="G1403" s="112">
        <v>0</v>
      </c>
      <c r="H1403" s="120">
        <v>0</v>
      </c>
      <c r="I1403" s="120">
        <v>0</v>
      </c>
      <c r="J1403" s="120">
        <v>0</v>
      </c>
      <c r="K1403" s="110">
        <v>0</v>
      </c>
      <c r="L1403" s="110"/>
      <c r="M1403" s="110">
        <v>0</v>
      </c>
      <c r="N1403" s="110"/>
      <c r="O1403" s="110"/>
      <c r="P1403" s="110">
        <f t="shared" si="126"/>
        <v>0</v>
      </c>
      <c r="Q1403" s="110">
        <f t="shared" si="127"/>
        <v>0</v>
      </c>
      <c r="R1403" s="110">
        <f t="shared" si="128"/>
        <v>0</v>
      </c>
      <c r="S1403" s="112">
        <v>0</v>
      </c>
    </row>
    <row r="1404" spans="1:19">
      <c r="A1404" s="79"/>
      <c r="B1404" s="77" t="s">
        <v>14</v>
      </c>
      <c r="C1404" s="76" t="s">
        <v>4</v>
      </c>
      <c r="D1404" s="143">
        <v>3</v>
      </c>
      <c r="E1404" s="77"/>
      <c r="F1404" s="334"/>
      <c r="G1404" s="112">
        <v>0</v>
      </c>
      <c r="H1404" s="120">
        <v>0</v>
      </c>
      <c r="I1404" s="120">
        <v>0</v>
      </c>
      <c r="J1404" s="120">
        <v>0</v>
      </c>
      <c r="K1404" s="110">
        <v>0</v>
      </c>
      <c r="L1404" s="110"/>
      <c r="M1404" s="110">
        <v>0</v>
      </c>
      <c r="N1404" s="110"/>
      <c r="O1404" s="110"/>
      <c r="P1404" s="110">
        <f t="shared" si="126"/>
        <v>0</v>
      </c>
      <c r="Q1404" s="110">
        <f t="shared" si="127"/>
        <v>0</v>
      </c>
      <c r="R1404" s="110">
        <f t="shared" si="128"/>
        <v>0</v>
      </c>
      <c r="S1404" s="112">
        <v>0</v>
      </c>
    </row>
    <row r="1405" spans="1:19">
      <c r="A1405" s="79"/>
      <c r="B1405" s="77" t="s">
        <v>153</v>
      </c>
      <c r="C1405" s="76" t="s">
        <v>4</v>
      </c>
      <c r="D1405" s="143">
        <v>3</v>
      </c>
      <c r="E1405" s="77"/>
      <c r="F1405" s="334"/>
      <c r="G1405" s="112">
        <v>0</v>
      </c>
      <c r="H1405" s="120">
        <v>0</v>
      </c>
      <c r="I1405" s="120">
        <v>0</v>
      </c>
      <c r="J1405" s="120">
        <v>0</v>
      </c>
      <c r="K1405" s="110">
        <v>0</v>
      </c>
      <c r="L1405" s="110"/>
      <c r="M1405" s="110">
        <v>0</v>
      </c>
      <c r="N1405" s="110"/>
      <c r="O1405" s="110"/>
      <c r="P1405" s="110">
        <f t="shared" si="126"/>
        <v>0</v>
      </c>
      <c r="Q1405" s="110">
        <f t="shared" si="127"/>
        <v>0</v>
      </c>
      <c r="R1405" s="110">
        <f t="shared" si="128"/>
        <v>0</v>
      </c>
      <c r="S1405" s="112">
        <v>0</v>
      </c>
    </row>
    <row r="1406" spans="1:19">
      <c r="A1406" s="79"/>
      <c r="B1406" s="77" t="s">
        <v>154</v>
      </c>
      <c r="C1406" s="76"/>
      <c r="D1406" s="143"/>
      <c r="E1406" s="77"/>
      <c r="F1406" s="76"/>
      <c r="G1406" s="112">
        <v>0</v>
      </c>
      <c r="H1406" s="120">
        <v>0</v>
      </c>
      <c r="I1406" s="120">
        <v>0</v>
      </c>
      <c r="J1406" s="120">
        <v>0</v>
      </c>
      <c r="K1406" s="110">
        <v>0</v>
      </c>
      <c r="L1406" s="110"/>
      <c r="M1406" s="110">
        <v>0</v>
      </c>
      <c r="N1406" s="110"/>
      <c r="O1406" s="110"/>
      <c r="P1406" s="110">
        <f t="shared" si="126"/>
        <v>0</v>
      </c>
      <c r="Q1406" s="110">
        <f t="shared" si="127"/>
        <v>0</v>
      </c>
      <c r="R1406" s="110">
        <f t="shared" si="128"/>
        <v>0</v>
      </c>
      <c r="S1406" s="112">
        <v>0</v>
      </c>
    </row>
    <row r="1407" spans="1:19">
      <c r="A1407" s="79"/>
      <c r="B1407" s="77" t="s">
        <v>377</v>
      </c>
      <c r="C1407" s="76" t="s">
        <v>4</v>
      </c>
      <c r="D1407" s="143">
        <v>1</v>
      </c>
      <c r="E1407" s="77"/>
      <c r="F1407" s="334"/>
      <c r="G1407" s="112">
        <v>0</v>
      </c>
      <c r="H1407" s="120">
        <v>0</v>
      </c>
      <c r="I1407" s="120">
        <v>0</v>
      </c>
      <c r="J1407" s="120">
        <v>0</v>
      </c>
      <c r="K1407" s="110">
        <v>0</v>
      </c>
      <c r="L1407" s="110"/>
      <c r="M1407" s="110">
        <v>0</v>
      </c>
      <c r="N1407" s="110"/>
      <c r="O1407" s="110"/>
      <c r="P1407" s="110">
        <f t="shared" si="126"/>
        <v>0</v>
      </c>
      <c r="Q1407" s="110">
        <f t="shared" si="127"/>
        <v>0</v>
      </c>
      <c r="R1407" s="110">
        <f t="shared" si="128"/>
        <v>0</v>
      </c>
      <c r="S1407" s="112">
        <v>0</v>
      </c>
    </row>
    <row r="1408" spans="1:19">
      <c r="A1408" s="79"/>
      <c r="B1408" s="77" t="s">
        <v>378</v>
      </c>
      <c r="C1408" s="76" t="s">
        <v>4</v>
      </c>
      <c r="D1408" s="143">
        <v>1</v>
      </c>
      <c r="E1408" s="77"/>
      <c r="F1408" s="334"/>
      <c r="G1408" s="112">
        <v>0</v>
      </c>
      <c r="H1408" s="120">
        <v>0</v>
      </c>
      <c r="I1408" s="120">
        <v>0</v>
      </c>
      <c r="J1408" s="120">
        <v>0</v>
      </c>
      <c r="K1408" s="110">
        <v>0</v>
      </c>
      <c r="L1408" s="110"/>
      <c r="M1408" s="110">
        <v>0</v>
      </c>
      <c r="N1408" s="110"/>
      <c r="O1408" s="110"/>
      <c r="P1408" s="110">
        <f t="shared" si="126"/>
        <v>0</v>
      </c>
      <c r="Q1408" s="110">
        <f t="shared" si="127"/>
        <v>0</v>
      </c>
      <c r="R1408" s="110">
        <f t="shared" si="128"/>
        <v>0</v>
      </c>
      <c r="S1408" s="112">
        <v>0</v>
      </c>
    </row>
    <row r="1409" spans="1:19" ht="30">
      <c r="A1409" s="79"/>
      <c r="B1409" s="77" t="s">
        <v>357</v>
      </c>
      <c r="C1409" s="76" t="s">
        <v>8</v>
      </c>
      <c r="D1409" s="143">
        <v>1</v>
      </c>
      <c r="E1409" s="77"/>
      <c r="F1409" s="334"/>
      <c r="G1409" s="112">
        <v>0</v>
      </c>
      <c r="H1409" s="120">
        <v>0</v>
      </c>
      <c r="I1409" s="120">
        <v>0</v>
      </c>
      <c r="J1409" s="120">
        <v>0</v>
      </c>
      <c r="K1409" s="110">
        <v>0</v>
      </c>
      <c r="L1409" s="110"/>
      <c r="M1409" s="110">
        <v>0</v>
      </c>
      <c r="N1409" s="110"/>
      <c r="O1409" s="110"/>
      <c r="P1409" s="110">
        <f t="shared" si="126"/>
        <v>0</v>
      </c>
      <c r="Q1409" s="110">
        <f t="shared" si="127"/>
        <v>0</v>
      </c>
      <c r="R1409" s="110">
        <f t="shared" si="128"/>
        <v>0</v>
      </c>
      <c r="S1409" s="112">
        <v>0</v>
      </c>
    </row>
    <row r="1410" spans="1:19">
      <c r="A1410" s="79"/>
      <c r="B1410" s="77" t="s">
        <v>207</v>
      </c>
      <c r="C1410" s="76" t="s">
        <v>8</v>
      </c>
      <c r="D1410" s="143">
        <v>1</v>
      </c>
      <c r="E1410" s="77"/>
      <c r="F1410" s="334"/>
      <c r="G1410" s="112">
        <v>0</v>
      </c>
      <c r="H1410" s="120">
        <v>0</v>
      </c>
      <c r="I1410" s="120">
        <v>0</v>
      </c>
      <c r="J1410" s="120">
        <v>0</v>
      </c>
      <c r="K1410" s="110">
        <v>0</v>
      </c>
      <c r="L1410" s="110"/>
      <c r="M1410" s="110">
        <v>0</v>
      </c>
      <c r="N1410" s="110"/>
      <c r="O1410" s="110"/>
      <c r="P1410" s="110">
        <f t="shared" si="126"/>
        <v>0</v>
      </c>
      <c r="Q1410" s="110">
        <f t="shared" si="127"/>
        <v>0</v>
      </c>
      <c r="R1410" s="110">
        <f t="shared" si="128"/>
        <v>0</v>
      </c>
      <c r="S1410" s="112">
        <v>0</v>
      </c>
    </row>
    <row r="1411" spans="1:19" ht="45">
      <c r="A1411" s="79"/>
      <c r="B1411" s="77" t="s">
        <v>166</v>
      </c>
      <c r="C1411" s="76" t="s">
        <v>17</v>
      </c>
      <c r="D1411" s="143">
        <v>1</v>
      </c>
      <c r="E1411" s="77"/>
      <c r="F1411" s="334"/>
      <c r="G1411" s="112">
        <v>0</v>
      </c>
      <c r="H1411" s="120">
        <v>0</v>
      </c>
      <c r="I1411" s="120">
        <v>0</v>
      </c>
      <c r="J1411" s="120">
        <v>0</v>
      </c>
      <c r="K1411" s="110">
        <v>0</v>
      </c>
      <c r="L1411" s="110"/>
      <c r="M1411" s="110">
        <v>0</v>
      </c>
      <c r="N1411" s="110"/>
      <c r="O1411" s="110"/>
      <c r="P1411" s="110">
        <f t="shared" si="126"/>
        <v>0</v>
      </c>
      <c r="Q1411" s="110">
        <f t="shared" si="127"/>
        <v>0</v>
      </c>
      <c r="R1411" s="110">
        <f t="shared" si="128"/>
        <v>0</v>
      </c>
      <c r="S1411" s="112">
        <v>0</v>
      </c>
    </row>
    <row r="1412" spans="1:19" ht="60">
      <c r="A1412" s="79">
        <v>49</v>
      </c>
      <c r="B1412" s="77" t="s">
        <v>379</v>
      </c>
      <c r="C1412" s="76" t="s">
        <v>6</v>
      </c>
      <c r="D1412" s="143">
        <v>1</v>
      </c>
      <c r="E1412" s="77"/>
      <c r="F1412" s="334">
        <v>1</v>
      </c>
      <c r="G1412" s="112" t="s">
        <v>855</v>
      </c>
      <c r="H1412" s="120" t="s">
        <v>1076</v>
      </c>
      <c r="I1412" s="120" t="s">
        <v>828</v>
      </c>
      <c r="J1412" s="120" t="s">
        <v>829</v>
      </c>
      <c r="K1412" s="110">
        <v>53067400</v>
      </c>
      <c r="L1412" s="110"/>
      <c r="M1412" s="110">
        <v>3828500</v>
      </c>
      <c r="N1412" s="110"/>
      <c r="O1412" s="110"/>
      <c r="P1412" s="110">
        <f t="shared" si="126"/>
        <v>56895900</v>
      </c>
      <c r="Q1412" s="110">
        <f t="shared" si="127"/>
        <v>56895900</v>
      </c>
      <c r="R1412" s="110">
        <f t="shared" si="128"/>
        <v>56895900</v>
      </c>
      <c r="S1412" s="112" t="s">
        <v>4094</v>
      </c>
    </row>
    <row r="1413" spans="1:19" ht="45">
      <c r="A1413" s="79"/>
      <c r="B1413" s="77" t="s">
        <v>336</v>
      </c>
      <c r="C1413" s="76" t="s">
        <v>4</v>
      </c>
      <c r="D1413" s="143">
        <v>1</v>
      </c>
      <c r="E1413" s="77"/>
      <c r="F1413" s="334"/>
      <c r="G1413" s="112">
        <v>0</v>
      </c>
      <c r="H1413" s="120">
        <v>0</v>
      </c>
      <c r="I1413" s="120">
        <v>0</v>
      </c>
      <c r="J1413" s="120">
        <v>0</v>
      </c>
      <c r="K1413" s="110">
        <v>0</v>
      </c>
      <c r="L1413" s="110"/>
      <c r="M1413" s="110">
        <v>0</v>
      </c>
      <c r="N1413" s="110"/>
      <c r="O1413" s="110"/>
      <c r="P1413" s="110">
        <f t="shared" si="126"/>
        <v>0</v>
      </c>
      <c r="Q1413" s="110">
        <f t="shared" si="127"/>
        <v>0</v>
      </c>
      <c r="R1413" s="110">
        <f t="shared" si="128"/>
        <v>0</v>
      </c>
      <c r="S1413" s="112" t="s">
        <v>150</v>
      </c>
    </row>
    <row r="1414" spans="1:19">
      <c r="A1414" s="79"/>
      <c r="B1414" s="77" t="s">
        <v>151</v>
      </c>
      <c r="C1414" s="76"/>
      <c r="D1414" s="143"/>
      <c r="E1414" s="59"/>
      <c r="F1414" s="329"/>
      <c r="G1414" s="112">
        <v>0</v>
      </c>
      <c r="H1414" s="120">
        <v>0</v>
      </c>
      <c r="I1414" s="120">
        <v>0</v>
      </c>
      <c r="J1414" s="120">
        <v>0</v>
      </c>
      <c r="K1414" s="110">
        <v>0</v>
      </c>
      <c r="L1414" s="110"/>
      <c r="M1414" s="110">
        <v>0</v>
      </c>
      <c r="N1414" s="110"/>
      <c r="O1414" s="110"/>
      <c r="P1414" s="110">
        <f t="shared" si="126"/>
        <v>0</v>
      </c>
      <c r="Q1414" s="110">
        <f t="shared" si="127"/>
        <v>0</v>
      </c>
      <c r="R1414" s="110">
        <f t="shared" si="128"/>
        <v>0</v>
      </c>
      <c r="S1414" s="112">
        <v>0</v>
      </c>
    </row>
    <row r="1415" spans="1:19">
      <c r="A1415" s="79"/>
      <c r="B1415" s="77" t="s">
        <v>380</v>
      </c>
      <c r="C1415" s="76" t="s">
        <v>4</v>
      </c>
      <c r="D1415" s="143">
        <v>1</v>
      </c>
      <c r="E1415" s="77"/>
      <c r="F1415" s="334"/>
      <c r="G1415" s="112">
        <v>0</v>
      </c>
      <c r="H1415" s="120">
        <v>0</v>
      </c>
      <c r="I1415" s="120">
        <v>0</v>
      </c>
      <c r="J1415" s="120">
        <v>0</v>
      </c>
      <c r="K1415" s="110">
        <v>0</v>
      </c>
      <c r="L1415" s="110"/>
      <c r="M1415" s="110">
        <v>0</v>
      </c>
      <c r="N1415" s="110"/>
      <c r="O1415" s="110"/>
      <c r="P1415" s="110">
        <f t="shared" si="126"/>
        <v>0</v>
      </c>
      <c r="Q1415" s="110">
        <f t="shared" si="127"/>
        <v>0</v>
      </c>
      <c r="R1415" s="110">
        <f t="shared" si="128"/>
        <v>0</v>
      </c>
      <c r="S1415" s="112">
        <v>0</v>
      </c>
    </row>
    <row r="1416" spans="1:19">
      <c r="A1416" s="79"/>
      <c r="B1416" s="77" t="s">
        <v>381</v>
      </c>
      <c r="C1416" s="76" t="s">
        <v>12</v>
      </c>
      <c r="D1416" s="143">
        <v>3</v>
      </c>
      <c r="E1416" s="77"/>
      <c r="F1416" s="334"/>
      <c r="G1416" s="112">
        <v>0</v>
      </c>
      <c r="H1416" s="120">
        <v>0</v>
      </c>
      <c r="I1416" s="120">
        <v>0</v>
      </c>
      <c r="J1416" s="120">
        <v>0</v>
      </c>
      <c r="K1416" s="110">
        <v>0</v>
      </c>
      <c r="L1416" s="110"/>
      <c r="M1416" s="110">
        <v>0</v>
      </c>
      <c r="N1416" s="110"/>
      <c r="O1416" s="110"/>
      <c r="P1416" s="110">
        <f t="shared" si="126"/>
        <v>0</v>
      </c>
      <c r="Q1416" s="110">
        <f t="shared" si="127"/>
        <v>0</v>
      </c>
      <c r="R1416" s="110">
        <f t="shared" si="128"/>
        <v>0</v>
      </c>
      <c r="S1416" s="112">
        <v>0</v>
      </c>
    </row>
    <row r="1417" spans="1:19">
      <c r="A1417" s="79"/>
      <c r="B1417" s="77" t="s">
        <v>29</v>
      </c>
      <c r="C1417" s="76" t="s">
        <v>4</v>
      </c>
      <c r="D1417" s="143">
        <v>1</v>
      </c>
      <c r="E1417" s="77"/>
      <c r="F1417" s="334"/>
      <c r="G1417" s="112">
        <v>0</v>
      </c>
      <c r="H1417" s="120">
        <v>0</v>
      </c>
      <c r="I1417" s="120">
        <v>0</v>
      </c>
      <c r="J1417" s="120">
        <v>0</v>
      </c>
      <c r="K1417" s="110">
        <v>0</v>
      </c>
      <c r="L1417" s="110"/>
      <c r="M1417" s="110">
        <v>0</v>
      </c>
      <c r="N1417" s="110"/>
      <c r="O1417" s="110"/>
      <c r="P1417" s="110">
        <f t="shared" si="126"/>
        <v>0</v>
      </c>
      <c r="Q1417" s="110">
        <f t="shared" si="127"/>
        <v>0</v>
      </c>
      <c r="R1417" s="110">
        <f t="shared" si="128"/>
        <v>0</v>
      </c>
      <c r="S1417" s="112">
        <v>0</v>
      </c>
    </row>
    <row r="1418" spans="1:19">
      <c r="A1418" s="79"/>
      <c r="B1418" s="77" t="s">
        <v>30</v>
      </c>
      <c r="C1418" s="76" t="s">
        <v>4</v>
      </c>
      <c r="D1418" s="143">
        <v>1</v>
      </c>
      <c r="E1418" s="77"/>
      <c r="F1418" s="334"/>
      <c r="G1418" s="112">
        <v>0</v>
      </c>
      <c r="H1418" s="120">
        <v>0</v>
      </c>
      <c r="I1418" s="120">
        <v>0</v>
      </c>
      <c r="J1418" s="120">
        <v>0</v>
      </c>
      <c r="K1418" s="110">
        <v>0</v>
      </c>
      <c r="L1418" s="110"/>
      <c r="M1418" s="110">
        <v>0</v>
      </c>
      <c r="N1418" s="110"/>
      <c r="O1418" s="110"/>
      <c r="P1418" s="110">
        <f t="shared" si="126"/>
        <v>0</v>
      </c>
      <c r="Q1418" s="110">
        <f t="shared" si="127"/>
        <v>0</v>
      </c>
      <c r="R1418" s="110">
        <f t="shared" si="128"/>
        <v>0</v>
      </c>
      <c r="S1418" s="112">
        <v>0</v>
      </c>
    </row>
    <row r="1419" spans="1:19">
      <c r="A1419" s="79"/>
      <c r="B1419" s="77" t="s">
        <v>382</v>
      </c>
      <c r="C1419" s="76" t="s">
        <v>4</v>
      </c>
      <c r="D1419" s="143">
        <v>3</v>
      </c>
      <c r="E1419" s="77"/>
      <c r="F1419" s="334"/>
      <c r="G1419" s="112">
        <v>0</v>
      </c>
      <c r="H1419" s="120">
        <v>0</v>
      </c>
      <c r="I1419" s="120">
        <v>0</v>
      </c>
      <c r="J1419" s="120">
        <v>0</v>
      </c>
      <c r="K1419" s="110">
        <v>0</v>
      </c>
      <c r="L1419" s="110"/>
      <c r="M1419" s="110">
        <v>0</v>
      </c>
      <c r="N1419" s="110"/>
      <c r="O1419" s="110"/>
      <c r="P1419" s="110">
        <f t="shared" si="126"/>
        <v>0</v>
      </c>
      <c r="Q1419" s="110">
        <f t="shared" si="127"/>
        <v>0</v>
      </c>
      <c r="R1419" s="110">
        <f t="shared" si="128"/>
        <v>0</v>
      </c>
      <c r="S1419" s="112">
        <v>0</v>
      </c>
    </row>
    <row r="1420" spans="1:19">
      <c r="A1420" s="79"/>
      <c r="B1420" s="77" t="s">
        <v>14</v>
      </c>
      <c r="C1420" s="76" t="s">
        <v>4</v>
      </c>
      <c r="D1420" s="143">
        <v>3</v>
      </c>
      <c r="E1420" s="77"/>
      <c r="F1420" s="334"/>
      <c r="G1420" s="112">
        <v>0</v>
      </c>
      <c r="H1420" s="120">
        <v>0</v>
      </c>
      <c r="I1420" s="120">
        <v>0</v>
      </c>
      <c r="J1420" s="120">
        <v>0</v>
      </c>
      <c r="K1420" s="110">
        <v>0</v>
      </c>
      <c r="L1420" s="110"/>
      <c r="M1420" s="110">
        <v>0</v>
      </c>
      <c r="N1420" s="110"/>
      <c r="O1420" s="110"/>
      <c r="P1420" s="110">
        <f t="shared" si="126"/>
        <v>0</v>
      </c>
      <c r="Q1420" s="110">
        <f t="shared" si="127"/>
        <v>0</v>
      </c>
      <c r="R1420" s="110">
        <f t="shared" si="128"/>
        <v>0</v>
      </c>
      <c r="S1420" s="112">
        <v>0</v>
      </c>
    </row>
    <row r="1421" spans="1:19">
      <c r="A1421" s="79"/>
      <c r="B1421" s="77" t="s">
        <v>153</v>
      </c>
      <c r="C1421" s="76" t="s">
        <v>4</v>
      </c>
      <c r="D1421" s="143">
        <v>3</v>
      </c>
      <c r="E1421" s="77"/>
      <c r="F1421" s="334"/>
      <c r="G1421" s="112">
        <v>0</v>
      </c>
      <c r="H1421" s="120">
        <v>0</v>
      </c>
      <c r="I1421" s="120">
        <v>0</v>
      </c>
      <c r="J1421" s="120">
        <v>0</v>
      </c>
      <c r="K1421" s="110">
        <v>0</v>
      </c>
      <c r="L1421" s="110"/>
      <c r="M1421" s="110">
        <v>0</v>
      </c>
      <c r="N1421" s="110"/>
      <c r="O1421" s="110"/>
      <c r="P1421" s="110">
        <f t="shared" si="126"/>
        <v>0</v>
      </c>
      <c r="Q1421" s="110">
        <f t="shared" si="127"/>
        <v>0</v>
      </c>
      <c r="R1421" s="110">
        <f t="shared" si="128"/>
        <v>0</v>
      </c>
      <c r="S1421" s="112">
        <v>0</v>
      </c>
    </row>
    <row r="1422" spans="1:19">
      <c r="A1422" s="79"/>
      <c r="B1422" s="77" t="s">
        <v>154</v>
      </c>
      <c r="C1422" s="76"/>
      <c r="D1422" s="143"/>
      <c r="E1422" s="77"/>
      <c r="F1422" s="76"/>
      <c r="G1422" s="112">
        <v>0</v>
      </c>
      <c r="H1422" s="120">
        <v>0</v>
      </c>
      <c r="I1422" s="120">
        <v>0</v>
      </c>
      <c r="J1422" s="120">
        <v>0</v>
      </c>
      <c r="K1422" s="110">
        <v>0</v>
      </c>
      <c r="L1422" s="110"/>
      <c r="M1422" s="110">
        <v>0</v>
      </c>
      <c r="N1422" s="110"/>
      <c r="O1422" s="110"/>
      <c r="P1422" s="110">
        <f t="shared" si="126"/>
        <v>0</v>
      </c>
      <c r="Q1422" s="110">
        <f t="shared" si="127"/>
        <v>0</v>
      </c>
      <c r="R1422" s="110">
        <f t="shared" si="128"/>
        <v>0</v>
      </c>
      <c r="S1422" s="112">
        <v>0</v>
      </c>
    </row>
    <row r="1423" spans="1:19">
      <c r="A1423" s="79"/>
      <c r="B1423" s="77" t="s">
        <v>199</v>
      </c>
      <c r="C1423" s="76" t="s">
        <v>4</v>
      </c>
      <c r="D1423" s="143">
        <v>2</v>
      </c>
      <c r="E1423" s="77"/>
      <c r="F1423" s="334"/>
      <c r="G1423" s="112">
        <v>0</v>
      </c>
      <c r="H1423" s="120">
        <v>0</v>
      </c>
      <c r="I1423" s="120">
        <v>0</v>
      </c>
      <c r="J1423" s="120">
        <v>0</v>
      </c>
      <c r="K1423" s="110">
        <v>0</v>
      </c>
      <c r="L1423" s="110"/>
      <c r="M1423" s="110">
        <v>0</v>
      </c>
      <c r="N1423" s="110"/>
      <c r="O1423" s="110"/>
      <c r="P1423" s="110">
        <f t="shared" si="126"/>
        <v>0</v>
      </c>
      <c r="Q1423" s="110">
        <f t="shared" si="127"/>
        <v>0</v>
      </c>
      <c r="R1423" s="110">
        <f t="shared" si="128"/>
        <v>0</v>
      </c>
      <c r="S1423" s="112">
        <v>0</v>
      </c>
    </row>
    <row r="1424" spans="1:19">
      <c r="A1424" s="79"/>
      <c r="B1424" s="77" t="s">
        <v>185</v>
      </c>
      <c r="C1424" s="76" t="s">
        <v>4</v>
      </c>
      <c r="D1424" s="143">
        <v>1</v>
      </c>
      <c r="E1424" s="77"/>
      <c r="F1424" s="334"/>
      <c r="G1424" s="112">
        <v>0</v>
      </c>
      <c r="H1424" s="120">
        <v>0</v>
      </c>
      <c r="I1424" s="120">
        <v>0</v>
      </c>
      <c r="J1424" s="120">
        <v>0</v>
      </c>
      <c r="K1424" s="110">
        <v>0</v>
      </c>
      <c r="L1424" s="110"/>
      <c r="M1424" s="110">
        <v>0</v>
      </c>
      <c r="N1424" s="110"/>
      <c r="O1424" s="110"/>
      <c r="P1424" s="110">
        <f t="shared" si="126"/>
        <v>0</v>
      </c>
      <c r="Q1424" s="110">
        <f t="shared" si="127"/>
        <v>0</v>
      </c>
      <c r="R1424" s="110">
        <f t="shared" si="128"/>
        <v>0</v>
      </c>
      <c r="S1424" s="112">
        <v>0</v>
      </c>
    </row>
    <row r="1425" spans="1:19">
      <c r="A1425" s="79"/>
      <c r="B1425" s="77" t="s">
        <v>194</v>
      </c>
      <c r="C1425" s="76" t="s">
        <v>4</v>
      </c>
      <c r="D1425" s="143">
        <v>1</v>
      </c>
      <c r="E1425" s="77"/>
      <c r="F1425" s="334"/>
      <c r="G1425" s="112">
        <v>0</v>
      </c>
      <c r="H1425" s="120">
        <v>0</v>
      </c>
      <c r="I1425" s="120">
        <v>0</v>
      </c>
      <c r="J1425" s="120">
        <v>0</v>
      </c>
      <c r="K1425" s="110">
        <v>0</v>
      </c>
      <c r="L1425" s="110"/>
      <c r="M1425" s="110">
        <v>0</v>
      </c>
      <c r="N1425" s="110"/>
      <c r="O1425" s="110"/>
      <c r="P1425" s="110">
        <f t="shared" si="126"/>
        <v>0</v>
      </c>
      <c r="Q1425" s="110">
        <f t="shared" si="127"/>
        <v>0</v>
      </c>
      <c r="R1425" s="110">
        <f t="shared" si="128"/>
        <v>0</v>
      </c>
      <c r="S1425" s="112">
        <v>0</v>
      </c>
    </row>
    <row r="1426" spans="1:19">
      <c r="A1426" s="79"/>
      <c r="B1426" s="77" t="s">
        <v>251</v>
      </c>
      <c r="C1426" s="76" t="s">
        <v>4</v>
      </c>
      <c r="D1426" s="143">
        <v>2</v>
      </c>
      <c r="E1426" s="77"/>
      <c r="F1426" s="334"/>
      <c r="G1426" s="112">
        <v>0</v>
      </c>
      <c r="H1426" s="120">
        <v>0</v>
      </c>
      <c r="I1426" s="120">
        <v>0</v>
      </c>
      <c r="J1426" s="120">
        <v>0</v>
      </c>
      <c r="K1426" s="110">
        <v>0</v>
      </c>
      <c r="L1426" s="110"/>
      <c r="M1426" s="110">
        <v>0</v>
      </c>
      <c r="N1426" s="110"/>
      <c r="O1426" s="110"/>
      <c r="P1426" s="110">
        <f t="shared" si="126"/>
        <v>0</v>
      </c>
      <c r="Q1426" s="110">
        <f t="shared" si="127"/>
        <v>0</v>
      </c>
      <c r="R1426" s="110">
        <f t="shared" si="128"/>
        <v>0</v>
      </c>
      <c r="S1426" s="112">
        <v>0</v>
      </c>
    </row>
    <row r="1427" spans="1:19">
      <c r="A1427" s="79"/>
      <c r="B1427" s="77" t="s">
        <v>158</v>
      </c>
      <c r="C1427" s="76" t="s">
        <v>4</v>
      </c>
      <c r="D1427" s="143">
        <v>1</v>
      </c>
      <c r="E1427" s="77"/>
      <c r="F1427" s="334"/>
      <c r="G1427" s="112">
        <v>0</v>
      </c>
      <c r="H1427" s="120">
        <v>0</v>
      </c>
      <c r="I1427" s="120">
        <v>0</v>
      </c>
      <c r="J1427" s="120">
        <v>0</v>
      </c>
      <c r="K1427" s="110">
        <v>0</v>
      </c>
      <c r="L1427" s="110"/>
      <c r="M1427" s="110">
        <v>0</v>
      </c>
      <c r="N1427" s="110"/>
      <c r="O1427" s="110"/>
      <c r="P1427" s="110">
        <f t="shared" si="126"/>
        <v>0</v>
      </c>
      <c r="Q1427" s="110">
        <f t="shared" si="127"/>
        <v>0</v>
      </c>
      <c r="R1427" s="110">
        <f t="shared" si="128"/>
        <v>0</v>
      </c>
      <c r="S1427" s="112">
        <v>0</v>
      </c>
    </row>
    <row r="1428" spans="1:19">
      <c r="A1428" s="79"/>
      <c r="B1428" s="77" t="s">
        <v>156</v>
      </c>
      <c r="C1428" s="76" t="s">
        <v>4</v>
      </c>
      <c r="D1428" s="143">
        <v>10</v>
      </c>
      <c r="E1428" s="77"/>
      <c r="F1428" s="334"/>
      <c r="G1428" s="112">
        <v>0</v>
      </c>
      <c r="H1428" s="120">
        <v>0</v>
      </c>
      <c r="I1428" s="120">
        <v>0</v>
      </c>
      <c r="J1428" s="120">
        <v>0</v>
      </c>
      <c r="K1428" s="110">
        <v>0</v>
      </c>
      <c r="L1428" s="110"/>
      <c r="M1428" s="110">
        <v>0</v>
      </c>
      <c r="N1428" s="110"/>
      <c r="O1428" s="110"/>
      <c r="P1428" s="110">
        <f t="shared" si="126"/>
        <v>0</v>
      </c>
      <c r="Q1428" s="110">
        <f t="shared" si="127"/>
        <v>0</v>
      </c>
      <c r="R1428" s="110">
        <f t="shared" si="128"/>
        <v>0</v>
      </c>
      <c r="S1428" s="112">
        <v>0</v>
      </c>
    </row>
    <row r="1429" spans="1:19">
      <c r="A1429" s="79"/>
      <c r="B1429" s="77" t="s">
        <v>200</v>
      </c>
      <c r="C1429" s="76" t="s">
        <v>8</v>
      </c>
      <c r="D1429" s="143">
        <v>2</v>
      </c>
      <c r="E1429" s="77"/>
      <c r="F1429" s="334"/>
      <c r="G1429" s="112">
        <v>0</v>
      </c>
      <c r="H1429" s="120">
        <v>0</v>
      </c>
      <c r="I1429" s="120">
        <v>0</v>
      </c>
      <c r="J1429" s="120">
        <v>0</v>
      </c>
      <c r="K1429" s="110">
        <v>0</v>
      </c>
      <c r="L1429" s="110"/>
      <c r="M1429" s="110">
        <v>0</v>
      </c>
      <c r="N1429" s="110"/>
      <c r="O1429" s="110"/>
      <c r="P1429" s="110">
        <f t="shared" si="126"/>
        <v>0</v>
      </c>
      <c r="Q1429" s="110">
        <f t="shared" si="127"/>
        <v>0</v>
      </c>
      <c r="R1429" s="110">
        <f t="shared" si="128"/>
        <v>0</v>
      </c>
      <c r="S1429" s="112">
        <v>0</v>
      </c>
    </row>
    <row r="1430" spans="1:19">
      <c r="A1430" s="79"/>
      <c r="B1430" s="77" t="s">
        <v>187</v>
      </c>
      <c r="C1430" s="76" t="s">
        <v>4</v>
      </c>
      <c r="D1430" s="143">
        <v>4</v>
      </c>
      <c r="E1430" s="77"/>
      <c r="F1430" s="334"/>
      <c r="G1430" s="112">
        <v>0</v>
      </c>
      <c r="H1430" s="120">
        <v>0</v>
      </c>
      <c r="I1430" s="120">
        <v>0</v>
      </c>
      <c r="J1430" s="120">
        <v>0</v>
      </c>
      <c r="K1430" s="110">
        <v>0</v>
      </c>
      <c r="L1430" s="110"/>
      <c r="M1430" s="110">
        <v>0</v>
      </c>
      <c r="N1430" s="110"/>
      <c r="O1430" s="110"/>
      <c r="P1430" s="110">
        <f t="shared" si="126"/>
        <v>0</v>
      </c>
      <c r="Q1430" s="110">
        <f t="shared" si="127"/>
        <v>0</v>
      </c>
      <c r="R1430" s="110">
        <f t="shared" si="128"/>
        <v>0</v>
      </c>
      <c r="S1430" s="112">
        <v>0</v>
      </c>
    </row>
    <row r="1431" spans="1:19">
      <c r="A1431" s="79"/>
      <c r="B1431" s="77" t="s">
        <v>196</v>
      </c>
      <c r="C1431" s="76" t="s">
        <v>4</v>
      </c>
      <c r="D1431" s="143">
        <v>2</v>
      </c>
      <c r="E1431" s="77"/>
      <c r="F1431" s="334"/>
      <c r="G1431" s="112">
        <v>0</v>
      </c>
      <c r="H1431" s="120">
        <v>0</v>
      </c>
      <c r="I1431" s="120">
        <v>0</v>
      </c>
      <c r="J1431" s="120">
        <v>0</v>
      </c>
      <c r="K1431" s="110">
        <v>0</v>
      </c>
      <c r="L1431" s="110"/>
      <c r="M1431" s="110">
        <v>0</v>
      </c>
      <c r="N1431" s="110"/>
      <c r="O1431" s="110"/>
      <c r="P1431" s="110">
        <f t="shared" si="126"/>
        <v>0</v>
      </c>
      <c r="Q1431" s="110">
        <f t="shared" si="127"/>
        <v>0</v>
      </c>
      <c r="R1431" s="110">
        <f t="shared" si="128"/>
        <v>0</v>
      </c>
      <c r="S1431" s="112">
        <v>0</v>
      </c>
    </row>
    <row r="1432" spans="1:19">
      <c r="A1432" s="79"/>
      <c r="B1432" s="77" t="s">
        <v>173</v>
      </c>
      <c r="C1432" s="76" t="s">
        <v>4</v>
      </c>
      <c r="D1432" s="143">
        <v>3</v>
      </c>
      <c r="E1432" s="77"/>
      <c r="F1432" s="334"/>
      <c r="G1432" s="112">
        <v>0</v>
      </c>
      <c r="H1432" s="120">
        <v>0</v>
      </c>
      <c r="I1432" s="120">
        <v>0</v>
      </c>
      <c r="J1432" s="120">
        <v>0</v>
      </c>
      <c r="K1432" s="110">
        <v>0</v>
      </c>
      <c r="L1432" s="110"/>
      <c r="M1432" s="110">
        <v>0</v>
      </c>
      <c r="N1432" s="110"/>
      <c r="O1432" s="110"/>
      <c r="P1432" s="110">
        <f t="shared" si="126"/>
        <v>0</v>
      </c>
      <c r="Q1432" s="110">
        <f t="shared" si="127"/>
        <v>0</v>
      </c>
      <c r="R1432" s="110">
        <f t="shared" si="128"/>
        <v>0</v>
      </c>
      <c r="S1432" s="112">
        <v>0</v>
      </c>
    </row>
    <row r="1433" spans="1:19">
      <c r="A1433" s="79"/>
      <c r="B1433" s="77" t="s">
        <v>201</v>
      </c>
      <c r="C1433" s="76" t="s">
        <v>4</v>
      </c>
      <c r="D1433" s="143">
        <v>2</v>
      </c>
      <c r="E1433" s="77"/>
      <c r="F1433" s="334"/>
      <c r="G1433" s="112">
        <v>0</v>
      </c>
      <c r="H1433" s="120">
        <v>0</v>
      </c>
      <c r="I1433" s="120">
        <v>0</v>
      </c>
      <c r="J1433" s="120">
        <v>0</v>
      </c>
      <c r="K1433" s="110">
        <v>0</v>
      </c>
      <c r="L1433" s="110"/>
      <c r="M1433" s="110">
        <v>0</v>
      </c>
      <c r="N1433" s="110"/>
      <c r="O1433" s="110"/>
      <c r="P1433" s="110">
        <f t="shared" si="126"/>
        <v>0</v>
      </c>
      <c r="Q1433" s="110">
        <f t="shared" si="127"/>
        <v>0</v>
      </c>
      <c r="R1433" s="110">
        <f t="shared" si="128"/>
        <v>0</v>
      </c>
      <c r="S1433" s="112">
        <v>0</v>
      </c>
    </row>
    <row r="1434" spans="1:19">
      <c r="A1434" s="79"/>
      <c r="B1434" s="77" t="s">
        <v>188</v>
      </c>
      <c r="C1434" s="76" t="s">
        <v>4</v>
      </c>
      <c r="D1434" s="143">
        <v>2</v>
      </c>
      <c r="E1434" s="77"/>
      <c r="F1434" s="334"/>
      <c r="G1434" s="112">
        <v>0</v>
      </c>
      <c r="H1434" s="120">
        <v>0</v>
      </c>
      <c r="I1434" s="120">
        <v>0</v>
      </c>
      <c r="J1434" s="120">
        <v>0</v>
      </c>
      <c r="K1434" s="110">
        <v>0</v>
      </c>
      <c r="L1434" s="110"/>
      <c r="M1434" s="110">
        <v>0</v>
      </c>
      <c r="N1434" s="110"/>
      <c r="O1434" s="110"/>
      <c r="P1434" s="110">
        <f t="shared" si="126"/>
        <v>0</v>
      </c>
      <c r="Q1434" s="110">
        <f t="shared" si="127"/>
        <v>0</v>
      </c>
      <c r="R1434" s="110">
        <f t="shared" si="128"/>
        <v>0</v>
      </c>
      <c r="S1434" s="112">
        <v>0</v>
      </c>
    </row>
    <row r="1435" spans="1:19">
      <c r="A1435" s="79"/>
      <c r="B1435" s="77" t="s">
        <v>175</v>
      </c>
      <c r="C1435" s="76" t="s">
        <v>4</v>
      </c>
      <c r="D1435" s="143">
        <v>2</v>
      </c>
      <c r="E1435" s="77"/>
      <c r="F1435" s="334"/>
      <c r="G1435" s="112">
        <v>0</v>
      </c>
      <c r="H1435" s="120">
        <v>0</v>
      </c>
      <c r="I1435" s="120">
        <v>0</v>
      </c>
      <c r="J1435" s="120">
        <v>0</v>
      </c>
      <c r="K1435" s="110">
        <v>0</v>
      </c>
      <c r="L1435" s="110"/>
      <c r="M1435" s="110">
        <v>0</v>
      </c>
      <c r="N1435" s="110"/>
      <c r="O1435" s="110"/>
      <c r="P1435" s="110">
        <f t="shared" si="126"/>
        <v>0</v>
      </c>
      <c r="Q1435" s="110">
        <f t="shared" si="127"/>
        <v>0</v>
      </c>
      <c r="R1435" s="110">
        <f t="shared" si="128"/>
        <v>0</v>
      </c>
      <c r="S1435" s="112">
        <v>0</v>
      </c>
    </row>
    <row r="1436" spans="1:19">
      <c r="A1436" s="79"/>
      <c r="B1436" s="77" t="s">
        <v>202</v>
      </c>
      <c r="C1436" s="76" t="s">
        <v>4</v>
      </c>
      <c r="D1436" s="143">
        <v>2</v>
      </c>
      <c r="E1436" s="77"/>
      <c r="F1436" s="334"/>
      <c r="G1436" s="112">
        <v>0</v>
      </c>
      <c r="H1436" s="120">
        <v>0</v>
      </c>
      <c r="I1436" s="120">
        <v>0</v>
      </c>
      <c r="J1436" s="120">
        <v>0</v>
      </c>
      <c r="K1436" s="110">
        <v>0</v>
      </c>
      <c r="L1436" s="110"/>
      <c r="M1436" s="110">
        <v>0</v>
      </c>
      <c r="N1436" s="110"/>
      <c r="O1436" s="110"/>
      <c r="P1436" s="110">
        <f t="shared" si="126"/>
        <v>0</v>
      </c>
      <c r="Q1436" s="110">
        <f t="shared" si="127"/>
        <v>0</v>
      </c>
      <c r="R1436" s="110">
        <f t="shared" si="128"/>
        <v>0</v>
      </c>
      <c r="S1436" s="112">
        <v>0</v>
      </c>
    </row>
    <row r="1437" spans="1:19">
      <c r="A1437" s="79"/>
      <c r="B1437" s="77" t="s">
        <v>176</v>
      </c>
      <c r="C1437" s="76" t="s">
        <v>4</v>
      </c>
      <c r="D1437" s="143">
        <v>4</v>
      </c>
      <c r="E1437" s="77"/>
      <c r="F1437" s="334"/>
      <c r="G1437" s="112">
        <v>0</v>
      </c>
      <c r="H1437" s="120">
        <v>0</v>
      </c>
      <c r="I1437" s="120">
        <v>0</v>
      </c>
      <c r="J1437" s="120">
        <v>0</v>
      </c>
      <c r="K1437" s="110">
        <v>0</v>
      </c>
      <c r="L1437" s="110"/>
      <c r="M1437" s="110">
        <v>0</v>
      </c>
      <c r="N1437" s="110"/>
      <c r="O1437" s="110"/>
      <c r="P1437" s="110">
        <f t="shared" si="126"/>
        <v>0</v>
      </c>
      <c r="Q1437" s="110">
        <f t="shared" si="127"/>
        <v>0</v>
      </c>
      <c r="R1437" s="110">
        <f t="shared" si="128"/>
        <v>0</v>
      </c>
      <c r="S1437" s="112">
        <v>0</v>
      </c>
    </row>
    <row r="1438" spans="1:19">
      <c r="A1438" s="79"/>
      <c r="B1438" s="77" t="s">
        <v>161</v>
      </c>
      <c r="C1438" s="76" t="s">
        <v>4</v>
      </c>
      <c r="D1438" s="143">
        <v>2</v>
      </c>
      <c r="E1438" s="77"/>
      <c r="F1438" s="334"/>
      <c r="G1438" s="112">
        <v>0</v>
      </c>
      <c r="H1438" s="120">
        <v>0</v>
      </c>
      <c r="I1438" s="120">
        <v>0</v>
      </c>
      <c r="J1438" s="120">
        <v>0</v>
      </c>
      <c r="K1438" s="110">
        <v>0</v>
      </c>
      <c r="L1438" s="110"/>
      <c r="M1438" s="110">
        <v>0</v>
      </c>
      <c r="N1438" s="110"/>
      <c r="O1438" s="110"/>
      <c r="P1438" s="110">
        <f t="shared" si="126"/>
        <v>0</v>
      </c>
      <c r="Q1438" s="110">
        <f t="shared" si="127"/>
        <v>0</v>
      </c>
      <c r="R1438" s="110">
        <f t="shared" si="128"/>
        <v>0</v>
      </c>
      <c r="S1438" s="112">
        <v>0</v>
      </c>
    </row>
    <row r="1439" spans="1:19">
      <c r="A1439" s="79"/>
      <c r="B1439" s="77" t="s">
        <v>177</v>
      </c>
      <c r="C1439" s="76" t="s">
        <v>17</v>
      </c>
      <c r="D1439" s="143">
        <v>1</v>
      </c>
      <c r="E1439" s="77"/>
      <c r="F1439" s="334"/>
      <c r="G1439" s="112">
        <v>0</v>
      </c>
      <c r="H1439" s="120">
        <v>0</v>
      </c>
      <c r="I1439" s="120">
        <v>0</v>
      </c>
      <c r="J1439" s="120">
        <v>0</v>
      </c>
      <c r="K1439" s="110">
        <v>0</v>
      </c>
      <c r="L1439" s="110"/>
      <c r="M1439" s="110">
        <v>0</v>
      </c>
      <c r="N1439" s="110"/>
      <c r="O1439" s="110"/>
      <c r="P1439" s="110">
        <f t="shared" si="126"/>
        <v>0</v>
      </c>
      <c r="Q1439" s="110">
        <f t="shared" si="127"/>
        <v>0</v>
      </c>
      <c r="R1439" s="110">
        <f t="shared" si="128"/>
        <v>0</v>
      </c>
      <c r="S1439" s="112">
        <v>0</v>
      </c>
    </row>
    <row r="1440" spans="1:19">
      <c r="A1440" s="79"/>
      <c r="B1440" s="77" t="s">
        <v>186</v>
      </c>
      <c r="C1440" s="76" t="s">
        <v>8</v>
      </c>
      <c r="D1440" s="143">
        <v>1</v>
      </c>
      <c r="E1440" s="77"/>
      <c r="F1440" s="334"/>
      <c r="G1440" s="112">
        <v>0</v>
      </c>
      <c r="H1440" s="120">
        <v>0</v>
      </c>
      <c r="I1440" s="120">
        <v>0</v>
      </c>
      <c r="J1440" s="120">
        <v>0</v>
      </c>
      <c r="K1440" s="110">
        <v>0</v>
      </c>
      <c r="L1440" s="110"/>
      <c r="M1440" s="110">
        <v>0</v>
      </c>
      <c r="N1440" s="110"/>
      <c r="O1440" s="110"/>
      <c r="P1440" s="110">
        <f t="shared" si="126"/>
        <v>0</v>
      </c>
      <c r="Q1440" s="110">
        <f t="shared" si="127"/>
        <v>0</v>
      </c>
      <c r="R1440" s="110">
        <f t="shared" si="128"/>
        <v>0</v>
      </c>
      <c r="S1440" s="112">
        <v>0</v>
      </c>
    </row>
    <row r="1441" spans="1:19">
      <c r="A1441" s="79"/>
      <c r="B1441" s="77" t="s">
        <v>187</v>
      </c>
      <c r="C1441" s="76" t="s">
        <v>4</v>
      </c>
      <c r="D1441" s="143">
        <v>1</v>
      </c>
      <c r="E1441" s="77"/>
      <c r="F1441" s="334"/>
      <c r="G1441" s="112">
        <v>0</v>
      </c>
      <c r="H1441" s="120">
        <v>0</v>
      </c>
      <c r="I1441" s="120">
        <v>0</v>
      </c>
      <c r="J1441" s="120">
        <v>0</v>
      </c>
      <c r="K1441" s="110">
        <v>0</v>
      </c>
      <c r="L1441" s="110"/>
      <c r="M1441" s="110">
        <v>0</v>
      </c>
      <c r="N1441" s="110"/>
      <c r="O1441" s="110"/>
      <c r="P1441" s="110">
        <f t="shared" si="126"/>
        <v>0</v>
      </c>
      <c r="Q1441" s="110">
        <f t="shared" si="127"/>
        <v>0</v>
      </c>
      <c r="R1441" s="110">
        <f t="shared" si="128"/>
        <v>0</v>
      </c>
      <c r="S1441" s="112">
        <v>0</v>
      </c>
    </row>
    <row r="1442" spans="1:19">
      <c r="A1442" s="79"/>
      <c r="B1442" s="77" t="s">
        <v>173</v>
      </c>
      <c r="C1442" s="76" t="s">
        <v>4</v>
      </c>
      <c r="D1442" s="143">
        <v>1</v>
      </c>
      <c r="E1442" s="77"/>
      <c r="F1442" s="334"/>
      <c r="G1442" s="112">
        <v>0</v>
      </c>
      <c r="H1442" s="120">
        <v>0</v>
      </c>
      <c r="I1442" s="120">
        <v>0</v>
      </c>
      <c r="J1442" s="120">
        <v>0</v>
      </c>
      <c r="K1442" s="110">
        <v>0</v>
      </c>
      <c r="L1442" s="110"/>
      <c r="M1442" s="110">
        <v>0</v>
      </c>
      <c r="N1442" s="110"/>
      <c r="O1442" s="110"/>
      <c r="P1442" s="110">
        <f t="shared" si="126"/>
        <v>0</v>
      </c>
      <c r="Q1442" s="110">
        <f t="shared" si="127"/>
        <v>0</v>
      </c>
      <c r="R1442" s="110">
        <f t="shared" si="128"/>
        <v>0</v>
      </c>
      <c r="S1442" s="112">
        <v>0</v>
      </c>
    </row>
    <row r="1443" spans="1:19">
      <c r="A1443" s="79"/>
      <c r="B1443" s="77" t="s">
        <v>188</v>
      </c>
      <c r="C1443" s="76" t="s">
        <v>4</v>
      </c>
      <c r="D1443" s="143">
        <v>1</v>
      </c>
      <c r="E1443" s="77"/>
      <c r="F1443" s="334"/>
      <c r="G1443" s="112">
        <v>0</v>
      </c>
      <c r="H1443" s="120">
        <v>0</v>
      </c>
      <c r="I1443" s="120">
        <v>0</v>
      </c>
      <c r="J1443" s="120">
        <v>0</v>
      </c>
      <c r="K1443" s="110">
        <v>0</v>
      </c>
      <c r="L1443" s="110"/>
      <c r="M1443" s="110">
        <v>0</v>
      </c>
      <c r="N1443" s="110"/>
      <c r="O1443" s="110"/>
      <c r="P1443" s="110">
        <f t="shared" si="126"/>
        <v>0</v>
      </c>
      <c r="Q1443" s="110">
        <f t="shared" si="127"/>
        <v>0</v>
      </c>
      <c r="R1443" s="110">
        <f t="shared" si="128"/>
        <v>0</v>
      </c>
      <c r="S1443" s="112">
        <v>0</v>
      </c>
    </row>
    <row r="1444" spans="1:19">
      <c r="A1444" s="79"/>
      <c r="B1444" s="77" t="s">
        <v>175</v>
      </c>
      <c r="C1444" s="76" t="s">
        <v>4</v>
      </c>
      <c r="D1444" s="143">
        <v>1</v>
      </c>
      <c r="E1444" s="77"/>
      <c r="F1444" s="334"/>
      <c r="G1444" s="112">
        <v>0</v>
      </c>
      <c r="H1444" s="120">
        <v>0</v>
      </c>
      <c r="I1444" s="120">
        <v>0</v>
      </c>
      <c r="J1444" s="120">
        <v>0</v>
      </c>
      <c r="K1444" s="110">
        <v>0</v>
      </c>
      <c r="L1444" s="110"/>
      <c r="M1444" s="110">
        <v>0</v>
      </c>
      <c r="N1444" s="110"/>
      <c r="O1444" s="110"/>
      <c r="P1444" s="110">
        <f t="shared" si="126"/>
        <v>0</v>
      </c>
      <c r="Q1444" s="110">
        <f t="shared" si="127"/>
        <v>0</v>
      </c>
      <c r="R1444" s="110">
        <f t="shared" si="128"/>
        <v>0</v>
      </c>
      <c r="S1444" s="112">
        <v>0</v>
      </c>
    </row>
    <row r="1445" spans="1:19">
      <c r="A1445" s="79"/>
      <c r="B1445" s="77" t="s">
        <v>176</v>
      </c>
      <c r="C1445" s="76" t="s">
        <v>4</v>
      </c>
      <c r="D1445" s="143">
        <v>2</v>
      </c>
      <c r="E1445" s="77"/>
      <c r="F1445" s="334"/>
      <c r="G1445" s="112">
        <v>0</v>
      </c>
      <c r="H1445" s="120">
        <v>0</v>
      </c>
      <c r="I1445" s="120">
        <v>0</v>
      </c>
      <c r="J1445" s="120">
        <v>0</v>
      </c>
      <c r="K1445" s="110">
        <v>0</v>
      </c>
      <c r="L1445" s="110"/>
      <c r="M1445" s="110">
        <v>0</v>
      </c>
      <c r="N1445" s="110"/>
      <c r="O1445" s="110"/>
      <c r="P1445" s="110">
        <f t="shared" si="126"/>
        <v>0</v>
      </c>
      <c r="Q1445" s="110">
        <f t="shared" si="127"/>
        <v>0</v>
      </c>
      <c r="R1445" s="110">
        <f t="shared" si="128"/>
        <v>0</v>
      </c>
      <c r="S1445" s="112">
        <v>0</v>
      </c>
    </row>
    <row r="1446" spans="1:19">
      <c r="A1446" s="79"/>
      <c r="B1446" s="77" t="s">
        <v>177</v>
      </c>
      <c r="C1446" s="76" t="s">
        <v>17</v>
      </c>
      <c r="D1446" s="143">
        <v>1</v>
      </c>
      <c r="E1446" s="77"/>
      <c r="F1446" s="334"/>
      <c r="G1446" s="112">
        <v>0</v>
      </c>
      <c r="H1446" s="120">
        <v>0</v>
      </c>
      <c r="I1446" s="120">
        <v>0</v>
      </c>
      <c r="J1446" s="120">
        <v>0</v>
      </c>
      <c r="K1446" s="110">
        <v>0</v>
      </c>
      <c r="L1446" s="110"/>
      <c r="M1446" s="110">
        <v>0</v>
      </c>
      <c r="N1446" s="110"/>
      <c r="O1446" s="110"/>
      <c r="P1446" s="110">
        <f t="shared" si="126"/>
        <v>0</v>
      </c>
      <c r="Q1446" s="110">
        <f t="shared" si="127"/>
        <v>0</v>
      </c>
      <c r="R1446" s="110">
        <f t="shared" si="128"/>
        <v>0</v>
      </c>
      <c r="S1446" s="112">
        <v>0</v>
      </c>
    </row>
    <row r="1447" spans="1:19">
      <c r="A1447" s="79"/>
      <c r="B1447" s="77" t="s">
        <v>383</v>
      </c>
      <c r="C1447" s="76" t="s">
        <v>8</v>
      </c>
      <c r="D1447" s="143">
        <v>1</v>
      </c>
      <c r="E1447" s="77"/>
      <c r="F1447" s="334"/>
      <c r="G1447" s="112">
        <v>0</v>
      </c>
      <c r="H1447" s="120">
        <v>0</v>
      </c>
      <c r="I1447" s="120">
        <v>0</v>
      </c>
      <c r="J1447" s="120">
        <v>0</v>
      </c>
      <c r="K1447" s="110">
        <v>0</v>
      </c>
      <c r="L1447" s="110"/>
      <c r="M1447" s="110">
        <v>0</v>
      </c>
      <c r="N1447" s="110"/>
      <c r="O1447" s="110"/>
      <c r="P1447" s="110">
        <f t="shared" si="126"/>
        <v>0</v>
      </c>
      <c r="Q1447" s="110">
        <f t="shared" si="127"/>
        <v>0</v>
      </c>
      <c r="R1447" s="110">
        <f t="shared" si="128"/>
        <v>0</v>
      </c>
      <c r="S1447" s="112">
        <v>0</v>
      </c>
    </row>
    <row r="1448" spans="1:19">
      <c r="A1448" s="79"/>
      <c r="B1448" s="77" t="s">
        <v>172</v>
      </c>
      <c r="C1448" s="76" t="s">
        <v>4</v>
      </c>
      <c r="D1448" s="143">
        <v>1</v>
      </c>
      <c r="E1448" s="77"/>
      <c r="F1448" s="334"/>
      <c r="G1448" s="112">
        <v>0</v>
      </c>
      <c r="H1448" s="120">
        <v>0</v>
      </c>
      <c r="I1448" s="120">
        <v>0</v>
      </c>
      <c r="J1448" s="120">
        <v>0</v>
      </c>
      <c r="K1448" s="110">
        <v>0</v>
      </c>
      <c r="L1448" s="110"/>
      <c r="M1448" s="110">
        <v>0</v>
      </c>
      <c r="N1448" s="110"/>
      <c r="O1448" s="110"/>
      <c r="P1448" s="110">
        <f t="shared" si="126"/>
        <v>0</v>
      </c>
      <c r="Q1448" s="110">
        <f t="shared" si="127"/>
        <v>0</v>
      </c>
      <c r="R1448" s="110">
        <f t="shared" si="128"/>
        <v>0</v>
      </c>
      <c r="S1448" s="112">
        <v>0</v>
      </c>
    </row>
    <row r="1449" spans="1:19">
      <c r="A1449" s="79"/>
      <c r="B1449" s="77" t="s">
        <v>173</v>
      </c>
      <c r="C1449" s="76" t="s">
        <v>4</v>
      </c>
      <c r="D1449" s="143">
        <v>1</v>
      </c>
      <c r="E1449" s="77"/>
      <c r="F1449" s="334"/>
      <c r="G1449" s="112">
        <v>0</v>
      </c>
      <c r="H1449" s="120">
        <v>0</v>
      </c>
      <c r="I1449" s="120">
        <v>0</v>
      </c>
      <c r="J1449" s="120">
        <v>0</v>
      </c>
      <c r="K1449" s="110">
        <v>0</v>
      </c>
      <c r="L1449" s="110"/>
      <c r="M1449" s="110">
        <v>0</v>
      </c>
      <c r="N1449" s="110"/>
      <c r="O1449" s="110"/>
      <c r="P1449" s="110">
        <f t="shared" si="126"/>
        <v>0</v>
      </c>
      <c r="Q1449" s="110">
        <f t="shared" si="127"/>
        <v>0</v>
      </c>
      <c r="R1449" s="110">
        <f t="shared" si="128"/>
        <v>0</v>
      </c>
      <c r="S1449" s="112">
        <v>0</v>
      </c>
    </row>
    <row r="1450" spans="1:19">
      <c r="A1450" s="79"/>
      <c r="B1450" s="77" t="s">
        <v>367</v>
      </c>
      <c r="C1450" s="76" t="s">
        <v>4</v>
      </c>
      <c r="D1450" s="143">
        <v>1</v>
      </c>
      <c r="E1450" s="77"/>
      <c r="F1450" s="334"/>
      <c r="G1450" s="112">
        <v>0</v>
      </c>
      <c r="H1450" s="120">
        <v>0</v>
      </c>
      <c r="I1450" s="120">
        <v>0</v>
      </c>
      <c r="J1450" s="120">
        <v>0</v>
      </c>
      <c r="K1450" s="110">
        <v>0</v>
      </c>
      <c r="L1450" s="110"/>
      <c r="M1450" s="110">
        <v>0</v>
      </c>
      <c r="N1450" s="110"/>
      <c r="O1450" s="110"/>
      <c r="P1450" s="110">
        <f t="shared" si="126"/>
        <v>0</v>
      </c>
      <c r="Q1450" s="110">
        <f t="shared" si="127"/>
        <v>0</v>
      </c>
      <c r="R1450" s="110">
        <f t="shared" si="128"/>
        <v>0</v>
      </c>
      <c r="S1450" s="112">
        <v>0</v>
      </c>
    </row>
    <row r="1451" spans="1:19">
      <c r="A1451" s="79"/>
      <c r="B1451" s="77" t="s">
        <v>175</v>
      </c>
      <c r="C1451" s="76" t="s">
        <v>4</v>
      </c>
      <c r="D1451" s="143">
        <v>1</v>
      </c>
      <c r="E1451" s="77"/>
      <c r="F1451" s="334"/>
      <c r="G1451" s="112">
        <v>0</v>
      </c>
      <c r="H1451" s="120">
        <v>0</v>
      </c>
      <c r="I1451" s="120">
        <v>0</v>
      </c>
      <c r="J1451" s="120">
        <v>0</v>
      </c>
      <c r="K1451" s="110">
        <v>0</v>
      </c>
      <c r="L1451" s="110"/>
      <c r="M1451" s="110">
        <v>0</v>
      </c>
      <c r="N1451" s="110"/>
      <c r="O1451" s="110"/>
      <c r="P1451" s="110">
        <f t="shared" si="126"/>
        <v>0</v>
      </c>
      <c r="Q1451" s="110">
        <f t="shared" si="127"/>
        <v>0</v>
      </c>
      <c r="R1451" s="110">
        <f t="shared" si="128"/>
        <v>0</v>
      </c>
      <c r="S1451" s="112">
        <v>0</v>
      </c>
    </row>
    <row r="1452" spans="1:19">
      <c r="A1452" s="79"/>
      <c r="B1452" s="77" t="s">
        <v>176</v>
      </c>
      <c r="C1452" s="76" t="s">
        <v>4</v>
      </c>
      <c r="D1452" s="143">
        <v>2</v>
      </c>
      <c r="E1452" s="77"/>
      <c r="F1452" s="334"/>
      <c r="G1452" s="112">
        <v>0</v>
      </c>
      <c r="H1452" s="120">
        <v>0</v>
      </c>
      <c r="I1452" s="120">
        <v>0</v>
      </c>
      <c r="J1452" s="120">
        <v>0</v>
      </c>
      <c r="K1452" s="110">
        <v>0</v>
      </c>
      <c r="L1452" s="110"/>
      <c r="M1452" s="110">
        <v>0</v>
      </c>
      <c r="N1452" s="110"/>
      <c r="O1452" s="110"/>
      <c r="P1452" s="110">
        <f t="shared" si="126"/>
        <v>0</v>
      </c>
      <c r="Q1452" s="110">
        <f t="shared" si="127"/>
        <v>0</v>
      </c>
      <c r="R1452" s="110">
        <f t="shared" si="128"/>
        <v>0</v>
      </c>
      <c r="S1452" s="112">
        <v>0</v>
      </c>
    </row>
    <row r="1453" spans="1:19">
      <c r="A1453" s="79"/>
      <c r="B1453" s="77" t="s">
        <v>177</v>
      </c>
      <c r="C1453" s="76" t="s">
        <v>17</v>
      </c>
      <c r="D1453" s="143">
        <v>1</v>
      </c>
      <c r="E1453" s="77"/>
      <c r="F1453" s="334"/>
      <c r="G1453" s="112">
        <v>0</v>
      </c>
      <c r="H1453" s="120">
        <v>0</v>
      </c>
      <c r="I1453" s="120">
        <v>0</v>
      </c>
      <c r="J1453" s="120">
        <v>0</v>
      </c>
      <c r="K1453" s="110">
        <v>0</v>
      </c>
      <c r="L1453" s="110"/>
      <c r="M1453" s="110">
        <v>0</v>
      </c>
      <c r="N1453" s="110"/>
      <c r="O1453" s="110"/>
      <c r="P1453" s="110">
        <f t="shared" si="126"/>
        <v>0</v>
      </c>
      <c r="Q1453" s="110">
        <f t="shared" si="127"/>
        <v>0</v>
      </c>
      <c r="R1453" s="110">
        <f t="shared" si="128"/>
        <v>0</v>
      </c>
      <c r="S1453" s="112">
        <v>0</v>
      </c>
    </row>
    <row r="1454" spans="1:19">
      <c r="A1454" s="79"/>
      <c r="B1454" s="77" t="s">
        <v>265</v>
      </c>
      <c r="C1454" s="76" t="s">
        <v>8</v>
      </c>
      <c r="D1454" s="143">
        <v>2</v>
      </c>
      <c r="E1454" s="77"/>
      <c r="F1454" s="334"/>
      <c r="G1454" s="112">
        <v>0</v>
      </c>
      <c r="H1454" s="120">
        <v>0</v>
      </c>
      <c r="I1454" s="120">
        <v>0</v>
      </c>
      <c r="J1454" s="120">
        <v>0</v>
      </c>
      <c r="K1454" s="110">
        <v>0</v>
      </c>
      <c r="L1454" s="110"/>
      <c r="M1454" s="110">
        <v>0</v>
      </c>
      <c r="N1454" s="110"/>
      <c r="O1454" s="110"/>
      <c r="P1454" s="110">
        <f t="shared" si="126"/>
        <v>0</v>
      </c>
      <c r="Q1454" s="110">
        <f t="shared" si="127"/>
        <v>0</v>
      </c>
      <c r="R1454" s="110">
        <f t="shared" si="128"/>
        <v>0</v>
      </c>
      <c r="S1454" s="112">
        <v>0</v>
      </c>
    </row>
    <row r="1455" spans="1:19">
      <c r="A1455" s="79"/>
      <c r="B1455" s="77" t="s">
        <v>172</v>
      </c>
      <c r="C1455" s="76" t="s">
        <v>4</v>
      </c>
      <c r="D1455" s="143">
        <v>2</v>
      </c>
      <c r="E1455" s="77"/>
      <c r="F1455" s="334"/>
      <c r="G1455" s="112">
        <v>0</v>
      </c>
      <c r="H1455" s="120">
        <v>0</v>
      </c>
      <c r="I1455" s="120">
        <v>0</v>
      </c>
      <c r="J1455" s="120">
        <v>0</v>
      </c>
      <c r="K1455" s="110">
        <v>0</v>
      </c>
      <c r="L1455" s="110"/>
      <c r="M1455" s="110">
        <v>0</v>
      </c>
      <c r="N1455" s="110"/>
      <c r="O1455" s="110"/>
      <c r="P1455" s="110">
        <f t="shared" si="126"/>
        <v>0</v>
      </c>
      <c r="Q1455" s="110">
        <f t="shared" si="127"/>
        <v>0</v>
      </c>
      <c r="R1455" s="110">
        <f t="shared" si="128"/>
        <v>0</v>
      </c>
      <c r="S1455" s="112">
        <v>0</v>
      </c>
    </row>
    <row r="1456" spans="1:19">
      <c r="A1456" s="79"/>
      <c r="B1456" s="77" t="s">
        <v>173</v>
      </c>
      <c r="C1456" s="76" t="s">
        <v>4</v>
      </c>
      <c r="D1456" s="143">
        <v>2</v>
      </c>
      <c r="E1456" s="77"/>
      <c r="F1456" s="334"/>
      <c r="G1456" s="112">
        <v>0</v>
      </c>
      <c r="H1456" s="120">
        <v>0</v>
      </c>
      <c r="I1456" s="120">
        <v>0</v>
      </c>
      <c r="J1456" s="120">
        <v>0</v>
      </c>
      <c r="K1456" s="110">
        <v>0</v>
      </c>
      <c r="L1456" s="110"/>
      <c r="M1456" s="110">
        <v>0</v>
      </c>
      <c r="N1456" s="110"/>
      <c r="O1456" s="110"/>
      <c r="P1456" s="110">
        <f t="shared" si="126"/>
        <v>0</v>
      </c>
      <c r="Q1456" s="110">
        <f t="shared" si="127"/>
        <v>0</v>
      </c>
      <c r="R1456" s="110">
        <f t="shared" si="128"/>
        <v>0</v>
      </c>
      <c r="S1456" s="112">
        <v>0</v>
      </c>
    </row>
    <row r="1457" spans="1:19">
      <c r="A1457" s="79"/>
      <c r="B1457" s="77" t="s">
        <v>266</v>
      </c>
      <c r="C1457" s="76" t="s">
        <v>4</v>
      </c>
      <c r="D1457" s="143">
        <v>2</v>
      </c>
      <c r="E1457" s="77"/>
      <c r="F1457" s="334"/>
      <c r="G1457" s="112">
        <v>0</v>
      </c>
      <c r="H1457" s="120">
        <v>0</v>
      </c>
      <c r="I1457" s="120">
        <v>0</v>
      </c>
      <c r="J1457" s="120">
        <v>0</v>
      </c>
      <c r="K1457" s="110">
        <v>0</v>
      </c>
      <c r="L1457" s="110"/>
      <c r="M1457" s="110">
        <v>0</v>
      </c>
      <c r="N1457" s="110"/>
      <c r="O1457" s="110"/>
      <c r="P1457" s="110">
        <f t="shared" ref="P1457:P1520" si="129">+K1457+L1457+M1457+N1457+O1457</f>
        <v>0</v>
      </c>
      <c r="Q1457" s="110">
        <f t="shared" ref="Q1457:Q1520" si="130">+P1457*D1457</f>
        <v>0</v>
      </c>
      <c r="R1457" s="110">
        <f t="shared" ref="R1457:R1520" si="131">P1457*F1457</f>
        <v>0</v>
      </c>
      <c r="S1457" s="112">
        <v>0</v>
      </c>
    </row>
    <row r="1458" spans="1:19">
      <c r="A1458" s="79"/>
      <c r="B1458" s="77" t="s">
        <v>175</v>
      </c>
      <c r="C1458" s="76" t="s">
        <v>4</v>
      </c>
      <c r="D1458" s="143">
        <v>2</v>
      </c>
      <c r="E1458" s="77"/>
      <c r="F1458" s="334"/>
      <c r="G1458" s="112">
        <v>0</v>
      </c>
      <c r="H1458" s="120">
        <v>0</v>
      </c>
      <c r="I1458" s="120">
        <v>0</v>
      </c>
      <c r="J1458" s="120">
        <v>0</v>
      </c>
      <c r="K1458" s="110">
        <v>0</v>
      </c>
      <c r="L1458" s="110"/>
      <c r="M1458" s="110">
        <v>0</v>
      </c>
      <c r="N1458" s="110"/>
      <c r="O1458" s="110"/>
      <c r="P1458" s="110">
        <f t="shared" si="129"/>
        <v>0</v>
      </c>
      <c r="Q1458" s="110">
        <f t="shared" si="130"/>
        <v>0</v>
      </c>
      <c r="R1458" s="110">
        <f t="shared" si="131"/>
        <v>0</v>
      </c>
      <c r="S1458" s="112">
        <v>0</v>
      </c>
    </row>
    <row r="1459" spans="1:19">
      <c r="A1459" s="79"/>
      <c r="B1459" s="77" t="s">
        <v>176</v>
      </c>
      <c r="C1459" s="76" t="s">
        <v>4</v>
      </c>
      <c r="D1459" s="143">
        <v>4</v>
      </c>
      <c r="E1459" s="77"/>
      <c r="F1459" s="334"/>
      <c r="G1459" s="112">
        <v>0</v>
      </c>
      <c r="H1459" s="120">
        <v>0</v>
      </c>
      <c r="I1459" s="120">
        <v>0</v>
      </c>
      <c r="J1459" s="120">
        <v>0</v>
      </c>
      <c r="K1459" s="110">
        <v>0</v>
      </c>
      <c r="L1459" s="110"/>
      <c r="M1459" s="110">
        <v>0</v>
      </c>
      <c r="N1459" s="110"/>
      <c r="O1459" s="110"/>
      <c r="P1459" s="110">
        <f t="shared" si="129"/>
        <v>0</v>
      </c>
      <c r="Q1459" s="110">
        <f t="shared" si="130"/>
        <v>0</v>
      </c>
      <c r="R1459" s="110">
        <f t="shared" si="131"/>
        <v>0</v>
      </c>
      <c r="S1459" s="112">
        <v>0</v>
      </c>
    </row>
    <row r="1460" spans="1:19">
      <c r="A1460" s="79"/>
      <c r="B1460" s="77" t="s">
        <v>177</v>
      </c>
      <c r="C1460" s="76" t="s">
        <v>17</v>
      </c>
      <c r="D1460" s="143">
        <v>1</v>
      </c>
      <c r="E1460" s="77"/>
      <c r="F1460" s="334"/>
      <c r="G1460" s="112">
        <v>0</v>
      </c>
      <c r="H1460" s="120">
        <v>0</v>
      </c>
      <c r="I1460" s="120">
        <v>0</v>
      </c>
      <c r="J1460" s="120">
        <v>0</v>
      </c>
      <c r="K1460" s="110">
        <v>0</v>
      </c>
      <c r="L1460" s="110"/>
      <c r="M1460" s="110">
        <v>0</v>
      </c>
      <c r="N1460" s="110"/>
      <c r="O1460" s="110"/>
      <c r="P1460" s="110">
        <f t="shared" si="129"/>
        <v>0</v>
      </c>
      <c r="Q1460" s="110">
        <f t="shared" si="130"/>
        <v>0</v>
      </c>
      <c r="R1460" s="110">
        <f t="shared" si="131"/>
        <v>0</v>
      </c>
      <c r="S1460" s="112">
        <v>0</v>
      </c>
    </row>
    <row r="1461" spans="1:19">
      <c r="A1461" s="79"/>
      <c r="B1461" s="77" t="s">
        <v>384</v>
      </c>
      <c r="C1461" s="76" t="s">
        <v>8</v>
      </c>
      <c r="D1461" s="143">
        <v>1</v>
      </c>
      <c r="E1461" s="77"/>
      <c r="F1461" s="334"/>
      <c r="G1461" s="112">
        <v>0</v>
      </c>
      <c r="H1461" s="120">
        <v>0</v>
      </c>
      <c r="I1461" s="120">
        <v>0</v>
      </c>
      <c r="J1461" s="120">
        <v>0</v>
      </c>
      <c r="K1461" s="110">
        <v>0</v>
      </c>
      <c r="L1461" s="110"/>
      <c r="M1461" s="110">
        <v>0</v>
      </c>
      <c r="N1461" s="110"/>
      <c r="O1461" s="110"/>
      <c r="P1461" s="110">
        <f t="shared" si="129"/>
        <v>0</v>
      </c>
      <c r="Q1461" s="110">
        <f t="shared" si="130"/>
        <v>0</v>
      </c>
      <c r="R1461" s="110">
        <f t="shared" si="131"/>
        <v>0</v>
      </c>
      <c r="S1461" s="112">
        <v>0</v>
      </c>
    </row>
    <row r="1462" spans="1:19">
      <c r="A1462" s="79"/>
      <c r="B1462" s="77" t="s">
        <v>308</v>
      </c>
      <c r="C1462" s="76" t="s">
        <v>4</v>
      </c>
      <c r="D1462" s="143">
        <v>1</v>
      </c>
      <c r="E1462" s="77"/>
      <c r="F1462" s="334"/>
      <c r="G1462" s="112">
        <v>0</v>
      </c>
      <c r="H1462" s="120">
        <v>0</v>
      </c>
      <c r="I1462" s="120">
        <v>0</v>
      </c>
      <c r="J1462" s="120">
        <v>0</v>
      </c>
      <c r="K1462" s="110">
        <v>0</v>
      </c>
      <c r="L1462" s="110"/>
      <c r="M1462" s="110">
        <v>0</v>
      </c>
      <c r="N1462" s="110"/>
      <c r="O1462" s="110"/>
      <c r="P1462" s="110">
        <f t="shared" si="129"/>
        <v>0</v>
      </c>
      <c r="Q1462" s="110">
        <f t="shared" si="130"/>
        <v>0</v>
      </c>
      <c r="R1462" s="110">
        <f t="shared" si="131"/>
        <v>0</v>
      </c>
      <c r="S1462" s="112">
        <v>0</v>
      </c>
    </row>
    <row r="1463" spans="1:19">
      <c r="A1463" s="79"/>
      <c r="B1463" s="77" t="s">
        <v>173</v>
      </c>
      <c r="C1463" s="76" t="s">
        <v>4</v>
      </c>
      <c r="D1463" s="143">
        <v>1</v>
      </c>
      <c r="E1463" s="77"/>
      <c r="F1463" s="334"/>
      <c r="G1463" s="112">
        <v>0</v>
      </c>
      <c r="H1463" s="120">
        <v>0</v>
      </c>
      <c r="I1463" s="120">
        <v>0</v>
      </c>
      <c r="J1463" s="120">
        <v>0</v>
      </c>
      <c r="K1463" s="110">
        <v>0</v>
      </c>
      <c r="L1463" s="110"/>
      <c r="M1463" s="110">
        <v>0</v>
      </c>
      <c r="N1463" s="110"/>
      <c r="O1463" s="110"/>
      <c r="P1463" s="110">
        <f t="shared" si="129"/>
        <v>0</v>
      </c>
      <c r="Q1463" s="110">
        <f t="shared" si="130"/>
        <v>0</v>
      </c>
      <c r="R1463" s="110">
        <f t="shared" si="131"/>
        <v>0</v>
      </c>
      <c r="S1463" s="112">
        <v>0</v>
      </c>
    </row>
    <row r="1464" spans="1:19">
      <c r="A1464" s="79"/>
      <c r="B1464" s="77" t="s">
        <v>180</v>
      </c>
      <c r="C1464" s="76" t="s">
        <v>4</v>
      </c>
      <c r="D1464" s="143">
        <v>1</v>
      </c>
      <c r="E1464" s="77"/>
      <c r="F1464" s="334"/>
      <c r="G1464" s="112">
        <v>0</v>
      </c>
      <c r="H1464" s="120">
        <v>0</v>
      </c>
      <c r="I1464" s="120">
        <v>0</v>
      </c>
      <c r="J1464" s="120">
        <v>0</v>
      </c>
      <c r="K1464" s="110">
        <v>0</v>
      </c>
      <c r="L1464" s="110"/>
      <c r="M1464" s="110">
        <v>0</v>
      </c>
      <c r="N1464" s="110"/>
      <c r="O1464" s="110"/>
      <c r="P1464" s="110">
        <f t="shared" si="129"/>
        <v>0</v>
      </c>
      <c r="Q1464" s="110">
        <f t="shared" si="130"/>
        <v>0</v>
      </c>
      <c r="R1464" s="110">
        <f t="shared" si="131"/>
        <v>0</v>
      </c>
      <c r="S1464" s="112">
        <v>0</v>
      </c>
    </row>
    <row r="1465" spans="1:19">
      <c r="A1465" s="79"/>
      <c r="B1465" s="77" t="s">
        <v>175</v>
      </c>
      <c r="C1465" s="76" t="s">
        <v>4</v>
      </c>
      <c r="D1465" s="143">
        <v>1</v>
      </c>
      <c r="E1465" s="77"/>
      <c r="F1465" s="334"/>
      <c r="G1465" s="112">
        <v>0</v>
      </c>
      <c r="H1465" s="120">
        <v>0</v>
      </c>
      <c r="I1465" s="120">
        <v>0</v>
      </c>
      <c r="J1465" s="120">
        <v>0</v>
      </c>
      <c r="K1465" s="110">
        <v>0</v>
      </c>
      <c r="L1465" s="110"/>
      <c r="M1465" s="110">
        <v>0</v>
      </c>
      <c r="N1465" s="110"/>
      <c r="O1465" s="110"/>
      <c r="P1465" s="110">
        <f t="shared" si="129"/>
        <v>0</v>
      </c>
      <c r="Q1465" s="110">
        <f t="shared" si="130"/>
        <v>0</v>
      </c>
      <c r="R1465" s="110">
        <f t="shared" si="131"/>
        <v>0</v>
      </c>
      <c r="S1465" s="112">
        <v>0</v>
      </c>
    </row>
    <row r="1466" spans="1:19">
      <c r="A1466" s="79"/>
      <c r="B1466" s="77" t="s">
        <v>176</v>
      </c>
      <c r="C1466" s="76" t="s">
        <v>4</v>
      </c>
      <c r="D1466" s="143">
        <v>2</v>
      </c>
      <c r="E1466" s="77"/>
      <c r="F1466" s="334"/>
      <c r="G1466" s="112">
        <v>0</v>
      </c>
      <c r="H1466" s="120">
        <v>0</v>
      </c>
      <c r="I1466" s="120">
        <v>0</v>
      </c>
      <c r="J1466" s="120">
        <v>0</v>
      </c>
      <c r="K1466" s="110">
        <v>0</v>
      </c>
      <c r="L1466" s="110"/>
      <c r="M1466" s="110">
        <v>0</v>
      </c>
      <c r="N1466" s="110"/>
      <c r="O1466" s="110"/>
      <c r="P1466" s="110">
        <f t="shared" si="129"/>
        <v>0</v>
      </c>
      <c r="Q1466" s="110">
        <f t="shared" si="130"/>
        <v>0</v>
      </c>
      <c r="R1466" s="110">
        <f t="shared" si="131"/>
        <v>0</v>
      </c>
      <c r="S1466" s="112">
        <v>0</v>
      </c>
    </row>
    <row r="1467" spans="1:19">
      <c r="A1467" s="79"/>
      <c r="B1467" s="77" t="s">
        <v>177</v>
      </c>
      <c r="C1467" s="76" t="s">
        <v>17</v>
      </c>
      <c r="D1467" s="143">
        <v>1</v>
      </c>
      <c r="E1467" s="77"/>
      <c r="F1467" s="334"/>
      <c r="G1467" s="112">
        <v>0</v>
      </c>
      <c r="H1467" s="120">
        <v>0</v>
      </c>
      <c r="I1467" s="120">
        <v>0</v>
      </c>
      <c r="J1467" s="120">
        <v>0</v>
      </c>
      <c r="K1467" s="110">
        <v>0</v>
      </c>
      <c r="L1467" s="110"/>
      <c r="M1467" s="110">
        <v>0</v>
      </c>
      <c r="N1467" s="110"/>
      <c r="O1467" s="110"/>
      <c r="P1467" s="110">
        <f t="shared" si="129"/>
        <v>0</v>
      </c>
      <c r="Q1467" s="110">
        <f t="shared" si="130"/>
        <v>0</v>
      </c>
      <c r="R1467" s="110">
        <f t="shared" si="131"/>
        <v>0</v>
      </c>
      <c r="S1467" s="112">
        <v>0</v>
      </c>
    </row>
    <row r="1468" spans="1:19">
      <c r="A1468" s="79"/>
      <c r="B1468" s="77" t="s">
        <v>385</v>
      </c>
      <c r="C1468" s="76" t="s">
        <v>8</v>
      </c>
      <c r="D1468" s="143">
        <v>1</v>
      </c>
      <c r="E1468" s="77"/>
      <c r="F1468" s="334"/>
      <c r="G1468" s="112">
        <v>0</v>
      </c>
      <c r="H1468" s="120">
        <v>0</v>
      </c>
      <c r="I1468" s="120">
        <v>0</v>
      </c>
      <c r="J1468" s="120">
        <v>0</v>
      </c>
      <c r="K1468" s="110">
        <v>0</v>
      </c>
      <c r="L1468" s="110"/>
      <c r="M1468" s="110">
        <v>0</v>
      </c>
      <c r="N1468" s="110"/>
      <c r="O1468" s="110"/>
      <c r="P1468" s="110">
        <f t="shared" si="129"/>
        <v>0</v>
      </c>
      <c r="Q1468" s="110">
        <f t="shared" si="130"/>
        <v>0</v>
      </c>
      <c r="R1468" s="110">
        <f t="shared" si="131"/>
        <v>0</v>
      </c>
      <c r="S1468" s="112">
        <v>0</v>
      </c>
    </row>
    <row r="1469" spans="1:19">
      <c r="A1469" s="79"/>
      <c r="B1469" s="77" t="s">
        <v>308</v>
      </c>
      <c r="C1469" s="76" t="s">
        <v>4</v>
      </c>
      <c r="D1469" s="143">
        <v>1</v>
      </c>
      <c r="E1469" s="77"/>
      <c r="F1469" s="334"/>
      <c r="G1469" s="112">
        <v>0</v>
      </c>
      <c r="H1469" s="120">
        <v>0</v>
      </c>
      <c r="I1469" s="120">
        <v>0</v>
      </c>
      <c r="J1469" s="120">
        <v>0</v>
      </c>
      <c r="K1469" s="110">
        <v>0</v>
      </c>
      <c r="L1469" s="110"/>
      <c r="M1469" s="110">
        <v>0</v>
      </c>
      <c r="N1469" s="110"/>
      <c r="O1469" s="110"/>
      <c r="P1469" s="110">
        <f t="shared" si="129"/>
        <v>0</v>
      </c>
      <c r="Q1469" s="110">
        <f t="shared" si="130"/>
        <v>0</v>
      </c>
      <c r="R1469" s="110">
        <f t="shared" si="131"/>
        <v>0</v>
      </c>
      <c r="S1469" s="112">
        <v>0</v>
      </c>
    </row>
    <row r="1470" spans="1:19">
      <c r="A1470" s="79"/>
      <c r="B1470" s="77" t="s">
        <v>173</v>
      </c>
      <c r="C1470" s="76" t="s">
        <v>4</v>
      </c>
      <c r="D1470" s="143">
        <v>1</v>
      </c>
      <c r="E1470" s="77"/>
      <c r="F1470" s="334"/>
      <c r="G1470" s="112">
        <v>0</v>
      </c>
      <c r="H1470" s="120">
        <v>0</v>
      </c>
      <c r="I1470" s="120">
        <v>0</v>
      </c>
      <c r="J1470" s="120">
        <v>0</v>
      </c>
      <c r="K1470" s="110">
        <v>0</v>
      </c>
      <c r="L1470" s="110"/>
      <c r="M1470" s="110">
        <v>0</v>
      </c>
      <c r="N1470" s="110"/>
      <c r="O1470" s="110"/>
      <c r="P1470" s="110">
        <f t="shared" si="129"/>
        <v>0</v>
      </c>
      <c r="Q1470" s="110">
        <f t="shared" si="130"/>
        <v>0</v>
      </c>
      <c r="R1470" s="110">
        <f t="shared" si="131"/>
        <v>0</v>
      </c>
      <c r="S1470" s="112">
        <v>0</v>
      </c>
    </row>
    <row r="1471" spans="1:19">
      <c r="A1471" s="79"/>
      <c r="B1471" s="77" t="s">
        <v>180</v>
      </c>
      <c r="C1471" s="76" t="s">
        <v>4</v>
      </c>
      <c r="D1471" s="143">
        <v>1</v>
      </c>
      <c r="E1471" s="77"/>
      <c r="F1471" s="334"/>
      <c r="G1471" s="112">
        <v>0</v>
      </c>
      <c r="H1471" s="120">
        <v>0</v>
      </c>
      <c r="I1471" s="120">
        <v>0</v>
      </c>
      <c r="J1471" s="120">
        <v>0</v>
      </c>
      <c r="K1471" s="110">
        <v>0</v>
      </c>
      <c r="L1471" s="110"/>
      <c r="M1471" s="110">
        <v>0</v>
      </c>
      <c r="N1471" s="110"/>
      <c r="O1471" s="110"/>
      <c r="P1471" s="110">
        <f t="shared" si="129"/>
        <v>0</v>
      </c>
      <c r="Q1471" s="110">
        <f t="shared" si="130"/>
        <v>0</v>
      </c>
      <c r="R1471" s="110">
        <f t="shared" si="131"/>
        <v>0</v>
      </c>
      <c r="S1471" s="112">
        <v>0</v>
      </c>
    </row>
    <row r="1472" spans="1:19">
      <c r="A1472" s="79"/>
      <c r="B1472" s="77" t="s">
        <v>175</v>
      </c>
      <c r="C1472" s="76" t="s">
        <v>4</v>
      </c>
      <c r="D1472" s="143">
        <v>1</v>
      </c>
      <c r="E1472" s="77"/>
      <c r="F1472" s="334"/>
      <c r="G1472" s="112">
        <v>0</v>
      </c>
      <c r="H1472" s="120">
        <v>0</v>
      </c>
      <c r="I1472" s="120">
        <v>0</v>
      </c>
      <c r="J1472" s="120">
        <v>0</v>
      </c>
      <c r="K1472" s="110">
        <v>0</v>
      </c>
      <c r="L1472" s="110"/>
      <c r="M1472" s="110">
        <v>0</v>
      </c>
      <c r="N1472" s="110"/>
      <c r="O1472" s="110"/>
      <c r="P1472" s="110">
        <f t="shared" si="129"/>
        <v>0</v>
      </c>
      <c r="Q1472" s="110">
        <f t="shared" si="130"/>
        <v>0</v>
      </c>
      <c r="R1472" s="110">
        <f t="shared" si="131"/>
        <v>0</v>
      </c>
      <c r="S1472" s="112">
        <v>0</v>
      </c>
    </row>
    <row r="1473" spans="1:19">
      <c r="A1473" s="79"/>
      <c r="B1473" s="77" t="s">
        <v>176</v>
      </c>
      <c r="C1473" s="76" t="s">
        <v>4</v>
      </c>
      <c r="D1473" s="143">
        <v>2</v>
      </c>
      <c r="E1473" s="77"/>
      <c r="F1473" s="334"/>
      <c r="G1473" s="112">
        <v>0</v>
      </c>
      <c r="H1473" s="120">
        <v>0</v>
      </c>
      <c r="I1473" s="120">
        <v>0</v>
      </c>
      <c r="J1473" s="120">
        <v>0</v>
      </c>
      <c r="K1473" s="110">
        <v>0</v>
      </c>
      <c r="L1473" s="110"/>
      <c r="M1473" s="110">
        <v>0</v>
      </c>
      <c r="N1473" s="110"/>
      <c r="O1473" s="110"/>
      <c r="P1473" s="110">
        <f t="shared" si="129"/>
        <v>0</v>
      </c>
      <c r="Q1473" s="110">
        <f t="shared" si="130"/>
        <v>0</v>
      </c>
      <c r="R1473" s="110">
        <f t="shared" si="131"/>
        <v>0</v>
      </c>
      <c r="S1473" s="112">
        <v>0</v>
      </c>
    </row>
    <row r="1474" spans="1:19">
      <c r="A1474" s="79"/>
      <c r="B1474" s="77" t="s">
        <v>177</v>
      </c>
      <c r="C1474" s="76" t="s">
        <v>17</v>
      </c>
      <c r="D1474" s="143">
        <v>1</v>
      </c>
      <c r="E1474" s="77"/>
      <c r="F1474" s="334"/>
      <c r="G1474" s="112">
        <v>0</v>
      </c>
      <c r="H1474" s="120">
        <v>0</v>
      </c>
      <c r="I1474" s="120">
        <v>0</v>
      </c>
      <c r="J1474" s="120">
        <v>0</v>
      </c>
      <c r="K1474" s="110">
        <v>0</v>
      </c>
      <c r="L1474" s="110"/>
      <c r="M1474" s="110">
        <v>0</v>
      </c>
      <c r="N1474" s="110"/>
      <c r="O1474" s="110"/>
      <c r="P1474" s="110">
        <f t="shared" si="129"/>
        <v>0</v>
      </c>
      <c r="Q1474" s="110">
        <f t="shared" si="130"/>
        <v>0</v>
      </c>
      <c r="R1474" s="110">
        <f t="shared" si="131"/>
        <v>0</v>
      </c>
      <c r="S1474" s="112">
        <v>0</v>
      </c>
    </row>
    <row r="1475" spans="1:19">
      <c r="A1475" s="79"/>
      <c r="B1475" s="77" t="s">
        <v>163</v>
      </c>
      <c r="C1475" s="76" t="s">
        <v>4</v>
      </c>
      <c r="D1475" s="143">
        <v>1</v>
      </c>
      <c r="E1475" s="77"/>
      <c r="F1475" s="334"/>
      <c r="G1475" s="112">
        <v>0</v>
      </c>
      <c r="H1475" s="120">
        <v>0</v>
      </c>
      <c r="I1475" s="120">
        <v>0</v>
      </c>
      <c r="J1475" s="120">
        <v>0</v>
      </c>
      <c r="K1475" s="110">
        <v>0</v>
      </c>
      <c r="L1475" s="110"/>
      <c r="M1475" s="110">
        <v>0</v>
      </c>
      <c r="N1475" s="110"/>
      <c r="O1475" s="110"/>
      <c r="P1475" s="110">
        <f t="shared" si="129"/>
        <v>0</v>
      </c>
      <c r="Q1475" s="110">
        <f t="shared" si="130"/>
        <v>0</v>
      </c>
      <c r="R1475" s="110">
        <f t="shared" si="131"/>
        <v>0</v>
      </c>
      <c r="S1475" s="112">
        <v>0</v>
      </c>
    </row>
    <row r="1476" spans="1:19" ht="30">
      <c r="A1476" s="79"/>
      <c r="B1476" s="77" t="s">
        <v>386</v>
      </c>
      <c r="C1476" s="76" t="s">
        <v>8</v>
      </c>
      <c r="D1476" s="143">
        <v>1</v>
      </c>
      <c r="E1476" s="77"/>
      <c r="F1476" s="334"/>
      <c r="G1476" s="112">
        <v>0</v>
      </c>
      <c r="H1476" s="120">
        <v>0</v>
      </c>
      <c r="I1476" s="120">
        <v>0</v>
      </c>
      <c r="J1476" s="120">
        <v>0</v>
      </c>
      <c r="K1476" s="110">
        <v>0</v>
      </c>
      <c r="L1476" s="110"/>
      <c r="M1476" s="110">
        <v>0</v>
      </c>
      <c r="N1476" s="110"/>
      <c r="O1476" s="110"/>
      <c r="P1476" s="110">
        <f t="shared" si="129"/>
        <v>0</v>
      </c>
      <c r="Q1476" s="110">
        <f t="shared" si="130"/>
        <v>0</v>
      </c>
      <c r="R1476" s="110">
        <f t="shared" si="131"/>
        <v>0</v>
      </c>
      <c r="S1476" s="112">
        <v>0</v>
      </c>
    </row>
    <row r="1477" spans="1:19">
      <c r="A1477" s="79"/>
      <c r="B1477" s="77" t="s">
        <v>207</v>
      </c>
      <c r="C1477" s="76" t="s">
        <v>8</v>
      </c>
      <c r="D1477" s="143">
        <v>1</v>
      </c>
      <c r="E1477" s="77"/>
      <c r="F1477" s="334"/>
      <c r="G1477" s="112">
        <v>0</v>
      </c>
      <c r="H1477" s="120">
        <v>0</v>
      </c>
      <c r="I1477" s="120">
        <v>0</v>
      </c>
      <c r="J1477" s="120">
        <v>0</v>
      </c>
      <c r="K1477" s="110">
        <v>0</v>
      </c>
      <c r="L1477" s="110"/>
      <c r="M1477" s="110">
        <v>0</v>
      </c>
      <c r="N1477" s="110"/>
      <c r="O1477" s="110"/>
      <c r="P1477" s="110">
        <f t="shared" si="129"/>
        <v>0</v>
      </c>
      <c r="Q1477" s="110">
        <f t="shared" si="130"/>
        <v>0</v>
      </c>
      <c r="R1477" s="110">
        <f t="shared" si="131"/>
        <v>0</v>
      </c>
      <c r="S1477" s="112">
        <v>0</v>
      </c>
    </row>
    <row r="1478" spans="1:19" ht="45">
      <c r="A1478" s="79"/>
      <c r="B1478" s="77" t="s">
        <v>166</v>
      </c>
      <c r="C1478" s="76" t="s">
        <v>17</v>
      </c>
      <c r="D1478" s="143">
        <v>1</v>
      </c>
      <c r="E1478" s="77"/>
      <c r="F1478" s="334"/>
      <c r="G1478" s="112">
        <v>0</v>
      </c>
      <c r="H1478" s="120">
        <v>0</v>
      </c>
      <c r="I1478" s="120">
        <v>0</v>
      </c>
      <c r="J1478" s="120">
        <v>0</v>
      </c>
      <c r="K1478" s="110">
        <v>0</v>
      </c>
      <c r="L1478" s="110"/>
      <c r="M1478" s="110">
        <v>0</v>
      </c>
      <c r="N1478" s="110"/>
      <c r="O1478" s="110"/>
      <c r="P1478" s="110">
        <f t="shared" si="129"/>
        <v>0</v>
      </c>
      <c r="Q1478" s="110">
        <f t="shared" si="130"/>
        <v>0</v>
      </c>
      <c r="R1478" s="110">
        <f t="shared" si="131"/>
        <v>0</v>
      </c>
      <c r="S1478" s="112">
        <v>0</v>
      </c>
    </row>
    <row r="1479" spans="1:19" ht="60">
      <c r="A1479" s="79">
        <v>50</v>
      </c>
      <c r="B1479" s="77" t="s">
        <v>387</v>
      </c>
      <c r="C1479" s="76" t="s">
        <v>6</v>
      </c>
      <c r="D1479" s="143">
        <v>1</v>
      </c>
      <c r="E1479" s="77"/>
      <c r="F1479" s="334">
        <v>1</v>
      </c>
      <c r="G1479" s="112" t="s">
        <v>856</v>
      </c>
      <c r="H1479" s="120" t="s">
        <v>1076</v>
      </c>
      <c r="I1479" s="120" t="s">
        <v>828</v>
      </c>
      <c r="J1479" s="120" t="s">
        <v>829</v>
      </c>
      <c r="K1479" s="110">
        <v>145680300</v>
      </c>
      <c r="L1479" s="110"/>
      <c r="M1479" s="110">
        <v>7556300</v>
      </c>
      <c r="N1479" s="110"/>
      <c r="O1479" s="110"/>
      <c r="P1479" s="110">
        <f t="shared" si="129"/>
        <v>153236600</v>
      </c>
      <c r="Q1479" s="110">
        <f t="shared" si="130"/>
        <v>153236600</v>
      </c>
      <c r="R1479" s="110">
        <f t="shared" si="131"/>
        <v>153236600</v>
      </c>
      <c r="S1479" s="112" t="s">
        <v>4094</v>
      </c>
    </row>
    <row r="1480" spans="1:19" ht="45">
      <c r="A1480" s="79"/>
      <c r="B1480" s="77" t="s">
        <v>330</v>
      </c>
      <c r="C1480" s="76" t="s">
        <v>4</v>
      </c>
      <c r="D1480" s="143">
        <v>1</v>
      </c>
      <c r="E1480" s="77"/>
      <c r="F1480" s="334"/>
      <c r="G1480" s="112">
        <v>0</v>
      </c>
      <c r="H1480" s="120">
        <v>0</v>
      </c>
      <c r="I1480" s="120">
        <v>0</v>
      </c>
      <c r="J1480" s="120">
        <v>0</v>
      </c>
      <c r="K1480" s="110">
        <v>0</v>
      </c>
      <c r="L1480" s="110"/>
      <c r="M1480" s="110">
        <v>0</v>
      </c>
      <c r="N1480" s="110"/>
      <c r="O1480" s="110"/>
      <c r="P1480" s="110">
        <f t="shared" si="129"/>
        <v>0</v>
      </c>
      <c r="Q1480" s="110">
        <f t="shared" si="130"/>
        <v>0</v>
      </c>
      <c r="R1480" s="110">
        <f t="shared" si="131"/>
        <v>0</v>
      </c>
      <c r="S1480" s="112" t="s">
        <v>150</v>
      </c>
    </row>
    <row r="1481" spans="1:19">
      <c r="A1481" s="79"/>
      <c r="B1481" s="77" t="s">
        <v>151</v>
      </c>
      <c r="C1481" s="76"/>
      <c r="D1481" s="143"/>
      <c r="E1481" s="77"/>
      <c r="F1481" s="76"/>
      <c r="G1481" s="112">
        <v>0</v>
      </c>
      <c r="H1481" s="120">
        <v>0</v>
      </c>
      <c r="I1481" s="120">
        <v>0</v>
      </c>
      <c r="J1481" s="120">
        <v>0</v>
      </c>
      <c r="K1481" s="110">
        <v>0</v>
      </c>
      <c r="L1481" s="110"/>
      <c r="M1481" s="110">
        <v>0</v>
      </c>
      <c r="N1481" s="110"/>
      <c r="O1481" s="110"/>
      <c r="P1481" s="110">
        <f t="shared" si="129"/>
        <v>0</v>
      </c>
      <c r="Q1481" s="110">
        <f t="shared" si="130"/>
        <v>0</v>
      </c>
      <c r="R1481" s="110">
        <f t="shared" si="131"/>
        <v>0</v>
      </c>
      <c r="S1481" s="112">
        <v>0</v>
      </c>
    </row>
    <row r="1482" spans="1:19">
      <c r="A1482" s="79"/>
      <c r="B1482" s="77" t="s">
        <v>388</v>
      </c>
      <c r="C1482" s="76" t="s">
        <v>4</v>
      </c>
      <c r="D1482" s="143">
        <v>1</v>
      </c>
      <c r="E1482" s="77"/>
      <c r="F1482" s="334"/>
      <c r="G1482" s="112">
        <v>0</v>
      </c>
      <c r="H1482" s="120">
        <v>0</v>
      </c>
      <c r="I1482" s="120">
        <v>0</v>
      </c>
      <c r="J1482" s="120">
        <v>0</v>
      </c>
      <c r="K1482" s="110">
        <v>0</v>
      </c>
      <c r="L1482" s="110"/>
      <c r="M1482" s="110">
        <v>0</v>
      </c>
      <c r="N1482" s="110"/>
      <c r="O1482" s="110"/>
      <c r="P1482" s="110">
        <f t="shared" si="129"/>
        <v>0</v>
      </c>
      <c r="Q1482" s="110">
        <f t="shared" si="130"/>
        <v>0</v>
      </c>
      <c r="R1482" s="110">
        <f t="shared" si="131"/>
        <v>0</v>
      </c>
      <c r="S1482" s="112">
        <v>0</v>
      </c>
    </row>
    <row r="1483" spans="1:19">
      <c r="A1483" s="79"/>
      <c r="B1483" s="77" t="s">
        <v>389</v>
      </c>
      <c r="C1483" s="76" t="s">
        <v>12</v>
      </c>
      <c r="D1483" s="143">
        <v>6</v>
      </c>
      <c r="E1483" s="77"/>
      <c r="F1483" s="334"/>
      <c r="G1483" s="112">
        <v>0</v>
      </c>
      <c r="H1483" s="120">
        <v>0</v>
      </c>
      <c r="I1483" s="120">
        <v>0</v>
      </c>
      <c r="J1483" s="120">
        <v>0</v>
      </c>
      <c r="K1483" s="110">
        <v>0</v>
      </c>
      <c r="L1483" s="110"/>
      <c r="M1483" s="110">
        <v>0</v>
      </c>
      <c r="N1483" s="110"/>
      <c r="O1483" s="110"/>
      <c r="P1483" s="110">
        <f t="shared" si="129"/>
        <v>0</v>
      </c>
      <c r="Q1483" s="110">
        <f t="shared" si="130"/>
        <v>0</v>
      </c>
      <c r="R1483" s="110">
        <f t="shared" si="131"/>
        <v>0</v>
      </c>
      <c r="S1483" s="112">
        <v>0</v>
      </c>
    </row>
    <row r="1484" spans="1:19">
      <c r="A1484" s="79"/>
      <c r="B1484" s="77" t="s">
        <v>345</v>
      </c>
      <c r="C1484" s="76" t="s">
        <v>4</v>
      </c>
      <c r="D1484" s="143">
        <v>1</v>
      </c>
      <c r="E1484" s="77"/>
      <c r="F1484" s="334"/>
      <c r="G1484" s="112">
        <v>0</v>
      </c>
      <c r="H1484" s="120">
        <v>0</v>
      </c>
      <c r="I1484" s="120">
        <v>0</v>
      </c>
      <c r="J1484" s="120">
        <v>0</v>
      </c>
      <c r="K1484" s="110">
        <v>0</v>
      </c>
      <c r="L1484" s="110"/>
      <c r="M1484" s="110">
        <v>0</v>
      </c>
      <c r="N1484" s="110"/>
      <c r="O1484" s="110"/>
      <c r="P1484" s="110">
        <f t="shared" si="129"/>
        <v>0</v>
      </c>
      <c r="Q1484" s="110">
        <f t="shared" si="130"/>
        <v>0</v>
      </c>
      <c r="R1484" s="110">
        <f t="shared" si="131"/>
        <v>0</v>
      </c>
      <c r="S1484" s="112">
        <v>0</v>
      </c>
    </row>
    <row r="1485" spans="1:19">
      <c r="A1485" s="79"/>
      <c r="B1485" s="77" t="s">
        <v>371</v>
      </c>
      <c r="C1485" s="76" t="s">
        <v>4</v>
      </c>
      <c r="D1485" s="143">
        <v>2</v>
      </c>
      <c r="E1485" s="77"/>
      <c r="F1485" s="334"/>
      <c r="G1485" s="112">
        <v>0</v>
      </c>
      <c r="H1485" s="120">
        <v>0</v>
      </c>
      <c r="I1485" s="120">
        <v>0</v>
      </c>
      <c r="J1485" s="120">
        <v>0</v>
      </c>
      <c r="K1485" s="110">
        <v>0</v>
      </c>
      <c r="L1485" s="110"/>
      <c r="M1485" s="110">
        <v>0</v>
      </c>
      <c r="N1485" s="110"/>
      <c r="O1485" s="110"/>
      <c r="P1485" s="110">
        <f t="shared" si="129"/>
        <v>0</v>
      </c>
      <c r="Q1485" s="110">
        <f t="shared" si="130"/>
        <v>0</v>
      </c>
      <c r="R1485" s="110">
        <f t="shared" si="131"/>
        <v>0</v>
      </c>
      <c r="S1485" s="112">
        <v>0</v>
      </c>
    </row>
    <row r="1486" spans="1:19">
      <c r="A1486" s="79"/>
      <c r="B1486" s="77" t="s">
        <v>14</v>
      </c>
      <c r="C1486" s="76" t="s">
        <v>4</v>
      </c>
      <c r="D1486" s="143">
        <v>6</v>
      </c>
      <c r="E1486" s="77"/>
      <c r="F1486" s="334"/>
      <c r="G1486" s="112">
        <v>0</v>
      </c>
      <c r="H1486" s="120">
        <v>0</v>
      </c>
      <c r="I1486" s="120">
        <v>0</v>
      </c>
      <c r="J1486" s="120">
        <v>0</v>
      </c>
      <c r="K1486" s="110">
        <v>0</v>
      </c>
      <c r="L1486" s="110"/>
      <c r="M1486" s="110">
        <v>0</v>
      </c>
      <c r="N1486" s="110"/>
      <c r="O1486" s="110"/>
      <c r="P1486" s="110">
        <f t="shared" si="129"/>
        <v>0</v>
      </c>
      <c r="Q1486" s="110">
        <f t="shared" si="130"/>
        <v>0</v>
      </c>
      <c r="R1486" s="110">
        <f t="shared" si="131"/>
        <v>0</v>
      </c>
      <c r="S1486" s="112">
        <v>0</v>
      </c>
    </row>
    <row r="1487" spans="1:19">
      <c r="A1487" s="79"/>
      <c r="B1487" s="77" t="s">
        <v>153</v>
      </c>
      <c r="C1487" s="76" t="s">
        <v>4</v>
      </c>
      <c r="D1487" s="143">
        <v>6</v>
      </c>
      <c r="E1487" s="77"/>
      <c r="F1487" s="334"/>
      <c r="G1487" s="112">
        <v>0</v>
      </c>
      <c r="H1487" s="120">
        <v>0</v>
      </c>
      <c r="I1487" s="120">
        <v>0</v>
      </c>
      <c r="J1487" s="120">
        <v>0</v>
      </c>
      <c r="K1487" s="110">
        <v>0</v>
      </c>
      <c r="L1487" s="110"/>
      <c r="M1487" s="110">
        <v>0</v>
      </c>
      <c r="N1487" s="110"/>
      <c r="O1487" s="110"/>
      <c r="P1487" s="110">
        <f t="shared" si="129"/>
        <v>0</v>
      </c>
      <c r="Q1487" s="110">
        <f t="shared" si="130"/>
        <v>0</v>
      </c>
      <c r="R1487" s="110">
        <f t="shared" si="131"/>
        <v>0</v>
      </c>
      <c r="S1487" s="112">
        <v>0</v>
      </c>
    </row>
    <row r="1488" spans="1:19">
      <c r="A1488" s="79"/>
      <c r="B1488" s="77" t="s">
        <v>154</v>
      </c>
      <c r="C1488" s="76"/>
      <c r="D1488" s="143"/>
      <c r="E1488" s="77"/>
      <c r="F1488" s="76"/>
      <c r="G1488" s="112">
        <v>0</v>
      </c>
      <c r="H1488" s="120">
        <v>0</v>
      </c>
      <c r="I1488" s="120">
        <v>0</v>
      </c>
      <c r="J1488" s="120">
        <v>0</v>
      </c>
      <c r="K1488" s="110">
        <v>0</v>
      </c>
      <c r="L1488" s="110"/>
      <c r="M1488" s="110">
        <v>0</v>
      </c>
      <c r="N1488" s="110"/>
      <c r="O1488" s="110"/>
      <c r="P1488" s="110">
        <f t="shared" si="129"/>
        <v>0</v>
      </c>
      <c r="Q1488" s="110">
        <f t="shared" si="130"/>
        <v>0</v>
      </c>
      <c r="R1488" s="110">
        <f t="shared" si="131"/>
        <v>0</v>
      </c>
      <c r="S1488" s="112">
        <v>0</v>
      </c>
    </row>
    <row r="1489" spans="1:19">
      <c r="A1489" s="79"/>
      <c r="B1489" s="77" t="s">
        <v>372</v>
      </c>
      <c r="C1489" s="76" t="s">
        <v>4</v>
      </c>
      <c r="D1489" s="143">
        <v>1</v>
      </c>
      <c r="E1489" s="77"/>
      <c r="F1489" s="334"/>
      <c r="G1489" s="112">
        <v>0</v>
      </c>
      <c r="H1489" s="120">
        <v>0</v>
      </c>
      <c r="I1489" s="120">
        <v>0</v>
      </c>
      <c r="J1489" s="120">
        <v>0</v>
      </c>
      <c r="K1489" s="110">
        <v>0</v>
      </c>
      <c r="L1489" s="110"/>
      <c r="M1489" s="110">
        <v>0</v>
      </c>
      <c r="N1489" s="110"/>
      <c r="O1489" s="110"/>
      <c r="P1489" s="110">
        <f t="shared" si="129"/>
        <v>0</v>
      </c>
      <c r="Q1489" s="110">
        <f t="shared" si="130"/>
        <v>0</v>
      </c>
      <c r="R1489" s="110">
        <f t="shared" si="131"/>
        <v>0</v>
      </c>
      <c r="S1489" s="112">
        <v>0</v>
      </c>
    </row>
    <row r="1490" spans="1:19">
      <c r="A1490" s="79"/>
      <c r="B1490" s="77" t="s">
        <v>229</v>
      </c>
      <c r="C1490" s="76" t="s">
        <v>4</v>
      </c>
      <c r="D1490" s="143">
        <v>1</v>
      </c>
      <c r="E1490" s="59"/>
      <c r="F1490" s="334"/>
      <c r="G1490" s="112">
        <v>0</v>
      </c>
      <c r="H1490" s="120">
        <v>0</v>
      </c>
      <c r="I1490" s="120">
        <v>0</v>
      </c>
      <c r="J1490" s="120">
        <v>0</v>
      </c>
      <c r="K1490" s="110">
        <v>0</v>
      </c>
      <c r="L1490" s="110"/>
      <c r="M1490" s="110">
        <v>0</v>
      </c>
      <c r="N1490" s="110"/>
      <c r="O1490" s="110"/>
      <c r="P1490" s="110">
        <f t="shared" si="129"/>
        <v>0</v>
      </c>
      <c r="Q1490" s="110">
        <f t="shared" si="130"/>
        <v>0</v>
      </c>
      <c r="R1490" s="110">
        <f t="shared" si="131"/>
        <v>0</v>
      </c>
      <c r="S1490" s="112">
        <v>0</v>
      </c>
    </row>
    <row r="1491" spans="1:19">
      <c r="A1491" s="79"/>
      <c r="B1491" s="77" t="s">
        <v>185</v>
      </c>
      <c r="C1491" s="76" t="s">
        <v>4</v>
      </c>
      <c r="D1491" s="143">
        <v>1</v>
      </c>
      <c r="E1491" s="77"/>
      <c r="F1491" s="334"/>
      <c r="G1491" s="112">
        <v>0</v>
      </c>
      <c r="H1491" s="120">
        <v>0</v>
      </c>
      <c r="I1491" s="120">
        <v>0</v>
      </c>
      <c r="J1491" s="120">
        <v>0</v>
      </c>
      <c r="K1491" s="110">
        <v>0</v>
      </c>
      <c r="L1491" s="110"/>
      <c r="M1491" s="110">
        <v>0</v>
      </c>
      <c r="N1491" s="110"/>
      <c r="O1491" s="110"/>
      <c r="P1491" s="110">
        <f t="shared" si="129"/>
        <v>0</v>
      </c>
      <c r="Q1491" s="110">
        <f t="shared" si="130"/>
        <v>0</v>
      </c>
      <c r="R1491" s="110">
        <f t="shared" si="131"/>
        <v>0</v>
      </c>
      <c r="S1491" s="112">
        <v>0</v>
      </c>
    </row>
    <row r="1492" spans="1:19">
      <c r="A1492" s="79"/>
      <c r="B1492" s="77" t="s">
        <v>306</v>
      </c>
      <c r="C1492" s="76" t="s">
        <v>4</v>
      </c>
      <c r="D1492" s="143">
        <v>1</v>
      </c>
      <c r="E1492" s="77"/>
      <c r="F1492" s="334"/>
      <c r="G1492" s="112">
        <v>0</v>
      </c>
      <c r="H1492" s="120">
        <v>0</v>
      </c>
      <c r="I1492" s="120">
        <v>0</v>
      </c>
      <c r="J1492" s="120">
        <v>0</v>
      </c>
      <c r="K1492" s="110">
        <v>0</v>
      </c>
      <c r="L1492" s="110"/>
      <c r="M1492" s="110">
        <v>0</v>
      </c>
      <c r="N1492" s="110"/>
      <c r="O1492" s="110"/>
      <c r="P1492" s="110">
        <f t="shared" si="129"/>
        <v>0</v>
      </c>
      <c r="Q1492" s="110">
        <f t="shared" si="130"/>
        <v>0</v>
      </c>
      <c r="R1492" s="110">
        <f t="shared" si="131"/>
        <v>0</v>
      </c>
      <c r="S1492" s="112">
        <v>0</v>
      </c>
    </row>
    <row r="1493" spans="1:19" ht="30">
      <c r="A1493" s="79"/>
      <c r="B1493" s="77" t="s">
        <v>390</v>
      </c>
      <c r="C1493" s="76" t="s">
        <v>8</v>
      </c>
      <c r="D1493" s="143">
        <v>1</v>
      </c>
      <c r="E1493" s="77"/>
      <c r="F1493" s="334"/>
      <c r="G1493" s="112">
        <v>0</v>
      </c>
      <c r="H1493" s="120">
        <v>0</v>
      </c>
      <c r="I1493" s="120">
        <v>0</v>
      </c>
      <c r="J1493" s="120">
        <v>0</v>
      </c>
      <c r="K1493" s="110">
        <v>0</v>
      </c>
      <c r="L1493" s="110"/>
      <c r="M1493" s="110">
        <v>0</v>
      </c>
      <c r="N1493" s="110"/>
      <c r="O1493" s="110"/>
      <c r="P1493" s="110">
        <f t="shared" si="129"/>
        <v>0</v>
      </c>
      <c r="Q1493" s="110">
        <f t="shared" si="130"/>
        <v>0</v>
      </c>
      <c r="R1493" s="110">
        <f t="shared" si="131"/>
        <v>0</v>
      </c>
      <c r="S1493" s="112">
        <v>0</v>
      </c>
    </row>
    <row r="1494" spans="1:19">
      <c r="A1494" s="79"/>
      <c r="B1494" s="77" t="s">
        <v>207</v>
      </c>
      <c r="C1494" s="76" t="s">
        <v>8</v>
      </c>
      <c r="D1494" s="143">
        <v>1</v>
      </c>
      <c r="E1494" s="77"/>
      <c r="F1494" s="334"/>
      <c r="G1494" s="112">
        <v>0</v>
      </c>
      <c r="H1494" s="120">
        <v>0</v>
      </c>
      <c r="I1494" s="120">
        <v>0</v>
      </c>
      <c r="J1494" s="120">
        <v>0</v>
      </c>
      <c r="K1494" s="110">
        <v>0</v>
      </c>
      <c r="L1494" s="110"/>
      <c r="M1494" s="110">
        <v>0</v>
      </c>
      <c r="N1494" s="110"/>
      <c r="O1494" s="110"/>
      <c r="P1494" s="110">
        <f t="shared" si="129"/>
        <v>0</v>
      </c>
      <c r="Q1494" s="110">
        <f t="shared" si="130"/>
        <v>0</v>
      </c>
      <c r="R1494" s="110">
        <f t="shared" si="131"/>
        <v>0</v>
      </c>
      <c r="S1494" s="112">
        <v>0</v>
      </c>
    </row>
    <row r="1495" spans="1:19" ht="45">
      <c r="A1495" s="79"/>
      <c r="B1495" s="77" t="s">
        <v>166</v>
      </c>
      <c r="C1495" s="76" t="s">
        <v>17</v>
      </c>
      <c r="D1495" s="143">
        <v>1</v>
      </c>
      <c r="E1495" s="77"/>
      <c r="F1495" s="334"/>
      <c r="G1495" s="112">
        <v>0</v>
      </c>
      <c r="H1495" s="120">
        <v>0</v>
      </c>
      <c r="I1495" s="120">
        <v>0</v>
      </c>
      <c r="J1495" s="120">
        <v>0</v>
      </c>
      <c r="K1495" s="110">
        <v>0</v>
      </c>
      <c r="L1495" s="110"/>
      <c r="M1495" s="110">
        <v>0</v>
      </c>
      <c r="N1495" s="110"/>
      <c r="O1495" s="110"/>
      <c r="P1495" s="110">
        <f t="shared" si="129"/>
        <v>0</v>
      </c>
      <c r="Q1495" s="110">
        <f t="shared" si="130"/>
        <v>0</v>
      </c>
      <c r="R1495" s="110">
        <f t="shared" si="131"/>
        <v>0</v>
      </c>
      <c r="S1495" s="112">
        <v>0</v>
      </c>
    </row>
    <row r="1496" spans="1:19" ht="60">
      <c r="A1496" s="79">
        <v>51</v>
      </c>
      <c r="B1496" s="77" t="s">
        <v>391</v>
      </c>
      <c r="C1496" s="76" t="s">
        <v>6</v>
      </c>
      <c r="D1496" s="143">
        <v>1</v>
      </c>
      <c r="E1496" s="77"/>
      <c r="F1496" s="334">
        <v>1</v>
      </c>
      <c r="G1496" s="112" t="s">
        <v>857</v>
      </c>
      <c r="H1496" s="120" t="s">
        <v>1076</v>
      </c>
      <c r="I1496" s="120" t="s">
        <v>828</v>
      </c>
      <c r="J1496" s="120" t="s">
        <v>829</v>
      </c>
      <c r="K1496" s="110">
        <v>17449800</v>
      </c>
      <c r="L1496" s="110"/>
      <c r="M1496" s="110">
        <v>2821000</v>
      </c>
      <c r="N1496" s="110"/>
      <c r="O1496" s="110"/>
      <c r="P1496" s="110">
        <f t="shared" si="129"/>
        <v>20270800</v>
      </c>
      <c r="Q1496" s="110">
        <f t="shared" si="130"/>
        <v>20270800</v>
      </c>
      <c r="R1496" s="110">
        <f t="shared" si="131"/>
        <v>20270800</v>
      </c>
      <c r="S1496" s="112" t="s">
        <v>4094</v>
      </c>
    </row>
    <row r="1497" spans="1:19" ht="45">
      <c r="A1497" s="79"/>
      <c r="B1497" s="77" t="s">
        <v>225</v>
      </c>
      <c r="C1497" s="76" t="s">
        <v>4</v>
      </c>
      <c r="D1497" s="143">
        <v>1</v>
      </c>
      <c r="E1497" s="77"/>
      <c r="F1497" s="334"/>
      <c r="G1497" s="112">
        <v>0</v>
      </c>
      <c r="H1497" s="120">
        <v>0</v>
      </c>
      <c r="I1497" s="120">
        <v>0</v>
      </c>
      <c r="J1497" s="120">
        <v>0</v>
      </c>
      <c r="K1497" s="110">
        <v>0</v>
      </c>
      <c r="L1497" s="110"/>
      <c r="M1497" s="110">
        <v>0</v>
      </c>
      <c r="N1497" s="110"/>
      <c r="O1497" s="110"/>
      <c r="P1497" s="110">
        <f t="shared" si="129"/>
        <v>0</v>
      </c>
      <c r="Q1497" s="110">
        <f t="shared" si="130"/>
        <v>0</v>
      </c>
      <c r="R1497" s="110">
        <f t="shared" si="131"/>
        <v>0</v>
      </c>
      <c r="S1497" s="112" t="s">
        <v>150</v>
      </c>
    </row>
    <row r="1498" spans="1:19">
      <c r="A1498" s="79"/>
      <c r="B1498" s="77" t="s">
        <v>151</v>
      </c>
      <c r="C1498" s="76"/>
      <c r="D1498" s="143"/>
      <c r="E1498" s="77"/>
      <c r="F1498" s="76"/>
      <c r="G1498" s="112">
        <v>0</v>
      </c>
      <c r="H1498" s="120">
        <v>0</v>
      </c>
      <c r="I1498" s="120">
        <v>0</v>
      </c>
      <c r="J1498" s="120">
        <v>0</v>
      </c>
      <c r="K1498" s="110">
        <v>0</v>
      </c>
      <c r="L1498" s="110"/>
      <c r="M1498" s="110">
        <v>0</v>
      </c>
      <c r="N1498" s="110"/>
      <c r="O1498" s="110"/>
      <c r="P1498" s="110">
        <f t="shared" si="129"/>
        <v>0</v>
      </c>
      <c r="Q1498" s="110">
        <f t="shared" si="130"/>
        <v>0</v>
      </c>
      <c r="R1498" s="110">
        <f t="shared" si="131"/>
        <v>0</v>
      </c>
      <c r="S1498" s="112">
        <v>0</v>
      </c>
    </row>
    <row r="1499" spans="1:19">
      <c r="A1499" s="79"/>
      <c r="B1499" s="77" t="s">
        <v>392</v>
      </c>
      <c r="C1499" s="76" t="s">
        <v>4</v>
      </c>
      <c r="D1499" s="143">
        <v>1</v>
      </c>
      <c r="E1499" s="77"/>
      <c r="F1499" s="334"/>
      <c r="G1499" s="112">
        <v>0</v>
      </c>
      <c r="H1499" s="120">
        <v>0</v>
      </c>
      <c r="I1499" s="120">
        <v>0</v>
      </c>
      <c r="J1499" s="120">
        <v>0</v>
      </c>
      <c r="K1499" s="110">
        <v>0</v>
      </c>
      <c r="L1499" s="110"/>
      <c r="M1499" s="110">
        <v>0</v>
      </c>
      <c r="N1499" s="110"/>
      <c r="O1499" s="110"/>
      <c r="P1499" s="110">
        <f t="shared" si="129"/>
        <v>0</v>
      </c>
      <c r="Q1499" s="110">
        <f t="shared" si="130"/>
        <v>0</v>
      </c>
      <c r="R1499" s="110">
        <f t="shared" si="131"/>
        <v>0</v>
      </c>
      <c r="S1499" s="112">
        <v>0</v>
      </c>
    </row>
    <row r="1500" spans="1:19">
      <c r="A1500" s="79"/>
      <c r="B1500" s="77" t="s">
        <v>14</v>
      </c>
      <c r="C1500" s="76" t="s">
        <v>4</v>
      </c>
      <c r="D1500" s="143">
        <v>3</v>
      </c>
      <c r="E1500" s="77"/>
      <c r="F1500" s="334"/>
      <c r="G1500" s="112">
        <v>0</v>
      </c>
      <c r="H1500" s="120">
        <v>0</v>
      </c>
      <c r="I1500" s="120">
        <v>0</v>
      </c>
      <c r="J1500" s="120">
        <v>0</v>
      </c>
      <c r="K1500" s="110">
        <v>0</v>
      </c>
      <c r="L1500" s="110"/>
      <c r="M1500" s="110">
        <v>0</v>
      </c>
      <c r="N1500" s="110"/>
      <c r="O1500" s="110"/>
      <c r="P1500" s="110">
        <f t="shared" si="129"/>
        <v>0</v>
      </c>
      <c r="Q1500" s="110">
        <f t="shared" si="130"/>
        <v>0</v>
      </c>
      <c r="R1500" s="110">
        <f t="shared" si="131"/>
        <v>0</v>
      </c>
      <c r="S1500" s="112">
        <v>0</v>
      </c>
    </row>
    <row r="1501" spans="1:19">
      <c r="A1501" s="79"/>
      <c r="B1501" s="77" t="s">
        <v>154</v>
      </c>
      <c r="C1501" s="76"/>
      <c r="D1501" s="143"/>
      <c r="E1501" s="77"/>
      <c r="F1501" s="76"/>
      <c r="G1501" s="112">
        <v>0</v>
      </c>
      <c r="H1501" s="120">
        <v>0</v>
      </c>
      <c r="I1501" s="120">
        <v>0</v>
      </c>
      <c r="J1501" s="120">
        <v>0</v>
      </c>
      <c r="K1501" s="110">
        <v>0</v>
      </c>
      <c r="L1501" s="110"/>
      <c r="M1501" s="110">
        <v>0</v>
      </c>
      <c r="N1501" s="110"/>
      <c r="O1501" s="110"/>
      <c r="P1501" s="110">
        <f t="shared" si="129"/>
        <v>0</v>
      </c>
      <c r="Q1501" s="110">
        <f t="shared" si="130"/>
        <v>0</v>
      </c>
      <c r="R1501" s="110">
        <f t="shared" si="131"/>
        <v>0</v>
      </c>
      <c r="S1501" s="112">
        <v>0</v>
      </c>
    </row>
    <row r="1502" spans="1:19">
      <c r="A1502" s="79"/>
      <c r="B1502" s="77" t="s">
        <v>242</v>
      </c>
      <c r="C1502" s="76" t="s">
        <v>4</v>
      </c>
      <c r="D1502" s="143">
        <v>1</v>
      </c>
      <c r="E1502" s="77"/>
      <c r="F1502" s="334"/>
      <c r="G1502" s="112">
        <v>0</v>
      </c>
      <c r="H1502" s="120">
        <v>0</v>
      </c>
      <c r="I1502" s="120">
        <v>0</v>
      </c>
      <c r="J1502" s="120">
        <v>0</v>
      </c>
      <c r="K1502" s="110">
        <v>0</v>
      </c>
      <c r="L1502" s="110"/>
      <c r="M1502" s="110">
        <v>0</v>
      </c>
      <c r="N1502" s="110"/>
      <c r="O1502" s="110"/>
      <c r="P1502" s="110">
        <f t="shared" si="129"/>
        <v>0</v>
      </c>
      <c r="Q1502" s="110">
        <f t="shared" si="130"/>
        <v>0</v>
      </c>
      <c r="R1502" s="110">
        <f t="shared" si="131"/>
        <v>0</v>
      </c>
      <c r="S1502" s="112">
        <v>0</v>
      </c>
    </row>
    <row r="1503" spans="1:19">
      <c r="A1503" s="79"/>
      <c r="B1503" s="77" t="s">
        <v>311</v>
      </c>
      <c r="C1503" s="76" t="s">
        <v>4</v>
      </c>
      <c r="D1503" s="143">
        <v>1</v>
      </c>
      <c r="E1503" s="77"/>
      <c r="F1503" s="334"/>
      <c r="G1503" s="112">
        <v>0</v>
      </c>
      <c r="H1503" s="120">
        <v>0</v>
      </c>
      <c r="I1503" s="120">
        <v>0</v>
      </c>
      <c r="J1503" s="120">
        <v>0</v>
      </c>
      <c r="K1503" s="110">
        <v>0</v>
      </c>
      <c r="L1503" s="110"/>
      <c r="M1503" s="110">
        <v>0</v>
      </c>
      <c r="N1503" s="110"/>
      <c r="O1503" s="110"/>
      <c r="P1503" s="110">
        <f t="shared" si="129"/>
        <v>0</v>
      </c>
      <c r="Q1503" s="110">
        <f t="shared" si="130"/>
        <v>0</v>
      </c>
      <c r="R1503" s="110">
        <f t="shared" si="131"/>
        <v>0</v>
      </c>
      <c r="S1503" s="112">
        <v>0</v>
      </c>
    </row>
    <row r="1504" spans="1:19" ht="30">
      <c r="A1504" s="79"/>
      <c r="B1504" s="77" t="s">
        <v>357</v>
      </c>
      <c r="C1504" s="76" t="s">
        <v>8</v>
      </c>
      <c r="D1504" s="143">
        <v>1</v>
      </c>
      <c r="E1504" s="77"/>
      <c r="F1504" s="334"/>
      <c r="G1504" s="112">
        <v>0</v>
      </c>
      <c r="H1504" s="120">
        <v>0</v>
      </c>
      <c r="I1504" s="120">
        <v>0</v>
      </c>
      <c r="J1504" s="120">
        <v>0</v>
      </c>
      <c r="K1504" s="110">
        <v>0</v>
      </c>
      <c r="L1504" s="110"/>
      <c r="M1504" s="110">
        <v>0</v>
      </c>
      <c r="N1504" s="110"/>
      <c r="O1504" s="110"/>
      <c r="P1504" s="110">
        <f t="shared" si="129"/>
        <v>0</v>
      </c>
      <c r="Q1504" s="110">
        <f t="shared" si="130"/>
        <v>0</v>
      </c>
      <c r="R1504" s="110">
        <f t="shared" si="131"/>
        <v>0</v>
      </c>
      <c r="S1504" s="112">
        <v>0</v>
      </c>
    </row>
    <row r="1505" spans="1:19">
      <c r="A1505" s="79"/>
      <c r="B1505" s="77" t="s">
        <v>207</v>
      </c>
      <c r="C1505" s="76" t="s">
        <v>8</v>
      </c>
      <c r="D1505" s="143">
        <v>1</v>
      </c>
      <c r="E1505" s="77"/>
      <c r="F1505" s="334"/>
      <c r="G1505" s="112">
        <v>0</v>
      </c>
      <c r="H1505" s="120">
        <v>0</v>
      </c>
      <c r="I1505" s="120">
        <v>0</v>
      </c>
      <c r="J1505" s="120">
        <v>0</v>
      </c>
      <c r="K1505" s="110">
        <v>0</v>
      </c>
      <c r="L1505" s="110"/>
      <c r="M1505" s="110">
        <v>0</v>
      </c>
      <c r="N1505" s="110"/>
      <c r="O1505" s="110"/>
      <c r="P1505" s="110">
        <f t="shared" si="129"/>
        <v>0</v>
      </c>
      <c r="Q1505" s="110">
        <f t="shared" si="130"/>
        <v>0</v>
      </c>
      <c r="R1505" s="110">
        <f t="shared" si="131"/>
        <v>0</v>
      </c>
      <c r="S1505" s="112">
        <v>0</v>
      </c>
    </row>
    <row r="1506" spans="1:19" ht="45">
      <c r="A1506" s="79"/>
      <c r="B1506" s="77" t="s">
        <v>166</v>
      </c>
      <c r="C1506" s="76" t="s">
        <v>17</v>
      </c>
      <c r="D1506" s="143">
        <v>1</v>
      </c>
      <c r="E1506" s="77"/>
      <c r="F1506" s="334"/>
      <c r="G1506" s="112">
        <v>0</v>
      </c>
      <c r="H1506" s="120">
        <v>0</v>
      </c>
      <c r="I1506" s="120">
        <v>0</v>
      </c>
      <c r="J1506" s="120">
        <v>0</v>
      </c>
      <c r="K1506" s="110">
        <v>0</v>
      </c>
      <c r="L1506" s="110"/>
      <c r="M1506" s="110">
        <v>0</v>
      </c>
      <c r="N1506" s="110"/>
      <c r="O1506" s="110"/>
      <c r="P1506" s="110">
        <f t="shared" si="129"/>
        <v>0</v>
      </c>
      <c r="Q1506" s="110">
        <f t="shared" si="130"/>
        <v>0</v>
      </c>
      <c r="R1506" s="110">
        <f t="shared" si="131"/>
        <v>0</v>
      </c>
      <c r="S1506" s="112">
        <v>0</v>
      </c>
    </row>
    <row r="1507" spans="1:19" ht="60">
      <c r="A1507" s="79">
        <v>52</v>
      </c>
      <c r="B1507" s="77" t="s">
        <v>393</v>
      </c>
      <c r="C1507" s="76" t="s">
        <v>6</v>
      </c>
      <c r="D1507" s="143">
        <v>1</v>
      </c>
      <c r="E1507" s="77"/>
      <c r="F1507" s="334">
        <v>1</v>
      </c>
      <c r="G1507" s="112" t="s">
        <v>858</v>
      </c>
      <c r="H1507" s="120" t="s">
        <v>1076</v>
      </c>
      <c r="I1507" s="120" t="s">
        <v>828</v>
      </c>
      <c r="J1507" s="120" t="s">
        <v>829</v>
      </c>
      <c r="K1507" s="110">
        <v>24159700</v>
      </c>
      <c r="L1507" s="110"/>
      <c r="M1507" s="110">
        <v>2821000</v>
      </c>
      <c r="N1507" s="110"/>
      <c r="O1507" s="110"/>
      <c r="P1507" s="110">
        <f t="shared" si="129"/>
        <v>26980700</v>
      </c>
      <c r="Q1507" s="110">
        <f t="shared" si="130"/>
        <v>26980700</v>
      </c>
      <c r="R1507" s="110">
        <f t="shared" si="131"/>
        <v>26980700</v>
      </c>
      <c r="S1507" s="112" t="s">
        <v>4094</v>
      </c>
    </row>
    <row r="1508" spans="1:19" ht="45">
      <c r="A1508" s="79"/>
      <c r="B1508" s="77" t="s">
        <v>182</v>
      </c>
      <c r="C1508" s="76" t="s">
        <v>4</v>
      </c>
      <c r="D1508" s="143">
        <v>1</v>
      </c>
      <c r="E1508" s="77"/>
      <c r="F1508" s="334"/>
      <c r="G1508" s="112">
        <v>0</v>
      </c>
      <c r="H1508" s="120">
        <v>0</v>
      </c>
      <c r="I1508" s="120">
        <v>0</v>
      </c>
      <c r="J1508" s="120">
        <v>0</v>
      </c>
      <c r="K1508" s="110">
        <v>0</v>
      </c>
      <c r="L1508" s="110"/>
      <c r="M1508" s="110">
        <v>0</v>
      </c>
      <c r="N1508" s="110"/>
      <c r="O1508" s="110"/>
      <c r="P1508" s="110">
        <f t="shared" si="129"/>
        <v>0</v>
      </c>
      <c r="Q1508" s="110">
        <f t="shared" si="130"/>
        <v>0</v>
      </c>
      <c r="R1508" s="110">
        <f t="shared" si="131"/>
        <v>0</v>
      </c>
      <c r="S1508" s="112" t="s">
        <v>150</v>
      </c>
    </row>
    <row r="1509" spans="1:19">
      <c r="A1509" s="79"/>
      <c r="B1509" s="77" t="s">
        <v>151</v>
      </c>
      <c r="C1509" s="76"/>
      <c r="D1509" s="143"/>
      <c r="E1509" s="77"/>
      <c r="F1509" s="76"/>
      <c r="G1509" s="112">
        <v>0</v>
      </c>
      <c r="H1509" s="120">
        <v>0</v>
      </c>
      <c r="I1509" s="120">
        <v>0</v>
      </c>
      <c r="J1509" s="120">
        <v>0</v>
      </c>
      <c r="K1509" s="110">
        <v>0</v>
      </c>
      <c r="L1509" s="110"/>
      <c r="M1509" s="110">
        <v>0</v>
      </c>
      <c r="N1509" s="110"/>
      <c r="O1509" s="110"/>
      <c r="P1509" s="110">
        <f t="shared" si="129"/>
        <v>0</v>
      </c>
      <c r="Q1509" s="110">
        <f t="shared" si="130"/>
        <v>0</v>
      </c>
      <c r="R1509" s="110">
        <f t="shared" si="131"/>
        <v>0</v>
      </c>
      <c r="S1509" s="112">
        <v>0</v>
      </c>
    </row>
    <row r="1510" spans="1:19">
      <c r="A1510" s="79"/>
      <c r="B1510" s="77" t="s">
        <v>152</v>
      </c>
      <c r="C1510" s="76" t="s">
        <v>4</v>
      </c>
      <c r="D1510" s="143">
        <v>1</v>
      </c>
      <c r="E1510" s="77"/>
      <c r="F1510" s="334"/>
      <c r="G1510" s="112">
        <v>0</v>
      </c>
      <c r="H1510" s="120">
        <v>0</v>
      </c>
      <c r="I1510" s="120">
        <v>0</v>
      </c>
      <c r="J1510" s="120">
        <v>0</v>
      </c>
      <c r="K1510" s="110">
        <v>0</v>
      </c>
      <c r="L1510" s="110"/>
      <c r="M1510" s="110">
        <v>0</v>
      </c>
      <c r="N1510" s="110"/>
      <c r="O1510" s="110"/>
      <c r="P1510" s="110">
        <f t="shared" si="129"/>
        <v>0</v>
      </c>
      <c r="Q1510" s="110">
        <f t="shared" si="130"/>
        <v>0</v>
      </c>
      <c r="R1510" s="110">
        <f t="shared" si="131"/>
        <v>0</v>
      </c>
      <c r="S1510" s="112">
        <v>0</v>
      </c>
    </row>
    <row r="1511" spans="1:19">
      <c r="A1511" s="79"/>
      <c r="B1511" s="77" t="s">
        <v>192</v>
      </c>
      <c r="C1511" s="76" t="s">
        <v>12</v>
      </c>
      <c r="D1511" s="143">
        <v>3</v>
      </c>
      <c r="E1511" s="77"/>
      <c r="F1511" s="334"/>
      <c r="G1511" s="112">
        <v>0</v>
      </c>
      <c r="H1511" s="120">
        <v>0</v>
      </c>
      <c r="I1511" s="120">
        <v>0</v>
      </c>
      <c r="J1511" s="120">
        <v>0</v>
      </c>
      <c r="K1511" s="110">
        <v>0</v>
      </c>
      <c r="L1511" s="110"/>
      <c r="M1511" s="110">
        <v>0</v>
      </c>
      <c r="N1511" s="110"/>
      <c r="O1511" s="110"/>
      <c r="P1511" s="110">
        <f t="shared" si="129"/>
        <v>0</v>
      </c>
      <c r="Q1511" s="110">
        <f t="shared" si="130"/>
        <v>0</v>
      </c>
      <c r="R1511" s="110">
        <f t="shared" si="131"/>
        <v>0</v>
      </c>
      <c r="S1511" s="112">
        <v>0</v>
      </c>
    </row>
    <row r="1512" spans="1:19">
      <c r="A1512" s="79"/>
      <c r="B1512" s="77" t="s">
        <v>29</v>
      </c>
      <c r="C1512" s="76" t="s">
        <v>4</v>
      </c>
      <c r="D1512" s="143">
        <v>1</v>
      </c>
      <c r="E1512" s="59"/>
      <c r="F1512" s="334"/>
      <c r="G1512" s="112">
        <v>0</v>
      </c>
      <c r="H1512" s="120">
        <v>0</v>
      </c>
      <c r="I1512" s="120">
        <v>0</v>
      </c>
      <c r="J1512" s="120">
        <v>0</v>
      </c>
      <c r="K1512" s="110">
        <v>0</v>
      </c>
      <c r="L1512" s="110"/>
      <c r="M1512" s="110">
        <v>0</v>
      </c>
      <c r="N1512" s="110"/>
      <c r="O1512" s="110"/>
      <c r="P1512" s="110">
        <f t="shared" si="129"/>
        <v>0</v>
      </c>
      <c r="Q1512" s="110">
        <f t="shared" si="130"/>
        <v>0</v>
      </c>
      <c r="R1512" s="110">
        <f t="shared" si="131"/>
        <v>0</v>
      </c>
      <c r="S1512" s="112">
        <v>0</v>
      </c>
    </row>
    <row r="1513" spans="1:19">
      <c r="A1513" s="79"/>
      <c r="B1513" s="77" t="s">
        <v>30</v>
      </c>
      <c r="C1513" s="76" t="s">
        <v>4</v>
      </c>
      <c r="D1513" s="143">
        <v>1</v>
      </c>
      <c r="E1513" s="77"/>
      <c r="F1513" s="334"/>
      <c r="G1513" s="112">
        <v>0</v>
      </c>
      <c r="H1513" s="120">
        <v>0</v>
      </c>
      <c r="I1513" s="120">
        <v>0</v>
      </c>
      <c r="J1513" s="120">
        <v>0</v>
      </c>
      <c r="K1513" s="110">
        <v>0</v>
      </c>
      <c r="L1513" s="110"/>
      <c r="M1513" s="110">
        <v>0</v>
      </c>
      <c r="N1513" s="110"/>
      <c r="O1513" s="110"/>
      <c r="P1513" s="110">
        <f t="shared" si="129"/>
        <v>0</v>
      </c>
      <c r="Q1513" s="110">
        <f t="shared" si="130"/>
        <v>0</v>
      </c>
      <c r="R1513" s="110">
        <f t="shared" si="131"/>
        <v>0</v>
      </c>
      <c r="S1513" s="112">
        <v>0</v>
      </c>
    </row>
    <row r="1514" spans="1:19">
      <c r="A1514" s="79"/>
      <c r="B1514" s="77" t="s">
        <v>193</v>
      </c>
      <c r="C1514" s="76" t="s">
        <v>4</v>
      </c>
      <c r="D1514" s="143">
        <v>3</v>
      </c>
      <c r="E1514" s="77"/>
      <c r="F1514" s="334"/>
      <c r="G1514" s="112">
        <v>0</v>
      </c>
      <c r="H1514" s="120">
        <v>0</v>
      </c>
      <c r="I1514" s="120">
        <v>0</v>
      </c>
      <c r="J1514" s="120">
        <v>0</v>
      </c>
      <c r="K1514" s="110">
        <v>0</v>
      </c>
      <c r="L1514" s="110"/>
      <c r="M1514" s="110">
        <v>0</v>
      </c>
      <c r="N1514" s="110"/>
      <c r="O1514" s="110"/>
      <c r="P1514" s="110">
        <f t="shared" si="129"/>
        <v>0</v>
      </c>
      <c r="Q1514" s="110">
        <f t="shared" si="130"/>
        <v>0</v>
      </c>
      <c r="R1514" s="110">
        <f t="shared" si="131"/>
        <v>0</v>
      </c>
      <c r="S1514" s="112">
        <v>0</v>
      </c>
    </row>
    <row r="1515" spans="1:19">
      <c r="A1515" s="79"/>
      <c r="B1515" s="77" t="s">
        <v>153</v>
      </c>
      <c r="C1515" s="76" t="s">
        <v>4</v>
      </c>
      <c r="D1515" s="143">
        <v>3</v>
      </c>
      <c r="E1515" s="77"/>
      <c r="F1515" s="334"/>
      <c r="G1515" s="112">
        <v>0</v>
      </c>
      <c r="H1515" s="120">
        <v>0</v>
      </c>
      <c r="I1515" s="120">
        <v>0</v>
      </c>
      <c r="J1515" s="120">
        <v>0</v>
      </c>
      <c r="K1515" s="110">
        <v>0</v>
      </c>
      <c r="L1515" s="110"/>
      <c r="M1515" s="110">
        <v>0</v>
      </c>
      <c r="N1515" s="110"/>
      <c r="O1515" s="110"/>
      <c r="P1515" s="110">
        <f t="shared" si="129"/>
        <v>0</v>
      </c>
      <c r="Q1515" s="110">
        <f t="shared" si="130"/>
        <v>0</v>
      </c>
      <c r="R1515" s="110">
        <f t="shared" si="131"/>
        <v>0</v>
      </c>
      <c r="S1515" s="112">
        <v>0</v>
      </c>
    </row>
    <row r="1516" spans="1:19">
      <c r="A1516" s="79"/>
      <c r="B1516" s="77" t="s">
        <v>14</v>
      </c>
      <c r="C1516" s="76" t="s">
        <v>4</v>
      </c>
      <c r="D1516" s="143">
        <v>3</v>
      </c>
      <c r="E1516" s="77"/>
      <c r="F1516" s="334"/>
      <c r="G1516" s="112">
        <v>0</v>
      </c>
      <c r="H1516" s="120">
        <v>0</v>
      </c>
      <c r="I1516" s="120">
        <v>0</v>
      </c>
      <c r="J1516" s="120">
        <v>0</v>
      </c>
      <c r="K1516" s="110">
        <v>0</v>
      </c>
      <c r="L1516" s="110"/>
      <c r="M1516" s="110">
        <v>0</v>
      </c>
      <c r="N1516" s="110"/>
      <c r="O1516" s="110"/>
      <c r="P1516" s="110">
        <f t="shared" si="129"/>
        <v>0</v>
      </c>
      <c r="Q1516" s="110">
        <f t="shared" si="130"/>
        <v>0</v>
      </c>
      <c r="R1516" s="110">
        <f t="shared" si="131"/>
        <v>0</v>
      </c>
      <c r="S1516" s="112">
        <v>0</v>
      </c>
    </row>
    <row r="1517" spans="1:19">
      <c r="A1517" s="79"/>
      <c r="B1517" s="77" t="s">
        <v>154</v>
      </c>
      <c r="C1517" s="76"/>
      <c r="D1517" s="143"/>
      <c r="E1517" s="77"/>
      <c r="F1517" s="76"/>
      <c r="G1517" s="112">
        <v>0</v>
      </c>
      <c r="H1517" s="120">
        <v>0</v>
      </c>
      <c r="I1517" s="120">
        <v>0</v>
      </c>
      <c r="J1517" s="120">
        <v>0</v>
      </c>
      <c r="K1517" s="110">
        <v>0</v>
      </c>
      <c r="L1517" s="110"/>
      <c r="M1517" s="110">
        <v>0</v>
      </c>
      <c r="N1517" s="110"/>
      <c r="O1517" s="110"/>
      <c r="P1517" s="110">
        <f t="shared" si="129"/>
        <v>0</v>
      </c>
      <c r="Q1517" s="110">
        <f t="shared" si="130"/>
        <v>0</v>
      </c>
      <c r="R1517" s="110">
        <f t="shared" si="131"/>
        <v>0</v>
      </c>
      <c r="S1517" s="112">
        <v>0</v>
      </c>
    </row>
    <row r="1518" spans="1:19">
      <c r="A1518" s="79"/>
      <c r="B1518" s="77" t="s">
        <v>170</v>
      </c>
      <c r="C1518" s="76" t="s">
        <v>4</v>
      </c>
      <c r="D1518" s="143">
        <v>2</v>
      </c>
      <c r="E1518" s="77"/>
      <c r="F1518" s="334"/>
      <c r="G1518" s="112">
        <v>0</v>
      </c>
      <c r="H1518" s="120">
        <v>0</v>
      </c>
      <c r="I1518" s="120">
        <v>0</v>
      </c>
      <c r="J1518" s="120">
        <v>0</v>
      </c>
      <c r="K1518" s="110">
        <v>0</v>
      </c>
      <c r="L1518" s="110"/>
      <c r="M1518" s="110">
        <v>0</v>
      </c>
      <c r="N1518" s="110"/>
      <c r="O1518" s="110"/>
      <c r="P1518" s="110">
        <f t="shared" si="129"/>
        <v>0</v>
      </c>
      <c r="Q1518" s="110">
        <f t="shared" si="130"/>
        <v>0</v>
      </c>
      <c r="R1518" s="110">
        <f t="shared" si="131"/>
        <v>0</v>
      </c>
      <c r="S1518" s="112">
        <v>0</v>
      </c>
    </row>
    <row r="1519" spans="1:19">
      <c r="A1519" s="79"/>
      <c r="B1519" s="77" t="s">
        <v>156</v>
      </c>
      <c r="C1519" s="76" t="s">
        <v>4</v>
      </c>
      <c r="D1519" s="143">
        <v>13</v>
      </c>
      <c r="E1519" s="77"/>
      <c r="F1519" s="334"/>
      <c r="G1519" s="112">
        <v>0</v>
      </c>
      <c r="H1519" s="120">
        <v>0</v>
      </c>
      <c r="I1519" s="120">
        <v>0</v>
      </c>
      <c r="J1519" s="120">
        <v>0</v>
      </c>
      <c r="K1519" s="110">
        <v>0</v>
      </c>
      <c r="L1519" s="110"/>
      <c r="M1519" s="110">
        <v>0</v>
      </c>
      <c r="N1519" s="110"/>
      <c r="O1519" s="110"/>
      <c r="P1519" s="110">
        <f t="shared" si="129"/>
        <v>0</v>
      </c>
      <c r="Q1519" s="110">
        <f t="shared" si="130"/>
        <v>0</v>
      </c>
      <c r="R1519" s="110">
        <f t="shared" si="131"/>
        <v>0</v>
      </c>
      <c r="S1519" s="112">
        <v>0</v>
      </c>
    </row>
    <row r="1520" spans="1:19">
      <c r="A1520" s="79"/>
      <c r="B1520" s="77" t="s">
        <v>158</v>
      </c>
      <c r="C1520" s="76" t="s">
        <v>4</v>
      </c>
      <c r="D1520" s="143">
        <v>1</v>
      </c>
      <c r="E1520" s="77"/>
      <c r="F1520" s="334"/>
      <c r="G1520" s="112">
        <v>0</v>
      </c>
      <c r="H1520" s="120">
        <v>0</v>
      </c>
      <c r="I1520" s="120">
        <v>0</v>
      </c>
      <c r="J1520" s="120">
        <v>0</v>
      </c>
      <c r="K1520" s="110">
        <v>0</v>
      </c>
      <c r="L1520" s="110"/>
      <c r="M1520" s="110">
        <v>0</v>
      </c>
      <c r="N1520" s="110"/>
      <c r="O1520" s="110"/>
      <c r="P1520" s="110">
        <f t="shared" si="129"/>
        <v>0</v>
      </c>
      <c r="Q1520" s="110">
        <f t="shared" si="130"/>
        <v>0</v>
      </c>
      <c r="R1520" s="110">
        <f t="shared" si="131"/>
        <v>0</v>
      </c>
      <c r="S1520" s="112">
        <v>0</v>
      </c>
    </row>
    <row r="1521" spans="1:19">
      <c r="A1521" s="79"/>
      <c r="B1521" s="77" t="s">
        <v>265</v>
      </c>
      <c r="C1521" s="76" t="s">
        <v>8</v>
      </c>
      <c r="D1521" s="143">
        <v>2</v>
      </c>
      <c r="E1521" s="77"/>
      <c r="F1521" s="334"/>
      <c r="G1521" s="112">
        <v>0</v>
      </c>
      <c r="H1521" s="120">
        <v>0</v>
      </c>
      <c r="I1521" s="120">
        <v>0</v>
      </c>
      <c r="J1521" s="120">
        <v>0</v>
      </c>
      <c r="K1521" s="110">
        <v>0</v>
      </c>
      <c r="L1521" s="110"/>
      <c r="M1521" s="110">
        <v>0</v>
      </c>
      <c r="N1521" s="110"/>
      <c r="O1521" s="110"/>
      <c r="P1521" s="110">
        <f t="shared" ref="P1521:P1584" si="132">+K1521+L1521+M1521+N1521+O1521</f>
        <v>0</v>
      </c>
      <c r="Q1521" s="110">
        <f t="shared" ref="Q1521:Q1584" si="133">+P1521*D1521</f>
        <v>0</v>
      </c>
      <c r="R1521" s="110">
        <f t="shared" ref="R1521:R1584" si="134">P1521*F1521</f>
        <v>0</v>
      </c>
      <c r="S1521" s="112">
        <v>0</v>
      </c>
    </row>
    <row r="1522" spans="1:19">
      <c r="A1522" s="79"/>
      <c r="B1522" s="77" t="s">
        <v>172</v>
      </c>
      <c r="C1522" s="76" t="s">
        <v>4</v>
      </c>
      <c r="D1522" s="143">
        <v>2</v>
      </c>
      <c r="E1522" s="77"/>
      <c r="F1522" s="334"/>
      <c r="G1522" s="112">
        <v>0</v>
      </c>
      <c r="H1522" s="120">
        <v>0</v>
      </c>
      <c r="I1522" s="120">
        <v>0</v>
      </c>
      <c r="J1522" s="120">
        <v>0</v>
      </c>
      <c r="K1522" s="110">
        <v>0</v>
      </c>
      <c r="L1522" s="110"/>
      <c r="M1522" s="110">
        <v>0</v>
      </c>
      <c r="N1522" s="110"/>
      <c r="O1522" s="110"/>
      <c r="P1522" s="110">
        <f t="shared" si="132"/>
        <v>0</v>
      </c>
      <c r="Q1522" s="110">
        <f t="shared" si="133"/>
        <v>0</v>
      </c>
      <c r="R1522" s="110">
        <f t="shared" si="134"/>
        <v>0</v>
      </c>
      <c r="S1522" s="112">
        <v>0</v>
      </c>
    </row>
    <row r="1523" spans="1:19">
      <c r="A1523" s="79"/>
      <c r="B1523" s="77" t="s">
        <v>173</v>
      </c>
      <c r="C1523" s="76" t="s">
        <v>4</v>
      </c>
      <c r="D1523" s="143">
        <v>2</v>
      </c>
      <c r="E1523" s="77"/>
      <c r="F1523" s="334"/>
      <c r="G1523" s="112">
        <v>0</v>
      </c>
      <c r="H1523" s="120">
        <v>0</v>
      </c>
      <c r="I1523" s="120">
        <v>0</v>
      </c>
      <c r="J1523" s="120">
        <v>0</v>
      </c>
      <c r="K1523" s="110">
        <v>0</v>
      </c>
      <c r="L1523" s="110"/>
      <c r="M1523" s="110">
        <v>0</v>
      </c>
      <c r="N1523" s="110"/>
      <c r="O1523" s="110"/>
      <c r="P1523" s="110">
        <f t="shared" si="132"/>
        <v>0</v>
      </c>
      <c r="Q1523" s="110">
        <f t="shared" si="133"/>
        <v>0</v>
      </c>
      <c r="R1523" s="110">
        <f t="shared" si="134"/>
        <v>0</v>
      </c>
      <c r="S1523" s="112">
        <v>0</v>
      </c>
    </row>
    <row r="1524" spans="1:19">
      <c r="A1524" s="79"/>
      <c r="B1524" s="77" t="s">
        <v>266</v>
      </c>
      <c r="C1524" s="76" t="s">
        <v>4</v>
      </c>
      <c r="D1524" s="143">
        <v>2</v>
      </c>
      <c r="E1524" s="77"/>
      <c r="F1524" s="334"/>
      <c r="G1524" s="112">
        <v>0</v>
      </c>
      <c r="H1524" s="120">
        <v>0</v>
      </c>
      <c r="I1524" s="120">
        <v>0</v>
      </c>
      <c r="J1524" s="120">
        <v>0</v>
      </c>
      <c r="K1524" s="110">
        <v>0</v>
      </c>
      <c r="L1524" s="110"/>
      <c r="M1524" s="110">
        <v>0</v>
      </c>
      <c r="N1524" s="110"/>
      <c r="O1524" s="110"/>
      <c r="P1524" s="110">
        <f t="shared" si="132"/>
        <v>0</v>
      </c>
      <c r="Q1524" s="110">
        <f t="shared" si="133"/>
        <v>0</v>
      </c>
      <c r="R1524" s="110">
        <f t="shared" si="134"/>
        <v>0</v>
      </c>
      <c r="S1524" s="112">
        <v>0</v>
      </c>
    </row>
    <row r="1525" spans="1:19">
      <c r="A1525" s="79"/>
      <c r="B1525" s="77" t="s">
        <v>175</v>
      </c>
      <c r="C1525" s="76" t="s">
        <v>4</v>
      </c>
      <c r="D1525" s="143">
        <v>2</v>
      </c>
      <c r="E1525" s="77"/>
      <c r="F1525" s="334"/>
      <c r="G1525" s="112">
        <v>0</v>
      </c>
      <c r="H1525" s="120">
        <v>0</v>
      </c>
      <c r="I1525" s="120">
        <v>0</v>
      </c>
      <c r="J1525" s="120">
        <v>0</v>
      </c>
      <c r="K1525" s="110">
        <v>0</v>
      </c>
      <c r="L1525" s="110"/>
      <c r="M1525" s="110">
        <v>0</v>
      </c>
      <c r="N1525" s="110"/>
      <c r="O1525" s="110"/>
      <c r="P1525" s="110">
        <f t="shared" si="132"/>
        <v>0</v>
      </c>
      <c r="Q1525" s="110">
        <f t="shared" si="133"/>
        <v>0</v>
      </c>
      <c r="R1525" s="110">
        <f t="shared" si="134"/>
        <v>0</v>
      </c>
      <c r="S1525" s="112">
        <v>0</v>
      </c>
    </row>
    <row r="1526" spans="1:19">
      <c r="A1526" s="79"/>
      <c r="B1526" s="77" t="s">
        <v>176</v>
      </c>
      <c r="C1526" s="76" t="s">
        <v>4</v>
      </c>
      <c r="D1526" s="143">
        <v>4</v>
      </c>
      <c r="E1526" s="77"/>
      <c r="F1526" s="334"/>
      <c r="G1526" s="112">
        <v>0</v>
      </c>
      <c r="H1526" s="120">
        <v>0</v>
      </c>
      <c r="I1526" s="120">
        <v>0</v>
      </c>
      <c r="J1526" s="120">
        <v>0</v>
      </c>
      <c r="K1526" s="110">
        <v>0</v>
      </c>
      <c r="L1526" s="110"/>
      <c r="M1526" s="110">
        <v>0</v>
      </c>
      <c r="N1526" s="110"/>
      <c r="O1526" s="110"/>
      <c r="P1526" s="110">
        <f t="shared" si="132"/>
        <v>0</v>
      </c>
      <c r="Q1526" s="110">
        <f t="shared" si="133"/>
        <v>0</v>
      </c>
      <c r="R1526" s="110">
        <f t="shared" si="134"/>
        <v>0</v>
      </c>
      <c r="S1526" s="112">
        <v>0</v>
      </c>
    </row>
    <row r="1527" spans="1:19">
      <c r="A1527" s="79"/>
      <c r="B1527" s="77" t="s">
        <v>177</v>
      </c>
      <c r="C1527" s="76" t="s">
        <v>17</v>
      </c>
      <c r="D1527" s="143">
        <v>1</v>
      </c>
      <c r="E1527" s="77"/>
      <c r="F1527" s="334"/>
      <c r="G1527" s="112">
        <v>0</v>
      </c>
      <c r="H1527" s="120">
        <v>0</v>
      </c>
      <c r="I1527" s="120">
        <v>0</v>
      </c>
      <c r="J1527" s="120">
        <v>0</v>
      </c>
      <c r="K1527" s="110">
        <v>0</v>
      </c>
      <c r="L1527" s="110"/>
      <c r="M1527" s="110">
        <v>0</v>
      </c>
      <c r="N1527" s="110"/>
      <c r="O1527" s="110"/>
      <c r="P1527" s="110">
        <f t="shared" si="132"/>
        <v>0</v>
      </c>
      <c r="Q1527" s="110">
        <f t="shared" si="133"/>
        <v>0</v>
      </c>
      <c r="R1527" s="110">
        <f t="shared" si="134"/>
        <v>0</v>
      </c>
      <c r="S1527" s="112">
        <v>0</v>
      </c>
    </row>
    <row r="1528" spans="1:19">
      <c r="A1528" s="79"/>
      <c r="B1528" s="77" t="s">
        <v>163</v>
      </c>
      <c r="C1528" s="76" t="s">
        <v>4</v>
      </c>
      <c r="D1528" s="143">
        <v>1</v>
      </c>
      <c r="E1528" s="77"/>
      <c r="F1528" s="334"/>
      <c r="G1528" s="112">
        <v>0</v>
      </c>
      <c r="H1528" s="120">
        <v>0</v>
      </c>
      <c r="I1528" s="120">
        <v>0</v>
      </c>
      <c r="J1528" s="120">
        <v>0</v>
      </c>
      <c r="K1528" s="110">
        <v>0</v>
      </c>
      <c r="L1528" s="110"/>
      <c r="M1528" s="110">
        <v>0</v>
      </c>
      <c r="N1528" s="110"/>
      <c r="O1528" s="110"/>
      <c r="P1528" s="110">
        <f t="shared" si="132"/>
        <v>0</v>
      </c>
      <c r="Q1528" s="110">
        <f t="shared" si="133"/>
        <v>0</v>
      </c>
      <c r="R1528" s="110">
        <f t="shared" si="134"/>
        <v>0</v>
      </c>
      <c r="S1528" s="112">
        <v>0</v>
      </c>
    </row>
    <row r="1529" spans="1:19" ht="30">
      <c r="A1529" s="79"/>
      <c r="B1529" s="77" t="s">
        <v>189</v>
      </c>
      <c r="C1529" s="76" t="s">
        <v>8</v>
      </c>
      <c r="D1529" s="143">
        <v>1</v>
      </c>
      <c r="E1529" s="77"/>
      <c r="F1529" s="334"/>
      <c r="G1529" s="112">
        <v>0</v>
      </c>
      <c r="H1529" s="120">
        <v>0</v>
      </c>
      <c r="I1529" s="120">
        <v>0</v>
      </c>
      <c r="J1529" s="120">
        <v>0</v>
      </c>
      <c r="K1529" s="110">
        <v>0</v>
      </c>
      <c r="L1529" s="110"/>
      <c r="M1529" s="110">
        <v>0</v>
      </c>
      <c r="N1529" s="110"/>
      <c r="O1529" s="110"/>
      <c r="P1529" s="110">
        <f t="shared" si="132"/>
        <v>0</v>
      </c>
      <c r="Q1529" s="110">
        <f t="shared" si="133"/>
        <v>0</v>
      </c>
      <c r="R1529" s="110">
        <f t="shared" si="134"/>
        <v>0</v>
      </c>
      <c r="S1529" s="112">
        <v>0</v>
      </c>
    </row>
    <row r="1530" spans="1:19" ht="45">
      <c r="A1530" s="79"/>
      <c r="B1530" s="77" t="s">
        <v>166</v>
      </c>
      <c r="C1530" s="76" t="s">
        <v>17</v>
      </c>
      <c r="D1530" s="143">
        <v>1</v>
      </c>
      <c r="E1530" s="77"/>
      <c r="F1530" s="334"/>
      <c r="G1530" s="112">
        <v>0</v>
      </c>
      <c r="H1530" s="120">
        <v>0</v>
      </c>
      <c r="I1530" s="120">
        <v>0</v>
      </c>
      <c r="J1530" s="120">
        <v>0</v>
      </c>
      <c r="K1530" s="110">
        <v>0</v>
      </c>
      <c r="L1530" s="110"/>
      <c r="M1530" s="110">
        <v>0</v>
      </c>
      <c r="N1530" s="110"/>
      <c r="O1530" s="110"/>
      <c r="P1530" s="110">
        <f t="shared" si="132"/>
        <v>0</v>
      </c>
      <c r="Q1530" s="110">
        <f t="shared" si="133"/>
        <v>0</v>
      </c>
      <c r="R1530" s="110">
        <f t="shared" si="134"/>
        <v>0</v>
      </c>
      <c r="S1530" s="112">
        <v>0</v>
      </c>
    </row>
    <row r="1531" spans="1:19" ht="60">
      <c r="A1531" s="79">
        <v>53</v>
      </c>
      <c r="B1531" s="77" t="s">
        <v>394</v>
      </c>
      <c r="C1531" s="76" t="s">
        <v>6</v>
      </c>
      <c r="D1531" s="143">
        <v>1</v>
      </c>
      <c r="E1531" s="77"/>
      <c r="F1531" s="334">
        <v>1</v>
      </c>
      <c r="G1531" s="112" t="s">
        <v>394</v>
      </c>
      <c r="H1531" s="120" t="s">
        <v>1076</v>
      </c>
      <c r="I1531" s="120" t="s">
        <v>828</v>
      </c>
      <c r="J1531" s="120" t="s">
        <v>829</v>
      </c>
      <c r="K1531" s="110">
        <v>38196400</v>
      </c>
      <c r="L1531" s="110"/>
      <c r="M1531" s="110">
        <v>3828500</v>
      </c>
      <c r="N1531" s="110"/>
      <c r="O1531" s="110"/>
      <c r="P1531" s="110">
        <f t="shared" si="132"/>
        <v>42024900</v>
      </c>
      <c r="Q1531" s="110">
        <f t="shared" si="133"/>
        <v>42024900</v>
      </c>
      <c r="R1531" s="110">
        <f t="shared" si="134"/>
        <v>42024900</v>
      </c>
      <c r="S1531" s="112" t="s">
        <v>4094</v>
      </c>
    </row>
    <row r="1532" spans="1:19" ht="45">
      <c r="A1532" s="79"/>
      <c r="B1532" s="77" t="s">
        <v>317</v>
      </c>
      <c r="C1532" s="76" t="s">
        <v>4</v>
      </c>
      <c r="D1532" s="143">
        <v>1</v>
      </c>
      <c r="E1532" s="77"/>
      <c r="F1532" s="334"/>
      <c r="G1532" s="112">
        <v>0</v>
      </c>
      <c r="H1532" s="120">
        <v>0</v>
      </c>
      <c r="I1532" s="120">
        <v>0</v>
      </c>
      <c r="J1532" s="120">
        <v>0</v>
      </c>
      <c r="K1532" s="110">
        <v>0</v>
      </c>
      <c r="L1532" s="110"/>
      <c r="M1532" s="110">
        <v>0</v>
      </c>
      <c r="N1532" s="110"/>
      <c r="O1532" s="110"/>
      <c r="P1532" s="110">
        <f t="shared" si="132"/>
        <v>0</v>
      </c>
      <c r="Q1532" s="110">
        <f t="shared" si="133"/>
        <v>0</v>
      </c>
      <c r="R1532" s="110">
        <f t="shared" si="134"/>
        <v>0</v>
      </c>
      <c r="S1532" s="112" t="s">
        <v>150</v>
      </c>
    </row>
    <row r="1533" spans="1:19">
      <c r="A1533" s="79"/>
      <c r="B1533" s="77" t="s">
        <v>151</v>
      </c>
      <c r="C1533" s="76"/>
      <c r="D1533" s="143"/>
      <c r="E1533" s="77"/>
      <c r="F1533" s="76"/>
      <c r="G1533" s="112">
        <v>0</v>
      </c>
      <c r="H1533" s="120">
        <v>0</v>
      </c>
      <c r="I1533" s="120">
        <v>0</v>
      </c>
      <c r="J1533" s="120">
        <v>0</v>
      </c>
      <c r="K1533" s="110">
        <v>0</v>
      </c>
      <c r="L1533" s="110"/>
      <c r="M1533" s="110">
        <v>0</v>
      </c>
      <c r="N1533" s="110"/>
      <c r="O1533" s="110"/>
      <c r="P1533" s="110">
        <f t="shared" si="132"/>
        <v>0</v>
      </c>
      <c r="Q1533" s="110">
        <f t="shared" si="133"/>
        <v>0</v>
      </c>
      <c r="R1533" s="110">
        <f t="shared" si="134"/>
        <v>0</v>
      </c>
      <c r="S1533" s="112">
        <v>0</v>
      </c>
    </row>
    <row r="1534" spans="1:19">
      <c r="A1534" s="79"/>
      <c r="B1534" s="77" t="s">
        <v>212</v>
      </c>
      <c r="C1534" s="76" t="s">
        <v>4</v>
      </c>
      <c r="D1534" s="143">
        <v>1</v>
      </c>
      <c r="E1534" s="59"/>
      <c r="F1534" s="334"/>
      <c r="G1534" s="112">
        <v>0</v>
      </c>
      <c r="H1534" s="120">
        <v>0</v>
      </c>
      <c r="I1534" s="120">
        <v>0</v>
      </c>
      <c r="J1534" s="120">
        <v>0</v>
      </c>
      <c r="K1534" s="110">
        <v>0</v>
      </c>
      <c r="L1534" s="110"/>
      <c r="M1534" s="110">
        <v>0</v>
      </c>
      <c r="N1534" s="110"/>
      <c r="O1534" s="110"/>
      <c r="P1534" s="110">
        <f t="shared" si="132"/>
        <v>0</v>
      </c>
      <c r="Q1534" s="110">
        <f t="shared" si="133"/>
        <v>0</v>
      </c>
      <c r="R1534" s="110">
        <f t="shared" si="134"/>
        <v>0</v>
      </c>
      <c r="S1534" s="112">
        <v>0</v>
      </c>
    </row>
    <row r="1535" spans="1:19">
      <c r="A1535" s="79"/>
      <c r="B1535" s="77" t="s">
        <v>14</v>
      </c>
      <c r="C1535" s="76" t="s">
        <v>4</v>
      </c>
      <c r="D1535" s="143">
        <v>3</v>
      </c>
      <c r="E1535" s="77"/>
      <c r="F1535" s="334"/>
      <c r="G1535" s="112">
        <v>0</v>
      </c>
      <c r="H1535" s="120">
        <v>0</v>
      </c>
      <c r="I1535" s="120">
        <v>0</v>
      </c>
      <c r="J1535" s="120">
        <v>0</v>
      </c>
      <c r="K1535" s="110">
        <v>0</v>
      </c>
      <c r="L1535" s="110"/>
      <c r="M1535" s="110">
        <v>0</v>
      </c>
      <c r="N1535" s="110"/>
      <c r="O1535" s="110"/>
      <c r="P1535" s="110">
        <f t="shared" si="132"/>
        <v>0</v>
      </c>
      <c r="Q1535" s="110">
        <f t="shared" si="133"/>
        <v>0</v>
      </c>
      <c r="R1535" s="110">
        <f t="shared" si="134"/>
        <v>0</v>
      </c>
      <c r="S1535" s="112">
        <v>0</v>
      </c>
    </row>
    <row r="1536" spans="1:19">
      <c r="A1536" s="79"/>
      <c r="B1536" s="77" t="s">
        <v>153</v>
      </c>
      <c r="C1536" s="76" t="s">
        <v>4</v>
      </c>
      <c r="D1536" s="143">
        <v>3</v>
      </c>
      <c r="E1536" s="77"/>
      <c r="F1536" s="334"/>
      <c r="G1536" s="112">
        <v>0</v>
      </c>
      <c r="H1536" s="120">
        <v>0</v>
      </c>
      <c r="I1536" s="120">
        <v>0</v>
      </c>
      <c r="J1536" s="120">
        <v>0</v>
      </c>
      <c r="K1536" s="110">
        <v>0</v>
      </c>
      <c r="L1536" s="110"/>
      <c r="M1536" s="110">
        <v>0</v>
      </c>
      <c r="N1536" s="110"/>
      <c r="O1536" s="110"/>
      <c r="P1536" s="110">
        <f t="shared" si="132"/>
        <v>0</v>
      </c>
      <c r="Q1536" s="110">
        <f t="shared" si="133"/>
        <v>0</v>
      </c>
      <c r="R1536" s="110">
        <f t="shared" si="134"/>
        <v>0</v>
      </c>
      <c r="S1536" s="112">
        <v>0</v>
      </c>
    </row>
    <row r="1537" spans="1:19">
      <c r="A1537" s="79"/>
      <c r="B1537" s="77" t="s">
        <v>154</v>
      </c>
      <c r="C1537" s="76"/>
      <c r="D1537" s="143"/>
      <c r="E1537" s="77"/>
      <c r="F1537" s="76"/>
      <c r="G1537" s="112">
        <v>0</v>
      </c>
      <c r="H1537" s="120">
        <v>0</v>
      </c>
      <c r="I1537" s="120">
        <v>0</v>
      </c>
      <c r="J1537" s="120">
        <v>0</v>
      </c>
      <c r="K1537" s="110">
        <v>0</v>
      </c>
      <c r="L1537" s="110"/>
      <c r="M1537" s="110">
        <v>0</v>
      </c>
      <c r="N1537" s="110"/>
      <c r="O1537" s="110"/>
      <c r="P1537" s="110">
        <f t="shared" si="132"/>
        <v>0</v>
      </c>
      <c r="Q1537" s="110">
        <f t="shared" si="133"/>
        <v>0</v>
      </c>
      <c r="R1537" s="110">
        <f t="shared" si="134"/>
        <v>0</v>
      </c>
      <c r="S1537" s="112">
        <v>0</v>
      </c>
    </row>
    <row r="1538" spans="1:19">
      <c r="A1538" s="79"/>
      <c r="B1538" s="77" t="s">
        <v>155</v>
      </c>
      <c r="C1538" s="76" t="s">
        <v>4</v>
      </c>
      <c r="D1538" s="143">
        <v>1</v>
      </c>
      <c r="E1538" s="77"/>
      <c r="F1538" s="334"/>
      <c r="G1538" s="112">
        <v>0</v>
      </c>
      <c r="H1538" s="120">
        <v>0</v>
      </c>
      <c r="I1538" s="120">
        <v>0</v>
      </c>
      <c r="J1538" s="120">
        <v>0</v>
      </c>
      <c r="K1538" s="110">
        <v>0</v>
      </c>
      <c r="L1538" s="110"/>
      <c r="M1538" s="110">
        <v>0</v>
      </c>
      <c r="N1538" s="110"/>
      <c r="O1538" s="110"/>
      <c r="P1538" s="110">
        <f t="shared" si="132"/>
        <v>0</v>
      </c>
      <c r="Q1538" s="110">
        <f t="shared" si="133"/>
        <v>0</v>
      </c>
      <c r="R1538" s="110">
        <f t="shared" si="134"/>
        <v>0</v>
      </c>
      <c r="S1538" s="112">
        <v>0</v>
      </c>
    </row>
    <row r="1539" spans="1:19">
      <c r="A1539" s="79"/>
      <c r="B1539" s="77" t="s">
        <v>243</v>
      </c>
      <c r="C1539" s="76" t="s">
        <v>4</v>
      </c>
      <c r="D1539" s="143">
        <v>2</v>
      </c>
      <c r="E1539" s="77"/>
      <c r="F1539" s="334"/>
      <c r="G1539" s="112">
        <v>0</v>
      </c>
      <c r="H1539" s="120">
        <v>0</v>
      </c>
      <c r="I1539" s="120">
        <v>0</v>
      </c>
      <c r="J1539" s="120">
        <v>0</v>
      </c>
      <c r="K1539" s="110">
        <v>0</v>
      </c>
      <c r="L1539" s="110"/>
      <c r="M1539" s="110">
        <v>0</v>
      </c>
      <c r="N1539" s="110"/>
      <c r="O1539" s="110"/>
      <c r="P1539" s="110">
        <f t="shared" si="132"/>
        <v>0</v>
      </c>
      <c r="Q1539" s="110">
        <f t="shared" si="133"/>
        <v>0</v>
      </c>
      <c r="R1539" s="110">
        <f t="shared" si="134"/>
        <v>0</v>
      </c>
      <c r="S1539" s="112">
        <v>0</v>
      </c>
    </row>
    <row r="1540" spans="1:19">
      <c r="A1540" s="79"/>
      <c r="B1540" s="77" t="s">
        <v>156</v>
      </c>
      <c r="C1540" s="76" t="s">
        <v>4</v>
      </c>
      <c r="D1540" s="143">
        <v>3</v>
      </c>
      <c r="E1540" s="77"/>
      <c r="F1540" s="334"/>
      <c r="G1540" s="112">
        <v>0</v>
      </c>
      <c r="H1540" s="120">
        <v>0</v>
      </c>
      <c r="I1540" s="120">
        <v>0</v>
      </c>
      <c r="J1540" s="120">
        <v>0</v>
      </c>
      <c r="K1540" s="110">
        <v>0</v>
      </c>
      <c r="L1540" s="110"/>
      <c r="M1540" s="110">
        <v>0</v>
      </c>
      <c r="N1540" s="110"/>
      <c r="O1540" s="110"/>
      <c r="P1540" s="110">
        <f t="shared" si="132"/>
        <v>0</v>
      </c>
      <c r="Q1540" s="110">
        <f t="shared" si="133"/>
        <v>0</v>
      </c>
      <c r="R1540" s="110">
        <f t="shared" si="134"/>
        <v>0</v>
      </c>
      <c r="S1540" s="112">
        <v>0</v>
      </c>
    </row>
    <row r="1541" spans="1:19">
      <c r="A1541" s="79"/>
      <c r="B1541" s="77" t="s">
        <v>157</v>
      </c>
      <c r="C1541" s="76" t="s">
        <v>4</v>
      </c>
      <c r="D1541" s="143">
        <v>13</v>
      </c>
      <c r="E1541" s="77"/>
      <c r="F1541" s="334"/>
      <c r="G1541" s="112">
        <v>0</v>
      </c>
      <c r="H1541" s="120">
        <v>0</v>
      </c>
      <c r="I1541" s="120">
        <v>0</v>
      </c>
      <c r="J1541" s="120">
        <v>0</v>
      </c>
      <c r="K1541" s="110">
        <v>0</v>
      </c>
      <c r="L1541" s="110"/>
      <c r="M1541" s="110">
        <v>0</v>
      </c>
      <c r="N1541" s="110"/>
      <c r="O1541" s="110"/>
      <c r="P1541" s="110">
        <f t="shared" si="132"/>
        <v>0</v>
      </c>
      <c r="Q1541" s="110">
        <f t="shared" si="133"/>
        <v>0</v>
      </c>
      <c r="R1541" s="110">
        <f t="shared" si="134"/>
        <v>0</v>
      </c>
      <c r="S1541" s="112">
        <v>0</v>
      </c>
    </row>
    <row r="1542" spans="1:19">
      <c r="A1542" s="79"/>
      <c r="B1542" s="77" t="s">
        <v>158</v>
      </c>
      <c r="C1542" s="76" t="s">
        <v>4</v>
      </c>
      <c r="D1542" s="143">
        <v>1</v>
      </c>
      <c r="E1542" s="77"/>
      <c r="F1542" s="334"/>
      <c r="G1542" s="112">
        <v>0</v>
      </c>
      <c r="H1542" s="120">
        <v>0</v>
      </c>
      <c r="I1542" s="120">
        <v>0</v>
      </c>
      <c r="J1542" s="120">
        <v>0</v>
      </c>
      <c r="K1542" s="110">
        <v>0</v>
      </c>
      <c r="L1542" s="110"/>
      <c r="M1542" s="110">
        <v>0</v>
      </c>
      <c r="N1542" s="110"/>
      <c r="O1542" s="110"/>
      <c r="P1542" s="110">
        <f t="shared" si="132"/>
        <v>0</v>
      </c>
      <c r="Q1542" s="110">
        <f t="shared" si="133"/>
        <v>0</v>
      </c>
      <c r="R1542" s="110">
        <f t="shared" si="134"/>
        <v>0</v>
      </c>
      <c r="S1542" s="112">
        <v>0</v>
      </c>
    </row>
    <row r="1543" spans="1:19">
      <c r="A1543" s="79"/>
      <c r="B1543" s="77" t="s">
        <v>159</v>
      </c>
      <c r="C1543" s="76"/>
      <c r="D1543" s="143"/>
      <c r="E1543" s="77"/>
      <c r="F1543" s="76"/>
      <c r="G1543" s="112">
        <v>0</v>
      </c>
      <c r="H1543" s="120">
        <v>0</v>
      </c>
      <c r="I1543" s="120">
        <v>0</v>
      </c>
      <c r="J1543" s="120">
        <v>0</v>
      </c>
      <c r="K1543" s="110">
        <v>0</v>
      </c>
      <c r="L1543" s="110"/>
      <c r="M1543" s="110">
        <v>0</v>
      </c>
      <c r="N1543" s="110"/>
      <c r="O1543" s="110"/>
      <c r="P1543" s="110">
        <f t="shared" si="132"/>
        <v>0</v>
      </c>
      <c r="Q1543" s="110">
        <f t="shared" si="133"/>
        <v>0</v>
      </c>
      <c r="R1543" s="110">
        <f t="shared" si="134"/>
        <v>0</v>
      </c>
      <c r="S1543" s="112">
        <v>0</v>
      </c>
    </row>
    <row r="1544" spans="1:19">
      <c r="A1544" s="79"/>
      <c r="B1544" s="77" t="s">
        <v>160</v>
      </c>
      <c r="C1544" s="76" t="s">
        <v>4</v>
      </c>
      <c r="D1544" s="143">
        <v>25</v>
      </c>
      <c r="E1544" s="77"/>
      <c r="F1544" s="334"/>
      <c r="G1544" s="112">
        <v>0</v>
      </c>
      <c r="H1544" s="120">
        <v>0</v>
      </c>
      <c r="I1544" s="120">
        <v>0</v>
      </c>
      <c r="J1544" s="120">
        <v>0</v>
      </c>
      <c r="K1544" s="110">
        <v>0</v>
      </c>
      <c r="L1544" s="110"/>
      <c r="M1544" s="110">
        <v>0</v>
      </c>
      <c r="N1544" s="110"/>
      <c r="O1544" s="110"/>
      <c r="P1544" s="110">
        <f t="shared" si="132"/>
        <v>0</v>
      </c>
      <c r="Q1544" s="110">
        <f t="shared" si="133"/>
        <v>0</v>
      </c>
      <c r="R1544" s="110">
        <f t="shared" si="134"/>
        <v>0</v>
      </c>
      <c r="S1544" s="112">
        <v>0</v>
      </c>
    </row>
    <row r="1545" spans="1:19">
      <c r="A1545" s="79"/>
      <c r="B1545" s="77" t="s">
        <v>161</v>
      </c>
      <c r="C1545" s="76" t="s">
        <v>4</v>
      </c>
      <c r="D1545" s="143">
        <v>1</v>
      </c>
      <c r="E1545" s="77"/>
      <c r="F1545" s="334"/>
      <c r="G1545" s="112">
        <v>0</v>
      </c>
      <c r="H1545" s="120">
        <v>0</v>
      </c>
      <c r="I1545" s="120">
        <v>0</v>
      </c>
      <c r="J1545" s="120">
        <v>0</v>
      </c>
      <c r="K1545" s="110">
        <v>0</v>
      </c>
      <c r="L1545" s="110"/>
      <c r="M1545" s="110">
        <v>0</v>
      </c>
      <c r="N1545" s="110"/>
      <c r="O1545" s="110"/>
      <c r="P1545" s="110">
        <f t="shared" si="132"/>
        <v>0</v>
      </c>
      <c r="Q1545" s="110">
        <f t="shared" si="133"/>
        <v>0</v>
      </c>
      <c r="R1545" s="110">
        <f t="shared" si="134"/>
        <v>0</v>
      </c>
      <c r="S1545" s="112">
        <v>0</v>
      </c>
    </row>
    <row r="1546" spans="1:19">
      <c r="A1546" s="79"/>
      <c r="B1546" s="77" t="s">
        <v>162</v>
      </c>
      <c r="C1546" s="76" t="s">
        <v>17</v>
      </c>
      <c r="D1546" s="143">
        <v>1</v>
      </c>
      <c r="E1546" s="77"/>
      <c r="F1546" s="334"/>
      <c r="G1546" s="112">
        <v>0</v>
      </c>
      <c r="H1546" s="120">
        <v>0</v>
      </c>
      <c r="I1546" s="120">
        <v>0</v>
      </c>
      <c r="J1546" s="120">
        <v>0</v>
      </c>
      <c r="K1546" s="110">
        <v>0</v>
      </c>
      <c r="L1546" s="110"/>
      <c r="M1546" s="110">
        <v>0</v>
      </c>
      <c r="N1546" s="110"/>
      <c r="O1546" s="110"/>
      <c r="P1546" s="110">
        <f t="shared" si="132"/>
        <v>0</v>
      </c>
      <c r="Q1546" s="110">
        <f t="shared" si="133"/>
        <v>0</v>
      </c>
      <c r="R1546" s="110">
        <f t="shared" si="134"/>
        <v>0</v>
      </c>
      <c r="S1546" s="112">
        <v>0</v>
      </c>
    </row>
    <row r="1547" spans="1:19">
      <c r="A1547" s="79"/>
      <c r="B1547" s="77" t="s">
        <v>163</v>
      </c>
      <c r="C1547" s="76" t="s">
        <v>4</v>
      </c>
      <c r="D1547" s="143">
        <v>1</v>
      </c>
      <c r="E1547" s="77"/>
      <c r="F1547" s="334"/>
      <c r="G1547" s="112">
        <v>0</v>
      </c>
      <c r="H1547" s="120">
        <v>0</v>
      </c>
      <c r="I1547" s="120">
        <v>0</v>
      </c>
      <c r="J1547" s="120">
        <v>0</v>
      </c>
      <c r="K1547" s="110">
        <v>0</v>
      </c>
      <c r="L1547" s="110"/>
      <c r="M1547" s="110">
        <v>0</v>
      </c>
      <c r="N1547" s="110"/>
      <c r="O1547" s="110"/>
      <c r="P1547" s="110">
        <f t="shared" si="132"/>
        <v>0</v>
      </c>
      <c r="Q1547" s="110">
        <f t="shared" si="133"/>
        <v>0</v>
      </c>
      <c r="R1547" s="110">
        <f t="shared" si="134"/>
        <v>0</v>
      </c>
      <c r="S1547" s="112">
        <v>0</v>
      </c>
    </row>
    <row r="1548" spans="1:19" ht="30">
      <c r="A1548" s="79"/>
      <c r="B1548" s="77" t="s">
        <v>164</v>
      </c>
      <c r="C1548" s="76" t="s">
        <v>8</v>
      </c>
      <c r="D1548" s="143">
        <v>1</v>
      </c>
      <c r="E1548" s="59"/>
      <c r="F1548" s="334"/>
      <c r="G1548" s="112">
        <v>0</v>
      </c>
      <c r="H1548" s="120">
        <v>0</v>
      </c>
      <c r="I1548" s="120">
        <v>0</v>
      </c>
      <c r="J1548" s="120">
        <v>0</v>
      </c>
      <c r="K1548" s="110">
        <v>0</v>
      </c>
      <c r="L1548" s="110"/>
      <c r="M1548" s="110">
        <v>0</v>
      </c>
      <c r="N1548" s="110"/>
      <c r="O1548" s="110"/>
      <c r="P1548" s="110">
        <f t="shared" si="132"/>
        <v>0</v>
      </c>
      <c r="Q1548" s="110">
        <f t="shared" si="133"/>
        <v>0</v>
      </c>
      <c r="R1548" s="110">
        <f t="shared" si="134"/>
        <v>0</v>
      </c>
      <c r="S1548" s="112">
        <v>0</v>
      </c>
    </row>
    <row r="1549" spans="1:19">
      <c r="A1549" s="79"/>
      <c r="B1549" s="77" t="s">
        <v>165</v>
      </c>
      <c r="C1549" s="76" t="s">
        <v>8</v>
      </c>
      <c r="D1549" s="143">
        <v>1</v>
      </c>
      <c r="E1549" s="60"/>
      <c r="F1549" s="334"/>
      <c r="G1549" s="112">
        <v>0</v>
      </c>
      <c r="H1549" s="120">
        <v>0</v>
      </c>
      <c r="I1549" s="120">
        <v>0</v>
      </c>
      <c r="J1549" s="120">
        <v>0</v>
      </c>
      <c r="K1549" s="110">
        <v>0</v>
      </c>
      <c r="L1549" s="110"/>
      <c r="M1549" s="110">
        <v>0</v>
      </c>
      <c r="N1549" s="110"/>
      <c r="O1549" s="110"/>
      <c r="P1549" s="110">
        <f t="shared" si="132"/>
        <v>0</v>
      </c>
      <c r="Q1549" s="110">
        <f t="shared" si="133"/>
        <v>0</v>
      </c>
      <c r="R1549" s="110">
        <f t="shared" si="134"/>
        <v>0</v>
      </c>
      <c r="S1549" s="112">
        <v>0</v>
      </c>
    </row>
    <row r="1550" spans="1:19" ht="45">
      <c r="A1550" s="79"/>
      <c r="B1550" s="77" t="s">
        <v>166</v>
      </c>
      <c r="C1550" s="76" t="s">
        <v>17</v>
      </c>
      <c r="D1550" s="143">
        <v>1</v>
      </c>
      <c r="E1550" s="61"/>
      <c r="F1550" s="334"/>
      <c r="G1550" s="112">
        <v>0</v>
      </c>
      <c r="H1550" s="120">
        <v>0</v>
      </c>
      <c r="I1550" s="120">
        <v>0</v>
      </c>
      <c r="J1550" s="120">
        <v>0</v>
      </c>
      <c r="K1550" s="110">
        <v>0</v>
      </c>
      <c r="L1550" s="110"/>
      <c r="M1550" s="110">
        <v>0</v>
      </c>
      <c r="N1550" s="110"/>
      <c r="O1550" s="110"/>
      <c r="P1550" s="110">
        <f t="shared" si="132"/>
        <v>0</v>
      </c>
      <c r="Q1550" s="110">
        <f t="shared" si="133"/>
        <v>0</v>
      </c>
      <c r="R1550" s="110">
        <f t="shared" si="134"/>
        <v>0</v>
      </c>
      <c r="S1550" s="112">
        <v>0</v>
      </c>
    </row>
    <row r="1551" spans="1:19" ht="60">
      <c r="A1551" s="79">
        <v>54</v>
      </c>
      <c r="B1551" s="77" t="s">
        <v>395</v>
      </c>
      <c r="C1551" s="76" t="s">
        <v>6</v>
      </c>
      <c r="D1551" s="143">
        <v>3</v>
      </c>
      <c r="E1551" s="62"/>
      <c r="F1551" s="334">
        <v>3</v>
      </c>
      <c r="G1551" s="112" t="s">
        <v>859</v>
      </c>
      <c r="H1551" s="120" t="s">
        <v>1076</v>
      </c>
      <c r="I1551" s="120" t="s">
        <v>828</v>
      </c>
      <c r="J1551" s="120" t="s">
        <v>829</v>
      </c>
      <c r="K1551" s="110">
        <v>38843100</v>
      </c>
      <c r="L1551" s="110"/>
      <c r="M1551" s="110">
        <v>3828500</v>
      </c>
      <c r="N1551" s="110"/>
      <c r="O1551" s="110"/>
      <c r="P1551" s="110">
        <f t="shared" si="132"/>
        <v>42671600</v>
      </c>
      <c r="Q1551" s="110">
        <f t="shared" si="133"/>
        <v>128014800</v>
      </c>
      <c r="R1551" s="110">
        <f t="shared" si="134"/>
        <v>128014800</v>
      </c>
      <c r="S1551" s="112" t="s">
        <v>4094</v>
      </c>
    </row>
    <row r="1552" spans="1:19" ht="45">
      <c r="A1552" s="79"/>
      <c r="B1552" s="77" t="s">
        <v>317</v>
      </c>
      <c r="C1552" s="76" t="s">
        <v>4</v>
      </c>
      <c r="D1552" s="143">
        <v>1</v>
      </c>
      <c r="E1552" s="62"/>
      <c r="F1552" s="334"/>
      <c r="G1552" s="112">
        <v>0</v>
      </c>
      <c r="H1552" s="120">
        <v>0</v>
      </c>
      <c r="I1552" s="120">
        <v>0</v>
      </c>
      <c r="J1552" s="120">
        <v>0</v>
      </c>
      <c r="K1552" s="110">
        <v>0</v>
      </c>
      <c r="L1552" s="110"/>
      <c r="M1552" s="110">
        <v>0</v>
      </c>
      <c r="N1552" s="110"/>
      <c r="O1552" s="110"/>
      <c r="P1552" s="110">
        <f t="shared" si="132"/>
        <v>0</v>
      </c>
      <c r="Q1552" s="110">
        <f t="shared" si="133"/>
        <v>0</v>
      </c>
      <c r="R1552" s="110">
        <f t="shared" si="134"/>
        <v>0</v>
      </c>
      <c r="S1552" s="112" t="s">
        <v>150</v>
      </c>
    </row>
    <row r="1553" spans="1:19">
      <c r="A1553" s="79"/>
      <c r="B1553" s="77" t="s">
        <v>151</v>
      </c>
      <c r="C1553" s="76"/>
      <c r="D1553" s="143"/>
      <c r="E1553" s="62"/>
      <c r="F1553" s="323"/>
      <c r="G1553" s="112">
        <v>0</v>
      </c>
      <c r="H1553" s="120">
        <v>0</v>
      </c>
      <c r="I1553" s="120">
        <v>0</v>
      </c>
      <c r="J1553" s="120">
        <v>0</v>
      </c>
      <c r="K1553" s="110">
        <v>0</v>
      </c>
      <c r="L1553" s="110"/>
      <c r="M1553" s="110">
        <v>0</v>
      </c>
      <c r="N1553" s="110"/>
      <c r="O1553" s="110"/>
      <c r="P1553" s="110">
        <f t="shared" si="132"/>
        <v>0</v>
      </c>
      <c r="Q1553" s="110">
        <f t="shared" si="133"/>
        <v>0</v>
      </c>
      <c r="R1553" s="110">
        <f t="shared" si="134"/>
        <v>0</v>
      </c>
      <c r="S1553" s="112">
        <v>0</v>
      </c>
    </row>
    <row r="1554" spans="1:19">
      <c r="A1554" s="79"/>
      <c r="B1554" s="77" t="s">
        <v>243</v>
      </c>
      <c r="C1554" s="76" t="s">
        <v>4</v>
      </c>
      <c r="D1554" s="143">
        <v>1</v>
      </c>
      <c r="E1554" s="63"/>
      <c r="F1554" s="334"/>
      <c r="G1554" s="112">
        <v>0</v>
      </c>
      <c r="H1554" s="120">
        <v>0</v>
      </c>
      <c r="I1554" s="120">
        <v>0</v>
      </c>
      <c r="J1554" s="120">
        <v>0</v>
      </c>
      <c r="K1554" s="110">
        <v>0</v>
      </c>
      <c r="L1554" s="110"/>
      <c r="M1554" s="110">
        <v>0</v>
      </c>
      <c r="N1554" s="110"/>
      <c r="O1554" s="110"/>
      <c r="P1554" s="110">
        <f t="shared" si="132"/>
        <v>0</v>
      </c>
      <c r="Q1554" s="110">
        <f t="shared" si="133"/>
        <v>0</v>
      </c>
      <c r="R1554" s="110">
        <f t="shared" si="134"/>
        <v>0</v>
      </c>
      <c r="S1554" s="112">
        <v>0</v>
      </c>
    </row>
    <row r="1555" spans="1:19">
      <c r="A1555" s="79"/>
      <c r="B1555" s="77" t="s">
        <v>14</v>
      </c>
      <c r="C1555" s="76" t="s">
        <v>4</v>
      </c>
      <c r="D1555" s="143">
        <v>3</v>
      </c>
      <c r="E1555" s="64"/>
      <c r="F1555" s="334"/>
      <c r="G1555" s="112">
        <v>0</v>
      </c>
      <c r="H1555" s="120">
        <v>0</v>
      </c>
      <c r="I1555" s="120">
        <v>0</v>
      </c>
      <c r="J1555" s="120">
        <v>0</v>
      </c>
      <c r="K1555" s="110">
        <v>0</v>
      </c>
      <c r="L1555" s="110"/>
      <c r="M1555" s="110">
        <v>0</v>
      </c>
      <c r="N1555" s="110"/>
      <c r="O1555" s="110"/>
      <c r="P1555" s="110">
        <f t="shared" si="132"/>
        <v>0</v>
      </c>
      <c r="Q1555" s="110">
        <f t="shared" si="133"/>
        <v>0</v>
      </c>
      <c r="R1555" s="110">
        <f t="shared" si="134"/>
        <v>0</v>
      </c>
      <c r="S1555" s="112">
        <v>0</v>
      </c>
    </row>
    <row r="1556" spans="1:19">
      <c r="A1556" s="79"/>
      <c r="B1556" s="77" t="s">
        <v>153</v>
      </c>
      <c r="C1556" s="76" t="s">
        <v>4</v>
      </c>
      <c r="D1556" s="143">
        <v>3</v>
      </c>
      <c r="E1556" s="65"/>
      <c r="F1556" s="334"/>
      <c r="G1556" s="112">
        <v>0</v>
      </c>
      <c r="H1556" s="120">
        <v>0</v>
      </c>
      <c r="I1556" s="120">
        <v>0</v>
      </c>
      <c r="J1556" s="120">
        <v>0</v>
      </c>
      <c r="K1556" s="110">
        <v>0</v>
      </c>
      <c r="L1556" s="110"/>
      <c r="M1556" s="110">
        <v>0</v>
      </c>
      <c r="N1556" s="110"/>
      <c r="O1556" s="110"/>
      <c r="P1556" s="110">
        <f t="shared" si="132"/>
        <v>0</v>
      </c>
      <c r="Q1556" s="110">
        <f t="shared" si="133"/>
        <v>0</v>
      </c>
      <c r="R1556" s="110">
        <f t="shared" si="134"/>
        <v>0</v>
      </c>
      <c r="S1556" s="112">
        <v>0</v>
      </c>
    </row>
    <row r="1557" spans="1:19">
      <c r="A1557" s="79"/>
      <c r="B1557" s="77" t="s">
        <v>154</v>
      </c>
      <c r="C1557" s="76"/>
      <c r="D1557" s="143"/>
      <c r="E1557" s="65"/>
      <c r="F1557" s="326"/>
      <c r="G1557" s="112">
        <v>0</v>
      </c>
      <c r="H1557" s="120">
        <v>0</v>
      </c>
      <c r="I1557" s="120">
        <v>0</v>
      </c>
      <c r="J1557" s="120">
        <v>0</v>
      </c>
      <c r="K1557" s="110">
        <v>0</v>
      </c>
      <c r="L1557" s="110"/>
      <c r="M1557" s="110">
        <v>0</v>
      </c>
      <c r="N1557" s="110"/>
      <c r="O1557" s="110"/>
      <c r="P1557" s="110">
        <f t="shared" si="132"/>
        <v>0</v>
      </c>
      <c r="Q1557" s="110">
        <f t="shared" si="133"/>
        <v>0</v>
      </c>
      <c r="R1557" s="110">
        <f t="shared" si="134"/>
        <v>0</v>
      </c>
      <c r="S1557" s="112">
        <v>0</v>
      </c>
    </row>
    <row r="1558" spans="1:19">
      <c r="A1558" s="79"/>
      <c r="B1558" s="77" t="s">
        <v>155</v>
      </c>
      <c r="C1558" s="76" t="s">
        <v>4</v>
      </c>
      <c r="D1558" s="143">
        <v>1</v>
      </c>
      <c r="E1558" s="436"/>
      <c r="F1558" s="334"/>
      <c r="G1558" s="112">
        <v>0</v>
      </c>
      <c r="H1558" s="120">
        <v>0</v>
      </c>
      <c r="I1558" s="120">
        <v>0</v>
      </c>
      <c r="J1558" s="120">
        <v>0</v>
      </c>
      <c r="K1558" s="110">
        <v>0</v>
      </c>
      <c r="L1558" s="110"/>
      <c r="M1558" s="110">
        <v>0</v>
      </c>
      <c r="N1558" s="110"/>
      <c r="O1558" s="110"/>
      <c r="P1558" s="110">
        <f t="shared" si="132"/>
        <v>0</v>
      </c>
      <c r="Q1558" s="110">
        <f t="shared" si="133"/>
        <v>0</v>
      </c>
      <c r="R1558" s="110">
        <f t="shared" si="134"/>
        <v>0</v>
      </c>
      <c r="S1558" s="112">
        <v>0</v>
      </c>
    </row>
    <row r="1559" spans="1:19">
      <c r="A1559" s="79"/>
      <c r="B1559" s="77" t="s">
        <v>156</v>
      </c>
      <c r="C1559" s="76" t="s">
        <v>4</v>
      </c>
      <c r="D1559" s="143">
        <v>3</v>
      </c>
      <c r="E1559" s="66"/>
      <c r="F1559" s="334"/>
      <c r="G1559" s="112">
        <v>0</v>
      </c>
      <c r="H1559" s="120">
        <v>0</v>
      </c>
      <c r="I1559" s="120">
        <v>0</v>
      </c>
      <c r="J1559" s="120">
        <v>0</v>
      </c>
      <c r="K1559" s="110">
        <v>0</v>
      </c>
      <c r="L1559" s="110"/>
      <c r="M1559" s="110">
        <v>0</v>
      </c>
      <c r="N1559" s="110"/>
      <c r="O1559" s="110"/>
      <c r="P1559" s="110">
        <f t="shared" si="132"/>
        <v>0</v>
      </c>
      <c r="Q1559" s="110">
        <f t="shared" si="133"/>
        <v>0</v>
      </c>
      <c r="R1559" s="110">
        <f t="shared" si="134"/>
        <v>0</v>
      </c>
      <c r="S1559" s="112">
        <v>0</v>
      </c>
    </row>
    <row r="1560" spans="1:19">
      <c r="A1560" s="79"/>
      <c r="B1560" s="77" t="s">
        <v>157</v>
      </c>
      <c r="C1560" s="76" t="s">
        <v>4</v>
      </c>
      <c r="D1560" s="143">
        <v>12</v>
      </c>
      <c r="E1560" s="66"/>
      <c r="F1560" s="334"/>
      <c r="G1560" s="112">
        <v>0</v>
      </c>
      <c r="H1560" s="120">
        <v>0</v>
      </c>
      <c r="I1560" s="120">
        <v>0</v>
      </c>
      <c r="J1560" s="120">
        <v>0</v>
      </c>
      <c r="K1560" s="110">
        <v>0</v>
      </c>
      <c r="L1560" s="110"/>
      <c r="M1560" s="110">
        <v>0</v>
      </c>
      <c r="N1560" s="110"/>
      <c r="O1560" s="110"/>
      <c r="P1560" s="110">
        <f t="shared" si="132"/>
        <v>0</v>
      </c>
      <c r="Q1560" s="110">
        <f t="shared" si="133"/>
        <v>0</v>
      </c>
      <c r="R1560" s="110">
        <f t="shared" si="134"/>
        <v>0</v>
      </c>
      <c r="S1560" s="112">
        <v>0</v>
      </c>
    </row>
    <row r="1561" spans="1:19">
      <c r="A1561" s="79"/>
      <c r="B1561" s="77" t="s">
        <v>158</v>
      </c>
      <c r="C1561" s="76" t="s">
        <v>4</v>
      </c>
      <c r="D1561" s="143">
        <v>1</v>
      </c>
      <c r="E1561" s="66"/>
      <c r="F1561" s="334"/>
      <c r="G1561" s="112">
        <v>0</v>
      </c>
      <c r="H1561" s="120">
        <v>0</v>
      </c>
      <c r="I1561" s="120">
        <v>0</v>
      </c>
      <c r="J1561" s="120">
        <v>0</v>
      </c>
      <c r="K1561" s="110">
        <v>0</v>
      </c>
      <c r="L1561" s="110"/>
      <c r="M1561" s="110">
        <v>0</v>
      </c>
      <c r="N1561" s="110"/>
      <c r="O1561" s="110"/>
      <c r="P1561" s="110">
        <f t="shared" si="132"/>
        <v>0</v>
      </c>
      <c r="Q1561" s="110">
        <f t="shared" si="133"/>
        <v>0</v>
      </c>
      <c r="R1561" s="110">
        <f t="shared" si="134"/>
        <v>0</v>
      </c>
      <c r="S1561" s="112">
        <v>0</v>
      </c>
    </row>
    <row r="1562" spans="1:19">
      <c r="A1562" s="79"/>
      <c r="B1562" s="77" t="s">
        <v>159</v>
      </c>
      <c r="C1562" s="76"/>
      <c r="D1562" s="143"/>
      <c r="E1562" s="66"/>
      <c r="F1562" s="324"/>
      <c r="G1562" s="112">
        <v>0</v>
      </c>
      <c r="H1562" s="120">
        <v>0</v>
      </c>
      <c r="I1562" s="120">
        <v>0</v>
      </c>
      <c r="J1562" s="120">
        <v>0</v>
      </c>
      <c r="K1562" s="110">
        <v>0</v>
      </c>
      <c r="L1562" s="110"/>
      <c r="M1562" s="110">
        <v>0</v>
      </c>
      <c r="N1562" s="110"/>
      <c r="O1562" s="110"/>
      <c r="P1562" s="110">
        <f t="shared" si="132"/>
        <v>0</v>
      </c>
      <c r="Q1562" s="110">
        <f t="shared" si="133"/>
        <v>0</v>
      </c>
      <c r="R1562" s="110">
        <f t="shared" si="134"/>
        <v>0</v>
      </c>
      <c r="S1562" s="112">
        <v>0</v>
      </c>
    </row>
    <row r="1563" spans="1:19">
      <c r="A1563" s="79"/>
      <c r="B1563" s="77" t="s">
        <v>160</v>
      </c>
      <c r="C1563" s="76" t="s">
        <v>4</v>
      </c>
      <c r="D1563" s="143">
        <v>24</v>
      </c>
      <c r="E1563" s="67"/>
      <c r="F1563" s="334"/>
      <c r="G1563" s="112">
        <v>0</v>
      </c>
      <c r="H1563" s="120">
        <v>0</v>
      </c>
      <c r="I1563" s="120">
        <v>0</v>
      </c>
      <c r="J1563" s="120">
        <v>0</v>
      </c>
      <c r="K1563" s="110">
        <v>0</v>
      </c>
      <c r="L1563" s="110"/>
      <c r="M1563" s="110">
        <v>0</v>
      </c>
      <c r="N1563" s="110"/>
      <c r="O1563" s="110"/>
      <c r="P1563" s="110">
        <f t="shared" si="132"/>
        <v>0</v>
      </c>
      <c r="Q1563" s="110">
        <f t="shared" si="133"/>
        <v>0</v>
      </c>
      <c r="R1563" s="110">
        <f t="shared" si="134"/>
        <v>0</v>
      </c>
      <c r="S1563" s="112">
        <v>0</v>
      </c>
    </row>
    <row r="1564" spans="1:19">
      <c r="A1564" s="79"/>
      <c r="B1564" s="77" t="s">
        <v>161</v>
      </c>
      <c r="C1564" s="76" t="s">
        <v>4</v>
      </c>
      <c r="D1564" s="143">
        <v>1</v>
      </c>
      <c r="E1564" s="66"/>
      <c r="F1564" s="334"/>
      <c r="G1564" s="112">
        <v>0</v>
      </c>
      <c r="H1564" s="120">
        <v>0</v>
      </c>
      <c r="I1564" s="120">
        <v>0</v>
      </c>
      <c r="J1564" s="120">
        <v>0</v>
      </c>
      <c r="K1564" s="110">
        <v>0</v>
      </c>
      <c r="L1564" s="110"/>
      <c r="M1564" s="110">
        <v>0</v>
      </c>
      <c r="N1564" s="110"/>
      <c r="O1564" s="110"/>
      <c r="P1564" s="110">
        <f t="shared" si="132"/>
        <v>0</v>
      </c>
      <c r="Q1564" s="110">
        <f t="shared" si="133"/>
        <v>0</v>
      </c>
      <c r="R1564" s="110">
        <f t="shared" si="134"/>
        <v>0</v>
      </c>
      <c r="S1564" s="112">
        <v>0</v>
      </c>
    </row>
    <row r="1565" spans="1:19">
      <c r="A1565" s="79"/>
      <c r="B1565" s="77" t="s">
        <v>162</v>
      </c>
      <c r="C1565" s="76" t="s">
        <v>17</v>
      </c>
      <c r="D1565" s="143">
        <v>1</v>
      </c>
      <c r="E1565" s="66"/>
      <c r="F1565" s="334"/>
      <c r="G1565" s="112">
        <v>0</v>
      </c>
      <c r="H1565" s="120">
        <v>0</v>
      </c>
      <c r="I1565" s="120">
        <v>0</v>
      </c>
      <c r="J1565" s="120">
        <v>0</v>
      </c>
      <c r="K1565" s="110">
        <v>0</v>
      </c>
      <c r="L1565" s="110"/>
      <c r="M1565" s="110">
        <v>0</v>
      </c>
      <c r="N1565" s="110"/>
      <c r="O1565" s="110"/>
      <c r="P1565" s="110">
        <f t="shared" si="132"/>
        <v>0</v>
      </c>
      <c r="Q1565" s="110">
        <f t="shared" si="133"/>
        <v>0</v>
      </c>
      <c r="R1565" s="110">
        <f t="shared" si="134"/>
        <v>0</v>
      </c>
      <c r="S1565" s="112">
        <v>0</v>
      </c>
    </row>
    <row r="1566" spans="1:19">
      <c r="A1566" s="79"/>
      <c r="B1566" s="77" t="s">
        <v>163</v>
      </c>
      <c r="C1566" s="76" t="s">
        <v>4</v>
      </c>
      <c r="D1566" s="143">
        <v>1</v>
      </c>
      <c r="E1566" s="60"/>
      <c r="F1566" s="334"/>
      <c r="G1566" s="112">
        <v>0</v>
      </c>
      <c r="H1566" s="120">
        <v>0</v>
      </c>
      <c r="I1566" s="120">
        <v>0</v>
      </c>
      <c r="J1566" s="120">
        <v>0</v>
      </c>
      <c r="K1566" s="110">
        <v>0</v>
      </c>
      <c r="L1566" s="110"/>
      <c r="M1566" s="110">
        <v>0</v>
      </c>
      <c r="N1566" s="110"/>
      <c r="O1566" s="110"/>
      <c r="P1566" s="110">
        <f t="shared" si="132"/>
        <v>0</v>
      </c>
      <c r="Q1566" s="110">
        <f t="shared" si="133"/>
        <v>0</v>
      </c>
      <c r="R1566" s="110">
        <f t="shared" si="134"/>
        <v>0</v>
      </c>
      <c r="S1566" s="112">
        <v>0</v>
      </c>
    </row>
    <row r="1567" spans="1:19" ht="30">
      <c r="A1567" s="79"/>
      <c r="B1567" s="77" t="s">
        <v>189</v>
      </c>
      <c r="C1567" s="76" t="s">
        <v>8</v>
      </c>
      <c r="D1567" s="143">
        <v>1</v>
      </c>
      <c r="E1567" s="60"/>
      <c r="F1567" s="334"/>
      <c r="G1567" s="112">
        <v>0</v>
      </c>
      <c r="H1567" s="120">
        <v>0</v>
      </c>
      <c r="I1567" s="120">
        <v>0</v>
      </c>
      <c r="J1567" s="120">
        <v>0</v>
      </c>
      <c r="K1567" s="110">
        <v>0</v>
      </c>
      <c r="L1567" s="110"/>
      <c r="M1567" s="110">
        <v>0</v>
      </c>
      <c r="N1567" s="110"/>
      <c r="O1567" s="110"/>
      <c r="P1567" s="110">
        <f t="shared" si="132"/>
        <v>0</v>
      </c>
      <c r="Q1567" s="110">
        <f t="shared" si="133"/>
        <v>0</v>
      </c>
      <c r="R1567" s="110">
        <f t="shared" si="134"/>
        <v>0</v>
      </c>
      <c r="S1567" s="112">
        <v>0</v>
      </c>
    </row>
    <row r="1568" spans="1:19" ht="45">
      <c r="A1568" s="79"/>
      <c r="B1568" s="77" t="s">
        <v>166</v>
      </c>
      <c r="C1568" s="76" t="s">
        <v>17</v>
      </c>
      <c r="D1568" s="143">
        <v>1</v>
      </c>
      <c r="E1568" s="60"/>
      <c r="F1568" s="334"/>
      <c r="G1568" s="112">
        <v>0</v>
      </c>
      <c r="H1568" s="120">
        <v>0</v>
      </c>
      <c r="I1568" s="120">
        <v>0</v>
      </c>
      <c r="J1568" s="120">
        <v>0</v>
      </c>
      <c r="K1568" s="110">
        <v>0</v>
      </c>
      <c r="L1568" s="110"/>
      <c r="M1568" s="110">
        <v>0</v>
      </c>
      <c r="N1568" s="110"/>
      <c r="O1568" s="110"/>
      <c r="P1568" s="110">
        <f t="shared" si="132"/>
        <v>0</v>
      </c>
      <c r="Q1568" s="110">
        <f t="shared" si="133"/>
        <v>0</v>
      </c>
      <c r="R1568" s="110">
        <f t="shared" si="134"/>
        <v>0</v>
      </c>
      <c r="S1568" s="112">
        <v>0</v>
      </c>
    </row>
    <row r="1569" spans="1:19" ht="60">
      <c r="A1569" s="79">
        <v>55</v>
      </c>
      <c r="B1569" s="77" t="s">
        <v>396</v>
      </c>
      <c r="C1569" s="76" t="s">
        <v>6</v>
      </c>
      <c r="D1569" s="143">
        <v>1</v>
      </c>
      <c r="E1569" s="68"/>
      <c r="F1569" s="334">
        <v>1</v>
      </c>
      <c r="G1569" s="112" t="s">
        <v>396</v>
      </c>
      <c r="H1569" s="120" t="s">
        <v>1076</v>
      </c>
      <c r="I1569" s="120" t="s">
        <v>828</v>
      </c>
      <c r="J1569" s="120" t="s">
        <v>829</v>
      </c>
      <c r="K1569" s="110">
        <v>44353100</v>
      </c>
      <c r="L1569" s="110"/>
      <c r="M1569" s="110">
        <v>3828500</v>
      </c>
      <c r="N1569" s="110"/>
      <c r="O1569" s="110"/>
      <c r="P1569" s="110">
        <f t="shared" si="132"/>
        <v>48181600</v>
      </c>
      <c r="Q1569" s="110">
        <f t="shared" si="133"/>
        <v>48181600</v>
      </c>
      <c r="R1569" s="110">
        <f t="shared" si="134"/>
        <v>48181600</v>
      </c>
      <c r="S1569" s="112" t="s">
        <v>4094</v>
      </c>
    </row>
    <row r="1570" spans="1:19" ht="45">
      <c r="A1570" s="79"/>
      <c r="B1570" s="77" t="s">
        <v>317</v>
      </c>
      <c r="C1570" s="76" t="s">
        <v>4</v>
      </c>
      <c r="D1570" s="143">
        <v>1</v>
      </c>
      <c r="E1570" s="68"/>
      <c r="F1570" s="334"/>
      <c r="G1570" s="112">
        <v>0</v>
      </c>
      <c r="H1570" s="120">
        <v>0</v>
      </c>
      <c r="I1570" s="120">
        <v>0</v>
      </c>
      <c r="J1570" s="120">
        <v>0</v>
      </c>
      <c r="K1570" s="110">
        <v>0</v>
      </c>
      <c r="L1570" s="110"/>
      <c r="M1570" s="110">
        <v>0</v>
      </c>
      <c r="N1570" s="110"/>
      <c r="O1570" s="110"/>
      <c r="P1570" s="110">
        <f t="shared" si="132"/>
        <v>0</v>
      </c>
      <c r="Q1570" s="110">
        <f t="shared" si="133"/>
        <v>0</v>
      </c>
      <c r="R1570" s="110">
        <f t="shared" si="134"/>
        <v>0</v>
      </c>
      <c r="S1570" s="112" t="s">
        <v>150</v>
      </c>
    </row>
    <row r="1571" spans="1:19">
      <c r="A1571" s="79"/>
      <c r="B1571" s="77" t="s">
        <v>151</v>
      </c>
      <c r="C1571" s="76"/>
      <c r="D1571" s="143"/>
      <c r="E1571" s="68"/>
      <c r="F1571" s="68"/>
      <c r="G1571" s="112">
        <v>0</v>
      </c>
      <c r="H1571" s="120">
        <v>0</v>
      </c>
      <c r="I1571" s="120">
        <v>0</v>
      </c>
      <c r="J1571" s="120">
        <v>0</v>
      </c>
      <c r="K1571" s="110">
        <v>0</v>
      </c>
      <c r="L1571" s="110"/>
      <c r="M1571" s="110">
        <v>0</v>
      </c>
      <c r="N1571" s="110"/>
      <c r="O1571" s="110"/>
      <c r="P1571" s="110">
        <f t="shared" si="132"/>
        <v>0</v>
      </c>
      <c r="Q1571" s="110">
        <f t="shared" si="133"/>
        <v>0</v>
      </c>
      <c r="R1571" s="110">
        <f t="shared" si="134"/>
        <v>0</v>
      </c>
      <c r="S1571" s="112">
        <v>0</v>
      </c>
    </row>
    <row r="1572" spans="1:19">
      <c r="A1572" s="79"/>
      <c r="B1572" s="77" t="s">
        <v>212</v>
      </c>
      <c r="C1572" s="76" t="s">
        <v>4</v>
      </c>
      <c r="D1572" s="143">
        <v>1</v>
      </c>
      <c r="E1572" s="340"/>
      <c r="F1572" s="334"/>
      <c r="G1572" s="112">
        <v>0</v>
      </c>
      <c r="H1572" s="120">
        <v>0</v>
      </c>
      <c r="I1572" s="120">
        <v>0</v>
      </c>
      <c r="J1572" s="120">
        <v>0</v>
      </c>
      <c r="K1572" s="110">
        <v>0</v>
      </c>
      <c r="L1572" s="110"/>
      <c r="M1572" s="110">
        <v>0</v>
      </c>
      <c r="N1572" s="110"/>
      <c r="O1572" s="110"/>
      <c r="P1572" s="110">
        <f t="shared" si="132"/>
        <v>0</v>
      </c>
      <c r="Q1572" s="110">
        <f t="shared" si="133"/>
        <v>0</v>
      </c>
      <c r="R1572" s="110">
        <f t="shared" si="134"/>
        <v>0</v>
      </c>
      <c r="S1572" s="112">
        <v>0</v>
      </c>
    </row>
    <row r="1573" spans="1:19">
      <c r="A1573" s="79"/>
      <c r="B1573" s="77" t="s">
        <v>14</v>
      </c>
      <c r="C1573" s="76" t="s">
        <v>4</v>
      </c>
      <c r="D1573" s="143">
        <v>3</v>
      </c>
      <c r="E1573" s="66"/>
      <c r="F1573" s="334"/>
      <c r="G1573" s="112">
        <v>0</v>
      </c>
      <c r="H1573" s="120">
        <v>0</v>
      </c>
      <c r="I1573" s="120">
        <v>0</v>
      </c>
      <c r="J1573" s="120">
        <v>0</v>
      </c>
      <c r="K1573" s="110">
        <v>0</v>
      </c>
      <c r="L1573" s="110"/>
      <c r="M1573" s="110">
        <v>0</v>
      </c>
      <c r="N1573" s="110"/>
      <c r="O1573" s="110"/>
      <c r="P1573" s="110">
        <f t="shared" si="132"/>
        <v>0</v>
      </c>
      <c r="Q1573" s="110">
        <f t="shared" si="133"/>
        <v>0</v>
      </c>
      <c r="R1573" s="110">
        <f t="shared" si="134"/>
        <v>0</v>
      </c>
      <c r="S1573" s="112">
        <v>0</v>
      </c>
    </row>
    <row r="1574" spans="1:19">
      <c r="A1574" s="79"/>
      <c r="B1574" s="77" t="s">
        <v>153</v>
      </c>
      <c r="C1574" s="76" t="s">
        <v>4</v>
      </c>
      <c r="D1574" s="143">
        <v>3</v>
      </c>
      <c r="E1574" s="62"/>
      <c r="F1574" s="334"/>
      <c r="G1574" s="112">
        <v>0</v>
      </c>
      <c r="H1574" s="120">
        <v>0</v>
      </c>
      <c r="I1574" s="120">
        <v>0</v>
      </c>
      <c r="J1574" s="120">
        <v>0</v>
      </c>
      <c r="K1574" s="110">
        <v>0</v>
      </c>
      <c r="L1574" s="110"/>
      <c r="M1574" s="110">
        <v>0</v>
      </c>
      <c r="N1574" s="110"/>
      <c r="O1574" s="110"/>
      <c r="P1574" s="110">
        <f t="shared" si="132"/>
        <v>0</v>
      </c>
      <c r="Q1574" s="110">
        <f t="shared" si="133"/>
        <v>0</v>
      </c>
      <c r="R1574" s="110">
        <f t="shared" si="134"/>
        <v>0</v>
      </c>
      <c r="S1574" s="112">
        <v>0</v>
      </c>
    </row>
    <row r="1575" spans="1:19">
      <c r="A1575" s="79"/>
      <c r="B1575" s="77" t="s">
        <v>154</v>
      </c>
      <c r="C1575" s="76"/>
      <c r="D1575" s="143"/>
      <c r="E1575" s="61"/>
      <c r="F1575" s="328"/>
      <c r="G1575" s="112">
        <v>0</v>
      </c>
      <c r="H1575" s="120">
        <v>0</v>
      </c>
      <c r="I1575" s="120">
        <v>0</v>
      </c>
      <c r="J1575" s="120">
        <v>0</v>
      </c>
      <c r="K1575" s="110">
        <v>0</v>
      </c>
      <c r="L1575" s="110"/>
      <c r="M1575" s="110">
        <v>0</v>
      </c>
      <c r="N1575" s="110"/>
      <c r="O1575" s="110"/>
      <c r="P1575" s="110">
        <f t="shared" si="132"/>
        <v>0</v>
      </c>
      <c r="Q1575" s="110">
        <f t="shared" si="133"/>
        <v>0</v>
      </c>
      <c r="R1575" s="110">
        <f t="shared" si="134"/>
        <v>0</v>
      </c>
      <c r="S1575" s="112">
        <v>0</v>
      </c>
    </row>
    <row r="1576" spans="1:19">
      <c r="A1576" s="79"/>
      <c r="B1576" s="77" t="s">
        <v>155</v>
      </c>
      <c r="C1576" s="76" t="s">
        <v>4</v>
      </c>
      <c r="D1576" s="143">
        <v>1</v>
      </c>
      <c r="E1576" s="62"/>
      <c r="F1576" s="334"/>
      <c r="G1576" s="112">
        <v>0</v>
      </c>
      <c r="H1576" s="120">
        <v>0</v>
      </c>
      <c r="I1576" s="120">
        <v>0</v>
      </c>
      <c r="J1576" s="120">
        <v>0</v>
      </c>
      <c r="K1576" s="110">
        <v>0</v>
      </c>
      <c r="L1576" s="110"/>
      <c r="M1576" s="110">
        <v>0</v>
      </c>
      <c r="N1576" s="110"/>
      <c r="O1576" s="110"/>
      <c r="P1576" s="110">
        <f t="shared" si="132"/>
        <v>0</v>
      </c>
      <c r="Q1576" s="110">
        <f t="shared" si="133"/>
        <v>0</v>
      </c>
      <c r="R1576" s="110">
        <f t="shared" si="134"/>
        <v>0</v>
      </c>
      <c r="S1576" s="112">
        <v>0</v>
      </c>
    </row>
    <row r="1577" spans="1:19">
      <c r="A1577" s="79"/>
      <c r="B1577" s="77" t="s">
        <v>243</v>
      </c>
      <c r="C1577" s="76" t="s">
        <v>4</v>
      </c>
      <c r="D1577" s="143">
        <v>2</v>
      </c>
      <c r="E1577" s="62"/>
      <c r="F1577" s="334"/>
      <c r="G1577" s="112">
        <v>0</v>
      </c>
      <c r="H1577" s="120">
        <v>0</v>
      </c>
      <c r="I1577" s="120">
        <v>0</v>
      </c>
      <c r="J1577" s="120">
        <v>0</v>
      </c>
      <c r="K1577" s="110">
        <v>0</v>
      </c>
      <c r="L1577" s="110"/>
      <c r="M1577" s="110">
        <v>0</v>
      </c>
      <c r="N1577" s="110"/>
      <c r="O1577" s="110"/>
      <c r="P1577" s="110">
        <f t="shared" si="132"/>
        <v>0</v>
      </c>
      <c r="Q1577" s="110">
        <f t="shared" si="133"/>
        <v>0</v>
      </c>
      <c r="R1577" s="110">
        <f t="shared" si="134"/>
        <v>0</v>
      </c>
      <c r="S1577" s="112">
        <v>0</v>
      </c>
    </row>
    <row r="1578" spans="1:19">
      <c r="A1578" s="79"/>
      <c r="B1578" s="77" t="s">
        <v>156</v>
      </c>
      <c r="C1578" s="76" t="s">
        <v>4</v>
      </c>
      <c r="D1578" s="143">
        <v>3</v>
      </c>
      <c r="E1578" s="62"/>
      <c r="F1578" s="334"/>
      <c r="G1578" s="112">
        <v>0</v>
      </c>
      <c r="H1578" s="120">
        <v>0</v>
      </c>
      <c r="I1578" s="120">
        <v>0</v>
      </c>
      <c r="J1578" s="120">
        <v>0</v>
      </c>
      <c r="K1578" s="110">
        <v>0</v>
      </c>
      <c r="L1578" s="110"/>
      <c r="M1578" s="110">
        <v>0</v>
      </c>
      <c r="N1578" s="110"/>
      <c r="O1578" s="110"/>
      <c r="P1578" s="110">
        <f t="shared" si="132"/>
        <v>0</v>
      </c>
      <c r="Q1578" s="110">
        <f t="shared" si="133"/>
        <v>0</v>
      </c>
      <c r="R1578" s="110">
        <f t="shared" si="134"/>
        <v>0</v>
      </c>
      <c r="S1578" s="112">
        <v>0</v>
      </c>
    </row>
    <row r="1579" spans="1:19">
      <c r="A1579" s="79"/>
      <c r="B1579" s="77" t="s">
        <v>157</v>
      </c>
      <c r="C1579" s="76" t="s">
        <v>4</v>
      </c>
      <c r="D1579" s="143">
        <v>15</v>
      </c>
      <c r="E1579" s="62"/>
      <c r="F1579" s="334"/>
      <c r="G1579" s="112">
        <v>0</v>
      </c>
      <c r="H1579" s="120">
        <v>0</v>
      </c>
      <c r="I1579" s="120">
        <v>0</v>
      </c>
      <c r="J1579" s="120">
        <v>0</v>
      </c>
      <c r="K1579" s="110">
        <v>0</v>
      </c>
      <c r="L1579" s="110"/>
      <c r="M1579" s="110">
        <v>0</v>
      </c>
      <c r="N1579" s="110"/>
      <c r="O1579" s="110"/>
      <c r="P1579" s="110">
        <f t="shared" si="132"/>
        <v>0</v>
      </c>
      <c r="Q1579" s="110">
        <f t="shared" si="133"/>
        <v>0</v>
      </c>
      <c r="R1579" s="110">
        <f t="shared" si="134"/>
        <v>0</v>
      </c>
      <c r="S1579" s="112">
        <v>0</v>
      </c>
    </row>
    <row r="1580" spans="1:19">
      <c r="A1580" s="79"/>
      <c r="B1580" s="77" t="s">
        <v>158</v>
      </c>
      <c r="C1580" s="76" t="s">
        <v>4</v>
      </c>
      <c r="D1580" s="143">
        <v>1</v>
      </c>
      <c r="E1580" s="62"/>
      <c r="F1580" s="334"/>
      <c r="G1580" s="112">
        <v>0</v>
      </c>
      <c r="H1580" s="120">
        <v>0</v>
      </c>
      <c r="I1580" s="120">
        <v>0</v>
      </c>
      <c r="J1580" s="120">
        <v>0</v>
      </c>
      <c r="K1580" s="110">
        <v>0</v>
      </c>
      <c r="L1580" s="110"/>
      <c r="M1580" s="110">
        <v>0</v>
      </c>
      <c r="N1580" s="110"/>
      <c r="O1580" s="110"/>
      <c r="P1580" s="110">
        <f t="shared" si="132"/>
        <v>0</v>
      </c>
      <c r="Q1580" s="110">
        <f t="shared" si="133"/>
        <v>0</v>
      </c>
      <c r="R1580" s="110">
        <f t="shared" si="134"/>
        <v>0</v>
      </c>
      <c r="S1580" s="112">
        <v>0</v>
      </c>
    </row>
    <row r="1581" spans="1:19">
      <c r="A1581" s="79"/>
      <c r="B1581" s="77" t="s">
        <v>159</v>
      </c>
      <c r="C1581" s="76"/>
      <c r="D1581" s="143"/>
      <c r="E1581" s="62"/>
      <c r="F1581" s="323"/>
      <c r="G1581" s="112">
        <v>0</v>
      </c>
      <c r="H1581" s="120">
        <v>0</v>
      </c>
      <c r="I1581" s="120">
        <v>0</v>
      </c>
      <c r="J1581" s="120">
        <v>0</v>
      </c>
      <c r="K1581" s="110">
        <v>0</v>
      </c>
      <c r="L1581" s="110"/>
      <c r="M1581" s="110">
        <v>0</v>
      </c>
      <c r="N1581" s="110"/>
      <c r="O1581" s="110"/>
      <c r="P1581" s="110">
        <f t="shared" si="132"/>
        <v>0</v>
      </c>
      <c r="Q1581" s="110">
        <f t="shared" si="133"/>
        <v>0</v>
      </c>
      <c r="R1581" s="110">
        <f t="shared" si="134"/>
        <v>0</v>
      </c>
      <c r="S1581" s="112">
        <v>0</v>
      </c>
    </row>
    <row r="1582" spans="1:19">
      <c r="A1582" s="79"/>
      <c r="B1582" s="77" t="s">
        <v>160</v>
      </c>
      <c r="C1582" s="76" t="s">
        <v>4</v>
      </c>
      <c r="D1582" s="143">
        <v>32</v>
      </c>
      <c r="E1582" s="62"/>
      <c r="F1582" s="334"/>
      <c r="G1582" s="112">
        <v>0</v>
      </c>
      <c r="H1582" s="120">
        <v>0</v>
      </c>
      <c r="I1582" s="120">
        <v>0</v>
      </c>
      <c r="J1582" s="120">
        <v>0</v>
      </c>
      <c r="K1582" s="110">
        <v>0</v>
      </c>
      <c r="L1582" s="110"/>
      <c r="M1582" s="110">
        <v>0</v>
      </c>
      <c r="N1582" s="110"/>
      <c r="O1582" s="110"/>
      <c r="P1582" s="110">
        <f t="shared" si="132"/>
        <v>0</v>
      </c>
      <c r="Q1582" s="110">
        <f t="shared" si="133"/>
        <v>0</v>
      </c>
      <c r="R1582" s="110">
        <f t="shared" si="134"/>
        <v>0</v>
      </c>
      <c r="S1582" s="112">
        <v>0</v>
      </c>
    </row>
    <row r="1583" spans="1:19">
      <c r="A1583" s="79"/>
      <c r="B1583" s="77" t="s">
        <v>161</v>
      </c>
      <c r="C1583" s="76" t="s">
        <v>4</v>
      </c>
      <c r="D1583" s="143">
        <v>1</v>
      </c>
      <c r="E1583" s="62"/>
      <c r="F1583" s="334"/>
      <c r="G1583" s="112">
        <v>0</v>
      </c>
      <c r="H1583" s="120">
        <v>0</v>
      </c>
      <c r="I1583" s="120">
        <v>0</v>
      </c>
      <c r="J1583" s="120">
        <v>0</v>
      </c>
      <c r="K1583" s="110">
        <v>0</v>
      </c>
      <c r="L1583" s="110"/>
      <c r="M1583" s="110">
        <v>0</v>
      </c>
      <c r="N1583" s="110"/>
      <c r="O1583" s="110"/>
      <c r="P1583" s="110">
        <f t="shared" si="132"/>
        <v>0</v>
      </c>
      <c r="Q1583" s="110">
        <f t="shared" si="133"/>
        <v>0</v>
      </c>
      <c r="R1583" s="110">
        <f t="shared" si="134"/>
        <v>0</v>
      </c>
      <c r="S1583" s="112">
        <v>0</v>
      </c>
    </row>
    <row r="1584" spans="1:19">
      <c r="A1584" s="79"/>
      <c r="B1584" s="77" t="s">
        <v>162</v>
      </c>
      <c r="C1584" s="76" t="s">
        <v>17</v>
      </c>
      <c r="D1584" s="143">
        <v>1</v>
      </c>
      <c r="E1584" s="62"/>
      <c r="F1584" s="334"/>
      <c r="G1584" s="112">
        <v>0</v>
      </c>
      <c r="H1584" s="120">
        <v>0</v>
      </c>
      <c r="I1584" s="120">
        <v>0</v>
      </c>
      <c r="J1584" s="120">
        <v>0</v>
      </c>
      <c r="K1584" s="110">
        <v>0</v>
      </c>
      <c r="L1584" s="110"/>
      <c r="M1584" s="110">
        <v>0</v>
      </c>
      <c r="N1584" s="110"/>
      <c r="O1584" s="110"/>
      <c r="P1584" s="110">
        <f t="shared" si="132"/>
        <v>0</v>
      </c>
      <c r="Q1584" s="110">
        <f t="shared" si="133"/>
        <v>0</v>
      </c>
      <c r="R1584" s="110">
        <f t="shared" si="134"/>
        <v>0</v>
      </c>
      <c r="S1584" s="112">
        <v>0</v>
      </c>
    </row>
    <row r="1585" spans="1:19">
      <c r="A1585" s="79"/>
      <c r="B1585" s="77" t="s">
        <v>163</v>
      </c>
      <c r="C1585" s="76" t="s">
        <v>4</v>
      </c>
      <c r="D1585" s="143">
        <v>1</v>
      </c>
      <c r="E1585" s="62"/>
      <c r="F1585" s="334"/>
      <c r="G1585" s="112">
        <v>0</v>
      </c>
      <c r="H1585" s="120">
        <v>0</v>
      </c>
      <c r="I1585" s="120">
        <v>0</v>
      </c>
      <c r="J1585" s="120">
        <v>0</v>
      </c>
      <c r="K1585" s="110">
        <v>0</v>
      </c>
      <c r="L1585" s="110"/>
      <c r="M1585" s="110">
        <v>0</v>
      </c>
      <c r="N1585" s="110"/>
      <c r="O1585" s="110"/>
      <c r="P1585" s="110">
        <f t="shared" ref="P1585:P1648" si="135">+K1585+L1585+M1585+N1585+O1585</f>
        <v>0</v>
      </c>
      <c r="Q1585" s="110">
        <f t="shared" ref="Q1585:Q1648" si="136">+P1585*D1585</f>
        <v>0</v>
      </c>
      <c r="R1585" s="110">
        <f t="shared" ref="R1585:R1648" si="137">P1585*F1585</f>
        <v>0</v>
      </c>
      <c r="S1585" s="112">
        <v>0</v>
      </c>
    </row>
    <row r="1586" spans="1:19" ht="30">
      <c r="A1586" s="79"/>
      <c r="B1586" s="77" t="s">
        <v>164</v>
      </c>
      <c r="C1586" s="76" t="s">
        <v>8</v>
      </c>
      <c r="D1586" s="143">
        <v>1</v>
      </c>
      <c r="E1586" s="60"/>
      <c r="F1586" s="334"/>
      <c r="G1586" s="112">
        <v>0</v>
      </c>
      <c r="H1586" s="120">
        <v>0</v>
      </c>
      <c r="I1586" s="120">
        <v>0</v>
      </c>
      <c r="J1586" s="120">
        <v>0</v>
      </c>
      <c r="K1586" s="110">
        <v>0</v>
      </c>
      <c r="L1586" s="110"/>
      <c r="M1586" s="110">
        <v>0</v>
      </c>
      <c r="N1586" s="110"/>
      <c r="O1586" s="110"/>
      <c r="P1586" s="110">
        <f t="shared" si="135"/>
        <v>0</v>
      </c>
      <c r="Q1586" s="110">
        <f t="shared" si="136"/>
        <v>0</v>
      </c>
      <c r="R1586" s="110">
        <f t="shared" si="137"/>
        <v>0</v>
      </c>
      <c r="S1586" s="112">
        <v>0</v>
      </c>
    </row>
    <row r="1587" spans="1:19">
      <c r="A1587" s="79"/>
      <c r="B1587" s="77" t="s">
        <v>165</v>
      </c>
      <c r="C1587" s="76" t="s">
        <v>8</v>
      </c>
      <c r="D1587" s="143">
        <v>1</v>
      </c>
      <c r="E1587" s="61"/>
      <c r="F1587" s="334"/>
      <c r="G1587" s="112">
        <v>0</v>
      </c>
      <c r="H1587" s="120">
        <v>0</v>
      </c>
      <c r="I1587" s="120">
        <v>0</v>
      </c>
      <c r="J1587" s="120">
        <v>0</v>
      </c>
      <c r="K1587" s="110">
        <v>0</v>
      </c>
      <c r="L1587" s="110"/>
      <c r="M1587" s="110">
        <v>0</v>
      </c>
      <c r="N1587" s="110"/>
      <c r="O1587" s="110"/>
      <c r="P1587" s="110">
        <f t="shared" si="135"/>
        <v>0</v>
      </c>
      <c r="Q1587" s="110">
        <f t="shared" si="136"/>
        <v>0</v>
      </c>
      <c r="R1587" s="110">
        <f t="shared" si="137"/>
        <v>0</v>
      </c>
      <c r="S1587" s="112">
        <v>0</v>
      </c>
    </row>
    <row r="1588" spans="1:19" ht="45">
      <c r="A1588" s="79"/>
      <c r="B1588" s="77" t="s">
        <v>166</v>
      </c>
      <c r="C1588" s="76" t="s">
        <v>17</v>
      </c>
      <c r="D1588" s="143">
        <v>1</v>
      </c>
      <c r="E1588" s="63"/>
      <c r="F1588" s="334"/>
      <c r="G1588" s="112">
        <v>0</v>
      </c>
      <c r="H1588" s="120">
        <v>0</v>
      </c>
      <c r="I1588" s="120">
        <v>0</v>
      </c>
      <c r="J1588" s="120">
        <v>0</v>
      </c>
      <c r="K1588" s="110">
        <v>0</v>
      </c>
      <c r="L1588" s="110"/>
      <c r="M1588" s="110">
        <v>0</v>
      </c>
      <c r="N1588" s="110"/>
      <c r="O1588" s="110"/>
      <c r="P1588" s="110">
        <f t="shared" si="135"/>
        <v>0</v>
      </c>
      <c r="Q1588" s="110">
        <f t="shared" si="136"/>
        <v>0</v>
      </c>
      <c r="R1588" s="110">
        <f t="shared" si="137"/>
        <v>0</v>
      </c>
      <c r="S1588" s="112">
        <v>0</v>
      </c>
    </row>
    <row r="1589" spans="1:19" ht="60">
      <c r="A1589" s="79">
        <v>56</v>
      </c>
      <c r="B1589" s="77" t="s">
        <v>397</v>
      </c>
      <c r="C1589" s="76" t="s">
        <v>6</v>
      </c>
      <c r="D1589" s="143">
        <v>1</v>
      </c>
      <c r="E1589" s="66"/>
      <c r="F1589" s="334">
        <v>1</v>
      </c>
      <c r="G1589" s="112" t="s">
        <v>397</v>
      </c>
      <c r="H1589" s="120" t="s">
        <v>1076</v>
      </c>
      <c r="I1589" s="120" t="s">
        <v>828</v>
      </c>
      <c r="J1589" s="120" t="s">
        <v>829</v>
      </c>
      <c r="K1589" s="110">
        <v>38839900</v>
      </c>
      <c r="L1589" s="110"/>
      <c r="M1589" s="110">
        <v>3828500</v>
      </c>
      <c r="N1589" s="110"/>
      <c r="O1589" s="110"/>
      <c r="P1589" s="110">
        <f t="shared" si="135"/>
        <v>42668400</v>
      </c>
      <c r="Q1589" s="110">
        <f t="shared" si="136"/>
        <v>42668400</v>
      </c>
      <c r="R1589" s="110">
        <f t="shared" si="137"/>
        <v>42668400</v>
      </c>
      <c r="S1589" s="112" t="s">
        <v>4094</v>
      </c>
    </row>
    <row r="1590" spans="1:19" ht="45">
      <c r="A1590" s="79"/>
      <c r="B1590" s="77" t="s">
        <v>317</v>
      </c>
      <c r="C1590" s="76" t="s">
        <v>4</v>
      </c>
      <c r="D1590" s="143">
        <v>1</v>
      </c>
      <c r="E1590" s="50"/>
      <c r="F1590" s="334"/>
      <c r="G1590" s="112">
        <v>0</v>
      </c>
      <c r="H1590" s="120">
        <v>0</v>
      </c>
      <c r="I1590" s="120">
        <v>0</v>
      </c>
      <c r="J1590" s="120">
        <v>0</v>
      </c>
      <c r="K1590" s="110">
        <v>0</v>
      </c>
      <c r="L1590" s="110"/>
      <c r="M1590" s="110">
        <v>0</v>
      </c>
      <c r="N1590" s="110"/>
      <c r="O1590" s="110"/>
      <c r="P1590" s="110">
        <f t="shared" si="135"/>
        <v>0</v>
      </c>
      <c r="Q1590" s="110">
        <f t="shared" si="136"/>
        <v>0</v>
      </c>
      <c r="R1590" s="110">
        <f t="shared" si="137"/>
        <v>0</v>
      </c>
      <c r="S1590" s="112" t="s">
        <v>150</v>
      </c>
    </row>
    <row r="1591" spans="1:19">
      <c r="A1591" s="79"/>
      <c r="B1591" s="77" t="s">
        <v>151</v>
      </c>
      <c r="C1591" s="76"/>
      <c r="D1591" s="143"/>
      <c r="E1591" s="66"/>
      <c r="F1591" s="324"/>
      <c r="G1591" s="112">
        <v>0</v>
      </c>
      <c r="H1591" s="120">
        <v>0</v>
      </c>
      <c r="I1591" s="120">
        <v>0</v>
      </c>
      <c r="J1591" s="120">
        <v>0</v>
      </c>
      <c r="K1591" s="110">
        <v>0</v>
      </c>
      <c r="L1591" s="110"/>
      <c r="M1591" s="110">
        <v>0</v>
      </c>
      <c r="N1591" s="110"/>
      <c r="O1591" s="110"/>
      <c r="P1591" s="110">
        <f t="shared" si="135"/>
        <v>0</v>
      </c>
      <c r="Q1591" s="110">
        <f t="shared" si="136"/>
        <v>0</v>
      </c>
      <c r="R1591" s="110">
        <f t="shared" si="137"/>
        <v>0</v>
      </c>
      <c r="S1591" s="112">
        <v>0</v>
      </c>
    </row>
    <row r="1592" spans="1:19">
      <c r="A1592" s="79"/>
      <c r="B1592" s="77" t="s">
        <v>243</v>
      </c>
      <c r="C1592" s="76" t="s">
        <v>4</v>
      </c>
      <c r="D1592" s="143">
        <v>1</v>
      </c>
      <c r="E1592" s="63"/>
      <c r="F1592" s="334"/>
      <c r="G1592" s="112">
        <v>0</v>
      </c>
      <c r="H1592" s="120">
        <v>0</v>
      </c>
      <c r="I1592" s="120">
        <v>0</v>
      </c>
      <c r="J1592" s="120">
        <v>0</v>
      </c>
      <c r="K1592" s="110">
        <v>0</v>
      </c>
      <c r="L1592" s="110"/>
      <c r="M1592" s="110">
        <v>0</v>
      </c>
      <c r="N1592" s="110"/>
      <c r="O1592" s="110"/>
      <c r="P1592" s="110">
        <f t="shared" si="135"/>
        <v>0</v>
      </c>
      <c r="Q1592" s="110">
        <f t="shared" si="136"/>
        <v>0</v>
      </c>
      <c r="R1592" s="110">
        <f t="shared" si="137"/>
        <v>0</v>
      </c>
      <c r="S1592" s="112">
        <v>0</v>
      </c>
    </row>
    <row r="1593" spans="1:19">
      <c r="A1593" s="79"/>
      <c r="B1593" s="77" t="s">
        <v>14</v>
      </c>
      <c r="C1593" s="76" t="s">
        <v>4</v>
      </c>
      <c r="D1593" s="143">
        <v>3</v>
      </c>
      <c r="E1593" s="69"/>
      <c r="F1593" s="334"/>
      <c r="G1593" s="112">
        <v>0</v>
      </c>
      <c r="H1593" s="120">
        <v>0</v>
      </c>
      <c r="I1593" s="120">
        <v>0</v>
      </c>
      <c r="J1593" s="120">
        <v>0</v>
      </c>
      <c r="K1593" s="110">
        <v>0</v>
      </c>
      <c r="L1593" s="110"/>
      <c r="M1593" s="110">
        <v>0</v>
      </c>
      <c r="N1593" s="110"/>
      <c r="O1593" s="110"/>
      <c r="P1593" s="110">
        <f t="shared" si="135"/>
        <v>0</v>
      </c>
      <c r="Q1593" s="110">
        <f t="shared" si="136"/>
        <v>0</v>
      </c>
      <c r="R1593" s="110">
        <f t="shared" si="137"/>
        <v>0</v>
      </c>
      <c r="S1593" s="112">
        <v>0</v>
      </c>
    </row>
    <row r="1594" spans="1:19">
      <c r="A1594" s="79"/>
      <c r="B1594" s="77" t="s">
        <v>153</v>
      </c>
      <c r="C1594" s="76" t="s">
        <v>4</v>
      </c>
      <c r="D1594" s="143">
        <v>3</v>
      </c>
      <c r="E1594" s="66"/>
      <c r="F1594" s="334"/>
      <c r="G1594" s="112">
        <v>0</v>
      </c>
      <c r="H1594" s="120">
        <v>0</v>
      </c>
      <c r="I1594" s="120">
        <v>0</v>
      </c>
      <c r="J1594" s="120">
        <v>0</v>
      </c>
      <c r="K1594" s="110">
        <v>0</v>
      </c>
      <c r="L1594" s="110"/>
      <c r="M1594" s="110">
        <v>0</v>
      </c>
      <c r="N1594" s="110"/>
      <c r="O1594" s="110"/>
      <c r="P1594" s="110">
        <f t="shared" si="135"/>
        <v>0</v>
      </c>
      <c r="Q1594" s="110">
        <f t="shared" si="136"/>
        <v>0</v>
      </c>
      <c r="R1594" s="110">
        <f t="shared" si="137"/>
        <v>0</v>
      </c>
      <c r="S1594" s="112">
        <v>0</v>
      </c>
    </row>
    <row r="1595" spans="1:19">
      <c r="A1595" s="79"/>
      <c r="B1595" s="77" t="s">
        <v>154</v>
      </c>
      <c r="C1595" s="76"/>
      <c r="D1595" s="143"/>
      <c r="E1595" s="65"/>
      <c r="F1595" s="326"/>
      <c r="G1595" s="112">
        <v>0</v>
      </c>
      <c r="H1595" s="120">
        <v>0</v>
      </c>
      <c r="I1595" s="120">
        <v>0</v>
      </c>
      <c r="J1595" s="120">
        <v>0</v>
      </c>
      <c r="K1595" s="110">
        <v>0</v>
      </c>
      <c r="L1595" s="110"/>
      <c r="M1595" s="110">
        <v>0</v>
      </c>
      <c r="N1595" s="110"/>
      <c r="O1595" s="110"/>
      <c r="P1595" s="110">
        <f t="shared" si="135"/>
        <v>0</v>
      </c>
      <c r="Q1595" s="110">
        <f t="shared" si="136"/>
        <v>0</v>
      </c>
      <c r="R1595" s="110">
        <f t="shared" si="137"/>
        <v>0</v>
      </c>
      <c r="S1595" s="112">
        <v>0</v>
      </c>
    </row>
    <row r="1596" spans="1:19">
      <c r="A1596" s="79"/>
      <c r="B1596" s="77" t="s">
        <v>155</v>
      </c>
      <c r="C1596" s="76" t="s">
        <v>4</v>
      </c>
      <c r="D1596" s="143">
        <v>1</v>
      </c>
      <c r="E1596" s="61"/>
      <c r="F1596" s="334"/>
      <c r="G1596" s="112">
        <v>0</v>
      </c>
      <c r="H1596" s="120">
        <v>0</v>
      </c>
      <c r="I1596" s="120">
        <v>0</v>
      </c>
      <c r="J1596" s="120">
        <v>0</v>
      </c>
      <c r="K1596" s="110">
        <v>0</v>
      </c>
      <c r="L1596" s="110"/>
      <c r="M1596" s="110">
        <v>0</v>
      </c>
      <c r="N1596" s="110"/>
      <c r="O1596" s="110"/>
      <c r="P1596" s="110">
        <f t="shared" si="135"/>
        <v>0</v>
      </c>
      <c r="Q1596" s="110">
        <f t="shared" si="136"/>
        <v>0</v>
      </c>
      <c r="R1596" s="110">
        <f t="shared" si="137"/>
        <v>0</v>
      </c>
      <c r="S1596" s="112">
        <v>0</v>
      </c>
    </row>
    <row r="1597" spans="1:19">
      <c r="A1597" s="79"/>
      <c r="B1597" s="77" t="s">
        <v>156</v>
      </c>
      <c r="C1597" s="76" t="s">
        <v>4</v>
      </c>
      <c r="D1597" s="143">
        <v>3</v>
      </c>
      <c r="E1597" s="66"/>
      <c r="F1597" s="334"/>
      <c r="G1597" s="112">
        <v>0</v>
      </c>
      <c r="H1597" s="120">
        <v>0</v>
      </c>
      <c r="I1597" s="120">
        <v>0</v>
      </c>
      <c r="J1597" s="120">
        <v>0</v>
      </c>
      <c r="K1597" s="110">
        <v>0</v>
      </c>
      <c r="L1597" s="110"/>
      <c r="M1597" s="110">
        <v>0</v>
      </c>
      <c r="N1597" s="110"/>
      <c r="O1597" s="110"/>
      <c r="P1597" s="110">
        <f t="shared" si="135"/>
        <v>0</v>
      </c>
      <c r="Q1597" s="110">
        <f t="shared" si="136"/>
        <v>0</v>
      </c>
      <c r="R1597" s="110">
        <f t="shared" si="137"/>
        <v>0</v>
      </c>
      <c r="S1597" s="112">
        <v>0</v>
      </c>
    </row>
    <row r="1598" spans="1:19">
      <c r="A1598" s="79"/>
      <c r="B1598" s="77" t="s">
        <v>157</v>
      </c>
      <c r="C1598" s="76" t="s">
        <v>4</v>
      </c>
      <c r="D1598" s="143">
        <v>15</v>
      </c>
      <c r="E1598" s="66"/>
      <c r="F1598" s="334"/>
      <c r="G1598" s="112">
        <v>0</v>
      </c>
      <c r="H1598" s="120">
        <v>0</v>
      </c>
      <c r="I1598" s="120">
        <v>0</v>
      </c>
      <c r="J1598" s="120">
        <v>0</v>
      </c>
      <c r="K1598" s="110">
        <v>0</v>
      </c>
      <c r="L1598" s="110"/>
      <c r="M1598" s="110">
        <v>0</v>
      </c>
      <c r="N1598" s="110"/>
      <c r="O1598" s="110"/>
      <c r="P1598" s="110">
        <f t="shared" si="135"/>
        <v>0</v>
      </c>
      <c r="Q1598" s="110">
        <f t="shared" si="136"/>
        <v>0</v>
      </c>
      <c r="R1598" s="110">
        <f t="shared" si="137"/>
        <v>0</v>
      </c>
      <c r="S1598" s="112">
        <v>0</v>
      </c>
    </row>
    <row r="1599" spans="1:19">
      <c r="A1599" s="79"/>
      <c r="B1599" s="77" t="s">
        <v>158</v>
      </c>
      <c r="C1599" s="76" t="s">
        <v>4</v>
      </c>
      <c r="D1599" s="143">
        <v>1</v>
      </c>
      <c r="E1599" s="66"/>
      <c r="F1599" s="334"/>
      <c r="G1599" s="112">
        <v>0</v>
      </c>
      <c r="H1599" s="120">
        <v>0</v>
      </c>
      <c r="I1599" s="120">
        <v>0</v>
      </c>
      <c r="J1599" s="120">
        <v>0</v>
      </c>
      <c r="K1599" s="110">
        <v>0</v>
      </c>
      <c r="L1599" s="110"/>
      <c r="M1599" s="110">
        <v>0</v>
      </c>
      <c r="N1599" s="110"/>
      <c r="O1599" s="110"/>
      <c r="P1599" s="110">
        <f t="shared" si="135"/>
        <v>0</v>
      </c>
      <c r="Q1599" s="110">
        <f t="shared" si="136"/>
        <v>0</v>
      </c>
      <c r="R1599" s="110">
        <f t="shared" si="137"/>
        <v>0</v>
      </c>
      <c r="S1599" s="112">
        <v>0</v>
      </c>
    </row>
    <row r="1600" spans="1:19">
      <c r="A1600" s="79"/>
      <c r="B1600" s="77" t="s">
        <v>159</v>
      </c>
      <c r="C1600" s="76"/>
      <c r="D1600" s="143"/>
      <c r="E1600" s="66"/>
      <c r="F1600" s="324"/>
      <c r="G1600" s="112">
        <v>0</v>
      </c>
      <c r="H1600" s="120">
        <v>0</v>
      </c>
      <c r="I1600" s="120">
        <v>0</v>
      </c>
      <c r="J1600" s="120">
        <v>0</v>
      </c>
      <c r="K1600" s="110">
        <v>0</v>
      </c>
      <c r="L1600" s="110"/>
      <c r="M1600" s="110">
        <v>0</v>
      </c>
      <c r="N1600" s="110"/>
      <c r="O1600" s="110"/>
      <c r="P1600" s="110">
        <f t="shared" si="135"/>
        <v>0</v>
      </c>
      <c r="Q1600" s="110">
        <f t="shared" si="136"/>
        <v>0</v>
      </c>
      <c r="R1600" s="110">
        <f t="shared" si="137"/>
        <v>0</v>
      </c>
      <c r="S1600" s="112">
        <v>0</v>
      </c>
    </row>
    <row r="1601" spans="1:19">
      <c r="A1601" s="79"/>
      <c r="B1601" s="77" t="s">
        <v>160</v>
      </c>
      <c r="C1601" s="76" t="s">
        <v>4</v>
      </c>
      <c r="D1601" s="143">
        <v>33</v>
      </c>
      <c r="E1601" s="66"/>
      <c r="F1601" s="334"/>
      <c r="G1601" s="112">
        <v>0</v>
      </c>
      <c r="H1601" s="120">
        <v>0</v>
      </c>
      <c r="I1601" s="120">
        <v>0</v>
      </c>
      <c r="J1601" s="120">
        <v>0</v>
      </c>
      <c r="K1601" s="110">
        <v>0</v>
      </c>
      <c r="L1601" s="110"/>
      <c r="M1601" s="110">
        <v>0</v>
      </c>
      <c r="N1601" s="110"/>
      <c r="O1601" s="110"/>
      <c r="P1601" s="110">
        <f t="shared" si="135"/>
        <v>0</v>
      </c>
      <c r="Q1601" s="110">
        <f t="shared" si="136"/>
        <v>0</v>
      </c>
      <c r="R1601" s="110">
        <f t="shared" si="137"/>
        <v>0</v>
      </c>
      <c r="S1601" s="112">
        <v>0</v>
      </c>
    </row>
    <row r="1602" spans="1:19">
      <c r="A1602" s="79"/>
      <c r="B1602" s="77" t="s">
        <v>161</v>
      </c>
      <c r="C1602" s="76" t="s">
        <v>4</v>
      </c>
      <c r="D1602" s="143">
        <v>1</v>
      </c>
      <c r="E1602" s="60"/>
      <c r="F1602" s="334"/>
      <c r="G1602" s="112">
        <v>0</v>
      </c>
      <c r="H1602" s="120">
        <v>0</v>
      </c>
      <c r="I1602" s="120">
        <v>0</v>
      </c>
      <c r="J1602" s="120">
        <v>0</v>
      </c>
      <c r="K1602" s="110">
        <v>0</v>
      </c>
      <c r="L1602" s="110"/>
      <c r="M1602" s="110">
        <v>0</v>
      </c>
      <c r="N1602" s="110"/>
      <c r="O1602" s="110"/>
      <c r="P1602" s="110">
        <f t="shared" si="135"/>
        <v>0</v>
      </c>
      <c r="Q1602" s="110">
        <f t="shared" si="136"/>
        <v>0</v>
      </c>
      <c r="R1602" s="110">
        <f t="shared" si="137"/>
        <v>0</v>
      </c>
      <c r="S1602" s="112">
        <v>0</v>
      </c>
    </row>
    <row r="1603" spans="1:19">
      <c r="A1603" s="79"/>
      <c r="B1603" s="77" t="s">
        <v>162</v>
      </c>
      <c r="C1603" s="76" t="s">
        <v>17</v>
      </c>
      <c r="D1603" s="143">
        <v>1</v>
      </c>
      <c r="E1603" s="60"/>
      <c r="F1603" s="334"/>
      <c r="G1603" s="112">
        <v>0</v>
      </c>
      <c r="H1603" s="120">
        <v>0</v>
      </c>
      <c r="I1603" s="120">
        <v>0</v>
      </c>
      <c r="J1603" s="120">
        <v>0</v>
      </c>
      <c r="K1603" s="110">
        <v>0</v>
      </c>
      <c r="L1603" s="110"/>
      <c r="M1603" s="110">
        <v>0</v>
      </c>
      <c r="N1603" s="110"/>
      <c r="O1603" s="110"/>
      <c r="P1603" s="110">
        <f t="shared" si="135"/>
        <v>0</v>
      </c>
      <c r="Q1603" s="110">
        <f t="shared" si="136"/>
        <v>0</v>
      </c>
      <c r="R1603" s="110">
        <f t="shared" si="137"/>
        <v>0</v>
      </c>
      <c r="S1603" s="112">
        <v>0</v>
      </c>
    </row>
    <row r="1604" spans="1:19">
      <c r="A1604" s="79"/>
      <c r="B1604" s="77" t="s">
        <v>163</v>
      </c>
      <c r="C1604" s="76" t="s">
        <v>4</v>
      </c>
      <c r="D1604" s="143">
        <v>1</v>
      </c>
      <c r="E1604" s="60"/>
      <c r="F1604" s="334"/>
      <c r="G1604" s="112">
        <v>0</v>
      </c>
      <c r="H1604" s="120">
        <v>0</v>
      </c>
      <c r="I1604" s="120">
        <v>0</v>
      </c>
      <c r="J1604" s="120">
        <v>0</v>
      </c>
      <c r="K1604" s="110">
        <v>0</v>
      </c>
      <c r="L1604" s="110"/>
      <c r="M1604" s="110">
        <v>0</v>
      </c>
      <c r="N1604" s="110"/>
      <c r="O1604" s="110"/>
      <c r="P1604" s="110">
        <f t="shared" si="135"/>
        <v>0</v>
      </c>
      <c r="Q1604" s="110">
        <f t="shared" si="136"/>
        <v>0</v>
      </c>
      <c r="R1604" s="110">
        <f t="shared" si="137"/>
        <v>0</v>
      </c>
      <c r="S1604" s="112">
        <v>0</v>
      </c>
    </row>
    <row r="1605" spans="1:19" ht="30">
      <c r="A1605" s="79"/>
      <c r="B1605" s="77" t="s">
        <v>189</v>
      </c>
      <c r="C1605" s="76" t="s">
        <v>8</v>
      </c>
      <c r="D1605" s="143">
        <v>1</v>
      </c>
      <c r="E1605" s="60"/>
      <c r="F1605" s="334"/>
      <c r="G1605" s="112">
        <v>0</v>
      </c>
      <c r="H1605" s="120">
        <v>0</v>
      </c>
      <c r="I1605" s="120">
        <v>0</v>
      </c>
      <c r="J1605" s="120">
        <v>0</v>
      </c>
      <c r="K1605" s="110">
        <v>0</v>
      </c>
      <c r="L1605" s="110"/>
      <c r="M1605" s="110">
        <v>0</v>
      </c>
      <c r="N1605" s="110"/>
      <c r="O1605" s="110"/>
      <c r="P1605" s="110">
        <f t="shared" si="135"/>
        <v>0</v>
      </c>
      <c r="Q1605" s="110">
        <f t="shared" si="136"/>
        <v>0</v>
      </c>
      <c r="R1605" s="110">
        <f t="shared" si="137"/>
        <v>0</v>
      </c>
      <c r="S1605" s="112">
        <v>0</v>
      </c>
    </row>
    <row r="1606" spans="1:19" ht="45">
      <c r="A1606" s="79"/>
      <c r="B1606" s="77" t="s">
        <v>166</v>
      </c>
      <c r="C1606" s="76" t="s">
        <v>17</v>
      </c>
      <c r="D1606" s="143">
        <v>1</v>
      </c>
      <c r="E1606" s="66"/>
      <c r="F1606" s="334"/>
      <c r="G1606" s="112">
        <v>0</v>
      </c>
      <c r="H1606" s="120">
        <v>0</v>
      </c>
      <c r="I1606" s="120">
        <v>0</v>
      </c>
      <c r="J1606" s="120">
        <v>0</v>
      </c>
      <c r="K1606" s="110">
        <v>0</v>
      </c>
      <c r="L1606" s="110"/>
      <c r="M1606" s="110">
        <v>0</v>
      </c>
      <c r="N1606" s="110"/>
      <c r="O1606" s="110"/>
      <c r="P1606" s="110">
        <f t="shared" si="135"/>
        <v>0</v>
      </c>
      <c r="Q1606" s="110">
        <f t="shared" si="136"/>
        <v>0</v>
      </c>
      <c r="R1606" s="110">
        <f t="shared" si="137"/>
        <v>0</v>
      </c>
      <c r="S1606" s="112">
        <v>0</v>
      </c>
    </row>
    <row r="1607" spans="1:19" ht="60">
      <c r="A1607" s="79">
        <v>57</v>
      </c>
      <c r="B1607" s="77" t="s">
        <v>398</v>
      </c>
      <c r="C1607" s="76" t="s">
        <v>6</v>
      </c>
      <c r="D1607" s="143">
        <v>1</v>
      </c>
      <c r="E1607" s="66"/>
      <c r="F1607" s="334">
        <v>1</v>
      </c>
      <c r="G1607" s="112" t="s">
        <v>398</v>
      </c>
      <c r="H1607" s="120" t="s">
        <v>1076</v>
      </c>
      <c r="I1607" s="120" t="s">
        <v>828</v>
      </c>
      <c r="J1607" s="120" t="s">
        <v>829</v>
      </c>
      <c r="K1607" s="110">
        <v>41585600</v>
      </c>
      <c r="L1607" s="110"/>
      <c r="M1607" s="110">
        <v>3828500</v>
      </c>
      <c r="N1607" s="110"/>
      <c r="O1607" s="110"/>
      <c r="P1607" s="110">
        <f t="shared" si="135"/>
        <v>45414100</v>
      </c>
      <c r="Q1607" s="110">
        <f t="shared" si="136"/>
        <v>45414100</v>
      </c>
      <c r="R1607" s="110">
        <f t="shared" si="137"/>
        <v>45414100</v>
      </c>
      <c r="S1607" s="112" t="s">
        <v>4094</v>
      </c>
    </row>
    <row r="1608" spans="1:19" ht="45">
      <c r="A1608" s="79"/>
      <c r="B1608" s="77" t="s">
        <v>317</v>
      </c>
      <c r="C1608" s="76" t="s">
        <v>4</v>
      </c>
      <c r="D1608" s="143">
        <v>1</v>
      </c>
      <c r="E1608" s="61"/>
      <c r="F1608" s="334"/>
      <c r="G1608" s="112">
        <v>0</v>
      </c>
      <c r="H1608" s="120">
        <v>0</v>
      </c>
      <c r="I1608" s="120">
        <v>0</v>
      </c>
      <c r="J1608" s="120">
        <v>0</v>
      </c>
      <c r="K1608" s="110">
        <v>0</v>
      </c>
      <c r="L1608" s="110"/>
      <c r="M1608" s="110">
        <v>0</v>
      </c>
      <c r="N1608" s="110"/>
      <c r="O1608" s="110"/>
      <c r="P1608" s="110">
        <f t="shared" si="135"/>
        <v>0</v>
      </c>
      <c r="Q1608" s="110">
        <f t="shared" si="136"/>
        <v>0</v>
      </c>
      <c r="R1608" s="110">
        <f t="shared" si="137"/>
        <v>0</v>
      </c>
      <c r="S1608" s="112" t="s">
        <v>150</v>
      </c>
    </row>
    <row r="1609" spans="1:19">
      <c r="A1609" s="79"/>
      <c r="B1609" s="77" t="s">
        <v>151</v>
      </c>
      <c r="C1609" s="76"/>
      <c r="D1609" s="143"/>
      <c r="E1609" s="63"/>
      <c r="F1609" s="326"/>
      <c r="G1609" s="112">
        <v>0</v>
      </c>
      <c r="H1609" s="120">
        <v>0</v>
      </c>
      <c r="I1609" s="120">
        <v>0</v>
      </c>
      <c r="J1609" s="120">
        <v>0</v>
      </c>
      <c r="K1609" s="110">
        <v>0</v>
      </c>
      <c r="L1609" s="110"/>
      <c r="M1609" s="110">
        <v>0</v>
      </c>
      <c r="N1609" s="110"/>
      <c r="O1609" s="110"/>
      <c r="P1609" s="110">
        <f t="shared" si="135"/>
        <v>0</v>
      </c>
      <c r="Q1609" s="110">
        <f t="shared" si="136"/>
        <v>0</v>
      </c>
      <c r="R1609" s="110">
        <f t="shared" si="137"/>
        <v>0</v>
      </c>
      <c r="S1609" s="112">
        <v>0</v>
      </c>
    </row>
    <row r="1610" spans="1:19">
      <c r="A1610" s="79"/>
      <c r="B1610" s="77" t="s">
        <v>212</v>
      </c>
      <c r="C1610" s="76" t="s">
        <v>4</v>
      </c>
      <c r="D1610" s="143">
        <v>1</v>
      </c>
      <c r="E1610" s="64"/>
      <c r="F1610" s="334"/>
      <c r="G1610" s="112">
        <v>0</v>
      </c>
      <c r="H1610" s="120">
        <v>0</v>
      </c>
      <c r="I1610" s="120">
        <v>0</v>
      </c>
      <c r="J1610" s="120">
        <v>0</v>
      </c>
      <c r="K1610" s="110">
        <v>0</v>
      </c>
      <c r="L1610" s="110"/>
      <c r="M1610" s="110">
        <v>0</v>
      </c>
      <c r="N1610" s="110"/>
      <c r="O1610" s="110"/>
      <c r="P1610" s="110">
        <f t="shared" si="135"/>
        <v>0</v>
      </c>
      <c r="Q1610" s="110">
        <f t="shared" si="136"/>
        <v>0</v>
      </c>
      <c r="R1610" s="110">
        <f t="shared" si="137"/>
        <v>0</v>
      </c>
      <c r="S1610" s="112">
        <v>0</v>
      </c>
    </row>
    <row r="1611" spans="1:19">
      <c r="A1611" s="79"/>
      <c r="B1611" s="77" t="s">
        <v>14</v>
      </c>
      <c r="C1611" s="76" t="s">
        <v>4</v>
      </c>
      <c r="D1611" s="143">
        <v>3</v>
      </c>
      <c r="E1611" s="50"/>
      <c r="F1611" s="334"/>
      <c r="G1611" s="112">
        <v>0</v>
      </c>
      <c r="H1611" s="120">
        <v>0</v>
      </c>
      <c r="I1611" s="120">
        <v>0</v>
      </c>
      <c r="J1611" s="120">
        <v>0</v>
      </c>
      <c r="K1611" s="110">
        <v>0</v>
      </c>
      <c r="L1611" s="110"/>
      <c r="M1611" s="110">
        <v>0</v>
      </c>
      <c r="N1611" s="110"/>
      <c r="O1611" s="110"/>
      <c r="P1611" s="110">
        <f t="shared" si="135"/>
        <v>0</v>
      </c>
      <c r="Q1611" s="110">
        <f t="shared" si="136"/>
        <v>0</v>
      </c>
      <c r="R1611" s="110">
        <f t="shared" si="137"/>
        <v>0</v>
      </c>
      <c r="S1611" s="112">
        <v>0</v>
      </c>
    </row>
    <row r="1612" spans="1:19">
      <c r="A1612" s="79"/>
      <c r="B1612" s="77" t="s">
        <v>153</v>
      </c>
      <c r="C1612" s="76" t="s">
        <v>4</v>
      </c>
      <c r="D1612" s="143">
        <v>3</v>
      </c>
      <c r="E1612" s="66"/>
      <c r="F1612" s="334"/>
      <c r="G1612" s="112">
        <v>0</v>
      </c>
      <c r="H1612" s="120">
        <v>0</v>
      </c>
      <c r="I1612" s="120">
        <v>0</v>
      </c>
      <c r="J1612" s="120">
        <v>0</v>
      </c>
      <c r="K1612" s="110">
        <v>0</v>
      </c>
      <c r="L1612" s="110"/>
      <c r="M1612" s="110">
        <v>0</v>
      </c>
      <c r="N1612" s="110"/>
      <c r="O1612" s="110"/>
      <c r="P1612" s="110">
        <f t="shared" si="135"/>
        <v>0</v>
      </c>
      <c r="Q1612" s="110">
        <f t="shared" si="136"/>
        <v>0</v>
      </c>
      <c r="R1612" s="110">
        <f t="shared" si="137"/>
        <v>0</v>
      </c>
      <c r="S1612" s="112">
        <v>0</v>
      </c>
    </row>
    <row r="1613" spans="1:19">
      <c r="A1613" s="79"/>
      <c r="B1613" s="77" t="s">
        <v>154</v>
      </c>
      <c r="C1613" s="76"/>
      <c r="D1613" s="143"/>
      <c r="E1613" s="60"/>
      <c r="F1613" s="325"/>
      <c r="G1613" s="112">
        <v>0</v>
      </c>
      <c r="H1613" s="120">
        <v>0</v>
      </c>
      <c r="I1613" s="120">
        <v>0</v>
      </c>
      <c r="J1613" s="120">
        <v>0</v>
      </c>
      <c r="K1613" s="110">
        <v>0</v>
      </c>
      <c r="L1613" s="110"/>
      <c r="M1613" s="110">
        <v>0</v>
      </c>
      <c r="N1613" s="110"/>
      <c r="O1613" s="110"/>
      <c r="P1613" s="110">
        <f t="shared" si="135"/>
        <v>0</v>
      </c>
      <c r="Q1613" s="110">
        <f t="shared" si="136"/>
        <v>0</v>
      </c>
      <c r="R1613" s="110">
        <f t="shared" si="137"/>
        <v>0</v>
      </c>
      <c r="S1613" s="112">
        <v>0</v>
      </c>
    </row>
    <row r="1614" spans="1:19">
      <c r="A1614" s="79"/>
      <c r="B1614" s="77" t="s">
        <v>155</v>
      </c>
      <c r="C1614" s="76" t="s">
        <v>4</v>
      </c>
      <c r="D1614" s="143">
        <v>1</v>
      </c>
      <c r="E1614" s="71"/>
      <c r="F1614" s="334"/>
      <c r="G1614" s="112">
        <v>0</v>
      </c>
      <c r="H1614" s="120">
        <v>0</v>
      </c>
      <c r="I1614" s="120">
        <v>0</v>
      </c>
      <c r="J1614" s="120">
        <v>0</v>
      </c>
      <c r="K1614" s="110">
        <v>0</v>
      </c>
      <c r="L1614" s="110"/>
      <c r="M1614" s="110">
        <v>0</v>
      </c>
      <c r="N1614" s="110"/>
      <c r="O1614" s="110"/>
      <c r="P1614" s="110">
        <f t="shared" si="135"/>
        <v>0</v>
      </c>
      <c r="Q1614" s="110">
        <f t="shared" si="136"/>
        <v>0</v>
      </c>
      <c r="R1614" s="110">
        <f t="shared" si="137"/>
        <v>0</v>
      </c>
      <c r="S1614" s="112">
        <v>0</v>
      </c>
    </row>
    <row r="1615" spans="1:19">
      <c r="A1615" s="79"/>
      <c r="B1615" s="77" t="s">
        <v>243</v>
      </c>
      <c r="C1615" s="76" t="s">
        <v>4</v>
      </c>
      <c r="D1615" s="143">
        <v>2</v>
      </c>
      <c r="E1615" s="50"/>
      <c r="F1615" s="334"/>
      <c r="G1615" s="112">
        <v>0</v>
      </c>
      <c r="H1615" s="120">
        <v>0</v>
      </c>
      <c r="I1615" s="120">
        <v>0</v>
      </c>
      <c r="J1615" s="120">
        <v>0</v>
      </c>
      <c r="K1615" s="110">
        <v>0</v>
      </c>
      <c r="L1615" s="110"/>
      <c r="M1615" s="110">
        <v>0</v>
      </c>
      <c r="N1615" s="110"/>
      <c r="O1615" s="110"/>
      <c r="P1615" s="110">
        <f t="shared" si="135"/>
        <v>0</v>
      </c>
      <c r="Q1615" s="110">
        <f t="shared" si="136"/>
        <v>0</v>
      </c>
      <c r="R1615" s="110">
        <f t="shared" si="137"/>
        <v>0</v>
      </c>
      <c r="S1615" s="112">
        <v>0</v>
      </c>
    </row>
    <row r="1616" spans="1:19">
      <c r="A1616" s="79"/>
      <c r="B1616" s="77" t="s">
        <v>156</v>
      </c>
      <c r="C1616" s="76" t="s">
        <v>4</v>
      </c>
      <c r="D1616" s="143">
        <v>3</v>
      </c>
      <c r="E1616" s="60"/>
      <c r="F1616" s="334"/>
      <c r="G1616" s="112">
        <v>0</v>
      </c>
      <c r="H1616" s="120">
        <v>0</v>
      </c>
      <c r="I1616" s="120">
        <v>0</v>
      </c>
      <c r="J1616" s="120">
        <v>0</v>
      </c>
      <c r="K1616" s="110">
        <v>0</v>
      </c>
      <c r="L1616" s="110"/>
      <c r="M1616" s="110">
        <v>0</v>
      </c>
      <c r="N1616" s="110"/>
      <c r="O1616" s="110"/>
      <c r="P1616" s="110">
        <f t="shared" si="135"/>
        <v>0</v>
      </c>
      <c r="Q1616" s="110">
        <f t="shared" si="136"/>
        <v>0</v>
      </c>
      <c r="R1616" s="110">
        <f t="shared" si="137"/>
        <v>0</v>
      </c>
      <c r="S1616" s="112">
        <v>0</v>
      </c>
    </row>
    <row r="1617" spans="1:19">
      <c r="A1617" s="79"/>
      <c r="B1617" s="77" t="s">
        <v>157</v>
      </c>
      <c r="C1617" s="76" t="s">
        <v>4</v>
      </c>
      <c r="D1617" s="143">
        <v>13</v>
      </c>
      <c r="E1617" s="60"/>
      <c r="F1617" s="334"/>
      <c r="G1617" s="112">
        <v>0</v>
      </c>
      <c r="H1617" s="120">
        <v>0</v>
      </c>
      <c r="I1617" s="120">
        <v>0</v>
      </c>
      <c r="J1617" s="120">
        <v>0</v>
      </c>
      <c r="K1617" s="110">
        <v>0</v>
      </c>
      <c r="L1617" s="110"/>
      <c r="M1617" s="110">
        <v>0</v>
      </c>
      <c r="N1617" s="110"/>
      <c r="O1617" s="110"/>
      <c r="P1617" s="110">
        <f t="shared" si="135"/>
        <v>0</v>
      </c>
      <c r="Q1617" s="110">
        <f t="shared" si="136"/>
        <v>0</v>
      </c>
      <c r="R1617" s="110">
        <f t="shared" si="137"/>
        <v>0</v>
      </c>
      <c r="S1617" s="112">
        <v>0</v>
      </c>
    </row>
    <row r="1618" spans="1:19">
      <c r="A1618" s="79"/>
      <c r="B1618" s="77" t="s">
        <v>158</v>
      </c>
      <c r="C1618" s="76" t="s">
        <v>4</v>
      </c>
      <c r="D1618" s="143">
        <v>1</v>
      </c>
      <c r="E1618" s="71"/>
      <c r="F1618" s="334"/>
      <c r="G1618" s="112">
        <v>0</v>
      </c>
      <c r="H1618" s="120">
        <v>0</v>
      </c>
      <c r="I1618" s="120">
        <v>0</v>
      </c>
      <c r="J1618" s="120">
        <v>0</v>
      </c>
      <c r="K1618" s="110">
        <v>0</v>
      </c>
      <c r="L1618" s="110"/>
      <c r="M1618" s="110">
        <v>0</v>
      </c>
      <c r="N1618" s="110"/>
      <c r="O1618" s="110"/>
      <c r="P1618" s="110">
        <f t="shared" si="135"/>
        <v>0</v>
      </c>
      <c r="Q1618" s="110">
        <f t="shared" si="136"/>
        <v>0</v>
      </c>
      <c r="R1618" s="110">
        <f t="shared" si="137"/>
        <v>0</v>
      </c>
      <c r="S1618" s="112">
        <v>0</v>
      </c>
    </row>
    <row r="1619" spans="1:19">
      <c r="A1619" s="79"/>
      <c r="B1619" s="77" t="s">
        <v>159</v>
      </c>
      <c r="C1619" s="76"/>
      <c r="D1619" s="143"/>
      <c r="E1619" s="66"/>
      <c r="F1619" s="324"/>
      <c r="G1619" s="112">
        <v>0</v>
      </c>
      <c r="H1619" s="120">
        <v>0</v>
      </c>
      <c r="I1619" s="120">
        <v>0</v>
      </c>
      <c r="J1619" s="120">
        <v>0</v>
      </c>
      <c r="K1619" s="110">
        <v>0</v>
      </c>
      <c r="L1619" s="110"/>
      <c r="M1619" s="110">
        <v>0</v>
      </c>
      <c r="N1619" s="110"/>
      <c r="O1619" s="110"/>
      <c r="P1619" s="110">
        <f t="shared" si="135"/>
        <v>0</v>
      </c>
      <c r="Q1619" s="110">
        <f t="shared" si="136"/>
        <v>0</v>
      </c>
      <c r="R1619" s="110">
        <f t="shared" si="137"/>
        <v>0</v>
      </c>
      <c r="S1619" s="112">
        <v>0</v>
      </c>
    </row>
    <row r="1620" spans="1:19">
      <c r="A1620" s="79"/>
      <c r="B1620" s="77" t="s">
        <v>160</v>
      </c>
      <c r="C1620" s="76" t="s">
        <v>4</v>
      </c>
      <c r="D1620" s="143">
        <v>28</v>
      </c>
      <c r="E1620" s="66"/>
      <c r="F1620" s="334"/>
      <c r="G1620" s="112">
        <v>0</v>
      </c>
      <c r="H1620" s="120">
        <v>0</v>
      </c>
      <c r="I1620" s="120">
        <v>0</v>
      </c>
      <c r="J1620" s="120">
        <v>0</v>
      </c>
      <c r="K1620" s="110">
        <v>0</v>
      </c>
      <c r="L1620" s="110"/>
      <c r="M1620" s="110">
        <v>0</v>
      </c>
      <c r="N1620" s="110"/>
      <c r="O1620" s="110"/>
      <c r="P1620" s="110">
        <f t="shared" si="135"/>
        <v>0</v>
      </c>
      <c r="Q1620" s="110">
        <f t="shared" si="136"/>
        <v>0</v>
      </c>
      <c r="R1620" s="110">
        <f t="shared" si="137"/>
        <v>0</v>
      </c>
      <c r="S1620" s="112">
        <v>0</v>
      </c>
    </row>
    <row r="1621" spans="1:19">
      <c r="A1621" s="79"/>
      <c r="B1621" s="77" t="s">
        <v>161</v>
      </c>
      <c r="C1621" s="76" t="s">
        <v>4</v>
      </c>
      <c r="D1621" s="143">
        <v>1</v>
      </c>
      <c r="E1621" s="66"/>
      <c r="F1621" s="334"/>
      <c r="G1621" s="112">
        <v>0</v>
      </c>
      <c r="H1621" s="120">
        <v>0</v>
      </c>
      <c r="I1621" s="120">
        <v>0</v>
      </c>
      <c r="J1621" s="120">
        <v>0</v>
      </c>
      <c r="K1621" s="110">
        <v>0</v>
      </c>
      <c r="L1621" s="110"/>
      <c r="M1621" s="110">
        <v>0</v>
      </c>
      <c r="N1621" s="110"/>
      <c r="O1621" s="110"/>
      <c r="P1621" s="110">
        <f t="shared" si="135"/>
        <v>0</v>
      </c>
      <c r="Q1621" s="110">
        <f t="shared" si="136"/>
        <v>0</v>
      </c>
      <c r="R1621" s="110">
        <f t="shared" si="137"/>
        <v>0</v>
      </c>
      <c r="S1621" s="112">
        <v>0</v>
      </c>
    </row>
    <row r="1622" spans="1:19">
      <c r="A1622" s="79"/>
      <c r="B1622" s="77" t="s">
        <v>162</v>
      </c>
      <c r="C1622" s="76" t="s">
        <v>17</v>
      </c>
      <c r="D1622" s="143">
        <v>1</v>
      </c>
      <c r="E1622" s="66"/>
      <c r="F1622" s="334"/>
      <c r="G1622" s="112">
        <v>0</v>
      </c>
      <c r="H1622" s="120">
        <v>0</v>
      </c>
      <c r="I1622" s="120">
        <v>0</v>
      </c>
      <c r="J1622" s="120">
        <v>0</v>
      </c>
      <c r="K1622" s="110">
        <v>0</v>
      </c>
      <c r="L1622" s="110"/>
      <c r="M1622" s="110">
        <v>0</v>
      </c>
      <c r="N1622" s="110"/>
      <c r="O1622" s="110"/>
      <c r="P1622" s="110">
        <f t="shared" si="135"/>
        <v>0</v>
      </c>
      <c r="Q1622" s="110">
        <f t="shared" si="136"/>
        <v>0</v>
      </c>
      <c r="R1622" s="110">
        <f t="shared" si="137"/>
        <v>0</v>
      </c>
      <c r="S1622" s="112">
        <v>0</v>
      </c>
    </row>
    <row r="1623" spans="1:19">
      <c r="A1623" s="79"/>
      <c r="B1623" s="77" t="s">
        <v>163</v>
      </c>
      <c r="C1623" s="76" t="s">
        <v>4</v>
      </c>
      <c r="D1623" s="143">
        <v>1</v>
      </c>
      <c r="E1623" s="50"/>
      <c r="F1623" s="334"/>
      <c r="G1623" s="112">
        <v>0</v>
      </c>
      <c r="H1623" s="120">
        <v>0</v>
      </c>
      <c r="I1623" s="120">
        <v>0</v>
      </c>
      <c r="J1623" s="120">
        <v>0</v>
      </c>
      <c r="K1623" s="110">
        <v>0</v>
      </c>
      <c r="L1623" s="110"/>
      <c r="M1623" s="110">
        <v>0</v>
      </c>
      <c r="N1623" s="110"/>
      <c r="O1623" s="110"/>
      <c r="P1623" s="110">
        <f t="shared" si="135"/>
        <v>0</v>
      </c>
      <c r="Q1623" s="110">
        <f t="shared" si="136"/>
        <v>0</v>
      </c>
      <c r="R1623" s="110">
        <f t="shared" si="137"/>
        <v>0</v>
      </c>
      <c r="S1623" s="112">
        <v>0</v>
      </c>
    </row>
    <row r="1624" spans="1:19" ht="30">
      <c r="A1624" s="79"/>
      <c r="B1624" s="77" t="s">
        <v>164</v>
      </c>
      <c r="C1624" s="76" t="s">
        <v>8</v>
      </c>
      <c r="D1624" s="143">
        <v>1</v>
      </c>
      <c r="E1624" s="62"/>
      <c r="F1624" s="334"/>
      <c r="G1624" s="112">
        <v>0</v>
      </c>
      <c r="H1624" s="120">
        <v>0</v>
      </c>
      <c r="I1624" s="120">
        <v>0</v>
      </c>
      <c r="J1624" s="120">
        <v>0</v>
      </c>
      <c r="K1624" s="110">
        <v>0</v>
      </c>
      <c r="L1624" s="110"/>
      <c r="M1624" s="110">
        <v>0</v>
      </c>
      <c r="N1624" s="110"/>
      <c r="O1624" s="110"/>
      <c r="P1624" s="110">
        <f t="shared" si="135"/>
        <v>0</v>
      </c>
      <c r="Q1624" s="110">
        <f t="shared" si="136"/>
        <v>0</v>
      </c>
      <c r="R1624" s="110">
        <f t="shared" si="137"/>
        <v>0</v>
      </c>
      <c r="S1624" s="112">
        <v>0</v>
      </c>
    </row>
    <row r="1625" spans="1:19">
      <c r="A1625" s="79"/>
      <c r="B1625" s="77" t="s">
        <v>165</v>
      </c>
      <c r="C1625" s="76" t="s">
        <v>8</v>
      </c>
      <c r="D1625" s="143">
        <v>1</v>
      </c>
      <c r="E1625" s="340"/>
      <c r="F1625" s="334"/>
      <c r="G1625" s="112">
        <v>0</v>
      </c>
      <c r="H1625" s="120">
        <v>0</v>
      </c>
      <c r="I1625" s="120">
        <v>0</v>
      </c>
      <c r="J1625" s="120">
        <v>0</v>
      </c>
      <c r="K1625" s="110">
        <v>0</v>
      </c>
      <c r="L1625" s="110"/>
      <c r="M1625" s="110">
        <v>0</v>
      </c>
      <c r="N1625" s="110"/>
      <c r="O1625" s="110"/>
      <c r="P1625" s="110">
        <f t="shared" si="135"/>
        <v>0</v>
      </c>
      <c r="Q1625" s="110">
        <f t="shared" si="136"/>
        <v>0</v>
      </c>
      <c r="R1625" s="110">
        <f t="shared" si="137"/>
        <v>0</v>
      </c>
      <c r="S1625" s="112">
        <v>0</v>
      </c>
    </row>
    <row r="1626" spans="1:19" ht="45">
      <c r="A1626" s="79"/>
      <c r="B1626" s="77" t="s">
        <v>166</v>
      </c>
      <c r="C1626" s="76" t="s">
        <v>17</v>
      </c>
      <c r="D1626" s="143">
        <v>1</v>
      </c>
      <c r="E1626" s="66"/>
      <c r="F1626" s="334"/>
      <c r="G1626" s="112">
        <v>0</v>
      </c>
      <c r="H1626" s="120">
        <v>0</v>
      </c>
      <c r="I1626" s="120">
        <v>0</v>
      </c>
      <c r="J1626" s="120">
        <v>0</v>
      </c>
      <c r="K1626" s="110">
        <v>0</v>
      </c>
      <c r="L1626" s="110"/>
      <c r="M1626" s="110">
        <v>0</v>
      </c>
      <c r="N1626" s="110"/>
      <c r="O1626" s="110"/>
      <c r="P1626" s="110">
        <f t="shared" si="135"/>
        <v>0</v>
      </c>
      <c r="Q1626" s="110">
        <f t="shared" si="136"/>
        <v>0</v>
      </c>
      <c r="R1626" s="110">
        <f t="shared" si="137"/>
        <v>0</v>
      </c>
      <c r="S1626" s="112">
        <v>0</v>
      </c>
    </row>
    <row r="1627" spans="1:19" ht="60">
      <c r="A1627" s="79">
        <v>58</v>
      </c>
      <c r="B1627" s="77" t="s">
        <v>399</v>
      </c>
      <c r="C1627" s="76" t="s">
        <v>6</v>
      </c>
      <c r="D1627" s="143">
        <v>2</v>
      </c>
      <c r="E1627" s="61"/>
      <c r="F1627" s="334">
        <v>2</v>
      </c>
      <c r="G1627" s="112" t="s">
        <v>860</v>
      </c>
      <c r="H1627" s="120" t="s">
        <v>1076</v>
      </c>
      <c r="I1627" s="120" t="s">
        <v>828</v>
      </c>
      <c r="J1627" s="120" t="s">
        <v>829</v>
      </c>
      <c r="K1627" s="110">
        <v>39063500</v>
      </c>
      <c r="L1627" s="110"/>
      <c r="M1627" s="110">
        <v>3828500</v>
      </c>
      <c r="N1627" s="110"/>
      <c r="O1627" s="110"/>
      <c r="P1627" s="110">
        <f t="shared" si="135"/>
        <v>42892000</v>
      </c>
      <c r="Q1627" s="110">
        <f t="shared" si="136"/>
        <v>85784000</v>
      </c>
      <c r="R1627" s="110">
        <f t="shared" si="137"/>
        <v>85784000</v>
      </c>
      <c r="S1627" s="112" t="s">
        <v>4094</v>
      </c>
    </row>
    <row r="1628" spans="1:19" ht="45">
      <c r="A1628" s="79"/>
      <c r="B1628" s="77" t="s">
        <v>317</v>
      </c>
      <c r="C1628" s="76" t="s">
        <v>4</v>
      </c>
      <c r="D1628" s="143">
        <v>1</v>
      </c>
      <c r="E1628" s="63"/>
      <c r="F1628" s="334"/>
      <c r="G1628" s="112">
        <v>0</v>
      </c>
      <c r="H1628" s="120">
        <v>0</v>
      </c>
      <c r="I1628" s="120">
        <v>0</v>
      </c>
      <c r="J1628" s="120">
        <v>0</v>
      </c>
      <c r="K1628" s="110">
        <v>0</v>
      </c>
      <c r="L1628" s="110"/>
      <c r="M1628" s="110">
        <v>0</v>
      </c>
      <c r="N1628" s="110"/>
      <c r="O1628" s="110"/>
      <c r="P1628" s="110">
        <f t="shared" si="135"/>
        <v>0</v>
      </c>
      <c r="Q1628" s="110">
        <f t="shared" si="136"/>
        <v>0</v>
      </c>
      <c r="R1628" s="110">
        <f t="shared" si="137"/>
        <v>0</v>
      </c>
      <c r="S1628" s="112" t="s">
        <v>150</v>
      </c>
    </row>
    <row r="1629" spans="1:19">
      <c r="A1629" s="79"/>
      <c r="B1629" s="77" t="s">
        <v>151</v>
      </c>
      <c r="C1629" s="76"/>
      <c r="D1629" s="143"/>
      <c r="E1629" s="64"/>
      <c r="F1629" s="325"/>
      <c r="G1629" s="112">
        <v>0</v>
      </c>
      <c r="H1629" s="120">
        <v>0</v>
      </c>
      <c r="I1629" s="120">
        <v>0</v>
      </c>
      <c r="J1629" s="120">
        <v>0</v>
      </c>
      <c r="K1629" s="110">
        <v>0</v>
      </c>
      <c r="L1629" s="110"/>
      <c r="M1629" s="110">
        <v>0</v>
      </c>
      <c r="N1629" s="110"/>
      <c r="O1629" s="110"/>
      <c r="P1629" s="110">
        <f t="shared" si="135"/>
        <v>0</v>
      </c>
      <c r="Q1629" s="110">
        <f t="shared" si="136"/>
        <v>0</v>
      </c>
      <c r="R1629" s="110">
        <f t="shared" si="137"/>
        <v>0</v>
      </c>
      <c r="S1629" s="112">
        <v>0</v>
      </c>
    </row>
    <row r="1630" spans="1:19">
      <c r="A1630" s="79"/>
      <c r="B1630" s="77" t="s">
        <v>243</v>
      </c>
      <c r="C1630" s="76" t="s">
        <v>4</v>
      </c>
      <c r="D1630" s="143">
        <v>1</v>
      </c>
      <c r="E1630" s="66"/>
      <c r="F1630" s="334"/>
      <c r="G1630" s="112">
        <v>0</v>
      </c>
      <c r="H1630" s="120">
        <v>0</v>
      </c>
      <c r="I1630" s="120">
        <v>0</v>
      </c>
      <c r="J1630" s="120">
        <v>0</v>
      </c>
      <c r="K1630" s="110">
        <v>0</v>
      </c>
      <c r="L1630" s="110"/>
      <c r="M1630" s="110">
        <v>0</v>
      </c>
      <c r="N1630" s="110"/>
      <c r="O1630" s="110"/>
      <c r="P1630" s="110">
        <f t="shared" si="135"/>
        <v>0</v>
      </c>
      <c r="Q1630" s="110">
        <f t="shared" si="136"/>
        <v>0</v>
      </c>
      <c r="R1630" s="110">
        <f t="shared" si="137"/>
        <v>0</v>
      </c>
      <c r="S1630" s="112">
        <v>0</v>
      </c>
    </row>
    <row r="1631" spans="1:19">
      <c r="A1631" s="79"/>
      <c r="B1631" s="77" t="s">
        <v>14</v>
      </c>
      <c r="C1631" s="76" t="s">
        <v>4</v>
      </c>
      <c r="D1631" s="143">
        <v>3</v>
      </c>
      <c r="E1631" s="60"/>
      <c r="F1631" s="334"/>
      <c r="G1631" s="112">
        <v>0</v>
      </c>
      <c r="H1631" s="120">
        <v>0</v>
      </c>
      <c r="I1631" s="120">
        <v>0</v>
      </c>
      <c r="J1631" s="120">
        <v>0</v>
      </c>
      <c r="K1631" s="110">
        <v>0</v>
      </c>
      <c r="L1631" s="110"/>
      <c r="M1631" s="110">
        <v>0</v>
      </c>
      <c r="N1631" s="110"/>
      <c r="O1631" s="110"/>
      <c r="P1631" s="110">
        <f t="shared" si="135"/>
        <v>0</v>
      </c>
      <c r="Q1631" s="110">
        <f t="shared" si="136"/>
        <v>0</v>
      </c>
      <c r="R1631" s="110">
        <f t="shared" si="137"/>
        <v>0</v>
      </c>
      <c r="S1631" s="112">
        <v>0</v>
      </c>
    </row>
    <row r="1632" spans="1:19">
      <c r="A1632" s="79"/>
      <c r="B1632" s="77" t="s">
        <v>153</v>
      </c>
      <c r="C1632" s="76" t="s">
        <v>4</v>
      </c>
      <c r="D1632" s="143">
        <v>3</v>
      </c>
      <c r="E1632" s="71"/>
      <c r="F1632" s="334"/>
      <c r="G1632" s="112">
        <v>0</v>
      </c>
      <c r="H1632" s="120">
        <v>0</v>
      </c>
      <c r="I1632" s="120">
        <v>0</v>
      </c>
      <c r="J1632" s="120">
        <v>0</v>
      </c>
      <c r="K1632" s="110">
        <v>0</v>
      </c>
      <c r="L1632" s="110"/>
      <c r="M1632" s="110">
        <v>0</v>
      </c>
      <c r="N1632" s="110"/>
      <c r="O1632" s="110"/>
      <c r="P1632" s="110">
        <f t="shared" si="135"/>
        <v>0</v>
      </c>
      <c r="Q1632" s="110">
        <f t="shared" si="136"/>
        <v>0</v>
      </c>
      <c r="R1632" s="110">
        <f t="shared" si="137"/>
        <v>0</v>
      </c>
      <c r="S1632" s="112">
        <v>0</v>
      </c>
    </row>
    <row r="1633" spans="1:19">
      <c r="A1633" s="79"/>
      <c r="B1633" s="77" t="s">
        <v>154</v>
      </c>
      <c r="C1633" s="76"/>
      <c r="D1633" s="143"/>
      <c r="E1633" s="66"/>
      <c r="F1633" s="324"/>
      <c r="G1633" s="112">
        <v>0</v>
      </c>
      <c r="H1633" s="120">
        <v>0</v>
      </c>
      <c r="I1633" s="120">
        <v>0</v>
      </c>
      <c r="J1633" s="120">
        <v>0</v>
      </c>
      <c r="K1633" s="110">
        <v>0</v>
      </c>
      <c r="L1633" s="110"/>
      <c r="M1633" s="110">
        <v>0</v>
      </c>
      <c r="N1633" s="110"/>
      <c r="O1633" s="110"/>
      <c r="P1633" s="110">
        <f t="shared" si="135"/>
        <v>0</v>
      </c>
      <c r="Q1633" s="110">
        <f t="shared" si="136"/>
        <v>0</v>
      </c>
      <c r="R1633" s="110">
        <f t="shared" si="137"/>
        <v>0</v>
      </c>
      <c r="S1633" s="112">
        <v>0</v>
      </c>
    </row>
    <row r="1634" spans="1:19">
      <c r="A1634" s="79"/>
      <c r="B1634" s="77" t="s">
        <v>155</v>
      </c>
      <c r="C1634" s="76" t="s">
        <v>4</v>
      </c>
      <c r="D1634" s="143">
        <v>1</v>
      </c>
      <c r="E1634" s="66"/>
      <c r="F1634" s="334"/>
      <c r="G1634" s="112">
        <v>0</v>
      </c>
      <c r="H1634" s="120">
        <v>0</v>
      </c>
      <c r="I1634" s="120">
        <v>0</v>
      </c>
      <c r="J1634" s="120">
        <v>0</v>
      </c>
      <c r="K1634" s="110">
        <v>0</v>
      </c>
      <c r="L1634" s="110"/>
      <c r="M1634" s="110">
        <v>0</v>
      </c>
      <c r="N1634" s="110"/>
      <c r="O1634" s="110"/>
      <c r="P1634" s="110">
        <f t="shared" si="135"/>
        <v>0</v>
      </c>
      <c r="Q1634" s="110">
        <f t="shared" si="136"/>
        <v>0</v>
      </c>
      <c r="R1634" s="110">
        <f t="shared" si="137"/>
        <v>0</v>
      </c>
      <c r="S1634" s="112">
        <v>0</v>
      </c>
    </row>
    <row r="1635" spans="1:19">
      <c r="A1635" s="79"/>
      <c r="B1635" s="77" t="s">
        <v>156</v>
      </c>
      <c r="C1635" s="76" t="s">
        <v>4</v>
      </c>
      <c r="D1635" s="143">
        <v>3</v>
      </c>
      <c r="E1635" s="66"/>
      <c r="F1635" s="334"/>
      <c r="G1635" s="112">
        <v>0</v>
      </c>
      <c r="H1635" s="120">
        <v>0</v>
      </c>
      <c r="I1635" s="120">
        <v>0</v>
      </c>
      <c r="J1635" s="120">
        <v>0</v>
      </c>
      <c r="K1635" s="110">
        <v>0</v>
      </c>
      <c r="L1635" s="110"/>
      <c r="M1635" s="110">
        <v>0</v>
      </c>
      <c r="N1635" s="110"/>
      <c r="O1635" s="110"/>
      <c r="P1635" s="110">
        <f t="shared" si="135"/>
        <v>0</v>
      </c>
      <c r="Q1635" s="110">
        <f t="shared" si="136"/>
        <v>0</v>
      </c>
      <c r="R1635" s="110">
        <f t="shared" si="137"/>
        <v>0</v>
      </c>
      <c r="S1635" s="112">
        <v>0</v>
      </c>
    </row>
    <row r="1636" spans="1:19">
      <c r="A1636" s="79"/>
      <c r="B1636" s="77" t="s">
        <v>157</v>
      </c>
      <c r="C1636" s="76" t="s">
        <v>4</v>
      </c>
      <c r="D1636" s="143">
        <v>12</v>
      </c>
      <c r="E1636" s="66"/>
      <c r="F1636" s="334"/>
      <c r="G1636" s="112">
        <v>0</v>
      </c>
      <c r="H1636" s="120">
        <v>0</v>
      </c>
      <c r="I1636" s="120">
        <v>0</v>
      </c>
      <c r="J1636" s="120">
        <v>0</v>
      </c>
      <c r="K1636" s="110">
        <v>0</v>
      </c>
      <c r="L1636" s="110"/>
      <c r="M1636" s="110">
        <v>0</v>
      </c>
      <c r="N1636" s="110"/>
      <c r="O1636" s="110"/>
      <c r="P1636" s="110">
        <f t="shared" si="135"/>
        <v>0</v>
      </c>
      <c r="Q1636" s="110">
        <f t="shared" si="136"/>
        <v>0</v>
      </c>
      <c r="R1636" s="110">
        <f t="shared" si="137"/>
        <v>0</v>
      </c>
      <c r="S1636" s="112">
        <v>0</v>
      </c>
    </row>
    <row r="1637" spans="1:19">
      <c r="A1637" s="79"/>
      <c r="B1637" s="77" t="s">
        <v>158</v>
      </c>
      <c r="C1637" s="76" t="s">
        <v>4</v>
      </c>
      <c r="D1637" s="143">
        <v>1</v>
      </c>
      <c r="E1637" s="66"/>
      <c r="F1637" s="334"/>
      <c r="G1637" s="112">
        <v>0</v>
      </c>
      <c r="H1637" s="120">
        <v>0</v>
      </c>
      <c r="I1637" s="120">
        <v>0</v>
      </c>
      <c r="J1637" s="120">
        <v>0</v>
      </c>
      <c r="K1637" s="110">
        <v>0</v>
      </c>
      <c r="L1637" s="110"/>
      <c r="M1637" s="110">
        <v>0</v>
      </c>
      <c r="N1637" s="110"/>
      <c r="O1637" s="110"/>
      <c r="P1637" s="110">
        <f t="shared" si="135"/>
        <v>0</v>
      </c>
      <c r="Q1637" s="110">
        <f t="shared" si="136"/>
        <v>0</v>
      </c>
      <c r="R1637" s="110">
        <f t="shared" si="137"/>
        <v>0</v>
      </c>
      <c r="S1637" s="112">
        <v>0</v>
      </c>
    </row>
    <row r="1638" spans="1:19">
      <c r="A1638" s="79"/>
      <c r="B1638" s="77" t="s">
        <v>159</v>
      </c>
      <c r="C1638" s="76"/>
      <c r="D1638" s="143"/>
      <c r="E1638" s="66"/>
      <c r="F1638" s="324"/>
      <c r="G1638" s="112">
        <v>0</v>
      </c>
      <c r="H1638" s="120">
        <v>0</v>
      </c>
      <c r="I1638" s="120">
        <v>0</v>
      </c>
      <c r="J1638" s="120">
        <v>0</v>
      </c>
      <c r="K1638" s="110">
        <v>0</v>
      </c>
      <c r="L1638" s="110"/>
      <c r="M1638" s="110">
        <v>0</v>
      </c>
      <c r="N1638" s="110"/>
      <c r="O1638" s="110"/>
      <c r="P1638" s="110">
        <f t="shared" si="135"/>
        <v>0</v>
      </c>
      <c r="Q1638" s="110">
        <f t="shared" si="136"/>
        <v>0</v>
      </c>
      <c r="R1638" s="110">
        <f t="shared" si="137"/>
        <v>0</v>
      </c>
      <c r="S1638" s="112">
        <v>0</v>
      </c>
    </row>
    <row r="1639" spans="1:19">
      <c r="A1639" s="79"/>
      <c r="B1639" s="77" t="s">
        <v>160</v>
      </c>
      <c r="C1639" s="76" t="s">
        <v>4</v>
      </c>
      <c r="D1639" s="143">
        <v>28</v>
      </c>
      <c r="E1639" s="62"/>
      <c r="F1639" s="334"/>
      <c r="G1639" s="112">
        <v>0</v>
      </c>
      <c r="H1639" s="120">
        <v>0</v>
      </c>
      <c r="I1639" s="120">
        <v>0</v>
      </c>
      <c r="J1639" s="120">
        <v>0</v>
      </c>
      <c r="K1639" s="110">
        <v>0</v>
      </c>
      <c r="L1639" s="110"/>
      <c r="M1639" s="110">
        <v>0</v>
      </c>
      <c r="N1639" s="110"/>
      <c r="O1639" s="110"/>
      <c r="P1639" s="110">
        <f t="shared" si="135"/>
        <v>0</v>
      </c>
      <c r="Q1639" s="110">
        <f t="shared" si="136"/>
        <v>0</v>
      </c>
      <c r="R1639" s="110">
        <f t="shared" si="137"/>
        <v>0</v>
      </c>
      <c r="S1639" s="112">
        <v>0</v>
      </c>
    </row>
    <row r="1640" spans="1:19">
      <c r="A1640" s="79"/>
      <c r="B1640" s="77" t="s">
        <v>161</v>
      </c>
      <c r="C1640" s="76" t="s">
        <v>4</v>
      </c>
      <c r="D1640" s="143">
        <v>1</v>
      </c>
      <c r="E1640" s="340"/>
      <c r="F1640" s="334"/>
      <c r="G1640" s="112">
        <v>0</v>
      </c>
      <c r="H1640" s="120">
        <v>0</v>
      </c>
      <c r="I1640" s="120">
        <v>0</v>
      </c>
      <c r="J1640" s="120">
        <v>0</v>
      </c>
      <c r="K1640" s="110">
        <v>0</v>
      </c>
      <c r="L1640" s="110"/>
      <c r="M1640" s="110">
        <v>0</v>
      </c>
      <c r="N1640" s="110"/>
      <c r="O1640" s="110"/>
      <c r="P1640" s="110">
        <f t="shared" si="135"/>
        <v>0</v>
      </c>
      <c r="Q1640" s="110">
        <f t="shared" si="136"/>
        <v>0</v>
      </c>
      <c r="R1640" s="110">
        <f t="shared" si="137"/>
        <v>0</v>
      </c>
      <c r="S1640" s="112">
        <v>0</v>
      </c>
    </row>
    <row r="1641" spans="1:19">
      <c r="A1641" s="79"/>
      <c r="B1641" s="77" t="s">
        <v>162</v>
      </c>
      <c r="C1641" s="76" t="s">
        <v>17</v>
      </c>
      <c r="D1641" s="143">
        <v>1</v>
      </c>
      <c r="E1641" s="59"/>
      <c r="F1641" s="334"/>
      <c r="G1641" s="112">
        <v>0</v>
      </c>
      <c r="H1641" s="120">
        <v>0</v>
      </c>
      <c r="I1641" s="120">
        <v>0</v>
      </c>
      <c r="J1641" s="120">
        <v>0</v>
      </c>
      <c r="K1641" s="110">
        <v>0</v>
      </c>
      <c r="L1641" s="110"/>
      <c r="M1641" s="110">
        <v>0</v>
      </c>
      <c r="N1641" s="110"/>
      <c r="O1641" s="110"/>
      <c r="P1641" s="110">
        <f t="shared" si="135"/>
        <v>0</v>
      </c>
      <c r="Q1641" s="110">
        <f t="shared" si="136"/>
        <v>0</v>
      </c>
      <c r="R1641" s="110">
        <f t="shared" si="137"/>
        <v>0</v>
      </c>
      <c r="S1641" s="112">
        <v>0</v>
      </c>
    </row>
    <row r="1642" spans="1:19">
      <c r="A1642" s="79"/>
      <c r="B1642" s="77" t="s">
        <v>163</v>
      </c>
      <c r="C1642" s="76" t="s">
        <v>4</v>
      </c>
      <c r="D1642" s="143">
        <v>1</v>
      </c>
      <c r="E1642" s="77"/>
      <c r="F1642" s="334"/>
      <c r="G1642" s="112">
        <v>0</v>
      </c>
      <c r="H1642" s="120">
        <v>0</v>
      </c>
      <c r="I1642" s="120">
        <v>0</v>
      </c>
      <c r="J1642" s="120">
        <v>0</v>
      </c>
      <c r="K1642" s="110">
        <v>0</v>
      </c>
      <c r="L1642" s="110"/>
      <c r="M1642" s="110">
        <v>0</v>
      </c>
      <c r="N1642" s="110"/>
      <c r="O1642" s="110"/>
      <c r="P1642" s="110">
        <f t="shared" si="135"/>
        <v>0</v>
      </c>
      <c r="Q1642" s="110">
        <f t="shared" si="136"/>
        <v>0</v>
      </c>
      <c r="R1642" s="110">
        <f t="shared" si="137"/>
        <v>0</v>
      </c>
      <c r="S1642" s="112">
        <v>0</v>
      </c>
    </row>
    <row r="1643" spans="1:19" ht="30">
      <c r="A1643" s="79"/>
      <c r="B1643" s="77" t="s">
        <v>189</v>
      </c>
      <c r="C1643" s="76" t="s">
        <v>8</v>
      </c>
      <c r="D1643" s="143">
        <v>1</v>
      </c>
      <c r="E1643" s="77"/>
      <c r="F1643" s="334"/>
      <c r="G1643" s="112">
        <v>0</v>
      </c>
      <c r="H1643" s="120">
        <v>0</v>
      </c>
      <c r="I1643" s="120">
        <v>0</v>
      </c>
      <c r="J1643" s="120">
        <v>0</v>
      </c>
      <c r="K1643" s="110">
        <v>0</v>
      </c>
      <c r="L1643" s="110"/>
      <c r="M1643" s="110">
        <v>0</v>
      </c>
      <c r="N1643" s="110"/>
      <c r="O1643" s="110"/>
      <c r="P1643" s="110">
        <f t="shared" si="135"/>
        <v>0</v>
      </c>
      <c r="Q1643" s="110">
        <f t="shared" si="136"/>
        <v>0</v>
      </c>
      <c r="R1643" s="110">
        <f t="shared" si="137"/>
        <v>0</v>
      </c>
      <c r="S1643" s="112">
        <v>0</v>
      </c>
    </row>
    <row r="1644" spans="1:19" ht="45">
      <c r="A1644" s="79"/>
      <c r="B1644" s="77" t="s">
        <v>166</v>
      </c>
      <c r="C1644" s="76" t="s">
        <v>17</v>
      </c>
      <c r="D1644" s="143">
        <v>1</v>
      </c>
      <c r="E1644" s="77"/>
      <c r="F1644" s="334"/>
      <c r="G1644" s="112">
        <v>0</v>
      </c>
      <c r="H1644" s="120">
        <v>0</v>
      </c>
      <c r="I1644" s="120">
        <v>0</v>
      </c>
      <c r="J1644" s="120">
        <v>0</v>
      </c>
      <c r="K1644" s="110">
        <v>0</v>
      </c>
      <c r="L1644" s="110"/>
      <c r="M1644" s="110">
        <v>0</v>
      </c>
      <c r="N1644" s="110"/>
      <c r="O1644" s="110"/>
      <c r="P1644" s="110">
        <f t="shared" si="135"/>
        <v>0</v>
      </c>
      <c r="Q1644" s="110">
        <f t="shared" si="136"/>
        <v>0</v>
      </c>
      <c r="R1644" s="110">
        <f t="shared" si="137"/>
        <v>0</v>
      </c>
      <c r="S1644" s="112">
        <v>0</v>
      </c>
    </row>
    <row r="1645" spans="1:19" ht="60">
      <c r="A1645" s="79">
        <v>59</v>
      </c>
      <c r="B1645" s="77" t="s">
        <v>400</v>
      </c>
      <c r="C1645" s="76" t="s">
        <v>6</v>
      </c>
      <c r="D1645" s="143">
        <v>1</v>
      </c>
      <c r="E1645" s="77"/>
      <c r="F1645" s="334">
        <v>1</v>
      </c>
      <c r="G1645" s="112" t="s">
        <v>400</v>
      </c>
      <c r="H1645" s="120" t="s">
        <v>1076</v>
      </c>
      <c r="I1645" s="120" t="s">
        <v>828</v>
      </c>
      <c r="J1645" s="120" t="s">
        <v>829</v>
      </c>
      <c r="K1645" s="110">
        <v>44569900</v>
      </c>
      <c r="L1645" s="110"/>
      <c r="M1645" s="110">
        <v>3828500</v>
      </c>
      <c r="N1645" s="110"/>
      <c r="O1645" s="110"/>
      <c r="P1645" s="110">
        <f t="shared" si="135"/>
        <v>48398400</v>
      </c>
      <c r="Q1645" s="110">
        <f t="shared" si="136"/>
        <v>48398400</v>
      </c>
      <c r="R1645" s="110">
        <f t="shared" si="137"/>
        <v>48398400</v>
      </c>
      <c r="S1645" s="112" t="s">
        <v>4094</v>
      </c>
    </row>
    <row r="1646" spans="1:19" ht="45">
      <c r="A1646" s="79"/>
      <c r="B1646" s="77" t="s">
        <v>317</v>
      </c>
      <c r="C1646" s="76" t="s">
        <v>4</v>
      </c>
      <c r="D1646" s="143">
        <v>1</v>
      </c>
      <c r="E1646" s="77"/>
      <c r="F1646" s="334"/>
      <c r="G1646" s="112">
        <v>0</v>
      </c>
      <c r="H1646" s="120">
        <v>0</v>
      </c>
      <c r="I1646" s="120">
        <v>0</v>
      </c>
      <c r="J1646" s="120">
        <v>0</v>
      </c>
      <c r="K1646" s="110">
        <v>0</v>
      </c>
      <c r="L1646" s="110"/>
      <c r="M1646" s="110">
        <v>0</v>
      </c>
      <c r="N1646" s="110"/>
      <c r="O1646" s="110"/>
      <c r="P1646" s="110">
        <f t="shared" si="135"/>
        <v>0</v>
      </c>
      <c r="Q1646" s="110">
        <f t="shared" si="136"/>
        <v>0</v>
      </c>
      <c r="R1646" s="110">
        <f t="shared" si="137"/>
        <v>0</v>
      </c>
      <c r="S1646" s="112" t="s">
        <v>150</v>
      </c>
    </row>
    <row r="1647" spans="1:19">
      <c r="A1647" s="79"/>
      <c r="B1647" s="77" t="s">
        <v>151</v>
      </c>
      <c r="C1647" s="76"/>
      <c r="D1647" s="143"/>
      <c r="E1647" s="77"/>
      <c r="F1647" s="76"/>
      <c r="G1647" s="112">
        <v>0</v>
      </c>
      <c r="H1647" s="120">
        <v>0</v>
      </c>
      <c r="I1647" s="120">
        <v>0</v>
      </c>
      <c r="J1647" s="120">
        <v>0</v>
      </c>
      <c r="K1647" s="110">
        <v>0</v>
      </c>
      <c r="L1647" s="110"/>
      <c r="M1647" s="110">
        <v>0</v>
      </c>
      <c r="N1647" s="110"/>
      <c r="O1647" s="110"/>
      <c r="P1647" s="110">
        <f t="shared" si="135"/>
        <v>0</v>
      </c>
      <c r="Q1647" s="110">
        <f t="shared" si="136"/>
        <v>0</v>
      </c>
      <c r="R1647" s="110">
        <f t="shared" si="137"/>
        <v>0</v>
      </c>
      <c r="S1647" s="112">
        <v>0</v>
      </c>
    </row>
    <row r="1648" spans="1:19">
      <c r="A1648" s="79"/>
      <c r="B1648" s="77" t="s">
        <v>212</v>
      </c>
      <c r="C1648" s="76" t="s">
        <v>4</v>
      </c>
      <c r="D1648" s="143">
        <v>1</v>
      </c>
      <c r="E1648" s="77"/>
      <c r="F1648" s="334"/>
      <c r="G1648" s="112">
        <v>0</v>
      </c>
      <c r="H1648" s="120">
        <v>0</v>
      </c>
      <c r="I1648" s="120">
        <v>0</v>
      </c>
      <c r="J1648" s="120">
        <v>0</v>
      </c>
      <c r="K1648" s="110">
        <v>0</v>
      </c>
      <c r="L1648" s="110"/>
      <c r="M1648" s="110">
        <v>0</v>
      </c>
      <c r="N1648" s="110"/>
      <c r="O1648" s="110"/>
      <c r="P1648" s="110">
        <f t="shared" si="135"/>
        <v>0</v>
      </c>
      <c r="Q1648" s="110">
        <f t="shared" si="136"/>
        <v>0</v>
      </c>
      <c r="R1648" s="110">
        <f t="shared" si="137"/>
        <v>0</v>
      </c>
      <c r="S1648" s="112">
        <v>0</v>
      </c>
    </row>
    <row r="1649" spans="1:19">
      <c r="A1649" s="79"/>
      <c r="B1649" s="77" t="s">
        <v>14</v>
      </c>
      <c r="C1649" s="76" t="s">
        <v>4</v>
      </c>
      <c r="D1649" s="143">
        <v>3</v>
      </c>
      <c r="E1649" s="77"/>
      <c r="F1649" s="334"/>
      <c r="G1649" s="112">
        <v>0</v>
      </c>
      <c r="H1649" s="120">
        <v>0</v>
      </c>
      <c r="I1649" s="120">
        <v>0</v>
      </c>
      <c r="J1649" s="120">
        <v>0</v>
      </c>
      <c r="K1649" s="110">
        <v>0</v>
      </c>
      <c r="L1649" s="110"/>
      <c r="M1649" s="110">
        <v>0</v>
      </c>
      <c r="N1649" s="110"/>
      <c r="O1649" s="110"/>
      <c r="P1649" s="110">
        <f t="shared" ref="P1649:P1712" si="138">+K1649+L1649+M1649+N1649+O1649</f>
        <v>0</v>
      </c>
      <c r="Q1649" s="110">
        <f t="shared" ref="Q1649:Q1712" si="139">+P1649*D1649</f>
        <v>0</v>
      </c>
      <c r="R1649" s="110">
        <f t="shared" ref="R1649:R1712" si="140">P1649*F1649</f>
        <v>0</v>
      </c>
      <c r="S1649" s="112">
        <v>0</v>
      </c>
    </row>
    <row r="1650" spans="1:19">
      <c r="A1650" s="79"/>
      <c r="B1650" s="77" t="s">
        <v>153</v>
      </c>
      <c r="C1650" s="76" t="s">
        <v>4</v>
      </c>
      <c r="D1650" s="143">
        <v>3</v>
      </c>
      <c r="E1650" s="77"/>
      <c r="F1650" s="334"/>
      <c r="G1650" s="112">
        <v>0</v>
      </c>
      <c r="H1650" s="120">
        <v>0</v>
      </c>
      <c r="I1650" s="120">
        <v>0</v>
      </c>
      <c r="J1650" s="120">
        <v>0</v>
      </c>
      <c r="K1650" s="110">
        <v>0</v>
      </c>
      <c r="L1650" s="110"/>
      <c r="M1650" s="110">
        <v>0</v>
      </c>
      <c r="N1650" s="110"/>
      <c r="O1650" s="110"/>
      <c r="P1650" s="110">
        <f t="shared" si="138"/>
        <v>0</v>
      </c>
      <c r="Q1650" s="110">
        <f t="shared" si="139"/>
        <v>0</v>
      </c>
      <c r="R1650" s="110">
        <f t="shared" si="140"/>
        <v>0</v>
      </c>
      <c r="S1650" s="112">
        <v>0</v>
      </c>
    </row>
    <row r="1651" spans="1:19">
      <c r="A1651" s="79"/>
      <c r="B1651" s="77" t="s">
        <v>154</v>
      </c>
      <c r="C1651" s="76"/>
      <c r="D1651" s="143"/>
      <c r="E1651" s="77"/>
      <c r="F1651" s="76"/>
      <c r="G1651" s="112">
        <v>0</v>
      </c>
      <c r="H1651" s="120">
        <v>0</v>
      </c>
      <c r="I1651" s="120">
        <v>0</v>
      </c>
      <c r="J1651" s="120">
        <v>0</v>
      </c>
      <c r="K1651" s="110">
        <v>0</v>
      </c>
      <c r="L1651" s="110"/>
      <c r="M1651" s="110">
        <v>0</v>
      </c>
      <c r="N1651" s="110"/>
      <c r="O1651" s="110"/>
      <c r="P1651" s="110">
        <f t="shared" si="138"/>
        <v>0</v>
      </c>
      <c r="Q1651" s="110">
        <f t="shared" si="139"/>
        <v>0</v>
      </c>
      <c r="R1651" s="110">
        <f t="shared" si="140"/>
        <v>0</v>
      </c>
      <c r="S1651" s="112">
        <v>0</v>
      </c>
    </row>
    <row r="1652" spans="1:19">
      <c r="A1652" s="79"/>
      <c r="B1652" s="77" t="s">
        <v>155</v>
      </c>
      <c r="C1652" s="76" t="s">
        <v>4</v>
      </c>
      <c r="D1652" s="143">
        <v>1</v>
      </c>
      <c r="E1652" s="77"/>
      <c r="F1652" s="334"/>
      <c r="G1652" s="112">
        <v>0</v>
      </c>
      <c r="H1652" s="120">
        <v>0</v>
      </c>
      <c r="I1652" s="120">
        <v>0</v>
      </c>
      <c r="J1652" s="120">
        <v>0</v>
      </c>
      <c r="K1652" s="110">
        <v>0</v>
      </c>
      <c r="L1652" s="110"/>
      <c r="M1652" s="110">
        <v>0</v>
      </c>
      <c r="N1652" s="110"/>
      <c r="O1652" s="110"/>
      <c r="P1652" s="110">
        <f t="shared" si="138"/>
        <v>0</v>
      </c>
      <c r="Q1652" s="110">
        <f t="shared" si="139"/>
        <v>0</v>
      </c>
      <c r="R1652" s="110">
        <f t="shared" si="140"/>
        <v>0</v>
      </c>
      <c r="S1652" s="112">
        <v>0</v>
      </c>
    </row>
    <row r="1653" spans="1:19">
      <c r="A1653" s="79"/>
      <c r="B1653" s="77" t="s">
        <v>243</v>
      </c>
      <c r="C1653" s="76" t="s">
        <v>4</v>
      </c>
      <c r="D1653" s="143">
        <v>1</v>
      </c>
      <c r="E1653" s="77"/>
      <c r="F1653" s="334"/>
      <c r="G1653" s="112">
        <v>0</v>
      </c>
      <c r="H1653" s="120">
        <v>0</v>
      </c>
      <c r="I1653" s="120">
        <v>0</v>
      </c>
      <c r="J1653" s="120">
        <v>0</v>
      </c>
      <c r="K1653" s="110">
        <v>0</v>
      </c>
      <c r="L1653" s="110"/>
      <c r="M1653" s="110">
        <v>0</v>
      </c>
      <c r="N1653" s="110"/>
      <c r="O1653" s="110"/>
      <c r="P1653" s="110">
        <f t="shared" si="138"/>
        <v>0</v>
      </c>
      <c r="Q1653" s="110">
        <f t="shared" si="139"/>
        <v>0</v>
      </c>
      <c r="R1653" s="110">
        <f t="shared" si="140"/>
        <v>0</v>
      </c>
      <c r="S1653" s="112">
        <v>0</v>
      </c>
    </row>
    <row r="1654" spans="1:19">
      <c r="A1654" s="79"/>
      <c r="B1654" s="77" t="s">
        <v>156</v>
      </c>
      <c r="C1654" s="76" t="s">
        <v>4</v>
      </c>
      <c r="D1654" s="143">
        <v>3</v>
      </c>
      <c r="E1654" s="77"/>
      <c r="F1654" s="334"/>
      <c r="G1654" s="112">
        <v>0</v>
      </c>
      <c r="H1654" s="120">
        <v>0</v>
      </c>
      <c r="I1654" s="120">
        <v>0</v>
      </c>
      <c r="J1654" s="120">
        <v>0</v>
      </c>
      <c r="K1654" s="110">
        <v>0</v>
      </c>
      <c r="L1654" s="110"/>
      <c r="M1654" s="110">
        <v>0</v>
      </c>
      <c r="N1654" s="110"/>
      <c r="O1654" s="110"/>
      <c r="P1654" s="110">
        <f t="shared" si="138"/>
        <v>0</v>
      </c>
      <c r="Q1654" s="110">
        <f t="shared" si="139"/>
        <v>0</v>
      </c>
      <c r="R1654" s="110">
        <f t="shared" si="140"/>
        <v>0</v>
      </c>
      <c r="S1654" s="112">
        <v>0</v>
      </c>
    </row>
    <row r="1655" spans="1:19">
      <c r="A1655" s="79"/>
      <c r="B1655" s="77" t="s">
        <v>157</v>
      </c>
      <c r="C1655" s="76" t="s">
        <v>4</v>
      </c>
      <c r="D1655" s="143">
        <v>15</v>
      </c>
      <c r="E1655" s="77"/>
      <c r="F1655" s="334"/>
      <c r="G1655" s="112">
        <v>0</v>
      </c>
      <c r="H1655" s="120">
        <v>0</v>
      </c>
      <c r="I1655" s="120">
        <v>0</v>
      </c>
      <c r="J1655" s="120">
        <v>0</v>
      </c>
      <c r="K1655" s="110">
        <v>0</v>
      </c>
      <c r="L1655" s="110"/>
      <c r="M1655" s="110">
        <v>0</v>
      </c>
      <c r="N1655" s="110"/>
      <c r="O1655" s="110"/>
      <c r="P1655" s="110">
        <f t="shared" si="138"/>
        <v>0</v>
      </c>
      <c r="Q1655" s="110">
        <f t="shared" si="139"/>
        <v>0</v>
      </c>
      <c r="R1655" s="110">
        <f t="shared" si="140"/>
        <v>0</v>
      </c>
      <c r="S1655" s="112">
        <v>0</v>
      </c>
    </row>
    <row r="1656" spans="1:19">
      <c r="A1656" s="79"/>
      <c r="B1656" s="77" t="s">
        <v>158</v>
      </c>
      <c r="C1656" s="76" t="s">
        <v>4</v>
      </c>
      <c r="D1656" s="143">
        <v>1</v>
      </c>
      <c r="E1656" s="77"/>
      <c r="F1656" s="334"/>
      <c r="G1656" s="112">
        <v>0</v>
      </c>
      <c r="H1656" s="120">
        <v>0</v>
      </c>
      <c r="I1656" s="120">
        <v>0</v>
      </c>
      <c r="J1656" s="120">
        <v>0</v>
      </c>
      <c r="K1656" s="110">
        <v>0</v>
      </c>
      <c r="L1656" s="110"/>
      <c r="M1656" s="110">
        <v>0</v>
      </c>
      <c r="N1656" s="110"/>
      <c r="O1656" s="110"/>
      <c r="P1656" s="110">
        <f t="shared" si="138"/>
        <v>0</v>
      </c>
      <c r="Q1656" s="110">
        <f t="shared" si="139"/>
        <v>0</v>
      </c>
      <c r="R1656" s="110">
        <f t="shared" si="140"/>
        <v>0</v>
      </c>
      <c r="S1656" s="112">
        <v>0</v>
      </c>
    </row>
    <row r="1657" spans="1:19">
      <c r="A1657" s="79"/>
      <c r="B1657" s="77" t="s">
        <v>159</v>
      </c>
      <c r="C1657" s="76"/>
      <c r="D1657" s="143"/>
      <c r="E1657" s="77"/>
      <c r="F1657" s="76"/>
      <c r="G1657" s="112">
        <v>0</v>
      </c>
      <c r="H1657" s="120">
        <v>0</v>
      </c>
      <c r="I1657" s="120">
        <v>0</v>
      </c>
      <c r="J1657" s="120">
        <v>0</v>
      </c>
      <c r="K1657" s="110">
        <v>0</v>
      </c>
      <c r="L1657" s="110"/>
      <c r="M1657" s="110">
        <v>0</v>
      </c>
      <c r="N1657" s="110"/>
      <c r="O1657" s="110"/>
      <c r="P1657" s="110">
        <f t="shared" si="138"/>
        <v>0</v>
      </c>
      <c r="Q1657" s="110">
        <f t="shared" si="139"/>
        <v>0</v>
      </c>
      <c r="R1657" s="110">
        <f t="shared" si="140"/>
        <v>0</v>
      </c>
      <c r="S1657" s="112">
        <v>0</v>
      </c>
    </row>
    <row r="1658" spans="1:19">
      <c r="A1658" s="79"/>
      <c r="B1658" s="77" t="s">
        <v>160</v>
      </c>
      <c r="C1658" s="76" t="s">
        <v>4</v>
      </c>
      <c r="D1658" s="143">
        <v>37</v>
      </c>
      <c r="E1658" s="77"/>
      <c r="F1658" s="334"/>
      <c r="G1658" s="112">
        <v>0</v>
      </c>
      <c r="H1658" s="120">
        <v>0</v>
      </c>
      <c r="I1658" s="120">
        <v>0</v>
      </c>
      <c r="J1658" s="120">
        <v>0</v>
      </c>
      <c r="K1658" s="110">
        <v>0</v>
      </c>
      <c r="L1658" s="110"/>
      <c r="M1658" s="110">
        <v>0</v>
      </c>
      <c r="N1658" s="110"/>
      <c r="O1658" s="110"/>
      <c r="P1658" s="110">
        <f t="shared" si="138"/>
        <v>0</v>
      </c>
      <c r="Q1658" s="110">
        <f t="shared" si="139"/>
        <v>0</v>
      </c>
      <c r="R1658" s="110">
        <f t="shared" si="140"/>
        <v>0</v>
      </c>
      <c r="S1658" s="112">
        <v>0</v>
      </c>
    </row>
    <row r="1659" spans="1:19">
      <c r="A1659" s="79"/>
      <c r="B1659" s="77" t="s">
        <v>161</v>
      </c>
      <c r="C1659" s="76" t="s">
        <v>4</v>
      </c>
      <c r="D1659" s="143">
        <v>1</v>
      </c>
      <c r="E1659" s="77"/>
      <c r="F1659" s="334"/>
      <c r="G1659" s="112">
        <v>0</v>
      </c>
      <c r="H1659" s="120">
        <v>0</v>
      </c>
      <c r="I1659" s="120">
        <v>0</v>
      </c>
      <c r="J1659" s="120">
        <v>0</v>
      </c>
      <c r="K1659" s="110">
        <v>0</v>
      </c>
      <c r="L1659" s="110"/>
      <c r="M1659" s="110">
        <v>0</v>
      </c>
      <c r="N1659" s="110"/>
      <c r="O1659" s="110"/>
      <c r="P1659" s="110">
        <f t="shared" si="138"/>
        <v>0</v>
      </c>
      <c r="Q1659" s="110">
        <f t="shared" si="139"/>
        <v>0</v>
      </c>
      <c r="R1659" s="110">
        <f t="shared" si="140"/>
        <v>0</v>
      </c>
      <c r="S1659" s="112">
        <v>0</v>
      </c>
    </row>
    <row r="1660" spans="1:19">
      <c r="A1660" s="79"/>
      <c r="B1660" s="77" t="s">
        <v>162</v>
      </c>
      <c r="C1660" s="76" t="s">
        <v>17</v>
      </c>
      <c r="D1660" s="143">
        <v>1</v>
      </c>
      <c r="E1660" s="77"/>
      <c r="F1660" s="334"/>
      <c r="G1660" s="112">
        <v>0</v>
      </c>
      <c r="H1660" s="120">
        <v>0</v>
      </c>
      <c r="I1660" s="120">
        <v>0</v>
      </c>
      <c r="J1660" s="120">
        <v>0</v>
      </c>
      <c r="K1660" s="110">
        <v>0</v>
      </c>
      <c r="L1660" s="110"/>
      <c r="M1660" s="110">
        <v>0</v>
      </c>
      <c r="N1660" s="110"/>
      <c r="O1660" s="110"/>
      <c r="P1660" s="110">
        <f t="shared" si="138"/>
        <v>0</v>
      </c>
      <c r="Q1660" s="110">
        <f t="shared" si="139"/>
        <v>0</v>
      </c>
      <c r="R1660" s="110">
        <f t="shared" si="140"/>
        <v>0</v>
      </c>
      <c r="S1660" s="112">
        <v>0</v>
      </c>
    </row>
    <row r="1661" spans="1:19">
      <c r="A1661" s="79"/>
      <c r="B1661" s="77" t="s">
        <v>163</v>
      </c>
      <c r="C1661" s="76" t="s">
        <v>4</v>
      </c>
      <c r="D1661" s="143">
        <v>1</v>
      </c>
      <c r="E1661" s="77"/>
      <c r="F1661" s="334"/>
      <c r="G1661" s="112">
        <v>0</v>
      </c>
      <c r="H1661" s="120">
        <v>0</v>
      </c>
      <c r="I1661" s="120">
        <v>0</v>
      </c>
      <c r="J1661" s="120">
        <v>0</v>
      </c>
      <c r="K1661" s="110">
        <v>0</v>
      </c>
      <c r="L1661" s="110"/>
      <c r="M1661" s="110">
        <v>0</v>
      </c>
      <c r="N1661" s="110"/>
      <c r="O1661" s="110"/>
      <c r="P1661" s="110">
        <f t="shared" si="138"/>
        <v>0</v>
      </c>
      <c r="Q1661" s="110">
        <f t="shared" si="139"/>
        <v>0</v>
      </c>
      <c r="R1661" s="110">
        <f t="shared" si="140"/>
        <v>0</v>
      </c>
      <c r="S1661" s="112">
        <v>0</v>
      </c>
    </row>
    <row r="1662" spans="1:19" ht="30">
      <c r="A1662" s="79"/>
      <c r="B1662" s="77" t="s">
        <v>164</v>
      </c>
      <c r="C1662" s="76" t="s">
        <v>8</v>
      </c>
      <c r="D1662" s="143">
        <v>1</v>
      </c>
      <c r="E1662" s="77"/>
      <c r="F1662" s="334"/>
      <c r="G1662" s="112">
        <v>0</v>
      </c>
      <c r="H1662" s="120">
        <v>0</v>
      </c>
      <c r="I1662" s="120">
        <v>0</v>
      </c>
      <c r="J1662" s="120">
        <v>0</v>
      </c>
      <c r="K1662" s="110">
        <v>0</v>
      </c>
      <c r="L1662" s="110"/>
      <c r="M1662" s="110">
        <v>0</v>
      </c>
      <c r="N1662" s="110"/>
      <c r="O1662" s="110"/>
      <c r="P1662" s="110">
        <f t="shared" si="138"/>
        <v>0</v>
      </c>
      <c r="Q1662" s="110">
        <f t="shared" si="139"/>
        <v>0</v>
      </c>
      <c r="R1662" s="110">
        <f t="shared" si="140"/>
        <v>0</v>
      </c>
      <c r="S1662" s="112">
        <v>0</v>
      </c>
    </row>
    <row r="1663" spans="1:19">
      <c r="A1663" s="79"/>
      <c r="B1663" s="77" t="s">
        <v>165</v>
      </c>
      <c r="C1663" s="76" t="s">
        <v>8</v>
      </c>
      <c r="D1663" s="143">
        <v>1</v>
      </c>
      <c r="E1663" s="77"/>
      <c r="F1663" s="334"/>
      <c r="G1663" s="112">
        <v>0</v>
      </c>
      <c r="H1663" s="120">
        <v>0</v>
      </c>
      <c r="I1663" s="120">
        <v>0</v>
      </c>
      <c r="J1663" s="120">
        <v>0</v>
      </c>
      <c r="K1663" s="110">
        <v>0</v>
      </c>
      <c r="L1663" s="110"/>
      <c r="M1663" s="110">
        <v>0</v>
      </c>
      <c r="N1663" s="110"/>
      <c r="O1663" s="110"/>
      <c r="P1663" s="110">
        <f t="shared" si="138"/>
        <v>0</v>
      </c>
      <c r="Q1663" s="110">
        <f t="shared" si="139"/>
        <v>0</v>
      </c>
      <c r="R1663" s="110">
        <f t="shared" si="140"/>
        <v>0</v>
      </c>
      <c r="S1663" s="112">
        <v>0</v>
      </c>
    </row>
    <row r="1664" spans="1:19" ht="45">
      <c r="A1664" s="79"/>
      <c r="B1664" s="77" t="s">
        <v>166</v>
      </c>
      <c r="C1664" s="76" t="s">
        <v>17</v>
      </c>
      <c r="D1664" s="143">
        <v>1</v>
      </c>
      <c r="E1664" s="77"/>
      <c r="F1664" s="334"/>
      <c r="G1664" s="112">
        <v>0</v>
      </c>
      <c r="H1664" s="120">
        <v>0</v>
      </c>
      <c r="I1664" s="120">
        <v>0</v>
      </c>
      <c r="J1664" s="120">
        <v>0</v>
      </c>
      <c r="K1664" s="110">
        <v>0</v>
      </c>
      <c r="L1664" s="110"/>
      <c r="M1664" s="110">
        <v>0</v>
      </c>
      <c r="N1664" s="110"/>
      <c r="O1664" s="110"/>
      <c r="P1664" s="110">
        <f t="shared" si="138"/>
        <v>0</v>
      </c>
      <c r="Q1664" s="110">
        <f t="shared" si="139"/>
        <v>0</v>
      </c>
      <c r="R1664" s="110">
        <f t="shared" si="140"/>
        <v>0</v>
      </c>
      <c r="S1664" s="112">
        <v>0</v>
      </c>
    </row>
    <row r="1665" spans="1:19" ht="60">
      <c r="A1665" s="79">
        <v>60</v>
      </c>
      <c r="B1665" s="77" t="s">
        <v>401</v>
      </c>
      <c r="C1665" s="76" t="s">
        <v>6</v>
      </c>
      <c r="D1665" s="143">
        <v>1</v>
      </c>
      <c r="E1665" s="77"/>
      <c r="F1665" s="334">
        <v>1</v>
      </c>
      <c r="G1665" s="112" t="s">
        <v>401</v>
      </c>
      <c r="H1665" s="120" t="s">
        <v>1076</v>
      </c>
      <c r="I1665" s="120" t="s">
        <v>828</v>
      </c>
      <c r="J1665" s="120" t="s">
        <v>829</v>
      </c>
      <c r="K1665" s="110">
        <v>41846600</v>
      </c>
      <c r="L1665" s="110"/>
      <c r="M1665" s="110">
        <v>3828500</v>
      </c>
      <c r="N1665" s="110"/>
      <c r="O1665" s="110"/>
      <c r="P1665" s="110">
        <f t="shared" si="138"/>
        <v>45675100</v>
      </c>
      <c r="Q1665" s="110">
        <f t="shared" si="139"/>
        <v>45675100</v>
      </c>
      <c r="R1665" s="110">
        <f t="shared" si="140"/>
        <v>45675100</v>
      </c>
      <c r="S1665" s="112" t="s">
        <v>4094</v>
      </c>
    </row>
    <row r="1666" spans="1:19" ht="45">
      <c r="A1666" s="79"/>
      <c r="B1666" s="77" t="s">
        <v>317</v>
      </c>
      <c r="C1666" s="76" t="s">
        <v>4</v>
      </c>
      <c r="D1666" s="143">
        <v>1</v>
      </c>
      <c r="E1666" s="77"/>
      <c r="F1666" s="334"/>
      <c r="G1666" s="112">
        <v>0</v>
      </c>
      <c r="H1666" s="120">
        <v>0</v>
      </c>
      <c r="I1666" s="120">
        <v>0</v>
      </c>
      <c r="J1666" s="120">
        <v>0</v>
      </c>
      <c r="K1666" s="110">
        <v>0</v>
      </c>
      <c r="L1666" s="110"/>
      <c r="M1666" s="110">
        <v>0</v>
      </c>
      <c r="N1666" s="110"/>
      <c r="O1666" s="110"/>
      <c r="P1666" s="110">
        <f t="shared" si="138"/>
        <v>0</v>
      </c>
      <c r="Q1666" s="110">
        <f t="shared" si="139"/>
        <v>0</v>
      </c>
      <c r="R1666" s="110">
        <f t="shared" si="140"/>
        <v>0</v>
      </c>
      <c r="S1666" s="112" t="s">
        <v>150</v>
      </c>
    </row>
    <row r="1667" spans="1:19">
      <c r="A1667" s="79"/>
      <c r="B1667" s="77" t="s">
        <v>151</v>
      </c>
      <c r="C1667" s="76"/>
      <c r="D1667" s="143"/>
      <c r="E1667" s="59"/>
      <c r="F1667" s="329"/>
      <c r="G1667" s="112">
        <v>0</v>
      </c>
      <c r="H1667" s="120">
        <v>0</v>
      </c>
      <c r="I1667" s="120">
        <v>0</v>
      </c>
      <c r="J1667" s="120">
        <v>0</v>
      </c>
      <c r="K1667" s="110">
        <v>0</v>
      </c>
      <c r="L1667" s="110"/>
      <c r="M1667" s="110">
        <v>0</v>
      </c>
      <c r="N1667" s="110"/>
      <c r="O1667" s="110"/>
      <c r="P1667" s="110">
        <f t="shared" si="138"/>
        <v>0</v>
      </c>
      <c r="Q1667" s="110">
        <f t="shared" si="139"/>
        <v>0</v>
      </c>
      <c r="R1667" s="110">
        <f t="shared" si="140"/>
        <v>0</v>
      </c>
      <c r="S1667" s="112">
        <v>0</v>
      </c>
    </row>
    <row r="1668" spans="1:19">
      <c r="A1668" s="79"/>
      <c r="B1668" s="77" t="s">
        <v>402</v>
      </c>
      <c r="C1668" s="76" t="s">
        <v>4</v>
      </c>
      <c r="D1668" s="143">
        <v>1</v>
      </c>
      <c r="E1668" s="73"/>
      <c r="F1668" s="334"/>
      <c r="G1668" s="112">
        <v>0</v>
      </c>
      <c r="H1668" s="120">
        <v>0</v>
      </c>
      <c r="I1668" s="120">
        <v>0</v>
      </c>
      <c r="J1668" s="120">
        <v>0</v>
      </c>
      <c r="K1668" s="110">
        <v>0</v>
      </c>
      <c r="L1668" s="110"/>
      <c r="M1668" s="110">
        <v>0</v>
      </c>
      <c r="N1668" s="110"/>
      <c r="O1668" s="110"/>
      <c r="P1668" s="110">
        <f t="shared" si="138"/>
        <v>0</v>
      </c>
      <c r="Q1668" s="110">
        <f t="shared" si="139"/>
        <v>0</v>
      </c>
      <c r="R1668" s="110">
        <f t="shared" si="140"/>
        <v>0</v>
      </c>
      <c r="S1668" s="112">
        <v>0</v>
      </c>
    </row>
    <row r="1669" spans="1:19">
      <c r="A1669" s="79"/>
      <c r="B1669" s="77" t="s">
        <v>14</v>
      </c>
      <c r="C1669" s="76" t="s">
        <v>4</v>
      </c>
      <c r="D1669" s="143">
        <v>3</v>
      </c>
      <c r="E1669" s="50"/>
      <c r="F1669" s="334"/>
      <c r="G1669" s="112">
        <v>0</v>
      </c>
      <c r="H1669" s="120">
        <v>0</v>
      </c>
      <c r="I1669" s="120">
        <v>0</v>
      </c>
      <c r="J1669" s="120">
        <v>0</v>
      </c>
      <c r="K1669" s="110">
        <v>0</v>
      </c>
      <c r="L1669" s="110"/>
      <c r="M1669" s="110">
        <v>0</v>
      </c>
      <c r="N1669" s="110"/>
      <c r="O1669" s="110"/>
      <c r="P1669" s="110">
        <f t="shared" si="138"/>
        <v>0</v>
      </c>
      <c r="Q1669" s="110">
        <f t="shared" si="139"/>
        <v>0</v>
      </c>
      <c r="R1669" s="110">
        <f t="shared" si="140"/>
        <v>0</v>
      </c>
      <c r="S1669" s="112">
        <v>0</v>
      </c>
    </row>
    <row r="1670" spans="1:19">
      <c r="A1670" s="79"/>
      <c r="B1670" s="77" t="s">
        <v>153</v>
      </c>
      <c r="C1670" s="76" t="s">
        <v>4</v>
      </c>
      <c r="D1670" s="143">
        <v>3</v>
      </c>
      <c r="E1670" s="57"/>
      <c r="F1670" s="334"/>
      <c r="G1670" s="112">
        <v>0</v>
      </c>
      <c r="H1670" s="120">
        <v>0</v>
      </c>
      <c r="I1670" s="120">
        <v>0</v>
      </c>
      <c r="J1670" s="120">
        <v>0</v>
      </c>
      <c r="K1670" s="110">
        <v>0</v>
      </c>
      <c r="L1670" s="110"/>
      <c r="M1670" s="110">
        <v>0</v>
      </c>
      <c r="N1670" s="110"/>
      <c r="O1670" s="110"/>
      <c r="P1670" s="110">
        <f t="shared" si="138"/>
        <v>0</v>
      </c>
      <c r="Q1670" s="110">
        <f t="shared" si="139"/>
        <v>0</v>
      </c>
      <c r="R1670" s="110">
        <f t="shared" si="140"/>
        <v>0</v>
      </c>
      <c r="S1670" s="112">
        <v>0</v>
      </c>
    </row>
    <row r="1671" spans="1:19">
      <c r="A1671" s="79"/>
      <c r="B1671" s="77" t="s">
        <v>154</v>
      </c>
      <c r="C1671" s="76"/>
      <c r="D1671" s="143"/>
      <c r="E1671" s="50"/>
      <c r="F1671" s="50"/>
      <c r="G1671" s="112">
        <v>0</v>
      </c>
      <c r="H1671" s="120">
        <v>0</v>
      </c>
      <c r="I1671" s="120">
        <v>0</v>
      </c>
      <c r="J1671" s="120">
        <v>0</v>
      </c>
      <c r="K1671" s="110">
        <v>0</v>
      </c>
      <c r="L1671" s="110"/>
      <c r="M1671" s="110">
        <v>0</v>
      </c>
      <c r="N1671" s="110"/>
      <c r="O1671" s="110"/>
      <c r="P1671" s="110">
        <f t="shared" si="138"/>
        <v>0</v>
      </c>
      <c r="Q1671" s="110">
        <f t="shared" si="139"/>
        <v>0</v>
      </c>
      <c r="R1671" s="110">
        <f t="shared" si="140"/>
        <v>0</v>
      </c>
      <c r="S1671" s="112">
        <v>0</v>
      </c>
    </row>
    <row r="1672" spans="1:19">
      <c r="A1672" s="79"/>
      <c r="B1672" s="77" t="s">
        <v>155</v>
      </c>
      <c r="C1672" s="76" t="s">
        <v>4</v>
      </c>
      <c r="D1672" s="143">
        <v>1</v>
      </c>
      <c r="E1672" s="50"/>
      <c r="F1672" s="334"/>
      <c r="G1672" s="112">
        <v>0</v>
      </c>
      <c r="H1672" s="120">
        <v>0</v>
      </c>
      <c r="I1672" s="120">
        <v>0</v>
      </c>
      <c r="J1672" s="120">
        <v>0</v>
      </c>
      <c r="K1672" s="110">
        <v>0</v>
      </c>
      <c r="L1672" s="110"/>
      <c r="M1672" s="110">
        <v>0</v>
      </c>
      <c r="N1672" s="110"/>
      <c r="O1672" s="110"/>
      <c r="P1672" s="110">
        <f t="shared" si="138"/>
        <v>0</v>
      </c>
      <c r="Q1672" s="110">
        <f t="shared" si="139"/>
        <v>0</v>
      </c>
      <c r="R1672" s="110">
        <f t="shared" si="140"/>
        <v>0</v>
      </c>
      <c r="S1672" s="112">
        <v>0</v>
      </c>
    </row>
    <row r="1673" spans="1:19">
      <c r="A1673" s="79"/>
      <c r="B1673" s="77" t="s">
        <v>156</v>
      </c>
      <c r="C1673" s="76" t="s">
        <v>4</v>
      </c>
      <c r="D1673" s="143">
        <v>3</v>
      </c>
      <c r="E1673" s="50"/>
      <c r="F1673" s="334"/>
      <c r="G1673" s="112">
        <v>0</v>
      </c>
      <c r="H1673" s="120">
        <v>0</v>
      </c>
      <c r="I1673" s="120">
        <v>0</v>
      </c>
      <c r="J1673" s="120">
        <v>0</v>
      </c>
      <c r="K1673" s="110">
        <v>0</v>
      </c>
      <c r="L1673" s="110"/>
      <c r="M1673" s="110">
        <v>0</v>
      </c>
      <c r="N1673" s="110"/>
      <c r="O1673" s="110"/>
      <c r="P1673" s="110">
        <f t="shared" si="138"/>
        <v>0</v>
      </c>
      <c r="Q1673" s="110">
        <f t="shared" si="139"/>
        <v>0</v>
      </c>
      <c r="R1673" s="110">
        <f t="shared" si="140"/>
        <v>0</v>
      </c>
      <c r="S1673" s="112">
        <v>0</v>
      </c>
    </row>
    <row r="1674" spans="1:19">
      <c r="A1674" s="79"/>
      <c r="B1674" s="77" t="s">
        <v>157</v>
      </c>
      <c r="C1674" s="76" t="s">
        <v>4</v>
      </c>
      <c r="D1674" s="143">
        <v>15</v>
      </c>
      <c r="E1674" s="50"/>
      <c r="F1674" s="334"/>
      <c r="G1674" s="112">
        <v>0</v>
      </c>
      <c r="H1674" s="120">
        <v>0</v>
      </c>
      <c r="I1674" s="120">
        <v>0</v>
      </c>
      <c r="J1674" s="120">
        <v>0</v>
      </c>
      <c r="K1674" s="110">
        <v>0</v>
      </c>
      <c r="L1674" s="110"/>
      <c r="M1674" s="110">
        <v>0</v>
      </c>
      <c r="N1674" s="110"/>
      <c r="O1674" s="110"/>
      <c r="P1674" s="110">
        <f t="shared" si="138"/>
        <v>0</v>
      </c>
      <c r="Q1674" s="110">
        <f t="shared" si="139"/>
        <v>0</v>
      </c>
      <c r="R1674" s="110">
        <f t="shared" si="140"/>
        <v>0</v>
      </c>
      <c r="S1674" s="112">
        <v>0</v>
      </c>
    </row>
    <row r="1675" spans="1:19">
      <c r="A1675" s="79"/>
      <c r="B1675" s="77" t="s">
        <v>158</v>
      </c>
      <c r="C1675" s="76" t="s">
        <v>4</v>
      </c>
      <c r="D1675" s="143">
        <v>1</v>
      </c>
      <c r="E1675" s="74"/>
      <c r="F1675" s="334"/>
      <c r="G1675" s="112">
        <v>0</v>
      </c>
      <c r="H1675" s="120">
        <v>0</v>
      </c>
      <c r="I1675" s="120">
        <v>0</v>
      </c>
      <c r="J1675" s="120">
        <v>0</v>
      </c>
      <c r="K1675" s="110">
        <v>0</v>
      </c>
      <c r="L1675" s="110"/>
      <c r="M1675" s="110">
        <v>0</v>
      </c>
      <c r="N1675" s="110"/>
      <c r="O1675" s="110"/>
      <c r="P1675" s="110">
        <f t="shared" si="138"/>
        <v>0</v>
      </c>
      <c r="Q1675" s="110">
        <f t="shared" si="139"/>
        <v>0</v>
      </c>
      <c r="R1675" s="110">
        <f t="shared" si="140"/>
        <v>0</v>
      </c>
      <c r="S1675" s="112">
        <v>0</v>
      </c>
    </row>
    <row r="1676" spans="1:19">
      <c r="A1676" s="79"/>
      <c r="B1676" s="77" t="s">
        <v>159</v>
      </c>
      <c r="C1676" s="76"/>
      <c r="D1676" s="143"/>
      <c r="E1676" s="74"/>
      <c r="F1676" s="74"/>
      <c r="G1676" s="112">
        <v>0</v>
      </c>
      <c r="H1676" s="120">
        <v>0</v>
      </c>
      <c r="I1676" s="120">
        <v>0</v>
      </c>
      <c r="J1676" s="120">
        <v>0</v>
      </c>
      <c r="K1676" s="110">
        <v>0</v>
      </c>
      <c r="L1676" s="110"/>
      <c r="M1676" s="110">
        <v>0</v>
      </c>
      <c r="N1676" s="110"/>
      <c r="O1676" s="110"/>
      <c r="P1676" s="110">
        <f t="shared" si="138"/>
        <v>0</v>
      </c>
      <c r="Q1676" s="110">
        <f t="shared" si="139"/>
        <v>0</v>
      </c>
      <c r="R1676" s="110">
        <f t="shared" si="140"/>
        <v>0</v>
      </c>
      <c r="S1676" s="112">
        <v>0</v>
      </c>
    </row>
    <row r="1677" spans="1:19">
      <c r="A1677" s="79"/>
      <c r="B1677" s="77" t="s">
        <v>160</v>
      </c>
      <c r="C1677" s="76" t="s">
        <v>4</v>
      </c>
      <c r="D1677" s="143">
        <v>37</v>
      </c>
      <c r="E1677" s="74"/>
      <c r="F1677" s="334"/>
      <c r="G1677" s="112">
        <v>0</v>
      </c>
      <c r="H1677" s="120">
        <v>0</v>
      </c>
      <c r="I1677" s="120">
        <v>0</v>
      </c>
      <c r="J1677" s="120">
        <v>0</v>
      </c>
      <c r="K1677" s="110">
        <v>0</v>
      </c>
      <c r="L1677" s="110"/>
      <c r="M1677" s="110">
        <v>0</v>
      </c>
      <c r="N1677" s="110"/>
      <c r="O1677" s="110"/>
      <c r="P1677" s="110">
        <f t="shared" si="138"/>
        <v>0</v>
      </c>
      <c r="Q1677" s="110">
        <f t="shared" si="139"/>
        <v>0</v>
      </c>
      <c r="R1677" s="110">
        <f t="shared" si="140"/>
        <v>0</v>
      </c>
      <c r="S1677" s="112">
        <v>0</v>
      </c>
    </row>
    <row r="1678" spans="1:19">
      <c r="A1678" s="79"/>
      <c r="B1678" s="77" t="s">
        <v>161</v>
      </c>
      <c r="C1678" s="76" t="s">
        <v>4</v>
      </c>
      <c r="D1678" s="143">
        <v>1</v>
      </c>
      <c r="E1678" s="74"/>
      <c r="F1678" s="334"/>
      <c r="G1678" s="112">
        <v>0</v>
      </c>
      <c r="H1678" s="120">
        <v>0</v>
      </c>
      <c r="I1678" s="120">
        <v>0</v>
      </c>
      <c r="J1678" s="120">
        <v>0</v>
      </c>
      <c r="K1678" s="110">
        <v>0</v>
      </c>
      <c r="L1678" s="110"/>
      <c r="M1678" s="110">
        <v>0</v>
      </c>
      <c r="N1678" s="110"/>
      <c r="O1678" s="110"/>
      <c r="P1678" s="110">
        <f t="shared" si="138"/>
        <v>0</v>
      </c>
      <c r="Q1678" s="110">
        <f t="shared" si="139"/>
        <v>0</v>
      </c>
      <c r="R1678" s="110">
        <f t="shared" si="140"/>
        <v>0</v>
      </c>
      <c r="S1678" s="112">
        <v>0</v>
      </c>
    </row>
    <row r="1679" spans="1:19">
      <c r="A1679" s="79"/>
      <c r="B1679" s="77" t="s">
        <v>162</v>
      </c>
      <c r="C1679" s="76" t="s">
        <v>17</v>
      </c>
      <c r="D1679" s="143">
        <v>1</v>
      </c>
      <c r="E1679" s="74"/>
      <c r="F1679" s="334"/>
      <c r="G1679" s="112">
        <v>0</v>
      </c>
      <c r="H1679" s="120">
        <v>0</v>
      </c>
      <c r="I1679" s="120">
        <v>0</v>
      </c>
      <c r="J1679" s="120">
        <v>0</v>
      </c>
      <c r="K1679" s="110">
        <v>0</v>
      </c>
      <c r="L1679" s="110"/>
      <c r="M1679" s="110">
        <v>0</v>
      </c>
      <c r="N1679" s="110"/>
      <c r="O1679" s="110"/>
      <c r="P1679" s="110">
        <f t="shared" si="138"/>
        <v>0</v>
      </c>
      <c r="Q1679" s="110">
        <f t="shared" si="139"/>
        <v>0</v>
      </c>
      <c r="R1679" s="110">
        <f t="shared" si="140"/>
        <v>0</v>
      </c>
      <c r="S1679" s="112">
        <v>0</v>
      </c>
    </row>
    <row r="1680" spans="1:19">
      <c r="A1680" s="79"/>
      <c r="B1680" s="77" t="s">
        <v>163</v>
      </c>
      <c r="C1680" s="76" t="s">
        <v>4</v>
      </c>
      <c r="D1680" s="143">
        <v>1</v>
      </c>
      <c r="E1680" s="74"/>
      <c r="F1680" s="334"/>
      <c r="G1680" s="112">
        <v>0</v>
      </c>
      <c r="H1680" s="120">
        <v>0</v>
      </c>
      <c r="I1680" s="120">
        <v>0</v>
      </c>
      <c r="J1680" s="120">
        <v>0</v>
      </c>
      <c r="K1680" s="110">
        <v>0</v>
      </c>
      <c r="L1680" s="110"/>
      <c r="M1680" s="110">
        <v>0</v>
      </c>
      <c r="N1680" s="110"/>
      <c r="O1680" s="110"/>
      <c r="P1680" s="110">
        <f t="shared" si="138"/>
        <v>0</v>
      </c>
      <c r="Q1680" s="110">
        <f t="shared" si="139"/>
        <v>0</v>
      </c>
      <c r="R1680" s="110">
        <f t="shared" si="140"/>
        <v>0</v>
      </c>
      <c r="S1680" s="112">
        <v>0</v>
      </c>
    </row>
    <row r="1681" spans="1:19" ht="30">
      <c r="A1681" s="79"/>
      <c r="B1681" s="77" t="s">
        <v>189</v>
      </c>
      <c r="C1681" s="76" t="s">
        <v>8</v>
      </c>
      <c r="D1681" s="143">
        <v>1</v>
      </c>
      <c r="E1681" s="73"/>
      <c r="F1681" s="334"/>
      <c r="G1681" s="112">
        <v>0</v>
      </c>
      <c r="H1681" s="120">
        <v>0</v>
      </c>
      <c r="I1681" s="120">
        <v>0</v>
      </c>
      <c r="J1681" s="120">
        <v>0</v>
      </c>
      <c r="K1681" s="110">
        <v>0</v>
      </c>
      <c r="L1681" s="110"/>
      <c r="M1681" s="110">
        <v>0</v>
      </c>
      <c r="N1681" s="110"/>
      <c r="O1681" s="110"/>
      <c r="P1681" s="110">
        <f t="shared" si="138"/>
        <v>0</v>
      </c>
      <c r="Q1681" s="110">
        <f t="shared" si="139"/>
        <v>0</v>
      </c>
      <c r="R1681" s="110">
        <f t="shared" si="140"/>
        <v>0</v>
      </c>
      <c r="S1681" s="112">
        <v>0</v>
      </c>
    </row>
    <row r="1682" spans="1:19" ht="45">
      <c r="A1682" s="79"/>
      <c r="B1682" s="77" t="s">
        <v>166</v>
      </c>
      <c r="C1682" s="76" t="s">
        <v>17</v>
      </c>
      <c r="D1682" s="143">
        <v>1</v>
      </c>
      <c r="E1682" s="74"/>
      <c r="F1682" s="334"/>
      <c r="G1682" s="112">
        <v>0</v>
      </c>
      <c r="H1682" s="120">
        <v>0</v>
      </c>
      <c r="I1682" s="120">
        <v>0</v>
      </c>
      <c r="J1682" s="120">
        <v>0</v>
      </c>
      <c r="K1682" s="110">
        <v>0</v>
      </c>
      <c r="L1682" s="110"/>
      <c r="M1682" s="110">
        <v>0</v>
      </c>
      <c r="N1682" s="110"/>
      <c r="O1682" s="110"/>
      <c r="P1682" s="110">
        <f t="shared" si="138"/>
        <v>0</v>
      </c>
      <c r="Q1682" s="110">
        <f t="shared" si="139"/>
        <v>0</v>
      </c>
      <c r="R1682" s="110">
        <f t="shared" si="140"/>
        <v>0</v>
      </c>
      <c r="S1682" s="112">
        <v>0</v>
      </c>
    </row>
    <row r="1683" spans="1:19" ht="60">
      <c r="A1683" s="79">
        <v>61</v>
      </c>
      <c r="B1683" s="77" t="s">
        <v>403</v>
      </c>
      <c r="C1683" s="76" t="s">
        <v>6</v>
      </c>
      <c r="D1683" s="143">
        <v>1</v>
      </c>
      <c r="E1683" s="74"/>
      <c r="F1683" s="334">
        <v>1</v>
      </c>
      <c r="G1683" s="112" t="s">
        <v>403</v>
      </c>
      <c r="H1683" s="120" t="s">
        <v>1076</v>
      </c>
      <c r="I1683" s="120" t="s">
        <v>828</v>
      </c>
      <c r="J1683" s="120" t="s">
        <v>829</v>
      </c>
      <c r="K1683" s="110">
        <v>15480400</v>
      </c>
      <c r="L1683" s="110"/>
      <c r="M1683" s="110">
        <v>2821000</v>
      </c>
      <c r="N1683" s="110"/>
      <c r="O1683" s="110"/>
      <c r="P1683" s="110">
        <f t="shared" si="138"/>
        <v>18301400</v>
      </c>
      <c r="Q1683" s="110">
        <f t="shared" si="139"/>
        <v>18301400</v>
      </c>
      <c r="R1683" s="110">
        <f t="shared" si="140"/>
        <v>18301400</v>
      </c>
      <c r="S1683" s="112" t="s">
        <v>4094</v>
      </c>
    </row>
    <row r="1684" spans="1:19" ht="45">
      <c r="A1684" s="79"/>
      <c r="B1684" s="77" t="s">
        <v>404</v>
      </c>
      <c r="C1684" s="76" t="s">
        <v>4</v>
      </c>
      <c r="D1684" s="143">
        <v>1</v>
      </c>
      <c r="E1684" s="74"/>
      <c r="F1684" s="334"/>
      <c r="G1684" s="112">
        <v>0</v>
      </c>
      <c r="H1684" s="120">
        <v>0</v>
      </c>
      <c r="I1684" s="120">
        <v>0</v>
      </c>
      <c r="J1684" s="120">
        <v>0</v>
      </c>
      <c r="K1684" s="110">
        <v>0</v>
      </c>
      <c r="L1684" s="110"/>
      <c r="M1684" s="110">
        <v>0</v>
      </c>
      <c r="N1684" s="110"/>
      <c r="O1684" s="110"/>
      <c r="P1684" s="110">
        <f t="shared" si="138"/>
        <v>0</v>
      </c>
      <c r="Q1684" s="110">
        <f t="shared" si="139"/>
        <v>0</v>
      </c>
      <c r="R1684" s="110">
        <f t="shared" si="140"/>
        <v>0</v>
      </c>
      <c r="S1684" s="112" t="s">
        <v>150</v>
      </c>
    </row>
    <row r="1685" spans="1:19">
      <c r="A1685" s="79"/>
      <c r="B1685" s="77" t="s">
        <v>151</v>
      </c>
      <c r="C1685" s="76"/>
      <c r="D1685" s="143"/>
      <c r="E1685" s="74"/>
      <c r="F1685" s="74"/>
      <c r="G1685" s="112">
        <v>0</v>
      </c>
      <c r="H1685" s="120">
        <v>0</v>
      </c>
      <c r="I1685" s="120">
        <v>0</v>
      </c>
      <c r="J1685" s="120">
        <v>0</v>
      </c>
      <c r="K1685" s="110">
        <v>0</v>
      </c>
      <c r="L1685" s="110"/>
      <c r="M1685" s="110">
        <v>0</v>
      </c>
      <c r="N1685" s="110"/>
      <c r="O1685" s="110"/>
      <c r="P1685" s="110">
        <f t="shared" si="138"/>
        <v>0</v>
      </c>
      <c r="Q1685" s="110">
        <f t="shared" si="139"/>
        <v>0</v>
      </c>
      <c r="R1685" s="110">
        <f t="shared" si="140"/>
        <v>0</v>
      </c>
      <c r="S1685" s="112">
        <v>0</v>
      </c>
    </row>
    <row r="1686" spans="1:19">
      <c r="A1686" s="79"/>
      <c r="B1686" s="77" t="s">
        <v>347</v>
      </c>
      <c r="C1686" s="76" t="s">
        <v>4</v>
      </c>
      <c r="D1686" s="143">
        <v>1</v>
      </c>
      <c r="E1686" s="75"/>
      <c r="F1686" s="334"/>
      <c r="G1686" s="112">
        <v>0</v>
      </c>
      <c r="H1686" s="120">
        <v>0</v>
      </c>
      <c r="I1686" s="120">
        <v>0</v>
      </c>
      <c r="J1686" s="120">
        <v>0</v>
      </c>
      <c r="K1686" s="110">
        <v>0</v>
      </c>
      <c r="L1686" s="110"/>
      <c r="M1686" s="110">
        <v>0</v>
      </c>
      <c r="N1686" s="110"/>
      <c r="O1686" s="110"/>
      <c r="P1686" s="110">
        <f t="shared" si="138"/>
        <v>0</v>
      </c>
      <c r="Q1686" s="110">
        <f t="shared" si="139"/>
        <v>0</v>
      </c>
      <c r="R1686" s="110">
        <f t="shared" si="140"/>
        <v>0</v>
      </c>
      <c r="S1686" s="112">
        <v>0</v>
      </c>
    </row>
    <row r="1687" spans="1:19">
      <c r="A1687" s="79"/>
      <c r="B1687" s="77" t="s">
        <v>14</v>
      </c>
      <c r="C1687" s="76" t="s">
        <v>4</v>
      </c>
      <c r="D1687" s="143">
        <v>3</v>
      </c>
      <c r="E1687" s="73"/>
      <c r="F1687" s="334"/>
      <c r="G1687" s="112">
        <v>0</v>
      </c>
      <c r="H1687" s="120">
        <v>0</v>
      </c>
      <c r="I1687" s="120">
        <v>0</v>
      </c>
      <c r="J1687" s="120">
        <v>0</v>
      </c>
      <c r="K1687" s="110">
        <v>0</v>
      </c>
      <c r="L1687" s="110"/>
      <c r="M1687" s="110">
        <v>0</v>
      </c>
      <c r="N1687" s="110"/>
      <c r="O1687" s="110"/>
      <c r="P1687" s="110">
        <f t="shared" si="138"/>
        <v>0</v>
      </c>
      <c r="Q1687" s="110">
        <f t="shared" si="139"/>
        <v>0</v>
      </c>
      <c r="R1687" s="110">
        <f t="shared" si="140"/>
        <v>0</v>
      </c>
      <c r="S1687" s="112">
        <v>0</v>
      </c>
    </row>
    <row r="1688" spans="1:19">
      <c r="A1688" s="79"/>
      <c r="B1688" s="77" t="s">
        <v>153</v>
      </c>
      <c r="C1688" s="76" t="s">
        <v>4</v>
      </c>
      <c r="D1688" s="143">
        <v>3</v>
      </c>
      <c r="E1688" s="50"/>
      <c r="F1688" s="334"/>
      <c r="G1688" s="112">
        <v>0</v>
      </c>
      <c r="H1688" s="120">
        <v>0</v>
      </c>
      <c r="I1688" s="120">
        <v>0</v>
      </c>
      <c r="J1688" s="120">
        <v>0</v>
      </c>
      <c r="K1688" s="110">
        <v>0</v>
      </c>
      <c r="L1688" s="110"/>
      <c r="M1688" s="110">
        <v>0</v>
      </c>
      <c r="N1688" s="110"/>
      <c r="O1688" s="110"/>
      <c r="P1688" s="110">
        <f t="shared" si="138"/>
        <v>0</v>
      </c>
      <c r="Q1688" s="110">
        <f t="shared" si="139"/>
        <v>0</v>
      </c>
      <c r="R1688" s="110">
        <f t="shared" si="140"/>
        <v>0</v>
      </c>
      <c r="S1688" s="112">
        <v>0</v>
      </c>
    </row>
    <row r="1689" spans="1:19">
      <c r="A1689" s="79"/>
      <c r="B1689" s="77" t="s">
        <v>154</v>
      </c>
      <c r="C1689" s="76"/>
      <c r="D1689" s="143"/>
      <c r="E1689" s="57"/>
      <c r="F1689" s="57"/>
      <c r="G1689" s="112">
        <v>0</v>
      </c>
      <c r="H1689" s="120">
        <v>0</v>
      </c>
      <c r="I1689" s="120">
        <v>0</v>
      </c>
      <c r="J1689" s="120">
        <v>0</v>
      </c>
      <c r="K1689" s="110">
        <v>0</v>
      </c>
      <c r="L1689" s="110"/>
      <c r="M1689" s="110">
        <v>0</v>
      </c>
      <c r="N1689" s="110"/>
      <c r="O1689" s="110"/>
      <c r="P1689" s="110">
        <f t="shared" si="138"/>
        <v>0</v>
      </c>
      <c r="Q1689" s="110">
        <f t="shared" si="139"/>
        <v>0</v>
      </c>
      <c r="R1689" s="110">
        <f t="shared" si="140"/>
        <v>0</v>
      </c>
      <c r="S1689" s="112">
        <v>0</v>
      </c>
    </row>
    <row r="1690" spans="1:19">
      <c r="A1690" s="79"/>
      <c r="B1690" s="77" t="s">
        <v>155</v>
      </c>
      <c r="C1690" s="76" t="s">
        <v>4</v>
      </c>
      <c r="D1690" s="143">
        <v>1</v>
      </c>
      <c r="E1690" s="50"/>
      <c r="F1690" s="334"/>
      <c r="G1690" s="112">
        <v>0</v>
      </c>
      <c r="H1690" s="120">
        <v>0</v>
      </c>
      <c r="I1690" s="120">
        <v>0</v>
      </c>
      <c r="J1690" s="120">
        <v>0</v>
      </c>
      <c r="K1690" s="110">
        <v>0</v>
      </c>
      <c r="L1690" s="110"/>
      <c r="M1690" s="110">
        <v>0</v>
      </c>
      <c r="N1690" s="110"/>
      <c r="O1690" s="110"/>
      <c r="P1690" s="110">
        <f t="shared" si="138"/>
        <v>0</v>
      </c>
      <c r="Q1690" s="110">
        <f t="shared" si="139"/>
        <v>0</v>
      </c>
      <c r="R1690" s="110">
        <f t="shared" si="140"/>
        <v>0</v>
      </c>
      <c r="S1690" s="112">
        <v>0</v>
      </c>
    </row>
    <row r="1691" spans="1:19">
      <c r="A1691" s="79"/>
      <c r="B1691" s="77" t="s">
        <v>321</v>
      </c>
      <c r="C1691" s="76" t="s">
        <v>4</v>
      </c>
      <c r="D1691" s="143">
        <v>1</v>
      </c>
      <c r="E1691" s="50"/>
      <c r="F1691" s="334"/>
      <c r="G1691" s="112">
        <v>0</v>
      </c>
      <c r="H1691" s="120">
        <v>0</v>
      </c>
      <c r="I1691" s="120">
        <v>0</v>
      </c>
      <c r="J1691" s="120">
        <v>0</v>
      </c>
      <c r="K1691" s="110">
        <v>0</v>
      </c>
      <c r="L1691" s="110"/>
      <c r="M1691" s="110">
        <v>0</v>
      </c>
      <c r="N1691" s="110"/>
      <c r="O1691" s="110"/>
      <c r="P1691" s="110">
        <f t="shared" si="138"/>
        <v>0</v>
      </c>
      <c r="Q1691" s="110">
        <f t="shared" si="139"/>
        <v>0</v>
      </c>
      <c r="R1691" s="110">
        <f t="shared" si="140"/>
        <v>0</v>
      </c>
      <c r="S1691" s="112">
        <v>0</v>
      </c>
    </row>
    <row r="1692" spans="1:19">
      <c r="A1692" s="79"/>
      <c r="B1692" s="77" t="s">
        <v>405</v>
      </c>
      <c r="C1692" s="76" t="s">
        <v>4</v>
      </c>
      <c r="D1692" s="143">
        <v>1</v>
      </c>
      <c r="E1692" s="50"/>
      <c r="F1692" s="334"/>
      <c r="G1692" s="112">
        <v>0</v>
      </c>
      <c r="H1692" s="120">
        <v>0</v>
      </c>
      <c r="I1692" s="120">
        <v>0</v>
      </c>
      <c r="J1692" s="120">
        <v>0</v>
      </c>
      <c r="K1692" s="110">
        <v>0</v>
      </c>
      <c r="L1692" s="110"/>
      <c r="M1692" s="110">
        <v>0</v>
      </c>
      <c r="N1692" s="110"/>
      <c r="O1692" s="110"/>
      <c r="P1692" s="110">
        <f t="shared" si="138"/>
        <v>0</v>
      </c>
      <c r="Q1692" s="110">
        <f t="shared" si="139"/>
        <v>0</v>
      </c>
      <c r="R1692" s="110">
        <f t="shared" si="140"/>
        <v>0</v>
      </c>
      <c r="S1692" s="112">
        <v>0</v>
      </c>
    </row>
    <row r="1693" spans="1:19">
      <c r="A1693" s="79"/>
      <c r="B1693" s="77" t="s">
        <v>406</v>
      </c>
      <c r="C1693" s="76" t="s">
        <v>4</v>
      </c>
      <c r="D1693" s="143">
        <v>1</v>
      </c>
      <c r="E1693" s="50"/>
      <c r="F1693" s="334"/>
      <c r="G1693" s="112">
        <v>0</v>
      </c>
      <c r="H1693" s="120">
        <v>0</v>
      </c>
      <c r="I1693" s="120">
        <v>0</v>
      </c>
      <c r="J1693" s="120">
        <v>0</v>
      </c>
      <c r="K1693" s="110">
        <v>0</v>
      </c>
      <c r="L1693" s="110"/>
      <c r="M1693" s="110">
        <v>0</v>
      </c>
      <c r="N1693" s="110"/>
      <c r="O1693" s="110"/>
      <c r="P1693" s="110">
        <f t="shared" si="138"/>
        <v>0</v>
      </c>
      <c r="Q1693" s="110">
        <f t="shared" si="139"/>
        <v>0</v>
      </c>
      <c r="R1693" s="110">
        <f t="shared" si="140"/>
        <v>0</v>
      </c>
      <c r="S1693" s="112">
        <v>0</v>
      </c>
    </row>
    <row r="1694" spans="1:19">
      <c r="A1694" s="79"/>
      <c r="B1694" s="77" t="s">
        <v>407</v>
      </c>
      <c r="C1694" s="76" t="s">
        <v>4</v>
      </c>
      <c r="D1694" s="143">
        <v>1</v>
      </c>
      <c r="E1694" s="74"/>
      <c r="F1694" s="334"/>
      <c r="G1694" s="112">
        <v>0</v>
      </c>
      <c r="H1694" s="120">
        <v>0</v>
      </c>
      <c r="I1694" s="120">
        <v>0</v>
      </c>
      <c r="J1694" s="120">
        <v>0</v>
      </c>
      <c r="K1694" s="110">
        <v>0</v>
      </c>
      <c r="L1694" s="110"/>
      <c r="M1694" s="110">
        <v>0</v>
      </c>
      <c r="N1694" s="110"/>
      <c r="O1694" s="110"/>
      <c r="P1694" s="110">
        <f t="shared" si="138"/>
        <v>0</v>
      </c>
      <c r="Q1694" s="110">
        <f t="shared" si="139"/>
        <v>0</v>
      </c>
      <c r="R1694" s="110">
        <f t="shared" si="140"/>
        <v>0</v>
      </c>
      <c r="S1694" s="112">
        <v>0</v>
      </c>
    </row>
    <row r="1695" spans="1:19">
      <c r="A1695" s="79"/>
      <c r="B1695" s="77" t="s">
        <v>156</v>
      </c>
      <c r="C1695" s="76" t="s">
        <v>4</v>
      </c>
      <c r="D1695" s="143">
        <v>2</v>
      </c>
      <c r="E1695" s="74"/>
      <c r="F1695" s="334"/>
      <c r="G1695" s="112">
        <v>0</v>
      </c>
      <c r="H1695" s="120">
        <v>0</v>
      </c>
      <c r="I1695" s="120">
        <v>0</v>
      </c>
      <c r="J1695" s="120">
        <v>0</v>
      </c>
      <c r="K1695" s="110">
        <v>0</v>
      </c>
      <c r="L1695" s="110"/>
      <c r="M1695" s="110">
        <v>0</v>
      </c>
      <c r="N1695" s="110"/>
      <c r="O1695" s="110"/>
      <c r="P1695" s="110">
        <f t="shared" si="138"/>
        <v>0</v>
      </c>
      <c r="Q1695" s="110">
        <f t="shared" si="139"/>
        <v>0</v>
      </c>
      <c r="R1695" s="110">
        <f t="shared" si="140"/>
        <v>0</v>
      </c>
      <c r="S1695" s="112">
        <v>0</v>
      </c>
    </row>
    <row r="1696" spans="1:19">
      <c r="A1696" s="79"/>
      <c r="B1696" s="77" t="s">
        <v>157</v>
      </c>
      <c r="C1696" s="76" t="s">
        <v>4</v>
      </c>
      <c r="D1696" s="143">
        <v>4</v>
      </c>
      <c r="E1696" s="74"/>
      <c r="F1696" s="334"/>
      <c r="G1696" s="112">
        <v>0</v>
      </c>
      <c r="H1696" s="120">
        <v>0</v>
      </c>
      <c r="I1696" s="120">
        <v>0</v>
      </c>
      <c r="J1696" s="120">
        <v>0</v>
      </c>
      <c r="K1696" s="110">
        <v>0</v>
      </c>
      <c r="L1696" s="110"/>
      <c r="M1696" s="110">
        <v>0</v>
      </c>
      <c r="N1696" s="110"/>
      <c r="O1696" s="110"/>
      <c r="P1696" s="110">
        <f t="shared" si="138"/>
        <v>0</v>
      </c>
      <c r="Q1696" s="110">
        <f t="shared" si="139"/>
        <v>0</v>
      </c>
      <c r="R1696" s="110">
        <f t="shared" si="140"/>
        <v>0</v>
      </c>
      <c r="S1696" s="112">
        <v>0</v>
      </c>
    </row>
    <row r="1697" spans="1:19">
      <c r="A1697" s="79"/>
      <c r="B1697" s="77" t="s">
        <v>158</v>
      </c>
      <c r="C1697" s="76" t="s">
        <v>4</v>
      </c>
      <c r="D1697" s="143">
        <v>1</v>
      </c>
      <c r="E1697" s="74"/>
      <c r="F1697" s="334"/>
      <c r="G1697" s="112">
        <v>0</v>
      </c>
      <c r="H1697" s="120">
        <v>0</v>
      </c>
      <c r="I1697" s="120">
        <v>0</v>
      </c>
      <c r="J1697" s="120">
        <v>0</v>
      </c>
      <c r="K1697" s="110">
        <v>0</v>
      </c>
      <c r="L1697" s="110"/>
      <c r="M1697" s="110">
        <v>0</v>
      </c>
      <c r="N1697" s="110"/>
      <c r="O1697" s="110"/>
      <c r="P1697" s="110">
        <f t="shared" si="138"/>
        <v>0</v>
      </c>
      <c r="Q1697" s="110">
        <f t="shared" si="139"/>
        <v>0</v>
      </c>
      <c r="R1697" s="110">
        <f t="shared" si="140"/>
        <v>0</v>
      </c>
      <c r="S1697" s="112">
        <v>0</v>
      </c>
    </row>
    <row r="1698" spans="1:19">
      <c r="A1698" s="79"/>
      <c r="B1698" s="77" t="s">
        <v>159</v>
      </c>
      <c r="C1698" s="76"/>
      <c r="D1698" s="143"/>
      <c r="E1698" s="74"/>
      <c r="F1698" s="74"/>
      <c r="G1698" s="112">
        <v>0</v>
      </c>
      <c r="H1698" s="120">
        <v>0</v>
      </c>
      <c r="I1698" s="120">
        <v>0</v>
      </c>
      <c r="J1698" s="120">
        <v>0</v>
      </c>
      <c r="K1698" s="110">
        <v>0</v>
      </c>
      <c r="L1698" s="110"/>
      <c r="M1698" s="110">
        <v>0</v>
      </c>
      <c r="N1698" s="110"/>
      <c r="O1698" s="110"/>
      <c r="P1698" s="110">
        <f t="shared" si="138"/>
        <v>0</v>
      </c>
      <c r="Q1698" s="110">
        <f t="shared" si="139"/>
        <v>0</v>
      </c>
      <c r="R1698" s="110">
        <f t="shared" si="140"/>
        <v>0</v>
      </c>
      <c r="S1698" s="112">
        <v>0</v>
      </c>
    </row>
    <row r="1699" spans="1:19">
      <c r="A1699" s="79"/>
      <c r="B1699" s="77" t="s">
        <v>308</v>
      </c>
      <c r="C1699" s="76" t="s">
        <v>4</v>
      </c>
      <c r="D1699" s="143">
        <v>1</v>
      </c>
      <c r="E1699" s="73"/>
      <c r="F1699" s="334"/>
      <c r="G1699" s="112">
        <v>0</v>
      </c>
      <c r="H1699" s="120">
        <v>0</v>
      </c>
      <c r="I1699" s="120">
        <v>0</v>
      </c>
      <c r="J1699" s="120">
        <v>0</v>
      </c>
      <c r="K1699" s="110">
        <v>0</v>
      </c>
      <c r="L1699" s="110"/>
      <c r="M1699" s="110">
        <v>0</v>
      </c>
      <c r="N1699" s="110"/>
      <c r="O1699" s="110"/>
      <c r="P1699" s="110">
        <f t="shared" si="138"/>
        <v>0</v>
      </c>
      <c r="Q1699" s="110">
        <f t="shared" si="139"/>
        <v>0</v>
      </c>
      <c r="R1699" s="110">
        <f t="shared" si="140"/>
        <v>0</v>
      </c>
      <c r="S1699" s="112">
        <v>0</v>
      </c>
    </row>
    <row r="1700" spans="1:19">
      <c r="A1700" s="79"/>
      <c r="B1700" s="77" t="s">
        <v>161</v>
      </c>
      <c r="C1700" s="76" t="s">
        <v>4</v>
      </c>
      <c r="D1700" s="143">
        <v>1</v>
      </c>
      <c r="E1700" s="74"/>
      <c r="F1700" s="334"/>
      <c r="G1700" s="112">
        <v>0</v>
      </c>
      <c r="H1700" s="120">
        <v>0</v>
      </c>
      <c r="I1700" s="120">
        <v>0</v>
      </c>
      <c r="J1700" s="120">
        <v>0</v>
      </c>
      <c r="K1700" s="110">
        <v>0</v>
      </c>
      <c r="L1700" s="110"/>
      <c r="M1700" s="110">
        <v>0</v>
      </c>
      <c r="N1700" s="110"/>
      <c r="O1700" s="110"/>
      <c r="P1700" s="110">
        <f t="shared" si="138"/>
        <v>0</v>
      </c>
      <c r="Q1700" s="110">
        <f t="shared" si="139"/>
        <v>0</v>
      </c>
      <c r="R1700" s="110">
        <f t="shared" si="140"/>
        <v>0</v>
      </c>
      <c r="S1700" s="112">
        <v>0</v>
      </c>
    </row>
    <row r="1701" spans="1:19">
      <c r="A1701" s="79"/>
      <c r="B1701" s="77" t="s">
        <v>162</v>
      </c>
      <c r="C1701" s="76" t="s">
        <v>17</v>
      </c>
      <c r="D1701" s="143">
        <v>1</v>
      </c>
      <c r="E1701" s="74"/>
      <c r="F1701" s="334"/>
      <c r="G1701" s="112">
        <v>0</v>
      </c>
      <c r="H1701" s="120">
        <v>0</v>
      </c>
      <c r="I1701" s="120">
        <v>0</v>
      </c>
      <c r="J1701" s="120">
        <v>0</v>
      </c>
      <c r="K1701" s="110">
        <v>0</v>
      </c>
      <c r="L1701" s="110"/>
      <c r="M1701" s="110">
        <v>0</v>
      </c>
      <c r="N1701" s="110"/>
      <c r="O1701" s="110"/>
      <c r="P1701" s="110">
        <f t="shared" si="138"/>
        <v>0</v>
      </c>
      <c r="Q1701" s="110">
        <f t="shared" si="139"/>
        <v>0</v>
      </c>
      <c r="R1701" s="110">
        <f t="shared" si="140"/>
        <v>0</v>
      </c>
      <c r="S1701" s="112">
        <v>0</v>
      </c>
    </row>
    <row r="1702" spans="1:19">
      <c r="A1702" s="79"/>
      <c r="B1702" s="77" t="s">
        <v>163</v>
      </c>
      <c r="C1702" s="76" t="s">
        <v>4</v>
      </c>
      <c r="D1702" s="143">
        <v>1</v>
      </c>
      <c r="E1702" s="74"/>
      <c r="F1702" s="334"/>
      <c r="G1702" s="112">
        <v>0</v>
      </c>
      <c r="H1702" s="120">
        <v>0</v>
      </c>
      <c r="I1702" s="120">
        <v>0</v>
      </c>
      <c r="J1702" s="120">
        <v>0</v>
      </c>
      <c r="K1702" s="110">
        <v>0</v>
      </c>
      <c r="L1702" s="110"/>
      <c r="M1702" s="110">
        <v>0</v>
      </c>
      <c r="N1702" s="110"/>
      <c r="O1702" s="110"/>
      <c r="P1702" s="110">
        <f t="shared" si="138"/>
        <v>0</v>
      </c>
      <c r="Q1702" s="110">
        <f t="shared" si="139"/>
        <v>0</v>
      </c>
      <c r="R1702" s="110">
        <f t="shared" si="140"/>
        <v>0</v>
      </c>
      <c r="S1702" s="112">
        <v>0</v>
      </c>
    </row>
    <row r="1703" spans="1:19" ht="30">
      <c r="A1703" s="79"/>
      <c r="B1703" s="77" t="s">
        <v>288</v>
      </c>
      <c r="C1703" s="76" t="s">
        <v>8</v>
      </c>
      <c r="D1703" s="143">
        <v>1</v>
      </c>
      <c r="E1703" s="74"/>
      <c r="F1703" s="334"/>
      <c r="G1703" s="112">
        <v>0</v>
      </c>
      <c r="H1703" s="120">
        <v>0</v>
      </c>
      <c r="I1703" s="120">
        <v>0</v>
      </c>
      <c r="J1703" s="120">
        <v>0</v>
      </c>
      <c r="K1703" s="110">
        <v>0</v>
      </c>
      <c r="L1703" s="110"/>
      <c r="M1703" s="110">
        <v>0</v>
      </c>
      <c r="N1703" s="110"/>
      <c r="O1703" s="110"/>
      <c r="P1703" s="110">
        <f t="shared" si="138"/>
        <v>0</v>
      </c>
      <c r="Q1703" s="110">
        <f t="shared" si="139"/>
        <v>0</v>
      </c>
      <c r="R1703" s="110">
        <f t="shared" si="140"/>
        <v>0</v>
      </c>
      <c r="S1703" s="112">
        <v>0</v>
      </c>
    </row>
    <row r="1704" spans="1:19">
      <c r="A1704" s="79"/>
      <c r="B1704" s="77" t="s">
        <v>165</v>
      </c>
      <c r="C1704" s="76" t="s">
        <v>8</v>
      </c>
      <c r="D1704" s="143">
        <v>1</v>
      </c>
      <c r="E1704" s="74"/>
      <c r="F1704" s="334"/>
      <c r="G1704" s="112">
        <v>0</v>
      </c>
      <c r="H1704" s="120">
        <v>0</v>
      </c>
      <c r="I1704" s="120">
        <v>0</v>
      </c>
      <c r="J1704" s="120">
        <v>0</v>
      </c>
      <c r="K1704" s="110">
        <v>0</v>
      </c>
      <c r="L1704" s="110"/>
      <c r="M1704" s="110">
        <v>0</v>
      </c>
      <c r="N1704" s="110"/>
      <c r="O1704" s="110"/>
      <c r="P1704" s="110">
        <f t="shared" si="138"/>
        <v>0</v>
      </c>
      <c r="Q1704" s="110">
        <f t="shared" si="139"/>
        <v>0</v>
      </c>
      <c r="R1704" s="110">
        <f t="shared" si="140"/>
        <v>0</v>
      </c>
      <c r="S1704" s="112">
        <v>0</v>
      </c>
    </row>
    <row r="1705" spans="1:19" ht="45">
      <c r="A1705" s="79"/>
      <c r="B1705" s="77" t="s">
        <v>166</v>
      </c>
      <c r="C1705" s="76" t="s">
        <v>17</v>
      </c>
      <c r="D1705" s="143">
        <v>1</v>
      </c>
      <c r="E1705" s="74"/>
      <c r="F1705" s="334"/>
      <c r="G1705" s="112">
        <v>0</v>
      </c>
      <c r="H1705" s="120">
        <v>0</v>
      </c>
      <c r="I1705" s="120">
        <v>0</v>
      </c>
      <c r="J1705" s="120">
        <v>0</v>
      </c>
      <c r="K1705" s="110">
        <v>0</v>
      </c>
      <c r="L1705" s="110"/>
      <c r="M1705" s="110">
        <v>0</v>
      </c>
      <c r="N1705" s="110"/>
      <c r="O1705" s="110"/>
      <c r="P1705" s="110">
        <f t="shared" si="138"/>
        <v>0</v>
      </c>
      <c r="Q1705" s="110">
        <f t="shared" si="139"/>
        <v>0</v>
      </c>
      <c r="R1705" s="110">
        <f t="shared" si="140"/>
        <v>0</v>
      </c>
      <c r="S1705" s="112">
        <v>0</v>
      </c>
    </row>
    <row r="1706" spans="1:19" ht="60">
      <c r="A1706" s="79">
        <v>62</v>
      </c>
      <c r="B1706" s="77" t="s">
        <v>408</v>
      </c>
      <c r="C1706" s="76" t="s">
        <v>6</v>
      </c>
      <c r="D1706" s="143">
        <v>1</v>
      </c>
      <c r="E1706" s="74"/>
      <c r="F1706" s="334">
        <v>1</v>
      </c>
      <c r="G1706" s="112" t="s">
        <v>408</v>
      </c>
      <c r="H1706" s="120" t="s">
        <v>1076</v>
      </c>
      <c r="I1706" s="120" t="s">
        <v>828</v>
      </c>
      <c r="J1706" s="120" t="s">
        <v>829</v>
      </c>
      <c r="K1706" s="110">
        <v>21692500</v>
      </c>
      <c r="L1706" s="110"/>
      <c r="M1706" s="110">
        <v>2821000</v>
      </c>
      <c r="N1706" s="110"/>
      <c r="O1706" s="110"/>
      <c r="P1706" s="110">
        <f t="shared" si="138"/>
        <v>24513500</v>
      </c>
      <c r="Q1706" s="110">
        <f t="shared" si="139"/>
        <v>24513500</v>
      </c>
      <c r="R1706" s="110">
        <f t="shared" si="140"/>
        <v>24513500</v>
      </c>
      <c r="S1706" s="112" t="s">
        <v>4094</v>
      </c>
    </row>
    <row r="1707" spans="1:19" ht="45">
      <c r="A1707" s="79"/>
      <c r="B1707" s="77" t="s">
        <v>404</v>
      </c>
      <c r="C1707" s="76" t="s">
        <v>4</v>
      </c>
      <c r="D1707" s="143">
        <v>1</v>
      </c>
      <c r="E1707" s="74"/>
      <c r="F1707" s="334"/>
      <c r="G1707" s="112">
        <v>0</v>
      </c>
      <c r="H1707" s="120">
        <v>0</v>
      </c>
      <c r="I1707" s="120">
        <v>0</v>
      </c>
      <c r="J1707" s="120">
        <v>0</v>
      </c>
      <c r="K1707" s="110">
        <v>0</v>
      </c>
      <c r="L1707" s="110"/>
      <c r="M1707" s="110">
        <v>0</v>
      </c>
      <c r="N1707" s="110"/>
      <c r="O1707" s="110"/>
      <c r="P1707" s="110">
        <f t="shared" si="138"/>
        <v>0</v>
      </c>
      <c r="Q1707" s="110">
        <f t="shared" si="139"/>
        <v>0</v>
      </c>
      <c r="R1707" s="110">
        <f t="shared" si="140"/>
        <v>0</v>
      </c>
      <c r="S1707" s="112" t="s">
        <v>150</v>
      </c>
    </row>
    <row r="1708" spans="1:19">
      <c r="A1708" s="79"/>
      <c r="B1708" s="77" t="s">
        <v>151</v>
      </c>
      <c r="C1708" s="76"/>
      <c r="D1708" s="143"/>
      <c r="E1708" s="74"/>
      <c r="F1708" s="74"/>
      <c r="G1708" s="112">
        <v>0</v>
      </c>
      <c r="H1708" s="120">
        <v>0</v>
      </c>
      <c r="I1708" s="120">
        <v>0</v>
      </c>
      <c r="J1708" s="120">
        <v>0</v>
      </c>
      <c r="K1708" s="110">
        <v>0</v>
      </c>
      <c r="L1708" s="110"/>
      <c r="M1708" s="110">
        <v>0</v>
      </c>
      <c r="N1708" s="110"/>
      <c r="O1708" s="110"/>
      <c r="P1708" s="110">
        <f t="shared" si="138"/>
        <v>0</v>
      </c>
      <c r="Q1708" s="110">
        <f t="shared" si="139"/>
        <v>0</v>
      </c>
      <c r="R1708" s="110">
        <f t="shared" si="140"/>
        <v>0</v>
      </c>
      <c r="S1708" s="112">
        <v>0</v>
      </c>
    </row>
    <row r="1709" spans="1:19">
      <c r="A1709" s="79"/>
      <c r="B1709" s="77" t="s">
        <v>152</v>
      </c>
      <c r="C1709" s="76" t="s">
        <v>4</v>
      </c>
      <c r="D1709" s="143">
        <v>1</v>
      </c>
      <c r="E1709" s="74"/>
      <c r="F1709" s="334"/>
      <c r="G1709" s="112">
        <v>0</v>
      </c>
      <c r="H1709" s="120">
        <v>0</v>
      </c>
      <c r="I1709" s="120">
        <v>0</v>
      </c>
      <c r="J1709" s="120">
        <v>0</v>
      </c>
      <c r="K1709" s="110">
        <v>0</v>
      </c>
      <c r="L1709" s="110"/>
      <c r="M1709" s="110">
        <v>0</v>
      </c>
      <c r="N1709" s="110"/>
      <c r="O1709" s="110"/>
      <c r="P1709" s="110">
        <f t="shared" si="138"/>
        <v>0</v>
      </c>
      <c r="Q1709" s="110">
        <f t="shared" si="139"/>
        <v>0</v>
      </c>
      <c r="R1709" s="110">
        <f t="shared" si="140"/>
        <v>0</v>
      </c>
      <c r="S1709" s="112">
        <v>0</v>
      </c>
    </row>
    <row r="1710" spans="1:19">
      <c r="A1710" s="79"/>
      <c r="B1710" s="77" t="s">
        <v>14</v>
      </c>
      <c r="C1710" s="76" t="s">
        <v>4</v>
      </c>
      <c r="D1710" s="143">
        <v>3</v>
      </c>
      <c r="E1710" s="74"/>
      <c r="F1710" s="334"/>
      <c r="G1710" s="112">
        <v>0</v>
      </c>
      <c r="H1710" s="120">
        <v>0</v>
      </c>
      <c r="I1710" s="120">
        <v>0</v>
      </c>
      <c r="J1710" s="120">
        <v>0</v>
      </c>
      <c r="K1710" s="110">
        <v>0</v>
      </c>
      <c r="L1710" s="110"/>
      <c r="M1710" s="110">
        <v>0</v>
      </c>
      <c r="N1710" s="110"/>
      <c r="O1710" s="110"/>
      <c r="P1710" s="110">
        <f t="shared" si="138"/>
        <v>0</v>
      </c>
      <c r="Q1710" s="110">
        <f t="shared" si="139"/>
        <v>0</v>
      </c>
      <c r="R1710" s="110">
        <f t="shared" si="140"/>
        <v>0</v>
      </c>
      <c r="S1710" s="112">
        <v>0</v>
      </c>
    </row>
    <row r="1711" spans="1:19">
      <c r="A1711" s="79"/>
      <c r="B1711" s="77" t="s">
        <v>153</v>
      </c>
      <c r="C1711" s="76" t="s">
        <v>4</v>
      </c>
      <c r="D1711" s="143">
        <v>3</v>
      </c>
      <c r="E1711" s="75"/>
      <c r="F1711" s="334"/>
      <c r="G1711" s="112">
        <v>0</v>
      </c>
      <c r="H1711" s="120">
        <v>0</v>
      </c>
      <c r="I1711" s="120">
        <v>0</v>
      </c>
      <c r="J1711" s="120">
        <v>0</v>
      </c>
      <c r="K1711" s="110">
        <v>0</v>
      </c>
      <c r="L1711" s="110"/>
      <c r="M1711" s="110">
        <v>0</v>
      </c>
      <c r="N1711" s="110"/>
      <c r="O1711" s="110"/>
      <c r="P1711" s="110">
        <f t="shared" si="138"/>
        <v>0</v>
      </c>
      <c r="Q1711" s="110">
        <f t="shared" si="139"/>
        <v>0</v>
      </c>
      <c r="R1711" s="110">
        <f t="shared" si="140"/>
        <v>0</v>
      </c>
      <c r="S1711" s="112">
        <v>0</v>
      </c>
    </row>
    <row r="1712" spans="1:19">
      <c r="A1712" s="79"/>
      <c r="B1712" s="77" t="s">
        <v>154</v>
      </c>
      <c r="C1712" s="76"/>
      <c r="D1712" s="143"/>
      <c r="E1712" s="73"/>
      <c r="F1712" s="73"/>
      <c r="G1712" s="112">
        <v>0</v>
      </c>
      <c r="H1712" s="120">
        <v>0</v>
      </c>
      <c r="I1712" s="120">
        <v>0</v>
      </c>
      <c r="J1712" s="120">
        <v>0</v>
      </c>
      <c r="K1712" s="110">
        <v>0</v>
      </c>
      <c r="L1712" s="110"/>
      <c r="M1712" s="110">
        <v>0</v>
      </c>
      <c r="N1712" s="110"/>
      <c r="O1712" s="110"/>
      <c r="P1712" s="110">
        <f t="shared" si="138"/>
        <v>0</v>
      </c>
      <c r="Q1712" s="110">
        <f t="shared" si="139"/>
        <v>0</v>
      </c>
      <c r="R1712" s="110">
        <f t="shared" si="140"/>
        <v>0</v>
      </c>
      <c r="S1712" s="112">
        <v>0</v>
      </c>
    </row>
    <row r="1713" spans="1:19">
      <c r="A1713" s="79"/>
      <c r="B1713" s="77" t="s">
        <v>155</v>
      </c>
      <c r="C1713" s="76" t="s">
        <v>4</v>
      </c>
      <c r="D1713" s="143">
        <v>1</v>
      </c>
      <c r="E1713" s="50"/>
      <c r="F1713" s="334"/>
      <c r="G1713" s="112">
        <v>0</v>
      </c>
      <c r="H1713" s="120">
        <v>0</v>
      </c>
      <c r="I1713" s="120">
        <v>0</v>
      </c>
      <c r="J1713" s="120">
        <v>0</v>
      </c>
      <c r="K1713" s="110">
        <v>0</v>
      </c>
      <c r="L1713" s="110"/>
      <c r="M1713" s="110">
        <v>0</v>
      </c>
      <c r="N1713" s="110"/>
      <c r="O1713" s="110"/>
      <c r="P1713" s="110">
        <f t="shared" ref="P1713:P1776" si="141">+K1713+L1713+M1713+N1713+O1713</f>
        <v>0</v>
      </c>
      <c r="Q1713" s="110">
        <f t="shared" ref="Q1713:Q1776" si="142">+P1713*D1713</f>
        <v>0</v>
      </c>
      <c r="R1713" s="110">
        <f t="shared" ref="R1713:R1776" si="143">P1713*F1713</f>
        <v>0</v>
      </c>
      <c r="S1713" s="112">
        <v>0</v>
      </c>
    </row>
    <row r="1714" spans="1:19">
      <c r="A1714" s="79"/>
      <c r="B1714" s="77" t="s">
        <v>405</v>
      </c>
      <c r="C1714" s="76" t="s">
        <v>4</v>
      </c>
      <c r="D1714" s="143">
        <v>1</v>
      </c>
      <c r="E1714" s="57"/>
      <c r="F1714" s="334"/>
      <c r="G1714" s="112">
        <v>0</v>
      </c>
      <c r="H1714" s="120">
        <v>0</v>
      </c>
      <c r="I1714" s="120">
        <v>0</v>
      </c>
      <c r="J1714" s="120">
        <v>0</v>
      </c>
      <c r="K1714" s="110">
        <v>0</v>
      </c>
      <c r="L1714" s="110"/>
      <c r="M1714" s="110">
        <v>0</v>
      </c>
      <c r="N1714" s="110"/>
      <c r="O1714" s="110"/>
      <c r="P1714" s="110">
        <f t="shared" si="141"/>
        <v>0</v>
      </c>
      <c r="Q1714" s="110">
        <f t="shared" si="142"/>
        <v>0</v>
      </c>
      <c r="R1714" s="110">
        <f t="shared" si="143"/>
        <v>0</v>
      </c>
      <c r="S1714" s="112">
        <v>0</v>
      </c>
    </row>
    <row r="1715" spans="1:19">
      <c r="A1715" s="79"/>
      <c r="B1715" s="77" t="s">
        <v>406</v>
      </c>
      <c r="C1715" s="76" t="s">
        <v>4</v>
      </c>
      <c r="D1715" s="143">
        <v>1</v>
      </c>
      <c r="E1715" s="50"/>
      <c r="F1715" s="334"/>
      <c r="G1715" s="112">
        <v>0</v>
      </c>
      <c r="H1715" s="120">
        <v>0</v>
      </c>
      <c r="I1715" s="120">
        <v>0</v>
      </c>
      <c r="J1715" s="120">
        <v>0</v>
      </c>
      <c r="K1715" s="110">
        <v>0</v>
      </c>
      <c r="L1715" s="110"/>
      <c r="M1715" s="110">
        <v>0</v>
      </c>
      <c r="N1715" s="110"/>
      <c r="O1715" s="110"/>
      <c r="P1715" s="110">
        <f t="shared" si="141"/>
        <v>0</v>
      </c>
      <c r="Q1715" s="110">
        <f t="shared" si="142"/>
        <v>0</v>
      </c>
      <c r="R1715" s="110">
        <f t="shared" si="143"/>
        <v>0</v>
      </c>
      <c r="S1715" s="112">
        <v>0</v>
      </c>
    </row>
    <row r="1716" spans="1:19">
      <c r="A1716" s="79"/>
      <c r="B1716" s="77" t="s">
        <v>284</v>
      </c>
      <c r="C1716" s="76" t="s">
        <v>4</v>
      </c>
      <c r="D1716" s="143">
        <v>1</v>
      </c>
      <c r="E1716" s="50"/>
      <c r="F1716" s="334"/>
      <c r="G1716" s="112">
        <v>0</v>
      </c>
      <c r="H1716" s="120">
        <v>0</v>
      </c>
      <c r="I1716" s="120">
        <v>0</v>
      </c>
      <c r="J1716" s="120">
        <v>0</v>
      </c>
      <c r="K1716" s="110">
        <v>0</v>
      </c>
      <c r="L1716" s="110"/>
      <c r="M1716" s="110">
        <v>0</v>
      </c>
      <c r="N1716" s="110"/>
      <c r="O1716" s="110"/>
      <c r="P1716" s="110">
        <f t="shared" si="141"/>
        <v>0</v>
      </c>
      <c r="Q1716" s="110">
        <f t="shared" si="142"/>
        <v>0</v>
      </c>
      <c r="R1716" s="110">
        <f t="shared" si="143"/>
        <v>0</v>
      </c>
      <c r="S1716" s="112">
        <v>0</v>
      </c>
    </row>
    <row r="1717" spans="1:19">
      <c r="A1717" s="79"/>
      <c r="B1717" s="77" t="s">
        <v>156</v>
      </c>
      <c r="C1717" s="76" t="s">
        <v>4</v>
      </c>
      <c r="D1717" s="143">
        <v>2</v>
      </c>
      <c r="E1717" s="50"/>
      <c r="F1717" s="334"/>
      <c r="G1717" s="112">
        <v>0</v>
      </c>
      <c r="H1717" s="120">
        <v>0</v>
      </c>
      <c r="I1717" s="120">
        <v>0</v>
      </c>
      <c r="J1717" s="120">
        <v>0</v>
      </c>
      <c r="K1717" s="110">
        <v>0</v>
      </c>
      <c r="L1717" s="110"/>
      <c r="M1717" s="110">
        <v>0</v>
      </c>
      <c r="N1717" s="110"/>
      <c r="O1717" s="110"/>
      <c r="P1717" s="110">
        <f t="shared" si="141"/>
        <v>0</v>
      </c>
      <c r="Q1717" s="110">
        <f t="shared" si="142"/>
        <v>0</v>
      </c>
      <c r="R1717" s="110">
        <f t="shared" si="143"/>
        <v>0</v>
      </c>
      <c r="S1717" s="112">
        <v>0</v>
      </c>
    </row>
    <row r="1718" spans="1:19">
      <c r="A1718" s="79"/>
      <c r="B1718" s="77" t="s">
        <v>157</v>
      </c>
      <c r="C1718" s="76" t="s">
        <v>4</v>
      </c>
      <c r="D1718" s="143">
        <v>6</v>
      </c>
      <c r="E1718" s="50"/>
      <c r="F1718" s="334"/>
      <c r="G1718" s="112">
        <v>0</v>
      </c>
      <c r="H1718" s="120">
        <v>0</v>
      </c>
      <c r="I1718" s="120">
        <v>0</v>
      </c>
      <c r="J1718" s="120">
        <v>0</v>
      </c>
      <c r="K1718" s="110">
        <v>0</v>
      </c>
      <c r="L1718" s="110"/>
      <c r="M1718" s="110">
        <v>0</v>
      </c>
      <c r="N1718" s="110"/>
      <c r="O1718" s="110"/>
      <c r="P1718" s="110">
        <f t="shared" si="141"/>
        <v>0</v>
      </c>
      <c r="Q1718" s="110">
        <f t="shared" si="142"/>
        <v>0</v>
      </c>
      <c r="R1718" s="110">
        <f t="shared" si="143"/>
        <v>0</v>
      </c>
      <c r="S1718" s="112">
        <v>0</v>
      </c>
    </row>
    <row r="1719" spans="1:19">
      <c r="A1719" s="79"/>
      <c r="B1719" s="77" t="s">
        <v>158</v>
      </c>
      <c r="C1719" s="76" t="s">
        <v>4</v>
      </c>
      <c r="D1719" s="143">
        <v>1</v>
      </c>
      <c r="E1719" s="74"/>
      <c r="F1719" s="334"/>
      <c r="G1719" s="112">
        <v>0</v>
      </c>
      <c r="H1719" s="120">
        <v>0</v>
      </c>
      <c r="I1719" s="120">
        <v>0</v>
      </c>
      <c r="J1719" s="120">
        <v>0</v>
      </c>
      <c r="K1719" s="110">
        <v>0</v>
      </c>
      <c r="L1719" s="110"/>
      <c r="M1719" s="110">
        <v>0</v>
      </c>
      <c r="N1719" s="110"/>
      <c r="O1719" s="110"/>
      <c r="P1719" s="110">
        <f t="shared" si="141"/>
        <v>0</v>
      </c>
      <c r="Q1719" s="110">
        <f t="shared" si="142"/>
        <v>0</v>
      </c>
      <c r="R1719" s="110">
        <f t="shared" si="143"/>
        <v>0</v>
      </c>
      <c r="S1719" s="112">
        <v>0</v>
      </c>
    </row>
    <row r="1720" spans="1:19">
      <c r="A1720" s="79"/>
      <c r="B1720" s="77" t="s">
        <v>159</v>
      </c>
      <c r="C1720" s="76"/>
      <c r="D1720" s="143"/>
      <c r="E1720" s="74"/>
      <c r="F1720" s="74"/>
      <c r="G1720" s="112">
        <v>0</v>
      </c>
      <c r="H1720" s="120">
        <v>0</v>
      </c>
      <c r="I1720" s="120">
        <v>0</v>
      </c>
      <c r="J1720" s="120">
        <v>0</v>
      </c>
      <c r="K1720" s="110">
        <v>0</v>
      </c>
      <c r="L1720" s="110"/>
      <c r="M1720" s="110">
        <v>0</v>
      </c>
      <c r="N1720" s="110"/>
      <c r="O1720" s="110"/>
      <c r="P1720" s="110">
        <f t="shared" si="141"/>
        <v>0</v>
      </c>
      <c r="Q1720" s="110">
        <f t="shared" si="142"/>
        <v>0</v>
      </c>
      <c r="R1720" s="110">
        <f t="shared" si="143"/>
        <v>0</v>
      </c>
      <c r="S1720" s="112">
        <v>0</v>
      </c>
    </row>
    <row r="1721" spans="1:19">
      <c r="A1721" s="79"/>
      <c r="B1721" s="77" t="s">
        <v>308</v>
      </c>
      <c r="C1721" s="76" t="s">
        <v>4</v>
      </c>
      <c r="D1721" s="143">
        <v>8</v>
      </c>
      <c r="E1721" s="50"/>
      <c r="F1721" s="334"/>
      <c r="G1721" s="112">
        <v>0</v>
      </c>
      <c r="H1721" s="120">
        <v>0</v>
      </c>
      <c r="I1721" s="120">
        <v>0</v>
      </c>
      <c r="J1721" s="120">
        <v>0</v>
      </c>
      <c r="K1721" s="110">
        <v>0</v>
      </c>
      <c r="L1721" s="110"/>
      <c r="M1721" s="110">
        <v>0</v>
      </c>
      <c r="N1721" s="110"/>
      <c r="O1721" s="110"/>
      <c r="P1721" s="110">
        <f t="shared" si="141"/>
        <v>0</v>
      </c>
      <c r="Q1721" s="110">
        <f t="shared" si="142"/>
        <v>0</v>
      </c>
      <c r="R1721" s="110">
        <f t="shared" si="143"/>
        <v>0</v>
      </c>
      <c r="S1721" s="112">
        <v>0</v>
      </c>
    </row>
    <row r="1722" spans="1:19">
      <c r="A1722" s="79"/>
      <c r="B1722" s="77" t="s">
        <v>161</v>
      </c>
      <c r="C1722" s="76" t="s">
        <v>4</v>
      </c>
      <c r="D1722" s="143">
        <v>1</v>
      </c>
      <c r="E1722" s="437"/>
      <c r="F1722" s="334"/>
      <c r="G1722" s="112">
        <v>0</v>
      </c>
      <c r="H1722" s="120">
        <v>0</v>
      </c>
      <c r="I1722" s="120">
        <v>0</v>
      </c>
      <c r="J1722" s="120">
        <v>0</v>
      </c>
      <c r="K1722" s="110">
        <v>0</v>
      </c>
      <c r="L1722" s="110"/>
      <c r="M1722" s="110">
        <v>0</v>
      </c>
      <c r="N1722" s="110"/>
      <c r="O1722" s="110"/>
      <c r="P1722" s="110">
        <f t="shared" si="141"/>
        <v>0</v>
      </c>
      <c r="Q1722" s="110">
        <f t="shared" si="142"/>
        <v>0</v>
      </c>
      <c r="R1722" s="110">
        <f t="shared" si="143"/>
        <v>0</v>
      </c>
      <c r="S1722" s="112">
        <v>0</v>
      </c>
    </row>
    <row r="1723" spans="1:19">
      <c r="A1723" s="79"/>
      <c r="B1723" s="77" t="s">
        <v>162</v>
      </c>
      <c r="C1723" s="76" t="s">
        <v>17</v>
      </c>
      <c r="D1723" s="143">
        <v>1</v>
      </c>
      <c r="E1723" s="75"/>
      <c r="F1723" s="334"/>
      <c r="G1723" s="112">
        <v>0</v>
      </c>
      <c r="H1723" s="120">
        <v>0</v>
      </c>
      <c r="I1723" s="120">
        <v>0</v>
      </c>
      <c r="J1723" s="120">
        <v>0</v>
      </c>
      <c r="K1723" s="110">
        <v>0</v>
      </c>
      <c r="L1723" s="110"/>
      <c r="M1723" s="110">
        <v>0</v>
      </c>
      <c r="N1723" s="110"/>
      <c r="O1723" s="110"/>
      <c r="P1723" s="110">
        <f t="shared" si="141"/>
        <v>0</v>
      </c>
      <c r="Q1723" s="110">
        <f t="shared" si="142"/>
        <v>0</v>
      </c>
      <c r="R1723" s="110">
        <f t="shared" si="143"/>
        <v>0</v>
      </c>
      <c r="S1723" s="112">
        <v>0</v>
      </c>
    </row>
    <row r="1724" spans="1:19">
      <c r="A1724" s="79"/>
      <c r="B1724" s="77" t="s">
        <v>163</v>
      </c>
      <c r="C1724" s="76" t="s">
        <v>4</v>
      </c>
      <c r="D1724" s="143">
        <v>1</v>
      </c>
      <c r="E1724" s="73"/>
      <c r="F1724" s="334"/>
      <c r="G1724" s="112">
        <v>0</v>
      </c>
      <c r="H1724" s="120">
        <v>0</v>
      </c>
      <c r="I1724" s="120">
        <v>0</v>
      </c>
      <c r="J1724" s="120">
        <v>0</v>
      </c>
      <c r="K1724" s="110">
        <v>0</v>
      </c>
      <c r="L1724" s="110"/>
      <c r="M1724" s="110">
        <v>0</v>
      </c>
      <c r="N1724" s="110"/>
      <c r="O1724" s="110"/>
      <c r="P1724" s="110">
        <f t="shared" si="141"/>
        <v>0</v>
      </c>
      <c r="Q1724" s="110">
        <f t="shared" si="142"/>
        <v>0</v>
      </c>
      <c r="R1724" s="110">
        <f t="shared" si="143"/>
        <v>0</v>
      </c>
      <c r="S1724" s="112">
        <v>0</v>
      </c>
    </row>
    <row r="1725" spans="1:19" ht="30">
      <c r="A1725" s="79"/>
      <c r="B1725" s="77" t="s">
        <v>164</v>
      </c>
      <c r="C1725" s="76" t="s">
        <v>8</v>
      </c>
      <c r="D1725" s="143">
        <v>1</v>
      </c>
      <c r="E1725" s="50"/>
      <c r="F1725" s="334"/>
      <c r="G1725" s="112">
        <v>0</v>
      </c>
      <c r="H1725" s="120">
        <v>0</v>
      </c>
      <c r="I1725" s="120">
        <v>0</v>
      </c>
      <c r="J1725" s="120">
        <v>0</v>
      </c>
      <c r="K1725" s="110">
        <v>0</v>
      </c>
      <c r="L1725" s="110"/>
      <c r="M1725" s="110">
        <v>0</v>
      </c>
      <c r="N1725" s="110"/>
      <c r="O1725" s="110"/>
      <c r="P1725" s="110">
        <f t="shared" si="141"/>
        <v>0</v>
      </c>
      <c r="Q1725" s="110">
        <f t="shared" si="142"/>
        <v>0</v>
      </c>
      <c r="R1725" s="110">
        <f t="shared" si="143"/>
        <v>0</v>
      </c>
      <c r="S1725" s="112">
        <v>0</v>
      </c>
    </row>
    <row r="1726" spans="1:19">
      <c r="A1726" s="79"/>
      <c r="B1726" s="77" t="s">
        <v>165</v>
      </c>
      <c r="C1726" s="76" t="s">
        <v>8</v>
      </c>
      <c r="D1726" s="143">
        <v>1</v>
      </c>
      <c r="E1726" s="57"/>
      <c r="F1726" s="334"/>
      <c r="G1726" s="112">
        <v>0</v>
      </c>
      <c r="H1726" s="120">
        <v>0</v>
      </c>
      <c r="I1726" s="120">
        <v>0</v>
      </c>
      <c r="J1726" s="120">
        <v>0</v>
      </c>
      <c r="K1726" s="110">
        <v>0</v>
      </c>
      <c r="L1726" s="110"/>
      <c r="M1726" s="110">
        <v>0</v>
      </c>
      <c r="N1726" s="110"/>
      <c r="O1726" s="110"/>
      <c r="P1726" s="110">
        <f t="shared" si="141"/>
        <v>0</v>
      </c>
      <c r="Q1726" s="110">
        <f t="shared" si="142"/>
        <v>0</v>
      </c>
      <c r="R1726" s="110">
        <f t="shared" si="143"/>
        <v>0</v>
      </c>
      <c r="S1726" s="112">
        <v>0</v>
      </c>
    </row>
    <row r="1727" spans="1:19" ht="45">
      <c r="A1727" s="79"/>
      <c r="B1727" s="77" t="s">
        <v>166</v>
      </c>
      <c r="C1727" s="76" t="s">
        <v>17</v>
      </c>
      <c r="D1727" s="143">
        <v>1</v>
      </c>
      <c r="E1727" s="50"/>
      <c r="F1727" s="334"/>
      <c r="G1727" s="112">
        <v>0</v>
      </c>
      <c r="H1727" s="120">
        <v>0</v>
      </c>
      <c r="I1727" s="120">
        <v>0</v>
      </c>
      <c r="J1727" s="120">
        <v>0</v>
      </c>
      <c r="K1727" s="110">
        <v>0</v>
      </c>
      <c r="L1727" s="110"/>
      <c r="M1727" s="110">
        <v>0</v>
      </c>
      <c r="N1727" s="110"/>
      <c r="O1727" s="110"/>
      <c r="P1727" s="110">
        <f t="shared" si="141"/>
        <v>0</v>
      </c>
      <c r="Q1727" s="110">
        <f t="shared" si="142"/>
        <v>0</v>
      </c>
      <c r="R1727" s="110">
        <f t="shared" si="143"/>
        <v>0</v>
      </c>
      <c r="S1727" s="112">
        <v>0</v>
      </c>
    </row>
    <row r="1728" spans="1:19" ht="60">
      <c r="A1728" s="79">
        <v>63</v>
      </c>
      <c r="B1728" s="77" t="s">
        <v>409</v>
      </c>
      <c r="C1728" s="76" t="s">
        <v>6</v>
      </c>
      <c r="D1728" s="143">
        <v>1</v>
      </c>
      <c r="E1728" s="50"/>
      <c r="F1728" s="334">
        <v>1</v>
      </c>
      <c r="G1728" s="112" t="s">
        <v>409</v>
      </c>
      <c r="H1728" s="120" t="s">
        <v>1076</v>
      </c>
      <c r="I1728" s="120" t="s">
        <v>828</v>
      </c>
      <c r="J1728" s="120" t="s">
        <v>829</v>
      </c>
      <c r="K1728" s="110">
        <v>16054600</v>
      </c>
      <c r="L1728" s="110"/>
      <c r="M1728" s="110">
        <v>2821000</v>
      </c>
      <c r="N1728" s="110"/>
      <c r="O1728" s="110"/>
      <c r="P1728" s="110">
        <f t="shared" si="141"/>
        <v>18875600</v>
      </c>
      <c r="Q1728" s="110">
        <f t="shared" si="142"/>
        <v>18875600</v>
      </c>
      <c r="R1728" s="110">
        <f t="shared" si="143"/>
        <v>18875600</v>
      </c>
      <c r="S1728" s="112" t="s">
        <v>4094</v>
      </c>
    </row>
    <row r="1729" spans="1:19" ht="45">
      <c r="A1729" s="79"/>
      <c r="B1729" s="77" t="s">
        <v>182</v>
      </c>
      <c r="C1729" s="76" t="s">
        <v>4</v>
      </c>
      <c r="D1729" s="143">
        <v>1</v>
      </c>
      <c r="E1729" s="50"/>
      <c r="F1729" s="334"/>
      <c r="G1729" s="112">
        <v>0</v>
      </c>
      <c r="H1729" s="120">
        <v>0</v>
      </c>
      <c r="I1729" s="120">
        <v>0</v>
      </c>
      <c r="J1729" s="120">
        <v>0</v>
      </c>
      <c r="K1729" s="110">
        <v>0</v>
      </c>
      <c r="L1729" s="110"/>
      <c r="M1729" s="110">
        <v>0</v>
      </c>
      <c r="N1729" s="110"/>
      <c r="O1729" s="110"/>
      <c r="P1729" s="110">
        <f t="shared" si="141"/>
        <v>0</v>
      </c>
      <c r="Q1729" s="110">
        <f t="shared" si="142"/>
        <v>0</v>
      </c>
      <c r="R1729" s="110">
        <f t="shared" si="143"/>
        <v>0</v>
      </c>
      <c r="S1729" s="112" t="s">
        <v>150</v>
      </c>
    </row>
    <row r="1730" spans="1:19">
      <c r="A1730" s="79"/>
      <c r="B1730" s="77" t="s">
        <v>151</v>
      </c>
      <c r="C1730" s="76"/>
      <c r="D1730" s="143"/>
      <c r="E1730" s="50"/>
      <c r="F1730" s="50"/>
      <c r="G1730" s="112">
        <v>0</v>
      </c>
      <c r="H1730" s="120">
        <v>0</v>
      </c>
      <c r="I1730" s="120">
        <v>0</v>
      </c>
      <c r="J1730" s="120">
        <v>0</v>
      </c>
      <c r="K1730" s="110">
        <v>0</v>
      </c>
      <c r="L1730" s="110"/>
      <c r="M1730" s="110">
        <v>0</v>
      </c>
      <c r="N1730" s="110"/>
      <c r="O1730" s="110"/>
      <c r="P1730" s="110">
        <f t="shared" si="141"/>
        <v>0</v>
      </c>
      <c r="Q1730" s="110">
        <f t="shared" si="142"/>
        <v>0</v>
      </c>
      <c r="R1730" s="110">
        <f t="shared" si="143"/>
        <v>0</v>
      </c>
      <c r="S1730" s="112">
        <v>0</v>
      </c>
    </row>
    <row r="1731" spans="1:19">
      <c r="A1731" s="79"/>
      <c r="B1731" s="77" t="s">
        <v>406</v>
      </c>
      <c r="C1731" s="76" t="s">
        <v>4</v>
      </c>
      <c r="D1731" s="143">
        <v>1</v>
      </c>
      <c r="E1731" s="74"/>
      <c r="F1731" s="334"/>
      <c r="G1731" s="112">
        <v>0</v>
      </c>
      <c r="H1731" s="120">
        <v>0</v>
      </c>
      <c r="I1731" s="120">
        <v>0</v>
      </c>
      <c r="J1731" s="120">
        <v>0</v>
      </c>
      <c r="K1731" s="110">
        <v>0</v>
      </c>
      <c r="L1731" s="110"/>
      <c r="M1731" s="110">
        <v>0</v>
      </c>
      <c r="N1731" s="110"/>
      <c r="O1731" s="110"/>
      <c r="P1731" s="110">
        <f t="shared" si="141"/>
        <v>0</v>
      </c>
      <c r="Q1731" s="110">
        <f t="shared" si="142"/>
        <v>0</v>
      </c>
      <c r="R1731" s="110">
        <f t="shared" si="143"/>
        <v>0</v>
      </c>
      <c r="S1731" s="112">
        <v>0</v>
      </c>
    </row>
    <row r="1732" spans="1:19">
      <c r="A1732" s="79"/>
      <c r="B1732" s="77" t="s">
        <v>192</v>
      </c>
      <c r="C1732" s="76" t="s">
        <v>12</v>
      </c>
      <c r="D1732" s="143">
        <v>3</v>
      </c>
      <c r="E1732" s="74"/>
      <c r="F1732" s="334"/>
      <c r="G1732" s="112">
        <v>0</v>
      </c>
      <c r="H1732" s="120">
        <v>0</v>
      </c>
      <c r="I1732" s="120">
        <v>0</v>
      </c>
      <c r="J1732" s="120">
        <v>0</v>
      </c>
      <c r="K1732" s="110">
        <v>0</v>
      </c>
      <c r="L1732" s="110"/>
      <c r="M1732" s="110">
        <v>0</v>
      </c>
      <c r="N1732" s="110"/>
      <c r="O1732" s="110"/>
      <c r="P1732" s="110">
        <f t="shared" si="141"/>
        <v>0</v>
      </c>
      <c r="Q1732" s="110">
        <f t="shared" si="142"/>
        <v>0</v>
      </c>
      <c r="R1732" s="110">
        <f t="shared" si="143"/>
        <v>0</v>
      </c>
      <c r="S1732" s="112">
        <v>0</v>
      </c>
    </row>
    <row r="1733" spans="1:19">
      <c r="A1733" s="79"/>
      <c r="B1733" s="77" t="s">
        <v>29</v>
      </c>
      <c r="C1733" s="76" t="s">
        <v>4</v>
      </c>
      <c r="D1733" s="143">
        <v>1</v>
      </c>
      <c r="E1733" s="74"/>
      <c r="F1733" s="334"/>
      <c r="G1733" s="112">
        <v>0</v>
      </c>
      <c r="H1733" s="120">
        <v>0</v>
      </c>
      <c r="I1733" s="120">
        <v>0</v>
      </c>
      <c r="J1733" s="120">
        <v>0</v>
      </c>
      <c r="K1733" s="110">
        <v>0</v>
      </c>
      <c r="L1733" s="110"/>
      <c r="M1733" s="110">
        <v>0</v>
      </c>
      <c r="N1733" s="110"/>
      <c r="O1733" s="110"/>
      <c r="P1733" s="110">
        <f t="shared" si="141"/>
        <v>0</v>
      </c>
      <c r="Q1733" s="110">
        <f t="shared" si="142"/>
        <v>0</v>
      </c>
      <c r="R1733" s="110">
        <f t="shared" si="143"/>
        <v>0</v>
      </c>
      <c r="S1733" s="112">
        <v>0</v>
      </c>
    </row>
    <row r="1734" spans="1:19">
      <c r="A1734" s="79"/>
      <c r="B1734" s="77" t="s">
        <v>30</v>
      </c>
      <c r="C1734" s="76" t="s">
        <v>4</v>
      </c>
      <c r="D1734" s="143">
        <v>1</v>
      </c>
      <c r="E1734" s="74"/>
      <c r="F1734" s="334"/>
      <c r="G1734" s="112">
        <v>0</v>
      </c>
      <c r="H1734" s="120">
        <v>0</v>
      </c>
      <c r="I1734" s="120">
        <v>0</v>
      </c>
      <c r="J1734" s="120">
        <v>0</v>
      </c>
      <c r="K1734" s="110">
        <v>0</v>
      </c>
      <c r="L1734" s="110"/>
      <c r="M1734" s="110">
        <v>0</v>
      </c>
      <c r="N1734" s="110"/>
      <c r="O1734" s="110"/>
      <c r="P1734" s="110">
        <f t="shared" si="141"/>
        <v>0</v>
      </c>
      <c r="Q1734" s="110">
        <f t="shared" si="142"/>
        <v>0</v>
      </c>
      <c r="R1734" s="110">
        <f t="shared" si="143"/>
        <v>0</v>
      </c>
      <c r="S1734" s="112">
        <v>0</v>
      </c>
    </row>
    <row r="1735" spans="1:19">
      <c r="A1735" s="79"/>
      <c r="B1735" s="77" t="s">
        <v>193</v>
      </c>
      <c r="C1735" s="76" t="s">
        <v>4</v>
      </c>
      <c r="D1735" s="143">
        <v>3</v>
      </c>
      <c r="E1735" s="50"/>
      <c r="F1735" s="334"/>
      <c r="G1735" s="112">
        <v>0</v>
      </c>
      <c r="H1735" s="120">
        <v>0</v>
      </c>
      <c r="I1735" s="120">
        <v>0</v>
      </c>
      <c r="J1735" s="120">
        <v>0</v>
      </c>
      <c r="K1735" s="110">
        <v>0</v>
      </c>
      <c r="L1735" s="110"/>
      <c r="M1735" s="110">
        <v>0</v>
      </c>
      <c r="N1735" s="110"/>
      <c r="O1735" s="110"/>
      <c r="P1735" s="110">
        <f t="shared" si="141"/>
        <v>0</v>
      </c>
      <c r="Q1735" s="110">
        <f t="shared" si="142"/>
        <v>0</v>
      </c>
      <c r="R1735" s="110">
        <f t="shared" si="143"/>
        <v>0</v>
      </c>
      <c r="S1735" s="112">
        <v>0</v>
      </c>
    </row>
    <row r="1736" spans="1:19">
      <c r="A1736" s="79"/>
      <c r="B1736" s="77" t="s">
        <v>14</v>
      </c>
      <c r="C1736" s="76" t="s">
        <v>4</v>
      </c>
      <c r="D1736" s="143">
        <v>3</v>
      </c>
      <c r="E1736" s="437"/>
      <c r="F1736" s="334"/>
      <c r="G1736" s="112">
        <v>0</v>
      </c>
      <c r="H1736" s="120">
        <v>0</v>
      </c>
      <c r="I1736" s="120">
        <v>0</v>
      </c>
      <c r="J1736" s="120">
        <v>0</v>
      </c>
      <c r="K1736" s="110">
        <v>0</v>
      </c>
      <c r="L1736" s="110"/>
      <c r="M1736" s="110">
        <v>0</v>
      </c>
      <c r="N1736" s="110"/>
      <c r="O1736" s="110"/>
      <c r="P1736" s="110">
        <f t="shared" si="141"/>
        <v>0</v>
      </c>
      <c r="Q1736" s="110">
        <f t="shared" si="142"/>
        <v>0</v>
      </c>
      <c r="R1736" s="110">
        <f t="shared" si="143"/>
        <v>0</v>
      </c>
      <c r="S1736" s="112">
        <v>0</v>
      </c>
    </row>
    <row r="1737" spans="1:19">
      <c r="A1737" s="79"/>
      <c r="B1737" s="77" t="s">
        <v>153</v>
      </c>
      <c r="C1737" s="76" t="s">
        <v>4</v>
      </c>
      <c r="D1737" s="143">
        <v>3</v>
      </c>
      <c r="E1737" s="75"/>
      <c r="F1737" s="334"/>
      <c r="G1737" s="112">
        <v>0</v>
      </c>
      <c r="H1737" s="120">
        <v>0</v>
      </c>
      <c r="I1737" s="120">
        <v>0</v>
      </c>
      <c r="J1737" s="120">
        <v>0</v>
      </c>
      <c r="K1737" s="110">
        <v>0</v>
      </c>
      <c r="L1737" s="110"/>
      <c r="M1737" s="110">
        <v>0</v>
      </c>
      <c r="N1737" s="110"/>
      <c r="O1737" s="110"/>
      <c r="P1737" s="110">
        <f t="shared" si="141"/>
        <v>0</v>
      </c>
      <c r="Q1737" s="110">
        <f t="shared" si="142"/>
        <v>0</v>
      </c>
      <c r="R1737" s="110">
        <f t="shared" si="143"/>
        <v>0</v>
      </c>
      <c r="S1737" s="112">
        <v>0</v>
      </c>
    </row>
    <row r="1738" spans="1:19">
      <c r="A1738" s="79"/>
      <c r="B1738" s="77" t="s">
        <v>154</v>
      </c>
      <c r="C1738" s="76"/>
      <c r="D1738" s="143"/>
      <c r="E1738" s="73"/>
      <c r="F1738" s="73"/>
      <c r="G1738" s="112">
        <v>0</v>
      </c>
      <c r="H1738" s="120">
        <v>0</v>
      </c>
      <c r="I1738" s="120">
        <v>0</v>
      </c>
      <c r="J1738" s="120">
        <v>0</v>
      </c>
      <c r="K1738" s="110">
        <v>0</v>
      </c>
      <c r="L1738" s="110"/>
      <c r="M1738" s="110">
        <v>0</v>
      </c>
      <c r="N1738" s="110"/>
      <c r="O1738" s="110"/>
      <c r="P1738" s="110">
        <f t="shared" si="141"/>
        <v>0</v>
      </c>
      <c r="Q1738" s="110">
        <f t="shared" si="142"/>
        <v>0</v>
      </c>
      <c r="R1738" s="110">
        <f t="shared" si="143"/>
        <v>0</v>
      </c>
      <c r="S1738" s="112">
        <v>0</v>
      </c>
    </row>
    <row r="1739" spans="1:19">
      <c r="A1739" s="79"/>
      <c r="B1739" s="77" t="s">
        <v>410</v>
      </c>
      <c r="C1739" s="76" t="s">
        <v>4</v>
      </c>
      <c r="D1739" s="143">
        <v>2</v>
      </c>
      <c r="E1739" s="50"/>
      <c r="F1739" s="334"/>
      <c r="G1739" s="112">
        <v>0</v>
      </c>
      <c r="H1739" s="120">
        <v>0</v>
      </c>
      <c r="I1739" s="120">
        <v>0</v>
      </c>
      <c r="J1739" s="120">
        <v>0</v>
      </c>
      <c r="K1739" s="110">
        <v>0</v>
      </c>
      <c r="L1739" s="110"/>
      <c r="M1739" s="110">
        <v>0</v>
      </c>
      <c r="N1739" s="110"/>
      <c r="O1739" s="110"/>
      <c r="P1739" s="110">
        <f t="shared" si="141"/>
        <v>0</v>
      </c>
      <c r="Q1739" s="110">
        <f t="shared" si="142"/>
        <v>0</v>
      </c>
      <c r="R1739" s="110">
        <f t="shared" si="143"/>
        <v>0</v>
      </c>
      <c r="S1739" s="112">
        <v>0</v>
      </c>
    </row>
    <row r="1740" spans="1:19">
      <c r="A1740" s="79"/>
      <c r="B1740" s="77" t="s">
        <v>158</v>
      </c>
      <c r="C1740" s="76" t="s">
        <v>4</v>
      </c>
      <c r="D1740" s="143">
        <v>1</v>
      </c>
      <c r="E1740" s="57"/>
      <c r="F1740" s="334"/>
      <c r="G1740" s="112">
        <v>0</v>
      </c>
      <c r="H1740" s="120">
        <v>0</v>
      </c>
      <c r="I1740" s="120">
        <v>0</v>
      </c>
      <c r="J1740" s="120">
        <v>0</v>
      </c>
      <c r="K1740" s="110">
        <v>0</v>
      </c>
      <c r="L1740" s="110"/>
      <c r="M1740" s="110">
        <v>0</v>
      </c>
      <c r="N1740" s="110"/>
      <c r="O1740" s="110"/>
      <c r="P1740" s="110">
        <f t="shared" si="141"/>
        <v>0</v>
      </c>
      <c r="Q1740" s="110">
        <f t="shared" si="142"/>
        <v>0</v>
      </c>
      <c r="R1740" s="110">
        <f t="shared" si="143"/>
        <v>0</v>
      </c>
      <c r="S1740" s="112">
        <v>0</v>
      </c>
    </row>
    <row r="1741" spans="1:19">
      <c r="A1741" s="79"/>
      <c r="B1741" s="77" t="s">
        <v>411</v>
      </c>
      <c r="C1741" s="76" t="s">
        <v>8</v>
      </c>
      <c r="D1741" s="143">
        <v>2</v>
      </c>
      <c r="E1741" s="50"/>
      <c r="F1741" s="334"/>
      <c r="G1741" s="112">
        <v>0</v>
      </c>
      <c r="H1741" s="120">
        <v>0</v>
      </c>
      <c r="I1741" s="120">
        <v>0</v>
      </c>
      <c r="J1741" s="120">
        <v>0</v>
      </c>
      <c r="K1741" s="110">
        <v>0</v>
      </c>
      <c r="L1741" s="110"/>
      <c r="M1741" s="110">
        <v>0</v>
      </c>
      <c r="N1741" s="110"/>
      <c r="O1741" s="110"/>
      <c r="P1741" s="110">
        <f t="shared" si="141"/>
        <v>0</v>
      </c>
      <c r="Q1741" s="110">
        <f t="shared" si="142"/>
        <v>0</v>
      </c>
      <c r="R1741" s="110">
        <f t="shared" si="143"/>
        <v>0</v>
      </c>
      <c r="S1741" s="112">
        <v>0</v>
      </c>
    </row>
    <row r="1742" spans="1:19">
      <c r="A1742" s="79"/>
      <c r="B1742" s="77" t="s">
        <v>172</v>
      </c>
      <c r="C1742" s="76" t="s">
        <v>4</v>
      </c>
      <c r="D1742" s="143">
        <v>2</v>
      </c>
      <c r="E1742" s="50"/>
      <c r="F1742" s="334"/>
      <c r="G1742" s="112">
        <v>0</v>
      </c>
      <c r="H1742" s="120">
        <v>0</v>
      </c>
      <c r="I1742" s="120">
        <v>0</v>
      </c>
      <c r="J1742" s="120">
        <v>0</v>
      </c>
      <c r="K1742" s="110">
        <v>0</v>
      </c>
      <c r="L1742" s="110"/>
      <c r="M1742" s="110">
        <v>0</v>
      </c>
      <c r="N1742" s="110"/>
      <c r="O1742" s="110"/>
      <c r="P1742" s="110">
        <f t="shared" si="141"/>
        <v>0</v>
      </c>
      <c r="Q1742" s="110">
        <f t="shared" si="142"/>
        <v>0</v>
      </c>
      <c r="R1742" s="110">
        <f t="shared" si="143"/>
        <v>0</v>
      </c>
      <c r="S1742" s="112">
        <v>0</v>
      </c>
    </row>
    <row r="1743" spans="1:19">
      <c r="A1743" s="79"/>
      <c r="B1743" s="77" t="s">
        <v>173</v>
      </c>
      <c r="C1743" s="76" t="s">
        <v>4</v>
      </c>
      <c r="D1743" s="143">
        <v>2</v>
      </c>
      <c r="E1743" s="50"/>
      <c r="F1743" s="334"/>
      <c r="G1743" s="112">
        <v>0</v>
      </c>
      <c r="H1743" s="120">
        <v>0</v>
      </c>
      <c r="I1743" s="120">
        <v>0</v>
      </c>
      <c r="J1743" s="120">
        <v>0</v>
      </c>
      <c r="K1743" s="110">
        <v>0</v>
      </c>
      <c r="L1743" s="110"/>
      <c r="M1743" s="110">
        <v>0</v>
      </c>
      <c r="N1743" s="110"/>
      <c r="O1743" s="110"/>
      <c r="P1743" s="110">
        <f t="shared" si="141"/>
        <v>0</v>
      </c>
      <c r="Q1743" s="110">
        <f t="shared" si="142"/>
        <v>0</v>
      </c>
      <c r="R1743" s="110">
        <f t="shared" si="143"/>
        <v>0</v>
      </c>
      <c r="S1743" s="112">
        <v>0</v>
      </c>
    </row>
    <row r="1744" spans="1:19">
      <c r="A1744" s="79"/>
      <c r="B1744" s="77" t="s">
        <v>174</v>
      </c>
      <c r="C1744" s="76" t="s">
        <v>4</v>
      </c>
      <c r="D1744" s="143">
        <v>2</v>
      </c>
      <c r="E1744" s="50"/>
      <c r="F1744" s="334"/>
      <c r="G1744" s="112">
        <v>0</v>
      </c>
      <c r="H1744" s="120">
        <v>0</v>
      </c>
      <c r="I1744" s="120">
        <v>0</v>
      </c>
      <c r="J1744" s="120">
        <v>0</v>
      </c>
      <c r="K1744" s="110">
        <v>0</v>
      </c>
      <c r="L1744" s="110"/>
      <c r="M1744" s="110">
        <v>0</v>
      </c>
      <c r="N1744" s="110"/>
      <c r="O1744" s="110"/>
      <c r="P1744" s="110">
        <f t="shared" si="141"/>
        <v>0</v>
      </c>
      <c r="Q1744" s="110">
        <f t="shared" si="142"/>
        <v>0</v>
      </c>
      <c r="R1744" s="110">
        <f t="shared" si="143"/>
        <v>0</v>
      </c>
      <c r="S1744" s="112">
        <v>0</v>
      </c>
    </row>
    <row r="1745" spans="1:19">
      <c r="A1745" s="79"/>
      <c r="B1745" s="77" t="s">
        <v>175</v>
      </c>
      <c r="C1745" s="76" t="s">
        <v>4</v>
      </c>
      <c r="D1745" s="143">
        <v>2</v>
      </c>
      <c r="E1745" s="74"/>
      <c r="F1745" s="334"/>
      <c r="G1745" s="112">
        <v>0</v>
      </c>
      <c r="H1745" s="120">
        <v>0</v>
      </c>
      <c r="I1745" s="120">
        <v>0</v>
      </c>
      <c r="J1745" s="120">
        <v>0</v>
      </c>
      <c r="K1745" s="110">
        <v>0</v>
      </c>
      <c r="L1745" s="110"/>
      <c r="M1745" s="110">
        <v>0</v>
      </c>
      <c r="N1745" s="110"/>
      <c r="O1745" s="110"/>
      <c r="P1745" s="110">
        <f t="shared" si="141"/>
        <v>0</v>
      </c>
      <c r="Q1745" s="110">
        <f t="shared" si="142"/>
        <v>0</v>
      </c>
      <c r="R1745" s="110">
        <f t="shared" si="143"/>
        <v>0</v>
      </c>
      <c r="S1745" s="112">
        <v>0</v>
      </c>
    </row>
    <row r="1746" spans="1:19">
      <c r="A1746" s="79"/>
      <c r="B1746" s="77" t="s">
        <v>176</v>
      </c>
      <c r="C1746" s="76" t="s">
        <v>4</v>
      </c>
      <c r="D1746" s="143">
        <v>4</v>
      </c>
      <c r="E1746" s="74"/>
      <c r="F1746" s="334"/>
      <c r="G1746" s="112">
        <v>0</v>
      </c>
      <c r="H1746" s="120">
        <v>0</v>
      </c>
      <c r="I1746" s="120">
        <v>0</v>
      </c>
      <c r="J1746" s="120">
        <v>0</v>
      </c>
      <c r="K1746" s="110">
        <v>0</v>
      </c>
      <c r="L1746" s="110"/>
      <c r="M1746" s="110">
        <v>0</v>
      </c>
      <c r="N1746" s="110"/>
      <c r="O1746" s="110"/>
      <c r="P1746" s="110">
        <f t="shared" si="141"/>
        <v>0</v>
      </c>
      <c r="Q1746" s="110">
        <f t="shared" si="142"/>
        <v>0</v>
      </c>
      <c r="R1746" s="110">
        <f t="shared" si="143"/>
        <v>0</v>
      </c>
      <c r="S1746" s="112">
        <v>0</v>
      </c>
    </row>
    <row r="1747" spans="1:19">
      <c r="A1747" s="79"/>
      <c r="B1747" s="77" t="s">
        <v>177</v>
      </c>
      <c r="C1747" s="76" t="s">
        <v>17</v>
      </c>
      <c r="D1747" s="143">
        <v>1</v>
      </c>
      <c r="E1747" s="74"/>
      <c r="F1747" s="334"/>
      <c r="G1747" s="112">
        <v>0</v>
      </c>
      <c r="H1747" s="120">
        <v>0</v>
      </c>
      <c r="I1747" s="120">
        <v>0</v>
      </c>
      <c r="J1747" s="120">
        <v>0</v>
      </c>
      <c r="K1747" s="110">
        <v>0</v>
      </c>
      <c r="L1747" s="110"/>
      <c r="M1747" s="110">
        <v>0</v>
      </c>
      <c r="N1747" s="110"/>
      <c r="O1747" s="110"/>
      <c r="P1747" s="110">
        <f t="shared" si="141"/>
        <v>0</v>
      </c>
      <c r="Q1747" s="110">
        <f t="shared" si="142"/>
        <v>0</v>
      </c>
      <c r="R1747" s="110">
        <f t="shared" si="143"/>
        <v>0</v>
      </c>
      <c r="S1747" s="112">
        <v>0</v>
      </c>
    </row>
    <row r="1748" spans="1:19">
      <c r="A1748" s="79"/>
      <c r="B1748" s="77" t="s">
        <v>163</v>
      </c>
      <c r="C1748" s="76" t="s">
        <v>4</v>
      </c>
      <c r="D1748" s="143">
        <v>1</v>
      </c>
      <c r="E1748" s="74"/>
      <c r="F1748" s="334"/>
      <c r="G1748" s="112">
        <v>0</v>
      </c>
      <c r="H1748" s="120">
        <v>0</v>
      </c>
      <c r="I1748" s="120">
        <v>0</v>
      </c>
      <c r="J1748" s="120">
        <v>0</v>
      </c>
      <c r="K1748" s="110">
        <v>0</v>
      </c>
      <c r="L1748" s="110"/>
      <c r="M1748" s="110">
        <v>0</v>
      </c>
      <c r="N1748" s="110"/>
      <c r="O1748" s="110"/>
      <c r="P1748" s="110">
        <f t="shared" si="141"/>
        <v>0</v>
      </c>
      <c r="Q1748" s="110">
        <f t="shared" si="142"/>
        <v>0</v>
      </c>
      <c r="R1748" s="110">
        <f t="shared" si="143"/>
        <v>0</v>
      </c>
      <c r="S1748" s="112">
        <v>0</v>
      </c>
    </row>
    <row r="1749" spans="1:19" ht="30">
      <c r="A1749" s="79"/>
      <c r="B1749" s="77" t="s">
        <v>189</v>
      </c>
      <c r="C1749" s="76" t="s">
        <v>8</v>
      </c>
      <c r="D1749" s="143">
        <v>1</v>
      </c>
      <c r="E1749" s="74"/>
      <c r="F1749" s="334"/>
      <c r="G1749" s="112">
        <v>0</v>
      </c>
      <c r="H1749" s="120">
        <v>0</v>
      </c>
      <c r="I1749" s="120">
        <v>0</v>
      </c>
      <c r="J1749" s="120">
        <v>0</v>
      </c>
      <c r="K1749" s="110">
        <v>0</v>
      </c>
      <c r="L1749" s="110"/>
      <c r="M1749" s="110">
        <v>0</v>
      </c>
      <c r="N1749" s="110"/>
      <c r="O1749" s="110"/>
      <c r="P1749" s="110">
        <f t="shared" si="141"/>
        <v>0</v>
      </c>
      <c r="Q1749" s="110">
        <f t="shared" si="142"/>
        <v>0</v>
      </c>
      <c r="R1749" s="110">
        <f t="shared" si="143"/>
        <v>0</v>
      </c>
      <c r="S1749" s="112">
        <v>0</v>
      </c>
    </row>
    <row r="1750" spans="1:19" ht="45">
      <c r="A1750" s="79"/>
      <c r="B1750" s="77" t="s">
        <v>166</v>
      </c>
      <c r="C1750" s="76" t="s">
        <v>17</v>
      </c>
      <c r="D1750" s="143">
        <v>1</v>
      </c>
      <c r="E1750" s="74"/>
      <c r="F1750" s="334"/>
      <c r="G1750" s="112">
        <v>0</v>
      </c>
      <c r="H1750" s="120">
        <v>0</v>
      </c>
      <c r="I1750" s="120">
        <v>0</v>
      </c>
      <c r="J1750" s="120">
        <v>0</v>
      </c>
      <c r="K1750" s="110">
        <v>0</v>
      </c>
      <c r="L1750" s="110"/>
      <c r="M1750" s="110">
        <v>0</v>
      </c>
      <c r="N1750" s="110"/>
      <c r="O1750" s="110"/>
      <c r="P1750" s="110">
        <f t="shared" si="141"/>
        <v>0</v>
      </c>
      <c r="Q1750" s="110">
        <f t="shared" si="142"/>
        <v>0</v>
      </c>
      <c r="R1750" s="110">
        <f t="shared" si="143"/>
        <v>0</v>
      </c>
      <c r="S1750" s="112">
        <v>0</v>
      </c>
    </row>
    <row r="1751" spans="1:19" ht="60">
      <c r="A1751" s="79">
        <v>64</v>
      </c>
      <c r="B1751" s="77" t="s">
        <v>412</v>
      </c>
      <c r="C1751" s="76" t="s">
        <v>6</v>
      </c>
      <c r="D1751" s="143">
        <v>1</v>
      </c>
      <c r="E1751" s="73"/>
      <c r="F1751" s="334">
        <v>1</v>
      </c>
      <c r="G1751" s="112" t="s">
        <v>412</v>
      </c>
      <c r="H1751" s="120" t="s">
        <v>1076</v>
      </c>
      <c r="I1751" s="120" t="s">
        <v>828</v>
      </c>
      <c r="J1751" s="120" t="s">
        <v>829</v>
      </c>
      <c r="K1751" s="110">
        <v>16054600</v>
      </c>
      <c r="L1751" s="110"/>
      <c r="M1751" s="110">
        <v>2821000</v>
      </c>
      <c r="N1751" s="110"/>
      <c r="O1751" s="110"/>
      <c r="P1751" s="110">
        <f t="shared" si="141"/>
        <v>18875600</v>
      </c>
      <c r="Q1751" s="110">
        <f t="shared" si="142"/>
        <v>18875600</v>
      </c>
      <c r="R1751" s="110">
        <f t="shared" si="143"/>
        <v>18875600</v>
      </c>
      <c r="S1751" s="112" t="s">
        <v>4094</v>
      </c>
    </row>
    <row r="1752" spans="1:19" ht="45">
      <c r="A1752" s="79"/>
      <c r="B1752" s="77" t="s">
        <v>182</v>
      </c>
      <c r="C1752" s="76" t="s">
        <v>4</v>
      </c>
      <c r="D1752" s="143">
        <v>1</v>
      </c>
      <c r="E1752" s="74"/>
      <c r="F1752" s="334"/>
      <c r="G1752" s="112">
        <v>0</v>
      </c>
      <c r="H1752" s="120">
        <v>0</v>
      </c>
      <c r="I1752" s="120">
        <v>0</v>
      </c>
      <c r="J1752" s="120">
        <v>0</v>
      </c>
      <c r="K1752" s="110">
        <v>0</v>
      </c>
      <c r="L1752" s="110"/>
      <c r="M1752" s="110">
        <v>0</v>
      </c>
      <c r="N1752" s="110"/>
      <c r="O1752" s="110"/>
      <c r="P1752" s="110">
        <f t="shared" si="141"/>
        <v>0</v>
      </c>
      <c r="Q1752" s="110">
        <f t="shared" si="142"/>
        <v>0</v>
      </c>
      <c r="R1752" s="110">
        <f t="shared" si="143"/>
        <v>0</v>
      </c>
      <c r="S1752" s="112" t="s">
        <v>150</v>
      </c>
    </row>
    <row r="1753" spans="1:19">
      <c r="A1753" s="79"/>
      <c r="B1753" s="77" t="s">
        <v>151</v>
      </c>
      <c r="C1753" s="76"/>
      <c r="D1753" s="143"/>
      <c r="E1753" s="74"/>
      <c r="F1753" s="74"/>
      <c r="G1753" s="112">
        <v>0</v>
      </c>
      <c r="H1753" s="120">
        <v>0</v>
      </c>
      <c r="I1753" s="120">
        <v>0</v>
      </c>
      <c r="J1753" s="120">
        <v>0</v>
      </c>
      <c r="K1753" s="110">
        <v>0</v>
      </c>
      <c r="L1753" s="110"/>
      <c r="M1753" s="110">
        <v>0</v>
      </c>
      <c r="N1753" s="110"/>
      <c r="O1753" s="110"/>
      <c r="P1753" s="110">
        <f t="shared" si="141"/>
        <v>0</v>
      </c>
      <c r="Q1753" s="110">
        <f t="shared" si="142"/>
        <v>0</v>
      </c>
      <c r="R1753" s="110">
        <f t="shared" si="143"/>
        <v>0</v>
      </c>
      <c r="S1753" s="112">
        <v>0</v>
      </c>
    </row>
    <row r="1754" spans="1:19">
      <c r="A1754" s="79"/>
      <c r="B1754" s="77" t="s">
        <v>406</v>
      </c>
      <c r="C1754" s="76" t="s">
        <v>4</v>
      </c>
      <c r="D1754" s="143">
        <v>1</v>
      </c>
      <c r="E1754" s="74"/>
      <c r="F1754" s="334"/>
      <c r="G1754" s="112">
        <v>0</v>
      </c>
      <c r="H1754" s="120">
        <v>0</v>
      </c>
      <c r="I1754" s="120">
        <v>0</v>
      </c>
      <c r="J1754" s="120">
        <v>0</v>
      </c>
      <c r="K1754" s="110">
        <v>0</v>
      </c>
      <c r="L1754" s="110"/>
      <c r="M1754" s="110">
        <v>0</v>
      </c>
      <c r="N1754" s="110"/>
      <c r="O1754" s="110"/>
      <c r="P1754" s="110">
        <f t="shared" si="141"/>
        <v>0</v>
      </c>
      <c r="Q1754" s="110">
        <f t="shared" si="142"/>
        <v>0</v>
      </c>
      <c r="R1754" s="110">
        <f t="shared" si="143"/>
        <v>0</v>
      </c>
      <c r="S1754" s="112">
        <v>0</v>
      </c>
    </row>
    <row r="1755" spans="1:19">
      <c r="A1755" s="79"/>
      <c r="B1755" s="77" t="s">
        <v>192</v>
      </c>
      <c r="C1755" s="76" t="s">
        <v>12</v>
      </c>
      <c r="D1755" s="143">
        <v>3</v>
      </c>
      <c r="E1755" s="74"/>
      <c r="F1755" s="334"/>
      <c r="G1755" s="112">
        <v>0</v>
      </c>
      <c r="H1755" s="120">
        <v>0</v>
      </c>
      <c r="I1755" s="120">
        <v>0</v>
      </c>
      <c r="J1755" s="120">
        <v>0</v>
      </c>
      <c r="K1755" s="110">
        <v>0</v>
      </c>
      <c r="L1755" s="110"/>
      <c r="M1755" s="110">
        <v>0</v>
      </c>
      <c r="N1755" s="110"/>
      <c r="O1755" s="110"/>
      <c r="P1755" s="110">
        <f t="shared" si="141"/>
        <v>0</v>
      </c>
      <c r="Q1755" s="110">
        <f t="shared" si="142"/>
        <v>0</v>
      </c>
      <c r="R1755" s="110">
        <f t="shared" si="143"/>
        <v>0</v>
      </c>
      <c r="S1755" s="112">
        <v>0</v>
      </c>
    </row>
    <row r="1756" spans="1:19">
      <c r="A1756" s="79"/>
      <c r="B1756" s="77" t="s">
        <v>29</v>
      </c>
      <c r="C1756" s="76" t="s">
        <v>4</v>
      </c>
      <c r="D1756" s="143">
        <v>1</v>
      </c>
      <c r="E1756" s="75"/>
      <c r="F1756" s="334"/>
      <c r="G1756" s="112">
        <v>0</v>
      </c>
      <c r="H1756" s="120">
        <v>0</v>
      </c>
      <c r="I1756" s="120">
        <v>0</v>
      </c>
      <c r="J1756" s="120">
        <v>0</v>
      </c>
      <c r="K1756" s="110">
        <v>0</v>
      </c>
      <c r="L1756" s="110"/>
      <c r="M1756" s="110">
        <v>0</v>
      </c>
      <c r="N1756" s="110"/>
      <c r="O1756" s="110"/>
      <c r="P1756" s="110">
        <f t="shared" si="141"/>
        <v>0</v>
      </c>
      <c r="Q1756" s="110">
        <f t="shared" si="142"/>
        <v>0</v>
      </c>
      <c r="R1756" s="110">
        <f t="shared" si="143"/>
        <v>0</v>
      </c>
      <c r="S1756" s="112">
        <v>0</v>
      </c>
    </row>
    <row r="1757" spans="1:19">
      <c r="A1757" s="79"/>
      <c r="B1757" s="77" t="s">
        <v>30</v>
      </c>
      <c r="C1757" s="76" t="s">
        <v>4</v>
      </c>
      <c r="D1757" s="143">
        <v>1</v>
      </c>
      <c r="E1757" s="73"/>
      <c r="F1757" s="334"/>
      <c r="G1757" s="112">
        <v>0</v>
      </c>
      <c r="H1757" s="120">
        <v>0</v>
      </c>
      <c r="I1757" s="120">
        <v>0</v>
      </c>
      <c r="J1757" s="120">
        <v>0</v>
      </c>
      <c r="K1757" s="110">
        <v>0</v>
      </c>
      <c r="L1757" s="110"/>
      <c r="M1757" s="110">
        <v>0</v>
      </c>
      <c r="N1757" s="110"/>
      <c r="O1757" s="110"/>
      <c r="P1757" s="110">
        <f t="shared" si="141"/>
        <v>0</v>
      </c>
      <c r="Q1757" s="110">
        <f t="shared" si="142"/>
        <v>0</v>
      </c>
      <c r="R1757" s="110">
        <f t="shared" si="143"/>
        <v>0</v>
      </c>
      <c r="S1757" s="112">
        <v>0</v>
      </c>
    </row>
    <row r="1758" spans="1:19">
      <c r="A1758" s="79"/>
      <c r="B1758" s="77" t="s">
        <v>193</v>
      </c>
      <c r="C1758" s="76" t="s">
        <v>4</v>
      </c>
      <c r="D1758" s="143">
        <v>3</v>
      </c>
      <c r="E1758" s="50"/>
      <c r="F1758" s="334"/>
      <c r="G1758" s="112">
        <v>0</v>
      </c>
      <c r="H1758" s="120">
        <v>0</v>
      </c>
      <c r="I1758" s="120">
        <v>0</v>
      </c>
      <c r="J1758" s="120">
        <v>0</v>
      </c>
      <c r="K1758" s="110">
        <v>0</v>
      </c>
      <c r="L1758" s="110"/>
      <c r="M1758" s="110">
        <v>0</v>
      </c>
      <c r="N1758" s="110"/>
      <c r="O1758" s="110"/>
      <c r="P1758" s="110">
        <f t="shared" si="141"/>
        <v>0</v>
      </c>
      <c r="Q1758" s="110">
        <f t="shared" si="142"/>
        <v>0</v>
      </c>
      <c r="R1758" s="110">
        <f t="shared" si="143"/>
        <v>0</v>
      </c>
      <c r="S1758" s="112">
        <v>0</v>
      </c>
    </row>
    <row r="1759" spans="1:19">
      <c r="A1759" s="79"/>
      <c r="B1759" s="77" t="s">
        <v>14</v>
      </c>
      <c r="C1759" s="76" t="s">
        <v>4</v>
      </c>
      <c r="D1759" s="143">
        <v>3</v>
      </c>
      <c r="E1759" s="57"/>
      <c r="F1759" s="334"/>
      <c r="G1759" s="112">
        <v>0</v>
      </c>
      <c r="H1759" s="120">
        <v>0</v>
      </c>
      <c r="I1759" s="120">
        <v>0</v>
      </c>
      <c r="J1759" s="120">
        <v>0</v>
      </c>
      <c r="K1759" s="110">
        <v>0</v>
      </c>
      <c r="L1759" s="110"/>
      <c r="M1759" s="110">
        <v>0</v>
      </c>
      <c r="N1759" s="110"/>
      <c r="O1759" s="110"/>
      <c r="P1759" s="110">
        <f t="shared" si="141"/>
        <v>0</v>
      </c>
      <c r="Q1759" s="110">
        <f t="shared" si="142"/>
        <v>0</v>
      </c>
      <c r="R1759" s="110">
        <f t="shared" si="143"/>
        <v>0</v>
      </c>
      <c r="S1759" s="112">
        <v>0</v>
      </c>
    </row>
    <row r="1760" spans="1:19">
      <c r="A1760" s="79"/>
      <c r="B1760" s="77" t="s">
        <v>153</v>
      </c>
      <c r="C1760" s="76" t="s">
        <v>4</v>
      </c>
      <c r="D1760" s="143">
        <v>3</v>
      </c>
      <c r="E1760" s="50"/>
      <c r="F1760" s="334"/>
      <c r="G1760" s="112">
        <v>0</v>
      </c>
      <c r="H1760" s="120">
        <v>0</v>
      </c>
      <c r="I1760" s="120">
        <v>0</v>
      </c>
      <c r="J1760" s="120">
        <v>0</v>
      </c>
      <c r="K1760" s="110">
        <v>0</v>
      </c>
      <c r="L1760" s="110"/>
      <c r="M1760" s="110">
        <v>0</v>
      </c>
      <c r="N1760" s="110"/>
      <c r="O1760" s="110"/>
      <c r="P1760" s="110">
        <f t="shared" si="141"/>
        <v>0</v>
      </c>
      <c r="Q1760" s="110">
        <f t="shared" si="142"/>
        <v>0</v>
      </c>
      <c r="R1760" s="110">
        <f t="shared" si="143"/>
        <v>0</v>
      </c>
      <c r="S1760" s="112">
        <v>0</v>
      </c>
    </row>
    <row r="1761" spans="1:19">
      <c r="A1761" s="79"/>
      <c r="B1761" s="77" t="s">
        <v>154</v>
      </c>
      <c r="C1761" s="76"/>
      <c r="D1761" s="143"/>
      <c r="E1761" s="50"/>
      <c r="F1761" s="50"/>
      <c r="G1761" s="112">
        <v>0</v>
      </c>
      <c r="H1761" s="120">
        <v>0</v>
      </c>
      <c r="I1761" s="120">
        <v>0</v>
      </c>
      <c r="J1761" s="120">
        <v>0</v>
      </c>
      <c r="K1761" s="110">
        <v>0</v>
      </c>
      <c r="L1761" s="110"/>
      <c r="M1761" s="110">
        <v>0</v>
      </c>
      <c r="N1761" s="110"/>
      <c r="O1761" s="110"/>
      <c r="P1761" s="110">
        <f t="shared" si="141"/>
        <v>0</v>
      </c>
      <c r="Q1761" s="110">
        <f t="shared" si="142"/>
        <v>0</v>
      </c>
      <c r="R1761" s="110">
        <f t="shared" si="143"/>
        <v>0</v>
      </c>
      <c r="S1761" s="112">
        <v>0</v>
      </c>
    </row>
    <row r="1762" spans="1:19">
      <c r="A1762" s="79"/>
      <c r="B1762" s="77" t="s">
        <v>410</v>
      </c>
      <c r="C1762" s="76" t="s">
        <v>4</v>
      </c>
      <c r="D1762" s="143">
        <v>2</v>
      </c>
      <c r="E1762" s="50"/>
      <c r="F1762" s="334"/>
      <c r="G1762" s="112">
        <v>0</v>
      </c>
      <c r="H1762" s="120">
        <v>0</v>
      </c>
      <c r="I1762" s="120">
        <v>0</v>
      </c>
      <c r="J1762" s="120">
        <v>0</v>
      </c>
      <c r="K1762" s="110">
        <v>0</v>
      </c>
      <c r="L1762" s="110"/>
      <c r="M1762" s="110">
        <v>0</v>
      </c>
      <c r="N1762" s="110"/>
      <c r="O1762" s="110"/>
      <c r="P1762" s="110">
        <f t="shared" si="141"/>
        <v>0</v>
      </c>
      <c r="Q1762" s="110">
        <f t="shared" si="142"/>
        <v>0</v>
      </c>
      <c r="R1762" s="110">
        <f t="shared" si="143"/>
        <v>0</v>
      </c>
      <c r="S1762" s="112">
        <v>0</v>
      </c>
    </row>
    <row r="1763" spans="1:19">
      <c r="A1763" s="79"/>
      <c r="B1763" s="77" t="s">
        <v>158</v>
      </c>
      <c r="C1763" s="76" t="s">
        <v>4</v>
      </c>
      <c r="D1763" s="143">
        <v>1</v>
      </c>
      <c r="E1763" s="50"/>
      <c r="F1763" s="334"/>
      <c r="G1763" s="112">
        <v>0</v>
      </c>
      <c r="H1763" s="120">
        <v>0</v>
      </c>
      <c r="I1763" s="120">
        <v>0</v>
      </c>
      <c r="J1763" s="120">
        <v>0</v>
      </c>
      <c r="K1763" s="110">
        <v>0</v>
      </c>
      <c r="L1763" s="110"/>
      <c r="M1763" s="110">
        <v>0</v>
      </c>
      <c r="N1763" s="110"/>
      <c r="O1763" s="110"/>
      <c r="P1763" s="110">
        <f t="shared" si="141"/>
        <v>0</v>
      </c>
      <c r="Q1763" s="110">
        <f t="shared" si="142"/>
        <v>0</v>
      </c>
      <c r="R1763" s="110">
        <f t="shared" si="143"/>
        <v>0</v>
      </c>
      <c r="S1763" s="112">
        <v>0</v>
      </c>
    </row>
    <row r="1764" spans="1:19">
      <c r="A1764" s="79"/>
      <c r="B1764" s="77" t="s">
        <v>216</v>
      </c>
      <c r="C1764" s="76" t="s">
        <v>8</v>
      </c>
      <c r="D1764" s="143">
        <v>2</v>
      </c>
      <c r="E1764" s="74"/>
      <c r="F1764" s="334"/>
      <c r="G1764" s="112">
        <v>0</v>
      </c>
      <c r="H1764" s="120">
        <v>0</v>
      </c>
      <c r="I1764" s="120">
        <v>0</v>
      </c>
      <c r="J1764" s="120">
        <v>0</v>
      </c>
      <c r="K1764" s="110">
        <v>0</v>
      </c>
      <c r="L1764" s="110"/>
      <c r="M1764" s="110">
        <v>0</v>
      </c>
      <c r="N1764" s="110"/>
      <c r="O1764" s="110"/>
      <c r="P1764" s="110">
        <f t="shared" si="141"/>
        <v>0</v>
      </c>
      <c r="Q1764" s="110">
        <f t="shared" si="142"/>
        <v>0</v>
      </c>
      <c r="R1764" s="110">
        <f t="shared" si="143"/>
        <v>0</v>
      </c>
      <c r="S1764" s="112">
        <v>0</v>
      </c>
    </row>
    <row r="1765" spans="1:19">
      <c r="A1765" s="79"/>
      <c r="B1765" s="77" t="s">
        <v>172</v>
      </c>
      <c r="C1765" s="76" t="s">
        <v>4</v>
      </c>
      <c r="D1765" s="143">
        <v>2</v>
      </c>
      <c r="E1765" s="74"/>
      <c r="F1765" s="334"/>
      <c r="G1765" s="112">
        <v>0</v>
      </c>
      <c r="H1765" s="120">
        <v>0</v>
      </c>
      <c r="I1765" s="120">
        <v>0</v>
      </c>
      <c r="J1765" s="120">
        <v>0</v>
      </c>
      <c r="K1765" s="110">
        <v>0</v>
      </c>
      <c r="L1765" s="110"/>
      <c r="M1765" s="110">
        <v>0</v>
      </c>
      <c r="N1765" s="110"/>
      <c r="O1765" s="110"/>
      <c r="P1765" s="110">
        <f t="shared" si="141"/>
        <v>0</v>
      </c>
      <c r="Q1765" s="110">
        <f t="shared" si="142"/>
        <v>0</v>
      </c>
      <c r="R1765" s="110">
        <f t="shared" si="143"/>
        <v>0</v>
      </c>
      <c r="S1765" s="112">
        <v>0</v>
      </c>
    </row>
    <row r="1766" spans="1:19">
      <c r="A1766" s="79"/>
      <c r="B1766" s="77" t="s">
        <v>173</v>
      </c>
      <c r="C1766" s="76" t="s">
        <v>4</v>
      </c>
      <c r="D1766" s="143">
        <v>2</v>
      </c>
      <c r="E1766" s="74"/>
      <c r="F1766" s="334"/>
      <c r="G1766" s="112">
        <v>0</v>
      </c>
      <c r="H1766" s="120">
        <v>0</v>
      </c>
      <c r="I1766" s="120">
        <v>0</v>
      </c>
      <c r="J1766" s="120">
        <v>0</v>
      </c>
      <c r="K1766" s="110">
        <v>0</v>
      </c>
      <c r="L1766" s="110"/>
      <c r="M1766" s="110">
        <v>0</v>
      </c>
      <c r="N1766" s="110"/>
      <c r="O1766" s="110"/>
      <c r="P1766" s="110">
        <f t="shared" si="141"/>
        <v>0</v>
      </c>
      <c r="Q1766" s="110">
        <f t="shared" si="142"/>
        <v>0</v>
      </c>
      <c r="R1766" s="110">
        <f t="shared" si="143"/>
        <v>0</v>
      </c>
      <c r="S1766" s="112">
        <v>0</v>
      </c>
    </row>
    <row r="1767" spans="1:19">
      <c r="A1767" s="79"/>
      <c r="B1767" s="77" t="s">
        <v>180</v>
      </c>
      <c r="C1767" s="76" t="s">
        <v>4</v>
      </c>
      <c r="D1767" s="143">
        <v>2</v>
      </c>
      <c r="E1767" s="74"/>
      <c r="F1767" s="334"/>
      <c r="G1767" s="112">
        <v>0</v>
      </c>
      <c r="H1767" s="120">
        <v>0</v>
      </c>
      <c r="I1767" s="120">
        <v>0</v>
      </c>
      <c r="J1767" s="120">
        <v>0</v>
      </c>
      <c r="K1767" s="110">
        <v>0</v>
      </c>
      <c r="L1767" s="110"/>
      <c r="M1767" s="110">
        <v>0</v>
      </c>
      <c r="N1767" s="110"/>
      <c r="O1767" s="110"/>
      <c r="P1767" s="110">
        <f t="shared" si="141"/>
        <v>0</v>
      </c>
      <c r="Q1767" s="110">
        <f t="shared" si="142"/>
        <v>0</v>
      </c>
      <c r="R1767" s="110">
        <f t="shared" si="143"/>
        <v>0</v>
      </c>
      <c r="S1767" s="112">
        <v>0</v>
      </c>
    </row>
    <row r="1768" spans="1:19">
      <c r="A1768" s="79"/>
      <c r="B1768" s="77" t="s">
        <v>175</v>
      </c>
      <c r="C1768" s="76" t="s">
        <v>4</v>
      </c>
      <c r="D1768" s="143">
        <v>2</v>
      </c>
      <c r="E1768" s="50"/>
      <c r="F1768" s="334"/>
      <c r="G1768" s="112">
        <v>0</v>
      </c>
      <c r="H1768" s="120">
        <v>0</v>
      </c>
      <c r="I1768" s="120">
        <v>0</v>
      </c>
      <c r="J1768" s="120">
        <v>0</v>
      </c>
      <c r="K1768" s="110">
        <v>0</v>
      </c>
      <c r="L1768" s="110"/>
      <c r="M1768" s="110">
        <v>0</v>
      </c>
      <c r="N1768" s="110"/>
      <c r="O1768" s="110"/>
      <c r="P1768" s="110">
        <f t="shared" si="141"/>
        <v>0</v>
      </c>
      <c r="Q1768" s="110">
        <f t="shared" si="142"/>
        <v>0</v>
      </c>
      <c r="R1768" s="110">
        <f t="shared" si="143"/>
        <v>0</v>
      </c>
      <c r="S1768" s="112">
        <v>0</v>
      </c>
    </row>
    <row r="1769" spans="1:19">
      <c r="A1769" s="79"/>
      <c r="B1769" s="77" t="s">
        <v>176</v>
      </c>
      <c r="C1769" s="76" t="s">
        <v>4</v>
      </c>
      <c r="D1769" s="143">
        <v>4</v>
      </c>
      <c r="E1769" s="437"/>
      <c r="F1769" s="334"/>
      <c r="G1769" s="112">
        <v>0</v>
      </c>
      <c r="H1769" s="120">
        <v>0</v>
      </c>
      <c r="I1769" s="120">
        <v>0</v>
      </c>
      <c r="J1769" s="120">
        <v>0</v>
      </c>
      <c r="K1769" s="110">
        <v>0</v>
      </c>
      <c r="L1769" s="110"/>
      <c r="M1769" s="110">
        <v>0</v>
      </c>
      <c r="N1769" s="110"/>
      <c r="O1769" s="110"/>
      <c r="P1769" s="110">
        <f t="shared" si="141"/>
        <v>0</v>
      </c>
      <c r="Q1769" s="110">
        <f t="shared" si="142"/>
        <v>0</v>
      </c>
      <c r="R1769" s="110">
        <f t="shared" si="143"/>
        <v>0</v>
      </c>
      <c r="S1769" s="112">
        <v>0</v>
      </c>
    </row>
    <row r="1770" spans="1:19">
      <c r="A1770" s="79"/>
      <c r="B1770" s="77" t="s">
        <v>177</v>
      </c>
      <c r="C1770" s="76" t="s">
        <v>17</v>
      </c>
      <c r="D1770" s="143">
        <v>1</v>
      </c>
      <c r="E1770" s="75"/>
      <c r="F1770" s="334"/>
      <c r="G1770" s="112">
        <v>0</v>
      </c>
      <c r="H1770" s="120">
        <v>0</v>
      </c>
      <c r="I1770" s="120">
        <v>0</v>
      </c>
      <c r="J1770" s="120">
        <v>0</v>
      </c>
      <c r="K1770" s="110">
        <v>0</v>
      </c>
      <c r="L1770" s="110"/>
      <c r="M1770" s="110">
        <v>0</v>
      </c>
      <c r="N1770" s="110"/>
      <c r="O1770" s="110"/>
      <c r="P1770" s="110">
        <f t="shared" si="141"/>
        <v>0</v>
      </c>
      <c r="Q1770" s="110">
        <f t="shared" si="142"/>
        <v>0</v>
      </c>
      <c r="R1770" s="110">
        <f t="shared" si="143"/>
        <v>0</v>
      </c>
      <c r="S1770" s="112">
        <v>0</v>
      </c>
    </row>
    <row r="1771" spans="1:19">
      <c r="A1771" s="79"/>
      <c r="B1771" s="77" t="s">
        <v>163</v>
      </c>
      <c r="C1771" s="76" t="s">
        <v>4</v>
      </c>
      <c r="D1771" s="143">
        <v>1</v>
      </c>
      <c r="E1771" s="73"/>
      <c r="F1771" s="334"/>
      <c r="G1771" s="112">
        <v>0</v>
      </c>
      <c r="H1771" s="120">
        <v>0</v>
      </c>
      <c r="I1771" s="120">
        <v>0</v>
      </c>
      <c r="J1771" s="120">
        <v>0</v>
      </c>
      <c r="K1771" s="110">
        <v>0</v>
      </c>
      <c r="L1771" s="110"/>
      <c r="M1771" s="110">
        <v>0</v>
      </c>
      <c r="N1771" s="110"/>
      <c r="O1771" s="110"/>
      <c r="P1771" s="110">
        <f t="shared" si="141"/>
        <v>0</v>
      </c>
      <c r="Q1771" s="110">
        <f t="shared" si="142"/>
        <v>0</v>
      </c>
      <c r="R1771" s="110">
        <f t="shared" si="143"/>
        <v>0</v>
      </c>
      <c r="S1771" s="112">
        <v>0</v>
      </c>
    </row>
    <row r="1772" spans="1:19" ht="30">
      <c r="A1772" s="79"/>
      <c r="B1772" s="77" t="s">
        <v>189</v>
      </c>
      <c r="C1772" s="76" t="s">
        <v>8</v>
      </c>
      <c r="D1772" s="143">
        <v>1</v>
      </c>
      <c r="E1772" s="50"/>
      <c r="F1772" s="334"/>
      <c r="G1772" s="112">
        <v>0</v>
      </c>
      <c r="H1772" s="120">
        <v>0</v>
      </c>
      <c r="I1772" s="120">
        <v>0</v>
      </c>
      <c r="J1772" s="120">
        <v>0</v>
      </c>
      <c r="K1772" s="110">
        <v>0</v>
      </c>
      <c r="L1772" s="110"/>
      <c r="M1772" s="110">
        <v>0</v>
      </c>
      <c r="N1772" s="110"/>
      <c r="O1772" s="110"/>
      <c r="P1772" s="110">
        <f t="shared" si="141"/>
        <v>0</v>
      </c>
      <c r="Q1772" s="110">
        <f t="shared" si="142"/>
        <v>0</v>
      </c>
      <c r="R1772" s="110">
        <f t="shared" si="143"/>
        <v>0</v>
      </c>
      <c r="S1772" s="112">
        <v>0</v>
      </c>
    </row>
    <row r="1773" spans="1:19" ht="45">
      <c r="A1773" s="79"/>
      <c r="B1773" s="77" t="s">
        <v>166</v>
      </c>
      <c r="C1773" s="76" t="s">
        <v>17</v>
      </c>
      <c r="D1773" s="143">
        <v>1</v>
      </c>
      <c r="E1773" s="57"/>
      <c r="F1773" s="334"/>
      <c r="G1773" s="112">
        <v>0</v>
      </c>
      <c r="H1773" s="120">
        <v>0</v>
      </c>
      <c r="I1773" s="120">
        <v>0</v>
      </c>
      <c r="J1773" s="120">
        <v>0</v>
      </c>
      <c r="K1773" s="110">
        <v>0</v>
      </c>
      <c r="L1773" s="110"/>
      <c r="M1773" s="110">
        <v>0</v>
      </c>
      <c r="N1773" s="110"/>
      <c r="O1773" s="110"/>
      <c r="P1773" s="110">
        <f t="shared" si="141"/>
        <v>0</v>
      </c>
      <c r="Q1773" s="110">
        <f t="shared" si="142"/>
        <v>0</v>
      </c>
      <c r="R1773" s="110">
        <f t="shared" si="143"/>
        <v>0</v>
      </c>
      <c r="S1773" s="112">
        <v>0</v>
      </c>
    </row>
    <row r="1774" spans="1:19" ht="60">
      <c r="A1774" s="79">
        <v>65</v>
      </c>
      <c r="B1774" s="77" t="s">
        <v>413</v>
      </c>
      <c r="C1774" s="76" t="s">
        <v>6</v>
      </c>
      <c r="D1774" s="143">
        <v>1</v>
      </c>
      <c r="E1774" s="50"/>
      <c r="F1774" s="334">
        <v>1</v>
      </c>
      <c r="G1774" s="112" t="s">
        <v>413</v>
      </c>
      <c r="H1774" s="120" t="s">
        <v>1076</v>
      </c>
      <c r="I1774" s="120" t="s">
        <v>828</v>
      </c>
      <c r="J1774" s="120" t="s">
        <v>829</v>
      </c>
      <c r="K1774" s="110">
        <v>7756500</v>
      </c>
      <c r="L1774" s="110"/>
      <c r="M1774" s="110">
        <v>1471000</v>
      </c>
      <c r="N1774" s="110"/>
      <c r="O1774" s="110"/>
      <c r="P1774" s="110">
        <f t="shared" si="141"/>
        <v>9227500</v>
      </c>
      <c r="Q1774" s="110">
        <f t="shared" si="142"/>
        <v>9227500</v>
      </c>
      <c r="R1774" s="110">
        <f t="shared" si="143"/>
        <v>9227500</v>
      </c>
      <c r="S1774" s="112" t="s">
        <v>4094</v>
      </c>
    </row>
    <row r="1775" spans="1:19" ht="45">
      <c r="A1775" s="79"/>
      <c r="B1775" s="77" t="s">
        <v>219</v>
      </c>
      <c r="C1775" s="76" t="s">
        <v>4</v>
      </c>
      <c r="D1775" s="143">
        <v>1</v>
      </c>
      <c r="E1775" s="50"/>
      <c r="F1775" s="334"/>
      <c r="G1775" s="112">
        <v>0</v>
      </c>
      <c r="H1775" s="120">
        <v>0</v>
      </c>
      <c r="I1775" s="120">
        <v>0</v>
      </c>
      <c r="J1775" s="120">
        <v>0</v>
      </c>
      <c r="K1775" s="110">
        <v>0</v>
      </c>
      <c r="L1775" s="110"/>
      <c r="M1775" s="110">
        <v>0</v>
      </c>
      <c r="N1775" s="110"/>
      <c r="O1775" s="110"/>
      <c r="P1775" s="110">
        <f t="shared" si="141"/>
        <v>0</v>
      </c>
      <c r="Q1775" s="110">
        <f t="shared" si="142"/>
        <v>0</v>
      </c>
      <c r="R1775" s="110">
        <f t="shared" si="143"/>
        <v>0</v>
      </c>
      <c r="S1775" s="112" t="s">
        <v>150</v>
      </c>
    </row>
    <row r="1776" spans="1:19">
      <c r="A1776" s="79"/>
      <c r="B1776" s="77" t="s">
        <v>151</v>
      </c>
      <c r="C1776" s="76"/>
      <c r="D1776" s="143"/>
      <c r="E1776" s="50"/>
      <c r="F1776" s="50"/>
      <c r="G1776" s="112">
        <v>0</v>
      </c>
      <c r="H1776" s="120">
        <v>0</v>
      </c>
      <c r="I1776" s="120">
        <v>0</v>
      </c>
      <c r="J1776" s="120">
        <v>0</v>
      </c>
      <c r="K1776" s="110">
        <v>0</v>
      </c>
      <c r="L1776" s="110"/>
      <c r="M1776" s="110">
        <v>0</v>
      </c>
      <c r="N1776" s="110"/>
      <c r="O1776" s="110"/>
      <c r="P1776" s="110">
        <f t="shared" si="141"/>
        <v>0</v>
      </c>
      <c r="Q1776" s="110">
        <f t="shared" si="142"/>
        <v>0</v>
      </c>
      <c r="R1776" s="110">
        <f t="shared" si="143"/>
        <v>0</v>
      </c>
      <c r="S1776" s="112">
        <v>0</v>
      </c>
    </row>
    <row r="1777" spans="1:19">
      <c r="A1777" s="79"/>
      <c r="B1777" s="77" t="s">
        <v>302</v>
      </c>
      <c r="C1777" s="76" t="s">
        <v>4</v>
      </c>
      <c r="D1777" s="143">
        <v>1</v>
      </c>
      <c r="E1777" s="50"/>
      <c r="F1777" s="334"/>
      <c r="G1777" s="112">
        <v>0</v>
      </c>
      <c r="H1777" s="120">
        <v>0</v>
      </c>
      <c r="I1777" s="120">
        <v>0</v>
      </c>
      <c r="J1777" s="120">
        <v>0</v>
      </c>
      <c r="K1777" s="110">
        <v>0</v>
      </c>
      <c r="L1777" s="110"/>
      <c r="M1777" s="110">
        <v>0</v>
      </c>
      <c r="N1777" s="110"/>
      <c r="O1777" s="110"/>
      <c r="P1777" s="110">
        <f t="shared" ref="P1777:P1840" si="144">+K1777+L1777+M1777+N1777+O1777</f>
        <v>0</v>
      </c>
      <c r="Q1777" s="110">
        <f t="shared" ref="Q1777:Q1840" si="145">+P1777*D1777</f>
        <v>0</v>
      </c>
      <c r="R1777" s="110">
        <f t="shared" ref="R1777:R1840" si="146">P1777*F1777</f>
        <v>0</v>
      </c>
      <c r="S1777" s="112">
        <v>0</v>
      </c>
    </row>
    <row r="1778" spans="1:19">
      <c r="A1778" s="79"/>
      <c r="B1778" s="77" t="s">
        <v>14</v>
      </c>
      <c r="C1778" s="76" t="s">
        <v>4</v>
      </c>
      <c r="D1778" s="143">
        <v>3</v>
      </c>
      <c r="E1778" s="74"/>
      <c r="F1778" s="334"/>
      <c r="G1778" s="112">
        <v>0</v>
      </c>
      <c r="H1778" s="120">
        <v>0</v>
      </c>
      <c r="I1778" s="120">
        <v>0</v>
      </c>
      <c r="J1778" s="120">
        <v>0</v>
      </c>
      <c r="K1778" s="110">
        <v>0</v>
      </c>
      <c r="L1778" s="110"/>
      <c r="M1778" s="110">
        <v>0</v>
      </c>
      <c r="N1778" s="110"/>
      <c r="O1778" s="110"/>
      <c r="P1778" s="110">
        <f t="shared" si="144"/>
        <v>0</v>
      </c>
      <c r="Q1778" s="110">
        <f t="shared" si="145"/>
        <v>0</v>
      </c>
      <c r="R1778" s="110">
        <f t="shared" si="146"/>
        <v>0</v>
      </c>
      <c r="S1778" s="112">
        <v>0</v>
      </c>
    </row>
    <row r="1779" spans="1:19">
      <c r="A1779" s="79"/>
      <c r="B1779" s="77" t="s">
        <v>153</v>
      </c>
      <c r="C1779" s="76" t="s">
        <v>4</v>
      </c>
      <c r="D1779" s="143">
        <v>3</v>
      </c>
      <c r="E1779" s="74"/>
      <c r="F1779" s="334"/>
      <c r="G1779" s="112">
        <v>0</v>
      </c>
      <c r="H1779" s="120">
        <v>0</v>
      </c>
      <c r="I1779" s="120">
        <v>0</v>
      </c>
      <c r="J1779" s="120">
        <v>0</v>
      </c>
      <c r="K1779" s="110">
        <v>0</v>
      </c>
      <c r="L1779" s="110"/>
      <c r="M1779" s="110">
        <v>0</v>
      </c>
      <c r="N1779" s="110"/>
      <c r="O1779" s="110"/>
      <c r="P1779" s="110">
        <f t="shared" si="144"/>
        <v>0</v>
      </c>
      <c r="Q1779" s="110">
        <f t="shared" si="145"/>
        <v>0</v>
      </c>
      <c r="R1779" s="110">
        <f t="shared" si="146"/>
        <v>0</v>
      </c>
      <c r="S1779" s="112">
        <v>0</v>
      </c>
    </row>
    <row r="1780" spans="1:19">
      <c r="A1780" s="79"/>
      <c r="B1780" s="77" t="s">
        <v>154</v>
      </c>
      <c r="C1780" s="76"/>
      <c r="D1780" s="143"/>
      <c r="E1780" s="74"/>
      <c r="F1780" s="74"/>
      <c r="G1780" s="112">
        <v>0</v>
      </c>
      <c r="H1780" s="120">
        <v>0</v>
      </c>
      <c r="I1780" s="120">
        <v>0</v>
      </c>
      <c r="J1780" s="120">
        <v>0</v>
      </c>
      <c r="K1780" s="110">
        <v>0</v>
      </c>
      <c r="L1780" s="110"/>
      <c r="M1780" s="110">
        <v>0</v>
      </c>
      <c r="N1780" s="110"/>
      <c r="O1780" s="110"/>
      <c r="P1780" s="110">
        <f t="shared" si="144"/>
        <v>0</v>
      </c>
      <c r="Q1780" s="110">
        <f t="shared" si="145"/>
        <v>0</v>
      </c>
      <c r="R1780" s="110">
        <f t="shared" si="146"/>
        <v>0</v>
      </c>
      <c r="S1780" s="112">
        <v>0</v>
      </c>
    </row>
    <row r="1781" spans="1:19">
      <c r="A1781" s="79"/>
      <c r="B1781" s="77" t="s">
        <v>306</v>
      </c>
      <c r="C1781" s="76" t="s">
        <v>4</v>
      </c>
      <c r="D1781" s="143">
        <v>9</v>
      </c>
      <c r="E1781" s="74"/>
      <c r="F1781" s="334"/>
      <c r="G1781" s="112">
        <v>0</v>
      </c>
      <c r="H1781" s="120">
        <v>0</v>
      </c>
      <c r="I1781" s="120">
        <v>0</v>
      </c>
      <c r="J1781" s="120">
        <v>0</v>
      </c>
      <c r="K1781" s="110">
        <v>0</v>
      </c>
      <c r="L1781" s="110"/>
      <c r="M1781" s="110">
        <v>0</v>
      </c>
      <c r="N1781" s="110"/>
      <c r="O1781" s="110"/>
      <c r="P1781" s="110">
        <f t="shared" si="144"/>
        <v>0</v>
      </c>
      <c r="Q1781" s="110">
        <f t="shared" si="145"/>
        <v>0</v>
      </c>
      <c r="R1781" s="110">
        <f t="shared" si="146"/>
        <v>0</v>
      </c>
      <c r="S1781" s="112">
        <v>0</v>
      </c>
    </row>
    <row r="1782" spans="1:19" ht="30">
      <c r="A1782" s="79"/>
      <c r="B1782" s="77" t="s">
        <v>189</v>
      </c>
      <c r="C1782" s="76" t="s">
        <v>8</v>
      </c>
      <c r="D1782" s="143">
        <v>1</v>
      </c>
      <c r="E1782" s="74"/>
      <c r="F1782" s="334"/>
      <c r="G1782" s="112">
        <v>0</v>
      </c>
      <c r="H1782" s="120">
        <v>0</v>
      </c>
      <c r="I1782" s="120">
        <v>0</v>
      </c>
      <c r="J1782" s="120">
        <v>0</v>
      </c>
      <c r="K1782" s="110">
        <v>0</v>
      </c>
      <c r="L1782" s="110"/>
      <c r="M1782" s="110">
        <v>0</v>
      </c>
      <c r="N1782" s="110"/>
      <c r="O1782" s="110"/>
      <c r="P1782" s="110">
        <f t="shared" si="144"/>
        <v>0</v>
      </c>
      <c r="Q1782" s="110">
        <f t="shared" si="145"/>
        <v>0</v>
      </c>
      <c r="R1782" s="110">
        <f t="shared" si="146"/>
        <v>0</v>
      </c>
      <c r="S1782" s="112">
        <v>0</v>
      </c>
    </row>
    <row r="1783" spans="1:19" ht="45">
      <c r="A1783" s="79"/>
      <c r="B1783" s="77" t="s">
        <v>166</v>
      </c>
      <c r="C1783" s="76" t="s">
        <v>17</v>
      </c>
      <c r="D1783" s="143">
        <v>1</v>
      </c>
      <c r="E1783" s="73"/>
      <c r="F1783" s="334"/>
      <c r="G1783" s="112">
        <v>0</v>
      </c>
      <c r="H1783" s="120">
        <v>0</v>
      </c>
      <c r="I1783" s="120">
        <v>0</v>
      </c>
      <c r="J1783" s="120">
        <v>0</v>
      </c>
      <c r="K1783" s="110">
        <v>0</v>
      </c>
      <c r="L1783" s="110"/>
      <c r="M1783" s="110">
        <v>0</v>
      </c>
      <c r="N1783" s="110"/>
      <c r="O1783" s="110"/>
      <c r="P1783" s="110">
        <f t="shared" si="144"/>
        <v>0</v>
      </c>
      <c r="Q1783" s="110">
        <f t="shared" si="145"/>
        <v>0</v>
      </c>
      <c r="R1783" s="110">
        <f t="shared" si="146"/>
        <v>0</v>
      </c>
      <c r="S1783" s="112">
        <v>0</v>
      </c>
    </row>
    <row r="1784" spans="1:19" ht="60">
      <c r="A1784" s="79">
        <v>66</v>
      </c>
      <c r="B1784" s="77" t="s">
        <v>414</v>
      </c>
      <c r="C1784" s="76" t="s">
        <v>6</v>
      </c>
      <c r="D1784" s="143">
        <v>4</v>
      </c>
      <c r="E1784" s="74"/>
      <c r="F1784" s="334">
        <v>4</v>
      </c>
      <c r="G1784" s="112" t="s">
        <v>861</v>
      </c>
      <c r="H1784" s="120" t="s">
        <v>1076</v>
      </c>
      <c r="I1784" s="120" t="s">
        <v>828</v>
      </c>
      <c r="J1784" s="120" t="s">
        <v>829</v>
      </c>
      <c r="K1784" s="110">
        <v>4132100</v>
      </c>
      <c r="L1784" s="110"/>
      <c r="M1784" s="110">
        <v>1471000</v>
      </c>
      <c r="N1784" s="110"/>
      <c r="O1784" s="110"/>
      <c r="P1784" s="110">
        <f t="shared" si="144"/>
        <v>5603100</v>
      </c>
      <c r="Q1784" s="110">
        <f t="shared" si="145"/>
        <v>22412400</v>
      </c>
      <c r="R1784" s="110">
        <f t="shared" si="146"/>
        <v>22412400</v>
      </c>
      <c r="S1784" s="112" t="s">
        <v>4094</v>
      </c>
    </row>
    <row r="1785" spans="1:19" ht="45">
      <c r="A1785" s="79"/>
      <c r="B1785" s="77" t="s">
        <v>415</v>
      </c>
      <c r="C1785" s="76" t="s">
        <v>4</v>
      </c>
      <c r="D1785" s="143">
        <v>1</v>
      </c>
      <c r="E1785" s="74"/>
      <c r="F1785" s="334"/>
      <c r="G1785" s="112">
        <v>0</v>
      </c>
      <c r="H1785" s="120">
        <v>0</v>
      </c>
      <c r="I1785" s="120">
        <v>0</v>
      </c>
      <c r="J1785" s="120">
        <v>0</v>
      </c>
      <c r="K1785" s="110">
        <v>0</v>
      </c>
      <c r="L1785" s="110"/>
      <c r="M1785" s="110">
        <v>0</v>
      </c>
      <c r="N1785" s="110"/>
      <c r="O1785" s="110"/>
      <c r="P1785" s="110">
        <f t="shared" si="144"/>
        <v>0</v>
      </c>
      <c r="Q1785" s="110">
        <f t="shared" si="145"/>
        <v>0</v>
      </c>
      <c r="R1785" s="110">
        <f t="shared" si="146"/>
        <v>0</v>
      </c>
      <c r="S1785" s="112">
        <v>0</v>
      </c>
    </row>
    <row r="1786" spans="1:19">
      <c r="A1786" s="79"/>
      <c r="B1786" s="77" t="s">
        <v>151</v>
      </c>
      <c r="C1786" s="76"/>
      <c r="D1786" s="143"/>
      <c r="E1786" s="74"/>
      <c r="F1786" s="74"/>
      <c r="G1786" s="112">
        <v>0</v>
      </c>
      <c r="H1786" s="120">
        <v>0</v>
      </c>
      <c r="I1786" s="120">
        <v>0</v>
      </c>
      <c r="J1786" s="120">
        <v>0</v>
      </c>
      <c r="K1786" s="110">
        <v>0</v>
      </c>
      <c r="L1786" s="110"/>
      <c r="M1786" s="110">
        <v>0</v>
      </c>
      <c r="N1786" s="110"/>
      <c r="O1786" s="110"/>
      <c r="P1786" s="110">
        <f t="shared" si="144"/>
        <v>0</v>
      </c>
      <c r="Q1786" s="110">
        <f t="shared" si="145"/>
        <v>0</v>
      </c>
      <c r="R1786" s="110">
        <f t="shared" si="146"/>
        <v>0</v>
      </c>
      <c r="S1786" s="112">
        <v>0</v>
      </c>
    </row>
    <row r="1787" spans="1:19">
      <c r="A1787" s="79"/>
      <c r="B1787" s="77" t="s">
        <v>416</v>
      </c>
      <c r="C1787" s="76" t="s">
        <v>4</v>
      </c>
      <c r="D1787" s="143">
        <v>1</v>
      </c>
      <c r="E1787" s="74"/>
      <c r="F1787" s="334"/>
      <c r="G1787" s="112">
        <v>0</v>
      </c>
      <c r="H1787" s="120">
        <v>0</v>
      </c>
      <c r="I1787" s="120">
        <v>0</v>
      </c>
      <c r="J1787" s="120">
        <v>0</v>
      </c>
      <c r="K1787" s="110">
        <v>0</v>
      </c>
      <c r="L1787" s="110"/>
      <c r="M1787" s="110">
        <v>0</v>
      </c>
      <c r="N1787" s="110"/>
      <c r="O1787" s="110"/>
      <c r="P1787" s="110">
        <f t="shared" si="144"/>
        <v>0</v>
      </c>
      <c r="Q1787" s="110">
        <f t="shared" si="145"/>
        <v>0</v>
      </c>
      <c r="R1787" s="110">
        <f t="shared" si="146"/>
        <v>0</v>
      </c>
      <c r="S1787" s="112">
        <v>0</v>
      </c>
    </row>
    <row r="1788" spans="1:19">
      <c r="A1788" s="79"/>
      <c r="B1788" s="77" t="s">
        <v>154</v>
      </c>
      <c r="C1788" s="76"/>
      <c r="D1788" s="143"/>
      <c r="E1788" s="75"/>
      <c r="F1788" s="75"/>
      <c r="G1788" s="112">
        <v>0</v>
      </c>
      <c r="H1788" s="120">
        <v>0</v>
      </c>
      <c r="I1788" s="120">
        <v>0</v>
      </c>
      <c r="J1788" s="120">
        <v>0</v>
      </c>
      <c r="K1788" s="110">
        <v>0</v>
      </c>
      <c r="L1788" s="110"/>
      <c r="M1788" s="110">
        <v>0</v>
      </c>
      <c r="N1788" s="110"/>
      <c r="O1788" s="110"/>
      <c r="P1788" s="110">
        <f t="shared" si="144"/>
        <v>0</v>
      </c>
      <c r="Q1788" s="110">
        <f t="shared" si="145"/>
        <v>0</v>
      </c>
      <c r="R1788" s="110">
        <f t="shared" si="146"/>
        <v>0</v>
      </c>
      <c r="S1788" s="112">
        <v>0</v>
      </c>
    </row>
    <row r="1789" spans="1:19">
      <c r="A1789" s="79"/>
      <c r="B1789" s="77" t="s">
        <v>157</v>
      </c>
      <c r="C1789" s="76" t="s">
        <v>4</v>
      </c>
      <c r="D1789" s="143">
        <v>8</v>
      </c>
      <c r="E1789" s="73"/>
      <c r="F1789" s="334"/>
      <c r="G1789" s="112">
        <v>0</v>
      </c>
      <c r="H1789" s="120">
        <v>0</v>
      </c>
      <c r="I1789" s="120">
        <v>0</v>
      </c>
      <c r="J1789" s="120">
        <v>0</v>
      </c>
      <c r="K1789" s="110">
        <v>0</v>
      </c>
      <c r="L1789" s="110"/>
      <c r="M1789" s="110">
        <v>0</v>
      </c>
      <c r="N1789" s="110"/>
      <c r="O1789" s="110"/>
      <c r="P1789" s="110">
        <f t="shared" si="144"/>
        <v>0</v>
      </c>
      <c r="Q1789" s="110">
        <f t="shared" si="145"/>
        <v>0</v>
      </c>
      <c r="R1789" s="110">
        <f t="shared" si="146"/>
        <v>0</v>
      </c>
      <c r="S1789" s="112">
        <v>0</v>
      </c>
    </row>
    <row r="1790" spans="1:19">
      <c r="A1790" s="79"/>
      <c r="B1790" s="77" t="s">
        <v>362</v>
      </c>
      <c r="C1790" s="76" t="s">
        <v>8</v>
      </c>
      <c r="D1790" s="143">
        <v>1</v>
      </c>
      <c r="E1790" s="50"/>
      <c r="F1790" s="334"/>
      <c r="G1790" s="112">
        <v>0</v>
      </c>
      <c r="H1790" s="120">
        <v>0</v>
      </c>
      <c r="I1790" s="120">
        <v>0</v>
      </c>
      <c r="J1790" s="120">
        <v>0</v>
      </c>
      <c r="K1790" s="110">
        <v>0</v>
      </c>
      <c r="L1790" s="110"/>
      <c r="M1790" s="110">
        <v>0</v>
      </c>
      <c r="N1790" s="110"/>
      <c r="O1790" s="110"/>
      <c r="P1790" s="110">
        <f t="shared" si="144"/>
        <v>0</v>
      </c>
      <c r="Q1790" s="110">
        <f t="shared" si="145"/>
        <v>0</v>
      </c>
      <c r="R1790" s="110">
        <f t="shared" si="146"/>
        <v>0</v>
      </c>
      <c r="S1790" s="112">
        <v>0</v>
      </c>
    </row>
    <row r="1791" spans="1:19" ht="60">
      <c r="A1791" s="79">
        <v>67</v>
      </c>
      <c r="B1791" s="77" t="s">
        <v>417</v>
      </c>
      <c r="C1791" s="76" t="s">
        <v>6</v>
      </c>
      <c r="D1791" s="143">
        <v>1</v>
      </c>
      <c r="E1791" s="57"/>
      <c r="F1791" s="334">
        <v>1</v>
      </c>
      <c r="G1791" s="112" t="s">
        <v>417</v>
      </c>
      <c r="H1791" s="120" t="s">
        <v>1076</v>
      </c>
      <c r="I1791" s="120" t="s">
        <v>828</v>
      </c>
      <c r="J1791" s="120" t="s">
        <v>829</v>
      </c>
      <c r="K1791" s="110">
        <v>4601600</v>
      </c>
      <c r="L1791" s="110"/>
      <c r="M1791" s="110">
        <v>1471000</v>
      </c>
      <c r="N1791" s="110"/>
      <c r="O1791" s="110"/>
      <c r="P1791" s="110">
        <f t="shared" si="144"/>
        <v>6072600</v>
      </c>
      <c r="Q1791" s="110">
        <f t="shared" si="145"/>
        <v>6072600</v>
      </c>
      <c r="R1791" s="110">
        <f t="shared" si="146"/>
        <v>6072600</v>
      </c>
      <c r="S1791" s="112" t="s">
        <v>4094</v>
      </c>
    </row>
    <row r="1792" spans="1:19" ht="45">
      <c r="A1792" s="79"/>
      <c r="B1792" s="77" t="s">
        <v>415</v>
      </c>
      <c r="C1792" s="76" t="s">
        <v>4</v>
      </c>
      <c r="D1792" s="143">
        <v>1</v>
      </c>
      <c r="E1792" s="50"/>
      <c r="F1792" s="334"/>
      <c r="G1792" s="112">
        <v>0</v>
      </c>
      <c r="H1792" s="120">
        <v>0</v>
      </c>
      <c r="I1792" s="120">
        <v>0</v>
      </c>
      <c r="J1792" s="120">
        <v>0</v>
      </c>
      <c r="K1792" s="110">
        <v>0</v>
      </c>
      <c r="L1792" s="110"/>
      <c r="M1792" s="110">
        <v>0</v>
      </c>
      <c r="N1792" s="110"/>
      <c r="O1792" s="110"/>
      <c r="P1792" s="110">
        <f t="shared" si="144"/>
        <v>0</v>
      </c>
      <c r="Q1792" s="110">
        <f t="shared" si="145"/>
        <v>0</v>
      </c>
      <c r="R1792" s="110">
        <f t="shared" si="146"/>
        <v>0</v>
      </c>
      <c r="S1792" s="112">
        <v>0</v>
      </c>
    </row>
    <row r="1793" spans="1:19">
      <c r="A1793" s="79"/>
      <c r="B1793" s="77" t="s">
        <v>151</v>
      </c>
      <c r="C1793" s="76"/>
      <c r="D1793" s="143"/>
      <c r="E1793" s="50"/>
      <c r="F1793" s="50"/>
      <c r="G1793" s="112">
        <v>0</v>
      </c>
      <c r="H1793" s="120">
        <v>0</v>
      </c>
      <c r="I1793" s="120">
        <v>0</v>
      </c>
      <c r="J1793" s="120">
        <v>0</v>
      </c>
      <c r="K1793" s="110">
        <v>0</v>
      </c>
      <c r="L1793" s="110"/>
      <c r="M1793" s="110">
        <v>0</v>
      </c>
      <c r="N1793" s="110"/>
      <c r="O1793" s="110"/>
      <c r="P1793" s="110">
        <f t="shared" si="144"/>
        <v>0</v>
      </c>
      <c r="Q1793" s="110">
        <f t="shared" si="145"/>
        <v>0</v>
      </c>
      <c r="R1793" s="110">
        <f t="shared" si="146"/>
        <v>0</v>
      </c>
      <c r="S1793" s="112">
        <v>0</v>
      </c>
    </row>
    <row r="1794" spans="1:19">
      <c r="A1794" s="79"/>
      <c r="B1794" s="77" t="s">
        <v>416</v>
      </c>
      <c r="C1794" s="76" t="s">
        <v>4</v>
      </c>
      <c r="D1794" s="143">
        <v>1</v>
      </c>
      <c r="E1794" s="50"/>
      <c r="F1794" s="334"/>
      <c r="G1794" s="112">
        <v>0</v>
      </c>
      <c r="H1794" s="120">
        <v>0</v>
      </c>
      <c r="I1794" s="120">
        <v>0</v>
      </c>
      <c r="J1794" s="120">
        <v>0</v>
      </c>
      <c r="K1794" s="110">
        <v>0</v>
      </c>
      <c r="L1794" s="110"/>
      <c r="M1794" s="110">
        <v>0</v>
      </c>
      <c r="N1794" s="110"/>
      <c r="O1794" s="110"/>
      <c r="P1794" s="110">
        <f t="shared" si="144"/>
        <v>0</v>
      </c>
      <c r="Q1794" s="110">
        <f t="shared" si="145"/>
        <v>0</v>
      </c>
      <c r="R1794" s="110">
        <f t="shared" si="146"/>
        <v>0</v>
      </c>
      <c r="S1794" s="112">
        <v>0</v>
      </c>
    </row>
    <row r="1795" spans="1:19">
      <c r="A1795" s="79"/>
      <c r="B1795" s="77" t="s">
        <v>154</v>
      </c>
      <c r="C1795" s="76"/>
      <c r="D1795" s="143"/>
      <c r="E1795" s="50"/>
      <c r="F1795" s="50"/>
      <c r="G1795" s="112">
        <v>0</v>
      </c>
      <c r="H1795" s="120">
        <v>0</v>
      </c>
      <c r="I1795" s="120">
        <v>0</v>
      </c>
      <c r="J1795" s="120">
        <v>0</v>
      </c>
      <c r="K1795" s="110">
        <v>0</v>
      </c>
      <c r="L1795" s="110"/>
      <c r="M1795" s="110">
        <v>0</v>
      </c>
      <c r="N1795" s="110"/>
      <c r="O1795" s="110"/>
      <c r="P1795" s="110">
        <f t="shared" si="144"/>
        <v>0</v>
      </c>
      <c r="Q1795" s="110">
        <f t="shared" si="145"/>
        <v>0</v>
      </c>
      <c r="R1795" s="110">
        <f t="shared" si="146"/>
        <v>0</v>
      </c>
      <c r="S1795" s="112">
        <v>0</v>
      </c>
    </row>
    <row r="1796" spans="1:19">
      <c r="A1796" s="79"/>
      <c r="B1796" s="77" t="s">
        <v>157</v>
      </c>
      <c r="C1796" s="76" t="s">
        <v>4</v>
      </c>
      <c r="D1796" s="143">
        <v>11</v>
      </c>
      <c r="E1796" s="74"/>
      <c r="F1796" s="334"/>
      <c r="G1796" s="112">
        <v>0</v>
      </c>
      <c r="H1796" s="120">
        <v>0</v>
      </c>
      <c r="I1796" s="120">
        <v>0</v>
      </c>
      <c r="J1796" s="120">
        <v>0</v>
      </c>
      <c r="K1796" s="110">
        <v>0</v>
      </c>
      <c r="L1796" s="110"/>
      <c r="M1796" s="110">
        <v>0</v>
      </c>
      <c r="N1796" s="110"/>
      <c r="O1796" s="110"/>
      <c r="P1796" s="110">
        <f t="shared" si="144"/>
        <v>0</v>
      </c>
      <c r="Q1796" s="110">
        <f t="shared" si="145"/>
        <v>0</v>
      </c>
      <c r="R1796" s="110">
        <f t="shared" si="146"/>
        <v>0</v>
      </c>
      <c r="S1796" s="112">
        <v>0</v>
      </c>
    </row>
    <row r="1797" spans="1:19">
      <c r="A1797" s="79"/>
      <c r="B1797" s="77" t="s">
        <v>362</v>
      </c>
      <c r="C1797" s="76" t="s">
        <v>8</v>
      </c>
      <c r="D1797" s="143">
        <v>1</v>
      </c>
      <c r="E1797" s="74"/>
      <c r="F1797" s="334"/>
      <c r="G1797" s="112">
        <v>0</v>
      </c>
      <c r="H1797" s="120">
        <v>0</v>
      </c>
      <c r="I1797" s="120">
        <v>0</v>
      </c>
      <c r="J1797" s="120">
        <v>0</v>
      </c>
      <c r="K1797" s="110">
        <v>0</v>
      </c>
      <c r="L1797" s="110"/>
      <c r="M1797" s="110">
        <v>0</v>
      </c>
      <c r="N1797" s="110"/>
      <c r="O1797" s="110"/>
      <c r="P1797" s="110">
        <f t="shared" si="144"/>
        <v>0</v>
      </c>
      <c r="Q1797" s="110">
        <f t="shared" si="145"/>
        <v>0</v>
      </c>
      <c r="R1797" s="110">
        <f t="shared" si="146"/>
        <v>0</v>
      </c>
      <c r="S1797" s="112">
        <v>0</v>
      </c>
    </row>
    <row r="1798" spans="1:19" ht="60">
      <c r="A1798" s="79">
        <v>68</v>
      </c>
      <c r="B1798" s="77" t="s">
        <v>418</v>
      </c>
      <c r="C1798" s="76" t="s">
        <v>6</v>
      </c>
      <c r="D1798" s="143">
        <v>1</v>
      </c>
      <c r="E1798" s="74"/>
      <c r="F1798" s="334">
        <v>1</v>
      </c>
      <c r="G1798" s="112" t="s">
        <v>418</v>
      </c>
      <c r="H1798" s="120" t="s">
        <v>1076</v>
      </c>
      <c r="I1798" s="120" t="s">
        <v>828</v>
      </c>
      <c r="J1798" s="120" t="s">
        <v>829</v>
      </c>
      <c r="K1798" s="110">
        <v>3869900</v>
      </c>
      <c r="L1798" s="110"/>
      <c r="M1798" s="110">
        <v>1471000</v>
      </c>
      <c r="N1798" s="110"/>
      <c r="O1798" s="110"/>
      <c r="P1798" s="110">
        <f t="shared" si="144"/>
        <v>5340900</v>
      </c>
      <c r="Q1798" s="110">
        <f t="shared" si="145"/>
        <v>5340900</v>
      </c>
      <c r="R1798" s="110">
        <f t="shared" si="146"/>
        <v>5340900</v>
      </c>
      <c r="S1798" s="112" t="s">
        <v>4094</v>
      </c>
    </row>
    <row r="1799" spans="1:19" ht="45">
      <c r="A1799" s="79"/>
      <c r="B1799" s="77" t="s">
        <v>415</v>
      </c>
      <c r="C1799" s="76" t="s">
        <v>4</v>
      </c>
      <c r="D1799" s="143">
        <v>1</v>
      </c>
      <c r="E1799" s="74"/>
      <c r="F1799" s="334"/>
      <c r="G1799" s="112">
        <v>0</v>
      </c>
      <c r="H1799" s="120">
        <v>0</v>
      </c>
      <c r="I1799" s="120">
        <v>0</v>
      </c>
      <c r="J1799" s="120">
        <v>0</v>
      </c>
      <c r="K1799" s="110">
        <v>0</v>
      </c>
      <c r="L1799" s="110"/>
      <c r="M1799" s="110">
        <v>0</v>
      </c>
      <c r="N1799" s="110"/>
      <c r="O1799" s="110"/>
      <c r="P1799" s="110">
        <f t="shared" si="144"/>
        <v>0</v>
      </c>
      <c r="Q1799" s="110">
        <f t="shared" si="145"/>
        <v>0</v>
      </c>
      <c r="R1799" s="110">
        <f t="shared" si="146"/>
        <v>0</v>
      </c>
      <c r="S1799" s="112">
        <v>0</v>
      </c>
    </row>
    <row r="1800" spans="1:19">
      <c r="A1800" s="79"/>
      <c r="B1800" s="77" t="s">
        <v>151</v>
      </c>
      <c r="C1800" s="76"/>
      <c r="D1800" s="143"/>
      <c r="E1800" s="74"/>
      <c r="F1800" s="74"/>
      <c r="G1800" s="112">
        <v>0</v>
      </c>
      <c r="H1800" s="120">
        <v>0</v>
      </c>
      <c r="I1800" s="120">
        <v>0</v>
      </c>
      <c r="J1800" s="120">
        <v>0</v>
      </c>
      <c r="K1800" s="110">
        <v>0</v>
      </c>
      <c r="L1800" s="110"/>
      <c r="M1800" s="110">
        <v>0</v>
      </c>
      <c r="N1800" s="110"/>
      <c r="O1800" s="110"/>
      <c r="P1800" s="110">
        <f t="shared" si="144"/>
        <v>0</v>
      </c>
      <c r="Q1800" s="110">
        <f t="shared" si="145"/>
        <v>0</v>
      </c>
      <c r="R1800" s="110">
        <f t="shared" si="146"/>
        <v>0</v>
      </c>
      <c r="S1800" s="112">
        <v>0</v>
      </c>
    </row>
    <row r="1801" spans="1:19">
      <c r="A1801" s="79"/>
      <c r="B1801" s="77" t="s">
        <v>416</v>
      </c>
      <c r="C1801" s="76" t="s">
        <v>4</v>
      </c>
      <c r="D1801" s="143">
        <v>1</v>
      </c>
      <c r="E1801" s="74"/>
      <c r="F1801" s="334"/>
      <c r="G1801" s="112">
        <v>0</v>
      </c>
      <c r="H1801" s="120">
        <v>0</v>
      </c>
      <c r="I1801" s="120">
        <v>0</v>
      </c>
      <c r="J1801" s="120">
        <v>0</v>
      </c>
      <c r="K1801" s="110">
        <v>0</v>
      </c>
      <c r="L1801" s="110"/>
      <c r="M1801" s="110">
        <v>0</v>
      </c>
      <c r="N1801" s="110"/>
      <c r="O1801" s="110"/>
      <c r="P1801" s="110">
        <f t="shared" si="144"/>
        <v>0</v>
      </c>
      <c r="Q1801" s="110">
        <f t="shared" si="145"/>
        <v>0</v>
      </c>
      <c r="R1801" s="110">
        <f t="shared" si="146"/>
        <v>0</v>
      </c>
      <c r="S1801" s="112">
        <v>0</v>
      </c>
    </row>
    <row r="1802" spans="1:19">
      <c r="A1802" s="79"/>
      <c r="B1802" s="77" t="s">
        <v>154</v>
      </c>
      <c r="C1802" s="76"/>
      <c r="D1802" s="143"/>
      <c r="E1802" s="74"/>
      <c r="F1802" s="74"/>
      <c r="G1802" s="112">
        <v>0</v>
      </c>
      <c r="H1802" s="120">
        <v>0</v>
      </c>
      <c r="I1802" s="120">
        <v>0</v>
      </c>
      <c r="J1802" s="120">
        <v>0</v>
      </c>
      <c r="K1802" s="110">
        <v>0</v>
      </c>
      <c r="L1802" s="110"/>
      <c r="M1802" s="110">
        <v>0</v>
      </c>
      <c r="N1802" s="110"/>
      <c r="O1802" s="110"/>
      <c r="P1802" s="110">
        <f t="shared" si="144"/>
        <v>0</v>
      </c>
      <c r="Q1802" s="110">
        <f t="shared" si="145"/>
        <v>0</v>
      </c>
      <c r="R1802" s="110">
        <f t="shared" si="146"/>
        <v>0</v>
      </c>
      <c r="S1802" s="112">
        <v>0</v>
      </c>
    </row>
    <row r="1803" spans="1:19">
      <c r="A1803" s="79"/>
      <c r="B1803" s="77" t="s">
        <v>157</v>
      </c>
      <c r="C1803" s="76" t="s">
        <v>4</v>
      </c>
      <c r="D1803" s="143">
        <v>6</v>
      </c>
      <c r="E1803" s="74"/>
      <c r="F1803" s="334"/>
      <c r="G1803" s="112">
        <v>0</v>
      </c>
      <c r="H1803" s="120">
        <v>0</v>
      </c>
      <c r="I1803" s="120">
        <v>0</v>
      </c>
      <c r="J1803" s="120">
        <v>0</v>
      </c>
      <c r="K1803" s="110">
        <v>0</v>
      </c>
      <c r="L1803" s="110"/>
      <c r="M1803" s="110">
        <v>0</v>
      </c>
      <c r="N1803" s="110"/>
      <c r="O1803" s="110"/>
      <c r="P1803" s="110">
        <f t="shared" si="144"/>
        <v>0</v>
      </c>
      <c r="Q1803" s="110">
        <f t="shared" si="145"/>
        <v>0</v>
      </c>
      <c r="R1803" s="110">
        <f t="shared" si="146"/>
        <v>0</v>
      </c>
      <c r="S1803" s="112">
        <v>0</v>
      </c>
    </row>
    <row r="1804" spans="1:19">
      <c r="A1804" s="79"/>
      <c r="B1804" s="77" t="s">
        <v>362</v>
      </c>
      <c r="C1804" s="76" t="s">
        <v>8</v>
      </c>
      <c r="D1804" s="143">
        <v>1</v>
      </c>
      <c r="E1804" s="74"/>
      <c r="F1804" s="334"/>
      <c r="G1804" s="112">
        <v>0</v>
      </c>
      <c r="H1804" s="120">
        <v>0</v>
      </c>
      <c r="I1804" s="120">
        <v>0</v>
      </c>
      <c r="J1804" s="120">
        <v>0</v>
      </c>
      <c r="K1804" s="110">
        <v>0</v>
      </c>
      <c r="L1804" s="110"/>
      <c r="M1804" s="110">
        <v>0</v>
      </c>
      <c r="N1804" s="110"/>
      <c r="O1804" s="110"/>
      <c r="P1804" s="110">
        <f t="shared" si="144"/>
        <v>0</v>
      </c>
      <c r="Q1804" s="110">
        <f t="shared" si="145"/>
        <v>0</v>
      </c>
      <c r="R1804" s="110">
        <f t="shared" si="146"/>
        <v>0</v>
      </c>
      <c r="S1804" s="112">
        <v>0</v>
      </c>
    </row>
    <row r="1805" spans="1:19" ht="60">
      <c r="A1805" s="79">
        <v>69</v>
      </c>
      <c r="B1805" s="77" t="s">
        <v>419</v>
      </c>
      <c r="C1805" s="76" t="s">
        <v>6</v>
      </c>
      <c r="D1805" s="143">
        <v>1</v>
      </c>
      <c r="E1805" s="74"/>
      <c r="F1805" s="334">
        <v>1</v>
      </c>
      <c r="G1805" s="112" t="s">
        <v>419</v>
      </c>
      <c r="H1805" s="120" t="s">
        <v>1076</v>
      </c>
      <c r="I1805" s="120" t="s">
        <v>828</v>
      </c>
      <c r="J1805" s="120" t="s">
        <v>829</v>
      </c>
      <c r="K1805" s="110">
        <v>3662700</v>
      </c>
      <c r="L1805" s="110"/>
      <c r="M1805" s="110">
        <v>1209000</v>
      </c>
      <c r="N1805" s="110"/>
      <c r="O1805" s="110"/>
      <c r="P1805" s="110">
        <f t="shared" si="144"/>
        <v>4871700</v>
      </c>
      <c r="Q1805" s="110">
        <f t="shared" si="145"/>
        <v>4871700</v>
      </c>
      <c r="R1805" s="110">
        <f t="shared" si="146"/>
        <v>4871700</v>
      </c>
      <c r="S1805" s="112" t="s">
        <v>4094</v>
      </c>
    </row>
    <row r="1806" spans="1:19" ht="45">
      <c r="A1806" s="79"/>
      <c r="B1806" s="77" t="s">
        <v>415</v>
      </c>
      <c r="C1806" s="76" t="s">
        <v>4</v>
      </c>
      <c r="D1806" s="143">
        <v>1</v>
      </c>
      <c r="E1806" s="74"/>
      <c r="F1806" s="334"/>
      <c r="G1806" s="112">
        <v>0</v>
      </c>
      <c r="H1806" s="120">
        <v>0</v>
      </c>
      <c r="I1806" s="120">
        <v>0</v>
      </c>
      <c r="J1806" s="120">
        <v>0</v>
      </c>
      <c r="K1806" s="110">
        <v>0</v>
      </c>
      <c r="L1806" s="110"/>
      <c r="M1806" s="110">
        <v>0</v>
      </c>
      <c r="N1806" s="110"/>
      <c r="O1806" s="110"/>
      <c r="P1806" s="110">
        <f t="shared" si="144"/>
        <v>0</v>
      </c>
      <c r="Q1806" s="110">
        <f t="shared" si="145"/>
        <v>0</v>
      </c>
      <c r="R1806" s="110">
        <f t="shared" si="146"/>
        <v>0</v>
      </c>
      <c r="S1806" s="112">
        <v>0</v>
      </c>
    </row>
    <row r="1807" spans="1:19">
      <c r="A1807" s="79"/>
      <c r="B1807" s="77" t="s">
        <v>151</v>
      </c>
      <c r="C1807" s="76"/>
      <c r="D1807" s="143"/>
      <c r="E1807" s="74"/>
      <c r="F1807" s="74"/>
      <c r="G1807" s="112">
        <v>0</v>
      </c>
      <c r="H1807" s="120">
        <v>0</v>
      </c>
      <c r="I1807" s="120">
        <v>0</v>
      </c>
      <c r="J1807" s="120">
        <v>0</v>
      </c>
      <c r="K1807" s="110">
        <v>0</v>
      </c>
      <c r="L1807" s="110"/>
      <c r="M1807" s="110">
        <v>0</v>
      </c>
      <c r="N1807" s="110"/>
      <c r="O1807" s="110"/>
      <c r="P1807" s="110">
        <f t="shared" si="144"/>
        <v>0</v>
      </c>
      <c r="Q1807" s="110">
        <f t="shared" si="145"/>
        <v>0</v>
      </c>
      <c r="R1807" s="110">
        <f t="shared" si="146"/>
        <v>0</v>
      </c>
      <c r="S1807" s="112">
        <v>0</v>
      </c>
    </row>
    <row r="1808" spans="1:19">
      <c r="A1808" s="79"/>
      <c r="B1808" s="77" t="s">
        <v>416</v>
      </c>
      <c r="C1808" s="76" t="s">
        <v>4</v>
      </c>
      <c r="D1808" s="143">
        <v>1</v>
      </c>
      <c r="E1808" s="74"/>
      <c r="F1808" s="334"/>
      <c r="G1808" s="112">
        <v>0</v>
      </c>
      <c r="H1808" s="120">
        <v>0</v>
      </c>
      <c r="I1808" s="120">
        <v>0</v>
      </c>
      <c r="J1808" s="120">
        <v>0</v>
      </c>
      <c r="K1808" s="110">
        <v>0</v>
      </c>
      <c r="L1808" s="110"/>
      <c r="M1808" s="110">
        <v>0</v>
      </c>
      <c r="N1808" s="110"/>
      <c r="O1808" s="110"/>
      <c r="P1808" s="110">
        <f t="shared" si="144"/>
        <v>0</v>
      </c>
      <c r="Q1808" s="110">
        <f t="shared" si="145"/>
        <v>0</v>
      </c>
      <c r="R1808" s="110">
        <f t="shared" si="146"/>
        <v>0</v>
      </c>
      <c r="S1808" s="112">
        <v>0</v>
      </c>
    </row>
    <row r="1809" spans="1:19">
      <c r="A1809" s="79"/>
      <c r="B1809" s="77" t="s">
        <v>154</v>
      </c>
      <c r="C1809" s="76"/>
      <c r="D1809" s="143"/>
      <c r="E1809" s="74"/>
      <c r="F1809" s="74"/>
      <c r="G1809" s="112">
        <v>0</v>
      </c>
      <c r="H1809" s="120">
        <v>0</v>
      </c>
      <c r="I1809" s="120">
        <v>0</v>
      </c>
      <c r="J1809" s="120">
        <v>0</v>
      </c>
      <c r="K1809" s="110">
        <v>0</v>
      </c>
      <c r="L1809" s="110"/>
      <c r="M1809" s="110">
        <v>0</v>
      </c>
      <c r="N1809" s="110"/>
      <c r="O1809" s="110"/>
      <c r="P1809" s="110">
        <f t="shared" si="144"/>
        <v>0</v>
      </c>
      <c r="Q1809" s="110">
        <f t="shared" si="145"/>
        <v>0</v>
      </c>
      <c r="R1809" s="110">
        <f t="shared" si="146"/>
        <v>0</v>
      </c>
      <c r="S1809" s="112">
        <v>0</v>
      </c>
    </row>
    <row r="1810" spans="1:19">
      <c r="A1810" s="79"/>
      <c r="B1810" s="77" t="s">
        <v>157</v>
      </c>
      <c r="C1810" s="76" t="s">
        <v>4</v>
      </c>
      <c r="D1810" s="143">
        <v>5</v>
      </c>
      <c r="E1810" s="75"/>
      <c r="F1810" s="334"/>
      <c r="G1810" s="112">
        <v>0</v>
      </c>
      <c r="H1810" s="120">
        <v>0</v>
      </c>
      <c r="I1810" s="120">
        <v>0</v>
      </c>
      <c r="J1810" s="120">
        <v>0</v>
      </c>
      <c r="K1810" s="110">
        <v>0</v>
      </c>
      <c r="L1810" s="110"/>
      <c r="M1810" s="110">
        <v>0</v>
      </c>
      <c r="N1810" s="110"/>
      <c r="O1810" s="110"/>
      <c r="P1810" s="110">
        <f t="shared" si="144"/>
        <v>0</v>
      </c>
      <c r="Q1810" s="110">
        <f t="shared" si="145"/>
        <v>0</v>
      </c>
      <c r="R1810" s="110">
        <f t="shared" si="146"/>
        <v>0</v>
      </c>
      <c r="S1810" s="112">
        <v>0</v>
      </c>
    </row>
    <row r="1811" spans="1:19">
      <c r="A1811" s="79"/>
      <c r="B1811" s="77" t="s">
        <v>362</v>
      </c>
      <c r="C1811" s="76" t="s">
        <v>8</v>
      </c>
      <c r="D1811" s="143">
        <v>1</v>
      </c>
      <c r="E1811" s="73"/>
      <c r="F1811" s="334"/>
      <c r="G1811" s="112">
        <v>0</v>
      </c>
      <c r="H1811" s="120">
        <v>0</v>
      </c>
      <c r="I1811" s="120">
        <v>0</v>
      </c>
      <c r="J1811" s="120">
        <v>0</v>
      </c>
      <c r="K1811" s="110">
        <v>0</v>
      </c>
      <c r="L1811" s="110"/>
      <c r="M1811" s="110">
        <v>0</v>
      </c>
      <c r="N1811" s="110"/>
      <c r="O1811" s="110"/>
      <c r="P1811" s="110">
        <f t="shared" si="144"/>
        <v>0</v>
      </c>
      <c r="Q1811" s="110">
        <f t="shared" si="145"/>
        <v>0</v>
      </c>
      <c r="R1811" s="110">
        <f t="shared" si="146"/>
        <v>0</v>
      </c>
      <c r="S1811" s="112">
        <v>0</v>
      </c>
    </row>
    <row r="1812" spans="1:19" ht="60">
      <c r="A1812" s="79">
        <v>70</v>
      </c>
      <c r="B1812" s="77" t="s">
        <v>420</v>
      </c>
      <c r="C1812" s="76" t="s">
        <v>6</v>
      </c>
      <c r="D1812" s="143">
        <v>1</v>
      </c>
      <c r="E1812" s="50"/>
      <c r="F1812" s="334">
        <v>1</v>
      </c>
      <c r="G1812" s="112" t="s">
        <v>420</v>
      </c>
      <c r="H1812" s="120" t="s">
        <v>1076</v>
      </c>
      <c r="I1812" s="120" t="s">
        <v>828</v>
      </c>
      <c r="J1812" s="120" t="s">
        <v>829</v>
      </c>
      <c r="K1812" s="110">
        <v>4000900</v>
      </c>
      <c r="L1812" s="110"/>
      <c r="M1812" s="110">
        <v>1471000</v>
      </c>
      <c r="N1812" s="110"/>
      <c r="O1812" s="110"/>
      <c r="P1812" s="110">
        <f t="shared" si="144"/>
        <v>5471900</v>
      </c>
      <c r="Q1812" s="110">
        <f t="shared" si="145"/>
        <v>5471900</v>
      </c>
      <c r="R1812" s="110">
        <f t="shared" si="146"/>
        <v>5471900</v>
      </c>
      <c r="S1812" s="112" t="s">
        <v>4094</v>
      </c>
    </row>
    <row r="1813" spans="1:19" ht="45">
      <c r="A1813" s="79"/>
      <c r="B1813" s="77" t="s">
        <v>415</v>
      </c>
      <c r="C1813" s="76" t="s">
        <v>4</v>
      </c>
      <c r="D1813" s="143">
        <v>1</v>
      </c>
      <c r="E1813" s="57"/>
      <c r="F1813" s="334"/>
      <c r="G1813" s="112">
        <v>0</v>
      </c>
      <c r="H1813" s="120">
        <v>0</v>
      </c>
      <c r="I1813" s="120">
        <v>0</v>
      </c>
      <c r="J1813" s="120">
        <v>0</v>
      </c>
      <c r="K1813" s="110">
        <v>0</v>
      </c>
      <c r="L1813" s="110"/>
      <c r="M1813" s="110">
        <v>0</v>
      </c>
      <c r="N1813" s="110"/>
      <c r="O1813" s="110"/>
      <c r="P1813" s="110">
        <f t="shared" si="144"/>
        <v>0</v>
      </c>
      <c r="Q1813" s="110">
        <f t="shared" si="145"/>
        <v>0</v>
      </c>
      <c r="R1813" s="110">
        <f t="shared" si="146"/>
        <v>0</v>
      </c>
      <c r="S1813" s="112">
        <v>0</v>
      </c>
    </row>
    <row r="1814" spans="1:19">
      <c r="A1814" s="79"/>
      <c r="B1814" s="77" t="s">
        <v>151</v>
      </c>
      <c r="C1814" s="76"/>
      <c r="D1814" s="143"/>
      <c r="E1814" s="50"/>
      <c r="F1814" s="50"/>
      <c r="G1814" s="112">
        <v>0</v>
      </c>
      <c r="H1814" s="120">
        <v>0</v>
      </c>
      <c r="I1814" s="120">
        <v>0</v>
      </c>
      <c r="J1814" s="120">
        <v>0</v>
      </c>
      <c r="K1814" s="110">
        <v>0</v>
      </c>
      <c r="L1814" s="110"/>
      <c r="M1814" s="110">
        <v>0</v>
      </c>
      <c r="N1814" s="110"/>
      <c r="O1814" s="110"/>
      <c r="P1814" s="110">
        <f t="shared" si="144"/>
        <v>0</v>
      </c>
      <c r="Q1814" s="110">
        <f t="shared" si="145"/>
        <v>0</v>
      </c>
      <c r="R1814" s="110">
        <f t="shared" si="146"/>
        <v>0</v>
      </c>
      <c r="S1814" s="112">
        <v>0</v>
      </c>
    </row>
    <row r="1815" spans="1:19">
      <c r="A1815" s="79"/>
      <c r="B1815" s="77" t="s">
        <v>416</v>
      </c>
      <c r="C1815" s="76" t="s">
        <v>4</v>
      </c>
      <c r="D1815" s="143">
        <v>1</v>
      </c>
      <c r="E1815" s="50"/>
      <c r="F1815" s="334"/>
      <c r="G1815" s="112">
        <v>0</v>
      </c>
      <c r="H1815" s="120">
        <v>0</v>
      </c>
      <c r="I1815" s="120">
        <v>0</v>
      </c>
      <c r="J1815" s="120">
        <v>0</v>
      </c>
      <c r="K1815" s="110">
        <v>0</v>
      </c>
      <c r="L1815" s="110"/>
      <c r="M1815" s="110">
        <v>0</v>
      </c>
      <c r="N1815" s="110"/>
      <c r="O1815" s="110"/>
      <c r="P1815" s="110">
        <f t="shared" si="144"/>
        <v>0</v>
      </c>
      <c r="Q1815" s="110">
        <f t="shared" si="145"/>
        <v>0</v>
      </c>
      <c r="R1815" s="110">
        <f t="shared" si="146"/>
        <v>0</v>
      </c>
      <c r="S1815" s="112">
        <v>0</v>
      </c>
    </row>
    <row r="1816" spans="1:19">
      <c r="A1816" s="79"/>
      <c r="B1816" s="77" t="s">
        <v>154</v>
      </c>
      <c r="C1816" s="76"/>
      <c r="D1816" s="143"/>
      <c r="E1816" s="74"/>
      <c r="F1816" s="74"/>
      <c r="G1816" s="112">
        <v>0</v>
      </c>
      <c r="H1816" s="120">
        <v>0</v>
      </c>
      <c r="I1816" s="120">
        <v>0</v>
      </c>
      <c r="J1816" s="120">
        <v>0</v>
      </c>
      <c r="K1816" s="110">
        <v>0</v>
      </c>
      <c r="L1816" s="110"/>
      <c r="M1816" s="110">
        <v>0</v>
      </c>
      <c r="N1816" s="110"/>
      <c r="O1816" s="110"/>
      <c r="P1816" s="110">
        <f t="shared" si="144"/>
        <v>0</v>
      </c>
      <c r="Q1816" s="110">
        <f t="shared" si="145"/>
        <v>0</v>
      </c>
      <c r="R1816" s="110">
        <f t="shared" si="146"/>
        <v>0</v>
      </c>
      <c r="S1816" s="112">
        <v>0</v>
      </c>
    </row>
    <row r="1817" spans="1:19">
      <c r="A1817" s="79"/>
      <c r="B1817" s="77" t="s">
        <v>157</v>
      </c>
      <c r="C1817" s="76" t="s">
        <v>4</v>
      </c>
      <c r="D1817" s="143">
        <v>7</v>
      </c>
      <c r="E1817" s="74"/>
      <c r="F1817" s="334"/>
      <c r="G1817" s="112">
        <v>0</v>
      </c>
      <c r="H1817" s="120">
        <v>0</v>
      </c>
      <c r="I1817" s="120">
        <v>0</v>
      </c>
      <c r="J1817" s="120">
        <v>0</v>
      </c>
      <c r="K1817" s="110">
        <v>0</v>
      </c>
      <c r="L1817" s="110"/>
      <c r="M1817" s="110">
        <v>0</v>
      </c>
      <c r="N1817" s="110"/>
      <c r="O1817" s="110"/>
      <c r="P1817" s="110">
        <f t="shared" si="144"/>
        <v>0</v>
      </c>
      <c r="Q1817" s="110">
        <f t="shared" si="145"/>
        <v>0</v>
      </c>
      <c r="R1817" s="110">
        <f t="shared" si="146"/>
        <v>0</v>
      </c>
      <c r="S1817" s="112">
        <v>0</v>
      </c>
    </row>
    <row r="1818" spans="1:19">
      <c r="A1818" s="79"/>
      <c r="B1818" s="77" t="s">
        <v>362</v>
      </c>
      <c r="C1818" s="76" t="s">
        <v>8</v>
      </c>
      <c r="D1818" s="143">
        <v>1</v>
      </c>
      <c r="E1818" s="74"/>
      <c r="F1818" s="334"/>
      <c r="G1818" s="112">
        <v>0</v>
      </c>
      <c r="H1818" s="120">
        <v>0</v>
      </c>
      <c r="I1818" s="120">
        <v>0</v>
      </c>
      <c r="J1818" s="120">
        <v>0</v>
      </c>
      <c r="K1818" s="110">
        <v>0</v>
      </c>
      <c r="L1818" s="110"/>
      <c r="M1818" s="110">
        <v>0</v>
      </c>
      <c r="N1818" s="110"/>
      <c r="O1818" s="110"/>
      <c r="P1818" s="110">
        <f t="shared" si="144"/>
        <v>0</v>
      </c>
      <c r="Q1818" s="110">
        <f t="shared" si="145"/>
        <v>0</v>
      </c>
      <c r="R1818" s="110">
        <f t="shared" si="146"/>
        <v>0</v>
      </c>
      <c r="S1818" s="112">
        <v>0</v>
      </c>
    </row>
    <row r="1819" spans="1:19" ht="60">
      <c r="A1819" s="79">
        <v>71</v>
      </c>
      <c r="B1819" s="77" t="s">
        <v>421</v>
      </c>
      <c r="C1819" s="76" t="s">
        <v>6</v>
      </c>
      <c r="D1819" s="143">
        <v>1</v>
      </c>
      <c r="E1819" s="74"/>
      <c r="F1819" s="334">
        <v>1</v>
      </c>
      <c r="G1819" s="112" t="s">
        <v>863</v>
      </c>
      <c r="H1819" s="120" t="s">
        <v>1076</v>
      </c>
      <c r="I1819" s="120" t="s">
        <v>828</v>
      </c>
      <c r="J1819" s="120" t="s">
        <v>829</v>
      </c>
      <c r="K1819" s="110">
        <v>90215700</v>
      </c>
      <c r="L1819" s="110"/>
      <c r="M1819" s="110">
        <v>5541300</v>
      </c>
      <c r="N1819" s="110"/>
      <c r="O1819" s="110"/>
      <c r="P1819" s="110">
        <f t="shared" si="144"/>
        <v>95757000</v>
      </c>
      <c r="Q1819" s="110">
        <f t="shared" si="145"/>
        <v>95757000</v>
      </c>
      <c r="R1819" s="110">
        <f t="shared" si="146"/>
        <v>95757000</v>
      </c>
      <c r="S1819" s="112" t="s">
        <v>4094</v>
      </c>
    </row>
    <row r="1820" spans="1:19" ht="45">
      <c r="A1820" s="79"/>
      <c r="B1820" s="77" t="s">
        <v>422</v>
      </c>
      <c r="C1820" s="76" t="s">
        <v>4</v>
      </c>
      <c r="D1820" s="143">
        <v>1</v>
      </c>
      <c r="E1820" s="75"/>
      <c r="F1820" s="334"/>
      <c r="G1820" s="112">
        <v>0</v>
      </c>
      <c r="H1820" s="120">
        <v>0</v>
      </c>
      <c r="I1820" s="120">
        <v>0</v>
      </c>
      <c r="J1820" s="120">
        <v>0</v>
      </c>
      <c r="K1820" s="110">
        <v>0</v>
      </c>
      <c r="L1820" s="110"/>
      <c r="M1820" s="110">
        <v>0</v>
      </c>
      <c r="N1820" s="110"/>
      <c r="O1820" s="110"/>
      <c r="P1820" s="110">
        <f t="shared" si="144"/>
        <v>0</v>
      </c>
      <c r="Q1820" s="110">
        <f t="shared" si="145"/>
        <v>0</v>
      </c>
      <c r="R1820" s="110">
        <f t="shared" si="146"/>
        <v>0</v>
      </c>
      <c r="S1820" s="112" t="s">
        <v>150</v>
      </c>
    </row>
    <row r="1821" spans="1:19">
      <c r="A1821" s="79"/>
      <c r="B1821" s="77" t="s">
        <v>151</v>
      </c>
      <c r="C1821" s="76"/>
      <c r="D1821" s="143"/>
      <c r="E1821" s="73"/>
      <c r="F1821" s="73"/>
      <c r="G1821" s="112">
        <v>0</v>
      </c>
      <c r="H1821" s="120">
        <v>0</v>
      </c>
      <c r="I1821" s="120">
        <v>0</v>
      </c>
      <c r="J1821" s="120">
        <v>0</v>
      </c>
      <c r="K1821" s="110">
        <v>0</v>
      </c>
      <c r="L1821" s="110"/>
      <c r="M1821" s="110">
        <v>0</v>
      </c>
      <c r="N1821" s="110"/>
      <c r="O1821" s="110"/>
      <c r="P1821" s="110">
        <f t="shared" si="144"/>
        <v>0</v>
      </c>
      <c r="Q1821" s="110">
        <f t="shared" si="145"/>
        <v>0</v>
      </c>
      <c r="R1821" s="110">
        <f t="shared" si="146"/>
        <v>0</v>
      </c>
      <c r="S1821" s="112">
        <v>0</v>
      </c>
    </row>
    <row r="1822" spans="1:19">
      <c r="A1822" s="79"/>
      <c r="B1822" s="77" t="s">
        <v>423</v>
      </c>
      <c r="C1822" s="76" t="s">
        <v>4</v>
      </c>
      <c r="D1822" s="143">
        <v>1</v>
      </c>
      <c r="E1822" s="50"/>
      <c r="F1822" s="334"/>
      <c r="G1822" s="112">
        <v>0</v>
      </c>
      <c r="H1822" s="120">
        <v>0</v>
      </c>
      <c r="I1822" s="120">
        <v>0</v>
      </c>
      <c r="J1822" s="120">
        <v>0</v>
      </c>
      <c r="K1822" s="110">
        <v>0</v>
      </c>
      <c r="L1822" s="110"/>
      <c r="M1822" s="110">
        <v>0</v>
      </c>
      <c r="N1822" s="110"/>
      <c r="O1822" s="110"/>
      <c r="P1822" s="110">
        <f t="shared" si="144"/>
        <v>0</v>
      </c>
      <c r="Q1822" s="110">
        <f t="shared" si="145"/>
        <v>0</v>
      </c>
      <c r="R1822" s="110">
        <f t="shared" si="146"/>
        <v>0</v>
      </c>
      <c r="S1822" s="112">
        <v>0</v>
      </c>
    </row>
    <row r="1823" spans="1:19">
      <c r="A1823" s="79"/>
      <c r="B1823" s="77" t="s">
        <v>48</v>
      </c>
      <c r="C1823" s="76" t="s">
        <v>12</v>
      </c>
      <c r="D1823" s="143">
        <v>3</v>
      </c>
      <c r="E1823" s="57"/>
      <c r="F1823" s="334"/>
      <c r="G1823" s="112">
        <v>0</v>
      </c>
      <c r="H1823" s="120">
        <v>0</v>
      </c>
      <c r="I1823" s="120">
        <v>0</v>
      </c>
      <c r="J1823" s="120">
        <v>0</v>
      </c>
      <c r="K1823" s="110">
        <v>0</v>
      </c>
      <c r="L1823" s="110"/>
      <c r="M1823" s="110">
        <v>0</v>
      </c>
      <c r="N1823" s="110"/>
      <c r="O1823" s="110"/>
      <c r="P1823" s="110">
        <f t="shared" si="144"/>
        <v>0</v>
      </c>
      <c r="Q1823" s="110">
        <f t="shared" si="145"/>
        <v>0</v>
      </c>
      <c r="R1823" s="110">
        <f t="shared" si="146"/>
        <v>0</v>
      </c>
      <c r="S1823" s="112">
        <v>0</v>
      </c>
    </row>
    <row r="1824" spans="1:19">
      <c r="A1824" s="79"/>
      <c r="B1824" s="77" t="s">
        <v>29</v>
      </c>
      <c r="C1824" s="76" t="s">
        <v>4</v>
      </c>
      <c r="D1824" s="143">
        <v>1</v>
      </c>
      <c r="E1824" s="50"/>
      <c r="F1824" s="334"/>
      <c r="G1824" s="112">
        <v>0</v>
      </c>
      <c r="H1824" s="120">
        <v>0</v>
      </c>
      <c r="I1824" s="120">
        <v>0</v>
      </c>
      <c r="J1824" s="120">
        <v>0</v>
      </c>
      <c r="K1824" s="110">
        <v>0</v>
      </c>
      <c r="L1824" s="110"/>
      <c r="M1824" s="110">
        <v>0</v>
      </c>
      <c r="N1824" s="110"/>
      <c r="O1824" s="110"/>
      <c r="P1824" s="110">
        <f t="shared" si="144"/>
        <v>0</v>
      </c>
      <c r="Q1824" s="110">
        <f t="shared" si="145"/>
        <v>0</v>
      </c>
      <c r="R1824" s="110">
        <f t="shared" si="146"/>
        <v>0</v>
      </c>
      <c r="S1824" s="112">
        <v>0</v>
      </c>
    </row>
    <row r="1825" spans="1:19">
      <c r="A1825" s="79"/>
      <c r="B1825" s="77" t="s">
        <v>30</v>
      </c>
      <c r="C1825" s="76" t="s">
        <v>4</v>
      </c>
      <c r="D1825" s="143">
        <v>1</v>
      </c>
      <c r="E1825" s="50"/>
      <c r="F1825" s="334"/>
      <c r="G1825" s="112">
        <v>0</v>
      </c>
      <c r="H1825" s="120">
        <v>0</v>
      </c>
      <c r="I1825" s="120">
        <v>0</v>
      </c>
      <c r="J1825" s="120">
        <v>0</v>
      </c>
      <c r="K1825" s="110">
        <v>0</v>
      </c>
      <c r="L1825" s="110"/>
      <c r="M1825" s="110">
        <v>0</v>
      </c>
      <c r="N1825" s="110"/>
      <c r="O1825" s="110"/>
      <c r="P1825" s="110">
        <f t="shared" si="144"/>
        <v>0</v>
      </c>
      <c r="Q1825" s="110">
        <f t="shared" si="145"/>
        <v>0</v>
      </c>
      <c r="R1825" s="110">
        <f t="shared" si="146"/>
        <v>0</v>
      </c>
      <c r="S1825" s="112">
        <v>0</v>
      </c>
    </row>
    <row r="1826" spans="1:19">
      <c r="A1826" s="79"/>
      <c r="B1826" s="77" t="s">
        <v>424</v>
      </c>
      <c r="C1826" s="76" t="s">
        <v>4</v>
      </c>
      <c r="D1826" s="143">
        <v>3</v>
      </c>
      <c r="E1826" s="50"/>
      <c r="F1826" s="334"/>
      <c r="G1826" s="112">
        <v>0</v>
      </c>
      <c r="H1826" s="120">
        <v>0</v>
      </c>
      <c r="I1826" s="120">
        <v>0</v>
      </c>
      <c r="J1826" s="120">
        <v>0</v>
      </c>
      <c r="K1826" s="110">
        <v>0</v>
      </c>
      <c r="L1826" s="110"/>
      <c r="M1826" s="110">
        <v>0</v>
      </c>
      <c r="N1826" s="110"/>
      <c r="O1826" s="110"/>
      <c r="P1826" s="110">
        <f t="shared" si="144"/>
        <v>0</v>
      </c>
      <c r="Q1826" s="110">
        <f t="shared" si="145"/>
        <v>0</v>
      </c>
      <c r="R1826" s="110">
        <f t="shared" si="146"/>
        <v>0</v>
      </c>
      <c r="S1826" s="112">
        <v>0</v>
      </c>
    </row>
    <row r="1827" spans="1:19">
      <c r="A1827" s="79"/>
      <c r="B1827" s="77" t="s">
        <v>14</v>
      </c>
      <c r="C1827" s="76" t="s">
        <v>4</v>
      </c>
      <c r="D1827" s="143">
        <v>3</v>
      </c>
      <c r="E1827" s="50"/>
      <c r="F1827" s="334"/>
      <c r="G1827" s="112">
        <v>0</v>
      </c>
      <c r="H1827" s="120">
        <v>0</v>
      </c>
      <c r="I1827" s="120">
        <v>0</v>
      </c>
      <c r="J1827" s="120">
        <v>0</v>
      </c>
      <c r="K1827" s="110">
        <v>0</v>
      </c>
      <c r="L1827" s="110"/>
      <c r="M1827" s="110">
        <v>0</v>
      </c>
      <c r="N1827" s="110"/>
      <c r="O1827" s="110"/>
      <c r="P1827" s="110">
        <f t="shared" si="144"/>
        <v>0</v>
      </c>
      <c r="Q1827" s="110">
        <f t="shared" si="145"/>
        <v>0</v>
      </c>
      <c r="R1827" s="110">
        <f t="shared" si="146"/>
        <v>0</v>
      </c>
      <c r="S1827" s="112">
        <v>0</v>
      </c>
    </row>
    <row r="1828" spans="1:19">
      <c r="A1828" s="79"/>
      <c r="B1828" s="77" t="s">
        <v>153</v>
      </c>
      <c r="C1828" s="76" t="s">
        <v>4</v>
      </c>
      <c r="D1828" s="143">
        <v>3</v>
      </c>
      <c r="E1828" s="50"/>
      <c r="F1828" s="334"/>
      <c r="G1828" s="112">
        <v>0</v>
      </c>
      <c r="H1828" s="120">
        <v>0</v>
      </c>
      <c r="I1828" s="120">
        <v>0</v>
      </c>
      <c r="J1828" s="120">
        <v>0</v>
      </c>
      <c r="K1828" s="110">
        <v>0</v>
      </c>
      <c r="L1828" s="110"/>
      <c r="M1828" s="110">
        <v>0</v>
      </c>
      <c r="N1828" s="110"/>
      <c r="O1828" s="110"/>
      <c r="P1828" s="110">
        <f t="shared" si="144"/>
        <v>0</v>
      </c>
      <c r="Q1828" s="110">
        <f t="shared" si="145"/>
        <v>0</v>
      </c>
      <c r="R1828" s="110">
        <f t="shared" si="146"/>
        <v>0</v>
      </c>
      <c r="S1828" s="112">
        <v>0</v>
      </c>
    </row>
    <row r="1829" spans="1:19">
      <c r="A1829" s="79"/>
      <c r="B1829" s="77" t="s">
        <v>154</v>
      </c>
      <c r="C1829" s="76"/>
      <c r="D1829" s="143"/>
      <c r="E1829" s="74"/>
      <c r="F1829" s="74"/>
      <c r="G1829" s="112">
        <v>0</v>
      </c>
      <c r="H1829" s="120">
        <v>0</v>
      </c>
      <c r="I1829" s="120">
        <v>0</v>
      </c>
      <c r="J1829" s="120">
        <v>0</v>
      </c>
      <c r="K1829" s="110">
        <v>0</v>
      </c>
      <c r="L1829" s="110"/>
      <c r="M1829" s="110">
        <v>0</v>
      </c>
      <c r="N1829" s="110"/>
      <c r="O1829" s="110"/>
      <c r="P1829" s="110">
        <f t="shared" si="144"/>
        <v>0</v>
      </c>
      <c r="Q1829" s="110">
        <f t="shared" si="145"/>
        <v>0</v>
      </c>
      <c r="R1829" s="110">
        <f t="shared" si="146"/>
        <v>0</v>
      </c>
      <c r="S1829" s="112">
        <v>0</v>
      </c>
    </row>
    <row r="1830" spans="1:19">
      <c r="A1830" s="79"/>
      <c r="B1830" s="77" t="s">
        <v>242</v>
      </c>
      <c r="C1830" s="76" t="s">
        <v>4</v>
      </c>
      <c r="D1830" s="143">
        <v>2</v>
      </c>
      <c r="E1830" s="74"/>
      <c r="F1830" s="334"/>
      <c r="G1830" s="112">
        <v>0</v>
      </c>
      <c r="H1830" s="120">
        <v>0</v>
      </c>
      <c r="I1830" s="120">
        <v>0</v>
      </c>
      <c r="J1830" s="120">
        <v>0</v>
      </c>
      <c r="K1830" s="110">
        <v>0</v>
      </c>
      <c r="L1830" s="110"/>
      <c r="M1830" s="110">
        <v>0</v>
      </c>
      <c r="N1830" s="110"/>
      <c r="O1830" s="110"/>
      <c r="P1830" s="110">
        <f t="shared" si="144"/>
        <v>0</v>
      </c>
      <c r="Q1830" s="110">
        <f t="shared" si="145"/>
        <v>0</v>
      </c>
      <c r="R1830" s="110">
        <f t="shared" si="146"/>
        <v>0</v>
      </c>
      <c r="S1830" s="112">
        <v>0</v>
      </c>
    </row>
    <row r="1831" spans="1:19">
      <c r="A1831" s="79"/>
      <c r="B1831" s="77" t="s">
        <v>259</v>
      </c>
      <c r="C1831" s="76" t="s">
        <v>4</v>
      </c>
      <c r="D1831" s="143">
        <v>4</v>
      </c>
      <c r="E1831" s="74"/>
      <c r="F1831" s="334"/>
      <c r="G1831" s="112">
        <v>0</v>
      </c>
      <c r="H1831" s="120">
        <v>0</v>
      </c>
      <c r="I1831" s="120">
        <v>0</v>
      </c>
      <c r="J1831" s="120">
        <v>0</v>
      </c>
      <c r="K1831" s="110">
        <v>0</v>
      </c>
      <c r="L1831" s="110"/>
      <c r="M1831" s="110">
        <v>0</v>
      </c>
      <c r="N1831" s="110"/>
      <c r="O1831" s="110"/>
      <c r="P1831" s="110">
        <f t="shared" si="144"/>
        <v>0</v>
      </c>
      <c r="Q1831" s="110">
        <f t="shared" si="145"/>
        <v>0</v>
      </c>
      <c r="R1831" s="110">
        <f t="shared" si="146"/>
        <v>0</v>
      </c>
      <c r="S1831" s="112">
        <v>0</v>
      </c>
    </row>
    <row r="1832" spans="1:19">
      <c r="A1832" s="79"/>
      <c r="B1832" s="77" t="s">
        <v>199</v>
      </c>
      <c r="C1832" s="76" t="s">
        <v>4</v>
      </c>
      <c r="D1832" s="143">
        <v>1</v>
      </c>
      <c r="E1832" s="74"/>
      <c r="F1832" s="334"/>
      <c r="G1832" s="112">
        <v>0</v>
      </c>
      <c r="H1832" s="120">
        <v>0</v>
      </c>
      <c r="I1832" s="120">
        <v>0</v>
      </c>
      <c r="J1832" s="120">
        <v>0</v>
      </c>
      <c r="K1832" s="110">
        <v>0</v>
      </c>
      <c r="L1832" s="110"/>
      <c r="M1832" s="110">
        <v>0</v>
      </c>
      <c r="N1832" s="110"/>
      <c r="O1832" s="110"/>
      <c r="P1832" s="110">
        <f t="shared" si="144"/>
        <v>0</v>
      </c>
      <c r="Q1832" s="110">
        <f t="shared" si="145"/>
        <v>0</v>
      </c>
      <c r="R1832" s="110">
        <f t="shared" si="146"/>
        <v>0</v>
      </c>
      <c r="S1832" s="112">
        <v>0</v>
      </c>
    </row>
    <row r="1833" spans="1:19">
      <c r="A1833" s="79"/>
      <c r="B1833" s="77" t="s">
        <v>185</v>
      </c>
      <c r="C1833" s="76" t="s">
        <v>4</v>
      </c>
      <c r="D1833" s="143">
        <v>1</v>
      </c>
      <c r="E1833" s="74"/>
      <c r="F1833" s="334"/>
      <c r="G1833" s="112">
        <v>0</v>
      </c>
      <c r="H1833" s="120">
        <v>0</v>
      </c>
      <c r="I1833" s="120">
        <v>0</v>
      </c>
      <c r="J1833" s="120">
        <v>0</v>
      </c>
      <c r="K1833" s="110">
        <v>0</v>
      </c>
      <c r="L1833" s="110"/>
      <c r="M1833" s="110">
        <v>0</v>
      </c>
      <c r="N1833" s="110"/>
      <c r="O1833" s="110"/>
      <c r="P1833" s="110">
        <f t="shared" si="144"/>
        <v>0</v>
      </c>
      <c r="Q1833" s="110">
        <f t="shared" si="145"/>
        <v>0</v>
      </c>
      <c r="R1833" s="110">
        <f t="shared" si="146"/>
        <v>0</v>
      </c>
      <c r="S1833" s="112">
        <v>0</v>
      </c>
    </row>
    <row r="1834" spans="1:19">
      <c r="A1834" s="79"/>
      <c r="B1834" s="77" t="s">
        <v>158</v>
      </c>
      <c r="C1834" s="76" t="s">
        <v>4</v>
      </c>
      <c r="D1834" s="143">
        <v>1</v>
      </c>
      <c r="E1834" s="74"/>
      <c r="F1834" s="334"/>
      <c r="G1834" s="112">
        <v>0</v>
      </c>
      <c r="H1834" s="120">
        <v>0</v>
      </c>
      <c r="I1834" s="120">
        <v>0</v>
      </c>
      <c r="J1834" s="120">
        <v>0</v>
      </c>
      <c r="K1834" s="110">
        <v>0</v>
      </c>
      <c r="L1834" s="110"/>
      <c r="M1834" s="110">
        <v>0</v>
      </c>
      <c r="N1834" s="110"/>
      <c r="O1834" s="110"/>
      <c r="P1834" s="110">
        <f t="shared" si="144"/>
        <v>0</v>
      </c>
      <c r="Q1834" s="110">
        <f t="shared" si="145"/>
        <v>0</v>
      </c>
      <c r="R1834" s="110">
        <f t="shared" si="146"/>
        <v>0</v>
      </c>
      <c r="S1834" s="112">
        <v>0</v>
      </c>
    </row>
    <row r="1835" spans="1:19">
      <c r="A1835" s="79"/>
      <c r="B1835" s="77" t="s">
        <v>425</v>
      </c>
      <c r="C1835" s="76" t="s">
        <v>8</v>
      </c>
      <c r="D1835" s="143">
        <v>1</v>
      </c>
      <c r="E1835" s="74"/>
      <c r="F1835" s="334"/>
      <c r="G1835" s="112">
        <v>0</v>
      </c>
      <c r="H1835" s="120">
        <v>0</v>
      </c>
      <c r="I1835" s="120">
        <v>0</v>
      </c>
      <c r="J1835" s="120">
        <v>0</v>
      </c>
      <c r="K1835" s="110">
        <v>0</v>
      </c>
      <c r="L1835" s="110"/>
      <c r="M1835" s="110">
        <v>0</v>
      </c>
      <c r="N1835" s="110"/>
      <c r="O1835" s="110"/>
      <c r="P1835" s="110">
        <f t="shared" si="144"/>
        <v>0</v>
      </c>
      <c r="Q1835" s="110">
        <f t="shared" si="145"/>
        <v>0</v>
      </c>
      <c r="R1835" s="110">
        <f t="shared" si="146"/>
        <v>0</v>
      </c>
      <c r="S1835" s="112">
        <v>0</v>
      </c>
    </row>
    <row r="1836" spans="1:19">
      <c r="A1836" s="79"/>
      <c r="B1836" s="77" t="s">
        <v>245</v>
      </c>
      <c r="C1836" s="76" t="s">
        <v>4</v>
      </c>
      <c r="D1836" s="143">
        <v>2</v>
      </c>
      <c r="E1836" s="74"/>
      <c r="F1836" s="334"/>
      <c r="G1836" s="112">
        <v>0</v>
      </c>
      <c r="H1836" s="120">
        <v>0</v>
      </c>
      <c r="I1836" s="120">
        <v>0</v>
      </c>
      <c r="J1836" s="120">
        <v>0</v>
      </c>
      <c r="K1836" s="110">
        <v>0</v>
      </c>
      <c r="L1836" s="110"/>
      <c r="M1836" s="110">
        <v>0</v>
      </c>
      <c r="N1836" s="110"/>
      <c r="O1836" s="110"/>
      <c r="P1836" s="110">
        <f t="shared" si="144"/>
        <v>0</v>
      </c>
      <c r="Q1836" s="110">
        <f t="shared" si="145"/>
        <v>0</v>
      </c>
      <c r="R1836" s="110">
        <f t="shared" si="146"/>
        <v>0</v>
      </c>
      <c r="S1836" s="112">
        <v>0</v>
      </c>
    </row>
    <row r="1837" spans="1:19">
      <c r="A1837" s="79"/>
      <c r="B1837" s="77" t="s">
        <v>246</v>
      </c>
      <c r="C1837" s="76" t="s">
        <v>4</v>
      </c>
      <c r="D1837" s="143">
        <v>1</v>
      </c>
      <c r="E1837" s="74"/>
      <c r="F1837" s="334"/>
      <c r="G1837" s="112">
        <v>0</v>
      </c>
      <c r="H1837" s="120">
        <v>0</v>
      </c>
      <c r="I1837" s="120">
        <v>0</v>
      </c>
      <c r="J1837" s="120">
        <v>0</v>
      </c>
      <c r="K1837" s="110">
        <v>0</v>
      </c>
      <c r="L1837" s="110"/>
      <c r="M1837" s="110">
        <v>0</v>
      </c>
      <c r="N1837" s="110"/>
      <c r="O1837" s="110"/>
      <c r="P1837" s="110">
        <f t="shared" si="144"/>
        <v>0</v>
      </c>
      <c r="Q1837" s="110">
        <f t="shared" si="145"/>
        <v>0</v>
      </c>
      <c r="R1837" s="110">
        <f t="shared" si="146"/>
        <v>0</v>
      </c>
      <c r="S1837" s="112">
        <v>0</v>
      </c>
    </row>
    <row r="1838" spans="1:19">
      <c r="A1838" s="79"/>
      <c r="B1838" s="77" t="s">
        <v>173</v>
      </c>
      <c r="C1838" s="76" t="s">
        <v>4</v>
      </c>
      <c r="D1838" s="143">
        <v>1</v>
      </c>
      <c r="E1838" s="74"/>
      <c r="F1838" s="334"/>
      <c r="G1838" s="112">
        <v>0</v>
      </c>
      <c r="H1838" s="120">
        <v>0</v>
      </c>
      <c r="I1838" s="120">
        <v>0</v>
      </c>
      <c r="J1838" s="120">
        <v>0</v>
      </c>
      <c r="K1838" s="110">
        <v>0</v>
      </c>
      <c r="L1838" s="110"/>
      <c r="M1838" s="110">
        <v>0</v>
      </c>
      <c r="N1838" s="110"/>
      <c r="O1838" s="110"/>
      <c r="P1838" s="110">
        <f t="shared" si="144"/>
        <v>0</v>
      </c>
      <c r="Q1838" s="110">
        <f t="shared" si="145"/>
        <v>0</v>
      </c>
      <c r="R1838" s="110">
        <f t="shared" si="146"/>
        <v>0</v>
      </c>
      <c r="S1838" s="112">
        <v>0</v>
      </c>
    </row>
    <row r="1839" spans="1:19">
      <c r="A1839" s="79"/>
      <c r="B1839" s="77" t="s">
        <v>201</v>
      </c>
      <c r="C1839" s="76" t="s">
        <v>4</v>
      </c>
      <c r="D1839" s="143">
        <v>1</v>
      </c>
      <c r="E1839" s="74"/>
      <c r="F1839" s="334"/>
      <c r="G1839" s="112">
        <v>0</v>
      </c>
      <c r="H1839" s="120">
        <v>0</v>
      </c>
      <c r="I1839" s="120">
        <v>0</v>
      </c>
      <c r="J1839" s="120">
        <v>0</v>
      </c>
      <c r="K1839" s="110">
        <v>0</v>
      </c>
      <c r="L1839" s="110"/>
      <c r="M1839" s="110">
        <v>0</v>
      </c>
      <c r="N1839" s="110"/>
      <c r="O1839" s="110"/>
      <c r="P1839" s="110">
        <f t="shared" si="144"/>
        <v>0</v>
      </c>
      <c r="Q1839" s="110">
        <f t="shared" si="145"/>
        <v>0</v>
      </c>
      <c r="R1839" s="110">
        <f t="shared" si="146"/>
        <v>0</v>
      </c>
      <c r="S1839" s="112">
        <v>0</v>
      </c>
    </row>
    <row r="1840" spans="1:19">
      <c r="A1840" s="79"/>
      <c r="B1840" s="77" t="s">
        <v>352</v>
      </c>
      <c r="C1840" s="76" t="s">
        <v>4</v>
      </c>
      <c r="D1840" s="143">
        <v>1</v>
      </c>
      <c r="E1840" s="74"/>
      <c r="F1840" s="334"/>
      <c r="G1840" s="112">
        <v>0</v>
      </c>
      <c r="H1840" s="120">
        <v>0</v>
      </c>
      <c r="I1840" s="120">
        <v>0</v>
      </c>
      <c r="J1840" s="120">
        <v>0</v>
      </c>
      <c r="K1840" s="110">
        <v>0</v>
      </c>
      <c r="L1840" s="110"/>
      <c r="M1840" s="110">
        <v>0</v>
      </c>
      <c r="N1840" s="110"/>
      <c r="O1840" s="110"/>
      <c r="P1840" s="110">
        <f t="shared" si="144"/>
        <v>0</v>
      </c>
      <c r="Q1840" s="110">
        <f t="shared" si="145"/>
        <v>0</v>
      </c>
      <c r="R1840" s="110">
        <f t="shared" si="146"/>
        <v>0</v>
      </c>
      <c r="S1840" s="112">
        <v>0</v>
      </c>
    </row>
    <row r="1841" spans="1:19">
      <c r="A1841" s="79"/>
      <c r="B1841" s="77" t="s">
        <v>175</v>
      </c>
      <c r="C1841" s="76" t="s">
        <v>4</v>
      </c>
      <c r="D1841" s="143">
        <v>1</v>
      </c>
      <c r="E1841" s="74"/>
      <c r="F1841" s="334"/>
      <c r="G1841" s="112">
        <v>0</v>
      </c>
      <c r="H1841" s="120">
        <v>0</v>
      </c>
      <c r="I1841" s="120">
        <v>0</v>
      </c>
      <c r="J1841" s="120">
        <v>0</v>
      </c>
      <c r="K1841" s="110">
        <v>0</v>
      </c>
      <c r="L1841" s="110"/>
      <c r="M1841" s="110">
        <v>0</v>
      </c>
      <c r="N1841" s="110"/>
      <c r="O1841" s="110"/>
      <c r="P1841" s="110">
        <f t="shared" ref="P1841:P1904" si="147">+K1841+L1841+M1841+N1841+O1841</f>
        <v>0</v>
      </c>
      <c r="Q1841" s="110">
        <f t="shared" ref="Q1841:Q1904" si="148">+P1841*D1841</f>
        <v>0</v>
      </c>
      <c r="R1841" s="110">
        <f t="shared" ref="R1841:R1904" si="149">P1841*F1841</f>
        <v>0</v>
      </c>
      <c r="S1841" s="112">
        <v>0</v>
      </c>
    </row>
    <row r="1842" spans="1:19">
      <c r="A1842" s="79"/>
      <c r="B1842" s="77" t="s">
        <v>202</v>
      </c>
      <c r="C1842" s="76" t="s">
        <v>4</v>
      </c>
      <c r="D1842" s="143">
        <v>1</v>
      </c>
      <c r="E1842" s="74"/>
      <c r="F1842" s="334"/>
      <c r="G1842" s="112">
        <v>0</v>
      </c>
      <c r="H1842" s="120">
        <v>0</v>
      </c>
      <c r="I1842" s="120">
        <v>0</v>
      </c>
      <c r="J1842" s="120">
        <v>0</v>
      </c>
      <c r="K1842" s="110">
        <v>0</v>
      </c>
      <c r="L1842" s="110"/>
      <c r="M1842" s="110">
        <v>0</v>
      </c>
      <c r="N1842" s="110"/>
      <c r="O1842" s="110"/>
      <c r="P1842" s="110">
        <f t="shared" si="147"/>
        <v>0</v>
      </c>
      <c r="Q1842" s="110">
        <f t="shared" si="148"/>
        <v>0</v>
      </c>
      <c r="R1842" s="110">
        <f t="shared" si="149"/>
        <v>0</v>
      </c>
      <c r="S1842" s="112">
        <v>0</v>
      </c>
    </row>
    <row r="1843" spans="1:19">
      <c r="A1843" s="79"/>
      <c r="B1843" s="77" t="s">
        <v>176</v>
      </c>
      <c r="C1843" s="76" t="s">
        <v>4</v>
      </c>
      <c r="D1843" s="143">
        <v>2</v>
      </c>
      <c r="E1843" s="74"/>
      <c r="F1843" s="334"/>
      <c r="G1843" s="112">
        <v>0</v>
      </c>
      <c r="H1843" s="120">
        <v>0</v>
      </c>
      <c r="I1843" s="120">
        <v>0</v>
      </c>
      <c r="J1843" s="120">
        <v>0</v>
      </c>
      <c r="K1843" s="110">
        <v>0</v>
      </c>
      <c r="L1843" s="110"/>
      <c r="M1843" s="110">
        <v>0</v>
      </c>
      <c r="N1843" s="110"/>
      <c r="O1843" s="110"/>
      <c r="P1843" s="110">
        <f t="shared" si="147"/>
        <v>0</v>
      </c>
      <c r="Q1843" s="110">
        <f t="shared" si="148"/>
        <v>0</v>
      </c>
      <c r="R1843" s="110">
        <f t="shared" si="149"/>
        <v>0</v>
      </c>
      <c r="S1843" s="112">
        <v>0</v>
      </c>
    </row>
    <row r="1844" spans="1:19">
      <c r="A1844" s="79"/>
      <c r="B1844" s="77" t="s">
        <v>161</v>
      </c>
      <c r="C1844" s="76" t="s">
        <v>4</v>
      </c>
      <c r="D1844" s="143">
        <v>1</v>
      </c>
      <c r="E1844" s="74"/>
      <c r="F1844" s="334"/>
      <c r="G1844" s="112">
        <v>0</v>
      </c>
      <c r="H1844" s="120">
        <v>0</v>
      </c>
      <c r="I1844" s="120">
        <v>0</v>
      </c>
      <c r="J1844" s="120">
        <v>0</v>
      </c>
      <c r="K1844" s="110">
        <v>0</v>
      </c>
      <c r="L1844" s="110"/>
      <c r="M1844" s="110">
        <v>0</v>
      </c>
      <c r="N1844" s="110"/>
      <c r="O1844" s="110"/>
      <c r="P1844" s="110">
        <f t="shared" si="147"/>
        <v>0</v>
      </c>
      <c r="Q1844" s="110">
        <f t="shared" si="148"/>
        <v>0</v>
      </c>
      <c r="R1844" s="110">
        <f t="shared" si="149"/>
        <v>0</v>
      </c>
      <c r="S1844" s="112">
        <v>0</v>
      </c>
    </row>
    <row r="1845" spans="1:19">
      <c r="A1845" s="79"/>
      <c r="B1845" s="77" t="s">
        <v>177</v>
      </c>
      <c r="C1845" s="76" t="s">
        <v>17</v>
      </c>
      <c r="D1845" s="143">
        <v>1</v>
      </c>
      <c r="E1845" s="74"/>
      <c r="F1845" s="334"/>
      <c r="G1845" s="112">
        <v>0</v>
      </c>
      <c r="H1845" s="120">
        <v>0</v>
      </c>
      <c r="I1845" s="120">
        <v>0</v>
      </c>
      <c r="J1845" s="120">
        <v>0</v>
      </c>
      <c r="K1845" s="110">
        <v>0</v>
      </c>
      <c r="L1845" s="110"/>
      <c r="M1845" s="110">
        <v>0</v>
      </c>
      <c r="N1845" s="110"/>
      <c r="O1845" s="110"/>
      <c r="P1845" s="110">
        <f t="shared" si="147"/>
        <v>0</v>
      </c>
      <c r="Q1845" s="110">
        <f t="shared" si="148"/>
        <v>0</v>
      </c>
      <c r="R1845" s="110">
        <f t="shared" si="149"/>
        <v>0</v>
      </c>
      <c r="S1845" s="112">
        <v>0</v>
      </c>
    </row>
    <row r="1846" spans="1:19">
      <c r="A1846" s="79"/>
      <c r="B1846" s="77" t="s">
        <v>426</v>
      </c>
      <c r="C1846" s="76" t="s">
        <v>8</v>
      </c>
      <c r="D1846" s="143">
        <v>1</v>
      </c>
      <c r="E1846" s="74"/>
      <c r="F1846" s="334"/>
      <c r="G1846" s="112">
        <v>0</v>
      </c>
      <c r="H1846" s="120">
        <v>0</v>
      </c>
      <c r="I1846" s="120">
        <v>0</v>
      </c>
      <c r="J1846" s="120">
        <v>0</v>
      </c>
      <c r="K1846" s="110">
        <v>0</v>
      </c>
      <c r="L1846" s="110"/>
      <c r="M1846" s="110">
        <v>0</v>
      </c>
      <c r="N1846" s="110"/>
      <c r="O1846" s="110"/>
      <c r="P1846" s="110">
        <f t="shared" si="147"/>
        <v>0</v>
      </c>
      <c r="Q1846" s="110">
        <f t="shared" si="148"/>
        <v>0</v>
      </c>
      <c r="R1846" s="110">
        <f t="shared" si="149"/>
        <v>0</v>
      </c>
      <c r="S1846" s="112">
        <v>0</v>
      </c>
    </row>
    <row r="1847" spans="1:19">
      <c r="A1847" s="79"/>
      <c r="B1847" s="77" t="s">
        <v>245</v>
      </c>
      <c r="C1847" s="76" t="s">
        <v>4</v>
      </c>
      <c r="D1847" s="143">
        <v>2</v>
      </c>
      <c r="E1847" s="74"/>
      <c r="F1847" s="334"/>
      <c r="G1847" s="112">
        <v>0</v>
      </c>
      <c r="H1847" s="120">
        <v>0</v>
      </c>
      <c r="I1847" s="120">
        <v>0</v>
      </c>
      <c r="J1847" s="120">
        <v>0</v>
      </c>
      <c r="K1847" s="110">
        <v>0</v>
      </c>
      <c r="L1847" s="110"/>
      <c r="M1847" s="110">
        <v>0</v>
      </c>
      <c r="N1847" s="110"/>
      <c r="O1847" s="110"/>
      <c r="P1847" s="110">
        <f t="shared" si="147"/>
        <v>0</v>
      </c>
      <c r="Q1847" s="110">
        <f t="shared" si="148"/>
        <v>0</v>
      </c>
      <c r="R1847" s="110">
        <f t="shared" si="149"/>
        <v>0</v>
      </c>
      <c r="S1847" s="112">
        <v>0</v>
      </c>
    </row>
    <row r="1848" spans="1:19">
      <c r="A1848" s="79"/>
      <c r="B1848" s="77" t="s">
        <v>246</v>
      </c>
      <c r="C1848" s="76" t="s">
        <v>4</v>
      </c>
      <c r="D1848" s="143">
        <v>1</v>
      </c>
      <c r="E1848" s="74"/>
      <c r="F1848" s="334"/>
      <c r="G1848" s="112">
        <v>0</v>
      </c>
      <c r="H1848" s="120">
        <v>0</v>
      </c>
      <c r="I1848" s="120">
        <v>0</v>
      </c>
      <c r="J1848" s="120">
        <v>0</v>
      </c>
      <c r="K1848" s="110">
        <v>0</v>
      </c>
      <c r="L1848" s="110"/>
      <c r="M1848" s="110">
        <v>0</v>
      </c>
      <c r="N1848" s="110"/>
      <c r="O1848" s="110"/>
      <c r="P1848" s="110">
        <f t="shared" si="147"/>
        <v>0</v>
      </c>
      <c r="Q1848" s="110">
        <f t="shared" si="148"/>
        <v>0</v>
      </c>
      <c r="R1848" s="110">
        <f t="shared" si="149"/>
        <v>0</v>
      </c>
      <c r="S1848" s="112">
        <v>0</v>
      </c>
    </row>
    <row r="1849" spans="1:19">
      <c r="A1849" s="79"/>
      <c r="B1849" s="77" t="s">
        <v>173</v>
      </c>
      <c r="C1849" s="76" t="s">
        <v>4</v>
      </c>
      <c r="D1849" s="143">
        <v>1</v>
      </c>
      <c r="E1849" s="74"/>
      <c r="F1849" s="334"/>
      <c r="G1849" s="112">
        <v>0</v>
      </c>
      <c r="H1849" s="120">
        <v>0</v>
      </c>
      <c r="I1849" s="120">
        <v>0</v>
      </c>
      <c r="J1849" s="120">
        <v>0</v>
      </c>
      <c r="K1849" s="110">
        <v>0</v>
      </c>
      <c r="L1849" s="110"/>
      <c r="M1849" s="110">
        <v>0</v>
      </c>
      <c r="N1849" s="110"/>
      <c r="O1849" s="110"/>
      <c r="P1849" s="110">
        <f t="shared" si="147"/>
        <v>0</v>
      </c>
      <c r="Q1849" s="110">
        <f t="shared" si="148"/>
        <v>0</v>
      </c>
      <c r="R1849" s="110">
        <f t="shared" si="149"/>
        <v>0</v>
      </c>
      <c r="S1849" s="112">
        <v>0</v>
      </c>
    </row>
    <row r="1850" spans="1:19">
      <c r="A1850" s="79"/>
      <c r="B1850" s="77" t="s">
        <v>201</v>
      </c>
      <c r="C1850" s="76" t="s">
        <v>4</v>
      </c>
      <c r="D1850" s="143">
        <v>1</v>
      </c>
      <c r="E1850" s="74"/>
      <c r="F1850" s="334"/>
      <c r="G1850" s="112">
        <v>0</v>
      </c>
      <c r="H1850" s="120">
        <v>0</v>
      </c>
      <c r="I1850" s="120">
        <v>0</v>
      </c>
      <c r="J1850" s="120">
        <v>0</v>
      </c>
      <c r="K1850" s="110">
        <v>0</v>
      </c>
      <c r="L1850" s="110"/>
      <c r="M1850" s="110">
        <v>0</v>
      </c>
      <c r="N1850" s="110"/>
      <c r="O1850" s="110"/>
      <c r="P1850" s="110">
        <f t="shared" si="147"/>
        <v>0</v>
      </c>
      <c r="Q1850" s="110">
        <f t="shared" si="148"/>
        <v>0</v>
      </c>
      <c r="R1850" s="110">
        <f t="shared" si="149"/>
        <v>0</v>
      </c>
      <c r="S1850" s="112">
        <v>0</v>
      </c>
    </row>
    <row r="1851" spans="1:19">
      <c r="A1851" s="79"/>
      <c r="B1851" s="77" t="s">
        <v>352</v>
      </c>
      <c r="C1851" s="76" t="s">
        <v>4</v>
      </c>
      <c r="D1851" s="143">
        <v>1</v>
      </c>
      <c r="E1851" s="74"/>
      <c r="F1851" s="334"/>
      <c r="G1851" s="112">
        <v>0</v>
      </c>
      <c r="H1851" s="120">
        <v>0</v>
      </c>
      <c r="I1851" s="120">
        <v>0</v>
      </c>
      <c r="J1851" s="120">
        <v>0</v>
      </c>
      <c r="K1851" s="110">
        <v>0</v>
      </c>
      <c r="L1851" s="110"/>
      <c r="M1851" s="110">
        <v>0</v>
      </c>
      <c r="N1851" s="110"/>
      <c r="O1851" s="110"/>
      <c r="P1851" s="110">
        <f t="shared" si="147"/>
        <v>0</v>
      </c>
      <c r="Q1851" s="110">
        <f t="shared" si="148"/>
        <v>0</v>
      </c>
      <c r="R1851" s="110">
        <f t="shared" si="149"/>
        <v>0</v>
      </c>
      <c r="S1851" s="112">
        <v>0</v>
      </c>
    </row>
    <row r="1852" spans="1:19">
      <c r="A1852" s="79"/>
      <c r="B1852" s="77" t="s">
        <v>175</v>
      </c>
      <c r="C1852" s="76" t="s">
        <v>4</v>
      </c>
      <c r="D1852" s="143">
        <v>1</v>
      </c>
      <c r="E1852" s="74"/>
      <c r="F1852" s="334"/>
      <c r="G1852" s="112">
        <v>0</v>
      </c>
      <c r="H1852" s="120">
        <v>0</v>
      </c>
      <c r="I1852" s="120">
        <v>0</v>
      </c>
      <c r="J1852" s="120">
        <v>0</v>
      </c>
      <c r="K1852" s="110">
        <v>0</v>
      </c>
      <c r="L1852" s="110"/>
      <c r="M1852" s="110">
        <v>0</v>
      </c>
      <c r="N1852" s="110"/>
      <c r="O1852" s="110"/>
      <c r="P1852" s="110">
        <f t="shared" si="147"/>
        <v>0</v>
      </c>
      <c r="Q1852" s="110">
        <f t="shared" si="148"/>
        <v>0</v>
      </c>
      <c r="R1852" s="110">
        <f t="shared" si="149"/>
        <v>0</v>
      </c>
      <c r="S1852" s="112">
        <v>0</v>
      </c>
    </row>
    <row r="1853" spans="1:19">
      <c r="A1853" s="79"/>
      <c r="B1853" s="77" t="s">
        <v>202</v>
      </c>
      <c r="C1853" s="76" t="s">
        <v>4</v>
      </c>
      <c r="D1853" s="143">
        <v>1</v>
      </c>
      <c r="E1853" s="74"/>
      <c r="F1853" s="334"/>
      <c r="G1853" s="112">
        <v>0</v>
      </c>
      <c r="H1853" s="120">
        <v>0</v>
      </c>
      <c r="I1853" s="120">
        <v>0</v>
      </c>
      <c r="J1853" s="120">
        <v>0</v>
      </c>
      <c r="K1853" s="110">
        <v>0</v>
      </c>
      <c r="L1853" s="110"/>
      <c r="M1853" s="110">
        <v>0</v>
      </c>
      <c r="N1853" s="110"/>
      <c r="O1853" s="110"/>
      <c r="P1853" s="110">
        <f t="shared" si="147"/>
        <v>0</v>
      </c>
      <c r="Q1853" s="110">
        <f t="shared" si="148"/>
        <v>0</v>
      </c>
      <c r="R1853" s="110">
        <f t="shared" si="149"/>
        <v>0</v>
      </c>
      <c r="S1853" s="112">
        <v>0</v>
      </c>
    </row>
    <row r="1854" spans="1:19">
      <c r="A1854" s="79"/>
      <c r="B1854" s="77" t="s">
        <v>176</v>
      </c>
      <c r="C1854" s="76" t="s">
        <v>4</v>
      </c>
      <c r="D1854" s="143">
        <v>2</v>
      </c>
      <c r="E1854" s="74"/>
      <c r="F1854" s="334"/>
      <c r="G1854" s="112">
        <v>0</v>
      </c>
      <c r="H1854" s="120">
        <v>0</v>
      </c>
      <c r="I1854" s="120">
        <v>0</v>
      </c>
      <c r="J1854" s="120">
        <v>0</v>
      </c>
      <c r="K1854" s="110">
        <v>0</v>
      </c>
      <c r="L1854" s="110"/>
      <c r="M1854" s="110">
        <v>0</v>
      </c>
      <c r="N1854" s="110"/>
      <c r="O1854" s="110"/>
      <c r="P1854" s="110">
        <f t="shared" si="147"/>
        <v>0</v>
      </c>
      <c r="Q1854" s="110">
        <f t="shared" si="148"/>
        <v>0</v>
      </c>
      <c r="R1854" s="110">
        <f t="shared" si="149"/>
        <v>0</v>
      </c>
      <c r="S1854" s="112">
        <v>0</v>
      </c>
    </row>
    <row r="1855" spans="1:19">
      <c r="A1855" s="79"/>
      <c r="B1855" s="77" t="s">
        <v>161</v>
      </c>
      <c r="C1855" s="76" t="s">
        <v>4</v>
      </c>
      <c r="D1855" s="143">
        <v>1</v>
      </c>
      <c r="E1855" s="74"/>
      <c r="F1855" s="334"/>
      <c r="G1855" s="112">
        <v>0</v>
      </c>
      <c r="H1855" s="120">
        <v>0</v>
      </c>
      <c r="I1855" s="120">
        <v>0</v>
      </c>
      <c r="J1855" s="120">
        <v>0</v>
      </c>
      <c r="K1855" s="110">
        <v>0</v>
      </c>
      <c r="L1855" s="110"/>
      <c r="M1855" s="110">
        <v>0</v>
      </c>
      <c r="N1855" s="110"/>
      <c r="O1855" s="110"/>
      <c r="P1855" s="110">
        <f t="shared" si="147"/>
        <v>0</v>
      </c>
      <c r="Q1855" s="110">
        <f t="shared" si="148"/>
        <v>0</v>
      </c>
      <c r="R1855" s="110">
        <f t="shared" si="149"/>
        <v>0</v>
      </c>
      <c r="S1855" s="112">
        <v>0</v>
      </c>
    </row>
    <row r="1856" spans="1:19">
      <c r="A1856" s="79"/>
      <c r="B1856" s="77" t="s">
        <v>177</v>
      </c>
      <c r="C1856" s="76" t="s">
        <v>17</v>
      </c>
      <c r="D1856" s="143">
        <v>1</v>
      </c>
      <c r="E1856" s="74"/>
      <c r="F1856" s="334"/>
      <c r="G1856" s="112">
        <v>0</v>
      </c>
      <c r="H1856" s="120">
        <v>0</v>
      </c>
      <c r="I1856" s="120">
        <v>0</v>
      </c>
      <c r="J1856" s="120">
        <v>0</v>
      </c>
      <c r="K1856" s="110">
        <v>0</v>
      </c>
      <c r="L1856" s="110"/>
      <c r="M1856" s="110">
        <v>0</v>
      </c>
      <c r="N1856" s="110"/>
      <c r="O1856" s="110"/>
      <c r="P1856" s="110">
        <f t="shared" si="147"/>
        <v>0</v>
      </c>
      <c r="Q1856" s="110">
        <f t="shared" si="148"/>
        <v>0</v>
      </c>
      <c r="R1856" s="110">
        <f t="shared" si="149"/>
        <v>0</v>
      </c>
      <c r="S1856" s="112">
        <v>0</v>
      </c>
    </row>
    <row r="1857" spans="1:19">
      <c r="A1857" s="79"/>
      <c r="B1857" s="77" t="s">
        <v>427</v>
      </c>
      <c r="C1857" s="76" t="s">
        <v>8</v>
      </c>
      <c r="D1857" s="143">
        <v>4</v>
      </c>
      <c r="E1857" s="74"/>
      <c r="F1857" s="334"/>
      <c r="G1857" s="112">
        <v>0</v>
      </c>
      <c r="H1857" s="120">
        <v>0</v>
      </c>
      <c r="I1857" s="120">
        <v>0</v>
      </c>
      <c r="J1857" s="120">
        <v>0</v>
      </c>
      <c r="K1857" s="110">
        <v>0</v>
      </c>
      <c r="L1857" s="110"/>
      <c r="M1857" s="110">
        <v>0</v>
      </c>
      <c r="N1857" s="110"/>
      <c r="O1857" s="110"/>
      <c r="P1857" s="110">
        <f t="shared" si="147"/>
        <v>0</v>
      </c>
      <c r="Q1857" s="110">
        <f t="shared" si="148"/>
        <v>0</v>
      </c>
      <c r="R1857" s="110">
        <f t="shared" si="149"/>
        <v>0</v>
      </c>
      <c r="S1857" s="112">
        <v>0</v>
      </c>
    </row>
    <row r="1858" spans="1:19">
      <c r="A1858" s="79"/>
      <c r="B1858" s="77" t="s">
        <v>187</v>
      </c>
      <c r="C1858" s="76" t="s">
        <v>4</v>
      </c>
      <c r="D1858" s="143">
        <v>8</v>
      </c>
      <c r="E1858" s="74"/>
      <c r="F1858" s="334"/>
      <c r="G1858" s="112">
        <v>0</v>
      </c>
      <c r="H1858" s="120">
        <v>0</v>
      </c>
      <c r="I1858" s="120">
        <v>0</v>
      </c>
      <c r="J1858" s="120">
        <v>0</v>
      </c>
      <c r="K1858" s="110">
        <v>0</v>
      </c>
      <c r="L1858" s="110"/>
      <c r="M1858" s="110">
        <v>0</v>
      </c>
      <c r="N1858" s="110"/>
      <c r="O1858" s="110"/>
      <c r="P1858" s="110">
        <f t="shared" si="147"/>
        <v>0</v>
      </c>
      <c r="Q1858" s="110">
        <f t="shared" si="148"/>
        <v>0</v>
      </c>
      <c r="R1858" s="110">
        <f t="shared" si="149"/>
        <v>0</v>
      </c>
      <c r="S1858" s="112">
        <v>0</v>
      </c>
    </row>
    <row r="1859" spans="1:19">
      <c r="A1859" s="79"/>
      <c r="B1859" s="77" t="s">
        <v>196</v>
      </c>
      <c r="C1859" s="76" t="s">
        <v>4</v>
      </c>
      <c r="D1859" s="143">
        <v>4</v>
      </c>
      <c r="E1859" s="74"/>
      <c r="F1859" s="334"/>
      <c r="G1859" s="112">
        <v>0</v>
      </c>
      <c r="H1859" s="120">
        <v>0</v>
      </c>
      <c r="I1859" s="120">
        <v>0</v>
      </c>
      <c r="J1859" s="120">
        <v>0</v>
      </c>
      <c r="K1859" s="110">
        <v>0</v>
      </c>
      <c r="L1859" s="110"/>
      <c r="M1859" s="110">
        <v>0</v>
      </c>
      <c r="N1859" s="110"/>
      <c r="O1859" s="110"/>
      <c r="P1859" s="110">
        <f t="shared" si="147"/>
        <v>0</v>
      </c>
      <c r="Q1859" s="110">
        <f t="shared" si="148"/>
        <v>0</v>
      </c>
      <c r="R1859" s="110">
        <f t="shared" si="149"/>
        <v>0</v>
      </c>
      <c r="S1859" s="112">
        <v>0</v>
      </c>
    </row>
    <row r="1860" spans="1:19">
      <c r="A1860" s="79"/>
      <c r="B1860" s="77" t="s">
        <v>173</v>
      </c>
      <c r="C1860" s="76" t="s">
        <v>4</v>
      </c>
      <c r="D1860" s="143">
        <v>5</v>
      </c>
      <c r="E1860" s="75"/>
      <c r="F1860" s="334"/>
      <c r="G1860" s="112">
        <v>0</v>
      </c>
      <c r="H1860" s="120">
        <v>0</v>
      </c>
      <c r="I1860" s="120">
        <v>0</v>
      </c>
      <c r="J1860" s="120">
        <v>0</v>
      </c>
      <c r="K1860" s="110">
        <v>0</v>
      </c>
      <c r="L1860" s="110"/>
      <c r="M1860" s="110">
        <v>0</v>
      </c>
      <c r="N1860" s="110"/>
      <c r="O1860" s="110"/>
      <c r="P1860" s="110">
        <f t="shared" si="147"/>
        <v>0</v>
      </c>
      <c r="Q1860" s="110">
        <f t="shared" si="148"/>
        <v>0</v>
      </c>
      <c r="R1860" s="110">
        <f t="shared" si="149"/>
        <v>0</v>
      </c>
      <c r="S1860" s="112">
        <v>0</v>
      </c>
    </row>
    <row r="1861" spans="1:19">
      <c r="A1861" s="79"/>
      <c r="B1861" s="77" t="s">
        <v>201</v>
      </c>
      <c r="C1861" s="76" t="s">
        <v>4</v>
      </c>
      <c r="D1861" s="143">
        <v>4</v>
      </c>
      <c r="E1861" s="73"/>
      <c r="F1861" s="334"/>
      <c r="G1861" s="112">
        <v>0</v>
      </c>
      <c r="H1861" s="120">
        <v>0</v>
      </c>
      <c r="I1861" s="120">
        <v>0</v>
      </c>
      <c r="J1861" s="120">
        <v>0</v>
      </c>
      <c r="K1861" s="110">
        <v>0</v>
      </c>
      <c r="L1861" s="110"/>
      <c r="M1861" s="110">
        <v>0</v>
      </c>
      <c r="N1861" s="110"/>
      <c r="O1861" s="110"/>
      <c r="P1861" s="110">
        <f t="shared" si="147"/>
        <v>0</v>
      </c>
      <c r="Q1861" s="110">
        <f t="shared" si="148"/>
        <v>0</v>
      </c>
      <c r="R1861" s="110">
        <f t="shared" si="149"/>
        <v>0</v>
      </c>
      <c r="S1861" s="112">
        <v>0</v>
      </c>
    </row>
    <row r="1862" spans="1:19">
      <c r="A1862" s="79"/>
      <c r="B1862" s="77" t="s">
        <v>428</v>
      </c>
      <c r="C1862" s="76" t="s">
        <v>4</v>
      </c>
      <c r="D1862" s="143">
        <v>4</v>
      </c>
      <c r="E1862" s="50"/>
      <c r="F1862" s="334"/>
      <c r="G1862" s="112">
        <v>0</v>
      </c>
      <c r="H1862" s="120">
        <v>0</v>
      </c>
      <c r="I1862" s="120">
        <v>0</v>
      </c>
      <c r="J1862" s="120">
        <v>0</v>
      </c>
      <c r="K1862" s="110">
        <v>0</v>
      </c>
      <c r="L1862" s="110"/>
      <c r="M1862" s="110">
        <v>0</v>
      </c>
      <c r="N1862" s="110"/>
      <c r="O1862" s="110"/>
      <c r="P1862" s="110">
        <f t="shared" si="147"/>
        <v>0</v>
      </c>
      <c r="Q1862" s="110">
        <f t="shared" si="148"/>
        <v>0</v>
      </c>
      <c r="R1862" s="110">
        <f t="shared" si="149"/>
        <v>0</v>
      </c>
      <c r="S1862" s="112">
        <v>0</v>
      </c>
    </row>
    <row r="1863" spans="1:19">
      <c r="A1863" s="79"/>
      <c r="B1863" s="77" t="s">
        <v>175</v>
      </c>
      <c r="C1863" s="76" t="s">
        <v>4</v>
      </c>
      <c r="D1863" s="143">
        <v>4</v>
      </c>
      <c r="E1863" s="57"/>
      <c r="F1863" s="334"/>
      <c r="G1863" s="112">
        <v>0</v>
      </c>
      <c r="H1863" s="120">
        <v>0</v>
      </c>
      <c r="I1863" s="120">
        <v>0</v>
      </c>
      <c r="J1863" s="120">
        <v>0</v>
      </c>
      <c r="K1863" s="110">
        <v>0</v>
      </c>
      <c r="L1863" s="110"/>
      <c r="M1863" s="110">
        <v>0</v>
      </c>
      <c r="N1863" s="110"/>
      <c r="O1863" s="110"/>
      <c r="P1863" s="110">
        <f t="shared" si="147"/>
        <v>0</v>
      </c>
      <c r="Q1863" s="110">
        <f t="shared" si="148"/>
        <v>0</v>
      </c>
      <c r="R1863" s="110">
        <f t="shared" si="149"/>
        <v>0</v>
      </c>
      <c r="S1863" s="112">
        <v>0</v>
      </c>
    </row>
    <row r="1864" spans="1:19">
      <c r="A1864" s="79"/>
      <c r="B1864" s="77" t="s">
        <v>202</v>
      </c>
      <c r="C1864" s="76" t="s">
        <v>4</v>
      </c>
      <c r="D1864" s="143">
        <v>4</v>
      </c>
      <c r="E1864" s="50"/>
      <c r="F1864" s="334"/>
      <c r="G1864" s="112">
        <v>0</v>
      </c>
      <c r="H1864" s="120">
        <v>0</v>
      </c>
      <c r="I1864" s="120">
        <v>0</v>
      </c>
      <c r="J1864" s="120">
        <v>0</v>
      </c>
      <c r="K1864" s="110">
        <v>0</v>
      </c>
      <c r="L1864" s="110"/>
      <c r="M1864" s="110">
        <v>0</v>
      </c>
      <c r="N1864" s="110"/>
      <c r="O1864" s="110"/>
      <c r="P1864" s="110">
        <f t="shared" si="147"/>
        <v>0</v>
      </c>
      <c r="Q1864" s="110">
        <f t="shared" si="148"/>
        <v>0</v>
      </c>
      <c r="R1864" s="110">
        <f t="shared" si="149"/>
        <v>0</v>
      </c>
      <c r="S1864" s="112">
        <v>0</v>
      </c>
    </row>
    <row r="1865" spans="1:19">
      <c r="A1865" s="79"/>
      <c r="B1865" s="77" t="s">
        <v>176</v>
      </c>
      <c r="C1865" s="76" t="s">
        <v>4</v>
      </c>
      <c r="D1865" s="143">
        <v>8</v>
      </c>
      <c r="E1865" s="50"/>
      <c r="F1865" s="334"/>
      <c r="G1865" s="112">
        <v>0</v>
      </c>
      <c r="H1865" s="120">
        <v>0</v>
      </c>
      <c r="I1865" s="120">
        <v>0</v>
      </c>
      <c r="J1865" s="120">
        <v>0</v>
      </c>
      <c r="K1865" s="110">
        <v>0</v>
      </c>
      <c r="L1865" s="110"/>
      <c r="M1865" s="110">
        <v>0</v>
      </c>
      <c r="N1865" s="110"/>
      <c r="O1865" s="110"/>
      <c r="P1865" s="110">
        <f t="shared" si="147"/>
        <v>0</v>
      </c>
      <c r="Q1865" s="110">
        <f t="shared" si="148"/>
        <v>0</v>
      </c>
      <c r="R1865" s="110">
        <f t="shared" si="149"/>
        <v>0</v>
      </c>
      <c r="S1865" s="112">
        <v>0</v>
      </c>
    </row>
    <row r="1866" spans="1:19">
      <c r="A1866" s="79"/>
      <c r="B1866" s="77" t="s">
        <v>161</v>
      </c>
      <c r="C1866" s="76" t="s">
        <v>4</v>
      </c>
      <c r="D1866" s="143">
        <v>4</v>
      </c>
      <c r="E1866" s="50"/>
      <c r="F1866" s="334"/>
      <c r="G1866" s="112">
        <v>0</v>
      </c>
      <c r="H1866" s="120">
        <v>0</v>
      </c>
      <c r="I1866" s="120">
        <v>0</v>
      </c>
      <c r="J1866" s="120">
        <v>0</v>
      </c>
      <c r="K1866" s="110">
        <v>0</v>
      </c>
      <c r="L1866" s="110"/>
      <c r="M1866" s="110">
        <v>0</v>
      </c>
      <c r="N1866" s="110"/>
      <c r="O1866" s="110"/>
      <c r="P1866" s="110">
        <f t="shared" si="147"/>
        <v>0</v>
      </c>
      <c r="Q1866" s="110">
        <f t="shared" si="148"/>
        <v>0</v>
      </c>
      <c r="R1866" s="110">
        <f t="shared" si="149"/>
        <v>0</v>
      </c>
      <c r="S1866" s="112">
        <v>0</v>
      </c>
    </row>
    <row r="1867" spans="1:19">
      <c r="A1867" s="79"/>
      <c r="B1867" s="77" t="s">
        <v>177</v>
      </c>
      <c r="C1867" s="76" t="s">
        <v>17</v>
      </c>
      <c r="D1867" s="143">
        <v>1</v>
      </c>
      <c r="E1867" s="50"/>
      <c r="F1867" s="334"/>
      <c r="G1867" s="112">
        <v>0</v>
      </c>
      <c r="H1867" s="120">
        <v>0</v>
      </c>
      <c r="I1867" s="120">
        <v>0</v>
      </c>
      <c r="J1867" s="120">
        <v>0</v>
      </c>
      <c r="K1867" s="110">
        <v>0</v>
      </c>
      <c r="L1867" s="110"/>
      <c r="M1867" s="110">
        <v>0</v>
      </c>
      <c r="N1867" s="110"/>
      <c r="O1867" s="110"/>
      <c r="P1867" s="110">
        <f t="shared" si="147"/>
        <v>0</v>
      </c>
      <c r="Q1867" s="110">
        <f t="shared" si="148"/>
        <v>0</v>
      </c>
      <c r="R1867" s="110">
        <f t="shared" si="149"/>
        <v>0</v>
      </c>
      <c r="S1867" s="112">
        <v>0</v>
      </c>
    </row>
    <row r="1868" spans="1:19">
      <c r="A1868" s="79"/>
      <c r="B1868" s="77" t="s">
        <v>200</v>
      </c>
      <c r="C1868" s="76" t="s">
        <v>8</v>
      </c>
      <c r="D1868" s="143">
        <v>1</v>
      </c>
      <c r="E1868" s="74"/>
      <c r="F1868" s="334"/>
      <c r="G1868" s="112">
        <v>0</v>
      </c>
      <c r="H1868" s="120">
        <v>0</v>
      </c>
      <c r="I1868" s="120">
        <v>0</v>
      </c>
      <c r="J1868" s="120">
        <v>0</v>
      </c>
      <c r="K1868" s="110">
        <v>0</v>
      </c>
      <c r="L1868" s="110"/>
      <c r="M1868" s="110">
        <v>0</v>
      </c>
      <c r="N1868" s="110"/>
      <c r="O1868" s="110"/>
      <c r="P1868" s="110">
        <f t="shared" si="147"/>
        <v>0</v>
      </c>
      <c r="Q1868" s="110">
        <f t="shared" si="148"/>
        <v>0</v>
      </c>
      <c r="R1868" s="110">
        <f t="shared" si="149"/>
        <v>0</v>
      </c>
      <c r="S1868" s="112">
        <v>0</v>
      </c>
    </row>
    <row r="1869" spans="1:19">
      <c r="A1869" s="79"/>
      <c r="B1869" s="77" t="s">
        <v>187</v>
      </c>
      <c r="C1869" s="76" t="s">
        <v>4</v>
      </c>
      <c r="D1869" s="143">
        <v>2</v>
      </c>
      <c r="E1869" s="74"/>
      <c r="F1869" s="334"/>
      <c r="G1869" s="112">
        <v>0</v>
      </c>
      <c r="H1869" s="120">
        <v>0</v>
      </c>
      <c r="I1869" s="120">
        <v>0</v>
      </c>
      <c r="J1869" s="120">
        <v>0</v>
      </c>
      <c r="K1869" s="110">
        <v>0</v>
      </c>
      <c r="L1869" s="110"/>
      <c r="M1869" s="110">
        <v>0</v>
      </c>
      <c r="N1869" s="110"/>
      <c r="O1869" s="110"/>
      <c r="P1869" s="110">
        <f t="shared" si="147"/>
        <v>0</v>
      </c>
      <c r="Q1869" s="110">
        <f t="shared" si="148"/>
        <v>0</v>
      </c>
      <c r="R1869" s="110">
        <f t="shared" si="149"/>
        <v>0</v>
      </c>
      <c r="S1869" s="112">
        <v>0</v>
      </c>
    </row>
    <row r="1870" spans="1:19">
      <c r="A1870" s="79"/>
      <c r="B1870" s="77" t="s">
        <v>196</v>
      </c>
      <c r="C1870" s="76" t="s">
        <v>4</v>
      </c>
      <c r="D1870" s="143">
        <v>1</v>
      </c>
      <c r="E1870" s="82"/>
      <c r="F1870" s="334"/>
      <c r="G1870" s="112">
        <v>0</v>
      </c>
      <c r="H1870" s="120">
        <v>0</v>
      </c>
      <c r="I1870" s="120">
        <v>0</v>
      </c>
      <c r="J1870" s="120">
        <v>0</v>
      </c>
      <c r="K1870" s="110">
        <v>0</v>
      </c>
      <c r="L1870" s="110"/>
      <c r="M1870" s="110">
        <v>0</v>
      </c>
      <c r="N1870" s="110"/>
      <c r="O1870" s="110"/>
      <c r="P1870" s="110">
        <f t="shared" si="147"/>
        <v>0</v>
      </c>
      <c r="Q1870" s="110">
        <f t="shared" si="148"/>
        <v>0</v>
      </c>
      <c r="R1870" s="110">
        <f t="shared" si="149"/>
        <v>0</v>
      </c>
      <c r="S1870" s="112">
        <v>0</v>
      </c>
    </row>
    <row r="1871" spans="1:19">
      <c r="A1871" s="79"/>
      <c r="B1871" s="77" t="s">
        <v>173</v>
      </c>
      <c r="C1871" s="76" t="s">
        <v>4</v>
      </c>
      <c r="D1871" s="143">
        <v>3</v>
      </c>
      <c r="E1871" s="73"/>
      <c r="F1871" s="334"/>
      <c r="G1871" s="112">
        <v>0</v>
      </c>
      <c r="H1871" s="120">
        <v>0</v>
      </c>
      <c r="I1871" s="120">
        <v>0</v>
      </c>
      <c r="J1871" s="120">
        <v>0</v>
      </c>
      <c r="K1871" s="110">
        <v>0</v>
      </c>
      <c r="L1871" s="110"/>
      <c r="M1871" s="110">
        <v>0</v>
      </c>
      <c r="N1871" s="110"/>
      <c r="O1871" s="110"/>
      <c r="P1871" s="110">
        <f t="shared" si="147"/>
        <v>0</v>
      </c>
      <c r="Q1871" s="110">
        <f t="shared" si="148"/>
        <v>0</v>
      </c>
      <c r="R1871" s="110">
        <f t="shared" si="149"/>
        <v>0</v>
      </c>
      <c r="S1871" s="112">
        <v>0</v>
      </c>
    </row>
    <row r="1872" spans="1:19">
      <c r="A1872" s="79"/>
      <c r="B1872" s="77" t="s">
        <v>201</v>
      </c>
      <c r="C1872" s="76" t="s">
        <v>4</v>
      </c>
      <c r="D1872" s="143">
        <v>1</v>
      </c>
      <c r="E1872" s="50"/>
      <c r="F1872" s="334"/>
      <c r="G1872" s="112">
        <v>0</v>
      </c>
      <c r="H1872" s="120">
        <v>0</v>
      </c>
      <c r="I1872" s="120">
        <v>0</v>
      </c>
      <c r="J1872" s="120">
        <v>0</v>
      </c>
      <c r="K1872" s="110">
        <v>0</v>
      </c>
      <c r="L1872" s="110"/>
      <c r="M1872" s="110">
        <v>0</v>
      </c>
      <c r="N1872" s="110"/>
      <c r="O1872" s="110"/>
      <c r="P1872" s="110">
        <f t="shared" si="147"/>
        <v>0</v>
      </c>
      <c r="Q1872" s="110">
        <f t="shared" si="148"/>
        <v>0</v>
      </c>
      <c r="R1872" s="110">
        <f t="shared" si="149"/>
        <v>0</v>
      </c>
      <c r="S1872" s="112">
        <v>0</v>
      </c>
    </row>
    <row r="1873" spans="1:19">
      <c r="A1873" s="79"/>
      <c r="B1873" s="77" t="s">
        <v>188</v>
      </c>
      <c r="C1873" s="76" t="s">
        <v>4</v>
      </c>
      <c r="D1873" s="143">
        <v>1</v>
      </c>
      <c r="E1873" s="57"/>
      <c r="F1873" s="334"/>
      <c r="G1873" s="112">
        <v>0</v>
      </c>
      <c r="H1873" s="120">
        <v>0</v>
      </c>
      <c r="I1873" s="120">
        <v>0</v>
      </c>
      <c r="J1873" s="120">
        <v>0</v>
      </c>
      <c r="K1873" s="110">
        <v>0</v>
      </c>
      <c r="L1873" s="110"/>
      <c r="M1873" s="110">
        <v>0</v>
      </c>
      <c r="N1873" s="110"/>
      <c r="O1873" s="110"/>
      <c r="P1873" s="110">
        <f t="shared" si="147"/>
        <v>0</v>
      </c>
      <c r="Q1873" s="110">
        <f t="shared" si="148"/>
        <v>0</v>
      </c>
      <c r="R1873" s="110">
        <f t="shared" si="149"/>
        <v>0</v>
      </c>
      <c r="S1873" s="112">
        <v>0</v>
      </c>
    </row>
    <row r="1874" spans="1:19">
      <c r="A1874" s="79"/>
      <c r="B1874" s="77" t="s">
        <v>175</v>
      </c>
      <c r="C1874" s="76" t="s">
        <v>4</v>
      </c>
      <c r="D1874" s="143">
        <v>1</v>
      </c>
      <c r="E1874" s="50"/>
      <c r="F1874" s="334"/>
      <c r="G1874" s="112">
        <v>0</v>
      </c>
      <c r="H1874" s="120">
        <v>0</v>
      </c>
      <c r="I1874" s="120">
        <v>0</v>
      </c>
      <c r="J1874" s="120">
        <v>0</v>
      </c>
      <c r="K1874" s="110">
        <v>0</v>
      </c>
      <c r="L1874" s="110"/>
      <c r="M1874" s="110">
        <v>0</v>
      </c>
      <c r="N1874" s="110"/>
      <c r="O1874" s="110"/>
      <c r="P1874" s="110">
        <f t="shared" si="147"/>
        <v>0</v>
      </c>
      <c r="Q1874" s="110">
        <f t="shared" si="148"/>
        <v>0</v>
      </c>
      <c r="R1874" s="110">
        <f t="shared" si="149"/>
        <v>0</v>
      </c>
      <c r="S1874" s="112">
        <v>0</v>
      </c>
    </row>
    <row r="1875" spans="1:19">
      <c r="A1875" s="79"/>
      <c r="B1875" s="77" t="s">
        <v>202</v>
      </c>
      <c r="C1875" s="76" t="s">
        <v>4</v>
      </c>
      <c r="D1875" s="143">
        <v>1</v>
      </c>
      <c r="E1875" s="50"/>
      <c r="F1875" s="334"/>
      <c r="G1875" s="112">
        <v>0</v>
      </c>
      <c r="H1875" s="120">
        <v>0</v>
      </c>
      <c r="I1875" s="120">
        <v>0</v>
      </c>
      <c r="J1875" s="120">
        <v>0</v>
      </c>
      <c r="K1875" s="110">
        <v>0</v>
      </c>
      <c r="L1875" s="110"/>
      <c r="M1875" s="110">
        <v>0</v>
      </c>
      <c r="N1875" s="110"/>
      <c r="O1875" s="110"/>
      <c r="P1875" s="110">
        <f t="shared" si="147"/>
        <v>0</v>
      </c>
      <c r="Q1875" s="110">
        <f t="shared" si="148"/>
        <v>0</v>
      </c>
      <c r="R1875" s="110">
        <f t="shared" si="149"/>
        <v>0</v>
      </c>
      <c r="S1875" s="112">
        <v>0</v>
      </c>
    </row>
    <row r="1876" spans="1:19">
      <c r="A1876" s="79"/>
      <c r="B1876" s="77" t="s">
        <v>176</v>
      </c>
      <c r="C1876" s="76" t="s">
        <v>4</v>
      </c>
      <c r="D1876" s="143">
        <v>2</v>
      </c>
      <c r="E1876" s="50"/>
      <c r="F1876" s="334"/>
      <c r="G1876" s="112">
        <v>0</v>
      </c>
      <c r="H1876" s="120">
        <v>0</v>
      </c>
      <c r="I1876" s="120">
        <v>0</v>
      </c>
      <c r="J1876" s="120">
        <v>0</v>
      </c>
      <c r="K1876" s="110">
        <v>0</v>
      </c>
      <c r="L1876" s="110"/>
      <c r="M1876" s="110">
        <v>0</v>
      </c>
      <c r="N1876" s="110"/>
      <c r="O1876" s="110"/>
      <c r="P1876" s="110">
        <f t="shared" si="147"/>
        <v>0</v>
      </c>
      <c r="Q1876" s="110">
        <f t="shared" si="148"/>
        <v>0</v>
      </c>
      <c r="R1876" s="110">
        <f t="shared" si="149"/>
        <v>0</v>
      </c>
      <c r="S1876" s="112">
        <v>0</v>
      </c>
    </row>
    <row r="1877" spans="1:19">
      <c r="A1877" s="79"/>
      <c r="B1877" s="77" t="s">
        <v>161</v>
      </c>
      <c r="C1877" s="76" t="s">
        <v>4</v>
      </c>
      <c r="D1877" s="143">
        <v>1</v>
      </c>
      <c r="E1877" s="50"/>
      <c r="F1877" s="334"/>
      <c r="G1877" s="112">
        <v>0</v>
      </c>
      <c r="H1877" s="120">
        <v>0</v>
      </c>
      <c r="I1877" s="120">
        <v>0</v>
      </c>
      <c r="J1877" s="120">
        <v>0</v>
      </c>
      <c r="K1877" s="110">
        <v>0</v>
      </c>
      <c r="L1877" s="110"/>
      <c r="M1877" s="110">
        <v>0</v>
      </c>
      <c r="N1877" s="110"/>
      <c r="O1877" s="110"/>
      <c r="P1877" s="110">
        <f t="shared" si="147"/>
        <v>0</v>
      </c>
      <c r="Q1877" s="110">
        <f t="shared" si="148"/>
        <v>0</v>
      </c>
      <c r="R1877" s="110">
        <f t="shared" si="149"/>
        <v>0</v>
      </c>
      <c r="S1877" s="112">
        <v>0</v>
      </c>
    </row>
    <row r="1878" spans="1:19">
      <c r="A1878" s="79"/>
      <c r="B1878" s="77" t="s">
        <v>177</v>
      </c>
      <c r="C1878" s="76" t="s">
        <v>17</v>
      </c>
      <c r="D1878" s="143">
        <v>1</v>
      </c>
      <c r="E1878" s="74"/>
      <c r="F1878" s="334"/>
      <c r="G1878" s="112">
        <v>0</v>
      </c>
      <c r="H1878" s="120">
        <v>0</v>
      </c>
      <c r="I1878" s="120">
        <v>0</v>
      </c>
      <c r="J1878" s="120">
        <v>0</v>
      </c>
      <c r="K1878" s="110">
        <v>0</v>
      </c>
      <c r="L1878" s="110"/>
      <c r="M1878" s="110">
        <v>0</v>
      </c>
      <c r="N1878" s="110"/>
      <c r="O1878" s="110"/>
      <c r="P1878" s="110">
        <f t="shared" si="147"/>
        <v>0</v>
      </c>
      <c r="Q1878" s="110">
        <f t="shared" si="148"/>
        <v>0</v>
      </c>
      <c r="R1878" s="110">
        <f t="shared" si="149"/>
        <v>0</v>
      </c>
      <c r="S1878" s="112">
        <v>0</v>
      </c>
    </row>
    <row r="1879" spans="1:19">
      <c r="A1879" s="79"/>
      <c r="B1879" s="77" t="s">
        <v>186</v>
      </c>
      <c r="C1879" s="76" t="s">
        <v>8</v>
      </c>
      <c r="D1879" s="143">
        <v>1</v>
      </c>
      <c r="E1879" s="82"/>
      <c r="F1879" s="334"/>
      <c r="G1879" s="112">
        <v>0</v>
      </c>
      <c r="H1879" s="120">
        <v>0</v>
      </c>
      <c r="I1879" s="120">
        <v>0</v>
      </c>
      <c r="J1879" s="120">
        <v>0</v>
      </c>
      <c r="K1879" s="110">
        <v>0</v>
      </c>
      <c r="L1879" s="110"/>
      <c r="M1879" s="110">
        <v>0</v>
      </c>
      <c r="N1879" s="110"/>
      <c r="O1879" s="110"/>
      <c r="P1879" s="110">
        <f t="shared" si="147"/>
        <v>0</v>
      </c>
      <c r="Q1879" s="110">
        <f t="shared" si="148"/>
        <v>0</v>
      </c>
      <c r="R1879" s="110">
        <f t="shared" si="149"/>
        <v>0</v>
      </c>
      <c r="S1879" s="112">
        <v>0</v>
      </c>
    </row>
    <row r="1880" spans="1:19">
      <c r="A1880" s="79"/>
      <c r="B1880" s="77" t="s">
        <v>187</v>
      </c>
      <c r="C1880" s="76" t="s">
        <v>4</v>
      </c>
      <c r="D1880" s="143">
        <v>1</v>
      </c>
      <c r="E1880" s="73"/>
      <c r="F1880" s="334"/>
      <c r="G1880" s="112">
        <v>0</v>
      </c>
      <c r="H1880" s="120">
        <v>0</v>
      </c>
      <c r="I1880" s="120">
        <v>0</v>
      </c>
      <c r="J1880" s="120">
        <v>0</v>
      </c>
      <c r="K1880" s="110">
        <v>0</v>
      </c>
      <c r="L1880" s="110"/>
      <c r="M1880" s="110">
        <v>0</v>
      </c>
      <c r="N1880" s="110"/>
      <c r="O1880" s="110"/>
      <c r="P1880" s="110">
        <f t="shared" si="147"/>
        <v>0</v>
      </c>
      <c r="Q1880" s="110">
        <f t="shared" si="148"/>
        <v>0</v>
      </c>
      <c r="R1880" s="110">
        <f t="shared" si="149"/>
        <v>0</v>
      </c>
      <c r="S1880" s="112">
        <v>0</v>
      </c>
    </row>
    <row r="1881" spans="1:19">
      <c r="A1881" s="79"/>
      <c r="B1881" s="77" t="s">
        <v>173</v>
      </c>
      <c r="C1881" s="76" t="s">
        <v>4</v>
      </c>
      <c r="D1881" s="143">
        <v>1</v>
      </c>
      <c r="E1881" s="50"/>
      <c r="F1881" s="334"/>
      <c r="G1881" s="112">
        <v>0</v>
      </c>
      <c r="H1881" s="120">
        <v>0</v>
      </c>
      <c r="I1881" s="120">
        <v>0</v>
      </c>
      <c r="J1881" s="120">
        <v>0</v>
      </c>
      <c r="K1881" s="110">
        <v>0</v>
      </c>
      <c r="L1881" s="110"/>
      <c r="M1881" s="110">
        <v>0</v>
      </c>
      <c r="N1881" s="110"/>
      <c r="O1881" s="110"/>
      <c r="P1881" s="110">
        <f t="shared" si="147"/>
        <v>0</v>
      </c>
      <c r="Q1881" s="110">
        <f t="shared" si="148"/>
        <v>0</v>
      </c>
      <c r="R1881" s="110">
        <f t="shared" si="149"/>
        <v>0</v>
      </c>
      <c r="S1881" s="112">
        <v>0</v>
      </c>
    </row>
    <row r="1882" spans="1:19">
      <c r="A1882" s="79"/>
      <c r="B1882" s="77" t="s">
        <v>188</v>
      </c>
      <c r="C1882" s="76" t="s">
        <v>4</v>
      </c>
      <c r="D1882" s="143">
        <v>1</v>
      </c>
      <c r="E1882" s="57"/>
      <c r="F1882" s="334"/>
      <c r="G1882" s="112">
        <v>0</v>
      </c>
      <c r="H1882" s="120">
        <v>0</v>
      </c>
      <c r="I1882" s="120">
        <v>0</v>
      </c>
      <c r="J1882" s="120">
        <v>0</v>
      </c>
      <c r="K1882" s="110">
        <v>0</v>
      </c>
      <c r="L1882" s="110"/>
      <c r="M1882" s="110">
        <v>0</v>
      </c>
      <c r="N1882" s="110"/>
      <c r="O1882" s="110"/>
      <c r="P1882" s="110">
        <f t="shared" si="147"/>
        <v>0</v>
      </c>
      <c r="Q1882" s="110">
        <f t="shared" si="148"/>
        <v>0</v>
      </c>
      <c r="R1882" s="110">
        <f t="shared" si="149"/>
        <v>0</v>
      </c>
      <c r="S1882" s="112">
        <v>0</v>
      </c>
    </row>
    <row r="1883" spans="1:19">
      <c r="A1883" s="79"/>
      <c r="B1883" s="77" t="s">
        <v>175</v>
      </c>
      <c r="C1883" s="76" t="s">
        <v>4</v>
      </c>
      <c r="D1883" s="143">
        <v>1</v>
      </c>
      <c r="E1883" s="50"/>
      <c r="F1883" s="334"/>
      <c r="G1883" s="112">
        <v>0</v>
      </c>
      <c r="H1883" s="120">
        <v>0</v>
      </c>
      <c r="I1883" s="120">
        <v>0</v>
      </c>
      <c r="J1883" s="120">
        <v>0</v>
      </c>
      <c r="K1883" s="110">
        <v>0</v>
      </c>
      <c r="L1883" s="110"/>
      <c r="M1883" s="110">
        <v>0</v>
      </c>
      <c r="N1883" s="110"/>
      <c r="O1883" s="110"/>
      <c r="P1883" s="110">
        <f t="shared" si="147"/>
        <v>0</v>
      </c>
      <c r="Q1883" s="110">
        <f t="shared" si="148"/>
        <v>0</v>
      </c>
      <c r="R1883" s="110">
        <f t="shared" si="149"/>
        <v>0</v>
      </c>
      <c r="S1883" s="112">
        <v>0</v>
      </c>
    </row>
    <row r="1884" spans="1:19">
      <c r="A1884" s="79"/>
      <c r="B1884" s="77" t="s">
        <v>176</v>
      </c>
      <c r="C1884" s="76" t="s">
        <v>4</v>
      </c>
      <c r="D1884" s="143">
        <v>2</v>
      </c>
      <c r="E1884" s="50"/>
      <c r="F1884" s="334"/>
      <c r="G1884" s="112">
        <v>0</v>
      </c>
      <c r="H1884" s="120">
        <v>0</v>
      </c>
      <c r="I1884" s="120">
        <v>0</v>
      </c>
      <c r="J1884" s="120">
        <v>0</v>
      </c>
      <c r="K1884" s="110">
        <v>0</v>
      </c>
      <c r="L1884" s="110"/>
      <c r="M1884" s="110">
        <v>0</v>
      </c>
      <c r="N1884" s="110"/>
      <c r="O1884" s="110"/>
      <c r="P1884" s="110">
        <f t="shared" si="147"/>
        <v>0</v>
      </c>
      <c r="Q1884" s="110">
        <f t="shared" si="148"/>
        <v>0</v>
      </c>
      <c r="R1884" s="110">
        <f t="shared" si="149"/>
        <v>0</v>
      </c>
      <c r="S1884" s="112">
        <v>0</v>
      </c>
    </row>
    <row r="1885" spans="1:19">
      <c r="A1885" s="79"/>
      <c r="B1885" s="77" t="s">
        <v>177</v>
      </c>
      <c r="C1885" s="76" t="s">
        <v>17</v>
      </c>
      <c r="D1885" s="143">
        <v>1</v>
      </c>
      <c r="E1885" s="50"/>
      <c r="F1885" s="334"/>
      <c r="G1885" s="112">
        <v>0</v>
      </c>
      <c r="H1885" s="120">
        <v>0</v>
      </c>
      <c r="I1885" s="120">
        <v>0</v>
      </c>
      <c r="J1885" s="120">
        <v>0</v>
      </c>
      <c r="K1885" s="110">
        <v>0</v>
      </c>
      <c r="L1885" s="110"/>
      <c r="M1885" s="110">
        <v>0</v>
      </c>
      <c r="N1885" s="110"/>
      <c r="O1885" s="110"/>
      <c r="P1885" s="110">
        <f t="shared" si="147"/>
        <v>0</v>
      </c>
      <c r="Q1885" s="110">
        <f t="shared" si="148"/>
        <v>0</v>
      </c>
      <c r="R1885" s="110">
        <f t="shared" si="149"/>
        <v>0</v>
      </c>
      <c r="S1885" s="112">
        <v>0</v>
      </c>
    </row>
    <row r="1886" spans="1:19">
      <c r="A1886" s="79"/>
      <c r="B1886" s="77" t="s">
        <v>163</v>
      </c>
      <c r="C1886" s="76" t="s">
        <v>4</v>
      </c>
      <c r="D1886" s="143">
        <v>1</v>
      </c>
      <c r="E1886" s="76"/>
      <c r="F1886" s="334"/>
      <c r="G1886" s="112">
        <v>0</v>
      </c>
      <c r="H1886" s="120">
        <v>0</v>
      </c>
      <c r="I1886" s="120">
        <v>0</v>
      </c>
      <c r="J1886" s="120">
        <v>0</v>
      </c>
      <c r="K1886" s="110">
        <v>0</v>
      </c>
      <c r="L1886" s="110"/>
      <c r="M1886" s="110">
        <v>0</v>
      </c>
      <c r="N1886" s="110"/>
      <c r="O1886" s="110"/>
      <c r="P1886" s="110">
        <f t="shared" si="147"/>
        <v>0</v>
      </c>
      <c r="Q1886" s="110">
        <f t="shared" si="148"/>
        <v>0</v>
      </c>
      <c r="R1886" s="110">
        <f t="shared" si="149"/>
        <v>0</v>
      </c>
      <c r="S1886" s="112">
        <v>0</v>
      </c>
    </row>
    <row r="1887" spans="1:19" ht="30">
      <c r="A1887" s="79"/>
      <c r="B1887" s="77" t="s">
        <v>429</v>
      </c>
      <c r="C1887" s="76" t="s">
        <v>8</v>
      </c>
      <c r="D1887" s="143">
        <v>1</v>
      </c>
      <c r="E1887" s="83"/>
      <c r="F1887" s="334"/>
      <c r="G1887" s="112">
        <v>0</v>
      </c>
      <c r="H1887" s="120">
        <v>0</v>
      </c>
      <c r="I1887" s="120">
        <v>0</v>
      </c>
      <c r="J1887" s="120">
        <v>0</v>
      </c>
      <c r="K1887" s="110">
        <v>0</v>
      </c>
      <c r="L1887" s="110"/>
      <c r="M1887" s="110">
        <v>0</v>
      </c>
      <c r="N1887" s="110"/>
      <c r="O1887" s="110"/>
      <c r="P1887" s="110">
        <f t="shared" si="147"/>
        <v>0</v>
      </c>
      <c r="Q1887" s="110">
        <f t="shared" si="148"/>
        <v>0</v>
      </c>
      <c r="R1887" s="110">
        <f t="shared" si="149"/>
        <v>0</v>
      </c>
      <c r="S1887" s="112">
        <v>0</v>
      </c>
    </row>
    <row r="1888" spans="1:19">
      <c r="A1888" s="79"/>
      <c r="B1888" s="77" t="s">
        <v>207</v>
      </c>
      <c r="C1888" s="76" t="s">
        <v>8</v>
      </c>
      <c r="D1888" s="143">
        <v>1</v>
      </c>
      <c r="E1888" s="83"/>
      <c r="F1888" s="334"/>
      <c r="G1888" s="112">
        <v>0</v>
      </c>
      <c r="H1888" s="120">
        <v>0</v>
      </c>
      <c r="I1888" s="120">
        <v>0</v>
      </c>
      <c r="J1888" s="120">
        <v>0</v>
      </c>
      <c r="K1888" s="110">
        <v>0</v>
      </c>
      <c r="L1888" s="110"/>
      <c r="M1888" s="110">
        <v>0</v>
      </c>
      <c r="N1888" s="110"/>
      <c r="O1888" s="110"/>
      <c r="P1888" s="110">
        <f t="shared" si="147"/>
        <v>0</v>
      </c>
      <c r="Q1888" s="110">
        <f t="shared" si="148"/>
        <v>0</v>
      </c>
      <c r="R1888" s="110">
        <f t="shared" si="149"/>
        <v>0</v>
      </c>
      <c r="S1888" s="112">
        <v>0</v>
      </c>
    </row>
    <row r="1889" spans="1:19" ht="45">
      <c r="A1889" s="79"/>
      <c r="B1889" s="77" t="s">
        <v>166</v>
      </c>
      <c r="C1889" s="76" t="s">
        <v>17</v>
      </c>
      <c r="D1889" s="143">
        <v>1</v>
      </c>
      <c r="E1889" s="50"/>
      <c r="F1889" s="334"/>
      <c r="G1889" s="112">
        <v>0</v>
      </c>
      <c r="H1889" s="120">
        <v>0</v>
      </c>
      <c r="I1889" s="120">
        <v>0</v>
      </c>
      <c r="J1889" s="120">
        <v>0</v>
      </c>
      <c r="K1889" s="110">
        <v>0</v>
      </c>
      <c r="L1889" s="110"/>
      <c r="M1889" s="110">
        <v>0</v>
      </c>
      <c r="N1889" s="110"/>
      <c r="O1889" s="110"/>
      <c r="P1889" s="110">
        <f t="shared" si="147"/>
        <v>0</v>
      </c>
      <c r="Q1889" s="110">
        <f t="shared" si="148"/>
        <v>0</v>
      </c>
      <c r="R1889" s="110">
        <f t="shared" si="149"/>
        <v>0</v>
      </c>
      <c r="S1889" s="112">
        <v>0</v>
      </c>
    </row>
    <row r="1890" spans="1:19" ht="60">
      <c r="A1890" s="79">
        <v>72</v>
      </c>
      <c r="B1890" s="77" t="s">
        <v>430</v>
      </c>
      <c r="C1890" s="76" t="s">
        <v>6</v>
      </c>
      <c r="D1890" s="143">
        <v>1</v>
      </c>
      <c r="E1890" s="74"/>
      <c r="F1890" s="334">
        <v>1</v>
      </c>
      <c r="G1890" s="112" t="s">
        <v>430</v>
      </c>
      <c r="H1890" s="120" t="s">
        <v>1076</v>
      </c>
      <c r="I1890" s="120" t="s">
        <v>828</v>
      </c>
      <c r="J1890" s="120" t="s">
        <v>829</v>
      </c>
      <c r="K1890" s="110">
        <v>35357500</v>
      </c>
      <c r="L1890" s="110"/>
      <c r="M1890" s="110">
        <v>3123300</v>
      </c>
      <c r="N1890" s="110"/>
      <c r="O1890" s="110"/>
      <c r="P1890" s="110">
        <f t="shared" si="147"/>
        <v>38480800</v>
      </c>
      <c r="Q1890" s="110">
        <f t="shared" si="148"/>
        <v>38480800</v>
      </c>
      <c r="R1890" s="110">
        <f t="shared" si="149"/>
        <v>38480800</v>
      </c>
      <c r="S1890" s="112" t="s">
        <v>4094</v>
      </c>
    </row>
    <row r="1891" spans="1:19" ht="45">
      <c r="A1891" s="79"/>
      <c r="B1891" s="77" t="s">
        <v>310</v>
      </c>
      <c r="C1891" s="76" t="s">
        <v>4</v>
      </c>
      <c r="D1891" s="143">
        <v>1</v>
      </c>
      <c r="E1891" s="74"/>
      <c r="F1891" s="334"/>
      <c r="G1891" s="112">
        <v>0</v>
      </c>
      <c r="H1891" s="120">
        <v>0</v>
      </c>
      <c r="I1891" s="120">
        <v>0</v>
      </c>
      <c r="J1891" s="120">
        <v>0</v>
      </c>
      <c r="K1891" s="110">
        <v>0</v>
      </c>
      <c r="L1891" s="110"/>
      <c r="M1891" s="110">
        <v>0</v>
      </c>
      <c r="N1891" s="110"/>
      <c r="O1891" s="110"/>
      <c r="P1891" s="110">
        <f t="shared" si="147"/>
        <v>0</v>
      </c>
      <c r="Q1891" s="110">
        <f t="shared" si="148"/>
        <v>0</v>
      </c>
      <c r="R1891" s="110">
        <f t="shared" si="149"/>
        <v>0</v>
      </c>
      <c r="S1891" s="112" t="s">
        <v>150</v>
      </c>
    </row>
    <row r="1892" spans="1:19">
      <c r="A1892" s="79"/>
      <c r="B1892" s="77" t="s">
        <v>151</v>
      </c>
      <c r="C1892" s="76"/>
      <c r="D1892" s="143"/>
      <c r="E1892" s="74"/>
      <c r="F1892" s="74"/>
      <c r="G1892" s="112">
        <v>0</v>
      </c>
      <c r="H1892" s="120">
        <v>0</v>
      </c>
      <c r="I1892" s="120">
        <v>0</v>
      </c>
      <c r="J1892" s="120">
        <v>0</v>
      </c>
      <c r="K1892" s="110">
        <v>0</v>
      </c>
      <c r="L1892" s="110"/>
      <c r="M1892" s="110">
        <v>0</v>
      </c>
      <c r="N1892" s="110"/>
      <c r="O1892" s="110"/>
      <c r="P1892" s="110">
        <f t="shared" si="147"/>
        <v>0</v>
      </c>
      <c r="Q1892" s="110">
        <f t="shared" si="148"/>
        <v>0</v>
      </c>
      <c r="R1892" s="110">
        <f t="shared" si="149"/>
        <v>0</v>
      </c>
      <c r="S1892" s="112">
        <v>0</v>
      </c>
    </row>
    <row r="1893" spans="1:19">
      <c r="A1893" s="79"/>
      <c r="B1893" s="77" t="s">
        <v>275</v>
      </c>
      <c r="C1893" s="76" t="s">
        <v>4</v>
      </c>
      <c r="D1893" s="143">
        <v>1</v>
      </c>
      <c r="E1893" s="74"/>
      <c r="F1893" s="334"/>
      <c r="G1893" s="112">
        <v>0</v>
      </c>
      <c r="H1893" s="120">
        <v>0</v>
      </c>
      <c r="I1893" s="120">
        <v>0</v>
      </c>
      <c r="J1893" s="120">
        <v>0</v>
      </c>
      <c r="K1893" s="110">
        <v>0</v>
      </c>
      <c r="L1893" s="110"/>
      <c r="M1893" s="110">
        <v>0</v>
      </c>
      <c r="N1893" s="110"/>
      <c r="O1893" s="110"/>
      <c r="P1893" s="110">
        <f t="shared" si="147"/>
        <v>0</v>
      </c>
      <c r="Q1893" s="110">
        <f t="shared" si="148"/>
        <v>0</v>
      </c>
      <c r="R1893" s="110">
        <f t="shared" si="149"/>
        <v>0</v>
      </c>
      <c r="S1893" s="112">
        <v>0</v>
      </c>
    </row>
    <row r="1894" spans="1:19">
      <c r="A1894" s="79"/>
      <c r="B1894" s="77" t="s">
        <v>354</v>
      </c>
      <c r="C1894" s="76" t="s">
        <v>12</v>
      </c>
      <c r="D1894" s="143">
        <v>3</v>
      </c>
      <c r="E1894" s="74"/>
      <c r="F1894" s="334"/>
      <c r="G1894" s="112">
        <v>0</v>
      </c>
      <c r="H1894" s="120">
        <v>0</v>
      </c>
      <c r="I1894" s="120">
        <v>0</v>
      </c>
      <c r="J1894" s="120">
        <v>0</v>
      </c>
      <c r="K1894" s="110">
        <v>0</v>
      </c>
      <c r="L1894" s="110"/>
      <c r="M1894" s="110">
        <v>0</v>
      </c>
      <c r="N1894" s="110"/>
      <c r="O1894" s="110"/>
      <c r="P1894" s="110">
        <f t="shared" si="147"/>
        <v>0</v>
      </c>
      <c r="Q1894" s="110">
        <f t="shared" si="148"/>
        <v>0</v>
      </c>
      <c r="R1894" s="110">
        <f t="shared" si="149"/>
        <v>0</v>
      </c>
      <c r="S1894" s="112">
        <v>0</v>
      </c>
    </row>
    <row r="1895" spans="1:19">
      <c r="A1895" s="79"/>
      <c r="B1895" s="77" t="s">
        <v>29</v>
      </c>
      <c r="C1895" s="76" t="s">
        <v>4</v>
      </c>
      <c r="D1895" s="143">
        <v>1</v>
      </c>
      <c r="E1895" s="74"/>
      <c r="F1895" s="334"/>
      <c r="G1895" s="112">
        <v>0</v>
      </c>
      <c r="H1895" s="120">
        <v>0</v>
      </c>
      <c r="I1895" s="120">
        <v>0</v>
      </c>
      <c r="J1895" s="120">
        <v>0</v>
      </c>
      <c r="K1895" s="110">
        <v>0</v>
      </c>
      <c r="L1895" s="110"/>
      <c r="M1895" s="110">
        <v>0</v>
      </c>
      <c r="N1895" s="110"/>
      <c r="O1895" s="110"/>
      <c r="P1895" s="110">
        <f t="shared" si="147"/>
        <v>0</v>
      </c>
      <c r="Q1895" s="110">
        <f t="shared" si="148"/>
        <v>0</v>
      </c>
      <c r="R1895" s="110">
        <f t="shared" si="149"/>
        <v>0</v>
      </c>
      <c r="S1895" s="112">
        <v>0</v>
      </c>
    </row>
    <row r="1896" spans="1:19">
      <c r="A1896" s="79"/>
      <c r="B1896" s="77" t="s">
        <v>30</v>
      </c>
      <c r="C1896" s="76" t="s">
        <v>4</v>
      </c>
      <c r="D1896" s="143">
        <v>1</v>
      </c>
      <c r="E1896" s="74"/>
      <c r="F1896" s="334"/>
      <c r="G1896" s="112">
        <v>0</v>
      </c>
      <c r="H1896" s="120">
        <v>0</v>
      </c>
      <c r="I1896" s="120">
        <v>0</v>
      </c>
      <c r="J1896" s="120">
        <v>0</v>
      </c>
      <c r="K1896" s="110">
        <v>0</v>
      </c>
      <c r="L1896" s="110"/>
      <c r="M1896" s="110">
        <v>0</v>
      </c>
      <c r="N1896" s="110"/>
      <c r="O1896" s="110"/>
      <c r="P1896" s="110">
        <f t="shared" si="147"/>
        <v>0</v>
      </c>
      <c r="Q1896" s="110">
        <f t="shared" si="148"/>
        <v>0</v>
      </c>
      <c r="R1896" s="110">
        <f t="shared" si="149"/>
        <v>0</v>
      </c>
      <c r="S1896" s="112">
        <v>0</v>
      </c>
    </row>
    <row r="1897" spans="1:19">
      <c r="A1897" s="79"/>
      <c r="B1897" s="77" t="s">
        <v>355</v>
      </c>
      <c r="C1897" s="76" t="s">
        <v>4</v>
      </c>
      <c r="D1897" s="143">
        <v>3</v>
      </c>
      <c r="E1897" s="74"/>
      <c r="F1897" s="334"/>
      <c r="G1897" s="112">
        <v>0</v>
      </c>
      <c r="H1897" s="120">
        <v>0</v>
      </c>
      <c r="I1897" s="120">
        <v>0</v>
      </c>
      <c r="J1897" s="120">
        <v>0</v>
      </c>
      <c r="K1897" s="110">
        <v>0</v>
      </c>
      <c r="L1897" s="110"/>
      <c r="M1897" s="110">
        <v>0</v>
      </c>
      <c r="N1897" s="110"/>
      <c r="O1897" s="110"/>
      <c r="P1897" s="110">
        <f t="shared" si="147"/>
        <v>0</v>
      </c>
      <c r="Q1897" s="110">
        <f t="shared" si="148"/>
        <v>0</v>
      </c>
      <c r="R1897" s="110">
        <f t="shared" si="149"/>
        <v>0</v>
      </c>
      <c r="S1897" s="112">
        <v>0</v>
      </c>
    </row>
    <row r="1898" spans="1:19">
      <c r="A1898" s="79"/>
      <c r="B1898" s="77" t="s">
        <v>14</v>
      </c>
      <c r="C1898" s="76" t="s">
        <v>4</v>
      </c>
      <c r="D1898" s="143">
        <v>3</v>
      </c>
      <c r="E1898" s="74"/>
      <c r="F1898" s="334"/>
      <c r="G1898" s="112">
        <v>0</v>
      </c>
      <c r="H1898" s="120">
        <v>0</v>
      </c>
      <c r="I1898" s="120">
        <v>0</v>
      </c>
      <c r="J1898" s="120">
        <v>0</v>
      </c>
      <c r="K1898" s="110">
        <v>0</v>
      </c>
      <c r="L1898" s="110"/>
      <c r="M1898" s="110">
        <v>0</v>
      </c>
      <c r="N1898" s="110"/>
      <c r="O1898" s="110"/>
      <c r="P1898" s="110">
        <f t="shared" si="147"/>
        <v>0</v>
      </c>
      <c r="Q1898" s="110">
        <f t="shared" si="148"/>
        <v>0</v>
      </c>
      <c r="R1898" s="110">
        <f t="shared" si="149"/>
        <v>0</v>
      </c>
      <c r="S1898" s="112">
        <v>0</v>
      </c>
    </row>
    <row r="1899" spans="1:19">
      <c r="A1899" s="79"/>
      <c r="B1899" s="77" t="s">
        <v>153</v>
      </c>
      <c r="C1899" s="76" t="s">
        <v>4</v>
      </c>
      <c r="D1899" s="143">
        <v>3</v>
      </c>
      <c r="E1899" s="74"/>
      <c r="F1899" s="334"/>
      <c r="G1899" s="112">
        <v>0</v>
      </c>
      <c r="H1899" s="120">
        <v>0</v>
      </c>
      <c r="I1899" s="120">
        <v>0</v>
      </c>
      <c r="J1899" s="120">
        <v>0</v>
      </c>
      <c r="K1899" s="110">
        <v>0</v>
      </c>
      <c r="L1899" s="110"/>
      <c r="M1899" s="110">
        <v>0</v>
      </c>
      <c r="N1899" s="110"/>
      <c r="O1899" s="110"/>
      <c r="P1899" s="110">
        <f t="shared" si="147"/>
        <v>0</v>
      </c>
      <c r="Q1899" s="110">
        <f t="shared" si="148"/>
        <v>0</v>
      </c>
      <c r="R1899" s="110">
        <f t="shared" si="149"/>
        <v>0</v>
      </c>
      <c r="S1899" s="112">
        <v>0</v>
      </c>
    </row>
    <row r="1900" spans="1:19">
      <c r="A1900" s="79"/>
      <c r="B1900" s="77" t="s">
        <v>154</v>
      </c>
      <c r="C1900" s="76"/>
      <c r="D1900" s="143"/>
      <c r="E1900" s="74"/>
      <c r="F1900" s="74"/>
      <c r="G1900" s="112">
        <v>0</v>
      </c>
      <c r="H1900" s="120">
        <v>0</v>
      </c>
      <c r="I1900" s="120">
        <v>0</v>
      </c>
      <c r="J1900" s="120">
        <v>0</v>
      </c>
      <c r="K1900" s="110">
        <v>0</v>
      </c>
      <c r="L1900" s="110"/>
      <c r="M1900" s="110">
        <v>0</v>
      </c>
      <c r="N1900" s="110"/>
      <c r="O1900" s="110"/>
      <c r="P1900" s="110">
        <f t="shared" si="147"/>
        <v>0</v>
      </c>
      <c r="Q1900" s="110">
        <f t="shared" si="148"/>
        <v>0</v>
      </c>
      <c r="R1900" s="110">
        <f t="shared" si="149"/>
        <v>0</v>
      </c>
      <c r="S1900" s="112">
        <v>0</v>
      </c>
    </row>
    <row r="1901" spans="1:19">
      <c r="A1901" s="79"/>
      <c r="B1901" s="77" t="s">
        <v>242</v>
      </c>
      <c r="C1901" s="76" t="s">
        <v>4</v>
      </c>
      <c r="D1901" s="143">
        <v>2</v>
      </c>
      <c r="E1901" s="74"/>
      <c r="F1901" s="334"/>
      <c r="G1901" s="112">
        <v>0</v>
      </c>
      <c r="H1901" s="120">
        <v>0</v>
      </c>
      <c r="I1901" s="120">
        <v>0</v>
      </c>
      <c r="J1901" s="120">
        <v>0</v>
      </c>
      <c r="K1901" s="110">
        <v>0</v>
      </c>
      <c r="L1901" s="110"/>
      <c r="M1901" s="110">
        <v>0</v>
      </c>
      <c r="N1901" s="110"/>
      <c r="O1901" s="110"/>
      <c r="P1901" s="110">
        <f t="shared" si="147"/>
        <v>0</v>
      </c>
      <c r="Q1901" s="110">
        <f t="shared" si="148"/>
        <v>0</v>
      </c>
      <c r="R1901" s="110">
        <f t="shared" si="149"/>
        <v>0</v>
      </c>
      <c r="S1901" s="112">
        <v>0</v>
      </c>
    </row>
    <row r="1902" spans="1:19">
      <c r="A1902" s="79"/>
      <c r="B1902" s="77" t="s">
        <v>158</v>
      </c>
      <c r="C1902" s="76" t="s">
        <v>4</v>
      </c>
      <c r="D1902" s="143">
        <v>1</v>
      </c>
      <c r="E1902" s="82"/>
      <c r="F1902" s="334"/>
      <c r="G1902" s="112">
        <v>0</v>
      </c>
      <c r="H1902" s="120">
        <v>0</v>
      </c>
      <c r="I1902" s="120">
        <v>0</v>
      </c>
      <c r="J1902" s="120">
        <v>0</v>
      </c>
      <c r="K1902" s="110">
        <v>0</v>
      </c>
      <c r="L1902" s="110"/>
      <c r="M1902" s="110">
        <v>0</v>
      </c>
      <c r="N1902" s="110"/>
      <c r="O1902" s="110"/>
      <c r="P1902" s="110">
        <f t="shared" si="147"/>
        <v>0</v>
      </c>
      <c r="Q1902" s="110">
        <f t="shared" si="148"/>
        <v>0</v>
      </c>
      <c r="R1902" s="110">
        <f t="shared" si="149"/>
        <v>0</v>
      </c>
      <c r="S1902" s="112">
        <v>0</v>
      </c>
    </row>
    <row r="1903" spans="1:19">
      <c r="A1903" s="79"/>
      <c r="B1903" s="77" t="s">
        <v>351</v>
      </c>
      <c r="C1903" s="76" t="s">
        <v>8</v>
      </c>
      <c r="D1903" s="143">
        <v>2</v>
      </c>
      <c r="E1903" s="73"/>
      <c r="F1903" s="334"/>
      <c r="G1903" s="112">
        <v>0</v>
      </c>
      <c r="H1903" s="120">
        <v>0</v>
      </c>
      <c r="I1903" s="120">
        <v>0</v>
      </c>
      <c r="J1903" s="120">
        <v>0</v>
      </c>
      <c r="K1903" s="110">
        <v>0</v>
      </c>
      <c r="L1903" s="110"/>
      <c r="M1903" s="110">
        <v>0</v>
      </c>
      <c r="N1903" s="110"/>
      <c r="O1903" s="110"/>
      <c r="P1903" s="110">
        <f t="shared" si="147"/>
        <v>0</v>
      </c>
      <c r="Q1903" s="110">
        <f t="shared" si="148"/>
        <v>0</v>
      </c>
      <c r="R1903" s="110">
        <f t="shared" si="149"/>
        <v>0</v>
      </c>
      <c r="S1903" s="112">
        <v>0</v>
      </c>
    </row>
    <row r="1904" spans="1:19">
      <c r="A1904" s="79"/>
      <c r="B1904" s="77" t="s">
        <v>245</v>
      </c>
      <c r="C1904" s="76" t="s">
        <v>4</v>
      </c>
      <c r="D1904" s="143">
        <v>4</v>
      </c>
      <c r="E1904" s="50"/>
      <c r="F1904" s="334"/>
      <c r="G1904" s="112">
        <v>0</v>
      </c>
      <c r="H1904" s="120">
        <v>0</v>
      </c>
      <c r="I1904" s="120">
        <v>0</v>
      </c>
      <c r="J1904" s="120">
        <v>0</v>
      </c>
      <c r="K1904" s="110">
        <v>0</v>
      </c>
      <c r="L1904" s="110"/>
      <c r="M1904" s="110">
        <v>0</v>
      </c>
      <c r="N1904" s="110"/>
      <c r="O1904" s="110"/>
      <c r="P1904" s="110">
        <f t="shared" si="147"/>
        <v>0</v>
      </c>
      <c r="Q1904" s="110">
        <f t="shared" si="148"/>
        <v>0</v>
      </c>
      <c r="R1904" s="110">
        <f t="shared" si="149"/>
        <v>0</v>
      </c>
      <c r="S1904" s="112">
        <v>0</v>
      </c>
    </row>
    <row r="1905" spans="1:19">
      <c r="A1905" s="79"/>
      <c r="B1905" s="77" t="s">
        <v>246</v>
      </c>
      <c r="C1905" s="76" t="s">
        <v>4</v>
      </c>
      <c r="D1905" s="143">
        <v>2</v>
      </c>
      <c r="E1905" s="57"/>
      <c r="F1905" s="334"/>
      <c r="G1905" s="112">
        <v>0</v>
      </c>
      <c r="H1905" s="120">
        <v>0</v>
      </c>
      <c r="I1905" s="120">
        <v>0</v>
      </c>
      <c r="J1905" s="120">
        <v>0</v>
      </c>
      <c r="K1905" s="110">
        <v>0</v>
      </c>
      <c r="L1905" s="110"/>
      <c r="M1905" s="110">
        <v>0</v>
      </c>
      <c r="N1905" s="110"/>
      <c r="O1905" s="110"/>
      <c r="P1905" s="110">
        <f t="shared" ref="P1905:P1968" si="150">+K1905+L1905+M1905+N1905+O1905</f>
        <v>0</v>
      </c>
      <c r="Q1905" s="110">
        <f t="shared" ref="Q1905:Q1968" si="151">+P1905*D1905</f>
        <v>0</v>
      </c>
      <c r="R1905" s="110">
        <f t="shared" ref="R1905:R1968" si="152">P1905*F1905</f>
        <v>0</v>
      </c>
      <c r="S1905" s="112">
        <v>0</v>
      </c>
    </row>
    <row r="1906" spans="1:19">
      <c r="A1906" s="79"/>
      <c r="B1906" s="77" t="s">
        <v>173</v>
      </c>
      <c r="C1906" s="76" t="s">
        <v>4</v>
      </c>
      <c r="D1906" s="143">
        <v>5</v>
      </c>
      <c r="E1906" s="50"/>
      <c r="F1906" s="334"/>
      <c r="G1906" s="112">
        <v>0</v>
      </c>
      <c r="H1906" s="120">
        <v>0</v>
      </c>
      <c r="I1906" s="120">
        <v>0</v>
      </c>
      <c r="J1906" s="120">
        <v>0</v>
      </c>
      <c r="K1906" s="110">
        <v>0</v>
      </c>
      <c r="L1906" s="110"/>
      <c r="M1906" s="110">
        <v>0</v>
      </c>
      <c r="N1906" s="110"/>
      <c r="O1906" s="110"/>
      <c r="P1906" s="110">
        <f t="shared" si="150"/>
        <v>0</v>
      </c>
      <c r="Q1906" s="110">
        <f t="shared" si="151"/>
        <v>0</v>
      </c>
      <c r="R1906" s="110">
        <f t="shared" si="152"/>
        <v>0</v>
      </c>
      <c r="S1906" s="112">
        <v>0</v>
      </c>
    </row>
    <row r="1907" spans="1:19">
      <c r="A1907" s="79"/>
      <c r="B1907" s="77" t="s">
        <v>201</v>
      </c>
      <c r="C1907" s="76" t="s">
        <v>4</v>
      </c>
      <c r="D1907" s="143">
        <v>2</v>
      </c>
      <c r="E1907" s="50"/>
      <c r="F1907" s="334"/>
      <c r="G1907" s="112">
        <v>0</v>
      </c>
      <c r="H1907" s="120">
        <v>0</v>
      </c>
      <c r="I1907" s="120">
        <v>0</v>
      </c>
      <c r="J1907" s="120">
        <v>0</v>
      </c>
      <c r="K1907" s="110">
        <v>0</v>
      </c>
      <c r="L1907" s="110"/>
      <c r="M1907" s="110">
        <v>0</v>
      </c>
      <c r="N1907" s="110"/>
      <c r="O1907" s="110"/>
      <c r="P1907" s="110">
        <f t="shared" si="150"/>
        <v>0</v>
      </c>
      <c r="Q1907" s="110">
        <f t="shared" si="151"/>
        <v>0</v>
      </c>
      <c r="R1907" s="110">
        <f t="shared" si="152"/>
        <v>0</v>
      </c>
      <c r="S1907" s="112">
        <v>0</v>
      </c>
    </row>
    <row r="1908" spans="1:19">
      <c r="A1908" s="79"/>
      <c r="B1908" s="77" t="s">
        <v>352</v>
      </c>
      <c r="C1908" s="76" t="s">
        <v>4</v>
      </c>
      <c r="D1908" s="143">
        <v>2</v>
      </c>
      <c r="E1908" s="50"/>
      <c r="F1908" s="334"/>
      <c r="G1908" s="112">
        <v>0</v>
      </c>
      <c r="H1908" s="120">
        <v>0</v>
      </c>
      <c r="I1908" s="120">
        <v>0</v>
      </c>
      <c r="J1908" s="120">
        <v>0</v>
      </c>
      <c r="K1908" s="110">
        <v>0</v>
      </c>
      <c r="L1908" s="110"/>
      <c r="M1908" s="110">
        <v>0</v>
      </c>
      <c r="N1908" s="110"/>
      <c r="O1908" s="110"/>
      <c r="P1908" s="110">
        <f t="shared" si="150"/>
        <v>0</v>
      </c>
      <c r="Q1908" s="110">
        <f t="shared" si="151"/>
        <v>0</v>
      </c>
      <c r="R1908" s="110">
        <f t="shared" si="152"/>
        <v>0</v>
      </c>
      <c r="S1908" s="112">
        <v>0</v>
      </c>
    </row>
    <row r="1909" spans="1:19">
      <c r="A1909" s="79"/>
      <c r="B1909" s="77" t="s">
        <v>175</v>
      </c>
      <c r="C1909" s="76" t="s">
        <v>4</v>
      </c>
      <c r="D1909" s="143">
        <v>2</v>
      </c>
      <c r="E1909" s="76"/>
      <c r="F1909" s="334"/>
      <c r="G1909" s="112">
        <v>0</v>
      </c>
      <c r="H1909" s="120">
        <v>0</v>
      </c>
      <c r="I1909" s="120">
        <v>0</v>
      </c>
      <c r="J1909" s="120">
        <v>0</v>
      </c>
      <c r="K1909" s="110">
        <v>0</v>
      </c>
      <c r="L1909" s="110"/>
      <c r="M1909" s="110">
        <v>0</v>
      </c>
      <c r="N1909" s="110"/>
      <c r="O1909" s="110"/>
      <c r="P1909" s="110">
        <f t="shared" si="150"/>
        <v>0</v>
      </c>
      <c r="Q1909" s="110">
        <f t="shared" si="151"/>
        <v>0</v>
      </c>
      <c r="R1909" s="110">
        <f t="shared" si="152"/>
        <v>0</v>
      </c>
      <c r="S1909" s="112">
        <v>0</v>
      </c>
    </row>
    <row r="1910" spans="1:19">
      <c r="A1910" s="79"/>
      <c r="B1910" s="77" t="s">
        <v>202</v>
      </c>
      <c r="C1910" s="76" t="s">
        <v>4</v>
      </c>
      <c r="D1910" s="143">
        <v>2</v>
      </c>
      <c r="E1910" s="83"/>
      <c r="F1910" s="334"/>
      <c r="G1910" s="112">
        <v>0</v>
      </c>
      <c r="H1910" s="120">
        <v>0</v>
      </c>
      <c r="I1910" s="120">
        <v>0</v>
      </c>
      <c r="J1910" s="120">
        <v>0</v>
      </c>
      <c r="K1910" s="110">
        <v>0</v>
      </c>
      <c r="L1910" s="110"/>
      <c r="M1910" s="110">
        <v>0</v>
      </c>
      <c r="N1910" s="110"/>
      <c r="O1910" s="110"/>
      <c r="P1910" s="110">
        <f t="shared" si="150"/>
        <v>0</v>
      </c>
      <c r="Q1910" s="110">
        <f t="shared" si="151"/>
        <v>0</v>
      </c>
      <c r="R1910" s="110">
        <f t="shared" si="152"/>
        <v>0</v>
      </c>
      <c r="S1910" s="112">
        <v>0</v>
      </c>
    </row>
    <row r="1911" spans="1:19">
      <c r="A1911" s="79"/>
      <c r="B1911" s="77" t="s">
        <v>176</v>
      </c>
      <c r="C1911" s="76" t="s">
        <v>4</v>
      </c>
      <c r="D1911" s="143">
        <v>4</v>
      </c>
      <c r="E1911" s="83"/>
      <c r="F1911" s="334"/>
      <c r="G1911" s="112">
        <v>0</v>
      </c>
      <c r="H1911" s="120">
        <v>0</v>
      </c>
      <c r="I1911" s="120">
        <v>0</v>
      </c>
      <c r="J1911" s="120">
        <v>0</v>
      </c>
      <c r="K1911" s="110">
        <v>0</v>
      </c>
      <c r="L1911" s="110"/>
      <c r="M1911" s="110">
        <v>0</v>
      </c>
      <c r="N1911" s="110"/>
      <c r="O1911" s="110"/>
      <c r="P1911" s="110">
        <f t="shared" si="150"/>
        <v>0</v>
      </c>
      <c r="Q1911" s="110">
        <f t="shared" si="151"/>
        <v>0</v>
      </c>
      <c r="R1911" s="110">
        <f t="shared" si="152"/>
        <v>0</v>
      </c>
      <c r="S1911" s="112">
        <v>0</v>
      </c>
    </row>
    <row r="1912" spans="1:19">
      <c r="A1912" s="79"/>
      <c r="B1912" s="77" t="s">
        <v>161</v>
      </c>
      <c r="C1912" s="76" t="s">
        <v>4</v>
      </c>
      <c r="D1912" s="143">
        <v>2</v>
      </c>
      <c r="E1912" s="50"/>
      <c r="F1912" s="334"/>
      <c r="G1912" s="112">
        <v>0</v>
      </c>
      <c r="H1912" s="120">
        <v>0</v>
      </c>
      <c r="I1912" s="120">
        <v>0</v>
      </c>
      <c r="J1912" s="120">
        <v>0</v>
      </c>
      <c r="K1912" s="110">
        <v>0</v>
      </c>
      <c r="L1912" s="110"/>
      <c r="M1912" s="110">
        <v>0</v>
      </c>
      <c r="N1912" s="110"/>
      <c r="O1912" s="110"/>
      <c r="P1912" s="110">
        <f t="shared" si="150"/>
        <v>0</v>
      </c>
      <c r="Q1912" s="110">
        <f t="shared" si="151"/>
        <v>0</v>
      </c>
      <c r="R1912" s="110">
        <f t="shared" si="152"/>
        <v>0</v>
      </c>
      <c r="S1912" s="112">
        <v>0</v>
      </c>
    </row>
    <row r="1913" spans="1:19">
      <c r="A1913" s="79"/>
      <c r="B1913" s="77" t="s">
        <v>177</v>
      </c>
      <c r="C1913" s="76" t="s">
        <v>17</v>
      </c>
      <c r="D1913" s="143">
        <v>1</v>
      </c>
      <c r="E1913" s="74"/>
      <c r="F1913" s="334"/>
      <c r="G1913" s="112">
        <v>0</v>
      </c>
      <c r="H1913" s="120">
        <v>0</v>
      </c>
      <c r="I1913" s="120">
        <v>0</v>
      </c>
      <c r="J1913" s="120">
        <v>0</v>
      </c>
      <c r="K1913" s="110">
        <v>0</v>
      </c>
      <c r="L1913" s="110"/>
      <c r="M1913" s="110">
        <v>0</v>
      </c>
      <c r="N1913" s="110"/>
      <c r="O1913" s="110"/>
      <c r="P1913" s="110">
        <f t="shared" si="150"/>
        <v>0</v>
      </c>
      <c r="Q1913" s="110">
        <f t="shared" si="151"/>
        <v>0</v>
      </c>
      <c r="R1913" s="110">
        <f t="shared" si="152"/>
        <v>0</v>
      </c>
      <c r="S1913" s="112">
        <v>0</v>
      </c>
    </row>
    <row r="1914" spans="1:19">
      <c r="A1914" s="79"/>
      <c r="B1914" s="77" t="s">
        <v>163</v>
      </c>
      <c r="C1914" s="76" t="s">
        <v>4</v>
      </c>
      <c r="D1914" s="143">
        <v>1</v>
      </c>
      <c r="E1914" s="74"/>
      <c r="F1914" s="334"/>
      <c r="G1914" s="112">
        <v>0</v>
      </c>
      <c r="H1914" s="120">
        <v>0</v>
      </c>
      <c r="I1914" s="120">
        <v>0</v>
      </c>
      <c r="J1914" s="120">
        <v>0</v>
      </c>
      <c r="K1914" s="110">
        <v>0</v>
      </c>
      <c r="L1914" s="110"/>
      <c r="M1914" s="110">
        <v>0</v>
      </c>
      <c r="N1914" s="110"/>
      <c r="O1914" s="110"/>
      <c r="P1914" s="110">
        <f t="shared" si="150"/>
        <v>0</v>
      </c>
      <c r="Q1914" s="110">
        <f t="shared" si="151"/>
        <v>0</v>
      </c>
      <c r="R1914" s="110">
        <f t="shared" si="152"/>
        <v>0</v>
      </c>
      <c r="S1914" s="112">
        <v>0</v>
      </c>
    </row>
    <row r="1915" spans="1:19" ht="30">
      <c r="A1915" s="79"/>
      <c r="B1915" s="77" t="s">
        <v>357</v>
      </c>
      <c r="C1915" s="76" t="s">
        <v>8</v>
      </c>
      <c r="D1915" s="143">
        <v>1</v>
      </c>
      <c r="E1915" s="74"/>
      <c r="F1915" s="334"/>
      <c r="G1915" s="112">
        <v>0</v>
      </c>
      <c r="H1915" s="120">
        <v>0</v>
      </c>
      <c r="I1915" s="120">
        <v>0</v>
      </c>
      <c r="J1915" s="120">
        <v>0</v>
      </c>
      <c r="K1915" s="110">
        <v>0</v>
      </c>
      <c r="L1915" s="110"/>
      <c r="M1915" s="110">
        <v>0</v>
      </c>
      <c r="N1915" s="110"/>
      <c r="O1915" s="110"/>
      <c r="P1915" s="110">
        <f t="shared" si="150"/>
        <v>0</v>
      </c>
      <c r="Q1915" s="110">
        <f t="shared" si="151"/>
        <v>0</v>
      </c>
      <c r="R1915" s="110">
        <f t="shared" si="152"/>
        <v>0</v>
      </c>
      <c r="S1915" s="112">
        <v>0</v>
      </c>
    </row>
    <row r="1916" spans="1:19">
      <c r="A1916" s="79"/>
      <c r="B1916" s="77" t="s">
        <v>207</v>
      </c>
      <c r="C1916" s="76" t="s">
        <v>8</v>
      </c>
      <c r="D1916" s="143">
        <v>1</v>
      </c>
      <c r="E1916" s="74"/>
      <c r="F1916" s="334"/>
      <c r="G1916" s="112">
        <v>0</v>
      </c>
      <c r="H1916" s="120">
        <v>0</v>
      </c>
      <c r="I1916" s="120">
        <v>0</v>
      </c>
      <c r="J1916" s="120">
        <v>0</v>
      </c>
      <c r="K1916" s="110">
        <v>0</v>
      </c>
      <c r="L1916" s="110"/>
      <c r="M1916" s="110">
        <v>0</v>
      </c>
      <c r="N1916" s="110"/>
      <c r="O1916" s="110"/>
      <c r="P1916" s="110">
        <f t="shared" si="150"/>
        <v>0</v>
      </c>
      <c r="Q1916" s="110">
        <f t="shared" si="151"/>
        <v>0</v>
      </c>
      <c r="R1916" s="110">
        <f t="shared" si="152"/>
        <v>0</v>
      </c>
      <c r="S1916" s="112">
        <v>0</v>
      </c>
    </row>
    <row r="1917" spans="1:19" ht="45">
      <c r="A1917" s="79"/>
      <c r="B1917" s="77" t="s">
        <v>166</v>
      </c>
      <c r="C1917" s="76" t="s">
        <v>17</v>
      </c>
      <c r="D1917" s="143">
        <v>1</v>
      </c>
      <c r="E1917" s="82"/>
      <c r="F1917" s="334"/>
      <c r="G1917" s="112">
        <v>0</v>
      </c>
      <c r="H1917" s="120">
        <v>0</v>
      </c>
      <c r="I1917" s="120">
        <v>0</v>
      </c>
      <c r="J1917" s="120">
        <v>0</v>
      </c>
      <c r="K1917" s="110">
        <v>0</v>
      </c>
      <c r="L1917" s="110"/>
      <c r="M1917" s="110">
        <v>0</v>
      </c>
      <c r="N1917" s="110"/>
      <c r="O1917" s="110"/>
      <c r="P1917" s="110">
        <f t="shared" si="150"/>
        <v>0</v>
      </c>
      <c r="Q1917" s="110">
        <f t="shared" si="151"/>
        <v>0</v>
      </c>
      <c r="R1917" s="110">
        <f t="shared" si="152"/>
        <v>0</v>
      </c>
      <c r="S1917" s="112">
        <v>0</v>
      </c>
    </row>
    <row r="1918" spans="1:19" ht="60">
      <c r="A1918" s="79">
        <v>73</v>
      </c>
      <c r="B1918" s="77" t="s">
        <v>431</v>
      </c>
      <c r="C1918" s="76" t="s">
        <v>6</v>
      </c>
      <c r="D1918" s="143">
        <v>1</v>
      </c>
      <c r="E1918" s="59"/>
      <c r="F1918" s="334">
        <v>1</v>
      </c>
      <c r="G1918" s="112" t="s">
        <v>862</v>
      </c>
      <c r="H1918" s="120" t="s">
        <v>1076</v>
      </c>
      <c r="I1918" s="120" t="s">
        <v>828</v>
      </c>
      <c r="J1918" s="120" t="s">
        <v>829</v>
      </c>
      <c r="K1918" s="110">
        <v>84250100</v>
      </c>
      <c r="L1918" s="110"/>
      <c r="M1918" s="110">
        <v>5541300</v>
      </c>
      <c r="N1918" s="110"/>
      <c r="O1918" s="110"/>
      <c r="P1918" s="110">
        <f t="shared" si="150"/>
        <v>89791400</v>
      </c>
      <c r="Q1918" s="110">
        <f t="shared" si="151"/>
        <v>89791400</v>
      </c>
      <c r="R1918" s="110">
        <f t="shared" si="152"/>
        <v>89791400</v>
      </c>
      <c r="S1918" s="112" t="s">
        <v>4094</v>
      </c>
    </row>
    <row r="1919" spans="1:19" ht="45">
      <c r="A1919" s="79"/>
      <c r="B1919" s="77" t="s">
        <v>422</v>
      </c>
      <c r="C1919" s="76" t="s">
        <v>4</v>
      </c>
      <c r="D1919" s="143">
        <v>1</v>
      </c>
      <c r="E1919" s="77"/>
      <c r="F1919" s="334"/>
      <c r="G1919" s="112">
        <v>0</v>
      </c>
      <c r="H1919" s="120">
        <v>0</v>
      </c>
      <c r="I1919" s="120">
        <v>0</v>
      </c>
      <c r="J1919" s="120">
        <v>0</v>
      </c>
      <c r="K1919" s="110">
        <v>0</v>
      </c>
      <c r="L1919" s="110"/>
      <c r="M1919" s="110">
        <v>0</v>
      </c>
      <c r="N1919" s="110"/>
      <c r="O1919" s="110"/>
      <c r="P1919" s="110">
        <f t="shared" si="150"/>
        <v>0</v>
      </c>
      <c r="Q1919" s="110">
        <f t="shared" si="151"/>
        <v>0</v>
      </c>
      <c r="R1919" s="110">
        <f t="shared" si="152"/>
        <v>0</v>
      </c>
      <c r="S1919" s="112" t="s">
        <v>150</v>
      </c>
    </row>
    <row r="1920" spans="1:19">
      <c r="A1920" s="79"/>
      <c r="B1920" s="77" t="s">
        <v>151</v>
      </c>
      <c r="C1920" s="76"/>
      <c r="D1920" s="143"/>
      <c r="E1920" s="77"/>
      <c r="F1920" s="76"/>
      <c r="G1920" s="112">
        <v>0</v>
      </c>
      <c r="H1920" s="120">
        <v>0</v>
      </c>
      <c r="I1920" s="120">
        <v>0</v>
      </c>
      <c r="J1920" s="120">
        <v>0</v>
      </c>
      <c r="K1920" s="110">
        <v>0</v>
      </c>
      <c r="L1920" s="110"/>
      <c r="M1920" s="110">
        <v>0</v>
      </c>
      <c r="N1920" s="110"/>
      <c r="O1920" s="110"/>
      <c r="P1920" s="110">
        <f t="shared" si="150"/>
        <v>0</v>
      </c>
      <c r="Q1920" s="110">
        <f t="shared" si="151"/>
        <v>0</v>
      </c>
      <c r="R1920" s="110">
        <f t="shared" si="152"/>
        <v>0</v>
      </c>
      <c r="S1920" s="112">
        <v>0</v>
      </c>
    </row>
    <row r="1921" spans="1:19">
      <c r="A1921" s="79"/>
      <c r="B1921" s="77" t="s">
        <v>423</v>
      </c>
      <c r="C1921" s="76" t="s">
        <v>4</v>
      </c>
      <c r="D1921" s="143">
        <v>1</v>
      </c>
      <c r="E1921" s="77"/>
      <c r="F1921" s="334"/>
      <c r="G1921" s="112">
        <v>0</v>
      </c>
      <c r="H1921" s="120">
        <v>0</v>
      </c>
      <c r="I1921" s="120">
        <v>0</v>
      </c>
      <c r="J1921" s="120">
        <v>0</v>
      </c>
      <c r="K1921" s="110">
        <v>0</v>
      </c>
      <c r="L1921" s="110"/>
      <c r="M1921" s="110">
        <v>0</v>
      </c>
      <c r="N1921" s="110"/>
      <c r="O1921" s="110"/>
      <c r="P1921" s="110">
        <f t="shared" si="150"/>
        <v>0</v>
      </c>
      <c r="Q1921" s="110">
        <f t="shared" si="151"/>
        <v>0</v>
      </c>
      <c r="R1921" s="110">
        <f t="shared" si="152"/>
        <v>0</v>
      </c>
      <c r="S1921" s="112">
        <v>0</v>
      </c>
    </row>
    <row r="1922" spans="1:19">
      <c r="A1922" s="79"/>
      <c r="B1922" s="77" t="s">
        <v>48</v>
      </c>
      <c r="C1922" s="76" t="s">
        <v>12</v>
      </c>
      <c r="D1922" s="143">
        <v>3</v>
      </c>
      <c r="E1922" s="77"/>
      <c r="F1922" s="334"/>
      <c r="G1922" s="112">
        <v>0</v>
      </c>
      <c r="H1922" s="120">
        <v>0</v>
      </c>
      <c r="I1922" s="120">
        <v>0</v>
      </c>
      <c r="J1922" s="120">
        <v>0</v>
      </c>
      <c r="K1922" s="110">
        <v>0</v>
      </c>
      <c r="L1922" s="110"/>
      <c r="M1922" s="110">
        <v>0</v>
      </c>
      <c r="N1922" s="110"/>
      <c r="O1922" s="110"/>
      <c r="P1922" s="110">
        <f t="shared" si="150"/>
        <v>0</v>
      </c>
      <c r="Q1922" s="110">
        <f t="shared" si="151"/>
        <v>0</v>
      </c>
      <c r="R1922" s="110">
        <f t="shared" si="152"/>
        <v>0</v>
      </c>
      <c r="S1922" s="112">
        <v>0</v>
      </c>
    </row>
    <row r="1923" spans="1:19">
      <c r="A1923" s="79"/>
      <c r="B1923" s="77" t="s">
        <v>29</v>
      </c>
      <c r="C1923" s="76" t="s">
        <v>4</v>
      </c>
      <c r="D1923" s="143">
        <v>1</v>
      </c>
      <c r="E1923" s="77"/>
      <c r="F1923" s="334"/>
      <c r="G1923" s="112">
        <v>0</v>
      </c>
      <c r="H1923" s="120">
        <v>0</v>
      </c>
      <c r="I1923" s="120">
        <v>0</v>
      </c>
      <c r="J1923" s="120">
        <v>0</v>
      </c>
      <c r="K1923" s="110">
        <v>0</v>
      </c>
      <c r="L1923" s="110"/>
      <c r="M1923" s="110">
        <v>0</v>
      </c>
      <c r="N1923" s="110"/>
      <c r="O1923" s="110"/>
      <c r="P1923" s="110">
        <f t="shared" si="150"/>
        <v>0</v>
      </c>
      <c r="Q1923" s="110">
        <f t="shared" si="151"/>
        <v>0</v>
      </c>
      <c r="R1923" s="110">
        <f t="shared" si="152"/>
        <v>0</v>
      </c>
      <c r="S1923" s="112">
        <v>0</v>
      </c>
    </row>
    <row r="1924" spans="1:19">
      <c r="A1924" s="79"/>
      <c r="B1924" s="77" t="s">
        <v>30</v>
      </c>
      <c r="C1924" s="76" t="s">
        <v>4</v>
      </c>
      <c r="D1924" s="143">
        <v>1</v>
      </c>
      <c r="E1924" s="77"/>
      <c r="F1924" s="334"/>
      <c r="G1924" s="112">
        <v>0</v>
      </c>
      <c r="H1924" s="120">
        <v>0</v>
      </c>
      <c r="I1924" s="120">
        <v>0</v>
      </c>
      <c r="J1924" s="120">
        <v>0</v>
      </c>
      <c r="K1924" s="110">
        <v>0</v>
      </c>
      <c r="L1924" s="110"/>
      <c r="M1924" s="110">
        <v>0</v>
      </c>
      <c r="N1924" s="110"/>
      <c r="O1924" s="110"/>
      <c r="P1924" s="110">
        <f t="shared" si="150"/>
        <v>0</v>
      </c>
      <c r="Q1924" s="110">
        <f t="shared" si="151"/>
        <v>0</v>
      </c>
      <c r="R1924" s="110">
        <f t="shared" si="152"/>
        <v>0</v>
      </c>
      <c r="S1924" s="112">
        <v>0</v>
      </c>
    </row>
    <row r="1925" spans="1:19">
      <c r="A1925" s="79"/>
      <c r="B1925" s="77" t="s">
        <v>424</v>
      </c>
      <c r="C1925" s="76" t="s">
        <v>4</v>
      </c>
      <c r="D1925" s="143">
        <v>3</v>
      </c>
      <c r="E1925" s="77"/>
      <c r="F1925" s="334"/>
      <c r="G1925" s="112">
        <v>0</v>
      </c>
      <c r="H1925" s="120">
        <v>0</v>
      </c>
      <c r="I1925" s="120">
        <v>0</v>
      </c>
      <c r="J1925" s="120">
        <v>0</v>
      </c>
      <c r="K1925" s="110">
        <v>0</v>
      </c>
      <c r="L1925" s="110"/>
      <c r="M1925" s="110">
        <v>0</v>
      </c>
      <c r="N1925" s="110"/>
      <c r="O1925" s="110"/>
      <c r="P1925" s="110">
        <f t="shared" si="150"/>
        <v>0</v>
      </c>
      <c r="Q1925" s="110">
        <f t="shared" si="151"/>
        <v>0</v>
      </c>
      <c r="R1925" s="110">
        <f t="shared" si="152"/>
        <v>0</v>
      </c>
      <c r="S1925" s="112">
        <v>0</v>
      </c>
    </row>
    <row r="1926" spans="1:19">
      <c r="A1926" s="79"/>
      <c r="B1926" s="77" t="s">
        <v>14</v>
      </c>
      <c r="C1926" s="76" t="s">
        <v>4</v>
      </c>
      <c r="D1926" s="143">
        <v>3</v>
      </c>
      <c r="E1926" s="77"/>
      <c r="F1926" s="334"/>
      <c r="G1926" s="112">
        <v>0</v>
      </c>
      <c r="H1926" s="120">
        <v>0</v>
      </c>
      <c r="I1926" s="120">
        <v>0</v>
      </c>
      <c r="J1926" s="120">
        <v>0</v>
      </c>
      <c r="K1926" s="110">
        <v>0</v>
      </c>
      <c r="L1926" s="110"/>
      <c r="M1926" s="110">
        <v>0</v>
      </c>
      <c r="N1926" s="110"/>
      <c r="O1926" s="110"/>
      <c r="P1926" s="110">
        <f t="shared" si="150"/>
        <v>0</v>
      </c>
      <c r="Q1926" s="110">
        <f t="shared" si="151"/>
        <v>0</v>
      </c>
      <c r="R1926" s="110">
        <f t="shared" si="152"/>
        <v>0</v>
      </c>
      <c r="S1926" s="112">
        <v>0</v>
      </c>
    </row>
    <row r="1927" spans="1:19">
      <c r="A1927" s="79"/>
      <c r="B1927" s="77" t="s">
        <v>153</v>
      </c>
      <c r="C1927" s="76" t="s">
        <v>4</v>
      </c>
      <c r="D1927" s="143">
        <v>3</v>
      </c>
      <c r="E1927" s="77"/>
      <c r="F1927" s="334"/>
      <c r="G1927" s="112">
        <v>0</v>
      </c>
      <c r="H1927" s="120">
        <v>0</v>
      </c>
      <c r="I1927" s="120">
        <v>0</v>
      </c>
      <c r="J1927" s="120">
        <v>0</v>
      </c>
      <c r="K1927" s="110">
        <v>0</v>
      </c>
      <c r="L1927" s="110"/>
      <c r="M1927" s="110">
        <v>0</v>
      </c>
      <c r="N1927" s="110"/>
      <c r="O1927" s="110"/>
      <c r="P1927" s="110">
        <f t="shared" si="150"/>
        <v>0</v>
      </c>
      <c r="Q1927" s="110">
        <f t="shared" si="151"/>
        <v>0</v>
      </c>
      <c r="R1927" s="110">
        <f t="shared" si="152"/>
        <v>0</v>
      </c>
      <c r="S1927" s="112">
        <v>0</v>
      </c>
    </row>
    <row r="1928" spans="1:19">
      <c r="A1928" s="79"/>
      <c r="B1928" s="77" t="s">
        <v>154</v>
      </c>
      <c r="C1928" s="76"/>
      <c r="D1928" s="143"/>
      <c r="E1928" s="77"/>
      <c r="F1928" s="76"/>
      <c r="G1928" s="112">
        <v>0</v>
      </c>
      <c r="H1928" s="120">
        <v>0</v>
      </c>
      <c r="I1928" s="120">
        <v>0</v>
      </c>
      <c r="J1928" s="120">
        <v>0</v>
      </c>
      <c r="K1928" s="110">
        <v>0</v>
      </c>
      <c r="L1928" s="110"/>
      <c r="M1928" s="110">
        <v>0</v>
      </c>
      <c r="N1928" s="110"/>
      <c r="O1928" s="110"/>
      <c r="P1928" s="110">
        <f t="shared" si="150"/>
        <v>0</v>
      </c>
      <c r="Q1928" s="110">
        <f t="shared" si="151"/>
        <v>0</v>
      </c>
      <c r="R1928" s="110">
        <f t="shared" si="152"/>
        <v>0</v>
      </c>
      <c r="S1928" s="112">
        <v>0</v>
      </c>
    </row>
    <row r="1929" spans="1:19">
      <c r="A1929" s="79"/>
      <c r="B1929" s="77" t="s">
        <v>242</v>
      </c>
      <c r="C1929" s="76" t="s">
        <v>4</v>
      </c>
      <c r="D1929" s="143">
        <v>3</v>
      </c>
      <c r="E1929" s="77"/>
      <c r="F1929" s="334"/>
      <c r="G1929" s="112">
        <v>0</v>
      </c>
      <c r="H1929" s="120">
        <v>0</v>
      </c>
      <c r="I1929" s="120">
        <v>0</v>
      </c>
      <c r="J1929" s="120">
        <v>0</v>
      </c>
      <c r="K1929" s="110">
        <v>0</v>
      </c>
      <c r="L1929" s="110"/>
      <c r="M1929" s="110">
        <v>0</v>
      </c>
      <c r="N1929" s="110"/>
      <c r="O1929" s="110"/>
      <c r="P1929" s="110">
        <f t="shared" si="150"/>
        <v>0</v>
      </c>
      <c r="Q1929" s="110">
        <f t="shared" si="151"/>
        <v>0</v>
      </c>
      <c r="R1929" s="110">
        <f t="shared" si="152"/>
        <v>0</v>
      </c>
      <c r="S1929" s="112">
        <v>0</v>
      </c>
    </row>
    <row r="1930" spans="1:19">
      <c r="A1930" s="79"/>
      <c r="B1930" s="77" t="s">
        <v>259</v>
      </c>
      <c r="C1930" s="76" t="s">
        <v>4</v>
      </c>
      <c r="D1930" s="143">
        <v>3</v>
      </c>
      <c r="E1930" s="77"/>
      <c r="F1930" s="334"/>
      <c r="G1930" s="112">
        <v>0</v>
      </c>
      <c r="H1930" s="120">
        <v>0</v>
      </c>
      <c r="I1930" s="120">
        <v>0</v>
      </c>
      <c r="J1930" s="120">
        <v>0</v>
      </c>
      <c r="K1930" s="110">
        <v>0</v>
      </c>
      <c r="L1930" s="110"/>
      <c r="M1930" s="110">
        <v>0</v>
      </c>
      <c r="N1930" s="110"/>
      <c r="O1930" s="110"/>
      <c r="P1930" s="110">
        <f t="shared" si="150"/>
        <v>0</v>
      </c>
      <c r="Q1930" s="110">
        <f t="shared" si="151"/>
        <v>0</v>
      </c>
      <c r="R1930" s="110">
        <f t="shared" si="152"/>
        <v>0</v>
      </c>
      <c r="S1930" s="112">
        <v>0</v>
      </c>
    </row>
    <row r="1931" spans="1:19">
      <c r="A1931" s="79"/>
      <c r="B1931" s="77" t="s">
        <v>243</v>
      </c>
      <c r="C1931" s="76" t="s">
        <v>4</v>
      </c>
      <c r="D1931" s="143">
        <v>1</v>
      </c>
      <c r="E1931" s="77"/>
      <c r="F1931" s="334"/>
      <c r="G1931" s="112">
        <v>0</v>
      </c>
      <c r="H1931" s="120">
        <v>0</v>
      </c>
      <c r="I1931" s="120">
        <v>0</v>
      </c>
      <c r="J1931" s="120">
        <v>0</v>
      </c>
      <c r="K1931" s="110">
        <v>0</v>
      </c>
      <c r="L1931" s="110"/>
      <c r="M1931" s="110">
        <v>0</v>
      </c>
      <c r="N1931" s="110"/>
      <c r="O1931" s="110"/>
      <c r="P1931" s="110">
        <f t="shared" si="150"/>
        <v>0</v>
      </c>
      <c r="Q1931" s="110">
        <f t="shared" si="151"/>
        <v>0</v>
      </c>
      <c r="R1931" s="110">
        <f t="shared" si="152"/>
        <v>0</v>
      </c>
      <c r="S1931" s="112">
        <v>0</v>
      </c>
    </row>
    <row r="1932" spans="1:19">
      <c r="A1932" s="79"/>
      <c r="B1932" s="77" t="s">
        <v>158</v>
      </c>
      <c r="C1932" s="76" t="s">
        <v>4</v>
      </c>
      <c r="D1932" s="143">
        <v>1</v>
      </c>
      <c r="E1932" s="77"/>
      <c r="F1932" s="334"/>
      <c r="G1932" s="112">
        <v>0</v>
      </c>
      <c r="H1932" s="120">
        <v>0</v>
      </c>
      <c r="I1932" s="120">
        <v>0</v>
      </c>
      <c r="J1932" s="120">
        <v>0</v>
      </c>
      <c r="K1932" s="110">
        <v>0</v>
      </c>
      <c r="L1932" s="110"/>
      <c r="M1932" s="110">
        <v>0</v>
      </c>
      <c r="N1932" s="110"/>
      <c r="O1932" s="110"/>
      <c r="P1932" s="110">
        <f t="shared" si="150"/>
        <v>0</v>
      </c>
      <c r="Q1932" s="110">
        <f t="shared" si="151"/>
        <v>0</v>
      </c>
      <c r="R1932" s="110">
        <f t="shared" si="152"/>
        <v>0</v>
      </c>
      <c r="S1932" s="112">
        <v>0</v>
      </c>
    </row>
    <row r="1933" spans="1:19">
      <c r="A1933" s="79"/>
      <c r="B1933" s="77" t="s">
        <v>426</v>
      </c>
      <c r="C1933" s="76" t="s">
        <v>8</v>
      </c>
      <c r="D1933" s="143">
        <v>2</v>
      </c>
      <c r="E1933" s="77"/>
      <c r="F1933" s="334"/>
      <c r="G1933" s="112">
        <v>0</v>
      </c>
      <c r="H1933" s="120">
        <v>0</v>
      </c>
      <c r="I1933" s="120">
        <v>0</v>
      </c>
      <c r="J1933" s="120">
        <v>0</v>
      </c>
      <c r="K1933" s="110">
        <v>0</v>
      </c>
      <c r="L1933" s="110"/>
      <c r="M1933" s="110">
        <v>0</v>
      </c>
      <c r="N1933" s="110"/>
      <c r="O1933" s="110"/>
      <c r="P1933" s="110">
        <f t="shared" si="150"/>
        <v>0</v>
      </c>
      <c r="Q1933" s="110">
        <f t="shared" si="151"/>
        <v>0</v>
      </c>
      <c r="R1933" s="110">
        <f t="shared" si="152"/>
        <v>0</v>
      </c>
      <c r="S1933" s="112">
        <v>0</v>
      </c>
    </row>
    <row r="1934" spans="1:19">
      <c r="A1934" s="79"/>
      <c r="B1934" s="77" t="s">
        <v>245</v>
      </c>
      <c r="C1934" s="76" t="s">
        <v>4</v>
      </c>
      <c r="D1934" s="143">
        <v>4</v>
      </c>
      <c r="E1934" s="77"/>
      <c r="F1934" s="334"/>
      <c r="G1934" s="112">
        <v>0</v>
      </c>
      <c r="H1934" s="120">
        <v>0</v>
      </c>
      <c r="I1934" s="120">
        <v>0</v>
      </c>
      <c r="J1934" s="120">
        <v>0</v>
      </c>
      <c r="K1934" s="110">
        <v>0</v>
      </c>
      <c r="L1934" s="110"/>
      <c r="M1934" s="110">
        <v>0</v>
      </c>
      <c r="N1934" s="110"/>
      <c r="O1934" s="110"/>
      <c r="P1934" s="110">
        <f t="shared" si="150"/>
        <v>0</v>
      </c>
      <c r="Q1934" s="110">
        <f t="shared" si="151"/>
        <v>0</v>
      </c>
      <c r="R1934" s="110">
        <f t="shared" si="152"/>
        <v>0</v>
      </c>
      <c r="S1934" s="112">
        <v>0</v>
      </c>
    </row>
    <row r="1935" spans="1:19">
      <c r="A1935" s="79"/>
      <c r="B1935" s="77" t="s">
        <v>246</v>
      </c>
      <c r="C1935" s="76" t="s">
        <v>4</v>
      </c>
      <c r="D1935" s="143">
        <v>2</v>
      </c>
      <c r="E1935" s="77"/>
      <c r="F1935" s="334"/>
      <c r="G1935" s="112">
        <v>0</v>
      </c>
      <c r="H1935" s="120">
        <v>0</v>
      </c>
      <c r="I1935" s="120">
        <v>0</v>
      </c>
      <c r="J1935" s="120">
        <v>0</v>
      </c>
      <c r="K1935" s="110">
        <v>0</v>
      </c>
      <c r="L1935" s="110"/>
      <c r="M1935" s="110">
        <v>0</v>
      </c>
      <c r="N1935" s="110"/>
      <c r="O1935" s="110"/>
      <c r="P1935" s="110">
        <f t="shared" si="150"/>
        <v>0</v>
      </c>
      <c r="Q1935" s="110">
        <f t="shared" si="151"/>
        <v>0</v>
      </c>
      <c r="R1935" s="110">
        <f t="shared" si="152"/>
        <v>0</v>
      </c>
      <c r="S1935" s="112">
        <v>0</v>
      </c>
    </row>
    <row r="1936" spans="1:19">
      <c r="A1936" s="79"/>
      <c r="B1936" s="77" t="s">
        <v>173</v>
      </c>
      <c r="C1936" s="76" t="s">
        <v>4</v>
      </c>
      <c r="D1936" s="143">
        <v>1</v>
      </c>
      <c r="E1936" s="77"/>
      <c r="F1936" s="334"/>
      <c r="G1936" s="112">
        <v>0</v>
      </c>
      <c r="H1936" s="120">
        <v>0</v>
      </c>
      <c r="I1936" s="120">
        <v>0</v>
      </c>
      <c r="J1936" s="120">
        <v>0</v>
      </c>
      <c r="K1936" s="110">
        <v>0</v>
      </c>
      <c r="L1936" s="110"/>
      <c r="M1936" s="110">
        <v>0</v>
      </c>
      <c r="N1936" s="110"/>
      <c r="O1936" s="110"/>
      <c r="P1936" s="110">
        <f t="shared" si="150"/>
        <v>0</v>
      </c>
      <c r="Q1936" s="110">
        <f t="shared" si="151"/>
        <v>0</v>
      </c>
      <c r="R1936" s="110">
        <f t="shared" si="152"/>
        <v>0</v>
      </c>
      <c r="S1936" s="112">
        <v>0</v>
      </c>
    </row>
    <row r="1937" spans="1:19">
      <c r="A1937" s="79"/>
      <c r="B1937" s="77" t="s">
        <v>201</v>
      </c>
      <c r="C1937" s="76" t="s">
        <v>4</v>
      </c>
      <c r="D1937" s="143">
        <v>2</v>
      </c>
      <c r="E1937" s="77"/>
      <c r="F1937" s="334"/>
      <c r="G1937" s="112">
        <v>0</v>
      </c>
      <c r="H1937" s="120">
        <v>0</v>
      </c>
      <c r="I1937" s="120">
        <v>0</v>
      </c>
      <c r="J1937" s="120">
        <v>0</v>
      </c>
      <c r="K1937" s="110">
        <v>0</v>
      </c>
      <c r="L1937" s="110"/>
      <c r="M1937" s="110">
        <v>0</v>
      </c>
      <c r="N1937" s="110"/>
      <c r="O1937" s="110"/>
      <c r="P1937" s="110">
        <f t="shared" si="150"/>
        <v>0</v>
      </c>
      <c r="Q1937" s="110">
        <f t="shared" si="151"/>
        <v>0</v>
      </c>
      <c r="R1937" s="110">
        <f t="shared" si="152"/>
        <v>0</v>
      </c>
      <c r="S1937" s="112">
        <v>0</v>
      </c>
    </row>
    <row r="1938" spans="1:19">
      <c r="A1938" s="79"/>
      <c r="B1938" s="77" t="s">
        <v>352</v>
      </c>
      <c r="C1938" s="76" t="s">
        <v>4</v>
      </c>
      <c r="D1938" s="143">
        <v>2</v>
      </c>
      <c r="E1938" s="77"/>
      <c r="F1938" s="334"/>
      <c r="G1938" s="112">
        <v>0</v>
      </c>
      <c r="H1938" s="120">
        <v>0</v>
      </c>
      <c r="I1938" s="120">
        <v>0</v>
      </c>
      <c r="J1938" s="120">
        <v>0</v>
      </c>
      <c r="K1938" s="110">
        <v>0</v>
      </c>
      <c r="L1938" s="110"/>
      <c r="M1938" s="110">
        <v>0</v>
      </c>
      <c r="N1938" s="110"/>
      <c r="O1938" s="110"/>
      <c r="P1938" s="110">
        <f t="shared" si="150"/>
        <v>0</v>
      </c>
      <c r="Q1938" s="110">
        <f t="shared" si="151"/>
        <v>0</v>
      </c>
      <c r="R1938" s="110">
        <f t="shared" si="152"/>
        <v>0</v>
      </c>
      <c r="S1938" s="112">
        <v>0</v>
      </c>
    </row>
    <row r="1939" spans="1:19">
      <c r="A1939" s="79"/>
      <c r="B1939" s="77" t="s">
        <v>175</v>
      </c>
      <c r="C1939" s="76" t="s">
        <v>4</v>
      </c>
      <c r="D1939" s="143">
        <v>2</v>
      </c>
      <c r="E1939" s="77"/>
      <c r="F1939" s="334"/>
      <c r="G1939" s="112">
        <v>0</v>
      </c>
      <c r="H1939" s="120">
        <v>0</v>
      </c>
      <c r="I1939" s="120">
        <v>0</v>
      </c>
      <c r="J1939" s="120">
        <v>0</v>
      </c>
      <c r="K1939" s="110">
        <v>0</v>
      </c>
      <c r="L1939" s="110"/>
      <c r="M1939" s="110">
        <v>0</v>
      </c>
      <c r="N1939" s="110"/>
      <c r="O1939" s="110"/>
      <c r="P1939" s="110">
        <f t="shared" si="150"/>
        <v>0</v>
      </c>
      <c r="Q1939" s="110">
        <f t="shared" si="151"/>
        <v>0</v>
      </c>
      <c r="R1939" s="110">
        <f t="shared" si="152"/>
        <v>0</v>
      </c>
      <c r="S1939" s="112">
        <v>0</v>
      </c>
    </row>
    <row r="1940" spans="1:19">
      <c r="A1940" s="79"/>
      <c r="B1940" s="77" t="s">
        <v>202</v>
      </c>
      <c r="C1940" s="76" t="s">
        <v>4</v>
      </c>
      <c r="D1940" s="143">
        <v>2</v>
      </c>
      <c r="E1940" s="77"/>
      <c r="F1940" s="334"/>
      <c r="G1940" s="112">
        <v>0</v>
      </c>
      <c r="H1940" s="120">
        <v>0</v>
      </c>
      <c r="I1940" s="120">
        <v>0</v>
      </c>
      <c r="J1940" s="120">
        <v>0</v>
      </c>
      <c r="K1940" s="110">
        <v>0</v>
      </c>
      <c r="L1940" s="110"/>
      <c r="M1940" s="110">
        <v>0</v>
      </c>
      <c r="N1940" s="110"/>
      <c r="O1940" s="110"/>
      <c r="P1940" s="110">
        <f t="shared" si="150"/>
        <v>0</v>
      </c>
      <c r="Q1940" s="110">
        <f t="shared" si="151"/>
        <v>0</v>
      </c>
      <c r="R1940" s="110">
        <f t="shared" si="152"/>
        <v>0</v>
      </c>
      <c r="S1940" s="112">
        <v>0</v>
      </c>
    </row>
    <row r="1941" spans="1:19">
      <c r="A1941" s="79"/>
      <c r="B1941" s="77" t="s">
        <v>176</v>
      </c>
      <c r="C1941" s="76" t="s">
        <v>4</v>
      </c>
      <c r="D1941" s="143">
        <v>4</v>
      </c>
      <c r="E1941" s="77"/>
      <c r="F1941" s="334"/>
      <c r="G1941" s="112">
        <v>0</v>
      </c>
      <c r="H1941" s="120">
        <v>0</v>
      </c>
      <c r="I1941" s="120">
        <v>0</v>
      </c>
      <c r="J1941" s="120">
        <v>0</v>
      </c>
      <c r="K1941" s="110">
        <v>0</v>
      </c>
      <c r="L1941" s="110"/>
      <c r="M1941" s="110">
        <v>0</v>
      </c>
      <c r="N1941" s="110"/>
      <c r="O1941" s="110"/>
      <c r="P1941" s="110">
        <f t="shared" si="150"/>
        <v>0</v>
      </c>
      <c r="Q1941" s="110">
        <f t="shared" si="151"/>
        <v>0</v>
      </c>
      <c r="R1941" s="110">
        <f t="shared" si="152"/>
        <v>0</v>
      </c>
      <c r="S1941" s="112">
        <v>0</v>
      </c>
    </row>
    <row r="1942" spans="1:19">
      <c r="A1942" s="79"/>
      <c r="B1942" s="77" t="s">
        <v>161</v>
      </c>
      <c r="C1942" s="76" t="s">
        <v>4</v>
      </c>
      <c r="D1942" s="143">
        <v>2</v>
      </c>
      <c r="E1942" s="77"/>
      <c r="F1942" s="334"/>
      <c r="G1942" s="112">
        <v>0</v>
      </c>
      <c r="H1942" s="120">
        <v>0</v>
      </c>
      <c r="I1942" s="120">
        <v>0</v>
      </c>
      <c r="J1942" s="120">
        <v>0</v>
      </c>
      <c r="K1942" s="110">
        <v>0</v>
      </c>
      <c r="L1942" s="110"/>
      <c r="M1942" s="110">
        <v>0</v>
      </c>
      <c r="N1942" s="110"/>
      <c r="O1942" s="110"/>
      <c r="P1942" s="110">
        <f t="shared" si="150"/>
        <v>0</v>
      </c>
      <c r="Q1942" s="110">
        <f t="shared" si="151"/>
        <v>0</v>
      </c>
      <c r="R1942" s="110">
        <f t="shared" si="152"/>
        <v>0</v>
      </c>
      <c r="S1942" s="112">
        <v>0</v>
      </c>
    </row>
    <row r="1943" spans="1:19">
      <c r="A1943" s="79"/>
      <c r="B1943" s="77" t="s">
        <v>177</v>
      </c>
      <c r="C1943" s="76" t="s">
        <v>17</v>
      </c>
      <c r="D1943" s="143">
        <v>1</v>
      </c>
      <c r="E1943" s="77"/>
      <c r="F1943" s="334"/>
      <c r="G1943" s="112">
        <v>0</v>
      </c>
      <c r="H1943" s="120">
        <v>0</v>
      </c>
      <c r="I1943" s="120">
        <v>0</v>
      </c>
      <c r="J1943" s="120">
        <v>0</v>
      </c>
      <c r="K1943" s="110">
        <v>0</v>
      </c>
      <c r="L1943" s="110"/>
      <c r="M1943" s="110">
        <v>0</v>
      </c>
      <c r="N1943" s="110"/>
      <c r="O1943" s="110"/>
      <c r="P1943" s="110">
        <f t="shared" si="150"/>
        <v>0</v>
      </c>
      <c r="Q1943" s="110">
        <f t="shared" si="151"/>
        <v>0</v>
      </c>
      <c r="R1943" s="110">
        <f t="shared" si="152"/>
        <v>0</v>
      </c>
      <c r="S1943" s="112">
        <v>0</v>
      </c>
    </row>
    <row r="1944" spans="1:19">
      <c r="A1944" s="79"/>
      <c r="B1944" s="77" t="s">
        <v>351</v>
      </c>
      <c r="C1944" s="76" t="s">
        <v>8</v>
      </c>
      <c r="D1944" s="143">
        <v>1</v>
      </c>
      <c r="E1944" s="77"/>
      <c r="F1944" s="334"/>
      <c r="G1944" s="112">
        <v>0</v>
      </c>
      <c r="H1944" s="120">
        <v>0</v>
      </c>
      <c r="I1944" s="120">
        <v>0</v>
      </c>
      <c r="J1944" s="120">
        <v>0</v>
      </c>
      <c r="K1944" s="110">
        <v>0</v>
      </c>
      <c r="L1944" s="110"/>
      <c r="M1944" s="110">
        <v>0</v>
      </c>
      <c r="N1944" s="110"/>
      <c r="O1944" s="110"/>
      <c r="P1944" s="110">
        <f t="shared" si="150"/>
        <v>0</v>
      </c>
      <c r="Q1944" s="110">
        <f t="shared" si="151"/>
        <v>0</v>
      </c>
      <c r="R1944" s="110">
        <f t="shared" si="152"/>
        <v>0</v>
      </c>
      <c r="S1944" s="112">
        <v>0</v>
      </c>
    </row>
    <row r="1945" spans="1:19">
      <c r="A1945" s="79"/>
      <c r="B1945" s="77" t="s">
        <v>245</v>
      </c>
      <c r="C1945" s="76" t="s">
        <v>4</v>
      </c>
      <c r="D1945" s="143">
        <v>2</v>
      </c>
      <c r="E1945" s="77"/>
      <c r="F1945" s="334"/>
      <c r="G1945" s="112">
        <v>0</v>
      </c>
      <c r="H1945" s="120">
        <v>0</v>
      </c>
      <c r="I1945" s="120">
        <v>0</v>
      </c>
      <c r="J1945" s="120">
        <v>0</v>
      </c>
      <c r="K1945" s="110">
        <v>0</v>
      </c>
      <c r="L1945" s="110"/>
      <c r="M1945" s="110">
        <v>0</v>
      </c>
      <c r="N1945" s="110"/>
      <c r="O1945" s="110"/>
      <c r="P1945" s="110">
        <f t="shared" si="150"/>
        <v>0</v>
      </c>
      <c r="Q1945" s="110">
        <f t="shared" si="151"/>
        <v>0</v>
      </c>
      <c r="R1945" s="110">
        <f t="shared" si="152"/>
        <v>0</v>
      </c>
      <c r="S1945" s="112">
        <v>0</v>
      </c>
    </row>
    <row r="1946" spans="1:19">
      <c r="A1946" s="79"/>
      <c r="B1946" s="77" t="s">
        <v>246</v>
      </c>
      <c r="C1946" s="76" t="s">
        <v>4</v>
      </c>
      <c r="D1946" s="143">
        <v>1</v>
      </c>
      <c r="E1946" s="77"/>
      <c r="F1946" s="334"/>
      <c r="G1946" s="112">
        <v>0</v>
      </c>
      <c r="H1946" s="120">
        <v>0</v>
      </c>
      <c r="I1946" s="120">
        <v>0</v>
      </c>
      <c r="J1946" s="120">
        <v>0</v>
      </c>
      <c r="K1946" s="110">
        <v>0</v>
      </c>
      <c r="L1946" s="110"/>
      <c r="M1946" s="110">
        <v>0</v>
      </c>
      <c r="N1946" s="110"/>
      <c r="O1946" s="110"/>
      <c r="P1946" s="110">
        <f t="shared" si="150"/>
        <v>0</v>
      </c>
      <c r="Q1946" s="110">
        <f t="shared" si="151"/>
        <v>0</v>
      </c>
      <c r="R1946" s="110">
        <f t="shared" si="152"/>
        <v>0</v>
      </c>
      <c r="S1946" s="112">
        <v>0</v>
      </c>
    </row>
    <row r="1947" spans="1:19">
      <c r="A1947" s="79"/>
      <c r="B1947" s="77" t="s">
        <v>173</v>
      </c>
      <c r="C1947" s="76" t="s">
        <v>4</v>
      </c>
      <c r="D1947" s="143">
        <v>1</v>
      </c>
      <c r="E1947" s="77"/>
      <c r="F1947" s="334"/>
      <c r="G1947" s="112">
        <v>0</v>
      </c>
      <c r="H1947" s="120">
        <v>0</v>
      </c>
      <c r="I1947" s="120">
        <v>0</v>
      </c>
      <c r="J1947" s="120">
        <v>0</v>
      </c>
      <c r="K1947" s="110">
        <v>0</v>
      </c>
      <c r="L1947" s="110"/>
      <c r="M1947" s="110">
        <v>0</v>
      </c>
      <c r="N1947" s="110"/>
      <c r="O1947" s="110"/>
      <c r="P1947" s="110">
        <f t="shared" si="150"/>
        <v>0</v>
      </c>
      <c r="Q1947" s="110">
        <f t="shared" si="151"/>
        <v>0</v>
      </c>
      <c r="R1947" s="110">
        <f t="shared" si="152"/>
        <v>0</v>
      </c>
      <c r="S1947" s="112">
        <v>0</v>
      </c>
    </row>
    <row r="1948" spans="1:19">
      <c r="A1948" s="79"/>
      <c r="B1948" s="77" t="s">
        <v>201</v>
      </c>
      <c r="C1948" s="76" t="s">
        <v>4</v>
      </c>
      <c r="D1948" s="143">
        <v>1</v>
      </c>
      <c r="E1948" s="77"/>
      <c r="F1948" s="334"/>
      <c r="G1948" s="112">
        <v>0</v>
      </c>
      <c r="H1948" s="120">
        <v>0</v>
      </c>
      <c r="I1948" s="120">
        <v>0</v>
      </c>
      <c r="J1948" s="120">
        <v>0</v>
      </c>
      <c r="K1948" s="110">
        <v>0</v>
      </c>
      <c r="L1948" s="110"/>
      <c r="M1948" s="110">
        <v>0</v>
      </c>
      <c r="N1948" s="110"/>
      <c r="O1948" s="110"/>
      <c r="P1948" s="110">
        <f t="shared" si="150"/>
        <v>0</v>
      </c>
      <c r="Q1948" s="110">
        <f t="shared" si="151"/>
        <v>0</v>
      </c>
      <c r="R1948" s="110">
        <f t="shared" si="152"/>
        <v>0</v>
      </c>
      <c r="S1948" s="112">
        <v>0</v>
      </c>
    </row>
    <row r="1949" spans="1:19">
      <c r="A1949" s="79"/>
      <c r="B1949" s="77" t="s">
        <v>352</v>
      </c>
      <c r="C1949" s="76" t="s">
        <v>4</v>
      </c>
      <c r="D1949" s="143">
        <v>1</v>
      </c>
      <c r="E1949" s="59"/>
      <c r="F1949" s="334"/>
      <c r="G1949" s="112">
        <v>0</v>
      </c>
      <c r="H1949" s="120">
        <v>0</v>
      </c>
      <c r="I1949" s="120">
        <v>0</v>
      </c>
      <c r="J1949" s="120">
        <v>0</v>
      </c>
      <c r="K1949" s="110">
        <v>0</v>
      </c>
      <c r="L1949" s="110"/>
      <c r="M1949" s="110">
        <v>0</v>
      </c>
      <c r="N1949" s="110"/>
      <c r="O1949" s="110"/>
      <c r="P1949" s="110">
        <f t="shared" si="150"/>
        <v>0</v>
      </c>
      <c r="Q1949" s="110">
        <f t="shared" si="151"/>
        <v>0</v>
      </c>
      <c r="R1949" s="110">
        <f t="shared" si="152"/>
        <v>0</v>
      </c>
      <c r="S1949" s="112">
        <v>0</v>
      </c>
    </row>
    <row r="1950" spans="1:19">
      <c r="A1950" s="79"/>
      <c r="B1950" s="77" t="s">
        <v>175</v>
      </c>
      <c r="C1950" s="76" t="s">
        <v>4</v>
      </c>
      <c r="D1950" s="143">
        <v>1</v>
      </c>
      <c r="E1950" s="77"/>
      <c r="F1950" s="334"/>
      <c r="G1950" s="112">
        <v>0</v>
      </c>
      <c r="H1950" s="120">
        <v>0</v>
      </c>
      <c r="I1950" s="120">
        <v>0</v>
      </c>
      <c r="J1950" s="120">
        <v>0</v>
      </c>
      <c r="K1950" s="110">
        <v>0</v>
      </c>
      <c r="L1950" s="110"/>
      <c r="M1950" s="110">
        <v>0</v>
      </c>
      <c r="N1950" s="110"/>
      <c r="O1950" s="110"/>
      <c r="P1950" s="110">
        <f t="shared" si="150"/>
        <v>0</v>
      </c>
      <c r="Q1950" s="110">
        <f t="shared" si="151"/>
        <v>0</v>
      </c>
      <c r="R1950" s="110">
        <f t="shared" si="152"/>
        <v>0</v>
      </c>
      <c r="S1950" s="112">
        <v>0</v>
      </c>
    </row>
    <row r="1951" spans="1:19">
      <c r="A1951" s="79"/>
      <c r="B1951" s="77" t="s">
        <v>202</v>
      </c>
      <c r="C1951" s="76" t="s">
        <v>4</v>
      </c>
      <c r="D1951" s="143">
        <v>1</v>
      </c>
      <c r="E1951" s="77"/>
      <c r="F1951" s="334"/>
      <c r="G1951" s="112">
        <v>0</v>
      </c>
      <c r="H1951" s="120">
        <v>0</v>
      </c>
      <c r="I1951" s="120">
        <v>0</v>
      </c>
      <c r="J1951" s="120">
        <v>0</v>
      </c>
      <c r="K1951" s="110">
        <v>0</v>
      </c>
      <c r="L1951" s="110"/>
      <c r="M1951" s="110">
        <v>0</v>
      </c>
      <c r="N1951" s="110"/>
      <c r="O1951" s="110"/>
      <c r="P1951" s="110">
        <f t="shared" si="150"/>
        <v>0</v>
      </c>
      <c r="Q1951" s="110">
        <f t="shared" si="151"/>
        <v>0</v>
      </c>
      <c r="R1951" s="110">
        <f t="shared" si="152"/>
        <v>0</v>
      </c>
      <c r="S1951" s="112">
        <v>0</v>
      </c>
    </row>
    <row r="1952" spans="1:19">
      <c r="A1952" s="79"/>
      <c r="B1952" s="77" t="s">
        <v>176</v>
      </c>
      <c r="C1952" s="76" t="s">
        <v>4</v>
      </c>
      <c r="D1952" s="143">
        <v>2</v>
      </c>
      <c r="E1952" s="77"/>
      <c r="F1952" s="334"/>
      <c r="G1952" s="112">
        <v>0</v>
      </c>
      <c r="H1952" s="120">
        <v>0</v>
      </c>
      <c r="I1952" s="120">
        <v>0</v>
      </c>
      <c r="J1952" s="120">
        <v>0</v>
      </c>
      <c r="K1952" s="110">
        <v>0</v>
      </c>
      <c r="L1952" s="110"/>
      <c r="M1952" s="110">
        <v>0</v>
      </c>
      <c r="N1952" s="110"/>
      <c r="O1952" s="110"/>
      <c r="P1952" s="110">
        <f t="shared" si="150"/>
        <v>0</v>
      </c>
      <c r="Q1952" s="110">
        <f t="shared" si="151"/>
        <v>0</v>
      </c>
      <c r="R1952" s="110">
        <f t="shared" si="152"/>
        <v>0</v>
      </c>
      <c r="S1952" s="112">
        <v>0</v>
      </c>
    </row>
    <row r="1953" spans="1:19">
      <c r="A1953" s="79"/>
      <c r="B1953" s="77" t="s">
        <v>161</v>
      </c>
      <c r="C1953" s="76" t="s">
        <v>4</v>
      </c>
      <c r="D1953" s="143">
        <v>1</v>
      </c>
      <c r="E1953" s="77"/>
      <c r="F1953" s="334"/>
      <c r="G1953" s="112">
        <v>0</v>
      </c>
      <c r="H1953" s="120">
        <v>0</v>
      </c>
      <c r="I1953" s="120">
        <v>0</v>
      </c>
      <c r="J1953" s="120">
        <v>0</v>
      </c>
      <c r="K1953" s="110">
        <v>0</v>
      </c>
      <c r="L1953" s="110"/>
      <c r="M1953" s="110">
        <v>0</v>
      </c>
      <c r="N1953" s="110"/>
      <c r="O1953" s="110"/>
      <c r="P1953" s="110">
        <f t="shared" si="150"/>
        <v>0</v>
      </c>
      <c r="Q1953" s="110">
        <f t="shared" si="151"/>
        <v>0</v>
      </c>
      <c r="R1953" s="110">
        <f t="shared" si="152"/>
        <v>0</v>
      </c>
      <c r="S1953" s="112">
        <v>0</v>
      </c>
    </row>
    <row r="1954" spans="1:19">
      <c r="A1954" s="79"/>
      <c r="B1954" s="77" t="s">
        <v>177</v>
      </c>
      <c r="C1954" s="76" t="s">
        <v>17</v>
      </c>
      <c r="D1954" s="143">
        <v>1</v>
      </c>
      <c r="E1954" s="77"/>
      <c r="F1954" s="334"/>
      <c r="G1954" s="112">
        <v>0</v>
      </c>
      <c r="H1954" s="120">
        <v>0</v>
      </c>
      <c r="I1954" s="120">
        <v>0</v>
      </c>
      <c r="J1954" s="120">
        <v>0</v>
      </c>
      <c r="K1954" s="110">
        <v>0</v>
      </c>
      <c r="L1954" s="110"/>
      <c r="M1954" s="110">
        <v>0</v>
      </c>
      <c r="N1954" s="110"/>
      <c r="O1954" s="110"/>
      <c r="P1954" s="110">
        <f t="shared" si="150"/>
        <v>0</v>
      </c>
      <c r="Q1954" s="110">
        <f t="shared" si="151"/>
        <v>0</v>
      </c>
      <c r="R1954" s="110">
        <f t="shared" si="152"/>
        <v>0</v>
      </c>
      <c r="S1954" s="112">
        <v>0</v>
      </c>
    </row>
    <row r="1955" spans="1:19">
      <c r="A1955" s="79"/>
      <c r="B1955" s="77" t="s">
        <v>427</v>
      </c>
      <c r="C1955" s="76" t="s">
        <v>8</v>
      </c>
      <c r="D1955" s="143">
        <v>3</v>
      </c>
      <c r="E1955" s="77"/>
      <c r="F1955" s="334"/>
      <c r="G1955" s="112">
        <v>0</v>
      </c>
      <c r="H1955" s="120">
        <v>0</v>
      </c>
      <c r="I1955" s="120">
        <v>0</v>
      </c>
      <c r="J1955" s="120">
        <v>0</v>
      </c>
      <c r="K1955" s="110">
        <v>0</v>
      </c>
      <c r="L1955" s="110"/>
      <c r="M1955" s="110">
        <v>0</v>
      </c>
      <c r="N1955" s="110"/>
      <c r="O1955" s="110"/>
      <c r="P1955" s="110">
        <f t="shared" si="150"/>
        <v>0</v>
      </c>
      <c r="Q1955" s="110">
        <f t="shared" si="151"/>
        <v>0</v>
      </c>
      <c r="R1955" s="110">
        <f t="shared" si="152"/>
        <v>0</v>
      </c>
      <c r="S1955" s="112">
        <v>0</v>
      </c>
    </row>
    <row r="1956" spans="1:19">
      <c r="A1956" s="79"/>
      <c r="B1956" s="77" t="s">
        <v>187</v>
      </c>
      <c r="C1956" s="76" t="s">
        <v>4</v>
      </c>
      <c r="D1956" s="143">
        <v>6</v>
      </c>
      <c r="E1956" s="77"/>
      <c r="F1956" s="334"/>
      <c r="G1956" s="112">
        <v>0</v>
      </c>
      <c r="H1956" s="120">
        <v>0</v>
      </c>
      <c r="I1956" s="120">
        <v>0</v>
      </c>
      <c r="J1956" s="120">
        <v>0</v>
      </c>
      <c r="K1956" s="110">
        <v>0</v>
      </c>
      <c r="L1956" s="110"/>
      <c r="M1956" s="110">
        <v>0</v>
      </c>
      <c r="N1956" s="110"/>
      <c r="O1956" s="110"/>
      <c r="P1956" s="110">
        <f t="shared" si="150"/>
        <v>0</v>
      </c>
      <c r="Q1956" s="110">
        <f t="shared" si="151"/>
        <v>0</v>
      </c>
      <c r="R1956" s="110">
        <f t="shared" si="152"/>
        <v>0</v>
      </c>
      <c r="S1956" s="112">
        <v>0</v>
      </c>
    </row>
    <row r="1957" spans="1:19">
      <c r="A1957" s="79"/>
      <c r="B1957" s="77" t="s">
        <v>196</v>
      </c>
      <c r="C1957" s="76" t="s">
        <v>4</v>
      </c>
      <c r="D1957" s="143">
        <v>3</v>
      </c>
      <c r="E1957" s="77"/>
      <c r="F1957" s="334"/>
      <c r="G1957" s="112">
        <v>0</v>
      </c>
      <c r="H1957" s="120">
        <v>0</v>
      </c>
      <c r="I1957" s="120">
        <v>0</v>
      </c>
      <c r="J1957" s="120">
        <v>0</v>
      </c>
      <c r="K1957" s="110">
        <v>0</v>
      </c>
      <c r="L1957" s="110"/>
      <c r="M1957" s="110">
        <v>0</v>
      </c>
      <c r="N1957" s="110"/>
      <c r="O1957" s="110"/>
      <c r="P1957" s="110">
        <f t="shared" si="150"/>
        <v>0</v>
      </c>
      <c r="Q1957" s="110">
        <f t="shared" si="151"/>
        <v>0</v>
      </c>
      <c r="R1957" s="110">
        <f t="shared" si="152"/>
        <v>0</v>
      </c>
      <c r="S1957" s="112">
        <v>0</v>
      </c>
    </row>
    <row r="1958" spans="1:19">
      <c r="A1958" s="79"/>
      <c r="B1958" s="77" t="s">
        <v>173</v>
      </c>
      <c r="C1958" s="76" t="s">
        <v>4</v>
      </c>
      <c r="D1958" s="143">
        <v>5</v>
      </c>
      <c r="E1958" s="77"/>
      <c r="F1958" s="334"/>
      <c r="G1958" s="112">
        <v>0</v>
      </c>
      <c r="H1958" s="120">
        <v>0</v>
      </c>
      <c r="I1958" s="120">
        <v>0</v>
      </c>
      <c r="J1958" s="120">
        <v>0</v>
      </c>
      <c r="K1958" s="110">
        <v>0</v>
      </c>
      <c r="L1958" s="110"/>
      <c r="M1958" s="110">
        <v>0</v>
      </c>
      <c r="N1958" s="110"/>
      <c r="O1958" s="110"/>
      <c r="P1958" s="110">
        <f t="shared" si="150"/>
        <v>0</v>
      </c>
      <c r="Q1958" s="110">
        <f t="shared" si="151"/>
        <v>0</v>
      </c>
      <c r="R1958" s="110">
        <f t="shared" si="152"/>
        <v>0</v>
      </c>
      <c r="S1958" s="112">
        <v>0</v>
      </c>
    </row>
    <row r="1959" spans="1:19">
      <c r="A1959" s="79"/>
      <c r="B1959" s="77" t="s">
        <v>201</v>
      </c>
      <c r="C1959" s="76" t="s">
        <v>4</v>
      </c>
      <c r="D1959" s="143">
        <v>3</v>
      </c>
      <c r="E1959" s="77"/>
      <c r="F1959" s="334"/>
      <c r="G1959" s="112">
        <v>0</v>
      </c>
      <c r="H1959" s="120">
        <v>0</v>
      </c>
      <c r="I1959" s="120">
        <v>0</v>
      </c>
      <c r="J1959" s="120">
        <v>0</v>
      </c>
      <c r="K1959" s="110">
        <v>0</v>
      </c>
      <c r="L1959" s="110"/>
      <c r="M1959" s="110">
        <v>0</v>
      </c>
      <c r="N1959" s="110"/>
      <c r="O1959" s="110"/>
      <c r="P1959" s="110">
        <f t="shared" si="150"/>
        <v>0</v>
      </c>
      <c r="Q1959" s="110">
        <f t="shared" si="151"/>
        <v>0</v>
      </c>
      <c r="R1959" s="110">
        <f t="shared" si="152"/>
        <v>0</v>
      </c>
      <c r="S1959" s="112">
        <v>0</v>
      </c>
    </row>
    <row r="1960" spans="1:19">
      <c r="A1960" s="79"/>
      <c r="B1960" s="77" t="s">
        <v>428</v>
      </c>
      <c r="C1960" s="76" t="s">
        <v>4</v>
      </c>
      <c r="D1960" s="143">
        <v>3</v>
      </c>
      <c r="E1960" s="77"/>
      <c r="F1960" s="334"/>
      <c r="G1960" s="112">
        <v>0</v>
      </c>
      <c r="H1960" s="120">
        <v>0</v>
      </c>
      <c r="I1960" s="120">
        <v>0</v>
      </c>
      <c r="J1960" s="120">
        <v>0</v>
      </c>
      <c r="K1960" s="110">
        <v>0</v>
      </c>
      <c r="L1960" s="110"/>
      <c r="M1960" s="110">
        <v>0</v>
      </c>
      <c r="N1960" s="110"/>
      <c r="O1960" s="110"/>
      <c r="P1960" s="110">
        <f t="shared" si="150"/>
        <v>0</v>
      </c>
      <c r="Q1960" s="110">
        <f t="shared" si="151"/>
        <v>0</v>
      </c>
      <c r="R1960" s="110">
        <f t="shared" si="152"/>
        <v>0</v>
      </c>
      <c r="S1960" s="112">
        <v>0</v>
      </c>
    </row>
    <row r="1961" spans="1:19">
      <c r="A1961" s="79"/>
      <c r="B1961" s="77" t="s">
        <v>175</v>
      </c>
      <c r="C1961" s="76" t="s">
        <v>4</v>
      </c>
      <c r="D1961" s="143">
        <v>3</v>
      </c>
      <c r="E1961" s="77"/>
      <c r="F1961" s="334"/>
      <c r="G1961" s="112">
        <v>0</v>
      </c>
      <c r="H1961" s="120">
        <v>0</v>
      </c>
      <c r="I1961" s="120">
        <v>0</v>
      </c>
      <c r="J1961" s="120">
        <v>0</v>
      </c>
      <c r="K1961" s="110">
        <v>0</v>
      </c>
      <c r="L1961" s="110"/>
      <c r="M1961" s="110">
        <v>0</v>
      </c>
      <c r="N1961" s="110"/>
      <c r="O1961" s="110"/>
      <c r="P1961" s="110">
        <f t="shared" si="150"/>
        <v>0</v>
      </c>
      <c r="Q1961" s="110">
        <f t="shared" si="151"/>
        <v>0</v>
      </c>
      <c r="R1961" s="110">
        <f t="shared" si="152"/>
        <v>0</v>
      </c>
      <c r="S1961" s="112">
        <v>0</v>
      </c>
    </row>
    <row r="1962" spans="1:19">
      <c r="A1962" s="79"/>
      <c r="B1962" s="77" t="s">
        <v>202</v>
      </c>
      <c r="C1962" s="76" t="s">
        <v>4</v>
      </c>
      <c r="D1962" s="143">
        <v>3</v>
      </c>
      <c r="E1962" s="77"/>
      <c r="F1962" s="334"/>
      <c r="G1962" s="112">
        <v>0</v>
      </c>
      <c r="H1962" s="120">
        <v>0</v>
      </c>
      <c r="I1962" s="120">
        <v>0</v>
      </c>
      <c r="J1962" s="120">
        <v>0</v>
      </c>
      <c r="K1962" s="110">
        <v>0</v>
      </c>
      <c r="L1962" s="110"/>
      <c r="M1962" s="110">
        <v>0</v>
      </c>
      <c r="N1962" s="110"/>
      <c r="O1962" s="110"/>
      <c r="P1962" s="110">
        <f t="shared" si="150"/>
        <v>0</v>
      </c>
      <c r="Q1962" s="110">
        <f t="shared" si="151"/>
        <v>0</v>
      </c>
      <c r="R1962" s="110">
        <f t="shared" si="152"/>
        <v>0</v>
      </c>
      <c r="S1962" s="112">
        <v>0</v>
      </c>
    </row>
    <row r="1963" spans="1:19">
      <c r="A1963" s="79"/>
      <c r="B1963" s="77" t="s">
        <v>176</v>
      </c>
      <c r="C1963" s="76" t="s">
        <v>4</v>
      </c>
      <c r="D1963" s="143">
        <v>6</v>
      </c>
      <c r="E1963" s="77"/>
      <c r="F1963" s="334"/>
      <c r="G1963" s="112">
        <v>0</v>
      </c>
      <c r="H1963" s="120">
        <v>0</v>
      </c>
      <c r="I1963" s="120">
        <v>0</v>
      </c>
      <c r="J1963" s="120">
        <v>0</v>
      </c>
      <c r="K1963" s="110">
        <v>0</v>
      </c>
      <c r="L1963" s="110"/>
      <c r="M1963" s="110">
        <v>0</v>
      </c>
      <c r="N1963" s="110"/>
      <c r="O1963" s="110"/>
      <c r="P1963" s="110">
        <f t="shared" si="150"/>
        <v>0</v>
      </c>
      <c r="Q1963" s="110">
        <f t="shared" si="151"/>
        <v>0</v>
      </c>
      <c r="R1963" s="110">
        <f t="shared" si="152"/>
        <v>0</v>
      </c>
      <c r="S1963" s="112">
        <v>0</v>
      </c>
    </row>
    <row r="1964" spans="1:19">
      <c r="A1964" s="79"/>
      <c r="B1964" s="77" t="s">
        <v>161</v>
      </c>
      <c r="C1964" s="76" t="s">
        <v>4</v>
      </c>
      <c r="D1964" s="143">
        <v>3</v>
      </c>
      <c r="E1964" s="77"/>
      <c r="F1964" s="334"/>
      <c r="G1964" s="112">
        <v>0</v>
      </c>
      <c r="H1964" s="120">
        <v>0</v>
      </c>
      <c r="I1964" s="120">
        <v>0</v>
      </c>
      <c r="J1964" s="120">
        <v>0</v>
      </c>
      <c r="K1964" s="110">
        <v>0</v>
      </c>
      <c r="L1964" s="110"/>
      <c r="M1964" s="110">
        <v>0</v>
      </c>
      <c r="N1964" s="110"/>
      <c r="O1964" s="110"/>
      <c r="P1964" s="110">
        <f t="shared" si="150"/>
        <v>0</v>
      </c>
      <c r="Q1964" s="110">
        <f t="shared" si="151"/>
        <v>0</v>
      </c>
      <c r="R1964" s="110">
        <f t="shared" si="152"/>
        <v>0</v>
      </c>
      <c r="S1964" s="112">
        <v>0</v>
      </c>
    </row>
    <row r="1965" spans="1:19">
      <c r="A1965" s="79"/>
      <c r="B1965" s="77" t="s">
        <v>177</v>
      </c>
      <c r="C1965" s="76" t="s">
        <v>17</v>
      </c>
      <c r="D1965" s="143">
        <v>1</v>
      </c>
      <c r="E1965" s="77"/>
      <c r="F1965" s="334"/>
      <c r="G1965" s="112">
        <v>0</v>
      </c>
      <c r="H1965" s="120">
        <v>0</v>
      </c>
      <c r="I1965" s="120">
        <v>0</v>
      </c>
      <c r="J1965" s="120">
        <v>0</v>
      </c>
      <c r="K1965" s="110">
        <v>0</v>
      </c>
      <c r="L1965" s="110"/>
      <c r="M1965" s="110">
        <v>0</v>
      </c>
      <c r="N1965" s="110"/>
      <c r="O1965" s="110"/>
      <c r="P1965" s="110">
        <f t="shared" si="150"/>
        <v>0</v>
      </c>
      <c r="Q1965" s="110">
        <f t="shared" si="151"/>
        <v>0</v>
      </c>
      <c r="R1965" s="110">
        <f t="shared" si="152"/>
        <v>0</v>
      </c>
      <c r="S1965" s="112">
        <v>0</v>
      </c>
    </row>
    <row r="1966" spans="1:19">
      <c r="A1966" s="79"/>
      <c r="B1966" s="77" t="s">
        <v>365</v>
      </c>
      <c r="C1966" s="76" t="s">
        <v>8</v>
      </c>
      <c r="D1966" s="143">
        <v>1</v>
      </c>
      <c r="E1966" s="77"/>
      <c r="F1966" s="334"/>
      <c r="G1966" s="112">
        <v>0</v>
      </c>
      <c r="H1966" s="120">
        <v>0</v>
      </c>
      <c r="I1966" s="120">
        <v>0</v>
      </c>
      <c r="J1966" s="120">
        <v>0</v>
      </c>
      <c r="K1966" s="110">
        <v>0</v>
      </c>
      <c r="L1966" s="110"/>
      <c r="M1966" s="110">
        <v>0</v>
      </c>
      <c r="N1966" s="110"/>
      <c r="O1966" s="110"/>
      <c r="P1966" s="110">
        <f t="shared" si="150"/>
        <v>0</v>
      </c>
      <c r="Q1966" s="110">
        <f t="shared" si="151"/>
        <v>0</v>
      </c>
      <c r="R1966" s="110">
        <f t="shared" si="152"/>
        <v>0</v>
      </c>
      <c r="S1966" s="112">
        <v>0</v>
      </c>
    </row>
    <row r="1967" spans="1:19">
      <c r="A1967" s="79"/>
      <c r="B1967" s="77" t="s">
        <v>196</v>
      </c>
      <c r="C1967" s="76" t="s">
        <v>4</v>
      </c>
      <c r="D1967" s="143">
        <v>1</v>
      </c>
      <c r="E1967" s="77"/>
      <c r="F1967" s="334"/>
      <c r="G1967" s="112">
        <v>0</v>
      </c>
      <c r="H1967" s="120">
        <v>0</v>
      </c>
      <c r="I1967" s="120">
        <v>0</v>
      </c>
      <c r="J1967" s="120">
        <v>0</v>
      </c>
      <c r="K1967" s="110">
        <v>0</v>
      </c>
      <c r="L1967" s="110"/>
      <c r="M1967" s="110">
        <v>0</v>
      </c>
      <c r="N1967" s="110"/>
      <c r="O1967" s="110"/>
      <c r="P1967" s="110">
        <f t="shared" si="150"/>
        <v>0</v>
      </c>
      <c r="Q1967" s="110">
        <f t="shared" si="151"/>
        <v>0</v>
      </c>
      <c r="R1967" s="110">
        <f t="shared" si="152"/>
        <v>0</v>
      </c>
      <c r="S1967" s="112">
        <v>0</v>
      </c>
    </row>
    <row r="1968" spans="1:19">
      <c r="A1968" s="79"/>
      <c r="B1968" s="77" t="s">
        <v>173</v>
      </c>
      <c r="C1968" s="76" t="s">
        <v>4</v>
      </c>
      <c r="D1968" s="143">
        <v>1</v>
      </c>
      <c r="E1968" s="77"/>
      <c r="F1968" s="334"/>
      <c r="G1968" s="112">
        <v>0</v>
      </c>
      <c r="H1968" s="120">
        <v>0</v>
      </c>
      <c r="I1968" s="120">
        <v>0</v>
      </c>
      <c r="J1968" s="120">
        <v>0</v>
      </c>
      <c r="K1968" s="110">
        <v>0</v>
      </c>
      <c r="L1968" s="110"/>
      <c r="M1968" s="110">
        <v>0</v>
      </c>
      <c r="N1968" s="110"/>
      <c r="O1968" s="110"/>
      <c r="P1968" s="110">
        <f t="shared" si="150"/>
        <v>0</v>
      </c>
      <c r="Q1968" s="110">
        <f t="shared" si="151"/>
        <v>0</v>
      </c>
      <c r="R1968" s="110">
        <f t="shared" si="152"/>
        <v>0</v>
      </c>
      <c r="S1968" s="112">
        <v>0</v>
      </c>
    </row>
    <row r="1969" spans="1:19">
      <c r="A1969" s="79"/>
      <c r="B1969" s="77" t="s">
        <v>248</v>
      </c>
      <c r="C1969" s="76" t="s">
        <v>4</v>
      </c>
      <c r="D1969" s="143">
        <v>1</v>
      </c>
      <c r="E1969" s="77"/>
      <c r="F1969" s="334"/>
      <c r="G1969" s="112">
        <v>0</v>
      </c>
      <c r="H1969" s="120">
        <v>0</v>
      </c>
      <c r="I1969" s="120">
        <v>0</v>
      </c>
      <c r="J1969" s="120">
        <v>0</v>
      </c>
      <c r="K1969" s="110">
        <v>0</v>
      </c>
      <c r="L1969" s="110"/>
      <c r="M1969" s="110">
        <v>0</v>
      </c>
      <c r="N1969" s="110"/>
      <c r="O1969" s="110"/>
      <c r="P1969" s="110">
        <f t="shared" ref="P1969:P2032" si="153">+K1969+L1969+M1969+N1969+O1969</f>
        <v>0</v>
      </c>
      <c r="Q1969" s="110">
        <f t="shared" ref="Q1969:Q2032" si="154">+P1969*D1969</f>
        <v>0</v>
      </c>
      <c r="R1969" s="110">
        <f t="shared" ref="R1969:R2032" si="155">P1969*F1969</f>
        <v>0</v>
      </c>
      <c r="S1969" s="112">
        <v>0</v>
      </c>
    </row>
    <row r="1970" spans="1:19">
      <c r="A1970" s="79"/>
      <c r="B1970" s="77" t="s">
        <v>175</v>
      </c>
      <c r="C1970" s="76" t="s">
        <v>4</v>
      </c>
      <c r="D1970" s="143">
        <v>1</v>
      </c>
      <c r="E1970" s="77"/>
      <c r="F1970" s="334"/>
      <c r="G1970" s="112">
        <v>0</v>
      </c>
      <c r="H1970" s="120">
        <v>0</v>
      </c>
      <c r="I1970" s="120">
        <v>0</v>
      </c>
      <c r="J1970" s="120">
        <v>0</v>
      </c>
      <c r="K1970" s="110">
        <v>0</v>
      </c>
      <c r="L1970" s="110"/>
      <c r="M1970" s="110">
        <v>0</v>
      </c>
      <c r="N1970" s="110"/>
      <c r="O1970" s="110"/>
      <c r="P1970" s="110">
        <f t="shared" si="153"/>
        <v>0</v>
      </c>
      <c r="Q1970" s="110">
        <f t="shared" si="154"/>
        <v>0</v>
      </c>
      <c r="R1970" s="110">
        <f t="shared" si="155"/>
        <v>0</v>
      </c>
      <c r="S1970" s="112">
        <v>0</v>
      </c>
    </row>
    <row r="1971" spans="1:19">
      <c r="A1971" s="79"/>
      <c r="B1971" s="77" t="s">
        <v>176</v>
      </c>
      <c r="C1971" s="76" t="s">
        <v>4</v>
      </c>
      <c r="D1971" s="143">
        <v>2</v>
      </c>
      <c r="E1971" s="77"/>
      <c r="F1971" s="334"/>
      <c r="G1971" s="112">
        <v>0</v>
      </c>
      <c r="H1971" s="120">
        <v>0</v>
      </c>
      <c r="I1971" s="120">
        <v>0</v>
      </c>
      <c r="J1971" s="120">
        <v>0</v>
      </c>
      <c r="K1971" s="110">
        <v>0</v>
      </c>
      <c r="L1971" s="110"/>
      <c r="M1971" s="110">
        <v>0</v>
      </c>
      <c r="N1971" s="110"/>
      <c r="O1971" s="110"/>
      <c r="P1971" s="110">
        <f t="shared" si="153"/>
        <v>0</v>
      </c>
      <c r="Q1971" s="110">
        <f t="shared" si="154"/>
        <v>0</v>
      </c>
      <c r="R1971" s="110">
        <f t="shared" si="155"/>
        <v>0</v>
      </c>
      <c r="S1971" s="112">
        <v>0</v>
      </c>
    </row>
    <row r="1972" spans="1:19">
      <c r="A1972" s="79"/>
      <c r="B1972" s="77" t="s">
        <v>177</v>
      </c>
      <c r="C1972" s="76" t="s">
        <v>17</v>
      </c>
      <c r="D1972" s="143">
        <v>1</v>
      </c>
      <c r="E1972" s="77"/>
      <c r="F1972" s="334"/>
      <c r="G1972" s="112">
        <v>0</v>
      </c>
      <c r="H1972" s="120">
        <v>0</v>
      </c>
      <c r="I1972" s="120">
        <v>0</v>
      </c>
      <c r="J1972" s="120">
        <v>0</v>
      </c>
      <c r="K1972" s="110">
        <v>0</v>
      </c>
      <c r="L1972" s="110"/>
      <c r="M1972" s="110">
        <v>0</v>
      </c>
      <c r="N1972" s="110"/>
      <c r="O1972" s="110"/>
      <c r="P1972" s="110">
        <f t="shared" si="153"/>
        <v>0</v>
      </c>
      <c r="Q1972" s="110">
        <f t="shared" si="154"/>
        <v>0</v>
      </c>
      <c r="R1972" s="110">
        <f t="shared" si="155"/>
        <v>0</v>
      </c>
      <c r="S1972" s="112">
        <v>0</v>
      </c>
    </row>
    <row r="1973" spans="1:19">
      <c r="A1973" s="79"/>
      <c r="B1973" s="77" t="s">
        <v>163</v>
      </c>
      <c r="C1973" s="76" t="s">
        <v>4</v>
      </c>
      <c r="D1973" s="143">
        <v>1</v>
      </c>
      <c r="E1973" s="77"/>
      <c r="F1973" s="334"/>
      <c r="G1973" s="112">
        <v>0</v>
      </c>
      <c r="H1973" s="120">
        <v>0</v>
      </c>
      <c r="I1973" s="120">
        <v>0</v>
      </c>
      <c r="J1973" s="120">
        <v>0</v>
      </c>
      <c r="K1973" s="110">
        <v>0</v>
      </c>
      <c r="L1973" s="110"/>
      <c r="M1973" s="110">
        <v>0</v>
      </c>
      <c r="N1973" s="110"/>
      <c r="O1973" s="110"/>
      <c r="P1973" s="110">
        <f t="shared" si="153"/>
        <v>0</v>
      </c>
      <c r="Q1973" s="110">
        <f t="shared" si="154"/>
        <v>0</v>
      </c>
      <c r="R1973" s="110">
        <f t="shared" si="155"/>
        <v>0</v>
      </c>
      <c r="S1973" s="112">
        <v>0</v>
      </c>
    </row>
    <row r="1974" spans="1:19" ht="30">
      <c r="A1974" s="79"/>
      <c r="B1974" s="77" t="s">
        <v>429</v>
      </c>
      <c r="C1974" s="76" t="s">
        <v>8</v>
      </c>
      <c r="D1974" s="143">
        <v>1</v>
      </c>
      <c r="E1974" s="77"/>
      <c r="F1974" s="334"/>
      <c r="G1974" s="112">
        <v>0</v>
      </c>
      <c r="H1974" s="120">
        <v>0</v>
      </c>
      <c r="I1974" s="120">
        <v>0</v>
      </c>
      <c r="J1974" s="120">
        <v>0</v>
      </c>
      <c r="K1974" s="110">
        <v>0</v>
      </c>
      <c r="L1974" s="110"/>
      <c r="M1974" s="110">
        <v>0</v>
      </c>
      <c r="N1974" s="110"/>
      <c r="O1974" s="110"/>
      <c r="P1974" s="110">
        <f t="shared" si="153"/>
        <v>0</v>
      </c>
      <c r="Q1974" s="110">
        <f t="shared" si="154"/>
        <v>0</v>
      </c>
      <c r="R1974" s="110">
        <f t="shared" si="155"/>
        <v>0</v>
      </c>
      <c r="S1974" s="112">
        <v>0</v>
      </c>
    </row>
    <row r="1975" spans="1:19">
      <c r="A1975" s="79"/>
      <c r="B1975" s="77" t="s">
        <v>207</v>
      </c>
      <c r="C1975" s="76" t="s">
        <v>8</v>
      </c>
      <c r="D1975" s="143">
        <v>1</v>
      </c>
      <c r="E1975" s="77"/>
      <c r="F1975" s="334"/>
      <c r="G1975" s="112">
        <v>0</v>
      </c>
      <c r="H1975" s="120">
        <v>0</v>
      </c>
      <c r="I1975" s="120">
        <v>0</v>
      </c>
      <c r="J1975" s="120">
        <v>0</v>
      </c>
      <c r="K1975" s="110">
        <v>0</v>
      </c>
      <c r="L1975" s="110"/>
      <c r="M1975" s="110">
        <v>0</v>
      </c>
      <c r="N1975" s="110"/>
      <c r="O1975" s="110"/>
      <c r="P1975" s="110">
        <f t="shared" si="153"/>
        <v>0</v>
      </c>
      <c r="Q1975" s="110">
        <f t="shared" si="154"/>
        <v>0</v>
      </c>
      <c r="R1975" s="110">
        <f t="shared" si="155"/>
        <v>0</v>
      </c>
      <c r="S1975" s="112">
        <v>0</v>
      </c>
    </row>
    <row r="1976" spans="1:19" ht="45">
      <c r="A1976" s="79"/>
      <c r="B1976" s="77" t="s">
        <v>166</v>
      </c>
      <c r="C1976" s="76" t="s">
        <v>17</v>
      </c>
      <c r="D1976" s="143">
        <v>1</v>
      </c>
      <c r="E1976" s="77"/>
      <c r="F1976" s="334"/>
      <c r="G1976" s="112">
        <v>0</v>
      </c>
      <c r="H1976" s="120">
        <v>0</v>
      </c>
      <c r="I1976" s="120">
        <v>0</v>
      </c>
      <c r="J1976" s="120">
        <v>0</v>
      </c>
      <c r="K1976" s="110">
        <v>0</v>
      </c>
      <c r="L1976" s="110"/>
      <c r="M1976" s="110">
        <v>0</v>
      </c>
      <c r="N1976" s="110"/>
      <c r="O1976" s="110"/>
      <c r="P1976" s="110">
        <f t="shared" si="153"/>
        <v>0</v>
      </c>
      <c r="Q1976" s="110">
        <f t="shared" si="154"/>
        <v>0</v>
      </c>
      <c r="R1976" s="110">
        <f t="shared" si="155"/>
        <v>0</v>
      </c>
      <c r="S1976" s="112">
        <v>0</v>
      </c>
    </row>
    <row r="1977" spans="1:19" ht="60">
      <c r="A1977" s="79">
        <v>74</v>
      </c>
      <c r="B1977" s="77" t="s">
        <v>432</v>
      </c>
      <c r="C1977" s="76" t="s">
        <v>6</v>
      </c>
      <c r="D1977" s="143">
        <v>1</v>
      </c>
      <c r="E1977" s="77"/>
      <c r="F1977" s="334">
        <v>1</v>
      </c>
      <c r="G1977" s="112" t="s">
        <v>432</v>
      </c>
      <c r="H1977" s="120" t="s">
        <v>1076</v>
      </c>
      <c r="I1977" s="120" t="s">
        <v>828</v>
      </c>
      <c r="J1977" s="120" t="s">
        <v>829</v>
      </c>
      <c r="K1977" s="110">
        <v>52258000</v>
      </c>
      <c r="L1977" s="110"/>
      <c r="M1977" s="110">
        <v>3828500</v>
      </c>
      <c r="N1977" s="110"/>
      <c r="O1977" s="110"/>
      <c r="P1977" s="110">
        <f t="shared" si="153"/>
        <v>56086500</v>
      </c>
      <c r="Q1977" s="110">
        <f t="shared" si="154"/>
        <v>56086500</v>
      </c>
      <c r="R1977" s="110">
        <f t="shared" si="155"/>
        <v>56086500</v>
      </c>
      <c r="S1977" s="112" t="s">
        <v>4094</v>
      </c>
    </row>
    <row r="1978" spans="1:19" ht="45">
      <c r="A1978" s="79"/>
      <c r="B1978" s="77" t="s">
        <v>330</v>
      </c>
      <c r="C1978" s="76" t="s">
        <v>4</v>
      </c>
      <c r="D1978" s="143">
        <v>1</v>
      </c>
      <c r="E1978" s="77"/>
      <c r="F1978" s="334"/>
      <c r="G1978" s="112">
        <v>0</v>
      </c>
      <c r="H1978" s="120">
        <v>0</v>
      </c>
      <c r="I1978" s="120">
        <v>0</v>
      </c>
      <c r="J1978" s="120">
        <v>0</v>
      </c>
      <c r="K1978" s="110">
        <v>0</v>
      </c>
      <c r="L1978" s="110"/>
      <c r="M1978" s="110">
        <v>0</v>
      </c>
      <c r="N1978" s="110"/>
      <c r="O1978" s="110"/>
      <c r="P1978" s="110">
        <f t="shared" si="153"/>
        <v>0</v>
      </c>
      <c r="Q1978" s="110">
        <f t="shared" si="154"/>
        <v>0</v>
      </c>
      <c r="R1978" s="110">
        <f t="shared" si="155"/>
        <v>0</v>
      </c>
      <c r="S1978" s="112" t="s">
        <v>150</v>
      </c>
    </row>
    <row r="1979" spans="1:19">
      <c r="A1979" s="79"/>
      <c r="B1979" s="77" t="s">
        <v>151</v>
      </c>
      <c r="C1979" s="76"/>
      <c r="D1979" s="143"/>
      <c r="E1979" s="77"/>
      <c r="F1979" s="76"/>
      <c r="G1979" s="112">
        <v>0</v>
      </c>
      <c r="H1979" s="120">
        <v>0</v>
      </c>
      <c r="I1979" s="120">
        <v>0</v>
      </c>
      <c r="J1979" s="120">
        <v>0</v>
      </c>
      <c r="K1979" s="110">
        <v>0</v>
      </c>
      <c r="L1979" s="110"/>
      <c r="M1979" s="110">
        <v>0</v>
      </c>
      <c r="N1979" s="110"/>
      <c r="O1979" s="110"/>
      <c r="P1979" s="110">
        <f t="shared" si="153"/>
        <v>0</v>
      </c>
      <c r="Q1979" s="110">
        <f t="shared" si="154"/>
        <v>0</v>
      </c>
      <c r="R1979" s="110">
        <f t="shared" si="155"/>
        <v>0</v>
      </c>
      <c r="S1979" s="112">
        <v>0</v>
      </c>
    </row>
    <row r="1980" spans="1:19">
      <c r="A1980" s="79"/>
      <c r="B1980" s="77" t="s">
        <v>227</v>
      </c>
      <c r="C1980" s="76" t="s">
        <v>4</v>
      </c>
      <c r="D1980" s="143">
        <v>1</v>
      </c>
      <c r="E1980" s="77"/>
      <c r="F1980" s="334"/>
      <c r="G1980" s="112">
        <v>0</v>
      </c>
      <c r="H1980" s="120">
        <v>0</v>
      </c>
      <c r="I1980" s="120">
        <v>0</v>
      </c>
      <c r="J1980" s="120">
        <v>0</v>
      </c>
      <c r="K1980" s="110">
        <v>0</v>
      </c>
      <c r="L1980" s="110"/>
      <c r="M1980" s="110">
        <v>0</v>
      </c>
      <c r="N1980" s="110"/>
      <c r="O1980" s="110"/>
      <c r="P1980" s="110">
        <f t="shared" si="153"/>
        <v>0</v>
      </c>
      <c r="Q1980" s="110">
        <f t="shared" si="154"/>
        <v>0</v>
      </c>
      <c r="R1980" s="110">
        <f t="shared" si="155"/>
        <v>0</v>
      </c>
      <c r="S1980" s="112">
        <v>0</v>
      </c>
    </row>
    <row r="1981" spans="1:19">
      <c r="A1981" s="79"/>
      <c r="B1981" s="77" t="s">
        <v>64</v>
      </c>
      <c r="C1981" s="76" t="s">
        <v>12</v>
      </c>
      <c r="D1981" s="143">
        <v>3</v>
      </c>
      <c r="E1981" s="77"/>
      <c r="F1981" s="334"/>
      <c r="G1981" s="112">
        <v>0</v>
      </c>
      <c r="H1981" s="120">
        <v>0</v>
      </c>
      <c r="I1981" s="120">
        <v>0</v>
      </c>
      <c r="J1981" s="120">
        <v>0</v>
      </c>
      <c r="K1981" s="110">
        <v>0</v>
      </c>
      <c r="L1981" s="110"/>
      <c r="M1981" s="110">
        <v>0</v>
      </c>
      <c r="N1981" s="110"/>
      <c r="O1981" s="110"/>
      <c r="P1981" s="110">
        <f t="shared" si="153"/>
        <v>0</v>
      </c>
      <c r="Q1981" s="110">
        <f t="shared" si="154"/>
        <v>0</v>
      </c>
      <c r="R1981" s="110">
        <f t="shared" si="155"/>
        <v>0</v>
      </c>
      <c r="S1981" s="112">
        <v>0</v>
      </c>
    </row>
    <row r="1982" spans="1:19">
      <c r="A1982" s="79"/>
      <c r="B1982" s="77" t="s">
        <v>29</v>
      </c>
      <c r="C1982" s="76" t="s">
        <v>4</v>
      </c>
      <c r="D1982" s="143">
        <v>1</v>
      </c>
      <c r="E1982" s="77"/>
      <c r="F1982" s="334"/>
      <c r="G1982" s="112">
        <v>0</v>
      </c>
      <c r="H1982" s="120">
        <v>0</v>
      </c>
      <c r="I1982" s="120">
        <v>0</v>
      </c>
      <c r="J1982" s="120">
        <v>0</v>
      </c>
      <c r="K1982" s="110">
        <v>0</v>
      </c>
      <c r="L1982" s="110"/>
      <c r="M1982" s="110">
        <v>0</v>
      </c>
      <c r="N1982" s="110"/>
      <c r="O1982" s="110"/>
      <c r="P1982" s="110">
        <f t="shared" si="153"/>
        <v>0</v>
      </c>
      <c r="Q1982" s="110">
        <f t="shared" si="154"/>
        <v>0</v>
      </c>
      <c r="R1982" s="110">
        <f t="shared" si="155"/>
        <v>0</v>
      </c>
      <c r="S1982" s="112">
        <v>0</v>
      </c>
    </row>
    <row r="1983" spans="1:19">
      <c r="A1983" s="79"/>
      <c r="B1983" s="77" t="s">
        <v>30</v>
      </c>
      <c r="C1983" s="76" t="s">
        <v>4</v>
      </c>
      <c r="D1983" s="143">
        <v>1</v>
      </c>
      <c r="E1983" s="77"/>
      <c r="F1983" s="334"/>
      <c r="G1983" s="112">
        <v>0</v>
      </c>
      <c r="H1983" s="120">
        <v>0</v>
      </c>
      <c r="I1983" s="120">
        <v>0</v>
      </c>
      <c r="J1983" s="120">
        <v>0</v>
      </c>
      <c r="K1983" s="110">
        <v>0</v>
      </c>
      <c r="L1983" s="110"/>
      <c r="M1983" s="110">
        <v>0</v>
      </c>
      <c r="N1983" s="110"/>
      <c r="O1983" s="110"/>
      <c r="P1983" s="110">
        <f t="shared" si="153"/>
        <v>0</v>
      </c>
      <c r="Q1983" s="110">
        <f t="shared" si="154"/>
        <v>0</v>
      </c>
      <c r="R1983" s="110">
        <f t="shared" si="155"/>
        <v>0</v>
      </c>
      <c r="S1983" s="112">
        <v>0</v>
      </c>
    </row>
    <row r="1984" spans="1:19">
      <c r="A1984" s="79"/>
      <c r="B1984" s="77" t="s">
        <v>228</v>
      </c>
      <c r="C1984" s="76" t="s">
        <v>4</v>
      </c>
      <c r="D1984" s="143">
        <v>3</v>
      </c>
      <c r="E1984" s="77"/>
      <c r="F1984" s="334"/>
      <c r="G1984" s="112">
        <v>0</v>
      </c>
      <c r="H1984" s="120">
        <v>0</v>
      </c>
      <c r="I1984" s="120">
        <v>0</v>
      </c>
      <c r="J1984" s="120">
        <v>0</v>
      </c>
      <c r="K1984" s="110">
        <v>0</v>
      </c>
      <c r="L1984" s="110"/>
      <c r="M1984" s="110">
        <v>0</v>
      </c>
      <c r="N1984" s="110"/>
      <c r="O1984" s="110"/>
      <c r="P1984" s="110">
        <f t="shared" si="153"/>
        <v>0</v>
      </c>
      <c r="Q1984" s="110">
        <f t="shared" si="154"/>
        <v>0</v>
      </c>
      <c r="R1984" s="110">
        <f t="shared" si="155"/>
        <v>0</v>
      </c>
      <c r="S1984" s="112">
        <v>0</v>
      </c>
    </row>
    <row r="1985" spans="1:19">
      <c r="A1985" s="79"/>
      <c r="B1985" s="77" t="s">
        <v>14</v>
      </c>
      <c r="C1985" s="76" t="s">
        <v>4</v>
      </c>
      <c r="D1985" s="143">
        <v>3</v>
      </c>
      <c r="E1985" s="77"/>
      <c r="F1985" s="334"/>
      <c r="G1985" s="112">
        <v>0</v>
      </c>
      <c r="H1985" s="120">
        <v>0</v>
      </c>
      <c r="I1985" s="120">
        <v>0</v>
      </c>
      <c r="J1985" s="120">
        <v>0</v>
      </c>
      <c r="K1985" s="110">
        <v>0</v>
      </c>
      <c r="L1985" s="110"/>
      <c r="M1985" s="110">
        <v>0</v>
      </c>
      <c r="N1985" s="110"/>
      <c r="O1985" s="110"/>
      <c r="P1985" s="110">
        <f t="shared" si="153"/>
        <v>0</v>
      </c>
      <c r="Q1985" s="110">
        <f t="shared" si="154"/>
        <v>0</v>
      </c>
      <c r="R1985" s="110">
        <f t="shared" si="155"/>
        <v>0</v>
      </c>
      <c r="S1985" s="112">
        <v>0</v>
      </c>
    </row>
    <row r="1986" spans="1:19">
      <c r="A1986" s="79"/>
      <c r="B1986" s="77" t="s">
        <v>153</v>
      </c>
      <c r="C1986" s="76" t="s">
        <v>4</v>
      </c>
      <c r="D1986" s="143">
        <v>3</v>
      </c>
      <c r="E1986" s="77"/>
      <c r="F1986" s="334"/>
      <c r="G1986" s="112">
        <v>0</v>
      </c>
      <c r="H1986" s="120">
        <v>0</v>
      </c>
      <c r="I1986" s="120">
        <v>0</v>
      </c>
      <c r="J1986" s="120">
        <v>0</v>
      </c>
      <c r="K1986" s="110">
        <v>0</v>
      </c>
      <c r="L1986" s="110"/>
      <c r="M1986" s="110">
        <v>0</v>
      </c>
      <c r="N1986" s="110"/>
      <c r="O1986" s="110"/>
      <c r="P1986" s="110">
        <f t="shared" si="153"/>
        <v>0</v>
      </c>
      <c r="Q1986" s="110">
        <f t="shared" si="154"/>
        <v>0</v>
      </c>
      <c r="R1986" s="110">
        <f t="shared" si="155"/>
        <v>0</v>
      </c>
      <c r="S1986" s="112">
        <v>0</v>
      </c>
    </row>
    <row r="1987" spans="1:19">
      <c r="A1987" s="79"/>
      <c r="B1987" s="77" t="s">
        <v>154</v>
      </c>
      <c r="C1987" s="76"/>
      <c r="D1987" s="143"/>
      <c r="E1987" s="77"/>
      <c r="F1987" s="76"/>
      <c r="G1987" s="112">
        <v>0</v>
      </c>
      <c r="H1987" s="120">
        <v>0</v>
      </c>
      <c r="I1987" s="120">
        <v>0</v>
      </c>
      <c r="J1987" s="120">
        <v>0</v>
      </c>
      <c r="K1987" s="110">
        <v>0</v>
      </c>
      <c r="L1987" s="110"/>
      <c r="M1987" s="110">
        <v>0</v>
      </c>
      <c r="N1987" s="110"/>
      <c r="O1987" s="110"/>
      <c r="P1987" s="110">
        <f t="shared" si="153"/>
        <v>0</v>
      </c>
      <c r="Q1987" s="110">
        <f t="shared" si="154"/>
        <v>0</v>
      </c>
      <c r="R1987" s="110">
        <f t="shared" si="155"/>
        <v>0</v>
      </c>
      <c r="S1987" s="112">
        <v>0</v>
      </c>
    </row>
    <row r="1988" spans="1:19">
      <c r="A1988" s="79"/>
      <c r="B1988" s="77" t="s">
        <v>373</v>
      </c>
      <c r="C1988" s="76" t="s">
        <v>4</v>
      </c>
      <c r="D1988" s="143">
        <v>1</v>
      </c>
      <c r="E1988" s="77"/>
      <c r="F1988" s="334"/>
      <c r="G1988" s="112">
        <v>0</v>
      </c>
      <c r="H1988" s="120">
        <v>0</v>
      </c>
      <c r="I1988" s="120">
        <v>0</v>
      </c>
      <c r="J1988" s="120">
        <v>0</v>
      </c>
      <c r="K1988" s="110">
        <v>0</v>
      </c>
      <c r="L1988" s="110"/>
      <c r="M1988" s="110">
        <v>0</v>
      </c>
      <c r="N1988" s="110"/>
      <c r="O1988" s="110"/>
      <c r="P1988" s="110">
        <f t="shared" si="153"/>
        <v>0</v>
      </c>
      <c r="Q1988" s="110">
        <f t="shared" si="154"/>
        <v>0</v>
      </c>
      <c r="R1988" s="110">
        <f t="shared" si="155"/>
        <v>0</v>
      </c>
      <c r="S1988" s="112">
        <v>0</v>
      </c>
    </row>
    <row r="1989" spans="1:19">
      <c r="A1989" s="79"/>
      <c r="B1989" s="77" t="s">
        <v>242</v>
      </c>
      <c r="C1989" s="76" t="s">
        <v>4</v>
      </c>
      <c r="D1989" s="143">
        <v>2</v>
      </c>
      <c r="E1989" s="77"/>
      <c r="F1989" s="334"/>
      <c r="G1989" s="112">
        <v>0</v>
      </c>
      <c r="H1989" s="120">
        <v>0</v>
      </c>
      <c r="I1989" s="120">
        <v>0</v>
      </c>
      <c r="J1989" s="120">
        <v>0</v>
      </c>
      <c r="K1989" s="110">
        <v>0</v>
      </c>
      <c r="L1989" s="110"/>
      <c r="M1989" s="110">
        <v>0</v>
      </c>
      <c r="N1989" s="110"/>
      <c r="O1989" s="110"/>
      <c r="P1989" s="110">
        <f t="shared" si="153"/>
        <v>0</v>
      </c>
      <c r="Q1989" s="110">
        <f t="shared" si="154"/>
        <v>0</v>
      </c>
      <c r="R1989" s="110">
        <f t="shared" si="155"/>
        <v>0</v>
      </c>
      <c r="S1989" s="112">
        <v>0</v>
      </c>
    </row>
    <row r="1990" spans="1:19">
      <c r="A1990" s="79"/>
      <c r="B1990" s="77" t="s">
        <v>158</v>
      </c>
      <c r="C1990" s="76" t="s">
        <v>4</v>
      </c>
      <c r="D1990" s="143">
        <v>1</v>
      </c>
      <c r="E1990" s="77"/>
      <c r="F1990" s="334"/>
      <c r="G1990" s="112">
        <v>0</v>
      </c>
      <c r="H1990" s="120">
        <v>0</v>
      </c>
      <c r="I1990" s="120">
        <v>0</v>
      </c>
      <c r="J1990" s="120">
        <v>0</v>
      </c>
      <c r="K1990" s="110">
        <v>0</v>
      </c>
      <c r="L1990" s="110"/>
      <c r="M1990" s="110">
        <v>0</v>
      </c>
      <c r="N1990" s="110"/>
      <c r="O1990" s="110"/>
      <c r="P1990" s="110">
        <f t="shared" si="153"/>
        <v>0</v>
      </c>
      <c r="Q1990" s="110">
        <f t="shared" si="154"/>
        <v>0</v>
      </c>
      <c r="R1990" s="110">
        <f t="shared" si="155"/>
        <v>0</v>
      </c>
      <c r="S1990" s="112">
        <v>0</v>
      </c>
    </row>
    <row r="1991" spans="1:19">
      <c r="A1991" s="79"/>
      <c r="B1991" s="77" t="s">
        <v>433</v>
      </c>
      <c r="C1991" s="76" t="s">
        <v>8</v>
      </c>
      <c r="D1991" s="143">
        <v>1</v>
      </c>
      <c r="E1991" s="77"/>
      <c r="F1991" s="334"/>
      <c r="G1991" s="112">
        <v>0</v>
      </c>
      <c r="H1991" s="120">
        <v>0</v>
      </c>
      <c r="I1991" s="120">
        <v>0</v>
      </c>
      <c r="J1991" s="120">
        <v>0</v>
      </c>
      <c r="K1991" s="110">
        <v>0</v>
      </c>
      <c r="L1991" s="110"/>
      <c r="M1991" s="110">
        <v>0</v>
      </c>
      <c r="N1991" s="110"/>
      <c r="O1991" s="110"/>
      <c r="P1991" s="110">
        <f t="shared" si="153"/>
        <v>0</v>
      </c>
      <c r="Q1991" s="110">
        <f t="shared" si="154"/>
        <v>0</v>
      </c>
      <c r="R1991" s="110">
        <f t="shared" si="155"/>
        <v>0</v>
      </c>
      <c r="S1991" s="112">
        <v>0</v>
      </c>
    </row>
    <row r="1992" spans="1:19">
      <c r="A1992" s="79"/>
      <c r="B1992" s="77" t="s">
        <v>232</v>
      </c>
      <c r="C1992" s="76" t="s">
        <v>4</v>
      </c>
      <c r="D1992" s="143">
        <v>2</v>
      </c>
      <c r="E1992" s="77"/>
      <c r="F1992" s="334"/>
      <c r="G1992" s="112">
        <v>0</v>
      </c>
      <c r="H1992" s="120">
        <v>0</v>
      </c>
      <c r="I1992" s="120">
        <v>0</v>
      </c>
      <c r="J1992" s="120">
        <v>0</v>
      </c>
      <c r="K1992" s="110">
        <v>0</v>
      </c>
      <c r="L1992" s="110"/>
      <c r="M1992" s="110">
        <v>0</v>
      </c>
      <c r="N1992" s="110"/>
      <c r="O1992" s="110"/>
      <c r="P1992" s="110">
        <f t="shared" si="153"/>
        <v>0</v>
      </c>
      <c r="Q1992" s="110">
        <f t="shared" si="154"/>
        <v>0</v>
      </c>
      <c r="R1992" s="110">
        <f t="shared" si="155"/>
        <v>0</v>
      </c>
      <c r="S1992" s="112">
        <v>0</v>
      </c>
    </row>
    <row r="1993" spans="1:19">
      <c r="A1993" s="79"/>
      <c r="B1993" s="77" t="s">
        <v>233</v>
      </c>
      <c r="C1993" s="76" t="s">
        <v>4</v>
      </c>
      <c r="D1993" s="143">
        <v>1</v>
      </c>
      <c r="E1993" s="77"/>
      <c r="F1993" s="334"/>
      <c r="G1993" s="112">
        <v>0</v>
      </c>
      <c r="H1993" s="120">
        <v>0</v>
      </c>
      <c r="I1993" s="120">
        <v>0</v>
      </c>
      <c r="J1993" s="120">
        <v>0</v>
      </c>
      <c r="K1993" s="110">
        <v>0</v>
      </c>
      <c r="L1993" s="110"/>
      <c r="M1993" s="110">
        <v>0</v>
      </c>
      <c r="N1993" s="110"/>
      <c r="O1993" s="110"/>
      <c r="P1993" s="110">
        <f t="shared" si="153"/>
        <v>0</v>
      </c>
      <c r="Q1993" s="110">
        <f t="shared" si="154"/>
        <v>0</v>
      </c>
      <c r="R1993" s="110">
        <f t="shared" si="155"/>
        <v>0</v>
      </c>
      <c r="S1993" s="112">
        <v>0</v>
      </c>
    </row>
    <row r="1994" spans="1:19">
      <c r="A1994" s="79"/>
      <c r="B1994" s="77" t="s">
        <v>173</v>
      </c>
      <c r="C1994" s="76" t="s">
        <v>4</v>
      </c>
      <c r="D1994" s="143">
        <v>1</v>
      </c>
      <c r="E1994" s="77"/>
      <c r="F1994" s="334"/>
      <c r="G1994" s="112">
        <v>0</v>
      </c>
      <c r="H1994" s="120">
        <v>0</v>
      </c>
      <c r="I1994" s="120">
        <v>0</v>
      </c>
      <c r="J1994" s="120">
        <v>0</v>
      </c>
      <c r="K1994" s="110">
        <v>0</v>
      </c>
      <c r="L1994" s="110"/>
      <c r="M1994" s="110">
        <v>0</v>
      </c>
      <c r="N1994" s="110"/>
      <c r="O1994" s="110"/>
      <c r="P1994" s="110">
        <f t="shared" si="153"/>
        <v>0</v>
      </c>
      <c r="Q1994" s="110">
        <f t="shared" si="154"/>
        <v>0</v>
      </c>
      <c r="R1994" s="110">
        <f t="shared" si="155"/>
        <v>0</v>
      </c>
      <c r="S1994" s="112">
        <v>0</v>
      </c>
    </row>
    <row r="1995" spans="1:19">
      <c r="A1995" s="79"/>
      <c r="B1995" s="77" t="s">
        <v>201</v>
      </c>
      <c r="C1995" s="76" t="s">
        <v>4</v>
      </c>
      <c r="D1995" s="143">
        <v>1</v>
      </c>
      <c r="E1995" s="77"/>
      <c r="F1995" s="334"/>
      <c r="G1995" s="112">
        <v>0</v>
      </c>
      <c r="H1995" s="120">
        <v>0</v>
      </c>
      <c r="I1995" s="120">
        <v>0</v>
      </c>
      <c r="J1995" s="120">
        <v>0</v>
      </c>
      <c r="K1995" s="110">
        <v>0</v>
      </c>
      <c r="L1995" s="110"/>
      <c r="M1995" s="110">
        <v>0</v>
      </c>
      <c r="N1995" s="110"/>
      <c r="O1995" s="110"/>
      <c r="P1995" s="110">
        <f t="shared" si="153"/>
        <v>0</v>
      </c>
      <c r="Q1995" s="110">
        <f t="shared" si="154"/>
        <v>0</v>
      </c>
      <c r="R1995" s="110">
        <f t="shared" si="155"/>
        <v>0</v>
      </c>
      <c r="S1995" s="112">
        <v>0</v>
      </c>
    </row>
    <row r="1996" spans="1:19">
      <c r="A1996" s="79"/>
      <c r="B1996" s="77" t="s">
        <v>234</v>
      </c>
      <c r="C1996" s="76" t="s">
        <v>4</v>
      </c>
      <c r="D1996" s="143">
        <v>1</v>
      </c>
      <c r="E1996" s="77"/>
      <c r="F1996" s="334"/>
      <c r="G1996" s="112">
        <v>0</v>
      </c>
      <c r="H1996" s="120">
        <v>0</v>
      </c>
      <c r="I1996" s="120">
        <v>0</v>
      </c>
      <c r="J1996" s="120">
        <v>0</v>
      </c>
      <c r="K1996" s="110">
        <v>0</v>
      </c>
      <c r="L1996" s="110"/>
      <c r="M1996" s="110">
        <v>0</v>
      </c>
      <c r="N1996" s="110"/>
      <c r="O1996" s="110"/>
      <c r="P1996" s="110">
        <f t="shared" si="153"/>
        <v>0</v>
      </c>
      <c r="Q1996" s="110">
        <f t="shared" si="154"/>
        <v>0</v>
      </c>
      <c r="R1996" s="110">
        <f t="shared" si="155"/>
        <v>0</v>
      </c>
      <c r="S1996" s="112">
        <v>0</v>
      </c>
    </row>
    <row r="1997" spans="1:19">
      <c r="A1997" s="79"/>
      <c r="B1997" s="77" t="s">
        <v>175</v>
      </c>
      <c r="C1997" s="76" t="s">
        <v>4</v>
      </c>
      <c r="D1997" s="143">
        <v>1</v>
      </c>
      <c r="E1997" s="77"/>
      <c r="F1997" s="334"/>
      <c r="G1997" s="112">
        <v>0</v>
      </c>
      <c r="H1997" s="120">
        <v>0</v>
      </c>
      <c r="I1997" s="120">
        <v>0</v>
      </c>
      <c r="J1997" s="120">
        <v>0</v>
      </c>
      <c r="K1997" s="110">
        <v>0</v>
      </c>
      <c r="L1997" s="110"/>
      <c r="M1997" s="110">
        <v>0</v>
      </c>
      <c r="N1997" s="110"/>
      <c r="O1997" s="110"/>
      <c r="P1997" s="110">
        <f t="shared" si="153"/>
        <v>0</v>
      </c>
      <c r="Q1997" s="110">
        <f t="shared" si="154"/>
        <v>0</v>
      </c>
      <c r="R1997" s="110">
        <f t="shared" si="155"/>
        <v>0</v>
      </c>
      <c r="S1997" s="112">
        <v>0</v>
      </c>
    </row>
    <row r="1998" spans="1:19">
      <c r="A1998" s="79"/>
      <c r="B1998" s="77" t="s">
        <v>202</v>
      </c>
      <c r="C1998" s="76" t="s">
        <v>4</v>
      </c>
      <c r="D1998" s="143">
        <v>1</v>
      </c>
      <c r="E1998" s="77"/>
      <c r="F1998" s="334"/>
      <c r="G1998" s="112">
        <v>0</v>
      </c>
      <c r="H1998" s="120">
        <v>0</v>
      </c>
      <c r="I1998" s="120">
        <v>0</v>
      </c>
      <c r="J1998" s="120">
        <v>0</v>
      </c>
      <c r="K1998" s="110">
        <v>0</v>
      </c>
      <c r="L1998" s="110"/>
      <c r="M1998" s="110">
        <v>0</v>
      </c>
      <c r="N1998" s="110"/>
      <c r="O1998" s="110"/>
      <c r="P1998" s="110">
        <f t="shared" si="153"/>
        <v>0</v>
      </c>
      <c r="Q1998" s="110">
        <f t="shared" si="154"/>
        <v>0</v>
      </c>
      <c r="R1998" s="110">
        <f t="shared" si="155"/>
        <v>0</v>
      </c>
      <c r="S1998" s="112">
        <v>0</v>
      </c>
    </row>
    <row r="1999" spans="1:19">
      <c r="A1999" s="79"/>
      <c r="B1999" s="77" t="s">
        <v>176</v>
      </c>
      <c r="C1999" s="76" t="s">
        <v>4</v>
      </c>
      <c r="D1999" s="143">
        <v>2</v>
      </c>
      <c r="E1999" s="77"/>
      <c r="F1999" s="334"/>
      <c r="G1999" s="112">
        <v>0</v>
      </c>
      <c r="H1999" s="120">
        <v>0</v>
      </c>
      <c r="I1999" s="120">
        <v>0</v>
      </c>
      <c r="J1999" s="120">
        <v>0</v>
      </c>
      <c r="K1999" s="110">
        <v>0</v>
      </c>
      <c r="L1999" s="110"/>
      <c r="M1999" s="110">
        <v>0</v>
      </c>
      <c r="N1999" s="110"/>
      <c r="O1999" s="110"/>
      <c r="P1999" s="110">
        <f t="shared" si="153"/>
        <v>0</v>
      </c>
      <c r="Q1999" s="110">
        <f t="shared" si="154"/>
        <v>0</v>
      </c>
      <c r="R1999" s="110">
        <f t="shared" si="155"/>
        <v>0</v>
      </c>
      <c r="S1999" s="112">
        <v>0</v>
      </c>
    </row>
    <row r="2000" spans="1:19">
      <c r="A2000" s="79"/>
      <c r="B2000" s="77" t="s">
        <v>161</v>
      </c>
      <c r="C2000" s="76" t="s">
        <v>4</v>
      </c>
      <c r="D2000" s="143">
        <v>1</v>
      </c>
      <c r="E2000" s="77"/>
      <c r="F2000" s="334"/>
      <c r="G2000" s="112">
        <v>0</v>
      </c>
      <c r="H2000" s="120">
        <v>0</v>
      </c>
      <c r="I2000" s="120">
        <v>0</v>
      </c>
      <c r="J2000" s="120">
        <v>0</v>
      </c>
      <c r="K2000" s="110">
        <v>0</v>
      </c>
      <c r="L2000" s="110"/>
      <c r="M2000" s="110">
        <v>0</v>
      </c>
      <c r="N2000" s="110"/>
      <c r="O2000" s="110"/>
      <c r="P2000" s="110">
        <f t="shared" si="153"/>
        <v>0</v>
      </c>
      <c r="Q2000" s="110">
        <f t="shared" si="154"/>
        <v>0</v>
      </c>
      <c r="R2000" s="110">
        <f t="shared" si="155"/>
        <v>0</v>
      </c>
      <c r="S2000" s="112">
        <v>0</v>
      </c>
    </row>
    <row r="2001" spans="1:19">
      <c r="A2001" s="79"/>
      <c r="B2001" s="77" t="s">
        <v>177</v>
      </c>
      <c r="C2001" s="76" t="s">
        <v>17</v>
      </c>
      <c r="D2001" s="143">
        <v>1</v>
      </c>
      <c r="E2001" s="77"/>
      <c r="F2001" s="334"/>
      <c r="G2001" s="112">
        <v>0</v>
      </c>
      <c r="H2001" s="120">
        <v>0</v>
      </c>
      <c r="I2001" s="120">
        <v>0</v>
      </c>
      <c r="J2001" s="120">
        <v>0</v>
      </c>
      <c r="K2001" s="110">
        <v>0</v>
      </c>
      <c r="L2001" s="110"/>
      <c r="M2001" s="110">
        <v>0</v>
      </c>
      <c r="N2001" s="110"/>
      <c r="O2001" s="110"/>
      <c r="P2001" s="110">
        <f t="shared" si="153"/>
        <v>0</v>
      </c>
      <c r="Q2001" s="110">
        <f t="shared" si="154"/>
        <v>0</v>
      </c>
      <c r="R2001" s="110">
        <f t="shared" si="155"/>
        <v>0</v>
      </c>
      <c r="S2001" s="112">
        <v>0</v>
      </c>
    </row>
    <row r="2002" spans="1:19">
      <c r="A2002" s="79"/>
      <c r="B2002" s="77" t="s">
        <v>351</v>
      </c>
      <c r="C2002" s="76" t="s">
        <v>8</v>
      </c>
      <c r="D2002" s="143">
        <v>2</v>
      </c>
      <c r="E2002" s="77"/>
      <c r="F2002" s="334"/>
      <c r="G2002" s="112">
        <v>0</v>
      </c>
      <c r="H2002" s="120">
        <v>0</v>
      </c>
      <c r="I2002" s="120">
        <v>0</v>
      </c>
      <c r="J2002" s="120">
        <v>0</v>
      </c>
      <c r="K2002" s="110">
        <v>0</v>
      </c>
      <c r="L2002" s="110"/>
      <c r="M2002" s="110">
        <v>0</v>
      </c>
      <c r="N2002" s="110"/>
      <c r="O2002" s="110"/>
      <c r="P2002" s="110">
        <f t="shared" si="153"/>
        <v>0</v>
      </c>
      <c r="Q2002" s="110">
        <f t="shared" si="154"/>
        <v>0</v>
      </c>
      <c r="R2002" s="110">
        <f t="shared" si="155"/>
        <v>0</v>
      </c>
      <c r="S2002" s="112">
        <v>0</v>
      </c>
    </row>
    <row r="2003" spans="1:19">
      <c r="A2003" s="79"/>
      <c r="B2003" s="77" t="s">
        <v>245</v>
      </c>
      <c r="C2003" s="76" t="s">
        <v>4</v>
      </c>
      <c r="D2003" s="143">
        <v>4</v>
      </c>
      <c r="E2003" s="77"/>
      <c r="F2003" s="334"/>
      <c r="G2003" s="112">
        <v>0</v>
      </c>
      <c r="H2003" s="120">
        <v>0</v>
      </c>
      <c r="I2003" s="120">
        <v>0</v>
      </c>
      <c r="J2003" s="120">
        <v>0</v>
      </c>
      <c r="K2003" s="110">
        <v>0</v>
      </c>
      <c r="L2003" s="110"/>
      <c r="M2003" s="110">
        <v>0</v>
      </c>
      <c r="N2003" s="110"/>
      <c r="O2003" s="110"/>
      <c r="P2003" s="110">
        <f t="shared" si="153"/>
        <v>0</v>
      </c>
      <c r="Q2003" s="110">
        <f t="shared" si="154"/>
        <v>0</v>
      </c>
      <c r="R2003" s="110">
        <f t="shared" si="155"/>
        <v>0</v>
      </c>
      <c r="S2003" s="112">
        <v>0</v>
      </c>
    </row>
    <row r="2004" spans="1:19">
      <c r="A2004" s="79"/>
      <c r="B2004" s="77" t="s">
        <v>246</v>
      </c>
      <c r="C2004" s="76" t="s">
        <v>4</v>
      </c>
      <c r="D2004" s="143">
        <v>2</v>
      </c>
      <c r="E2004" s="77"/>
      <c r="F2004" s="334"/>
      <c r="G2004" s="112">
        <v>0</v>
      </c>
      <c r="H2004" s="120">
        <v>0</v>
      </c>
      <c r="I2004" s="120">
        <v>0</v>
      </c>
      <c r="J2004" s="120">
        <v>0</v>
      </c>
      <c r="K2004" s="110">
        <v>0</v>
      </c>
      <c r="L2004" s="110"/>
      <c r="M2004" s="110">
        <v>0</v>
      </c>
      <c r="N2004" s="110"/>
      <c r="O2004" s="110"/>
      <c r="P2004" s="110">
        <f t="shared" si="153"/>
        <v>0</v>
      </c>
      <c r="Q2004" s="110">
        <f t="shared" si="154"/>
        <v>0</v>
      </c>
      <c r="R2004" s="110">
        <f t="shared" si="155"/>
        <v>0</v>
      </c>
      <c r="S2004" s="112">
        <v>0</v>
      </c>
    </row>
    <row r="2005" spans="1:19">
      <c r="A2005" s="79"/>
      <c r="B2005" s="77" t="s">
        <v>173</v>
      </c>
      <c r="C2005" s="76" t="s">
        <v>4</v>
      </c>
      <c r="D2005" s="143">
        <v>4</v>
      </c>
      <c r="E2005" s="77"/>
      <c r="F2005" s="334"/>
      <c r="G2005" s="112">
        <v>0</v>
      </c>
      <c r="H2005" s="120">
        <v>0</v>
      </c>
      <c r="I2005" s="120">
        <v>0</v>
      </c>
      <c r="J2005" s="120">
        <v>0</v>
      </c>
      <c r="K2005" s="110">
        <v>0</v>
      </c>
      <c r="L2005" s="110"/>
      <c r="M2005" s="110">
        <v>0</v>
      </c>
      <c r="N2005" s="110"/>
      <c r="O2005" s="110"/>
      <c r="P2005" s="110">
        <f t="shared" si="153"/>
        <v>0</v>
      </c>
      <c r="Q2005" s="110">
        <f t="shared" si="154"/>
        <v>0</v>
      </c>
      <c r="R2005" s="110">
        <f t="shared" si="155"/>
        <v>0</v>
      </c>
      <c r="S2005" s="112">
        <v>0</v>
      </c>
    </row>
    <row r="2006" spans="1:19">
      <c r="A2006" s="79"/>
      <c r="B2006" s="77" t="s">
        <v>201</v>
      </c>
      <c r="C2006" s="76" t="s">
        <v>4</v>
      </c>
      <c r="D2006" s="143">
        <v>2</v>
      </c>
      <c r="E2006" s="77"/>
      <c r="F2006" s="334"/>
      <c r="G2006" s="112">
        <v>0</v>
      </c>
      <c r="H2006" s="120">
        <v>0</v>
      </c>
      <c r="I2006" s="120">
        <v>0</v>
      </c>
      <c r="J2006" s="120">
        <v>0</v>
      </c>
      <c r="K2006" s="110">
        <v>0</v>
      </c>
      <c r="L2006" s="110"/>
      <c r="M2006" s="110">
        <v>0</v>
      </c>
      <c r="N2006" s="110"/>
      <c r="O2006" s="110"/>
      <c r="P2006" s="110">
        <f t="shared" si="153"/>
        <v>0</v>
      </c>
      <c r="Q2006" s="110">
        <f t="shared" si="154"/>
        <v>0</v>
      </c>
      <c r="R2006" s="110">
        <f t="shared" si="155"/>
        <v>0</v>
      </c>
      <c r="S2006" s="112">
        <v>0</v>
      </c>
    </row>
    <row r="2007" spans="1:19">
      <c r="A2007" s="79"/>
      <c r="B2007" s="77" t="s">
        <v>352</v>
      </c>
      <c r="C2007" s="76" t="s">
        <v>4</v>
      </c>
      <c r="D2007" s="143">
        <v>2</v>
      </c>
      <c r="E2007" s="77"/>
      <c r="F2007" s="334"/>
      <c r="G2007" s="112">
        <v>0</v>
      </c>
      <c r="H2007" s="120">
        <v>0</v>
      </c>
      <c r="I2007" s="120">
        <v>0</v>
      </c>
      <c r="J2007" s="120">
        <v>0</v>
      </c>
      <c r="K2007" s="110">
        <v>0</v>
      </c>
      <c r="L2007" s="110"/>
      <c r="M2007" s="110">
        <v>0</v>
      </c>
      <c r="N2007" s="110"/>
      <c r="O2007" s="110"/>
      <c r="P2007" s="110">
        <f t="shared" si="153"/>
        <v>0</v>
      </c>
      <c r="Q2007" s="110">
        <f t="shared" si="154"/>
        <v>0</v>
      </c>
      <c r="R2007" s="110">
        <f t="shared" si="155"/>
        <v>0</v>
      </c>
      <c r="S2007" s="112">
        <v>0</v>
      </c>
    </row>
    <row r="2008" spans="1:19">
      <c r="A2008" s="79"/>
      <c r="B2008" s="77" t="s">
        <v>175</v>
      </c>
      <c r="C2008" s="76" t="s">
        <v>4</v>
      </c>
      <c r="D2008" s="143">
        <v>2</v>
      </c>
      <c r="E2008" s="77"/>
      <c r="F2008" s="334"/>
      <c r="G2008" s="112">
        <v>0</v>
      </c>
      <c r="H2008" s="120">
        <v>0</v>
      </c>
      <c r="I2008" s="120">
        <v>0</v>
      </c>
      <c r="J2008" s="120">
        <v>0</v>
      </c>
      <c r="K2008" s="110">
        <v>0</v>
      </c>
      <c r="L2008" s="110"/>
      <c r="M2008" s="110">
        <v>0</v>
      </c>
      <c r="N2008" s="110"/>
      <c r="O2008" s="110"/>
      <c r="P2008" s="110">
        <f t="shared" si="153"/>
        <v>0</v>
      </c>
      <c r="Q2008" s="110">
        <f t="shared" si="154"/>
        <v>0</v>
      </c>
      <c r="R2008" s="110">
        <f t="shared" si="155"/>
        <v>0</v>
      </c>
      <c r="S2008" s="112">
        <v>0</v>
      </c>
    </row>
    <row r="2009" spans="1:19">
      <c r="A2009" s="79"/>
      <c r="B2009" s="77" t="s">
        <v>202</v>
      </c>
      <c r="C2009" s="76" t="s">
        <v>4</v>
      </c>
      <c r="D2009" s="143">
        <v>2</v>
      </c>
      <c r="E2009" s="77"/>
      <c r="F2009" s="334"/>
      <c r="G2009" s="112">
        <v>0</v>
      </c>
      <c r="H2009" s="120">
        <v>0</v>
      </c>
      <c r="I2009" s="120">
        <v>0</v>
      </c>
      <c r="J2009" s="120">
        <v>0</v>
      </c>
      <c r="K2009" s="110">
        <v>0</v>
      </c>
      <c r="L2009" s="110"/>
      <c r="M2009" s="110">
        <v>0</v>
      </c>
      <c r="N2009" s="110"/>
      <c r="O2009" s="110"/>
      <c r="P2009" s="110">
        <f t="shared" si="153"/>
        <v>0</v>
      </c>
      <c r="Q2009" s="110">
        <f t="shared" si="154"/>
        <v>0</v>
      </c>
      <c r="R2009" s="110">
        <f t="shared" si="155"/>
        <v>0</v>
      </c>
      <c r="S2009" s="112">
        <v>0</v>
      </c>
    </row>
    <row r="2010" spans="1:19">
      <c r="A2010" s="79"/>
      <c r="B2010" s="77" t="s">
        <v>176</v>
      </c>
      <c r="C2010" s="76" t="s">
        <v>4</v>
      </c>
      <c r="D2010" s="143">
        <v>4</v>
      </c>
      <c r="E2010" s="77"/>
      <c r="F2010" s="334"/>
      <c r="G2010" s="112">
        <v>0</v>
      </c>
      <c r="H2010" s="120">
        <v>0</v>
      </c>
      <c r="I2010" s="120">
        <v>0</v>
      </c>
      <c r="J2010" s="120">
        <v>0</v>
      </c>
      <c r="K2010" s="110">
        <v>0</v>
      </c>
      <c r="L2010" s="110"/>
      <c r="M2010" s="110">
        <v>0</v>
      </c>
      <c r="N2010" s="110"/>
      <c r="O2010" s="110"/>
      <c r="P2010" s="110">
        <f t="shared" si="153"/>
        <v>0</v>
      </c>
      <c r="Q2010" s="110">
        <f t="shared" si="154"/>
        <v>0</v>
      </c>
      <c r="R2010" s="110">
        <f t="shared" si="155"/>
        <v>0</v>
      </c>
      <c r="S2010" s="112">
        <v>0</v>
      </c>
    </row>
    <row r="2011" spans="1:19">
      <c r="A2011" s="79"/>
      <c r="B2011" s="77" t="s">
        <v>161</v>
      </c>
      <c r="C2011" s="76" t="s">
        <v>4</v>
      </c>
      <c r="D2011" s="143">
        <v>2</v>
      </c>
      <c r="E2011" s="77"/>
      <c r="F2011" s="334"/>
      <c r="G2011" s="112">
        <v>0</v>
      </c>
      <c r="H2011" s="120">
        <v>0</v>
      </c>
      <c r="I2011" s="120">
        <v>0</v>
      </c>
      <c r="J2011" s="120">
        <v>0</v>
      </c>
      <c r="K2011" s="110">
        <v>0</v>
      </c>
      <c r="L2011" s="110"/>
      <c r="M2011" s="110">
        <v>0</v>
      </c>
      <c r="N2011" s="110"/>
      <c r="O2011" s="110"/>
      <c r="P2011" s="110">
        <f t="shared" si="153"/>
        <v>0</v>
      </c>
      <c r="Q2011" s="110">
        <f t="shared" si="154"/>
        <v>0</v>
      </c>
      <c r="R2011" s="110">
        <f t="shared" si="155"/>
        <v>0</v>
      </c>
      <c r="S2011" s="112">
        <v>0</v>
      </c>
    </row>
    <row r="2012" spans="1:19">
      <c r="A2012" s="79"/>
      <c r="B2012" s="77" t="s">
        <v>177</v>
      </c>
      <c r="C2012" s="76" t="s">
        <v>17</v>
      </c>
      <c r="D2012" s="143">
        <v>1</v>
      </c>
      <c r="E2012" s="77"/>
      <c r="F2012" s="334"/>
      <c r="G2012" s="112">
        <v>0</v>
      </c>
      <c r="H2012" s="120">
        <v>0</v>
      </c>
      <c r="I2012" s="120">
        <v>0</v>
      </c>
      <c r="J2012" s="120">
        <v>0</v>
      </c>
      <c r="K2012" s="110">
        <v>0</v>
      </c>
      <c r="L2012" s="110"/>
      <c r="M2012" s="110">
        <v>0</v>
      </c>
      <c r="N2012" s="110"/>
      <c r="O2012" s="110"/>
      <c r="P2012" s="110">
        <f t="shared" si="153"/>
        <v>0</v>
      </c>
      <c r="Q2012" s="110">
        <f t="shared" si="154"/>
        <v>0</v>
      </c>
      <c r="R2012" s="110">
        <f t="shared" si="155"/>
        <v>0</v>
      </c>
      <c r="S2012" s="112">
        <v>0</v>
      </c>
    </row>
    <row r="2013" spans="1:19">
      <c r="A2013" s="79"/>
      <c r="B2013" s="77" t="s">
        <v>163</v>
      </c>
      <c r="C2013" s="76" t="s">
        <v>4</v>
      </c>
      <c r="D2013" s="143">
        <v>1</v>
      </c>
      <c r="E2013" s="77"/>
      <c r="F2013" s="334"/>
      <c r="G2013" s="112">
        <v>0</v>
      </c>
      <c r="H2013" s="120">
        <v>0</v>
      </c>
      <c r="I2013" s="120">
        <v>0</v>
      </c>
      <c r="J2013" s="120">
        <v>0</v>
      </c>
      <c r="K2013" s="110">
        <v>0</v>
      </c>
      <c r="L2013" s="110"/>
      <c r="M2013" s="110">
        <v>0</v>
      </c>
      <c r="N2013" s="110"/>
      <c r="O2013" s="110"/>
      <c r="P2013" s="110">
        <f t="shared" si="153"/>
        <v>0</v>
      </c>
      <c r="Q2013" s="110">
        <f t="shared" si="154"/>
        <v>0</v>
      </c>
      <c r="R2013" s="110">
        <f t="shared" si="155"/>
        <v>0</v>
      </c>
      <c r="S2013" s="112">
        <v>0</v>
      </c>
    </row>
    <row r="2014" spans="1:19" ht="30">
      <c r="A2014" s="79"/>
      <c r="B2014" s="77" t="s">
        <v>434</v>
      </c>
      <c r="C2014" s="76" t="s">
        <v>8</v>
      </c>
      <c r="D2014" s="143">
        <v>1</v>
      </c>
      <c r="E2014" s="77"/>
      <c r="F2014" s="334"/>
      <c r="G2014" s="112">
        <v>0</v>
      </c>
      <c r="H2014" s="120">
        <v>0</v>
      </c>
      <c r="I2014" s="120">
        <v>0</v>
      </c>
      <c r="J2014" s="120">
        <v>0</v>
      </c>
      <c r="K2014" s="110">
        <v>0</v>
      </c>
      <c r="L2014" s="110"/>
      <c r="M2014" s="110">
        <v>0</v>
      </c>
      <c r="N2014" s="110"/>
      <c r="O2014" s="110"/>
      <c r="P2014" s="110">
        <f t="shared" si="153"/>
        <v>0</v>
      </c>
      <c r="Q2014" s="110">
        <f t="shared" si="154"/>
        <v>0</v>
      </c>
      <c r="R2014" s="110">
        <f t="shared" si="155"/>
        <v>0</v>
      </c>
      <c r="S2014" s="112">
        <v>0</v>
      </c>
    </row>
    <row r="2015" spans="1:19">
      <c r="A2015" s="79"/>
      <c r="B2015" s="77" t="s">
        <v>207</v>
      </c>
      <c r="C2015" s="76" t="s">
        <v>8</v>
      </c>
      <c r="D2015" s="143">
        <v>1</v>
      </c>
      <c r="E2015" s="77"/>
      <c r="F2015" s="334"/>
      <c r="G2015" s="112">
        <v>0</v>
      </c>
      <c r="H2015" s="120">
        <v>0</v>
      </c>
      <c r="I2015" s="120">
        <v>0</v>
      </c>
      <c r="J2015" s="120">
        <v>0</v>
      </c>
      <c r="K2015" s="110">
        <v>0</v>
      </c>
      <c r="L2015" s="110"/>
      <c r="M2015" s="110">
        <v>0</v>
      </c>
      <c r="N2015" s="110"/>
      <c r="O2015" s="110"/>
      <c r="P2015" s="110">
        <f t="shared" si="153"/>
        <v>0</v>
      </c>
      <c r="Q2015" s="110">
        <f t="shared" si="154"/>
        <v>0</v>
      </c>
      <c r="R2015" s="110">
        <f t="shared" si="155"/>
        <v>0</v>
      </c>
      <c r="S2015" s="112">
        <v>0</v>
      </c>
    </row>
    <row r="2016" spans="1:19" ht="45">
      <c r="A2016" s="79"/>
      <c r="B2016" s="77" t="s">
        <v>166</v>
      </c>
      <c r="C2016" s="76" t="s">
        <v>17</v>
      </c>
      <c r="D2016" s="143">
        <v>1</v>
      </c>
      <c r="E2016" s="77"/>
      <c r="F2016" s="334"/>
      <c r="G2016" s="112">
        <v>0</v>
      </c>
      <c r="H2016" s="120">
        <v>0</v>
      </c>
      <c r="I2016" s="120">
        <v>0</v>
      </c>
      <c r="J2016" s="120">
        <v>0</v>
      </c>
      <c r="K2016" s="110">
        <v>0</v>
      </c>
      <c r="L2016" s="110"/>
      <c r="M2016" s="110">
        <v>0</v>
      </c>
      <c r="N2016" s="110"/>
      <c r="O2016" s="110"/>
      <c r="P2016" s="110">
        <f t="shared" si="153"/>
        <v>0</v>
      </c>
      <c r="Q2016" s="110">
        <f t="shared" si="154"/>
        <v>0</v>
      </c>
      <c r="R2016" s="110">
        <f t="shared" si="155"/>
        <v>0</v>
      </c>
      <c r="S2016" s="112">
        <v>0</v>
      </c>
    </row>
    <row r="2017" spans="1:19" ht="60">
      <c r="A2017" s="79">
        <v>75</v>
      </c>
      <c r="B2017" s="77" t="s">
        <v>435</v>
      </c>
      <c r="C2017" s="76" t="s">
        <v>6</v>
      </c>
      <c r="D2017" s="143">
        <v>1</v>
      </c>
      <c r="E2017" s="77"/>
      <c r="F2017" s="334">
        <v>1</v>
      </c>
      <c r="G2017" s="112" t="s">
        <v>435</v>
      </c>
      <c r="H2017" s="120" t="s">
        <v>1076</v>
      </c>
      <c r="I2017" s="120" t="s">
        <v>828</v>
      </c>
      <c r="J2017" s="120" t="s">
        <v>829</v>
      </c>
      <c r="K2017" s="110">
        <v>31742600</v>
      </c>
      <c r="L2017" s="110"/>
      <c r="M2017" s="110">
        <v>3123300</v>
      </c>
      <c r="N2017" s="110"/>
      <c r="O2017" s="110"/>
      <c r="P2017" s="110">
        <f t="shared" si="153"/>
        <v>34865900</v>
      </c>
      <c r="Q2017" s="110">
        <f t="shared" si="154"/>
        <v>34865900</v>
      </c>
      <c r="R2017" s="110">
        <f t="shared" si="155"/>
        <v>34865900</v>
      </c>
      <c r="S2017" s="112" t="s">
        <v>4094</v>
      </c>
    </row>
    <row r="2018" spans="1:19" ht="45">
      <c r="A2018" s="79"/>
      <c r="B2018" s="77" t="s">
        <v>436</v>
      </c>
      <c r="C2018" s="76" t="s">
        <v>4</v>
      </c>
      <c r="D2018" s="143">
        <v>1</v>
      </c>
      <c r="E2018" s="77"/>
      <c r="F2018" s="334"/>
      <c r="G2018" s="112">
        <v>0</v>
      </c>
      <c r="H2018" s="120">
        <v>0</v>
      </c>
      <c r="I2018" s="120">
        <v>0</v>
      </c>
      <c r="J2018" s="120">
        <v>0</v>
      </c>
      <c r="K2018" s="110">
        <v>0</v>
      </c>
      <c r="L2018" s="110"/>
      <c r="M2018" s="110">
        <v>0</v>
      </c>
      <c r="N2018" s="110"/>
      <c r="O2018" s="110"/>
      <c r="P2018" s="110">
        <f t="shared" si="153"/>
        <v>0</v>
      </c>
      <c r="Q2018" s="110">
        <f t="shared" si="154"/>
        <v>0</v>
      </c>
      <c r="R2018" s="110">
        <f t="shared" si="155"/>
        <v>0</v>
      </c>
      <c r="S2018" s="112" t="s">
        <v>150</v>
      </c>
    </row>
    <row r="2019" spans="1:19">
      <c r="A2019" s="79"/>
      <c r="B2019" s="77" t="s">
        <v>151</v>
      </c>
      <c r="C2019" s="76"/>
      <c r="D2019" s="143"/>
      <c r="E2019" s="77"/>
      <c r="F2019" s="76"/>
      <c r="G2019" s="112">
        <v>0</v>
      </c>
      <c r="H2019" s="120">
        <v>0</v>
      </c>
      <c r="I2019" s="120">
        <v>0</v>
      </c>
      <c r="J2019" s="120">
        <v>0</v>
      </c>
      <c r="K2019" s="110">
        <v>0</v>
      </c>
      <c r="L2019" s="110"/>
      <c r="M2019" s="110">
        <v>0</v>
      </c>
      <c r="N2019" s="110"/>
      <c r="O2019" s="110"/>
      <c r="P2019" s="110">
        <f t="shared" si="153"/>
        <v>0</v>
      </c>
      <c r="Q2019" s="110">
        <f t="shared" si="154"/>
        <v>0</v>
      </c>
      <c r="R2019" s="110">
        <f t="shared" si="155"/>
        <v>0</v>
      </c>
      <c r="S2019" s="112">
        <v>0</v>
      </c>
    </row>
    <row r="2020" spans="1:19">
      <c r="A2020" s="79"/>
      <c r="B2020" s="77" t="s">
        <v>321</v>
      </c>
      <c r="C2020" s="76" t="s">
        <v>4</v>
      </c>
      <c r="D2020" s="143">
        <v>1</v>
      </c>
      <c r="E2020" s="77"/>
      <c r="F2020" s="334"/>
      <c r="G2020" s="112">
        <v>0</v>
      </c>
      <c r="H2020" s="120">
        <v>0</v>
      </c>
      <c r="I2020" s="120">
        <v>0</v>
      </c>
      <c r="J2020" s="120">
        <v>0</v>
      </c>
      <c r="K2020" s="110">
        <v>0</v>
      </c>
      <c r="L2020" s="110"/>
      <c r="M2020" s="110">
        <v>0</v>
      </c>
      <c r="N2020" s="110"/>
      <c r="O2020" s="110"/>
      <c r="P2020" s="110">
        <f t="shared" si="153"/>
        <v>0</v>
      </c>
      <c r="Q2020" s="110">
        <f t="shared" si="154"/>
        <v>0</v>
      </c>
      <c r="R2020" s="110">
        <f t="shared" si="155"/>
        <v>0</v>
      </c>
      <c r="S2020" s="112">
        <v>0</v>
      </c>
    </row>
    <row r="2021" spans="1:19">
      <c r="A2021" s="79"/>
      <c r="B2021" s="77" t="s">
        <v>57</v>
      </c>
      <c r="C2021" s="76" t="s">
        <v>12</v>
      </c>
      <c r="D2021" s="143">
        <v>3</v>
      </c>
      <c r="E2021" s="77"/>
      <c r="F2021" s="334"/>
      <c r="G2021" s="112">
        <v>0</v>
      </c>
      <c r="H2021" s="120">
        <v>0</v>
      </c>
      <c r="I2021" s="120">
        <v>0</v>
      </c>
      <c r="J2021" s="120">
        <v>0</v>
      </c>
      <c r="K2021" s="110">
        <v>0</v>
      </c>
      <c r="L2021" s="110"/>
      <c r="M2021" s="110">
        <v>0</v>
      </c>
      <c r="N2021" s="110"/>
      <c r="O2021" s="110"/>
      <c r="P2021" s="110">
        <f t="shared" si="153"/>
        <v>0</v>
      </c>
      <c r="Q2021" s="110">
        <f t="shared" si="154"/>
        <v>0</v>
      </c>
      <c r="R2021" s="110">
        <f t="shared" si="155"/>
        <v>0</v>
      </c>
      <c r="S2021" s="112">
        <v>0</v>
      </c>
    </row>
    <row r="2022" spans="1:19">
      <c r="A2022" s="79"/>
      <c r="B2022" s="77" t="s">
        <v>29</v>
      </c>
      <c r="C2022" s="76" t="s">
        <v>4</v>
      </c>
      <c r="D2022" s="143">
        <v>1</v>
      </c>
      <c r="E2022" s="77"/>
      <c r="F2022" s="334"/>
      <c r="G2022" s="112">
        <v>0</v>
      </c>
      <c r="H2022" s="120">
        <v>0</v>
      </c>
      <c r="I2022" s="120">
        <v>0</v>
      </c>
      <c r="J2022" s="120">
        <v>0</v>
      </c>
      <c r="K2022" s="110">
        <v>0</v>
      </c>
      <c r="L2022" s="110"/>
      <c r="M2022" s="110">
        <v>0</v>
      </c>
      <c r="N2022" s="110"/>
      <c r="O2022" s="110"/>
      <c r="P2022" s="110">
        <f t="shared" si="153"/>
        <v>0</v>
      </c>
      <c r="Q2022" s="110">
        <f t="shared" si="154"/>
        <v>0</v>
      </c>
      <c r="R2022" s="110">
        <f t="shared" si="155"/>
        <v>0</v>
      </c>
      <c r="S2022" s="112">
        <v>0</v>
      </c>
    </row>
    <row r="2023" spans="1:19">
      <c r="A2023" s="79"/>
      <c r="B2023" s="77" t="s">
        <v>30</v>
      </c>
      <c r="C2023" s="76" t="s">
        <v>4</v>
      </c>
      <c r="D2023" s="143">
        <v>1</v>
      </c>
      <c r="E2023" s="77"/>
      <c r="F2023" s="334"/>
      <c r="G2023" s="112">
        <v>0</v>
      </c>
      <c r="H2023" s="120">
        <v>0</v>
      </c>
      <c r="I2023" s="120">
        <v>0</v>
      </c>
      <c r="J2023" s="120">
        <v>0</v>
      </c>
      <c r="K2023" s="110">
        <v>0</v>
      </c>
      <c r="L2023" s="110"/>
      <c r="M2023" s="110">
        <v>0</v>
      </c>
      <c r="N2023" s="110"/>
      <c r="O2023" s="110"/>
      <c r="P2023" s="110">
        <f t="shared" si="153"/>
        <v>0</v>
      </c>
      <c r="Q2023" s="110">
        <f t="shared" si="154"/>
        <v>0</v>
      </c>
      <c r="R2023" s="110">
        <f t="shared" si="155"/>
        <v>0</v>
      </c>
      <c r="S2023" s="112">
        <v>0</v>
      </c>
    </row>
    <row r="2024" spans="1:19">
      <c r="A2024" s="79"/>
      <c r="B2024" s="77" t="s">
        <v>184</v>
      </c>
      <c r="C2024" s="76" t="s">
        <v>4</v>
      </c>
      <c r="D2024" s="143">
        <v>3</v>
      </c>
      <c r="E2024" s="77"/>
      <c r="F2024" s="334"/>
      <c r="G2024" s="112">
        <v>0</v>
      </c>
      <c r="H2024" s="120">
        <v>0</v>
      </c>
      <c r="I2024" s="120">
        <v>0</v>
      </c>
      <c r="J2024" s="120">
        <v>0</v>
      </c>
      <c r="K2024" s="110">
        <v>0</v>
      </c>
      <c r="L2024" s="110"/>
      <c r="M2024" s="110">
        <v>0</v>
      </c>
      <c r="N2024" s="110"/>
      <c r="O2024" s="110"/>
      <c r="P2024" s="110">
        <f t="shared" si="153"/>
        <v>0</v>
      </c>
      <c r="Q2024" s="110">
        <f t="shared" si="154"/>
        <v>0</v>
      </c>
      <c r="R2024" s="110">
        <f t="shared" si="155"/>
        <v>0</v>
      </c>
      <c r="S2024" s="112">
        <v>0</v>
      </c>
    </row>
    <row r="2025" spans="1:19">
      <c r="A2025" s="79"/>
      <c r="B2025" s="77" t="s">
        <v>14</v>
      </c>
      <c r="C2025" s="76" t="s">
        <v>4</v>
      </c>
      <c r="D2025" s="143">
        <v>3</v>
      </c>
      <c r="E2025" s="77"/>
      <c r="F2025" s="334"/>
      <c r="G2025" s="112">
        <v>0</v>
      </c>
      <c r="H2025" s="120">
        <v>0</v>
      </c>
      <c r="I2025" s="120">
        <v>0</v>
      </c>
      <c r="J2025" s="120">
        <v>0</v>
      </c>
      <c r="K2025" s="110">
        <v>0</v>
      </c>
      <c r="L2025" s="110"/>
      <c r="M2025" s="110">
        <v>0</v>
      </c>
      <c r="N2025" s="110"/>
      <c r="O2025" s="110"/>
      <c r="P2025" s="110">
        <f t="shared" si="153"/>
        <v>0</v>
      </c>
      <c r="Q2025" s="110">
        <f t="shared" si="154"/>
        <v>0</v>
      </c>
      <c r="R2025" s="110">
        <f t="shared" si="155"/>
        <v>0</v>
      </c>
      <c r="S2025" s="112">
        <v>0</v>
      </c>
    </row>
    <row r="2026" spans="1:19">
      <c r="A2026" s="79"/>
      <c r="B2026" s="77" t="s">
        <v>153</v>
      </c>
      <c r="C2026" s="76" t="s">
        <v>4</v>
      </c>
      <c r="D2026" s="143">
        <v>3</v>
      </c>
      <c r="E2026" s="77"/>
      <c r="F2026" s="334"/>
      <c r="G2026" s="112">
        <v>0</v>
      </c>
      <c r="H2026" s="120">
        <v>0</v>
      </c>
      <c r="I2026" s="120">
        <v>0</v>
      </c>
      <c r="J2026" s="120">
        <v>0</v>
      </c>
      <c r="K2026" s="110">
        <v>0</v>
      </c>
      <c r="L2026" s="110"/>
      <c r="M2026" s="110">
        <v>0</v>
      </c>
      <c r="N2026" s="110"/>
      <c r="O2026" s="110"/>
      <c r="P2026" s="110">
        <f t="shared" si="153"/>
        <v>0</v>
      </c>
      <c r="Q2026" s="110">
        <f t="shared" si="154"/>
        <v>0</v>
      </c>
      <c r="R2026" s="110">
        <f t="shared" si="155"/>
        <v>0</v>
      </c>
      <c r="S2026" s="112">
        <v>0</v>
      </c>
    </row>
    <row r="2027" spans="1:19">
      <c r="A2027" s="79"/>
      <c r="B2027" s="77" t="s">
        <v>154</v>
      </c>
      <c r="C2027" s="76"/>
      <c r="D2027" s="143"/>
      <c r="E2027" s="77"/>
      <c r="F2027" s="76"/>
      <c r="G2027" s="112">
        <v>0</v>
      </c>
      <c r="H2027" s="120">
        <v>0</v>
      </c>
      <c r="I2027" s="120">
        <v>0</v>
      </c>
      <c r="J2027" s="120">
        <v>0</v>
      </c>
      <c r="K2027" s="110">
        <v>0</v>
      </c>
      <c r="L2027" s="110"/>
      <c r="M2027" s="110">
        <v>0</v>
      </c>
      <c r="N2027" s="110"/>
      <c r="O2027" s="110"/>
      <c r="P2027" s="110">
        <f t="shared" si="153"/>
        <v>0</v>
      </c>
      <c r="Q2027" s="110">
        <f t="shared" si="154"/>
        <v>0</v>
      </c>
      <c r="R2027" s="110">
        <f t="shared" si="155"/>
        <v>0</v>
      </c>
      <c r="S2027" s="112">
        <v>0</v>
      </c>
    </row>
    <row r="2028" spans="1:19">
      <c r="A2028" s="79"/>
      <c r="B2028" s="77" t="s">
        <v>378</v>
      </c>
      <c r="C2028" s="76" t="s">
        <v>4</v>
      </c>
      <c r="D2028" s="143">
        <v>2</v>
      </c>
      <c r="E2028" s="77"/>
      <c r="F2028" s="334"/>
      <c r="G2028" s="112">
        <v>0</v>
      </c>
      <c r="H2028" s="120">
        <v>0</v>
      </c>
      <c r="I2028" s="120">
        <v>0</v>
      </c>
      <c r="J2028" s="120">
        <v>0</v>
      </c>
      <c r="K2028" s="110">
        <v>0</v>
      </c>
      <c r="L2028" s="110"/>
      <c r="M2028" s="110">
        <v>0</v>
      </c>
      <c r="N2028" s="110"/>
      <c r="O2028" s="110"/>
      <c r="P2028" s="110">
        <f t="shared" si="153"/>
        <v>0</v>
      </c>
      <c r="Q2028" s="110">
        <f t="shared" si="154"/>
        <v>0</v>
      </c>
      <c r="R2028" s="110">
        <f t="shared" si="155"/>
        <v>0</v>
      </c>
      <c r="S2028" s="112">
        <v>0</v>
      </c>
    </row>
    <row r="2029" spans="1:19">
      <c r="A2029" s="79"/>
      <c r="B2029" s="77" t="s">
        <v>158</v>
      </c>
      <c r="C2029" s="76" t="s">
        <v>4</v>
      </c>
      <c r="D2029" s="143">
        <v>1</v>
      </c>
      <c r="E2029" s="77"/>
      <c r="F2029" s="334"/>
      <c r="G2029" s="112">
        <v>0</v>
      </c>
      <c r="H2029" s="120">
        <v>0</v>
      </c>
      <c r="I2029" s="120">
        <v>0</v>
      </c>
      <c r="J2029" s="120">
        <v>0</v>
      </c>
      <c r="K2029" s="110">
        <v>0</v>
      </c>
      <c r="L2029" s="110"/>
      <c r="M2029" s="110">
        <v>0</v>
      </c>
      <c r="N2029" s="110"/>
      <c r="O2029" s="110"/>
      <c r="P2029" s="110">
        <f t="shared" si="153"/>
        <v>0</v>
      </c>
      <c r="Q2029" s="110">
        <f t="shared" si="154"/>
        <v>0</v>
      </c>
      <c r="R2029" s="110">
        <f t="shared" si="155"/>
        <v>0</v>
      </c>
      <c r="S2029" s="112">
        <v>0</v>
      </c>
    </row>
    <row r="2030" spans="1:19">
      <c r="A2030" s="79"/>
      <c r="B2030" s="77" t="s">
        <v>351</v>
      </c>
      <c r="C2030" s="76" t="s">
        <v>8</v>
      </c>
      <c r="D2030" s="143">
        <v>2</v>
      </c>
      <c r="E2030" s="77"/>
      <c r="F2030" s="334"/>
      <c r="G2030" s="112">
        <v>0</v>
      </c>
      <c r="H2030" s="120">
        <v>0</v>
      </c>
      <c r="I2030" s="120">
        <v>0</v>
      </c>
      <c r="J2030" s="120">
        <v>0</v>
      </c>
      <c r="K2030" s="110">
        <v>0</v>
      </c>
      <c r="L2030" s="110"/>
      <c r="M2030" s="110">
        <v>0</v>
      </c>
      <c r="N2030" s="110"/>
      <c r="O2030" s="110"/>
      <c r="P2030" s="110">
        <f t="shared" si="153"/>
        <v>0</v>
      </c>
      <c r="Q2030" s="110">
        <f t="shared" si="154"/>
        <v>0</v>
      </c>
      <c r="R2030" s="110">
        <f t="shared" si="155"/>
        <v>0</v>
      </c>
      <c r="S2030" s="112">
        <v>0</v>
      </c>
    </row>
    <row r="2031" spans="1:19">
      <c r="A2031" s="79"/>
      <c r="B2031" s="77" t="s">
        <v>245</v>
      </c>
      <c r="C2031" s="76" t="s">
        <v>4</v>
      </c>
      <c r="D2031" s="143">
        <v>4</v>
      </c>
      <c r="E2031" s="77"/>
      <c r="F2031" s="334"/>
      <c r="G2031" s="112">
        <v>0</v>
      </c>
      <c r="H2031" s="120">
        <v>0</v>
      </c>
      <c r="I2031" s="120">
        <v>0</v>
      </c>
      <c r="J2031" s="120">
        <v>0</v>
      </c>
      <c r="K2031" s="110">
        <v>0</v>
      </c>
      <c r="L2031" s="110"/>
      <c r="M2031" s="110">
        <v>0</v>
      </c>
      <c r="N2031" s="110"/>
      <c r="O2031" s="110"/>
      <c r="P2031" s="110">
        <f t="shared" si="153"/>
        <v>0</v>
      </c>
      <c r="Q2031" s="110">
        <f t="shared" si="154"/>
        <v>0</v>
      </c>
      <c r="R2031" s="110">
        <f t="shared" si="155"/>
        <v>0</v>
      </c>
      <c r="S2031" s="112">
        <v>0</v>
      </c>
    </row>
    <row r="2032" spans="1:19">
      <c r="A2032" s="79"/>
      <c r="B2032" s="77" t="s">
        <v>246</v>
      </c>
      <c r="C2032" s="76" t="s">
        <v>4</v>
      </c>
      <c r="D2032" s="143">
        <v>2</v>
      </c>
      <c r="E2032" s="77"/>
      <c r="F2032" s="334"/>
      <c r="G2032" s="112">
        <v>0</v>
      </c>
      <c r="H2032" s="120">
        <v>0</v>
      </c>
      <c r="I2032" s="120">
        <v>0</v>
      </c>
      <c r="J2032" s="120">
        <v>0</v>
      </c>
      <c r="K2032" s="110">
        <v>0</v>
      </c>
      <c r="L2032" s="110"/>
      <c r="M2032" s="110">
        <v>0</v>
      </c>
      <c r="N2032" s="110"/>
      <c r="O2032" s="110"/>
      <c r="P2032" s="110">
        <f t="shared" si="153"/>
        <v>0</v>
      </c>
      <c r="Q2032" s="110">
        <f t="shared" si="154"/>
        <v>0</v>
      </c>
      <c r="R2032" s="110">
        <f t="shared" si="155"/>
        <v>0</v>
      </c>
      <c r="S2032" s="112">
        <v>0</v>
      </c>
    </row>
    <row r="2033" spans="1:19">
      <c r="A2033" s="79"/>
      <c r="B2033" s="77" t="s">
        <v>173</v>
      </c>
      <c r="C2033" s="76" t="s">
        <v>4</v>
      </c>
      <c r="D2033" s="143">
        <v>2</v>
      </c>
      <c r="E2033" s="77"/>
      <c r="F2033" s="334"/>
      <c r="G2033" s="112">
        <v>0</v>
      </c>
      <c r="H2033" s="120">
        <v>0</v>
      </c>
      <c r="I2033" s="120">
        <v>0</v>
      </c>
      <c r="J2033" s="120">
        <v>0</v>
      </c>
      <c r="K2033" s="110">
        <v>0</v>
      </c>
      <c r="L2033" s="110"/>
      <c r="M2033" s="110">
        <v>0</v>
      </c>
      <c r="N2033" s="110"/>
      <c r="O2033" s="110"/>
      <c r="P2033" s="110">
        <f t="shared" ref="P2033:P2096" si="156">+K2033+L2033+M2033+N2033+O2033</f>
        <v>0</v>
      </c>
      <c r="Q2033" s="110">
        <f t="shared" ref="Q2033:Q2096" si="157">+P2033*D2033</f>
        <v>0</v>
      </c>
      <c r="R2033" s="110">
        <f t="shared" ref="R2033:R2096" si="158">P2033*F2033</f>
        <v>0</v>
      </c>
      <c r="S2033" s="112">
        <v>0</v>
      </c>
    </row>
    <row r="2034" spans="1:19">
      <c r="A2034" s="79"/>
      <c r="B2034" s="77" t="s">
        <v>201</v>
      </c>
      <c r="C2034" s="76" t="s">
        <v>4</v>
      </c>
      <c r="D2034" s="143">
        <v>2</v>
      </c>
      <c r="E2034" s="77"/>
      <c r="F2034" s="334"/>
      <c r="G2034" s="112">
        <v>0</v>
      </c>
      <c r="H2034" s="120">
        <v>0</v>
      </c>
      <c r="I2034" s="120">
        <v>0</v>
      </c>
      <c r="J2034" s="120">
        <v>0</v>
      </c>
      <c r="K2034" s="110">
        <v>0</v>
      </c>
      <c r="L2034" s="110"/>
      <c r="M2034" s="110">
        <v>0</v>
      </c>
      <c r="N2034" s="110"/>
      <c r="O2034" s="110"/>
      <c r="P2034" s="110">
        <f t="shared" si="156"/>
        <v>0</v>
      </c>
      <c r="Q2034" s="110">
        <f t="shared" si="157"/>
        <v>0</v>
      </c>
      <c r="R2034" s="110">
        <f t="shared" si="158"/>
        <v>0</v>
      </c>
      <c r="S2034" s="112">
        <v>0</v>
      </c>
    </row>
    <row r="2035" spans="1:19">
      <c r="A2035" s="79"/>
      <c r="B2035" s="77" t="s">
        <v>352</v>
      </c>
      <c r="C2035" s="76" t="s">
        <v>4</v>
      </c>
      <c r="D2035" s="143">
        <v>2</v>
      </c>
      <c r="E2035" s="77"/>
      <c r="F2035" s="334"/>
      <c r="G2035" s="112">
        <v>0</v>
      </c>
      <c r="H2035" s="120">
        <v>0</v>
      </c>
      <c r="I2035" s="120">
        <v>0</v>
      </c>
      <c r="J2035" s="120">
        <v>0</v>
      </c>
      <c r="K2035" s="110">
        <v>0</v>
      </c>
      <c r="L2035" s="110"/>
      <c r="M2035" s="110">
        <v>0</v>
      </c>
      <c r="N2035" s="110"/>
      <c r="O2035" s="110"/>
      <c r="P2035" s="110">
        <f t="shared" si="156"/>
        <v>0</v>
      </c>
      <c r="Q2035" s="110">
        <f t="shared" si="157"/>
        <v>0</v>
      </c>
      <c r="R2035" s="110">
        <f t="shared" si="158"/>
        <v>0</v>
      </c>
      <c r="S2035" s="112">
        <v>0</v>
      </c>
    </row>
    <row r="2036" spans="1:19">
      <c r="A2036" s="79"/>
      <c r="B2036" s="77" t="s">
        <v>175</v>
      </c>
      <c r="C2036" s="76" t="s">
        <v>4</v>
      </c>
      <c r="D2036" s="143">
        <v>2</v>
      </c>
      <c r="E2036" s="59"/>
      <c r="F2036" s="334"/>
      <c r="G2036" s="112">
        <v>0</v>
      </c>
      <c r="H2036" s="120">
        <v>0</v>
      </c>
      <c r="I2036" s="120">
        <v>0</v>
      </c>
      <c r="J2036" s="120">
        <v>0</v>
      </c>
      <c r="K2036" s="110">
        <v>0</v>
      </c>
      <c r="L2036" s="110"/>
      <c r="M2036" s="110">
        <v>0</v>
      </c>
      <c r="N2036" s="110"/>
      <c r="O2036" s="110"/>
      <c r="P2036" s="110">
        <f t="shared" si="156"/>
        <v>0</v>
      </c>
      <c r="Q2036" s="110">
        <f t="shared" si="157"/>
        <v>0</v>
      </c>
      <c r="R2036" s="110">
        <f t="shared" si="158"/>
        <v>0</v>
      </c>
      <c r="S2036" s="112">
        <v>0</v>
      </c>
    </row>
    <row r="2037" spans="1:19">
      <c r="A2037" s="79"/>
      <c r="B2037" s="77" t="s">
        <v>202</v>
      </c>
      <c r="C2037" s="76" t="s">
        <v>4</v>
      </c>
      <c r="D2037" s="143">
        <v>2</v>
      </c>
      <c r="E2037" s="346"/>
      <c r="F2037" s="334"/>
      <c r="G2037" s="112">
        <v>0</v>
      </c>
      <c r="H2037" s="120">
        <v>0</v>
      </c>
      <c r="I2037" s="120">
        <v>0</v>
      </c>
      <c r="J2037" s="120">
        <v>0</v>
      </c>
      <c r="K2037" s="110">
        <v>0</v>
      </c>
      <c r="L2037" s="110"/>
      <c r="M2037" s="110">
        <v>0</v>
      </c>
      <c r="N2037" s="110"/>
      <c r="O2037" s="110"/>
      <c r="P2037" s="110">
        <f t="shared" si="156"/>
        <v>0</v>
      </c>
      <c r="Q2037" s="110">
        <f t="shared" si="157"/>
        <v>0</v>
      </c>
      <c r="R2037" s="110">
        <f t="shared" si="158"/>
        <v>0</v>
      </c>
      <c r="S2037" s="112">
        <v>0</v>
      </c>
    </row>
    <row r="2038" spans="1:19">
      <c r="A2038" s="79"/>
      <c r="B2038" s="77" t="s">
        <v>176</v>
      </c>
      <c r="C2038" s="76" t="s">
        <v>4</v>
      </c>
      <c r="D2038" s="143">
        <v>4</v>
      </c>
      <c r="E2038" s="346"/>
      <c r="F2038" s="334"/>
      <c r="G2038" s="112">
        <v>0</v>
      </c>
      <c r="H2038" s="120">
        <v>0</v>
      </c>
      <c r="I2038" s="120">
        <v>0</v>
      </c>
      <c r="J2038" s="120">
        <v>0</v>
      </c>
      <c r="K2038" s="110">
        <v>0</v>
      </c>
      <c r="L2038" s="110"/>
      <c r="M2038" s="110">
        <v>0</v>
      </c>
      <c r="N2038" s="110"/>
      <c r="O2038" s="110"/>
      <c r="P2038" s="110">
        <f t="shared" si="156"/>
        <v>0</v>
      </c>
      <c r="Q2038" s="110">
        <f t="shared" si="157"/>
        <v>0</v>
      </c>
      <c r="R2038" s="110">
        <f t="shared" si="158"/>
        <v>0</v>
      </c>
      <c r="S2038" s="112">
        <v>0</v>
      </c>
    </row>
    <row r="2039" spans="1:19">
      <c r="A2039" s="79"/>
      <c r="B2039" s="77" t="s">
        <v>161</v>
      </c>
      <c r="C2039" s="76" t="s">
        <v>4</v>
      </c>
      <c r="D2039" s="143">
        <v>2</v>
      </c>
      <c r="E2039" s="346"/>
      <c r="F2039" s="334"/>
      <c r="G2039" s="112">
        <v>0</v>
      </c>
      <c r="H2039" s="120">
        <v>0</v>
      </c>
      <c r="I2039" s="120">
        <v>0</v>
      </c>
      <c r="J2039" s="120">
        <v>0</v>
      </c>
      <c r="K2039" s="110">
        <v>0</v>
      </c>
      <c r="L2039" s="110"/>
      <c r="M2039" s="110">
        <v>0</v>
      </c>
      <c r="N2039" s="110"/>
      <c r="O2039" s="110"/>
      <c r="P2039" s="110">
        <f t="shared" si="156"/>
        <v>0</v>
      </c>
      <c r="Q2039" s="110">
        <f t="shared" si="157"/>
        <v>0</v>
      </c>
      <c r="R2039" s="110">
        <f t="shared" si="158"/>
        <v>0</v>
      </c>
      <c r="S2039" s="112">
        <v>0</v>
      </c>
    </row>
    <row r="2040" spans="1:19">
      <c r="A2040" s="79"/>
      <c r="B2040" s="77" t="s">
        <v>177</v>
      </c>
      <c r="C2040" s="76" t="s">
        <v>17</v>
      </c>
      <c r="D2040" s="143">
        <v>1</v>
      </c>
      <c r="E2040" s="346"/>
      <c r="F2040" s="334"/>
      <c r="G2040" s="112">
        <v>0</v>
      </c>
      <c r="H2040" s="120">
        <v>0</v>
      </c>
      <c r="I2040" s="120">
        <v>0</v>
      </c>
      <c r="J2040" s="120">
        <v>0</v>
      </c>
      <c r="K2040" s="110">
        <v>0</v>
      </c>
      <c r="L2040" s="110"/>
      <c r="M2040" s="110">
        <v>0</v>
      </c>
      <c r="N2040" s="110"/>
      <c r="O2040" s="110"/>
      <c r="P2040" s="110">
        <f t="shared" si="156"/>
        <v>0</v>
      </c>
      <c r="Q2040" s="110">
        <f t="shared" si="157"/>
        <v>0</v>
      </c>
      <c r="R2040" s="110">
        <f t="shared" si="158"/>
        <v>0</v>
      </c>
      <c r="S2040" s="112">
        <v>0</v>
      </c>
    </row>
    <row r="2041" spans="1:19">
      <c r="A2041" s="79"/>
      <c r="B2041" s="77" t="s">
        <v>163</v>
      </c>
      <c r="C2041" s="76" t="s">
        <v>4</v>
      </c>
      <c r="D2041" s="143">
        <v>1</v>
      </c>
      <c r="E2041" s="346"/>
      <c r="F2041" s="334"/>
      <c r="G2041" s="112">
        <v>0</v>
      </c>
      <c r="H2041" s="120">
        <v>0</v>
      </c>
      <c r="I2041" s="120">
        <v>0</v>
      </c>
      <c r="J2041" s="120">
        <v>0</v>
      </c>
      <c r="K2041" s="110">
        <v>0</v>
      </c>
      <c r="L2041" s="110"/>
      <c r="M2041" s="110">
        <v>0</v>
      </c>
      <c r="N2041" s="110"/>
      <c r="O2041" s="110"/>
      <c r="P2041" s="110">
        <f t="shared" si="156"/>
        <v>0</v>
      </c>
      <c r="Q2041" s="110">
        <f t="shared" si="157"/>
        <v>0</v>
      </c>
      <c r="R2041" s="110">
        <f t="shared" si="158"/>
        <v>0</v>
      </c>
      <c r="S2041" s="112">
        <v>0</v>
      </c>
    </row>
    <row r="2042" spans="1:19" ht="30">
      <c r="A2042" s="79"/>
      <c r="B2042" s="77" t="s">
        <v>206</v>
      </c>
      <c r="C2042" s="76" t="s">
        <v>8</v>
      </c>
      <c r="D2042" s="143">
        <v>1</v>
      </c>
      <c r="E2042" s="346"/>
      <c r="F2042" s="334"/>
      <c r="G2042" s="112">
        <v>0</v>
      </c>
      <c r="H2042" s="120">
        <v>0</v>
      </c>
      <c r="I2042" s="120">
        <v>0</v>
      </c>
      <c r="J2042" s="120">
        <v>0</v>
      </c>
      <c r="K2042" s="110">
        <v>0</v>
      </c>
      <c r="L2042" s="110"/>
      <c r="M2042" s="110">
        <v>0</v>
      </c>
      <c r="N2042" s="110"/>
      <c r="O2042" s="110"/>
      <c r="P2042" s="110">
        <f t="shared" si="156"/>
        <v>0</v>
      </c>
      <c r="Q2042" s="110">
        <f t="shared" si="157"/>
        <v>0</v>
      </c>
      <c r="R2042" s="110">
        <f t="shared" si="158"/>
        <v>0</v>
      </c>
      <c r="S2042" s="112">
        <v>0</v>
      </c>
    </row>
    <row r="2043" spans="1:19">
      <c r="A2043" s="79"/>
      <c r="B2043" s="77" t="s">
        <v>207</v>
      </c>
      <c r="C2043" s="76" t="s">
        <v>8</v>
      </c>
      <c r="D2043" s="143">
        <v>1</v>
      </c>
      <c r="E2043" s="346"/>
      <c r="F2043" s="334"/>
      <c r="G2043" s="112">
        <v>0</v>
      </c>
      <c r="H2043" s="120">
        <v>0</v>
      </c>
      <c r="I2043" s="120">
        <v>0</v>
      </c>
      <c r="J2043" s="120">
        <v>0</v>
      </c>
      <c r="K2043" s="110">
        <v>0</v>
      </c>
      <c r="L2043" s="110"/>
      <c r="M2043" s="110">
        <v>0</v>
      </c>
      <c r="N2043" s="110"/>
      <c r="O2043" s="110"/>
      <c r="P2043" s="110">
        <f t="shared" si="156"/>
        <v>0</v>
      </c>
      <c r="Q2043" s="110">
        <f t="shared" si="157"/>
        <v>0</v>
      </c>
      <c r="R2043" s="110">
        <f t="shared" si="158"/>
        <v>0</v>
      </c>
      <c r="S2043" s="112">
        <v>0</v>
      </c>
    </row>
    <row r="2044" spans="1:19" ht="45">
      <c r="A2044" s="79"/>
      <c r="B2044" s="77" t="s">
        <v>166</v>
      </c>
      <c r="C2044" s="76" t="s">
        <v>17</v>
      </c>
      <c r="D2044" s="143">
        <v>1</v>
      </c>
      <c r="E2044" s="346"/>
      <c r="F2044" s="334"/>
      <c r="G2044" s="112">
        <v>0</v>
      </c>
      <c r="H2044" s="120">
        <v>0</v>
      </c>
      <c r="I2044" s="120">
        <v>0</v>
      </c>
      <c r="J2044" s="120">
        <v>0</v>
      </c>
      <c r="K2044" s="110">
        <v>0</v>
      </c>
      <c r="L2044" s="110"/>
      <c r="M2044" s="110">
        <v>0</v>
      </c>
      <c r="N2044" s="110"/>
      <c r="O2044" s="110"/>
      <c r="P2044" s="110">
        <f t="shared" si="156"/>
        <v>0</v>
      </c>
      <c r="Q2044" s="110">
        <f t="shared" si="157"/>
        <v>0</v>
      </c>
      <c r="R2044" s="110">
        <f t="shared" si="158"/>
        <v>0</v>
      </c>
      <c r="S2044" s="112">
        <v>0</v>
      </c>
    </row>
    <row r="2045" spans="1:19" ht="60">
      <c r="A2045" s="79">
        <v>75</v>
      </c>
      <c r="B2045" s="77" t="s">
        <v>437</v>
      </c>
      <c r="C2045" s="76" t="s">
        <v>6</v>
      </c>
      <c r="D2045" s="143">
        <v>1</v>
      </c>
      <c r="E2045" s="346"/>
      <c r="F2045" s="334">
        <v>1</v>
      </c>
      <c r="G2045" s="112" t="s">
        <v>437</v>
      </c>
      <c r="H2045" s="120" t="s">
        <v>1076</v>
      </c>
      <c r="I2045" s="120" t="s">
        <v>828</v>
      </c>
      <c r="J2045" s="120" t="s">
        <v>829</v>
      </c>
      <c r="K2045" s="110">
        <v>12630100</v>
      </c>
      <c r="L2045" s="110"/>
      <c r="M2045" s="110">
        <v>2821000</v>
      </c>
      <c r="N2045" s="110"/>
      <c r="O2045" s="110"/>
      <c r="P2045" s="110">
        <f t="shared" si="156"/>
        <v>15451100</v>
      </c>
      <c r="Q2045" s="110">
        <f t="shared" si="157"/>
        <v>15451100</v>
      </c>
      <c r="R2045" s="110">
        <f t="shared" si="158"/>
        <v>15451100</v>
      </c>
      <c r="S2045" s="112" t="s">
        <v>4094</v>
      </c>
    </row>
    <row r="2046" spans="1:19" ht="45">
      <c r="A2046" s="79"/>
      <c r="B2046" s="77" t="s">
        <v>438</v>
      </c>
      <c r="C2046" s="76" t="s">
        <v>4</v>
      </c>
      <c r="D2046" s="143">
        <v>1</v>
      </c>
      <c r="E2046" s="346"/>
      <c r="F2046" s="334"/>
      <c r="G2046" s="112">
        <v>0</v>
      </c>
      <c r="H2046" s="120">
        <v>0</v>
      </c>
      <c r="I2046" s="120">
        <v>0</v>
      </c>
      <c r="J2046" s="120">
        <v>0</v>
      </c>
      <c r="K2046" s="110">
        <v>0</v>
      </c>
      <c r="L2046" s="110"/>
      <c r="M2046" s="110">
        <v>0</v>
      </c>
      <c r="N2046" s="110"/>
      <c r="O2046" s="110"/>
      <c r="P2046" s="110">
        <f t="shared" si="156"/>
        <v>0</v>
      </c>
      <c r="Q2046" s="110">
        <f t="shared" si="157"/>
        <v>0</v>
      </c>
      <c r="R2046" s="110">
        <f t="shared" si="158"/>
        <v>0</v>
      </c>
      <c r="S2046" s="112" t="s">
        <v>150</v>
      </c>
    </row>
    <row r="2047" spans="1:19">
      <c r="A2047" s="79"/>
      <c r="B2047" s="77" t="s">
        <v>151</v>
      </c>
      <c r="C2047" s="76"/>
      <c r="D2047" s="143"/>
      <c r="E2047" s="346"/>
      <c r="F2047" s="346"/>
      <c r="G2047" s="112">
        <v>0</v>
      </c>
      <c r="H2047" s="120">
        <v>0</v>
      </c>
      <c r="I2047" s="120">
        <v>0</v>
      </c>
      <c r="J2047" s="120">
        <v>0</v>
      </c>
      <c r="K2047" s="110">
        <v>0</v>
      </c>
      <c r="L2047" s="110"/>
      <c r="M2047" s="110">
        <v>0</v>
      </c>
      <c r="N2047" s="110"/>
      <c r="O2047" s="110"/>
      <c r="P2047" s="110">
        <f t="shared" si="156"/>
        <v>0</v>
      </c>
      <c r="Q2047" s="110">
        <f t="shared" si="157"/>
        <v>0</v>
      </c>
      <c r="R2047" s="110">
        <f t="shared" si="158"/>
        <v>0</v>
      </c>
      <c r="S2047" s="112">
        <v>0</v>
      </c>
    </row>
    <row r="2048" spans="1:19">
      <c r="A2048" s="79"/>
      <c r="B2048" s="77" t="s">
        <v>220</v>
      </c>
      <c r="C2048" s="76" t="s">
        <v>4</v>
      </c>
      <c r="D2048" s="143">
        <v>1</v>
      </c>
      <c r="E2048" s="346"/>
      <c r="F2048" s="334"/>
      <c r="G2048" s="112">
        <v>0</v>
      </c>
      <c r="H2048" s="120">
        <v>0</v>
      </c>
      <c r="I2048" s="120">
        <v>0</v>
      </c>
      <c r="J2048" s="120">
        <v>0</v>
      </c>
      <c r="K2048" s="110">
        <v>0</v>
      </c>
      <c r="L2048" s="110"/>
      <c r="M2048" s="110">
        <v>0</v>
      </c>
      <c r="N2048" s="110"/>
      <c r="O2048" s="110"/>
      <c r="P2048" s="110">
        <f t="shared" si="156"/>
        <v>0</v>
      </c>
      <c r="Q2048" s="110">
        <f t="shared" si="157"/>
        <v>0</v>
      </c>
      <c r="R2048" s="110">
        <f t="shared" si="158"/>
        <v>0</v>
      </c>
      <c r="S2048" s="112">
        <v>0</v>
      </c>
    </row>
    <row r="2049" spans="1:19">
      <c r="A2049" s="79"/>
      <c r="B2049" s="77" t="s">
        <v>154</v>
      </c>
      <c r="C2049" s="76"/>
      <c r="D2049" s="143"/>
      <c r="E2049" s="346"/>
      <c r="F2049" s="346"/>
      <c r="G2049" s="112">
        <v>0</v>
      </c>
      <c r="H2049" s="120">
        <v>0</v>
      </c>
      <c r="I2049" s="120">
        <v>0</v>
      </c>
      <c r="J2049" s="120">
        <v>0</v>
      </c>
      <c r="K2049" s="110">
        <v>0</v>
      </c>
      <c r="L2049" s="110"/>
      <c r="M2049" s="110">
        <v>0</v>
      </c>
      <c r="N2049" s="110"/>
      <c r="O2049" s="110"/>
      <c r="P2049" s="110">
        <f t="shared" si="156"/>
        <v>0</v>
      </c>
      <c r="Q2049" s="110">
        <f t="shared" si="157"/>
        <v>0</v>
      </c>
      <c r="R2049" s="110">
        <f t="shared" si="158"/>
        <v>0</v>
      </c>
      <c r="S2049" s="112">
        <v>0</v>
      </c>
    </row>
    <row r="2050" spans="1:19">
      <c r="A2050" s="79"/>
      <c r="B2050" s="77" t="s">
        <v>439</v>
      </c>
      <c r="C2050" s="76" t="s">
        <v>4</v>
      </c>
      <c r="D2050" s="143">
        <v>1</v>
      </c>
      <c r="E2050" s="346"/>
      <c r="F2050" s="334"/>
      <c r="G2050" s="112">
        <v>0</v>
      </c>
      <c r="H2050" s="120">
        <v>0</v>
      </c>
      <c r="I2050" s="120">
        <v>0</v>
      </c>
      <c r="J2050" s="120">
        <v>0</v>
      </c>
      <c r="K2050" s="110">
        <v>0</v>
      </c>
      <c r="L2050" s="110"/>
      <c r="M2050" s="110">
        <v>0</v>
      </c>
      <c r="N2050" s="110"/>
      <c r="O2050" s="110"/>
      <c r="P2050" s="110">
        <f t="shared" si="156"/>
        <v>0</v>
      </c>
      <c r="Q2050" s="110">
        <f t="shared" si="157"/>
        <v>0</v>
      </c>
      <c r="R2050" s="110">
        <f t="shared" si="158"/>
        <v>0</v>
      </c>
      <c r="S2050" s="112">
        <v>0</v>
      </c>
    </row>
    <row r="2051" spans="1:19">
      <c r="A2051" s="79"/>
      <c r="B2051" s="77" t="s">
        <v>217</v>
      </c>
      <c r="C2051" s="76"/>
      <c r="D2051" s="143"/>
      <c r="E2051" s="346"/>
      <c r="F2051" s="346"/>
      <c r="G2051" s="112">
        <v>0</v>
      </c>
      <c r="H2051" s="120">
        <v>0</v>
      </c>
      <c r="I2051" s="120">
        <v>0</v>
      </c>
      <c r="J2051" s="120">
        <v>0</v>
      </c>
      <c r="K2051" s="110">
        <v>0</v>
      </c>
      <c r="L2051" s="110"/>
      <c r="M2051" s="110">
        <v>0</v>
      </c>
      <c r="N2051" s="110"/>
      <c r="O2051" s="110"/>
      <c r="P2051" s="110">
        <f t="shared" si="156"/>
        <v>0</v>
      </c>
      <c r="Q2051" s="110">
        <f t="shared" si="157"/>
        <v>0</v>
      </c>
      <c r="R2051" s="110">
        <f t="shared" si="158"/>
        <v>0</v>
      </c>
      <c r="S2051" s="112">
        <v>0</v>
      </c>
    </row>
    <row r="2052" spans="1:19">
      <c r="A2052" s="79"/>
      <c r="B2052" s="77" t="s">
        <v>205</v>
      </c>
      <c r="C2052" s="76" t="s">
        <v>4</v>
      </c>
      <c r="D2052" s="143">
        <v>39</v>
      </c>
      <c r="E2052" s="346"/>
      <c r="F2052" s="334"/>
      <c r="G2052" s="112">
        <v>0</v>
      </c>
      <c r="H2052" s="120">
        <v>0</v>
      </c>
      <c r="I2052" s="120">
        <v>0</v>
      </c>
      <c r="J2052" s="120">
        <v>0</v>
      </c>
      <c r="K2052" s="110">
        <v>0</v>
      </c>
      <c r="L2052" s="110"/>
      <c r="M2052" s="110">
        <v>0</v>
      </c>
      <c r="N2052" s="110"/>
      <c r="O2052" s="110"/>
      <c r="P2052" s="110">
        <f t="shared" si="156"/>
        <v>0</v>
      </c>
      <c r="Q2052" s="110">
        <f t="shared" si="157"/>
        <v>0</v>
      </c>
      <c r="R2052" s="110">
        <f t="shared" si="158"/>
        <v>0</v>
      </c>
      <c r="S2052" s="112">
        <v>0</v>
      </c>
    </row>
    <row r="2053" spans="1:19">
      <c r="A2053" s="79"/>
      <c r="B2053" s="77" t="s">
        <v>162</v>
      </c>
      <c r="C2053" s="76" t="s">
        <v>4</v>
      </c>
      <c r="D2053" s="143">
        <v>39</v>
      </c>
      <c r="E2053" s="346"/>
      <c r="F2053" s="334"/>
      <c r="G2053" s="112">
        <v>0</v>
      </c>
      <c r="H2053" s="120">
        <v>0</v>
      </c>
      <c r="I2053" s="120">
        <v>0</v>
      </c>
      <c r="J2053" s="120">
        <v>0</v>
      </c>
      <c r="K2053" s="110">
        <v>0</v>
      </c>
      <c r="L2053" s="110"/>
      <c r="M2053" s="110">
        <v>0</v>
      </c>
      <c r="N2053" s="110"/>
      <c r="O2053" s="110"/>
      <c r="P2053" s="110">
        <f t="shared" si="156"/>
        <v>0</v>
      </c>
      <c r="Q2053" s="110">
        <f t="shared" si="157"/>
        <v>0</v>
      </c>
      <c r="R2053" s="110">
        <f t="shared" si="158"/>
        <v>0</v>
      </c>
      <c r="S2053" s="112">
        <v>0</v>
      </c>
    </row>
    <row r="2054" spans="1:19">
      <c r="A2054" s="79"/>
      <c r="B2054" s="77" t="s">
        <v>163</v>
      </c>
      <c r="C2054" s="76" t="s">
        <v>4</v>
      </c>
      <c r="D2054" s="143">
        <v>1</v>
      </c>
      <c r="E2054" s="346"/>
      <c r="F2054" s="334"/>
      <c r="G2054" s="112">
        <v>0</v>
      </c>
      <c r="H2054" s="120">
        <v>0</v>
      </c>
      <c r="I2054" s="120">
        <v>0</v>
      </c>
      <c r="J2054" s="120">
        <v>0</v>
      </c>
      <c r="K2054" s="110">
        <v>0</v>
      </c>
      <c r="L2054" s="110"/>
      <c r="M2054" s="110">
        <v>0</v>
      </c>
      <c r="N2054" s="110"/>
      <c r="O2054" s="110"/>
      <c r="P2054" s="110">
        <f t="shared" si="156"/>
        <v>0</v>
      </c>
      <c r="Q2054" s="110">
        <f t="shared" si="157"/>
        <v>0</v>
      </c>
      <c r="R2054" s="110">
        <f t="shared" si="158"/>
        <v>0</v>
      </c>
      <c r="S2054" s="112">
        <v>0</v>
      </c>
    </row>
    <row r="2055" spans="1:19">
      <c r="A2055" s="79"/>
      <c r="B2055" s="77" t="s">
        <v>268</v>
      </c>
      <c r="C2055" s="76" t="s">
        <v>8</v>
      </c>
      <c r="D2055" s="143">
        <v>1</v>
      </c>
      <c r="E2055" s="346"/>
      <c r="F2055" s="334"/>
      <c r="G2055" s="112">
        <v>0</v>
      </c>
      <c r="H2055" s="120">
        <v>0</v>
      </c>
      <c r="I2055" s="120">
        <v>0</v>
      </c>
      <c r="J2055" s="120">
        <v>0</v>
      </c>
      <c r="K2055" s="110">
        <v>0</v>
      </c>
      <c r="L2055" s="110"/>
      <c r="M2055" s="110">
        <v>0</v>
      </c>
      <c r="N2055" s="110"/>
      <c r="O2055" s="110"/>
      <c r="P2055" s="110">
        <f t="shared" si="156"/>
        <v>0</v>
      </c>
      <c r="Q2055" s="110">
        <f t="shared" si="157"/>
        <v>0</v>
      </c>
      <c r="R2055" s="110">
        <f t="shared" si="158"/>
        <v>0</v>
      </c>
      <c r="S2055" s="112">
        <v>0</v>
      </c>
    </row>
    <row r="2056" spans="1:19" ht="45">
      <c r="A2056" s="79"/>
      <c r="B2056" s="77" t="s">
        <v>166</v>
      </c>
      <c r="C2056" s="76" t="s">
        <v>17</v>
      </c>
      <c r="D2056" s="143">
        <v>1</v>
      </c>
      <c r="E2056" s="346"/>
      <c r="F2056" s="334"/>
      <c r="G2056" s="112">
        <v>0</v>
      </c>
      <c r="H2056" s="120">
        <v>0</v>
      </c>
      <c r="I2056" s="120">
        <v>0</v>
      </c>
      <c r="J2056" s="120">
        <v>0</v>
      </c>
      <c r="K2056" s="110">
        <v>0</v>
      </c>
      <c r="L2056" s="110"/>
      <c r="M2056" s="110">
        <v>0</v>
      </c>
      <c r="N2056" s="110"/>
      <c r="O2056" s="110"/>
      <c r="P2056" s="110">
        <f t="shared" si="156"/>
        <v>0</v>
      </c>
      <c r="Q2056" s="110">
        <f t="shared" si="157"/>
        <v>0</v>
      </c>
      <c r="R2056" s="110">
        <f t="shared" si="158"/>
        <v>0</v>
      </c>
      <c r="S2056" s="112">
        <v>0</v>
      </c>
    </row>
    <row r="2057" spans="1:19" ht="60">
      <c r="A2057" s="79">
        <v>77</v>
      </c>
      <c r="B2057" s="77" t="s">
        <v>440</v>
      </c>
      <c r="C2057" s="76" t="s">
        <v>6</v>
      </c>
      <c r="D2057" s="143">
        <v>1</v>
      </c>
      <c r="E2057" s="346"/>
      <c r="F2057" s="334">
        <v>1</v>
      </c>
      <c r="G2057" s="112" t="s">
        <v>440</v>
      </c>
      <c r="H2057" s="120" t="s">
        <v>1076</v>
      </c>
      <c r="I2057" s="120" t="s">
        <v>828</v>
      </c>
      <c r="J2057" s="120" t="s">
        <v>829</v>
      </c>
      <c r="K2057" s="110">
        <v>8310600</v>
      </c>
      <c r="L2057" s="110"/>
      <c r="M2057" s="110">
        <v>1471000</v>
      </c>
      <c r="N2057" s="110"/>
      <c r="O2057" s="110"/>
      <c r="P2057" s="110">
        <f t="shared" si="156"/>
        <v>9781600</v>
      </c>
      <c r="Q2057" s="110">
        <f t="shared" si="157"/>
        <v>9781600</v>
      </c>
      <c r="R2057" s="110">
        <f t="shared" si="158"/>
        <v>9781600</v>
      </c>
      <c r="S2057" s="112" t="s">
        <v>4094</v>
      </c>
    </row>
    <row r="2058" spans="1:19" ht="45">
      <c r="A2058" s="79"/>
      <c r="B2058" s="77" t="s">
        <v>438</v>
      </c>
      <c r="C2058" s="76" t="s">
        <v>4</v>
      </c>
      <c r="D2058" s="143">
        <v>1</v>
      </c>
      <c r="E2058" s="346"/>
      <c r="F2058" s="334"/>
      <c r="G2058" s="112">
        <v>0</v>
      </c>
      <c r="H2058" s="120">
        <v>0</v>
      </c>
      <c r="I2058" s="120">
        <v>0</v>
      </c>
      <c r="J2058" s="120">
        <v>0</v>
      </c>
      <c r="K2058" s="110">
        <v>0</v>
      </c>
      <c r="L2058" s="110"/>
      <c r="M2058" s="110">
        <v>0</v>
      </c>
      <c r="N2058" s="110"/>
      <c r="O2058" s="110"/>
      <c r="P2058" s="110">
        <f t="shared" si="156"/>
        <v>0</v>
      </c>
      <c r="Q2058" s="110">
        <f t="shared" si="157"/>
        <v>0</v>
      </c>
      <c r="R2058" s="110">
        <f t="shared" si="158"/>
        <v>0</v>
      </c>
      <c r="S2058" s="112" t="s">
        <v>150</v>
      </c>
    </row>
    <row r="2059" spans="1:19">
      <c r="A2059" s="79"/>
      <c r="B2059" s="77" t="s">
        <v>151</v>
      </c>
      <c r="C2059" s="76"/>
      <c r="D2059" s="143"/>
      <c r="E2059" s="346"/>
      <c r="F2059" s="346"/>
      <c r="G2059" s="112">
        <v>0</v>
      </c>
      <c r="H2059" s="120">
        <v>0</v>
      </c>
      <c r="I2059" s="120">
        <v>0</v>
      </c>
      <c r="J2059" s="120">
        <v>0</v>
      </c>
      <c r="K2059" s="110">
        <v>0</v>
      </c>
      <c r="L2059" s="110"/>
      <c r="M2059" s="110">
        <v>0</v>
      </c>
      <c r="N2059" s="110"/>
      <c r="O2059" s="110"/>
      <c r="P2059" s="110">
        <f t="shared" si="156"/>
        <v>0</v>
      </c>
      <c r="Q2059" s="110">
        <f t="shared" si="157"/>
        <v>0</v>
      </c>
      <c r="R2059" s="110">
        <f t="shared" si="158"/>
        <v>0</v>
      </c>
      <c r="S2059" s="112">
        <v>0</v>
      </c>
    </row>
    <row r="2060" spans="1:19">
      <c r="A2060" s="79"/>
      <c r="B2060" s="77" t="s">
        <v>220</v>
      </c>
      <c r="C2060" s="76" t="s">
        <v>4</v>
      </c>
      <c r="D2060" s="143">
        <v>1</v>
      </c>
      <c r="E2060" s="59"/>
      <c r="F2060" s="334"/>
      <c r="G2060" s="112">
        <v>0</v>
      </c>
      <c r="H2060" s="120">
        <v>0</v>
      </c>
      <c r="I2060" s="120">
        <v>0</v>
      </c>
      <c r="J2060" s="120">
        <v>0</v>
      </c>
      <c r="K2060" s="110">
        <v>0</v>
      </c>
      <c r="L2060" s="110"/>
      <c r="M2060" s="110">
        <v>0</v>
      </c>
      <c r="N2060" s="110"/>
      <c r="O2060" s="110"/>
      <c r="P2060" s="110">
        <f t="shared" si="156"/>
        <v>0</v>
      </c>
      <c r="Q2060" s="110">
        <f t="shared" si="157"/>
        <v>0</v>
      </c>
      <c r="R2060" s="110">
        <f t="shared" si="158"/>
        <v>0</v>
      </c>
      <c r="S2060" s="112">
        <v>0</v>
      </c>
    </row>
    <row r="2061" spans="1:19">
      <c r="A2061" s="79"/>
      <c r="B2061" s="77" t="s">
        <v>154</v>
      </c>
      <c r="C2061" s="76"/>
      <c r="D2061" s="143"/>
      <c r="E2061" s="345"/>
      <c r="F2061" s="345"/>
      <c r="G2061" s="112">
        <v>0</v>
      </c>
      <c r="H2061" s="120">
        <v>0</v>
      </c>
      <c r="I2061" s="120">
        <v>0</v>
      </c>
      <c r="J2061" s="120">
        <v>0</v>
      </c>
      <c r="K2061" s="110">
        <v>0</v>
      </c>
      <c r="L2061" s="110"/>
      <c r="M2061" s="110">
        <v>0</v>
      </c>
      <c r="N2061" s="110"/>
      <c r="O2061" s="110"/>
      <c r="P2061" s="110">
        <f t="shared" si="156"/>
        <v>0</v>
      </c>
      <c r="Q2061" s="110">
        <f t="shared" si="157"/>
        <v>0</v>
      </c>
      <c r="R2061" s="110">
        <f t="shared" si="158"/>
        <v>0</v>
      </c>
      <c r="S2061" s="112">
        <v>0</v>
      </c>
    </row>
    <row r="2062" spans="1:19">
      <c r="A2062" s="79"/>
      <c r="B2062" s="77" t="s">
        <v>439</v>
      </c>
      <c r="C2062" s="76" t="s">
        <v>4</v>
      </c>
      <c r="D2062" s="143">
        <v>1</v>
      </c>
      <c r="E2062" s="345"/>
      <c r="F2062" s="334"/>
      <c r="G2062" s="112">
        <v>0</v>
      </c>
      <c r="H2062" s="120">
        <v>0</v>
      </c>
      <c r="I2062" s="120">
        <v>0</v>
      </c>
      <c r="J2062" s="120">
        <v>0</v>
      </c>
      <c r="K2062" s="110">
        <v>0</v>
      </c>
      <c r="L2062" s="110"/>
      <c r="M2062" s="110">
        <v>0</v>
      </c>
      <c r="N2062" s="110"/>
      <c r="O2062" s="110"/>
      <c r="P2062" s="110">
        <f t="shared" si="156"/>
        <v>0</v>
      </c>
      <c r="Q2062" s="110">
        <f t="shared" si="157"/>
        <v>0</v>
      </c>
      <c r="R2062" s="110">
        <f t="shared" si="158"/>
        <v>0</v>
      </c>
      <c r="S2062" s="112">
        <v>0</v>
      </c>
    </row>
    <row r="2063" spans="1:19">
      <c r="A2063" s="79"/>
      <c r="B2063" s="77" t="s">
        <v>217</v>
      </c>
      <c r="C2063" s="76"/>
      <c r="D2063" s="143"/>
      <c r="E2063" s="345"/>
      <c r="F2063" s="345"/>
      <c r="G2063" s="112">
        <v>0</v>
      </c>
      <c r="H2063" s="120">
        <v>0</v>
      </c>
      <c r="I2063" s="120">
        <v>0</v>
      </c>
      <c r="J2063" s="120">
        <v>0</v>
      </c>
      <c r="K2063" s="110">
        <v>0</v>
      </c>
      <c r="L2063" s="110"/>
      <c r="M2063" s="110">
        <v>0</v>
      </c>
      <c r="N2063" s="110"/>
      <c r="O2063" s="110"/>
      <c r="P2063" s="110">
        <f t="shared" si="156"/>
        <v>0</v>
      </c>
      <c r="Q2063" s="110">
        <f t="shared" si="157"/>
        <v>0</v>
      </c>
      <c r="R2063" s="110">
        <f t="shared" si="158"/>
        <v>0</v>
      </c>
      <c r="S2063" s="112">
        <v>0</v>
      </c>
    </row>
    <row r="2064" spans="1:19">
      <c r="A2064" s="79"/>
      <c r="B2064" s="77" t="s">
        <v>205</v>
      </c>
      <c r="C2064" s="76" t="s">
        <v>4</v>
      </c>
      <c r="D2064" s="143">
        <v>16</v>
      </c>
      <c r="E2064" s="345"/>
      <c r="F2064" s="334"/>
      <c r="G2064" s="112">
        <v>0</v>
      </c>
      <c r="H2064" s="120">
        <v>0</v>
      </c>
      <c r="I2064" s="120">
        <v>0</v>
      </c>
      <c r="J2064" s="120">
        <v>0</v>
      </c>
      <c r="K2064" s="110">
        <v>0</v>
      </c>
      <c r="L2064" s="110"/>
      <c r="M2064" s="110">
        <v>0</v>
      </c>
      <c r="N2064" s="110"/>
      <c r="O2064" s="110"/>
      <c r="P2064" s="110">
        <f t="shared" si="156"/>
        <v>0</v>
      </c>
      <c r="Q2064" s="110">
        <f t="shared" si="157"/>
        <v>0</v>
      </c>
      <c r="R2064" s="110">
        <f t="shared" si="158"/>
        <v>0</v>
      </c>
      <c r="S2064" s="112">
        <v>0</v>
      </c>
    </row>
    <row r="2065" spans="1:19">
      <c r="A2065" s="79"/>
      <c r="B2065" s="77" t="s">
        <v>162</v>
      </c>
      <c r="C2065" s="76" t="s">
        <v>4</v>
      </c>
      <c r="D2065" s="143">
        <v>16</v>
      </c>
      <c r="E2065" s="345"/>
      <c r="F2065" s="334"/>
      <c r="G2065" s="112">
        <v>0</v>
      </c>
      <c r="H2065" s="120">
        <v>0</v>
      </c>
      <c r="I2065" s="120">
        <v>0</v>
      </c>
      <c r="J2065" s="120">
        <v>0</v>
      </c>
      <c r="K2065" s="110">
        <v>0</v>
      </c>
      <c r="L2065" s="110"/>
      <c r="M2065" s="110">
        <v>0</v>
      </c>
      <c r="N2065" s="110"/>
      <c r="O2065" s="110"/>
      <c r="P2065" s="110">
        <f t="shared" si="156"/>
        <v>0</v>
      </c>
      <c r="Q2065" s="110">
        <f t="shared" si="157"/>
        <v>0</v>
      </c>
      <c r="R2065" s="110">
        <f t="shared" si="158"/>
        <v>0</v>
      </c>
      <c r="S2065" s="112">
        <v>0</v>
      </c>
    </row>
    <row r="2066" spans="1:19">
      <c r="A2066" s="79"/>
      <c r="B2066" s="77" t="s">
        <v>163</v>
      </c>
      <c r="C2066" s="76" t="s">
        <v>4</v>
      </c>
      <c r="D2066" s="143">
        <v>1</v>
      </c>
      <c r="E2066" s="345"/>
      <c r="F2066" s="334"/>
      <c r="G2066" s="112">
        <v>0</v>
      </c>
      <c r="H2066" s="120">
        <v>0</v>
      </c>
      <c r="I2066" s="120">
        <v>0</v>
      </c>
      <c r="J2066" s="120">
        <v>0</v>
      </c>
      <c r="K2066" s="110">
        <v>0</v>
      </c>
      <c r="L2066" s="110"/>
      <c r="M2066" s="110">
        <v>0</v>
      </c>
      <c r="N2066" s="110"/>
      <c r="O2066" s="110"/>
      <c r="P2066" s="110">
        <f t="shared" si="156"/>
        <v>0</v>
      </c>
      <c r="Q2066" s="110">
        <f t="shared" si="157"/>
        <v>0</v>
      </c>
      <c r="R2066" s="110">
        <f t="shared" si="158"/>
        <v>0</v>
      </c>
      <c r="S2066" s="112">
        <v>0</v>
      </c>
    </row>
    <row r="2067" spans="1:19">
      <c r="A2067" s="79"/>
      <c r="B2067" s="77" t="s">
        <v>268</v>
      </c>
      <c r="C2067" s="76" t="s">
        <v>8</v>
      </c>
      <c r="D2067" s="143">
        <v>1</v>
      </c>
      <c r="E2067" s="345"/>
      <c r="F2067" s="334"/>
      <c r="G2067" s="112">
        <v>0</v>
      </c>
      <c r="H2067" s="120">
        <v>0</v>
      </c>
      <c r="I2067" s="120">
        <v>0</v>
      </c>
      <c r="J2067" s="120">
        <v>0</v>
      </c>
      <c r="K2067" s="110">
        <v>0</v>
      </c>
      <c r="L2067" s="110"/>
      <c r="M2067" s="110">
        <v>0</v>
      </c>
      <c r="N2067" s="110"/>
      <c r="O2067" s="110"/>
      <c r="P2067" s="110">
        <f t="shared" si="156"/>
        <v>0</v>
      </c>
      <c r="Q2067" s="110">
        <f t="shared" si="157"/>
        <v>0</v>
      </c>
      <c r="R2067" s="110">
        <f t="shared" si="158"/>
        <v>0</v>
      </c>
      <c r="S2067" s="112">
        <v>0</v>
      </c>
    </row>
    <row r="2068" spans="1:19" ht="45">
      <c r="A2068" s="79"/>
      <c r="B2068" s="77" t="s">
        <v>166</v>
      </c>
      <c r="C2068" s="76" t="s">
        <v>17</v>
      </c>
      <c r="D2068" s="143">
        <v>1</v>
      </c>
      <c r="E2068" s="345"/>
      <c r="F2068" s="334"/>
      <c r="G2068" s="112">
        <v>0</v>
      </c>
      <c r="H2068" s="120">
        <v>0</v>
      </c>
      <c r="I2068" s="120">
        <v>0</v>
      </c>
      <c r="J2068" s="120">
        <v>0</v>
      </c>
      <c r="K2068" s="110">
        <v>0</v>
      </c>
      <c r="L2068" s="110"/>
      <c r="M2068" s="110">
        <v>0</v>
      </c>
      <c r="N2068" s="110"/>
      <c r="O2068" s="110"/>
      <c r="P2068" s="110">
        <f t="shared" si="156"/>
        <v>0</v>
      </c>
      <c r="Q2068" s="110">
        <f t="shared" si="157"/>
        <v>0</v>
      </c>
      <c r="R2068" s="110">
        <f t="shared" si="158"/>
        <v>0</v>
      </c>
      <c r="S2068" s="112">
        <v>0</v>
      </c>
    </row>
    <row r="2069" spans="1:19" ht="60">
      <c r="A2069" s="79">
        <v>78</v>
      </c>
      <c r="B2069" s="77" t="s">
        <v>441</v>
      </c>
      <c r="C2069" s="76" t="s">
        <v>6</v>
      </c>
      <c r="D2069" s="143">
        <v>1</v>
      </c>
      <c r="E2069" s="345"/>
      <c r="F2069" s="334">
        <v>1</v>
      </c>
      <c r="G2069" s="112" t="s">
        <v>441</v>
      </c>
      <c r="H2069" s="120" t="s">
        <v>1076</v>
      </c>
      <c r="I2069" s="120" t="s">
        <v>828</v>
      </c>
      <c r="J2069" s="120" t="s">
        <v>829</v>
      </c>
      <c r="K2069" s="110">
        <v>8659800</v>
      </c>
      <c r="L2069" s="110"/>
      <c r="M2069" s="110">
        <v>1471000</v>
      </c>
      <c r="N2069" s="110"/>
      <c r="O2069" s="110"/>
      <c r="P2069" s="110">
        <f t="shared" si="156"/>
        <v>10130800</v>
      </c>
      <c r="Q2069" s="110">
        <f t="shared" si="157"/>
        <v>10130800</v>
      </c>
      <c r="R2069" s="110">
        <f t="shared" si="158"/>
        <v>10130800</v>
      </c>
      <c r="S2069" s="112" t="s">
        <v>4094</v>
      </c>
    </row>
    <row r="2070" spans="1:19" ht="45">
      <c r="A2070" s="79"/>
      <c r="B2070" s="77" t="s">
        <v>438</v>
      </c>
      <c r="C2070" s="76" t="s">
        <v>4</v>
      </c>
      <c r="D2070" s="143">
        <v>1</v>
      </c>
      <c r="E2070" s="345"/>
      <c r="F2070" s="334"/>
      <c r="G2070" s="112">
        <v>0</v>
      </c>
      <c r="H2070" s="120">
        <v>0</v>
      </c>
      <c r="I2070" s="120">
        <v>0</v>
      </c>
      <c r="J2070" s="120">
        <v>0</v>
      </c>
      <c r="K2070" s="110">
        <v>0</v>
      </c>
      <c r="L2070" s="110"/>
      <c r="M2070" s="110">
        <v>0</v>
      </c>
      <c r="N2070" s="110"/>
      <c r="O2070" s="110"/>
      <c r="P2070" s="110">
        <f t="shared" si="156"/>
        <v>0</v>
      </c>
      <c r="Q2070" s="110">
        <f t="shared" si="157"/>
        <v>0</v>
      </c>
      <c r="R2070" s="110">
        <f t="shared" si="158"/>
        <v>0</v>
      </c>
      <c r="S2070" s="112" t="s">
        <v>150</v>
      </c>
    </row>
    <row r="2071" spans="1:19">
      <c r="A2071" s="79"/>
      <c r="B2071" s="77" t="s">
        <v>151</v>
      </c>
      <c r="C2071" s="76"/>
      <c r="D2071" s="143"/>
      <c r="E2071" s="345"/>
      <c r="F2071" s="345"/>
      <c r="G2071" s="112">
        <v>0</v>
      </c>
      <c r="H2071" s="120">
        <v>0</v>
      </c>
      <c r="I2071" s="120">
        <v>0</v>
      </c>
      <c r="J2071" s="120">
        <v>0</v>
      </c>
      <c r="K2071" s="110">
        <v>0</v>
      </c>
      <c r="L2071" s="110"/>
      <c r="M2071" s="110">
        <v>0</v>
      </c>
      <c r="N2071" s="110"/>
      <c r="O2071" s="110"/>
      <c r="P2071" s="110">
        <f t="shared" si="156"/>
        <v>0</v>
      </c>
      <c r="Q2071" s="110">
        <f t="shared" si="157"/>
        <v>0</v>
      </c>
      <c r="R2071" s="110">
        <f t="shared" si="158"/>
        <v>0</v>
      </c>
      <c r="S2071" s="112">
        <v>0</v>
      </c>
    </row>
    <row r="2072" spans="1:19">
      <c r="A2072" s="79"/>
      <c r="B2072" s="77" t="s">
        <v>220</v>
      </c>
      <c r="C2072" s="76" t="s">
        <v>4</v>
      </c>
      <c r="D2072" s="143">
        <v>1</v>
      </c>
      <c r="E2072" s="345"/>
      <c r="F2072" s="334"/>
      <c r="G2072" s="112">
        <v>0</v>
      </c>
      <c r="H2072" s="120">
        <v>0</v>
      </c>
      <c r="I2072" s="120">
        <v>0</v>
      </c>
      <c r="J2072" s="120">
        <v>0</v>
      </c>
      <c r="K2072" s="110">
        <v>0</v>
      </c>
      <c r="L2072" s="110"/>
      <c r="M2072" s="110">
        <v>0</v>
      </c>
      <c r="N2072" s="110"/>
      <c r="O2072" s="110"/>
      <c r="P2072" s="110">
        <f t="shared" si="156"/>
        <v>0</v>
      </c>
      <c r="Q2072" s="110">
        <f t="shared" si="157"/>
        <v>0</v>
      </c>
      <c r="R2072" s="110">
        <f t="shared" si="158"/>
        <v>0</v>
      </c>
      <c r="S2072" s="112">
        <v>0</v>
      </c>
    </row>
    <row r="2073" spans="1:19">
      <c r="A2073" s="79"/>
      <c r="B2073" s="77" t="s">
        <v>154</v>
      </c>
      <c r="C2073" s="76"/>
      <c r="D2073" s="143"/>
      <c r="E2073" s="345"/>
      <c r="F2073" s="345"/>
      <c r="G2073" s="112">
        <v>0</v>
      </c>
      <c r="H2073" s="120">
        <v>0</v>
      </c>
      <c r="I2073" s="120">
        <v>0</v>
      </c>
      <c r="J2073" s="120">
        <v>0</v>
      </c>
      <c r="K2073" s="110">
        <v>0</v>
      </c>
      <c r="L2073" s="110"/>
      <c r="M2073" s="110">
        <v>0</v>
      </c>
      <c r="N2073" s="110"/>
      <c r="O2073" s="110"/>
      <c r="P2073" s="110">
        <f t="shared" si="156"/>
        <v>0</v>
      </c>
      <c r="Q2073" s="110">
        <f t="shared" si="157"/>
        <v>0</v>
      </c>
      <c r="R2073" s="110">
        <f t="shared" si="158"/>
        <v>0</v>
      </c>
      <c r="S2073" s="112">
        <v>0</v>
      </c>
    </row>
    <row r="2074" spans="1:19">
      <c r="A2074" s="79"/>
      <c r="B2074" s="77" t="s">
        <v>439</v>
      </c>
      <c r="C2074" s="76" t="s">
        <v>4</v>
      </c>
      <c r="D2074" s="143">
        <v>1</v>
      </c>
      <c r="E2074" s="345"/>
      <c r="F2074" s="334"/>
      <c r="G2074" s="112">
        <v>0</v>
      </c>
      <c r="H2074" s="120">
        <v>0</v>
      </c>
      <c r="I2074" s="120">
        <v>0</v>
      </c>
      <c r="J2074" s="120">
        <v>0</v>
      </c>
      <c r="K2074" s="110">
        <v>0</v>
      </c>
      <c r="L2074" s="110"/>
      <c r="M2074" s="110">
        <v>0</v>
      </c>
      <c r="N2074" s="110"/>
      <c r="O2074" s="110"/>
      <c r="P2074" s="110">
        <f t="shared" si="156"/>
        <v>0</v>
      </c>
      <c r="Q2074" s="110">
        <f t="shared" si="157"/>
        <v>0</v>
      </c>
      <c r="R2074" s="110">
        <f t="shared" si="158"/>
        <v>0</v>
      </c>
      <c r="S2074" s="112">
        <v>0</v>
      </c>
    </row>
    <row r="2075" spans="1:19">
      <c r="A2075" s="79"/>
      <c r="B2075" s="77" t="s">
        <v>217</v>
      </c>
      <c r="C2075" s="76"/>
      <c r="D2075" s="143"/>
      <c r="E2075" s="345"/>
      <c r="F2075" s="345"/>
      <c r="G2075" s="112">
        <v>0</v>
      </c>
      <c r="H2075" s="120">
        <v>0</v>
      </c>
      <c r="I2075" s="120">
        <v>0</v>
      </c>
      <c r="J2075" s="120">
        <v>0</v>
      </c>
      <c r="K2075" s="110">
        <v>0</v>
      </c>
      <c r="L2075" s="110"/>
      <c r="M2075" s="110">
        <v>0</v>
      </c>
      <c r="N2075" s="110"/>
      <c r="O2075" s="110"/>
      <c r="P2075" s="110">
        <f t="shared" si="156"/>
        <v>0</v>
      </c>
      <c r="Q2075" s="110">
        <f t="shared" si="157"/>
        <v>0</v>
      </c>
      <c r="R2075" s="110">
        <f t="shared" si="158"/>
        <v>0</v>
      </c>
      <c r="S2075" s="112">
        <v>0</v>
      </c>
    </row>
    <row r="2076" spans="1:19">
      <c r="A2076" s="79"/>
      <c r="B2076" s="77" t="s">
        <v>205</v>
      </c>
      <c r="C2076" s="76" t="s">
        <v>4</v>
      </c>
      <c r="D2076" s="143">
        <v>18</v>
      </c>
      <c r="E2076" s="345"/>
      <c r="F2076" s="334"/>
      <c r="G2076" s="112">
        <v>0</v>
      </c>
      <c r="H2076" s="120">
        <v>0</v>
      </c>
      <c r="I2076" s="120">
        <v>0</v>
      </c>
      <c r="J2076" s="120">
        <v>0</v>
      </c>
      <c r="K2076" s="110">
        <v>0</v>
      </c>
      <c r="L2076" s="110"/>
      <c r="M2076" s="110">
        <v>0</v>
      </c>
      <c r="N2076" s="110"/>
      <c r="O2076" s="110"/>
      <c r="P2076" s="110">
        <f t="shared" si="156"/>
        <v>0</v>
      </c>
      <c r="Q2076" s="110">
        <f t="shared" si="157"/>
        <v>0</v>
      </c>
      <c r="R2076" s="110">
        <f t="shared" si="158"/>
        <v>0</v>
      </c>
      <c r="S2076" s="112">
        <v>0</v>
      </c>
    </row>
    <row r="2077" spans="1:19">
      <c r="A2077" s="79"/>
      <c r="B2077" s="77" t="s">
        <v>162</v>
      </c>
      <c r="C2077" s="76" t="s">
        <v>4</v>
      </c>
      <c r="D2077" s="143">
        <v>18</v>
      </c>
      <c r="E2077" s="345"/>
      <c r="F2077" s="334"/>
      <c r="G2077" s="112">
        <v>0</v>
      </c>
      <c r="H2077" s="120">
        <v>0</v>
      </c>
      <c r="I2077" s="120">
        <v>0</v>
      </c>
      <c r="J2077" s="120">
        <v>0</v>
      </c>
      <c r="K2077" s="110">
        <v>0</v>
      </c>
      <c r="L2077" s="110"/>
      <c r="M2077" s="110">
        <v>0</v>
      </c>
      <c r="N2077" s="110"/>
      <c r="O2077" s="110"/>
      <c r="P2077" s="110">
        <f t="shared" si="156"/>
        <v>0</v>
      </c>
      <c r="Q2077" s="110">
        <f t="shared" si="157"/>
        <v>0</v>
      </c>
      <c r="R2077" s="110">
        <f t="shared" si="158"/>
        <v>0</v>
      </c>
      <c r="S2077" s="112">
        <v>0</v>
      </c>
    </row>
    <row r="2078" spans="1:19">
      <c r="A2078" s="79"/>
      <c r="B2078" s="77" t="s">
        <v>163</v>
      </c>
      <c r="C2078" s="76" t="s">
        <v>4</v>
      </c>
      <c r="D2078" s="143">
        <v>1</v>
      </c>
      <c r="E2078" s="345"/>
      <c r="F2078" s="334"/>
      <c r="G2078" s="112">
        <v>0</v>
      </c>
      <c r="H2078" s="120">
        <v>0</v>
      </c>
      <c r="I2078" s="120">
        <v>0</v>
      </c>
      <c r="J2078" s="120">
        <v>0</v>
      </c>
      <c r="K2078" s="110">
        <v>0</v>
      </c>
      <c r="L2078" s="110"/>
      <c r="M2078" s="110">
        <v>0</v>
      </c>
      <c r="N2078" s="110"/>
      <c r="O2078" s="110"/>
      <c r="P2078" s="110">
        <f t="shared" si="156"/>
        <v>0</v>
      </c>
      <c r="Q2078" s="110">
        <f t="shared" si="157"/>
        <v>0</v>
      </c>
      <c r="R2078" s="110">
        <f t="shared" si="158"/>
        <v>0</v>
      </c>
      <c r="S2078" s="112">
        <v>0</v>
      </c>
    </row>
    <row r="2079" spans="1:19">
      <c r="A2079" s="79"/>
      <c r="B2079" s="77" t="s">
        <v>268</v>
      </c>
      <c r="C2079" s="76" t="s">
        <v>8</v>
      </c>
      <c r="D2079" s="143">
        <v>1</v>
      </c>
      <c r="E2079" s="345"/>
      <c r="F2079" s="334"/>
      <c r="G2079" s="112">
        <v>0</v>
      </c>
      <c r="H2079" s="120">
        <v>0</v>
      </c>
      <c r="I2079" s="120">
        <v>0</v>
      </c>
      <c r="J2079" s="120">
        <v>0</v>
      </c>
      <c r="K2079" s="110">
        <v>0</v>
      </c>
      <c r="L2079" s="110"/>
      <c r="M2079" s="110">
        <v>0</v>
      </c>
      <c r="N2079" s="110"/>
      <c r="O2079" s="110"/>
      <c r="P2079" s="110">
        <f t="shared" si="156"/>
        <v>0</v>
      </c>
      <c r="Q2079" s="110">
        <f t="shared" si="157"/>
        <v>0</v>
      </c>
      <c r="R2079" s="110">
        <f t="shared" si="158"/>
        <v>0</v>
      </c>
      <c r="S2079" s="112">
        <v>0</v>
      </c>
    </row>
    <row r="2080" spans="1:19" ht="45">
      <c r="A2080" s="79"/>
      <c r="B2080" s="77" t="s">
        <v>166</v>
      </c>
      <c r="C2080" s="76" t="s">
        <v>17</v>
      </c>
      <c r="D2080" s="143">
        <v>1</v>
      </c>
      <c r="E2080" s="345"/>
      <c r="F2080" s="334"/>
      <c r="G2080" s="112">
        <v>0</v>
      </c>
      <c r="H2080" s="120">
        <v>0</v>
      </c>
      <c r="I2080" s="120">
        <v>0</v>
      </c>
      <c r="J2080" s="120">
        <v>0</v>
      </c>
      <c r="K2080" s="110">
        <v>0</v>
      </c>
      <c r="L2080" s="110"/>
      <c r="M2080" s="110">
        <v>0</v>
      </c>
      <c r="N2080" s="110"/>
      <c r="O2080" s="110"/>
      <c r="P2080" s="110">
        <f t="shared" si="156"/>
        <v>0</v>
      </c>
      <c r="Q2080" s="110">
        <f t="shared" si="157"/>
        <v>0</v>
      </c>
      <c r="R2080" s="110">
        <f t="shared" si="158"/>
        <v>0</v>
      </c>
      <c r="S2080" s="112">
        <v>0</v>
      </c>
    </row>
    <row r="2081" spans="1:19" ht="60">
      <c r="A2081" s="79">
        <v>79</v>
      </c>
      <c r="B2081" s="77" t="s">
        <v>442</v>
      </c>
      <c r="C2081" s="76" t="s">
        <v>6</v>
      </c>
      <c r="D2081" s="143">
        <v>1</v>
      </c>
      <c r="E2081" s="345"/>
      <c r="F2081" s="334">
        <v>1</v>
      </c>
      <c r="G2081" s="112" t="s">
        <v>442</v>
      </c>
      <c r="H2081" s="120" t="s">
        <v>1076</v>
      </c>
      <c r="I2081" s="120" t="s">
        <v>828</v>
      </c>
      <c r="J2081" s="120" t="s">
        <v>829</v>
      </c>
      <c r="K2081" s="110">
        <v>8310600</v>
      </c>
      <c r="L2081" s="110"/>
      <c r="M2081" s="110">
        <v>1471000</v>
      </c>
      <c r="N2081" s="110"/>
      <c r="O2081" s="110"/>
      <c r="P2081" s="110">
        <f t="shared" si="156"/>
        <v>9781600</v>
      </c>
      <c r="Q2081" s="110">
        <f t="shared" si="157"/>
        <v>9781600</v>
      </c>
      <c r="R2081" s="110">
        <f t="shared" si="158"/>
        <v>9781600</v>
      </c>
      <c r="S2081" s="112" t="s">
        <v>4094</v>
      </c>
    </row>
    <row r="2082" spans="1:19" ht="45">
      <c r="A2082" s="79"/>
      <c r="B2082" s="77" t="s">
        <v>438</v>
      </c>
      <c r="C2082" s="76" t="s">
        <v>4</v>
      </c>
      <c r="D2082" s="143">
        <v>1</v>
      </c>
      <c r="E2082" s="59"/>
      <c r="F2082" s="334"/>
      <c r="G2082" s="112">
        <v>0</v>
      </c>
      <c r="H2082" s="120">
        <v>0</v>
      </c>
      <c r="I2082" s="120">
        <v>0</v>
      </c>
      <c r="J2082" s="120">
        <v>0</v>
      </c>
      <c r="K2082" s="110">
        <v>0</v>
      </c>
      <c r="L2082" s="110"/>
      <c r="M2082" s="110">
        <v>0</v>
      </c>
      <c r="N2082" s="110"/>
      <c r="O2082" s="110"/>
      <c r="P2082" s="110">
        <f t="shared" si="156"/>
        <v>0</v>
      </c>
      <c r="Q2082" s="110">
        <f t="shared" si="157"/>
        <v>0</v>
      </c>
      <c r="R2082" s="110">
        <f t="shared" si="158"/>
        <v>0</v>
      </c>
      <c r="S2082" s="112" t="s">
        <v>150</v>
      </c>
    </row>
    <row r="2083" spans="1:19">
      <c r="A2083" s="79"/>
      <c r="B2083" s="77" t="s">
        <v>151</v>
      </c>
      <c r="C2083" s="76"/>
      <c r="D2083" s="143"/>
      <c r="E2083" s="77"/>
      <c r="F2083" s="76"/>
      <c r="G2083" s="112">
        <v>0</v>
      </c>
      <c r="H2083" s="120">
        <v>0</v>
      </c>
      <c r="I2083" s="120">
        <v>0</v>
      </c>
      <c r="J2083" s="120">
        <v>0</v>
      </c>
      <c r="K2083" s="110">
        <v>0</v>
      </c>
      <c r="L2083" s="110"/>
      <c r="M2083" s="110">
        <v>0</v>
      </c>
      <c r="N2083" s="110"/>
      <c r="O2083" s="110"/>
      <c r="P2083" s="110">
        <f t="shared" si="156"/>
        <v>0</v>
      </c>
      <c r="Q2083" s="110">
        <f t="shared" si="157"/>
        <v>0</v>
      </c>
      <c r="R2083" s="110">
        <f t="shared" si="158"/>
        <v>0</v>
      </c>
      <c r="S2083" s="112">
        <v>0</v>
      </c>
    </row>
    <row r="2084" spans="1:19">
      <c r="A2084" s="79"/>
      <c r="B2084" s="77" t="s">
        <v>220</v>
      </c>
      <c r="C2084" s="76" t="s">
        <v>4</v>
      </c>
      <c r="D2084" s="143">
        <v>1</v>
      </c>
      <c r="E2084" s="77"/>
      <c r="F2084" s="334"/>
      <c r="G2084" s="112">
        <v>0</v>
      </c>
      <c r="H2084" s="120">
        <v>0</v>
      </c>
      <c r="I2084" s="120">
        <v>0</v>
      </c>
      <c r="J2084" s="120">
        <v>0</v>
      </c>
      <c r="K2084" s="110">
        <v>0</v>
      </c>
      <c r="L2084" s="110"/>
      <c r="M2084" s="110">
        <v>0</v>
      </c>
      <c r="N2084" s="110"/>
      <c r="O2084" s="110"/>
      <c r="P2084" s="110">
        <f t="shared" si="156"/>
        <v>0</v>
      </c>
      <c r="Q2084" s="110">
        <f t="shared" si="157"/>
        <v>0</v>
      </c>
      <c r="R2084" s="110">
        <f t="shared" si="158"/>
        <v>0</v>
      </c>
      <c r="S2084" s="112">
        <v>0</v>
      </c>
    </row>
    <row r="2085" spans="1:19">
      <c r="A2085" s="79"/>
      <c r="B2085" s="77" t="s">
        <v>154</v>
      </c>
      <c r="C2085" s="76"/>
      <c r="D2085" s="143"/>
      <c r="E2085" s="77"/>
      <c r="F2085" s="76"/>
      <c r="G2085" s="112">
        <v>0</v>
      </c>
      <c r="H2085" s="120">
        <v>0</v>
      </c>
      <c r="I2085" s="120">
        <v>0</v>
      </c>
      <c r="J2085" s="120">
        <v>0</v>
      </c>
      <c r="K2085" s="110">
        <v>0</v>
      </c>
      <c r="L2085" s="110"/>
      <c r="M2085" s="110">
        <v>0</v>
      </c>
      <c r="N2085" s="110"/>
      <c r="O2085" s="110"/>
      <c r="P2085" s="110">
        <f t="shared" si="156"/>
        <v>0</v>
      </c>
      <c r="Q2085" s="110">
        <f t="shared" si="157"/>
        <v>0</v>
      </c>
      <c r="R2085" s="110">
        <f t="shared" si="158"/>
        <v>0</v>
      </c>
      <c r="S2085" s="112">
        <v>0</v>
      </c>
    </row>
    <row r="2086" spans="1:19">
      <c r="A2086" s="79"/>
      <c r="B2086" s="77" t="s">
        <v>439</v>
      </c>
      <c r="C2086" s="76" t="s">
        <v>4</v>
      </c>
      <c r="D2086" s="143">
        <v>1</v>
      </c>
      <c r="E2086" s="77"/>
      <c r="F2086" s="334"/>
      <c r="G2086" s="112">
        <v>0</v>
      </c>
      <c r="H2086" s="120">
        <v>0</v>
      </c>
      <c r="I2086" s="120">
        <v>0</v>
      </c>
      <c r="J2086" s="120">
        <v>0</v>
      </c>
      <c r="K2086" s="110">
        <v>0</v>
      </c>
      <c r="L2086" s="110"/>
      <c r="M2086" s="110">
        <v>0</v>
      </c>
      <c r="N2086" s="110"/>
      <c r="O2086" s="110"/>
      <c r="P2086" s="110">
        <f t="shared" si="156"/>
        <v>0</v>
      </c>
      <c r="Q2086" s="110">
        <f t="shared" si="157"/>
        <v>0</v>
      </c>
      <c r="R2086" s="110">
        <f t="shared" si="158"/>
        <v>0</v>
      </c>
      <c r="S2086" s="112">
        <v>0</v>
      </c>
    </row>
    <row r="2087" spans="1:19">
      <c r="A2087" s="79"/>
      <c r="B2087" s="77" t="s">
        <v>217</v>
      </c>
      <c r="C2087" s="76"/>
      <c r="D2087" s="143"/>
      <c r="E2087" s="77"/>
      <c r="F2087" s="76"/>
      <c r="G2087" s="112">
        <v>0</v>
      </c>
      <c r="H2087" s="120">
        <v>0</v>
      </c>
      <c r="I2087" s="120">
        <v>0</v>
      </c>
      <c r="J2087" s="120">
        <v>0</v>
      </c>
      <c r="K2087" s="110">
        <v>0</v>
      </c>
      <c r="L2087" s="110"/>
      <c r="M2087" s="110">
        <v>0</v>
      </c>
      <c r="N2087" s="110"/>
      <c r="O2087" s="110"/>
      <c r="P2087" s="110">
        <f t="shared" si="156"/>
        <v>0</v>
      </c>
      <c r="Q2087" s="110">
        <f t="shared" si="157"/>
        <v>0</v>
      </c>
      <c r="R2087" s="110">
        <f t="shared" si="158"/>
        <v>0</v>
      </c>
      <c r="S2087" s="112">
        <v>0</v>
      </c>
    </row>
    <row r="2088" spans="1:19">
      <c r="A2088" s="79"/>
      <c r="B2088" s="77" t="s">
        <v>205</v>
      </c>
      <c r="C2088" s="76" t="s">
        <v>4</v>
      </c>
      <c r="D2088" s="143">
        <v>16</v>
      </c>
      <c r="E2088" s="77"/>
      <c r="F2088" s="334"/>
      <c r="G2088" s="112">
        <v>0</v>
      </c>
      <c r="H2088" s="120">
        <v>0</v>
      </c>
      <c r="I2088" s="120">
        <v>0</v>
      </c>
      <c r="J2088" s="120">
        <v>0</v>
      </c>
      <c r="K2088" s="110">
        <v>0</v>
      </c>
      <c r="L2088" s="110"/>
      <c r="M2088" s="110">
        <v>0</v>
      </c>
      <c r="N2088" s="110"/>
      <c r="O2088" s="110"/>
      <c r="P2088" s="110">
        <f t="shared" si="156"/>
        <v>0</v>
      </c>
      <c r="Q2088" s="110">
        <f t="shared" si="157"/>
        <v>0</v>
      </c>
      <c r="R2088" s="110">
        <f t="shared" si="158"/>
        <v>0</v>
      </c>
      <c r="S2088" s="112">
        <v>0</v>
      </c>
    </row>
    <row r="2089" spans="1:19">
      <c r="A2089" s="79"/>
      <c r="B2089" s="77" t="s">
        <v>162</v>
      </c>
      <c r="C2089" s="76" t="s">
        <v>4</v>
      </c>
      <c r="D2089" s="143">
        <v>16</v>
      </c>
      <c r="E2089" s="77"/>
      <c r="F2089" s="334"/>
      <c r="G2089" s="112">
        <v>0</v>
      </c>
      <c r="H2089" s="120">
        <v>0</v>
      </c>
      <c r="I2089" s="120">
        <v>0</v>
      </c>
      <c r="J2089" s="120">
        <v>0</v>
      </c>
      <c r="K2089" s="110">
        <v>0</v>
      </c>
      <c r="L2089" s="110"/>
      <c r="M2089" s="110">
        <v>0</v>
      </c>
      <c r="N2089" s="110"/>
      <c r="O2089" s="110"/>
      <c r="P2089" s="110">
        <f t="shared" si="156"/>
        <v>0</v>
      </c>
      <c r="Q2089" s="110">
        <f t="shared" si="157"/>
        <v>0</v>
      </c>
      <c r="R2089" s="110">
        <f t="shared" si="158"/>
        <v>0</v>
      </c>
      <c r="S2089" s="112">
        <v>0</v>
      </c>
    </row>
    <row r="2090" spans="1:19">
      <c r="A2090" s="79"/>
      <c r="B2090" s="77" t="s">
        <v>163</v>
      </c>
      <c r="C2090" s="76" t="s">
        <v>4</v>
      </c>
      <c r="D2090" s="143">
        <v>1</v>
      </c>
      <c r="E2090" s="77"/>
      <c r="F2090" s="334"/>
      <c r="G2090" s="112">
        <v>0</v>
      </c>
      <c r="H2090" s="120">
        <v>0</v>
      </c>
      <c r="I2090" s="120">
        <v>0</v>
      </c>
      <c r="J2090" s="120">
        <v>0</v>
      </c>
      <c r="K2090" s="110">
        <v>0</v>
      </c>
      <c r="L2090" s="110"/>
      <c r="M2090" s="110">
        <v>0</v>
      </c>
      <c r="N2090" s="110"/>
      <c r="O2090" s="110"/>
      <c r="P2090" s="110">
        <f t="shared" si="156"/>
        <v>0</v>
      </c>
      <c r="Q2090" s="110">
        <f t="shared" si="157"/>
        <v>0</v>
      </c>
      <c r="R2090" s="110">
        <f t="shared" si="158"/>
        <v>0</v>
      </c>
      <c r="S2090" s="112">
        <v>0</v>
      </c>
    </row>
    <row r="2091" spans="1:19">
      <c r="A2091" s="79"/>
      <c r="B2091" s="77" t="s">
        <v>268</v>
      </c>
      <c r="C2091" s="76" t="s">
        <v>8</v>
      </c>
      <c r="D2091" s="143">
        <v>1</v>
      </c>
      <c r="E2091" s="77"/>
      <c r="F2091" s="334"/>
      <c r="G2091" s="112">
        <v>0</v>
      </c>
      <c r="H2091" s="120">
        <v>0</v>
      </c>
      <c r="I2091" s="120">
        <v>0</v>
      </c>
      <c r="J2091" s="120">
        <v>0</v>
      </c>
      <c r="K2091" s="110">
        <v>0</v>
      </c>
      <c r="L2091" s="110"/>
      <c r="M2091" s="110">
        <v>0</v>
      </c>
      <c r="N2091" s="110"/>
      <c r="O2091" s="110"/>
      <c r="P2091" s="110">
        <f t="shared" si="156"/>
        <v>0</v>
      </c>
      <c r="Q2091" s="110">
        <f t="shared" si="157"/>
        <v>0</v>
      </c>
      <c r="R2091" s="110">
        <f t="shared" si="158"/>
        <v>0</v>
      </c>
      <c r="S2091" s="112">
        <v>0</v>
      </c>
    </row>
    <row r="2092" spans="1:19" ht="45">
      <c r="A2092" s="79"/>
      <c r="B2092" s="77" t="s">
        <v>166</v>
      </c>
      <c r="C2092" s="76" t="s">
        <v>17</v>
      </c>
      <c r="D2092" s="143">
        <v>1</v>
      </c>
      <c r="E2092" s="77"/>
      <c r="F2092" s="334"/>
      <c r="G2092" s="112">
        <v>0</v>
      </c>
      <c r="H2092" s="120">
        <v>0</v>
      </c>
      <c r="I2092" s="120">
        <v>0</v>
      </c>
      <c r="J2092" s="120">
        <v>0</v>
      </c>
      <c r="K2092" s="110">
        <v>0</v>
      </c>
      <c r="L2092" s="110"/>
      <c r="M2092" s="110">
        <v>0</v>
      </c>
      <c r="N2092" s="110"/>
      <c r="O2092" s="110"/>
      <c r="P2092" s="110">
        <f t="shared" si="156"/>
        <v>0</v>
      </c>
      <c r="Q2092" s="110">
        <f t="shared" si="157"/>
        <v>0</v>
      </c>
      <c r="R2092" s="110">
        <f t="shared" si="158"/>
        <v>0</v>
      </c>
      <c r="S2092" s="112">
        <v>0</v>
      </c>
    </row>
    <row r="2093" spans="1:19" ht="60">
      <c r="A2093" s="79">
        <v>80</v>
      </c>
      <c r="B2093" s="77" t="s">
        <v>443</v>
      </c>
      <c r="C2093" s="76" t="s">
        <v>6</v>
      </c>
      <c r="D2093" s="143">
        <v>7</v>
      </c>
      <c r="E2093" s="77"/>
      <c r="F2093" s="334">
        <v>7</v>
      </c>
      <c r="G2093" s="112" t="s">
        <v>864</v>
      </c>
      <c r="H2093" s="120" t="s">
        <v>1076</v>
      </c>
      <c r="I2093" s="120" t="s">
        <v>828</v>
      </c>
      <c r="J2093" s="120" t="s">
        <v>829</v>
      </c>
      <c r="K2093" s="110">
        <v>58730000</v>
      </c>
      <c r="L2093" s="110"/>
      <c r="M2093" s="110">
        <v>3828500</v>
      </c>
      <c r="N2093" s="110"/>
      <c r="O2093" s="110"/>
      <c r="P2093" s="110">
        <f t="shared" si="156"/>
        <v>62558500</v>
      </c>
      <c r="Q2093" s="110">
        <f t="shared" si="157"/>
        <v>437909500</v>
      </c>
      <c r="R2093" s="110">
        <f t="shared" si="158"/>
        <v>437909500</v>
      </c>
      <c r="S2093" s="112" t="s">
        <v>4094</v>
      </c>
    </row>
    <row r="2094" spans="1:19" ht="45">
      <c r="A2094" s="79"/>
      <c r="B2094" s="77" t="s">
        <v>274</v>
      </c>
      <c r="C2094" s="76" t="s">
        <v>4</v>
      </c>
      <c r="D2094" s="143">
        <v>1</v>
      </c>
      <c r="E2094" s="77"/>
      <c r="F2094" s="334"/>
      <c r="G2094" s="112">
        <v>0</v>
      </c>
      <c r="H2094" s="120">
        <v>0</v>
      </c>
      <c r="I2094" s="120">
        <v>0</v>
      </c>
      <c r="J2094" s="120">
        <v>0</v>
      </c>
      <c r="K2094" s="110">
        <v>0</v>
      </c>
      <c r="L2094" s="110"/>
      <c r="M2094" s="110">
        <v>0</v>
      </c>
      <c r="N2094" s="110"/>
      <c r="O2094" s="110"/>
      <c r="P2094" s="110">
        <f t="shared" si="156"/>
        <v>0</v>
      </c>
      <c r="Q2094" s="110">
        <f t="shared" si="157"/>
        <v>0</v>
      </c>
      <c r="R2094" s="110">
        <f t="shared" si="158"/>
        <v>0</v>
      </c>
      <c r="S2094" s="112" t="s">
        <v>150</v>
      </c>
    </row>
    <row r="2095" spans="1:19">
      <c r="A2095" s="79"/>
      <c r="B2095" s="77" t="s">
        <v>151</v>
      </c>
      <c r="C2095" s="76"/>
      <c r="D2095" s="143"/>
      <c r="E2095" s="77"/>
      <c r="F2095" s="76"/>
      <c r="G2095" s="112">
        <v>0</v>
      </c>
      <c r="H2095" s="120">
        <v>0</v>
      </c>
      <c r="I2095" s="120">
        <v>0</v>
      </c>
      <c r="J2095" s="120">
        <v>0</v>
      </c>
      <c r="K2095" s="110">
        <v>0</v>
      </c>
      <c r="L2095" s="110"/>
      <c r="M2095" s="110">
        <v>0</v>
      </c>
      <c r="N2095" s="110"/>
      <c r="O2095" s="110"/>
      <c r="P2095" s="110">
        <f t="shared" si="156"/>
        <v>0</v>
      </c>
      <c r="Q2095" s="110">
        <f t="shared" si="157"/>
        <v>0</v>
      </c>
      <c r="R2095" s="110">
        <f t="shared" si="158"/>
        <v>0</v>
      </c>
      <c r="S2095" s="112">
        <v>0</v>
      </c>
    </row>
    <row r="2096" spans="1:19">
      <c r="A2096" s="79"/>
      <c r="B2096" s="77" t="s">
        <v>275</v>
      </c>
      <c r="C2096" s="76" t="s">
        <v>4</v>
      </c>
      <c r="D2096" s="143">
        <v>1</v>
      </c>
      <c r="E2096" s="77"/>
      <c r="F2096" s="334"/>
      <c r="G2096" s="112">
        <v>0</v>
      </c>
      <c r="H2096" s="120">
        <v>0</v>
      </c>
      <c r="I2096" s="120">
        <v>0</v>
      </c>
      <c r="J2096" s="120">
        <v>0</v>
      </c>
      <c r="K2096" s="110">
        <v>0</v>
      </c>
      <c r="L2096" s="110"/>
      <c r="M2096" s="110">
        <v>0</v>
      </c>
      <c r="N2096" s="110"/>
      <c r="O2096" s="110"/>
      <c r="P2096" s="110">
        <f t="shared" si="156"/>
        <v>0</v>
      </c>
      <c r="Q2096" s="110">
        <f t="shared" si="157"/>
        <v>0</v>
      </c>
      <c r="R2096" s="110">
        <f t="shared" si="158"/>
        <v>0</v>
      </c>
      <c r="S2096" s="112">
        <v>0</v>
      </c>
    </row>
    <row r="2097" spans="1:19">
      <c r="A2097" s="79"/>
      <c r="B2097" s="77" t="s">
        <v>14</v>
      </c>
      <c r="C2097" s="76" t="s">
        <v>4</v>
      </c>
      <c r="D2097" s="143">
        <v>3</v>
      </c>
      <c r="E2097" s="80"/>
      <c r="F2097" s="334"/>
      <c r="G2097" s="112">
        <v>0</v>
      </c>
      <c r="H2097" s="120">
        <v>0</v>
      </c>
      <c r="I2097" s="120">
        <v>0</v>
      </c>
      <c r="J2097" s="120">
        <v>0</v>
      </c>
      <c r="K2097" s="110">
        <v>0</v>
      </c>
      <c r="L2097" s="110"/>
      <c r="M2097" s="110">
        <v>0</v>
      </c>
      <c r="N2097" s="110"/>
      <c r="O2097" s="110"/>
      <c r="P2097" s="110">
        <f t="shared" ref="P2097:P2160" si="159">+K2097+L2097+M2097+N2097+O2097</f>
        <v>0</v>
      </c>
      <c r="Q2097" s="110">
        <f t="shared" ref="Q2097:Q2160" si="160">+P2097*D2097</f>
        <v>0</v>
      </c>
      <c r="R2097" s="110">
        <f t="shared" ref="R2097:R2160" si="161">P2097*F2097</f>
        <v>0</v>
      </c>
      <c r="S2097" s="112">
        <v>0</v>
      </c>
    </row>
    <row r="2098" spans="1:19">
      <c r="A2098" s="79"/>
      <c r="B2098" s="77" t="s">
        <v>154</v>
      </c>
      <c r="C2098" s="76"/>
      <c r="D2098" s="143"/>
      <c r="E2098" s="77"/>
      <c r="F2098" s="76"/>
      <c r="G2098" s="112">
        <v>0</v>
      </c>
      <c r="H2098" s="120">
        <v>0</v>
      </c>
      <c r="I2098" s="120">
        <v>0</v>
      </c>
      <c r="J2098" s="120">
        <v>0</v>
      </c>
      <c r="K2098" s="110">
        <v>0</v>
      </c>
      <c r="L2098" s="110"/>
      <c r="M2098" s="110">
        <v>0</v>
      </c>
      <c r="N2098" s="110"/>
      <c r="O2098" s="110"/>
      <c r="P2098" s="110">
        <f t="shared" si="159"/>
        <v>0</v>
      </c>
      <c r="Q2098" s="110">
        <f t="shared" si="160"/>
        <v>0</v>
      </c>
      <c r="R2098" s="110">
        <f t="shared" si="161"/>
        <v>0</v>
      </c>
      <c r="S2098" s="112">
        <v>0</v>
      </c>
    </row>
    <row r="2099" spans="1:19">
      <c r="A2099" s="79"/>
      <c r="B2099" s="77" t="s">
        <v>277</v>
      </c>
      <c r="C2099" s="76" t="s">
        <v>4</v>
      </c>
      <c r="D2099" s="143">
        <v>11</v>
      </c>
      <c r="E2099" s="77"/>
      <c r="F2099" s="334"/>
      <c r="G2099" s="112">
        <v>0</v>
      </c>
      <c r="H2099" s="120">
        <v>0</v>
      </c>
      <c r="I2099" s="120">
        <v>0</v>
      </c>
      <c r="J2099" s="120">
        <v>0</v>
      </c>
      <c r="K2099" s="110">
        <v>0</v>
      </c>
      <c r="L2099" s="110"/>
      <c r="M2099" s="110">
        <v>0</v>
      </c>
      <c r="N2099" s="110"/>
      <c r="O2099" s="110"/>
      <c r="P2099" s="110">
        <f t="shared" si="159"/>
        <v>0</v>
      </c>
      <c r="Q2099" s="110">
        <f t="shared" si="160"/>
        <v>0</v>
      </c>
      <c r="R2099" s="110">
        <f t="shared" si="161"/>
        <v>0</v>
      </c>
      <c r="S2099" s="112">
        <v>0</v>
      </c>
    </row>
    <row r="2100" spans="1:19">
      <c r="A2100" s="79"/>
      <c r="B2100" s="77" t="s">
        <v>158</v>
      </c>
      <c r="C2100" s="76" t="s">
        <v>4</v>
      </c>
      <c r="D2100" s="143">
        <v>1</v>
      </c>
      <c r="E2100" s="77"/>
      <c r="F2100" s="334"/>
      <c r="G2100" s="112">
        <v>0</v>
      </c>
      <c r="H2100" s="120">
        <v>0</v>
      </c>
      <c r="I2100" s="120">
        <v>0</v>
      </c>
      <c r="J2100" s="120">
        <v>0</v>
      </c>
      <c r="K2100" s="110">
        <v>0</v>
      </c>
      <c r="L2100" s="110"/>
      <c r="M2100" s="110">
        <v>0</v>
      </c>
      <c r="N2100" s="110"/>
      <c r="O2100" s="110"/>
      <c r="P2100" s="110">
        <f t="shared" si="159"/>
        <v>0</v>
      </c>
      <c r="Q2100" s="110">
        <f t="shared" si="160"/>
        <v>0</v>
      </c>
      <c r="R2100" s="110">
        <f t="shared" si="161"/>
        <v>0</v>
      </c>
      <c r="S2100" s="112">
        <v>0</v>
      </c>
    </row>
    <row r="2101" spans="1:19">
      <c r="A2101" s="79"/>
      <c r="B2101" s="77" t="s">
        <v>279</v>
      </c>
      <c r="C2101" s="76" t="s">
        <v>4</v>
      </c>
      <c r="D2101" s="143">
        <v>22</v>
      </c>
      <c r="E2101" s="77"/>
      <c r="F2101" s="334"/>
      <c r="G2101" s="112">
        <v>0</v>
      </c>
      <c r="H2101" s="120">
        <v>0</v>
      </c>
      <c r="I2101" s="120">
        <v>0</v>
      </c>
      <c r="J2101" s="120">
        <v>0</v>
      </c>
      <c r="K2101" s="110">
        <v>0</v>
      </c>
      <c r="L2101" s="110"/>
      <c r="M2101" s="110">
        <v>0</v>
      </c>
      <c r="N2101" s="110"/>
      <c r="O2101" s="110"/>
      <c r="P2101" s="110">
        <f t="shared" si="159"/>
        <v>0</v>
      </c>
      <c r="Q2101" s="110">
        <f t="shared" si="160"/>
        <v>0</v>
      </c>
      <c r="R2101" s="110">
        <f t="shared" si="161"/>
        <v>0</v>
      </c>
      <c r="S2101" s="112">
        <v>0</v>
      </c>
    </row>
    <row r="2102" spans="1:19">
      <c r="A2102" s="79"/>
      <c r="B2102" s="77" t="s">
        <v>281</v>
      </c>
      <c r="C2102" s="76" t="s">
        <v>4</v>
      </c>
      <c r="D2102" s="143">
        <v>11</v>
      </c>
      <c r="E2102" s="77"/>
      <c r="F2102" s="334"/>
      <c r="G2102" s="112">
        <v>0</v>
      </c>
      <c r="H2102" s="120">
        <v>0</v>
      </c>
      <c r="I2102" s="120">
        <v>0</v>
      </c>
      <c r="J2102" s="120">
        <v>0</v>
      </c>
      <c r="K2102" s="110">
        <v>0</v>
      </c>
      <c r="L2102" s="110"/>
      <c r="M2102" s="110">
        <v>0</v>
      </c>
      <c r="N2102" s="110"/>
      <c r="O2102" s="110"/>
      <c r="P2102" s="110">
        <f t="shared" si="159"/>
        <v>0</v>
      </c>
      <c r="Q2102" s="110">
        <f t="shared" si="160"/>
        <v>0</v>
      </c>
      <c r="R2102" s="110">
        <f t="shared" si="161"/>
        <v>0</v>
      </c>
      <c r="S2102" s="112">
        <v>0</v>
      </c>
    </row>
    <row r="2103" spans="1:19" ht="30">
      <c r="A2103" s="79"/>
      <c r="B2103" s="77" t="s">
        <v>282</v>
      </c>
      <c r="C2103" s="76" t="s">
        <v>8</v>
      </c>
      <c r="D2103" s="143">
        <v>1</v>
      </c>
      <c r="E2103" s="80"/>
      <c r="F2103" s="334"/>
      <c r="G2103" s="112">
        <v>0</v>
      </c>
      <c r="H2103" s="120">
        <v>0</v>
      </c>
      <c r="I2103" s="120">
        <v>0</v>
      </c>
      <c r="J2103" s="120">
        <v>0</v>
      </c>
      <c r="K2103" s="110">
        <v>0</v>
      </c>
      <c r="L2103" s="110"/>
      <c r="M2103" s="110">
        <v>0</v>
      </c>
      <c r="N2103" s="110"/>
      <c r="O2103" s="110"/>
      <c r="P2103" s="110">
        <f t="shared" si="159"/>
        <v>0</v>
      </c>
      <c r="Q2103" s="110">
        <f t="shared" si="160"/>
        <v>0</v>
      </c>
      <c r="R2103" s="110">
        <f t="shared" si="161"/>
        <v>0</v>
      </c>
      <c r="S2103" s="112">
        <v>0</v>
      </c>
    </row>
    <row r="2104" spans="1:19" ht="45">
      <c r="A2104" s="79"/>
      <c r="B2104" s="77" t="s">
        <v>166</v>
      </c>
      <c r="C2104" s="76" t="s">
        <v>17</v>
      </c>
      <c r="D2104" s="143">
        <v>1</v>
      </c>
      <c r="E2104" s="80"/>
      <c r="F2104" s="334"/>
      <c r="G2104" s="112">
        <v>0</v>
      </c>
      <c r="H2104" s="120">
        <v>0</v>
      </c>
      <c r="I2104" s="120">
        <v>0</v>
      </c>
      <c r="J2104" s="120">
        <v>0</v>
      </c>
      <c r="K2104" s="110">
        <v>0</v>
      </c>
      <c r="L2104" s="110"/>
      <c r="M2104" s="110">
        <v>0</v>
      </c>
      <c r="N2104" s="110"/>
      <c r="O2104" s="110"/>
      <c r="P2104" s="110">
        <f t="shared" si="159"/>
        <v>0</v>
      </c>
      <c r="Q2104" s="110">
        <f t="shared" si="160"/>
        <v>0</v>
      </c>
      <c r="R2104" s="110">
        <f t="shared" si="161"/>
        <v>0</v>
      </c>
      <c r="S2104" s="112">
        <v>0</v>
      </c>
    </row>
    <row r="2105" spans="1:19" ht="60">
      <c r="A2105" s="79">
        <v>81</v>
      </c>
      <c r="B2105" s="77" t="s">
        <v>444</v>
      </c>
      <c r="C2105" s="76" t="s">
        <v>6</v>
      </c>
      <c r="D2105" s="143">
        <v>7</v>
      </c>
      <c r="E2105" s="77"/>
      <c r="F2105" s="334">
        <v>7</v>
      </c>
      <c r="G2105" s="112" t="s">
        <v>865</v>
      </c>
      <c r="H2105" s="120" t="s">
        <v>1076</v>
      </c>
      <c r="I2105" s="120" t="s">
        <v>828</v>
      </c>
      <c r="J2105" s="120" t="s">
        <v>829</v>
      </c>
      <c r="K2105" s="110">
        <v>27653300</v>
      </c>
      <c r="L2105" s="110"/>
      <c r="M2105" s="110">
        <v>3123300</v>
      </c>
      <c r="N2105" s="110"/>
      <c r="O2105" s="110"/>
      <c r="P2105" s="110">
        <f t="shared" si="159"/>
        <v>30776600</v>
      </c>
      <c r="Q2105" s="110">
        <f t="shared" si="160"/>
        <v>215436200</v>
      </c>
      <c r="R2105" s="110">
        <f t="shared" si="161"/>
        <v>215436200</v>
      </c>
      <c r="S2105" s="112" t="s">
        <v>4094</v>
      </c>
    </row>
    <row r="2106" spans="1:19" ht="45">
      <c r="A2106" s="79"/>
      <c r="B2106" s="77" t="s">
        <v>274</v>
      </c>
      <c r="C2106" s="76" t="s">
        <v>4</v>
      </c>
      <c r="D2106" s="143">
        <v>1</v>
      </c>
      <c r="E2106" s="77"/>
      <c r="F2106" s="334"/>
      <c r="G2106" s="112">
        <v>0</v>
      </c>
      <c r="H2106" s="120">
        <v>0</v>
      </c>
      <c r="I2106" s="120">
        <v>0</v>
      </c>
      <c r="J2106" s="120">
        <v>0</v>
      </c>
      <c r="K2106" s="110">
        <v>0</v>
      </c>
      <c r="L2106" s="110"/>
      <c r="M2106" s="110">
        <v>0</v>
      </c>
      <c r="N2106" s="110"/>
      <c r="O2106" s="110"/>
      <c r="P2106" s="110">
        <f t="shared" si="159"/>
        <v>0</v>
      </c>
      <c r="Q2106" s="110">
        <f t="shared" si="160"/>
        <v>0</v>
      </c>
      <c r="R2106" s="110">
        <f t="shared" si="161"/>
        <v>0</v>
      </c>
      <c r="S2106" s="112" t="s">
        <v>150</v>
      </c>
    </row>
    <row r="2107" spans="1:19">
      <c r="A2107" s="79"/>
      <c r="B2107" s="77" t="s">
        <v>281</v>
      </c>
      <c r="C2107" s="76" t="s">
        <v>4</v>
      </c>
      <c r="D2107" s="143">
        <v>11</v>
      </c>
      <c r="E2107" s="77"/>
      <c r="F2107" s="334"/>
      <c r="G2107" s="112">
        <v>0</v>
      </c>
      <c r="H2107" s="120">
        <v>0</v>
      </c>
      <c r="I2107" s="120">
        <v>0</v>
      </c>
      <c r="J2107" s="120">
        <v>0</v>
      </c>
      <c r="K2107" s="110">
        <v>0</v>
      </c>
      <c r="L2107" s="110"/>
      <c r="M2107" s="110">
        <v>0</v>
      </c>
      <c r="N2107" s="110"/>
      <c r="O2107" s="110"/>
      <c r="P2107" s="110">
        <f t="shared" si="159"/>
        <v>0</v>
      </c>
      <c r="Q2107" s="110">
        <f t="shared" si="160"/>
        <v>0</v>
      </c>
      <c r="R2107" s="110">
        <f t="shared" si="161"/>
        <v>0</v>
      </c>
      <c r="S2107" s="112">
        <v>0</v>
      </c>
    </row>
    <row r="2108" spans="1:19" ht="60">
      <c r="A2108" s="79">
        <v>82</v>
      </c>
      <c r="B2108" s="77" t="s">
        <v>445</v>
      </c>
      <c r="C2108" s="76" t="s">
        <v>6</v>
      </c>
      <c r="D2108" s="143">
        <v>6</v>
      </c>
      <c r="E2108" s="77"/>
      <c r="F2108" s="334">
        <v>6</v>
      </c>
      <c r="G2108" s="112" t="s">
        <v>866</v>
      </c>
      <c r="H2108" s="120" t="s">
        <v>1076</v>
      </c>
      <c r="I2108" s="120" t="s">
        <v>828</v>
      </c>
      <c r="J2108" s="120" t="s">
        <v>829</v>
      </c>
      <c r="K2108" s="110">
        <v>58730000</v>
      </c>
      <c r="L2108" s="110"/>
      <c r="M2108" s="110">
        <v>3828500</v>
      </c>
      <c r="N2108" s="110"/>
      <c r="O2108" s="110"/>
      <c r="P2108" s="110">
        <f t="shared" si="159"/>
        <v>62558500</v>
      </c>
      <c r="Q2108" s="110">
        <f t="shared" si="160"/>
        <v>375351000</v>
      </c>
      <c r="R2108" s="110">
        <f t="shared" si="161"/>
        <v>375351000</v>
      </c>
      <c r="S2108" s="112" t="s">
        <v>4094</v>
      </c>
    </row>
    <row r="2109" spans="1:19" ht="45">
      <c r="A2109" s="79"/>
      <c r="B2109" s="77" t="s">
        <v>274</v>
      </c>
      <c r="C2109" s="76" t="s">
        <v>4</v>
      </c>
      <c r="D2109" s="143">
        <v>1</v>
      </c>
      <c r="E2109" s="77"/>
      <c r="F2109" s="334"/>
      <c r="G2109" s="112">
        <v>0</v>
      </c>
      <c r="H2109" s="120">
        <v>0</v>
      </c>
      <c r="I2109" s="120">
        <v>0</v>
      </c>
      <c r="J2109" s="120">
        <v>0</v>
      </c>
      <c r="K2109" s="110">
        <v>0</v>
      </c>
      <c r="L2109" s="110"/>
      <c r="M2109" s="110">
        <v>0</v>
      </c>
      <c r="N2109" s="110"/>
      <c r="O2109" s="110"/>
      <c r="P2109" s="110">
        <f t="shared" si="159"/>
        <v>0</v>
      </c>
      <c r="Q2109" s="110">
        <f t="shared" si="160"/>
        <v>0</v>
      </c>
      <c r="R2109" s="110">
        <f t="shared" si="161"/>
        <v>0</v>
      </c>
      <c r="S2109" s="112" t="s">
        <v>150</v>
      </c>
    </row>
    <row r="2110" spans="1:19">
      <c r="A2110" s="79"/>
      <c r="B2110" s="77" t="s">
        <v>151</v>
      </c>
      <c r="C2110" s="76"/>
      <c r="D2110" s="143"/>
      <c r="E2110" s="77"/>
      <c r="F2110" s="76"/>
      <c r="G2110" s="112">
        <v>0</v>
      </c>
      <c r="H2110" s="120">
        <v>0</v>
      </c>
      <c r="I2110" s="120">
        <v>0</v>
      </c>
      <c r="J2110" s="120">
        <v>0</v>
      </c>
      <c r="K2110" s="110">
        <v>0</v>
      </c>
      <c r="L2110" s="110"/>
      <c r="M2110" s="110">
        <v>0</v>
      </c>
      <c r="N2110" s="110"/>
      <c r="O2110" s="110"/>
      <c r="P2110" s="110">
        <f t="shared" si="159"/>
        <v>0</v>
      </c>
      <c r="Q2110" s="110">
        <f t="shared" si="160"/>
        <v>0</v>
      </c>
      <c r="R2110" s="110">
        <f t="shared" si="161"/>
        <v>0</v>
      </c>
      <c r="S2110" s="112">
        <v>0</v>
      </c>
    </row>
    <row r="2111" spans="1:19">
      <c r="A2111" s="79"/>
      <c r="B2111" s="77" t="s">
        <v>275</v>
      </c>
      <c r="C2111" s="76" t="s">
        <v>4</v>
      </c>
      <c r="D2111" s="143">
        <v>1</v>
      </c>
      <c r="E2111" s="77"/>
      <c r="F2111" s="334"/>
      <c r="G2111" s="112">
        <v>0</v>
      </c>
      <c r="H2111" s="120">
        <v>0</v>
      </c>
      <c r="I2111" s="120">
        <v>0</v>
      </c>
      <c r="J2111" s="120">
        <v>0</v>
      </c>
      <c r="K2111" s="110">
        <v>0</v>
      </c>
      <c r="L2111" s="110"/>
      <c r="M2111" s="110">
        <v>0</v>
      </c>
      <c r="N2111" s="110"/>
      <c r="O2111" s="110"/>
      <c r="P2111" s="110">
        <f t="shared" si="159"/>
        <v>0</v>
      </c>
      <c r="Q2111" s="110">
        <f t="shared" si="160"/>
        <v>0</v>
      </c>
      <c r="R2111" s="110">
        <f t="shared" si="161"/>
        <v>0</v>
      </c>
      <c r="S2111" s="112">
        <v>0</v>
      </c>
    </row>
    <row r="2112" spans="1:19">
      <c r="A2112" s="79"/>
      <c r="B2112" s="77" t="s">
        <v>14</v>
      </c>
      <c r="C2112" s="76" t="s">
        <v>4</v>
      </c>
      <c r="D2112" s="143">
        <v>3</v>
      </c>
      <c r="E2112" s="77"/>
      <c r="F2112" s="334"/>
      <c r="G2112" s="112">
        <v>0</v>
      </c>
      <c r="H2112" s="120">
        <v>0</v>
      </c>
      <c r="I2112" s="120">
        <v>0</v>
      </c>
      <c r="J2112" s="120">
        <v>0</v>
      </c>
      <c r="K2112" s="110">
        <v>0</v>
      </c>
      <c r="L2112" s="110"/>
      <c r="M2112" s="110">
        <v>0</v>
      </c>
      <c r="N2112" s="110"/>
      <c r="O2112" s="110"/>
      <c r="P2112" s="110">
        <f t="shared" si="159"/>
        <v>0</v>
      </c>
      <c r="Q2112" s="110">
        <f t="shared" si="160"/>
        <v>0</v>
      </c>
      <c r="R2112" s="110">
        <f t="shared" si="161"/>
        <v>0</v>
      </c>
      <c r="S2112" s="112">
        <v>0</v>
      </c>
    </row>
    <row r="2113" spans="1:19">
      <c r="A2113" s="79"/>
      <c r="B2113" s="77" t="s">
        <v>154</v>
      </c>
      <c r="C2113" s="76"/>
      <c r="D2113" s="143"/>
      <c r="E2113" s="77"/>
      <c r="F2113" s="76"/>
      <c r="G2113" s="112">
        <v>0</v>
      </c>
      <c r="H2113" s="120">
        <v>0</v>
      </c>
      <c r="I2113" s="120">
        <v>0</v>
      </c>
      <c r="J2113" s="120">
        <v>0</v>
      </c>
      <c r="K2113" s="110">
        <v>0</v>
      </c>
      <c r="L2113" s="110"/>
      <c r="M2113" s="110">
        <v>0</v>
      </c>
      <c r="N2113" s="110"/>
      <c r="O2113" s="110"/>
      <c r="P2113" s="110">
        <f t="shared" si="159"/>
        <v>0</v>
      </c>
      <c r="Q2113" s="110">
        <f t="shared" si="160"/>
        <v>0</v>
      </c>
      <c r="R2113" s="110">
        <f t="shared" si="161"/>
        <v>0</v>
      </c>
      <c r="S2113" s="112">
        <v>0</v>
      </c>
    </row>
    <row r="2114" spans="1:19">
      <c r="A2114" s="79"/>
      <c r="B2114" s="77" t="s">
        <v>277</v>
      </c>
      <c r="C2114" s="76" t="s">
        <v>4</v>
      </c>
      <c r="D2114" s="143">
        <v>11</v>
      </c>
      <c r="E2114" s="77"/>
      <c r="F2114" s="334"/>
      <c r="G2114" s="112">
        <v>0</v>
      </c>
      <c r="H2114" s="120">
        <v>0</v>
      </c>
      <c r="I2114" s="120">
        <v>0</v>
      </c>
      <c r="J2114" s="120">
        <v>0</v>
      </c>
      <c r="K2114" s="110">
        <v>0</v>
      </c>
      <c r="L2114" s="110"/>
      <c r="M2114" s="110">
        <v>0</v>
      </c>
      <c r="N2114" s="110"/>
      <c r="O2114" s="110"/>
      <c r="P2114" s="110">
        <f t="shared" si="159"/>
        <v>0</v>
      </c>
      <c r="Q2114" s="110">
        <f t="shared" si="160"/>
        <v>0</v>
      </c>
      <c r="R2114" s="110">
        <f t="shared" si="161"/>
        <v>0</v>
      </c>
      <c r="S2114" s="112">
        <v>0</v>
      </c>
    </row>
    <row r="2115" spans="1:19">
      <c r="A2115" s="79"/>
      <c r="B2115" s="77" t="s">
        <v>158</v>
      </c>
      <c r="C2115" s="76" t="s">
        <v>4</v>
      </c>
      <c r="D2115" s="143">
        <v>1</v>
      </c>
      <c r="E2115" s="77"/>
      <c r="F2115" s="334"/>
      <c r="G2115" s="112">
        <v>0</v>
      </c>
      <c r="H2115" s="120">
        <v>0</v>
      </c>
      <c r="I2115" s="120">
        <v>0</v>
      </c>
      <c r="J2115" s="120">
        <v>0</v>
      </c>
      <c r="K2115" s="110">
        <v>0</v>
      </c>
      <c r="L2115" s="110"/>
      <c r="M2115" s="110">
        <v>0</v>
      </c>
      <c r="N2115" s="110"/>
      <c r="O2115" s="110"/>
      <c r="P2115" s="110">
        <f t="shared" si="159"/>
        <v>0</v>
      </c>
      <c r="Q2115" s="110">
        <f t="shared" si="160"/>
        <v>0</v>
      </c>
      <c r="R2115" s="110">
        <f t="shared" si="161"/>
        <v>0</v>
      </c>
      <c r="S2115" s="112">
        <v>0</v>
      </c>
    </row>
    <row r="2116" spans="1:19">
      <c r="A2116" s="79"/>
      <c r="B2116" s="77" t="s">
        <v>279</v>
      </c>
      <c r="C2116" s="76" t="s">
        <v>4</v>
      </c>
      <c r="D2116" s="143">
        <v>22</v>
      </c>
      <c r="E2116" s="77"/>
      <c r="F2116" s="334"/>
      <c r="G2116" s="112">
        <v>0</v>
      </c>
      <c r="H2116" s="120">
        <v>0</v>
      </c>
      <c r="I2116" s="120">
        <v>0</v>
      </c>
      <c r="J2116" s="120">
        <v>0</v>
      </c>
      <c r="K2116" s="110">
        <v>0</v>
      </c>
      <c r="L2116" s="110"/>
      <c r="M2116" s="110">
        <v>0</v>
      </c>
      <c r="N2116" s="110"/>
      <c r="O2116" s="110"/>
      <c r="P2116" s="110">
        <f t="shared" si="159"/>
        <v>0</v>
      </c>
      <c r="Q2116" s="110">
        <f t="shared" si="160"/>
        <v>0</v>
      </c>
      <c r="R2116" s="110">
        <f t="shared" si="161"/>
        <v>0</v>
      </c>
      <c r="S2116" s="112">
        <v>0</v>
      </c>
    </row>
    <row r="2117" spans="1:19">
      <c r="A2117" s="79"/>
      <c r="B2117" s="77" t="s">
        <v>281</v>
      </c>
      <c r="C2117" s="76" t="s">
        <v>4</v>
      </c>
      <c r="D2117" s="143">
        <v>11</v>
      </c>
      <c r="E2117" s="77"/>
      <c r="F2117" s="334"/>
      <c r="G2117" s="112">
        <v>0</v>
      </c>
      <c r="H2117" s="120">
        <v>0</v>
      </c>
      <c r="I2117" s="120">
        <v>0</v>
      </c>
      <c r="J2117" s="120">
        <v>0</v>
      </c>
      <c r="K2117" s="110">
        <v>0</v>
      </c>
      <c r="L2117" s="110"/>
      <c r="M2117" s="110">
        <v>0</v>
      </c>
      <c r="N2117" s="110"/>
      <c r="O2117" s="110"/>
      <c r="P2117" s="110">
        <f t="shared" si="159"/>
        <v>0</v>
      </c>
      <c r="Q2117" s="110">
        <f t="shared" si="160"/>
        <v>0</v>
      </c>
      <c r="R2117" s="110">
        <f t="shared" si="161"/>
        <v>0</v>
      </c>
      <c r="S2117" s="112">
        <v>0</v>
      </c>
    </row>
    <row r="2118" spans="1:19" ht="30">
      <c r="A2118" s="79"/>
      <c r="B2118" s="77" t="s">
        <v>282</v>
      </c>
      <c r="C2118" s="76" t="s">
        <v>8</v>
      </c>
      <c r="D2118" s="143">
        <v>1</v>
      </c>
      <c r="E2118" s="77"/>
      <c r="F2118" s="334"/>
      <c r="G2118" s="112">
        <v>0</v>
      </c>
      <c r="H2118" s="120">
        <v>0</v>
      </c>
      <c r="I2118" s="120">
        <v>0</v>
      </c>
      <c r="J2118" s="120">
        <v>0</v>
      </c>
      <c r="K2118" s="110">
        <v>0</v>
      </c>
      <c r="L2118" s="110"/>
      <c r="M2118" s="110">
        <v>0</v>
      </c>
      <c r="N2118" s="110"/>
      <c r="O2118" s="110"/>
      <c r="P2118" s="110">
        <f t="shared" si="159"/>
        <v>0</v>
      </c>
      <c r="Q2118" s="110">
        <f t="shared" si="160"/>
        <v>0</v>
      </c>
      <c r="R2118" s="110">
        <f t="shared" si="161"/>
        <v>0</v>
      </c>
      <c r="S2118" s="112">
        <v>0</v>
      </c>
    </row>
    <row r="2119" spans="1:19" ht="45">
      <c r="A2119" s="79"/>
      <c r="B2119" s="77" t="s">
        <v>166</v>
      </c>
      <c r="C2119" s="76" t="s">
        <v>17</v>
      </c>
      <c r="D2119" s="143">
        <v>1</v>
      </c>
      <c r="E2119" s="77"/>
      <c r="F2119" s="334"/>
      <c r="G2119" s="112">
        <v>0</v>
      </c>
      <c r="H2119" s="120">
        <v>0</v>
      </c>
      <c r="I2119" s="120">
        <v>0</v>
      </c>
      <c r="J2119" s="120">
        <v>0</v>
      </c>
      <c r="K2119" s="110">
        <v>0</v>
      </c>
      <c r="L2119" s="110"/>
      <c r="M2119" s="110">
        <v>0</v>
      </c>
      <c r="N2119" s="110"/>
      <c r="O2119" s="110"/>
      <c r="P2119" s="110">
        <f t="shared" si="159"/>
        <v>0</v>
      </c>
      <c r="Q2119" s="110">
        <f t="shared" si="160"/>
        <v>0</v>
      </c>
      <c r="R2119" s="110">
        <f t="shared" si="161"/>
        <v>0</v>
      </c>
      <c r="S2119" s="112">
        <v>0</v>
      </c>
    </row>
    <row r="2120" spans="1:19" ht="60">
      <c r="A2120" s="79">
        <v>83</v>
      </c>
      <c r="B2120" s="77" t="s">
        <v>446</v>
      </c>
      <c r="C2120" s="76" t="s">
        <v>6</v>
      </c>
      <c r="D2120" s="143">
        <v>6</v>
      </c>
      <c r="E2120" s="77"/>
      <c r="F2120" s="334">
        <v>6</v>
      </c>
      <c r="G2120" s="112" t="s">
        <v>867</v>
      </c>
      <c r="H2120" s="120" t="s">
        <v>1076</v>
      </c>
      <c r="I2120" s="120" t="s">
        <v>828</v>
      </c>
      <c r="J2120" s="120" t="s">
        <v>829</v>
      </c>
      <c r="K2120" s="110">
        <v>27653300</v>
      </c>
      <c r="L2120" s="110"/>
      <c r="M2120" s="110">
        <v>3123300</v>
      </c>
      <c r="N2120" s="110"/>
      <c r="O2120" s="110"/>
      <c r="P2120" s="110">
        <f t="shared" si="159"/>
        <v>30776600</v>
      </c>
      <c r="Q2120" s="110">
        <f t="shared" si="160"/>
        <v>184659600</v>
      </c>
      <c r="R2120" s="110">
        <f t="shared" si="161"/>
        <v>184659600</v>
      </c>
      <c r="S2120" s="112" t="s">
        <v>4094</v>
      </c>
    </row>
    <row r="2121" spans="1:19" ht="45">
      <c r="A2121" s="79"/>
      <c r="B2121" s="77" t="s">
        <v>274</v>
      </c>
      <c r="C2121" s="76" t="s">
        <v>4</v>
      </c>
      <c r="D2121" s="143">
        <v>1</v>
      </c>
      <c r="E2121" s="77"/>
      <c r="F2121" s="334"/>
      <c r="G2121" s="112">
        <v>0</v>
      </c>
      <c r="H2121" s="120">
        <v>0</v>
      </c>
      <c r="I2121" s="120">
        <v>0</v>
      </c>
      <c r="J2121" s="120">
        <v>0</v>
      </c>
      <c r="K2121" s="110">
        <v>0</v>
      </c>
      <c r="L2121" s="110"/>
      <c r="M2121" s="110">
        <v>0</v>
      </c>
      <c r="N2121" s="110"/>
      <c r="O2121" s="110"/>
      <c r="P2121" s="110">
        <f t="shared" si="159"/>
        <v>0</v>
      </c>
      <c r="Q2121" s="110">
        <f t="shared" si="160"/>
        <v>0</v>
      </c>
      <c r="R2121" s="110">
        <f t="shared" si="161"/>
        <v>0</v>
      </c>
      <c r="S2121" s="112" t="s">
        <v>150</v>
      </c>
    </row>
    <row r="2122" spans="1:19">
      <c r="A2122" s="79"/>
      <c r="B2122" s="77" t="s">
        <v>281</v>
      </c>
      <c r="C2122" s="76" t="s">
        <v>4</v>
      </c>
      <c r="D2122" s="143">
        <v>11</v>
      </c>
      <c r="E2122" s="77"/>
      <c r="F2122" s="334"/>
      <c r="G2122" s="112">
        <v>0</v>
      </c>
      <c r="H2122" s="120">
        <v>0</v>
      </c>
      <c r="I2122" s="120">
        <v>0</v>
      </c>
      <c r="J2122" s="120">
        <v>0</v>
      </c>
      <c r="K2122" s="110">
        <v>0</v>
      </c>
      <c r="L2122" s="110"/>
      <c r="M2122" s="110">
        <v>0</v>
      </c>
      <c r="N2122" s="110"/>
      <c r="O2122" s="110"/>
      <c r="P2122" s="110">
        <f t="shared" si="159"/>
        <v>0</v>
      </c>
      <c r="Q2122" s="110">
        <f t="shared" si="160"/>
        <v>0</v>
      </c>
      <c r="R2122" s="110">
        <f t="shared" si="161"/>
        <v>0</v>
      </c>
      <c r="S2122" s="112">
        <v>0</v>
      </c>
    </row>
    <row r="2123" spans="1:19" ht="60">
      <c r="A2123" s="79">
        <v>84</v>
      </c>
      <c r="B2123" s="77" t="s">
        <v>447</v>
      </c>
      <c r="C2123" s="76" t="s">
        <v>6</v>
      </c>
      <c r="D2123" s="143">
        <v>6</v>
      </c>
      <c r="E2123" s="77"/>
      <c r="F2123" s="334">
        <v>6</v>
      </c>
      <c r="G2123" s="112" t="s">
        <v>868</v>
      </c>
      <c r="H2123" s="120" t="s">
        <v>1076</v>
      </c>
      <c r="I2123" s="120" t="s">
        <v>828</v>
      </c>
      <c r="J2123" s="120" t="s">
        <v>829</v>
      </c>
      <c r="K2123" s="110">
        <v>58730000</v>
      </c>
      <c r="L2123" s="110"/>
      <c r="M2123" s="110">
        <v>3828500</v>
      </c>
      <c r="N2123" s="110"/>
      <c r="O2123" s="110"/>
      <c r="P2123" s="110">
        <f t="shared" si="159"/>
        <v>62558500</v>
      </c>
      <c r="Q2123" s="110">
        <f t="shared" si="160"/>
        <v>375351000</v>
      </c>
      <c r="R2123" s="110">
        <f t="shared" si="161"/>
        <v>375351000</v>
      </c>
      <c r="S2123" s="112" t="s">
        <v>4094</v>
      </c>
    </row>
    <row r="2124" spans="1:19" ht="45">
      <c r="A2124" s="79"/>
      <c r="B2124" s="77" t="s">
        <v>274</v>
      </c>
      <c r="C2124" s="76" t="s">
        <v>4</v>
      </c>
      <c r="D2124" s="143">
        <v>1</v>
      </c>
      <c r="E2124" s="77"/>
      <c r="F2124" s="334"/>
      <c r="G2124" s="112">
        <v>0</v>
      </c>
      <c r="H2124" s="120">
        <v>0</v>
      </c>
      <c r="I2124" s="120">
        <v>0</v>
      </c>
      <c r="J2124" s="120">
        <v>0</v>
      </c>
      <c r="K2124" s="110">
        <v>0</v>
      </c>
      <c r="L2124" s="110"/>
      <c r="M2124" s="110">
        <v>0</v>
      </c>
      <c r="N2124" s="110"/>
      <c r="O2124" s="110"/>
      <c r="P2124" s="110">
        <f t="shared" si="159"/>
        <v>0</v>
      </c>
      <c r="Q2124" s="110">
        <f t="shared" si="160"/>
        <v>0</v>
      </c>
      <c r="R2124" s="110">
        <f t="shared" si="161"/>
        <v>0</v>
      </c>
      <c r="S2124" s="112" t="s">
        <v>150</v>
      </c>
    </row>
    <row r="2125" spans="1:19">
      <c r="A2125" s="79"/>
      <c r="B2125" s="77" t="s">
        <v>151</v>
      </c>
      <c r="C2125" s="76"/>
      <c r="D2125" s="143"/>
      <c r="E2125" s="77"/>
      <c r="F2125" s="76"/>
      <c r="G2125" s="112">
        <v>0</v>
      </c>
      <c r="H2125" s="120">
        <v>0</v>
      </c>
      <c r="I2125" s="120">
        <v>0</v>
      </c>
      <c r="J2125" s="120">
        <v>0</v>
      </c>
      <c r="K2125" s="110">
        <v>0</v>
      </c>
      <c r="L2125" s="110"/>
      <c r="M2125" s="110">
        <v>0</v>
      </c>
      <c r="N2125" s="110"/>
      <c r="O2125" s="110"/>
      <c r="P2125" s="110">
        <f t="shared" si="159"/>
        <v>0</v>
      </c>
      <c r="Q2125" s="110">
        <f t="shared" si="160"/>
        <v>0</v>
      </c>
      <c r="R2125" s="110">
        <f t="shared" si="161"/>
        <v>0</v>
      </c>
      <c r="S2125" s="112">
        <v>0</v>
      </c>
    </row>
    <row r="2126" spans="1:19">
      <c r="A2126" s="79"/>
      <c r="B2126" s="77" t="s">
        <v>275</v>
      </c>
      <c r="C2126" s="76" t="s">
        <v>4</v>
      </c>
      <c r="D2126" s="143">
        <v>1</v>
      </c>
      <c r="E2126" s="77"/>
      <c r="F2126" s="334"/>
      <c r="G2126" s="112">
        <v>0</v>
      </c>
      <c r="H2126" s="120">
        <v>0</v>
      </c>
      <c r="I2126" s="120">
        <v>0</v>
      </c>
      <c r="J2126" s="120">
        <v>0</v>
      </c>
      <c r="K2126" s="110">
        <v>0</v>
      </c>
      <c r="L2126" s="110"/>
      <c r="M2126" s="110">
        <v>0</v>
      </c>
      <c r="N2126" s="110"/>
      <c r="O2126" s="110"/>
      <c r="P2126" s="110">
        <f t="shared" si="159"/>
        <v>0</v>
      </c>
      <c r="Q2126" s="110">
        <f t="shared" si="160"/>
        <v>0</v>
      </c>
      <c r="R2126" s="110">
        <f t="shared" si="161"/>
        <v>0</v>
      </c>
      <c r="S2126" s="112">
        <v>0</v>
      </c>
    </row>
    <row r="2127" spans="1:19">
      <c r="A2127" s="79"/>
      <c r="B2127" s="77" t="s">
        <v>14</v>
      </c>
      <c r="C2127" s="76" t="s">
        <v>4</v>
      </c>
      <c r="D2127" s="143">
        <v>3</v>
      </c>
      <c r="E2127" s="77"/>
      <c r="F2127" s="334"/>
      <c r="G2127" s="112">
        <v>0</v>
      </c>
      <c r="H2127" s="120">
        <v>0</v>
      </c>
      <c r="I2127" s="120">
        <v>0</v>
      </c>
      <c r="J2127" s="120">
        <v>0</v>
      </c>
      <c r="K2127" s="110">
        <v>0</v>
      </c>
      <c r="L2127" s="110"/>
      <c r="M2127" s="110">
        <v>0</v>
      </c>
      <c r="N2127" s="110"/>
      <c r="O2127" s="110"/>
      <c r="P2127" s="110">
        <f t="shared" si="159"/>
        <v>0</v>
      </c>
      <c r="Q2127" s="110">
        <f t="shared" si="160"/>
        <v>0</v>
      </c>
      <c r="R2127" s="110">
        <f t="shared" si="161"/>
        <v>0</v>
      </c>
      <c r="S2127" s="112">
        <v>0</v>
      </c>
    </row>
    <row r="2128" spans="1:19">
      <c r="A2128" s="79"/>
      <c r="B2128" s="77" t="s">
        <v>154</v>
      </c>
      <c r="C2128" s="76"/>
      <c r="D2128" s="143"/>
      <c r="E2128" s="77"/>
      <c r="F2128" s="76"/>
      <c r="G2128" s="112">
        <v>0</v>
      </c>
      <c r="H2128" s="120">
        <v>0</v>
      </c>
      <c r="I2128" s="120">
        <v>0</v>
      </c>
      <c r="J2128" s="120">
        <v>0</v>
      </c>
      <c r="K2128" s="110">
        <v>0</v>
      </c>
      <c r="L2128" s="110"/>
      <c r="M2128" s="110">
        <v>0</v>
      </c>
      <c r="N2128" s="110"/>
      <c r="O2128" s="110"/>
      <c r="P2128" s="110">
        <f t="shared" si="159"/>
        <v>0</v>
      </c>
      <c r="Q2128" s="110">
        <f t="shared" si="160"/>
        <v>0</v>
      </c>
      <c r="R2128" s="110">
        <f t="shared" si="161"/>
        <v>0</v>
      </c>
      <c r="S2128" s="112">
        <v>0</v>
      </c>
    </row>
    <row r="2129" spans="1:19">
      <c r="A2129" s="79"/>
      <c r="B2129" s="77" t="s">
        <v>277</v>
      </c>
      <c r="C2129" s="76" t="s">
        <v>4</v>
      </c>
      <c r="D2129" s="143">
        <v>11</v>
      </c>
      <c r="E2129" s="77"/>
      <c r="F2129" s="334"/>
      <c r="G2129" s="112">
        <v>0</v>
      </c>
      <c r="H2129" s="120">
        <v>0</v>
      </c>
      <c r="I2129" s="120">
        <v>0</v>
      </c>
      <c r="J2129" s="120">
        <v>0</v>
      </c>
      <c r="K2129" s="110">
        <v>0</v>
      </c>
      <c r="L2129" s="110"/>
      <c r="M2129" s="110">
        <v>0</v>
      </c>
      <c r="N2129" s="110"/>
      <c r="O2129" s="110"/>
      <c r="P2129" s="110">
        <f t="shared" si="159"/>
        <v>0</v>
      </c>
      <c r="Q2129" s="110">
        <f t="shared" si="160"/>
        <v>0</v>
      </c>
      <c r="R2129" s="110">
        <f t="shared" si="161"/>
        <v>0</v>
      </c>
      <c r="S2129" s="112">
        <v>0</v>
      </c>
    </row>
    <row r="2130" spans="1:19">
      <c r="A2130" s="79"/>
      <c r="B2130" s="77" t="s">
        <v>158</v>
      </c>
      <c r="C2130" s="76" t="s">
        <v>4</v>
      </c>
      <c r="D2130" s="143">
        <v>1</v>
      </c>
      <c r="E2130" s="77"/>
      <c r="F2130" s="334"/>
      <c r="G2130" s="112">
        <v>0</v>
      </c>
      <c r="H2130" s="120">
        <v>0</v>
      </c>
      <c r="I2130" s="120">
        <v>0</v>
      </c>
      <c r="J2130" s="120">
        <v>0</v>
      </c>
      <c r="K2130" s="110">
        <v>0</v>
      </c>
      <c r="L2130" s="110"/>
      <c r="M2130" s="110">
        <v>0</v>
      </c>
      <c r="N2130" s="110"/>
      <c r="O2130" s="110"/>
      <c r="P2130" s="110">
        <f t="shared" si="159"/>
        <v>0</v>
      </c>
      <c r="Q2130" s="110">
        <f t="shared" si="160"/>
        <v>0</v>
      </c>
      <c r="R2130" s="110">
        <f t="shared" si="161"/>
        <v>0</v>
      </c>
      <c r="S2130" s="112">
        <v>0</v>
      </c>
    </row>
    <row r="2131" spans="1:19">
      <c r="A2131" s="79"/>
      <c r="B2131" s="77" t="s">
        <v>279</v>
      </c>
      <c r="C2131" s="76" t="s">
        <v>4</v>
      </c>
      <c r="D2131" s="143">
        <v>22</v>
      </c>
      <c r="E2131" s="77"/>
      <c r="F2131" s="334"/>
      <c r="G2131" s="112">
        <v>0</v>
      </c>
      <c r="H2131" s="120">
        <v>0</v>
      </c>
      <c r="I2131" s="120">
        <v>0</v>
      </c>
      <c r="J2131" s="120">
        <v>0</v>
      </c>
      <c r="K2131" s="110">
        <v>0</v>
      </c>
      <c r="L2131" s="110"/>
      <c r="M2131" s="110">
        <v>0</v>
      </c>
      <c r="N2131" s="110"/>
      <c r="O2131" s="110"/>
      <c r="P2131" s="110">
        <f t="shared" si="159"/>
        <v>0</v>
      </c>
      <c r="Q2131" s="110">
        <f t="shared" si="160"/>
        <v>0</v>
      </c>
      <c r="R2131" s="110">
        <f t="shared" si="161"/>
        <v>0</v>
      </c>
      <c r="S2131" s="112">
        <v>0</v>
      </c>
    </row>
    <row r="2132" spans="1:19">
      <c r="A2132" s="79"/>
      <c r="B2132" s="77" t="s">
        <v>281</v>
      </c>
      <c r="C2132" s="76" t="s">
        <v>4</v>
      </c>
      <c r="D2132" s="143">
        <v>11</v>
      </c>
      <c r="E2132" s="77"/>
      <c r="F2132" s="334"/>
      <c r="G2132" s="112">
        <v>0</v>
      </c>
      <c r="H2132" s="120">
        <v>0</v>
      </c>
      <c r="I2132" s="120">
        <v>0</v>
      </c>
      <c r="J2132" s="120">
        <v>0</v>
      </c>
      <c r="K2132" s="110">
        <v>0</v>
      </c>
      <c r="L2132" s="110"/>
      <c r="M2132" s="110">
        <v>0</v>
      </c>
      <c r="N2132" s="110"/>
      <c r="O2132" s="110"/>
      <c r="P2132" s="110">
        <f t="shared" si="159"/>
        <v>0</v>
      </c>
      <c r="Q2132" s="110">
        <f t="shared" si="160"/>
        <v>0</v>
      </c>
      <c r="R2132" s="110">
        <f t="shared" si="161"/>
        <v>0</v>
      </c>
      <c r="S2132" s="112">
        <v>0</v>
      </c>
    </row>
    <row r="2133" spans="1:19" ht="30">
      <c r="A2133" s="79"/>
      <c r="B2133" s="77" t="s">
        <v>282</v>
      </c>
      <c r="C2133" s="76" t="s">
        <v>8</v>
      </c>
      <c r="D2133" s="143">
        <v>1</v>
      </c>
      <c r="E2133" s="77"/>
      <c r="F2133" s="334"/>
      <c r="G2133" s="112">
        <v>0</v>
      </c>
      <c r="H2133" s="120">
        <v>0</v>
      </c>
      <c r="I2133" s="120">
        <v>0</v>
      </c>
      <c r="J2133" s="120">
        <v>0</v>
      </c>
      <c r="K2133" s="110">
        <v>0</v>
      </c>
      <c r="L2133" s="110"/>
      <c r="M2133" s="110">
        <v>0</v>
      </c>
      <c r="N2133" s="110"/>
      <c r="O2133" s="110"/>
      <c r="P2133" s="110">
        <f t="shared" si="159"/>
        <v>0</v>
      </c>
      <c r="Q2133" s="110">
        <f t="shared" si="160"/>
        <v>0</v>
      </c>
      <c r="R2133" s="110">
        <f t="shared" si="161"/>
        <v>0</v>
      </c>
      <c r="S2133" s="112">
        <v>0</v>
      </c>
    </row>
    <row r="2134" spans="1:19" ht="45">
      <c r="A2134" s="79"/>
      <c r="B2134" s="77" t="s">
        <v>166</v>
      </c>
      <c r="C2134" s="76" t="s">
        <v>17</v>
      </c>
      <c r="D2134" s="143">
        <v>1</v>
      </c>
      <c r="E2134" s="77"/>
      <c r="F2134" s="334"/>
      <c r="G2134" s="112">
        <v>0</v>
      </c>
      <c r="H2134" s="120">
        <v>0</v>
      </c>
      <c r="I2134" s="120">
        <v>0</v>
      </c>
      <c r="J2134" s="120">
        <v>0</v>
      </c>
      <c r="K2134" s="110">
        <v>0</v>
      </c>
      <c r="L2134" s="110"/>
      <c r="M2134" s="110">
        <v>0</v>
      </c>
      <c r="N2134" s="110"/>
      <c r="O2134" s="110"/>
      <c r="P2134" s="110">
        <f t="shared" si="159"/>
        <v>0</v>
      </c>
      <c r="Q2134" s="110">
        <f t="shared" si="160"/>
        <v>0</v>
      </c>
      <c r="R2134" s="110">
        <f t="shared" si="161"/>
        <v>0</v>
      </c>
      <c r="S2134" s="112">
        <v>0</v>
      </c>
    </row>
    <row r="2135" spans="1:19" ht="60">
      <c r="A2135" s="79">
        <v>85</v>
      </c>
      <c r="B2135" s="77" t="s">
        <v>448</v>
      </c>
      <c r="C2135" s="76" t="s">
        <v>6</v>
      </c>
      <c r="D2135" s="143">
        <v>6</v>
      </c>
      <c r="E2135" s="77"/>
      <c r="F2135" s="334">
        <v>6</v>
      </c>
      <c r="G2135" s="112" t="s">
        <v>869</v>
      </c>
      <c r="H2135" s="120" t="s">
        <v>1076</v>
      </c>
      <c r="I2135" s="120" t="s">
        <v>828</v>
      </c>
      <c r="J2135" s="120" t="s">
        <v>829</v>
      </c>
      <c r="K2135" s="110">
        <v>27653300</v>
      </c>
      <c r="L2135" s="110"/>
      <c r="M2135" s="110">
        <v>3123300</v>
      </c>
      <c r="N2135" s="110"/>
      <c r="O2135" s="110"/>
      <c r="P2135" s="110">
        <f t="shared" si="159"/>
        <v>30776600</v>
      </c>
      <c r="Q2135" s="110">
        <f t="shared" si="160"/>
        <v>184659600</v>
      </c>
      <c r="R2135" s="110">
        <f t="shared" si="161"/>
        <v>184659600</v>
      </c>
      <c r="S2135" s="112" t="s">
        <v>4094</v>
      </c>
    </row>
    <row r="2136" spans="1:19" ht="45">
      <c r="A2136" s="79"/>
      <c r="B2136" s="77" t="s">
        <v>274</v>
      </c>
      <c r="C2136" s="76" t="s">
        <v>4</v>
      </c>
      <c r="D2136" s="143">
        <v>1</v>
      </c>
      <c r="E2136" s="77"/>
      <c r="F2136" s="334"/>
      <c r="G2136" s="112">
        <v>0</v>
      </c>
      <c r="H2136" s="120">
        <v>0</v>
      </c>
      <c r="I2136" s="120">
        <v>0</v>
      </c>
      <c r="J2136" s="120">
        <v>0</v>
      </c>
      <c r="K2136" s="110">
        <v>0</v>
      </c>
      <c r="L2136" s="110"/>
      <c r="M2136" s="110">
        <v>0</v>
      </c>
      <c r="N2136" s="110"/>
      <c r="O2136" s="110"/>
      <c r="P2136" s="110">
        <f t="shared" si="159"/>
        <v>0</v>
      </c>
      <c r="Q2136" s="110">
        <f t="shared" si="160"/>
        <v>0</v>
      </c>
      <c r="R2136" s="110">
        <f t="shared" si="161"/>
        <v>0</v>
      </c>
      <c r="S2136" s="112" t="s">
        <v>150</v>
      </c>
    </row>
    <row r="2137" spans="1:19">
      <c r="A2137" s="79"/>
      <c r="B2137" s="77" t="s">
        <v>281</v>
      </c>
      <c r="C2137" s="76" t="s">
        <v>4</v>
      </c>
      <c r="D2137" s="143">
        <v>11</v>
      </c>
      <c r="E2137" s="77"/>
      <c r="F2137" s="334"/>
      <c r="G2137" s="112">
        <v>0</v>
      </c>
      <c r="H2137" s="120">
        <v>0</v>
      </c>
      <c r="I2137" s="120">
        <v>0</v>
      </c>
      <c r="J2137" s="120">
        <v>0</v>
      </c>
      <c r="K2137" s="110">
        <v>0</v>
      </c>
      <c r="L2137" s="110"/>
      <c r="M2137" s="110">
        <v>0</v>
      </c>
      <c r="N2137" s="110"/>
      <c r="O2137" s="110"/>
      <c r="P2137" s="110">
        <f t="shared" si="159"/>
        <v>0</v>
      </c>
      <c r="Q2137" s="110">
        <f t="shared" si="160"/>
        <v>0</v>
      </c>
      <c r="R2137" s="110">
        <f t="shared" si="161"/>
        <v>0</v>
      </c>
      <c r="S2137" s="112">
        <v>0</v>
      </c>
    </row>
    <row r="2138" spans="1:19" ht="60">
      <c r="A2138" s="79">
        <v>86</v>
      </c>
      <c r="B2138" s="77" t="s">
        <v>449</v>
      </c>
      <c r="C2138" s="76" t="s">
        <v>6</v>
      </c>
      <c r="D2138" s="143">
        <v>1</v>
      </c>
      <c r="E2138" s="77"/>
      <c r="F2138" s="334">
        <v>1</v>
      </c>
      <c r="G2138" s="112" t="s">
        <v>870</v>
      </c>
      <c r="H2138" s="120" t="s">
        <v>1076</v>
      </c>
      <c r="I2138" s="120" t="s">
        <v>828</v>
      </c>
      <c r="J2138" s="120" t="s">
        <v>829</v>
      </c>
      <c r="K2138" s="110">
        <v>76227400</v>
      </c>
      <c r="L2138" s="110"/>
      <c r="M2138" s="110">
        <v>5541300</v>
      </c>
      <c r="N2138" s="110"/>
      <c r="O2138" s="110"/>
      <c r="P2138" s="110">
        <f t="shared" si="159"/>
        <v>81768700</v>
      </c>
      <c r="Q2138" s="110">
        <f t="shared" si="160"/>
        <v>81768700</v>
      </c>
      <c r="R2138" s="110">
        <f t="shared" si="161"/>
        <v>81768700</v>
      </c>
      <c r="S2138" s="112" t="s">
        <v>4094</v>
      </c>
    </row>
    <row r="2139" spans="1:19" ht="45">
      <c r="A2139" s="79"/>
      <c r="B2139" s="77" t="s">
        <v>450</v>
      </c>
      <c r="C2139" s="76" t="s">
        <v>4</v>
      </c>
      <c r="D2139" s="143">
        <v>1</v>
      </c>
      <c r="E2139" s="77"/>
      <c r="F2139" s="334"/>
      <c r="G2139" s="112">
        <v>0</v>
      </c>
      <c r="H2139" s="120">
        <v>0</v>
      </c>
      <c r="I2139" s="120">
        <v>0</v>
      </c>
      <c r="J2139" s="120">
        <v>0</v>
      </c>
      <c r="K2139" s="110">
        <v>0</v>
      </c>
      <c r="L2139" s="110"/>
      <c r="M2139" s="110">
        <v>0</v>
      </c>
      <c r="N2139" s="110"/>
      <c r="O2139" s="110"/>
      <c r="P2139" s="110">
        <f t="shared" si="159"/>
        <v>0</v>
      </c>
      <c r="Q2139" s="110">
        <f t="shared" si="160"/>
        <v>0</v>
      </c>
      <c r="R2139" s="110">
        <f t="shared" si="161"/>
        <v>0</v>
      </c>
      <c r="S2139" s="112" t="s">
        <v>150</v>
      </c>
    </row>
    <row r="2140" spans="1:19">
      <c r="A2140" s="79"/>
      <c r="B2140" s="77" t="s">
        <v>151</v>
      </c>
      <c r="C2140" s="76"/>
      <c r="D2140" s="143"/>
      <c r="E2140" s="77"/>
      <c r="F2140" s="76"/>
      <c r="G2140" s="112">
        <v>0</v>
      </c>
      <c r="H2140" s="120">
        <v>0</v>
      </c>
      <c r="I2140" s="120">
        <v>0</v>
      </c>
      <c r="J2140" s="120">
        <v>0</v>
      </c>
      <c r="K2140" s="110">
        <v>0</v>
      </c>
      <c r="L2140" s="110"/>
      <c r="M2140" s="110">
        <v>0</v>
      </c>
      <c r="N2140" s="110"/>
      <c r="O2140" s="110"/>
      <c r="P2140" s="110">
        <f t="shared" si="159"/>
        <v>0</v>
      </c>
      <c r="Q2140" s="110">
        <f t="shared" si="160"/>
        <v>0</v>
      </c>
      <c r="R2140" s="110">
        <f t="shared" si="161"/>
        <v>0</v>
      </c>
      <c r="S2140" s="112">
        <v>0</v>
      </c>
    </row>
    <row r="2141" spans="1:19">
      <c r="A2141" s="79"/>
      <c r="B2141" s="77" t="s">
        <v>204</v>
      </c>
      <c r="C2141" s="76" t="s">
        <v>4</v>
      </c>
      <c r="D2141" s="143">
        <v>1</v>
      </c>
      <c r="E2141" s="77"/>
      <c r="F2141" s="334"/>
      <c r="G2141" s="112">
        <v>0</v>
      </c>
      <c r="H2141" s="120">
        <v>0</v>
      </c>
      <c r="I2141" s="120">
        <v>0</v>
      </c>
      <c r="J2141" s="120">
        <v>0</v>
      </c>
      <c r="K2141" s="110">
        <v>0</v>
      </c>
      <c r="L2141" s="110"/>
      <c r="M2141" s="110">
        <v>0</v>
      </c>
      <c r="N2141" s="110"/>
      <c r="O2141" s="110"/>
      <c r="P2141" s="110">
        <f t="shared" si="159"/>
        <v>0</v>
      </c>
      <c r="Q2141" s="110">
        <f t="shared" si="160"/>
        <v>0</v>
      </c>
      <c r="R2141" s="110">
        <f t="shared" si="161"/>
        <v>0</v>
      </c>
      <c r="S2141" s="112">
        <v>0</v>
      </c>
    </row>
    <row r="2142" spans="1:19">
      <c r="A2142" s="79"/>
      <c r="B2142" s="77" t="s">
        <v>14</v>
      </c>
      <c r="C2142" s="76" t="s">
        <v>4</v>
      </c>
      <c r="D2142" s="143">
        <v>3</v>
      </c>
      <c r="E2142" s="77"/>
      <c r="F2142" s="334"/>
      <c r="G2142" s="112">
        <v>0</v>
      </c>
      <c r="H2142" s="120">
        <v>0</v>
      </c>
      <c r="I2142" s="120">
        <v>0</v>
      </c>
      <c r="J2142" s="120">
        <v>0</v>
      </c>
      <c r="K2142" s="110">
        <v>0</v>
      </c>
      <c r="L2142" s="110"/>
      <c r="M2142" s="110">
        <v>0</v>
      </c>
      <c r="N2142" s="110"/>
      <c r="O2142" s="110"/>
      <c r="P2142" s="110">
        <f t="shared" si="159"/>
        <v>0</v>
      </c>
      <c r="Q2142" s="110">
        <f t="shared" si="160"/>
        <v>0</v>
      </c>
      <c r="R2142" s="110">
        <f t="shared" si="161"/>
        <v>0</v>
      </c>
      <c r="S2142" s="112">
        <v>0</v>
      </c>
    </row>
    <row r="2143" spans="1:19">
      <c r="A2143" s="79"/>
      <c r="B2143" s="77" t="s">
        <v>154</v>
      </c>
      <c r="C2143" s="76"/>
      <c r="D2143" s="143"/>
      <c r="E2143" s="77"/>
      <c r="F2143" s="76"/>
      <c r="G2143" s="112">
        <v>0</v>
      </c>
      <c r="H2143" s="120">
        <v>0</v>
      </c>
      <c r="I2143" s="120">
        <v>0</v>
      </c>
      <c r="J2143" s="120">
        <v>0</v>
      </c>
      <c r="K2143" s="110">
        <v>0</v>
      </c>
      <c r="L2143" s="110"/>
      <c r="M2143" s="110">
        <v>0</v>
      </c>
      <c r="N2143" s="110"/>
      <c r="O2143" s="110"/>
      <c r="P2143" s="110">
        <f t="shared" si="159"/>
        <v>0</v>
      </c>
      <c r="Q2143" s="110">
        <f t="shared" si="160"/>
        <v>0</v>
      </c>
      <c r="R2143" s="110">
        <f t="shared" si="161"/>
        <v>0</v>
      </c>
      <c r="S2143" s="112">
        <v>0</v>
      </c>
    </row>
    <row r="2144" spans="1:19">
      <c r="A2144" s="79"/>
      <c r="B2144" s="77" t="s">
        <v>292</v>
      </c>
      <c r="C2144" s="76" t="s">
        <v>4</v>
      </c>
      <c r="D2144" s="143">
        <v>5</v>
      </c>
      <c r="E2144" s="77"/>
      <c r="F2144" s="334"/>
      <c r="G2144" s="112">
        <v>0</v>
      </c>
      <c r="H2144" s="120">
        <v>0</v>
      </c>
      <c r="I2144" s="120">
        <v>0</v>
      </c>
      <c r="J2144" s="120">
        <v>0</v>
      </c>
      <c r="K2144" s="110">
        <v>0</v>
      </c>
      <c r="L2144" s="110"/>
      <c r="M2144" s="110">
        <v>0</v>
      </c>
      <c r="N2144" s="110"/>
      <c r="O2144" s="110"/>
      <c r="P2144" s="110">
        <f t="shared" si="159"/>
        <v>0</v>
      </c>
      <c r="Q2144" s="110">
        <f t="shared" si="160"/>
        <v>0</v>
      </c>
      <c r="R2144" s="110">
        <f t="shared" si="161"/>
        <v>0</v>
      </c>
      <c r="S2144" s="112">
        <v>0</v>
      </c>
    </row>
    <row r="2145" spans="1:19">
      <c r="A2145" s="79"/>
      <c r="B2145" s="77" t="s">
        <v>158</v>
      </c>
      <c r="C2145" s="76" t="s">
        <v>4</v>
      </c>
      <c r="D2145" s="143">
        <v>1</v>
      </c>
      <c r="E2145" s="77"/>
      <c r="F2145" s="334"/>
      <c r="G2145" s="112">
        <v>0</v>
      </c>
      <c r="H2145" s="120">
        <v>0</v>
      </c>
      <c r="I2145" s="120">
        <v>0</v>
      </c>
      <c r="J2145" s="120">
        <v>0</v>
      </c>
      <c r="K2145" s="110">
        <v>0</v>
      </c>
      <c r="L2145" s="110"/>
      <c r="M2145" s="110">
        <v>0</v>
      </c>
      <c r="N2145" s="110"/>
      <c r="O2145" s="110"/>
      <c r="P2145" s="110">
        <f t="shared" si="159"/>
        <v>0</v>
      </c>
      <c r="Q2145" s="110">
        <f t="shared" si="160"/>
        <v>0</v>
      </c>
      <c r="R2145" s="110">
        <f t="shared" si="161"/>
        <v>0</v>
      </c>
      <c r="S2145" s="112">
        <v>0</v>
      </c>
    </row>
    <row r="2146" spans="1:19">
      <c r="A2146" s="79"/>
      <c r="B2146" s="77" t="s">
        <v>246</v>
      </c>
      <c r="C2146" s="76" t="s">
        <v>4</v>
      </c>
      <c r="D2146" s="143">
        <v>10</v>
      </c>
      <c r="E2146" s="77"/>
      <c r="F2146" s="334"/>
      <c r="G2146" s="112">
        <v>0</v>
      </c>
      <c r="H2146" s="120">
        <v>0</v>
      </c>
      <c r="I2146" s="120">
        <v>0</v>
      </c>
      <c r="J2146" s="120">
        <v>0</v>
      </c>
      <c r="K2146" s="110">
        <v>0</v>
      </c>
      <c r="L2146" s="110"/>
      <c r="M2146" s="110">
        <v>0</v>
      </c>
      <c r="N2146" s="110"/>
      <c r="O2146" s="110"/>
      <c r="P2146" s="110">
        <f t="shared" si="159"/>
        <v>0</v>
      </c>
      <c r="Q2146" s="110">
        <f t="shared" si="160"/>
        <v>0</v>
      </c>
      <c r="R2146" s="110">
        <f t="shared" si="161"/>
        <v>0</v>
      </c>
      <c r="S2146" s="112">
        <v>0</v>
      </c>
    </row>
    <row r="2147" spans="1:19">
      <c r="A2147" s="79"/>
      <c r="B2147" s="77" t="s">
        <v>451</v>
      </c>
      <c r="C2147" s="76" t="s">
        <v>4</v>
      </c>
      <c r="D2147" s="143">
        <v>10</v>
      </c>
      <c r="E2147" s="77"/>
      <c r="F2147" s="334"/>
      <c r="G2147" s="112">
        <v>0</v>
      </c>
      <c r="H2147" s="120">
        <v>0</v>
      </c>
      <c r="I2147" s="120">
        <v>0</v>
      </c>
      <c r="J2147" s="120">
        <v>0</v>
      </c>
      <c r="K2147" s="110">
        <v>0</v>
      </c>
      <c r="L2147" s="110"/>
      <c r="M2147" s="110">
        <v>0</v>
      </c>
      <c r="N2147" s="110"/>
      <c r="O2147" s="110"/>
      <c r="P2147" s="110">
        <f t="shared" si="159"/>
        <v>0</v>
      </c>
      <c r="Q2147" s="110">
        <f t="shared" si="160"/>
        <v>0</v>
      </c>
      <c r="R2147" s="110">
        <f t="shared" si="161"/>
        <v>0</v>
      </c>
      <c r="S2147" s="112">
        <v>0</v>
      </c>
    </row>
    <row r="2148" spans="1:19" ht="30">
      <c r="A2148" s="79"/>
      <c r="B2148" s="77" t="s">
        <v>288</v>
      </c>
      <c r="C2148" s="76" t="s">
        <v>8</v>
      </c>
      <c r="D2148" s="143">
        <v>1</v>
      </c>
      <c r="E2148" s="77"/>
      <c r="F2148" s="334"/>
      <c r="G2148" s="112">
        <v>0</v>
      </c>
      <c r="H2148" s="120">
        <v>0</v>
      </c>
      <c r="I2148" s="120">
        <v>0</v>
      </c>
      <c r="J2148" s="120">
        <v>0</v>
      </c>
      <c r="K2148" s="110">
        <v>0</v>
      </c>
      <c r="L2148" s="110"/>
      <c r="M2148" s="110">
        <v>0</v>
      </c>
      <c r="N2148" s="110"/>
      <c r="O2148" s="110"/>
      <c r="P2148" s="110">
        <f t="shared" si="159"/>
        <v>0</v>
      </c>
      <c r="Q2148" s="110">
        <f t="shared" si="160"/>
        <v>0</v>
      </c>
      <c r="R2148" s="110">
        <f t="shared" si="161"/>
        <v>0</v>
      </c>
      <c r="S2148" s="112">
        <v>0</v>
      </c>
    </row>
    <row r="2149" spans="1:19" ht="45">
      <c r="A2149" s="79"/>
      <c r="B2149" s="77" t="s">
        <v>166</v>
      </c>
      <c r="C2149" s="76" t="s">
        <v>17</v>
      </c>
      <c r="D2149" s="143">
        <v>1</v>
      </c>
      <c r="E2149" s="77"/>
      <c r="F2149" s="334"/>
      <c r="G2149" s="112">
        <v>0</v>
      </c>
      <c r="H2149" s="120">
        <v>0</v>
      </c>
      <c r="I2149" s="120">
        <v>0</v>
      </c>
      <c r="J2149" s="120">
        <v>0</v>
      </c>
      <c r="K2149" s="110">
        <v>0</v>
      </c>
      <c r="L2149" s="110"/>
      <c r="M2149" s="110">
        <v>0</v>
      </c>
      <c r="N2149" s="110"/>
      <c r="O2149" s="110"/>
      <c r="P2149" s="110">
        <f t="shared" si="159"/>
        <v>0</v>
      </c>
      <c r="Q2149" s="110">
        <f t="shared" si="160"/>
        <v>0</v>
      </c>
      <c r="R2149" s="110">
        <f t="shared" si="161"/>
        <v>0</v>
      </c>
      <c r="S2149" s="112">
        <v>0</v>
      </c>
    </row>
    <row r="2150" spans="1:19" ht="60">
      <c r="A2150" s="79">
        <v>87</v>
      </c>
      <c r="B2150" s="77" t="s">
        <v>452</v>
      </c>
      <c r="C2150" s="76" t="s">
        <v>6</v>
      </c>
      <c r="D2150" s="143">
        <v>5</v>
      </c>
      <c r="E2150" s="77"/>
      <c r="F2150" s="334">
        <v>5</v>
      </c>
      <c r="G2150" s="112" t="s">
        <v>871</v>
      </c>
      <c r="H2150" s="120" t="s">
        <v>1076</v>
      </c>
      <c r="I2150" s="120" t="s">
        <v>828</v>
      </c>
      <c r="J2150" s="120" t="s">
        <v>829</v>
      </c>
      <c r="K2150" s="110">
        <v>79503500</v>
      </c>
      <c r="L2150" s="110"/>
      <c r="M2150" s="110">
        <v>5541300</v>
      </c>
      <c r="N2150" s="110"/>
      <c r="O2150" s="110"/>
      <c r="P2150" s="110">
        <f t="shared" si="159"/>
        <v>85044800</v>
      </c>
      <c r="Q2150" s="110">
        <f t="shared" si="160"/>
        <v>425224000</v>
      </c>
      <c r="R2150" s="110">
        <f t="shared" si="161"/>
        <v>425224000</v>
      </c>
      <c r="S2150" s="112" t="s">
        <v>4094</v>
      </c>
    </row>
    <row r="2151" spans="1:19" ht="45">
      <c r="A2151" s="79"/>
      <c r="B2151" s="77" t="s">
        <v>274</v>
      </c>
      <c r="C2151" s="76" t="s">
        <v>4</v>
      </c>
      <c r="D2151" s="143">
        <v>1</v>
      </c>
      <c r="E2151" s="77"/>
      <c r="F2151" s="334"/>
      <c r="G2151" s="112">
        <v>0</v>
      </c>
      <c r="H2151" s="120">
        <v>0</v>
      </c>
      <c r="I2151" s="120">
        <v>0</v>
      </c>
      <c r="J2151" s="120">
        <v>0</v>
      </c>
      <c r="K2151" s="110">
        <v>0</v>
      </c>
      <c r="L2151" s="110"/>
      <c r="M2151" s="110">
        <v>0</v>
      </c>
      <c r="N2151" s="110"/>
      <c r="O2151" s="110"/>
      <c r="P2151" s="110">
        <f t="shared" si="159"/>
        <v>0</v>
      </c>
      <c r="Q2151" s="110">
        <f t="shared" si="160"/>
        <v>0</v>
      </c>
      <c r="R2151" s="110">
        <f t="shared" si="161"/>
        <v>0</v>
      </c>
      <c r="S2151" s="112" t="s">
        <v>150</v>
      </c>
    </row>
    <row r="2152" spans="1:19">
      <c r="A2152" s="79"/>
      <c r="B2152" s="77" t="s">
        <v>151</v>
      </c>
      <c r="C2152" s="76"/>
      <c r="D2152" s="143"/>
      <c r="E2152" s="77"/>
      <c r="F2152" s="76"/>
      <c r="G2152" s="112">
        <v>0</v>
      </c>
      <c r="H2152" s="120">
        <v>0</v>
      </c>
      <c r="I2152" s="120">
        <v>0</v>
      </c>
      <c r="J2152" s="120">
        <v>0</v>
      </c>
      <c r="K2152" s="110">
        <v>0</v>
      </c>
      <c r="L2152" s="110"/>
      <c r="M2152" s="110">
        <v>0</v>
      </c>
      <c r="N2152" s="110"/>
      <c r="O2152" s="110"/>
      <c r="P2152" s="110">
        <f t="shared" si="159"/>
        <v>0</v>
      </c>
      <c r="Q2152" s="110">
        <f t="shared" si="160"/>
        <v>0</v>
      </c>
      <c r="R2152" s="110">
        <f t="shared" si="161"/>
        <v>0</v>
      </c>
      <c r="S2152" s="112">
        <v>0</v>
      </c>
    </row>
    <row r="2153" spans="1:19">
      <c r="A2153" s="79"/>
      <c r="B2153" s="77" t="s">
        <v>275</v>
      </c>
      <c r="C2153" s="76" t="s">
        <v>4</v>
      </c>
      <c r="D2153" s="143">
        <v>1</v>
      </c>
      <c r="E2153" s="77"/>
      <c r="F2153" s="334"/>
      <c r="G2153" s="112">
        <v>0</v>
      </c>
      <c r="H2153" s="120">
        <v>0</v>
      </c>
      <c r="I2153" s="120">
        <v>0</v>
      </c>
      <c r="J2153" s="120">
        <v>0</v>
      </c>
      <c r="K2153" s="110">
        <v>0</v>
      </c>
      <c r="L2153" s="110"/>
      <c r="M2153" s="110">
        <v>0</v>
      </c>
      <c r="N2153" s="110"/>
      <c r="O2153" s="110"/>
      <c r="P2153" s="110">
        <f t="shared" si="159"/>
        <v>0</v>
      </c>
      <c r="Q2153" s="110">
        <f t="shared" si="160"/>
        <v>0</v>
      </c>
      <c r="R2153" s="110">
        <f t="shared" si="161"/>
        <v>0</v>
      </c>
      <c r="S2153" s="112">
        <v>0</v>
      </c>
    </row>
    <row r="2154" spans="1:19">
      <c r="A2154" s="79"/>
      <c r="B2154" s="77" t="s">
        <v>14</v>
      </c>
      <c r="C2154" s="76" t="s">
        <v>4</v>
      </c>
      <c r="D2154" s="143">
        <v>3</v>
      </c>
      <c r="E2154" s="77"/>
      <c r="F2154" s="334"/>
      <c r="G2154" s="112">
        <v>0</v>
      </c>
      <c r="H2154" s="120">
        <v>0</v>
      </c>
      <c r="I2154" s="120">
        <v>0</v>
      </c>
      <c r="J2154" s="120">
        <v>0</v>
      </c>
      <c r="K2154" s="110">
        <v>0</v>
      </c>
      <c r="L2154" s="110"/>
      <c r="M2154" s="110">
        <v>0</v>
      </c>
      <c r="N2154" s="110"/>
      <c r="O2154" s="110"/>
      <c r="P2154" s="110">
        <f t="shared" si="159"/>
        <v>0</v>
      </c>
      <c r="Q2154" s="110">
        <f t="shared" si="160"/>
        <v>0</v>
      </c>
      <c r="R2154" s="110">
        <f t="shared" si="161"/>
        <v>0</v>
      </c>
      <c r="S2154" s="112">
        <v>0</v>
      </c>
    </row>
    <row r="2155" spans="1:19">
      <c r="A2155" s="79"/>
      <c r="B2155" s="77" t="s">
        <v>154</v>
      </c>
      <c r="C2155" s="76"/>
      <c r="D2155" s="143"/>
      <c r="E2155" s="77"/>
      <c r="F2155" s="76"/>
      <c r="G2155" s="112">
        <v>0</v>
      </c>
      <c r="H2155" s="120">
        <v>0</v>
      </c>
      <c r="I2155" s="120">
        <v>0</v>
      </c>
      <c r="J2155" s="120">
        <v>0</v>
      </c>
      <c r="K2155" s="110">
        <v>0</v>
      </c>
      <c r="L2155" s="110"/>
      <c r="M2155" s="110">
        <v>0</v>
      </c>
      <c r="N2155" s="110"/>
      <c r="O2155" s="110"/>
      <c r="P2155" s="110">
        <f t="shared" si="159"/>
        <v>0</v>
      </c>
      <c r="Q2155" s="110">
        <f t="shared" si="160"/>
        <v>0</v>
      </c>
      <c r="R2155" s="110">
        <f t="shared" si="161"/>
        <v>0</v>
      </c>
      <c r="S2155" s="112">
        <v>0</v>
      </c>
    </row>
    <row r="2156" spans="1:19">
      <c r="A2156" s="79"/>
      <c r="B2156" s="77" t="s">
        <v>277</v>
      </c>
      <c r="C2156" s="76" t="s">
        <v>4</v>
      </c>
      <c r="D2156" s="143">
        <v>1</v>
      </c>
      <c r="E2156" s="77"/>
      <c r="F2156" s="334"/>
      <c r="G2156" s="112">
        <v>0</v>
      </c>
      <c r="H2156" s="120">
        <v>0</v>
      </c>
      <c r="I2156" s="120">
        <v>0</v>
      </c>
      <c r="J2156" s="120">
        <v>0</v>
      </c>
      <c r="K2156" s="110">
        <v>0</v>
      </c>
      <c r="L2156" s="110"/>
      <c r="M2156" s="110">
        <v>0</v>
      </c>
      <c r="N2156" s="110"/>
      <c r="O2156" s="110"/>
      <c r="P2156" s="110">
        <f t="shared" si="159"/>
        <v>0</v>
      </c>
      <c r="Q2156" s="110">
        <f t="shared" si="160"/>
        <v>0</v>
      </c>
      <c r="R2156" s="110">
        <f t="shared" si="161"/>
        <v>0</v>
      </c>
      <c r="S2156" s="112">
        <v>0</v>
      </c>
    </row>
    <row r="2157" spans="1:19">
      <c r="A2157" s="79"/>
      <c r="B2157" s="77" t="s">
        <v>272</v>
      </c>
      <c r="C2157" s="76" t="s">
        <v>4</v>
      </c>
      <c r="D2157" s="143">
        <v>16</v>
      </c>
      <c r="E2157" s="77"/>
      <c r="F2157" s="334"/>
      <c r="G2157" s="112">
        <v>0</v>
      </c>
      <c r="H2157" s="120">
        <v>0</v>
      </c>
      <c r="I2157" s="120">
        <v>0</v>
      </c>
      <c r="J2157" s="120">
        <v>0</v>
      </c>
      <c r="K2157" s="110">
        <v>0</v>
      </c>
      <c r="L2157" s="110"/>
      <c r="M2157" s="110">
        <v>0</v>
      </c>
      <c r="N2157" s="110"/>
      <c r="O2157" s="110"/>
      <c r="P2157" s="110">
        <f t="shared" si="159"/>
        <v>0</v>
      </c>
      <c r="Q2157" s="110">
        <f t="shared" si="160"/>
        <v>0</v>
      </c>
      <c r="R2157" s="110">
        <f t="shared" si="161"/>
        <v>0</v>
      </c>
      <c r="S2157" s="112">
        <v>0</v>
      </c>
    </row>
    <row r="2158" spans="1:19">
      <c r="A2158" s="79"/>
      <c r="B2158" s="77" t="s">
        <v>158</v>
      </c>
      <c r="C2158" s="76" t="s">
        <v>4</v>
      </c>
      <c r="D2158" s="143">
        <v>1</v>
      </c>
      <c r="E2158" s="77"/>
      <c r="F2158" s="334"/>
      <c r="G2158" s="112">
        <v>0</v>
      </c>
      <c r="H2158" s="120">
        <v>0</v>
      </c>
      <c r="I2158" s="120">
        <v>0</v>
      </c>
      <c r="J2158" s="120">
        <v>0</v>
      </c>
      <c r="K2158" s="110">
        <v>0</v>
      </c>
      <c r="L2158" s="110"/>
      <c r="M2158" s="110">
        <v>0</v>
      </c>
      <c r="N2158" s="110"/>
      <c r="O2158" s="110"/>
      <c r="P2158" s="110">
        <f t="shared" si="159"/>
        <v>0</v>
      </c>
      <c r="Q2158" s="110">
        <f t="shared" si="160"/>
        <v>0</v>
      </c>
      <c r="R2158" s="110">
        <f t="shared" si="161"/>
        <v>0</v>
      </c>
      <c r="S2158" s="112">
        <v>0</v>
      </c>
    </row>
    <row r="2159" spans="1:19">
      <c r="A2159" s="79"/>
      <c r="B2159" s="77" t="s">
        <v>279</v>
      </c>
      <c r="C2159" s="76" t="s">
        <v>4</v>
      </c>
      <c r="D2159" s="143">
        <v>2</v>
      </c>
      <c r="E2159" s="77"/>
      <c r="F2159" s="334"/>
      <c r="G2159" s="112">
        <v>0</v>
      </c>
      <c r="H2159" s="120">
        <v>0</v>
      </c>
      <c r="I2159" s="120">
        <v>0</v>
      </c>
      <c r="J2159" s="120">
        <v>0</v>
      </c>
      <c r="K2159" s="110">
        <v>0</v>
      </c>
      <c r="L2159" s="110"/>
      <c r="M2159" s="110">
        <v>0</v>
      </c>
      <c r="N2159" s="110"/>
      <c r="O2159" s="110"/>
      <c r="P2159" s="110">
        <f t="shared" si="159"/>
        <v>0</v>
      </c>
      <c r="Q2159" s="110">
        <f t="shared" si="160"/>
        <v>0</v>
      </c>
      <c r="R2159" s="110">
        <f t="shared" si="161"/>
        <v>0</v>
      </c>
      <c r="S2159" s="112">
        <v>0</v>
      </c>
    </row>
    <row r="2160" spans="1:19">
      <c r="A2160" s="79"/>
      <c r="B2160" s="77" t="s">
        <v>285</v>
      </c>
      <c r="C2160" s="76" t="s">
        <v>4</v>
      </c>
      <c r="D2160" s="143">
        <v>32</v>
      </c>
      <c r="E2160" s="77"/>
      <c r="F2160" s="334"/>
      <c r="G2160" s="112">
        <v>0</v>
      </c>
      <c r="H2160" s="120">
        <v>0</v>
      </c>
      <c r="I2160" s="120">
        <v>0</v>
      </c>
      <c r="J2160" s="120">
        <v>0</v>
      </c>
      <c r="K2160" s="110">
        <v>0</v>
      </c>
      <c r="L2160" s="110"/>
      <c r="M2160" s="110">
        <v>0</v>
      </c>
      <c r="N2160" s="110"/>
      <c r="O2160" s="110"/>
      <c r="P2160" s="110">
        <f t="shared" si="159"/>
        <v>0</v>
      </c>
      <c r="Q2160" s="110">
        <f t="shared" si="160"/>
        <v>0</v>
      </c>
      <c r="R2160" s="110">
        <f t="shared" si="161"/>
        <v>0</v>
      </c>
      <c r="S2160" s="112">
        <v>0</v>
      </c>
    </row>
    <row r="2161" spans="1:19">
      <c r="A2161" s="79"/>
      <c r="B2161" s="77" t="s">
        <v>287</v>
      </c>
      <c r="C2161" s="76" t="s">
        <v>4</v>
      </c>
      <c r="D2161" s="143">
        <v>16</v>
      </c>
      <c r="E2161" s="77"/>
      <c r="F2161" s="334"/>
      <c r="G2161" s="112">
        <v>0</v>
      </c>
      <c r="H2161" s="120">
        <v>0</v>
      </c>
      <c r="I2161" s="120">
        <v>0</v>
      </c>
      <c r="J2161" s="120">
        <v>0</v>
      </c>
      <c r="K2161" s="110">
        <v>0</v>
      </c>
      <c r="L2161" s="110"/>
      <c r="M2161" s="110">
        <v>0</v>
      </c>
      <c r="N2161" s="110"/>
      <c r="O2161" s="110"/>
      <c r="P2161" s="110">
        <f t="shared" ref="P2161:P2224" si="162">+K2161+L2161+M2161+N2161+O2161</f>
        <v>0</v>
      </c>
      <c r="Q2161" s="110">
        <f t="shared" ref="Q2161:Q2224" si="163">+P2161*D2161</f>
        <v>0</v>
      </c>
      <c r="R2161" s="110">
        <f t="shared" ref="R2161:R2224" si="164">P2161*F2161</f>
        <v>0</v>
      </c>
      <c r="S2161" s="112">
        <v>0</v>
      </c>
    </row>
    <row r="2162" spans="1:19">
      <c r="A2162" s="79"/>
      <c r="B2162" s="77" t="s">
        <v>281</v>
      </c>
      <c r="C2162" s="76" t="s">
        <v>4</v>
      </c>
      <c r="D2162" s="143">
        <v>1</v>
      </c>
      <c r="E2162" s="77"/>
      <c r="F2162" s="334"/>
      <c r="G2162" s="112">
        <v>0</v>
      </c>
      <c r="H2162" s="120">
        <v>0</v>
      </c>
      <c r="I2162" s="120">
        <v>0</v>
      </c>
      <c r="J2162" s="120">
        <v>0</v>
      </c>
      <c r="K2162" s="110">
        <v>0</v>
      </c>
      <c r="L2162" s="110"/>
      <c r="M2162" s="110">
        <v>0</v>
      </c>
      <c r="N2162" s="110"/>
      <c r="O2162" s="110"/>
      <c r="P2162" s="110">
        <f t="shared" si="162"/>
        <v>0</v>
      </c>
      <c r="Q2162" s="110">
        <f t="shared" si="163"/>
        <v>0</v>
      </c>
      <c r="R2162" s="110">
        <f t="shared" si="164"/>
        <v>0</v>
      </c>
      <c r="S2162" s="112">
        <v>0</v>
      </c>
    </row>
    <row r="2163" spans="1:19" ht="30">
      <c r="A2163" s="79"/>
      <c r="B2163" s="77" t="s">
        <v>282</v>
      </c>
      <c r="C2163" s="76" t="s">
        <v>8</v>
      </c>
      <c r="D2163" s="143">
        <v>1</v>
      </c>
      <c r="E2163" s="77"/>
      <c r="F2163" s="334"/>
      <c r="G2163" s="112">
        <v>0</v>
      </c>
      <c r="H2163" s="120">
        <v>0</v>
      </c>
      <c r="I2163" s="120">
        <v>0</v>
      </c>
      <c r="J2163" s="120">
        <v>0</v>
      </c>
      <c r="K2163" s="110">
        <v>0</v>
      </c>
      <c r="L2163" s="110"/>
      <c r="M2163" s="110">
        <v>0</v>
      </c>
      <c r="N2163" s="110"/>
      <c r="O2163" s="110"/>
      <c r="P2163" s="110">
        <f t="shared" si="162"/>
        <v>0</v>
      </c>
      <c r="Q2163" s="110">
        <f t="shared" si="163"/>
        <v>0</v>
      </c>
      <c r="R2163" s="110">
        <f t="shared" si="164"/>
        <v>0</v>
      </c>
      <c r="S2163" s="112">
        <v>0</v>
      </c>
    </row>
    <row r="2164" spans="1:19" ht="45">
      <c r="A2164" s="79"/>
      <c r="B2164" s="77" t="s">
        <v>166</v>
      </c>
      <c r="C2164" s="76" t="s">
        <v>17</v>
      </c>
      <c r="D2164" s="143">
        <v>1</v>
      </c>
      <c r="E2164" s="77"/>
      <c r="F2164" s="334"/>
      <c r="G2164" s="112">
        <v>0</v>
      </c>
      <c r="H2164" s="120">
        <v>0</v>
      </c>
      <c r="I2164" s="120">
        <v>0</v>
      </c>
      <c r="J2164" s="120">
        <v>0</v>
      </c>
      <c r="K2164" s="110">
        <v>0</v>
      </c>
      <c r="L2164" s="110"/>
      <c r="M2164" s="110">
        <v>0</v>
      </c>
      <c r="N2164" s="110"/>
      <c r="O2164" s="110"/>
      <c r="P2164" s="110">
        <f t="shared" si="162"/>
        <v>0</v>
      </c>
      <c r="Q2164" s="110">
        <f t="shared" si="163"/>
        <v>0</v>
      </c>
      <c r="R2164" s="110">
        <f t="shared" si="164"/>
        <v>0</v>
      </c>
      <c r="S2164" s="112">
        <v>0</v>
      </c>
    </row>
    <row r="2165" spans="1:19" ht="60">
      <c r="A2165" s="79">
        <v>88</v>
      </c>
      <c r="B2165" s="77" t="s">
        <v>453</v>
      </c>
      <c r="C2165" s="76" t="s">
        <v>6</v>
      </c>
      <c r="D2165" s="143">
        <v>5</v>
      </c>
      <c r="E2165" s="77"/>
      <c r="F2165" s="334">
        <v>5</v>
      </c>
      <c r="G2165" s="112" t="s">
        <v>872</v>
      </c>
      <c r="H2165" s="120" t="s">
        <v>1076</v>
      </c>
      <c r="I2165" s="120" t="s">
        <v>828</v>
      </c>
      <c r="J2165" s="120" t="s">
        <v>829</v>
      </c>
      <c r="K2165" s="110">
        <v>38112300</v>
      </c>
      <c r="L2165" s="110"/>
      <c r="M2165" s="110">
        <v>3828500</v>
      </c>
      <c r="N2165" s="110"/>
      <c r="O2165" s="110"/>
      <c r="P2165" s="110">
        <f t="shared" si="162"/>
        <v>41940800</v>
      </c>
      <c r="Q2165" s="110">
        <f t="shared" si="163"/>
        <v>209704000</v>
      </c>
      <c r="R2165" s="110">
        <f t="shared" si="164"/>
        <v>209704000</v>
      </c>
      <c r="S2165" s="112" t="s">
        <v>4094</v>
      </c>
    </row>
    <row r="2166" spans="1:19" ht="45">
      <c r="A2166" s="79"/>
      <c r="B2166" s="77" t="s">
        <v>274</v>
      </c>
      <c r="C2166" s="76" t="s">
        <v>4</v>
      </c>
      <c r="D2166" s="143">
        <v>1</v>
      </c>
      <c r="E2166" s="77"/>
      <c r="F2166" s="334"/>
      <c r="G2166" s="112">
        <v>0</v>
      </c>
      <c r="H2166" s="120">
        <v>0</v>
      </c>
      <c r="I2166" s="120">
        <v>0</v>
      </c>
      <c r="J2166" s="120">
        <v>0</v>
      </c>
      <c r="K2166" s="110">
        <v>0</v>
      </c>
      <c r="L2166" s="110"/>
      <c r="M2166" s="110">
        <v>0</v>
      </c>
      <c r="N2166" s="110"/>
      <c r="O2166" s="110"/>
      <c r="P2166" s="110">
        <f t="shared" si="162"/>
        <v>0</v>
      </c>
      <c r="Q2166" s="110">
        <f t="shared" si="163"/>
        <v>0</v>
      </c>
      <c r="R2166" s="110">
        <f t="shared" si="164"/>
        <v>0</v>
      </c>
      <c r="S2166" s="112" t="s">
        <v>150</v>
      </c>
    </row>
    <row r="2167" spans="1:19">
      <c r="A2167" s="79"/>
      <c r="B2167" s="77" t="s">
        <v>287</v>
      </c>
      <c r="C2167" s="76" t="s">
        <v>4</v>
      </c>
      <c r="D2167" s="143">
        <v>16</v>
      </c>
      <c r="E2167" s="77"/>
      <c r="F2167" s="334"/>
      <c r="G2167" s="112">
        <v>0</v>
      </c>
      <c r="H2167" s="120">
        <v>0</v>
      </c>
      <c r="I2167" s="120">
        <v>0</v>
      </c>
      <c r="J2167" s="120">
        <v>0</v>
      </c>
      <c r="K2167" s="110">
        <v>0</v>
      </c>
      <c r="L2167" s="110"/>
      <c r="M2167" s="110">
        <v>0</v>
      </c>
      <c r="N2167" s="110"/>
      <c r="O2167" s="110"/>
      <c r="P2167" s="110">
        <f t="shared" si="162"/>
        <v>0</v>
      </c>
      <c r="Q2167" s="110">
        <f t="shared" si="163"/>
        <v>0</v>
      </c>
      <c r="R2167" s="110">
        <f t="shared" si="164"/>
        <v>0</v>
      </c>
      <c r="S2167" s="112">
        <v>0</v>
      </c>
    </row>
    <row r="2168" spans="1:19">
      <c r="A2168" s="79"/>
      <c r="B2168" s="77" t="s">
        <v>281</v>
      </c>
      <c r="C2168" s="76" t="s">
        <v>4</v>
      </c>
      <c r="D2168" s="143">
        <v>1</v>
      </c>
      <c r="E2168" s="77"/>
      <c r="F2168" s="334"/>
      <c r="G2168" s="112">
        <v>0</v>
      </c>
      <c r="H2168" s="120">
        <v>0</v>
      </c>
      <c r="I2168" s="120">
        <v>0</v>
      </c>
      <c r="J2168" s="120">
        <v>0</v>
      </c>
      <c r="K2168" s="110">
        <v>0</v>
      </c>
      <c r="L2168" s="110"/>
      <c r="M2168" s="110">
        <v>0</v>
      </c>
      <c r="N2168" s="110"/>
      <c r="O2168" s="110"/>
      <c r="P2168" s="110">
        <f t="shared" si="162"/>
        <v>0</v>
      </c>
      <c r="Q2168" s="110">
        <f t="shared" si="163"/>
        <v>0</v>
      </c>
      <c r="R2168" s="110">
        <f t="shared" si="164"/>
        <v>0</v>
      </c>
      <c r="S2168" s="112">
        <v>0</v>
      </c>
    </row>
    <row r="2169" spans="1:19" ht="60">
      <c r="A2169" s="79">
        <v>89</v>
      </c>
      <c r="B2169" s="77" t="s">
        <v>454</v>
      </c>
      <c r="C2169" s="76" t="s">
        <v>6</v>
      </c>
      <c r="D2169" s="143">
        <v>6</v>
      </c>
      <c r="E2169" s="77"/>
      <c r="F2169" s="334">
        <v>6</v>
      </c>
      <c r="G2169" s="112" t="s">
        <v>873</v>
      </c>
      <c r="H2169" s="120" t="s">
        <v>1076</v>
      </c>
      <c r="I2169" s="120" t="s">
        <v>828</v>
      </c>
      <c r="J2169" s="120" t="s">
        <v>829</v>
      </c>
      <c r="K2169" s="110">
        <v>79503500</v>
      </c>
      <c r="L2169" s="110"/>
      <c r="M2169" s="110">
        <v>5541300</v>
      </c>
      <c r="N2169" s="110"/>
      <c r="O2169" s="110"/>
      <c r="P2169" s="110">
        <f t="shared" si="162"/>
        <v>85044800</v>
      </c>
      <c r="Q2169" s="110">
        <f t="shared" si="163"/>
        <v>510268800</v>
      </c>
      <c r="R2169" s="110">
        <f t="shared" si="164"/>
        <v>510268800</v>
      </c>
      <c r="S2169" s="112" t="s">
        <v>4094</v>
      </c>
    </row>
    <row r="2170" spans="1:19" ht="45">
      <c r="A2170" s="79"/>
      <c r="B2170" s="77" t="s">
        <v>274</v>
      </c>
      <c r="C2170" s="76" t="s">
        <v>4</v>
      </c>
      <c r="D2170" s="143">
        <v>1</v>
      </c>
      <c r="E2170" s="77"/>
      <c r="F2170" s="334"/>
      <c r="G2170" s="112">
        <v>0</v>
      </c>
      <c r="H2170" s="120">
        <v>0</v>
      </c>
      <c r="I2170" s="120">
        <v>0</v>
      </c>
      <c r="J2170" s="120">
        <v>0</v>
      </c>
      <c r="K2170" s="110">
        <v>0</v>
      </c>
      <c r="L2170" s="110"/>
      <c r="M2170" s="110">
        <v>0</v>
      </c>
      <c r="N2170" s="110"/>
      <c r="O2170" s="110"/>
      <c r="P2170" s="110">
        <f t="shared" si="162"/>
        <v>0</v>
      </c>
      <c r="Q2170" s="110">
        <f t="shared" si="163"/>
        <v>0</v>
      </c>
      <c r="R2170" s="110">
        <f t="shared" si="164"/>
        <v>0</v>
      </c>
      <c r="S2170" s="112" t="s">
        <v>150</v>
      </c>
    </row>
    <row r="2171" spans="1:19">
      <c r="A2171" s="79"/>
      <c r="B2171" s="77" t="s">
        <v>151</v>
      </c>
      <c r="C2171" s="76"/>
      <c r="D2171" s="143"/>
      <c r="E2171" s="77"/>
      <c r="F2171" s="76"/>
      <c r="G2171" s="112">
        <v>0</v>
      </c>
      <c r="H2171" s="120">
        <v>0</v>
      </c>
      <c r="I2171" s="120">
        <v>0</v>
      </c>
      <c r="J2171" s="120">
        <v>0</v>
      </c>
      <c r="K2171" s="110">
        <v>0</v>
      </c>
      <c r="L2171" s="110"/>
      <c r="M2171" s="110">
        <v>0</v>
      </c>
      <c r="N2171" s="110"/>
      <c r="O2171" s="110"/>
      <c r="P2171" s="110">
        <f t="shared" si="162"/>
        <v>0</v>
      </c>
      <c r="Q2171" s="110">
        <f t="shared" si="163"/>
        <v>0</v>
      </c>
      <c r="R2171" s="110">
        <f t="shared" si="164"/>
        <v>0</v>
      </c>
      <c r="S2171" s="112">
        <v>0</v>
      </c>
    </row>
    <row r="2172" spans="1:19">
      <c r="A2172" s="79"/>
      <c r="B2172" s="77" t="s">
        <v>275</v>
      </c>
      <c r="C2172" s="76" t="s">
        <v>4</v>
      </c>
      <c r="D2172" s="143">
        <v>1</v>
      </c>
      <c r="E2172" s="77"/>
      <c r="F2172" s="334"/>
      <c r="G2172" s="112">
        <v>0</v>
      </c>
      <c r="H2172" s="120">
        <v>0</v>
      </c>
      <c r="I2172" s="120">
        <v>0</v>
      </c>
      <c r="J2172" s="120">
        <v>0</v>
      </c>
      <c r="K2172" s="110">
        <v>0</v>
      </c>
      <c r="L2172" s="110"/>
      <c r="M2172" s="110">
        <v>0</v>
      </c>
      <c r="N2172" s="110"/>
      <c r="O2172" s="110"/>
      <c r="P2172" s="110">
        <f t="shared" si="162"/>
        <v>0</v>
      </c>
      <c r="Q2172" s="110">
        <f t="shared" si="163"/>
        <v>0</v>
      </c>
      <c r="R2172" s="110">
        <f t="shared" si="164"/>
        <v>0</v>
      </c>
      <c r="S2172" s="112">
        <v>0</v>
      </c>
    </row>
    <row r="2173" spans="1:19">
      <c r="A2173" s="79"/>
      <c r="B2173" s="77" t="s">
        <v>14</v>
      </c>
      <c r="C2173" s="76" t="s">
        <v>4</v>
      </c>
      <c r="D2173" s="143">
        <v>3</v>
      </c>
      <c r="E2173" s="77"/>
      <c r="F2173" s="334"/>
      <c r="G2173" s="112">
        <v>0</v>
      </c>
      <c r="H2173" s="120">
        <v>0</v>
      </c>
      <c r="I2173" s="120">
        <v>0</v>
      </c>
      <c r="J2173" s="120">
        <v>0</v>
      </c>
      <c r="K2173" s="110">
        <v>0</v>
      </c>
      <c r="L2173" s="110"/>
      <c r="M2173" s="110">
        <v>0</v>
      </c>
      <c r="N2173" s="110"/>
      <c r="O2173" s="110"/>
      <c r="P2173" s="110">
        <f t="shared" si="162"/>
        <v>0</v>
      </c>
      <c r="Q2173" s="110">
        <f t="shared" si="163"/>
        <v>0</v>
      </c>
      <c r="R2173" s="110">
        <f t="shared" si="164"/>
        <v>0</v>
      </c>
      <c r="S2173" s="112">
        <v>0</v>
      </c>
    </row>
    <row r="2174" spans="1:19">
      <c r="A2174" s="79"/>
      <c r="B2174" s="77" t="s">
        <v>154</v>
      </c>
      <c r="C2174" s="76"/>
      <c r="D2174" s="143"/>
      <c r="E2174" s="77"/>
      <c r="F2174" s="76"/>
      <c r="G2174" s="112">
        <v>0</v>
      </c>
      <c r="H2174" s="120">
        <v>0</v>
      </c>
      <c r="I2174" s="120">
        <v>0</v>
      </c>
      <c r="J2174" s="120">
        <v>0</v>
      </c>
      <c r="K2174" s="110">
        <v>0</v>
      </c>
      <c r="L2174" s="110"/>
      <c r="M2174" s="110">
        <v>0</v>
      </c>
      <c r="N2174" s="110"/>
      <c r="O2174" s="110"/>
      <c r="P2174" s="110">
        <f t="shared" si="162"/>
        <v>0</v>
      </c>
      <c r="Q2174" s="110">
        <f t="shared" si="163"/>
        <v>0</v>
      </c>
      <c r="R2174" s="110">
        <f t="shared" si="164"/>
        <v>0</v>
      </c>
      <c r="S2174" s="112">
        <v>0</v>
      </c>
    </row>
    <row r="2175" spans="1:19">
      <c r="A2175" s="79"/>
      <c r="B2175" s="77" t="s">
        <v>277</v>
      </c>
      <c r="C2175" s="76" t="s">
        <v>4</v>
      </c>
      <c r="D2175" s="143">
        <v>1</v>
      </c>
      <c r="E2175" s="77"/>
      <c r="F2175" s="334"/>
      <c r="G2175" s="112">
        <v>0</v>
      </c>
      <c r="H2175" s="120">
        <v>0</v>
      </c>
      <c r="I2175" s="120">
        <v>0</v>
      </c>
      <c r="J2175" s="120">
        <v>0</v>
      </c>
      <c r="K2175" s="110">
        <v>0</v>
      </c>
      <c r="L2175" s="110"/>
      <c r="M2175" s="110">
        <v>0</v>
      </c>
      <c r="N2175" s="110"/>
      <c r="O2175" s="110"/>
      <c r="P2175" s="110">
        <f t="shared" si="162"/>
        <v>0</v>
      </c>
      <c r="Q2175" s="110">
        <f t="shared" si="163"/>
        <v>0</v>
      </c>
      <c r="R2175" s="110">
        <f t="shared" si="164"/>
        <v>0</v>
      </c>
      <c r="S2175" s="112">
        <v>0</v>
      </c>
    </row>
    <row r="2176" spans="1:19">
      <c r="A2176" s="79"/>
      <c r="B2176" s="77" t="s">
        <v>272</v>
      </c>
      <c r="C2176" s="76" t="s">
        <v>4</v>
      </c>
      <c r="D2176" s="143">
        <v>16</v>
      </c>
      <c r="E2176" s="77"/>
      <c r="F2176" s="334"/>
      <c r="G2176" s="112">
        <v>0</v>
      </c>
      <c r="H2176" s="120">
        <v>0</v>
      </c>
      <c r="I2176" s="120">
        <v>0</v>
      </c>
      <c r="J2176" s="120">
        <v>0</v>
      </c>
      <c r="K2176" s="110">
        <v>0</v>
      </c>
      <c r="L2176" s="110"/>
      <c r="M2176" s="110">
        <v>0</v>
      </c>
      <c r="N2176" s="110"/>
      <c r="O2176" s="110"/>
      <c r="P2176" s="110">
        <f t="shared" si="162"/>
        <v>0</v>
      </c>
      <c r="Q2176" s="110">
        <f t="shared" si="163"/>
        <v>0</v>
      </c>
      <c r="R2176" s="110">
        <f t="shared" si="164"/>
        <v>0</v>
      </c>
      <c r="S2176" s="112">
        <v>0</v>
      </c>
    </row>
    <row r="2177" spans="1:19">
      <c r="A2177" s="79"/>
      <c r="B2177" s="77" t="s">
        <v>158</v>
      </c>
      <c r="C2177" s="76" t="s">
        <v>4</v>
      </c>
      <c r="D2177" s="143">
        <v>1</v>
      </c>
      <c r="E2177" s="77"/>
      <c r="F2177" s="334"/>
      <c r="G2177" s="112">
        <v>0</v>
      </c>
      <c r="H2177" s="120">
        <v>0</v>
      </c>
      <c r="I2177" s="120">
        <v>0</v>
      </c>
      <c r="J2177" s="120">
        <v>0</v>
      </c>
      <c r="K2177" s="110">
        <v>0</v>
      </c>
      <c r="L2177" s="110"/>
      <c r="M2177" s="110">
        <v>0</v>
      </c>
      <c r="N2177" s="110"/>
      <c r="O2177" s="110"/>
      <c r="P2177" s="110">
        <f t="shared" si="162"/>
        <v>0</v>
      </c>
      <c r="Q2177" s="110">
        <f t="shared" si="163"/>
        <v>0</v>
      </c>
      <c r="R2177" s="110">
        <f t="shared" si="164"/>
        <v>0</v>
      </c>
      <c r="S2177" s="112">
        <v>0</v>
      </c>
    </row>
    <row r="2178" spans="1:19">
      <c r="A2178" s="79"/>
      <c r="B2178" s="77" t="s">
        <v>279</v>
      </c>
      <c r="C2178" s="76" t="s">
        <v>4</v>
      </c>
      <c r="D2178" s="143">
        <v>2</v>
      </c>
      <c r="E2178" s="77"/>
      <c r="F2178" s="334"/>
      <c r="G2178" s="112">
        <v>0</v>
      </c>
      <c r="H2178" s="120">
        <v>0</v>
      </c>
      <c r="I2178" s="120">
        <v>0</v>
      </c>
      <c r="J2178" s="120">
        <v>0</v>
      </c>
      <c r="K2178" s="110">
        <v>0</v>
      </c>
      <c r="L2178" s="110"/>
      <c r="M2178" s="110">
        <v>0</v>
      </c>
      <c r="N2178" s="110"/>
      <c r="O2178" s="110"/>
      <c r="P2178" s="110">
        <f t="shared" si="162"/>
        <v>0</v>
      </c>
      <c r="Q2178" s="110">
        <f t="shared" si="163"/>
        <v>0</v>
      </c>
      <c r="R2178" s="110">
        <f t="shared" si="164"/>
        <v>0</v>
      </c>
      <c r="S2178" s="112">
        <v>0</v>
      </c>
    </row>
    <row r="2179" spans="1:19">
      <c r="A2179" s="79"/>
      <c r="B2179" s="77" t="s">
        <v>285</v>
      </c>
      <c r="C2179" s="76" t="s">
        <v>4</v>
      </c>
      <c r="D2179" s="143">
        <v>32</v>
      </c>
      <c r="E2179" s="77"/>
      <c r="F2179" s="334"/>
      <c r="G2179" s="112">
        <v>0</v>
      </c>
      <c r="H2179" s="120">
        <v>0</v>
      </c>
      <c r="I2179" s="120">
        <v>0</v>
      </c>
      <c r="J2179" s="120">
        <v>0</v>
      </c>
      <c r="K2179" s="110">
        <v>0</v>
      </c>
      <c r="L2179" s="110"/>
      <c r="M2179" s="110">
        <v>0</v>
      </c>
      <c r="N2179" s="110"/>
      <c r="O2179" s="110"/>
      <c r="P2179" s="110">
        <f t="shared" si="162"/>
        <v>0</v>
      </c>
      <c r="Q2179" s="110">
        <f t="shared" si="163"/>
        <v>0</v>
      </c>
      <c r="R2179" s="110">
        <f t="shared" si="164"/>
        <v>0</v>
      </c>
      <c r="S2179" s="112">
        <v>0</v>
      </c>
    </row>
    <row r="2180" spans="1:19">
      <c r="A2180" s="79"/>
      <c r="B2180" s="77" t="s">
        <v>287</v>
      </c>
      <c r="C2180" s="76" t="s">
        <v>4</v>
      </c>
      <c r="D2180" s="143">
        <v>16</v>
      </c>
      <c r="E2180" s="77"/>
      <c r="F2180" s="334"/>
      <c r="G2180" s="112">
        <v>0</v>
      </c>
      <c r="H2180" s="120">
        <v>0</v>
      </c>
      <c r="I2180" s="120">
        <v>0</v>
      </c>
      <c r="J2180" s="120">
        <v>0</v>
      </c>
      <c r="K2180" s="110">
        <v>0</v>
      </c>
      <c r="L2180" s="110"/>
      <c r="M2180" s="110">
        <v>0</v>
      </c>
      <c r="N2180" s="110"/>
      <c r="O2180" s="110"/>
      <c r="P2180" s="110">
        <f t="shared" si="162"/>
        <v>0</v>
      </c>
      <c r="Q2180" s="110">
        <f t="shared" si="163"/>
        <v>0</v>
      </c>
      <c r="R2180" s="110">
        <f t="shared" si="164"/>
        <v>0</v>
      </c>
      <c r="S2180" s="112">
        <v>0</v>
      </c>
    </row>
    <row r="2181" spans="1:19">
      <c r="A2181" s="79"/>
      <c r="B2181" s="77" t="s">
        <v>281</v>
      </c>
      <c r="C2181" s="76" t="s">
        <v>4</v>
      </c>
      <c r="D2181" s="143">
        <v>1</v>
      </c>
      <c r="E2181" s="77"/>
      <c r="F2181" s="334"/>
      <c r="G2181" s="112">
        <v>0</v>
      </c>
      <c r="H2181" s="120">
        <v>0</v>
      </c>
      <c r="I2181" s="120">
        <v>0</v>
      </c>
      <c r="J2181" s="120">
        <v>0</v>
      </c>
      <c r="K2181" s="110">
        <v>0</v>
      </c>
      <c r="L2181" s="110"/>
      <c r="M2181" s="110">
        <v>0</v>
      </c>
      <c r="N2181" s="110"/>
      <c r="O2181" s="110"/>
      <c r="P2181" s="110">
        <f t="shared" si="162"/>
        <v>0</v>
      </c>
      <c r="Q2181" s="110">
        <f t="shared" si="163"/>
        <v>0</v>
      </c>
      <c r="R2181" s="110">
        <f t="shared" si="164"/>
        <v>0</v>
      </c>
      <c r="S2181" s="112">
        <v>0</v>
      </c>
    </row>
    <row r="2182" spans="1:19" ht="30">
      <c r="A2182" s="79"/>
      <c r="B2182" s="77" t="s">
        <v>282</v>
      </c>
      <c r="C2182" s="76" t="s">
        <v>8</v>
      </c>
      <c r="D2182" s="143">
        <v>1</v>
      </c>
      <c r="E2182" s="77"/>
      <c r="F2182" s="334"/>
      <c r="G2182" s="112">
        <v>0</v>
      </c>
      <c r="H2182" s="120">
        <v>0</v>
      </c>
      <c r="I2182" s="120">
        <v>0</v>
      </c>
      <c r="J2182" s="120">
        <v>0</v>
      </c>
      <c r="K2182" s="110">
        <v>0</v>
      </c>
      <c r="L2182" s="110"/>
      <c r="M2182" s="110">
        <v>0</v>
      </c>
      <c r="N2182" s="110"/>
      <c r="O2182" s="110"/>
      <c r="P2182" s="110">
        <f t="shared" si="162"/>
        <v>0</v>
      </c>
      <c r="Q2182" s="110">
        <f t="shared" si="163"/>
        <v>0</v>
      </c>
      <c r="R2182" s="110">
        <f t="shared" si="164"/>
        <v>0</v>
      </c>
      <c r="S2182" s="112">
        <v>0</v>
      </c>
    </row>
    <row r="2183" spans="1:19" ht="45">
      <c r="A2183" s="79"/>
      <c r="B2183" s="77" t="s">
        <v>166</v>
      </c>
      <c r="C2183" s="76" t="s">
        <v>17</v>
      </c>
      <c r="D2183" s="143">
        <v>1</v>
      </c>
      <c r="E2183" s="77"/>
      <c r="F2183" s="334"/>
      <c r="G2183" s="112">
        <v>0</v>
      </c>
      <c r="H2183" s="120">
        <v>0</v>
      </c>
      <c r="I2183" s="120">
        <v>0</v>
      </c>
      <c r="J2183" s="120">
        <v>0</v>
      </c>
      <c r="K2183" s="110">
        <v>0</v>
      </c>
      <c r="L2183" s="110"/>
      <c r="M2183" s="110">
        <v>0</v>
      </c>
      <c r="N2183" s="110"/>
      <c r="O2183" s="110"/>
      <c r="P2183" s="110">
        <f t="shared" si="162"/>
        <v>0</v>
      </c>
      <c r="Q2183" s="110">
        <f t="shared" si="163"/>
        <v>0</v>
      </c>
      <c r="R2183" s="110">
        <f t="shared" si="164"/>
        <v>0</v>
      </c>
      <c r="S2183" s="112">
        <v>0</v>
      </c>
    </row>
    <row r="2184" spans="1:19" ht="60">
      <c r="A2184" s="79">
        <v>90</v>
      </c>
      <c r="B2184" s="77" t="s">
        <v>455</v>
      </c>
      <c r="C2184" s="76" t="s">
        <v>6</v>
      </c>
      <c r="D2184" s="143">
        <v>6</v>
      </c>
      <c r="E2184" s="77"/>
      <c r="F2184" s="334">
        <v>6</v>
      </c>
      <c r="G2184" s="112" t="s">
        <v>874</v>
      </c>
      <c r="H2184" s="120" t="s">
        <v>1076</v>
      </c>
      <c r="I2184" s="120" t="s">
        <v>828</v>
      </c>
      <c r="J2184" s="120" t="s">
        <v>829</v>
      </c>
      <c r="K2184" s="110">
        <v>38112300</v>
      </c>
      <c r="L2184" s="110"/>
      <c r="M2184" s="110">
        <v>3828500</v>
      </c>
      <c r="N2184" s="110"/>
      <c r="O2184" s="110"/>
      <c r="P2184" s="110">
        <f t="shared" si="162"/>
        <v>41940800</v>
      </c>
      <c r="Q2184" s="110">
        <f t="shared" si="163"/>
        <v>251644800</v>
      </c>
      <c r="R2184" s="110">
        <f t="shared" si="164"/>
        <v>251644800</v>
      </c>
      <c r="S2184" s="112" t="s">
        <v>4094</v>
      </c>
    </row>
    <row r="2185" spans="1:19" ht="45">
      <c r="A2185" s="79"/>
      <c r="B2185" s="77" t="s">
        <v>274</v>
      </c>
      <c r="C2185" s="76" t="s">
        <v>4</v>
      </c>
      <c r="D2185" s="143">
        <v>1</v>
      </c>
      <c r="E2185" s="77"/>
      <c r="F2185" s="334"/>
      <c r="G2185" s="112">
        <v>0</v>
      </c>
      <c r="H2185" s="120">
        <v>0</v>
      </c>
      <c r="I2185" s="120">
        <v>0</v>
      </c>
      <c r="J2185" s="120">
        <v>0</v>
      </c>
      <c r="K2185" s="110">
        <v>0</v>
      </c>
      <c r="L2185" s="110"/>
      <c r="M2185" s="110">
        <v>0</v>
      </c>
      <c r="N2185" s="110"/>
      <c r="O2185" s="110"/>
      <c r="P2185" s="110">
        <f t="shared" si="162"/>
        <v>0</v>
      </c>
      <c r="Q2185" s="110">
        <f t="shared" si="163"/>
        <v>0</v>
      </c>
      <c r="R2185" s="110">
        <f t="shared" si="164"/>
        <v>0</v>
      </c>
      <c r="S2185" s="112" t="s">
        <v>150</v>
      </c>
    </row>
    <row r="2186" spans="1:19">
      <c r="A2186" s="79"/>
      <c r="B2186" s="77" t="s">
        <v>287</v>
      </c>
      <c r="C2186" s="76" t="s">
        <v>4</v>
      </c>
      <c r="D2186" s="143">
        <v>16</v>
      </c>
      <c r="E2186" s="77"/>
      <c r="F2186" s="334"/>
      <c r="G2186" s="112">
        <v>0</v>
      </c>
      <c r="H2186" s="120">
        <v>0</v>
      </c>
      <c r="I2186" s="120">
        <v>0</v>
      </c>
      <c r="J2186" s="120">
        <v>0</v>
      </c>
      <c r="K2186" s="110">
        <v>0</v>
      </c>
      <c r="L2186" s="110"/>
      <c r="M2186" s="110">
        <v>0</v>
      </c>
      <c r="N2186" s="110"/>
      <c r="O2186" s="110"/>
      <c r="P2186" s="110">
        <f t="shared" si="162"/>
        <v>0</v>
      </c>
      <c r="Q2186" s="110">
        <f t="shared" si="163"/>
        <v>0</v>
      </c>
      <c r="R2186" s="110">
        <f t="shared" si="164"/>
        <v>0</v>
      </c>
      <c r="S2186" s="112">
        <v>0</v>
      </c>
    </row>
    <row r="2187" spans="1:19">
      <c r="A2187" s="79"/>
      <c r="B2187" s="77" t="s">
        <v>281</v>
      </c>
      <c r="C2187" s="76" t="s">
        <v>4</v>
      </c>
      <c r="D2187" s="143">
        <v>1</v>
      </c>
      <c r="E2187" s="77"/>
      <c r="F2187" s="334"/>
      <c r="G2187" s="112">
        <v>0</v>
      </c>
      <c r="H2187" s="120">
        <v>0</v>
      </c>
      <c r="I2187" s="120">
        <v>0</v>
      </c>
      <c r="J2187" s="120">
        <v>0</v>
      </c>
      <c r="K2187" s="110">
        <v>0</v>
      </c>
      <c r="L2187" s="110"/>
      <c r="M2187" s="110">
        <v>0</v>
      </c>
      <c r="N2187" s="110"/>
      <c r="O2187" s="110"/>
      <c r="P2187" s="110">
        <f t="shared" si="162"/>
        <v>0</v>
      </c>
      <c r="Q2187" s="110">
        <f t="shared" si="163"/>
        <v>0</v>
      </c>
      <c r="R2187" s="110">
        <f t="shared" si="164"/>
        <v>0</v>
      </c>
      <c r="S2187" s="112">
        <v>0</v>
      </c>
    </row>
    <row r="2188" spans="1:19" ht="60">
      <c r="A2188" s="79">
        <v>91</v>
      </c>
      <c r="B2188" s="77" t="s">
        <v>456</v>
      </c>
      <c r="C2188" s="76" t="s">
        <v>6</v>
      </c>
      <c r="D2188" s="143">
        <v>6</v>
      </c>
      <c r="E2188" s="77"/>
      <c r="F2188" s="334">
        <v>6</v>
      </c>
      <c r="G2188" s="112" t="s">
        <v>875</v>
      </c>
      <c r="H2188" s="120" t="s">
        <v>1076</v>
      </c>
      <c r="I2188" s="120" t="s">
        <v>828</v>
      </c>
      <c r="J2188" s="120" t="s">
        <v>829</v>
      </c>
      <c r="K2188" s="110">
        <v>79503500</v>
      </c>
      <c r="L2188" s="110"/>
      <c r="M2188" s="110">
        <v>5541300</v>
      </c>
      <c r="N2188" s="110"/>
      <c r="O2188" s="110"/>
      <c r="P2188" s="110">
        <f t="shared" si="162"/>
        <v>85044800</v>
      </c>
      <c r="Q2188" s="110">
        <f t="shared" si="163"/>
        <v>510268800</v>
      </c>
      <c r="R2188" s="110">
        <f t="shared" si="164"/>
        <v>510268800</v>
      </c>
      <c r="S2188" s="112" t="s">
        <v>4094</v>
      </c>
    </row>
    <row r="2189" spans="1:19" ht="45">
      <c r="A2189" s="79"/>
      <c r="B2189" s="77" t="s">
        <v>274</v>
      </c>
      <c r="C2189" s="76" t="s">
        <v>4</v>
      </c>
      <c r="D2189" s="143">
        <v>1</v>
      </c>
      <c r="E2189" s="77"/>
      <c r="F2189" s="334"/>
      <c r="G2189" s="112">
        <v>0</v>
      </c>
      <c r="H2189" s="120">
        <v>0</v>
      </c>
      <c r="I2189" s="120">
        <v>0</v>
      </c>
      <c r="J2189" s="120">
        <v>0</v>
      </c>
      <c r="K2189" s="110">
        <v>0</v>
      </c>
      <c r="L2189" s="110"/>
      <c r="M2189" s="110">
        <v>0</v>
      </c>
      <c r="N2189" s="110"/>
      <c r="O2189" s="110"/>
      <c r="P2189" s="110">
        <f t="shared" si="162"/>
        <v>0</v>
      </c>
      <c r="Q2189" s="110">
        <f t="shared" si="163"/>
        <v>0</v>
      </c>
      <c r="R2189" s="110">
        <f t="shared" si="164"/>
        <v>0</v>
      </c>
      <c r="S2189" s="112" t="s">
        <v>150</v>
      </c>
    </row>
    <row r="2190" spans="1:19">
      <c r="A2190" s="79"/>
      <c r="B2190" s="77" t="s">
        <v>151</v>
      </c>
      <c r="C2190" s="76"/>
      <c r="D2190" s="143"/>
      <c r="E2190" s="77"/>
      <c r="F2190" s="76"/>
      <c r="G2190" s="112">
        <v>0</v>
      </c>
      <c r="H2190" s="120">
        <v>0</v>
      </c>
      <c r="I2190" s="120">
        <v>0</v>
      </c>
      <c r="J2190" s="120">
        <v>0</v>
      </c>
      <c r="K2190" s="110">
        <v>0</v>
      </c>
      <c r="L2190" s="110"/>
      <c r="M2190" s="110">
        <v>0</v>
      </c>
      <c r="N2190" s="110"/>
      <c r="O2190" s="110"/>
      <c r="P2190" s="110">
        <f t="shared" si="162"/>
        <v>0</v>
      </c>
      <c r="Q2190" s="110">
        <f t="shared" si="163"/>
        <v>0</v>
      </c>
      <c r="R2190" s="110">
        <f t="shared" si="164"/>
        <v>0</v>
      </c>
      <c r="S2190" s="112">
        <v>0</v>
      </c>
    </row>
    <row r="2191" spans="1:19">
      <c r="A2191" s="79"/>
      <c r="B2191" s="77" t="s">
        <v>275</v>
      </c>
      <c r="C2191" s="76" t="s">
        <v>4</v>
      </c>
      <c r="D2191" s="143">
        <v>1</v>
      </c>
      <c r="E2191" s="77"/>
      <c r="F2191" s="334"/>
      <c r="G2191" s="112">
        <v>0</v>
      </c>
      <c r="H2191" s="120">
        <v>0</v>
      </c>
      <c r="I2191" s="120">
        <v>0</v>
      </c>
      <c r="J2191" s="120">
        <v>0</v>
      </c>
      <c r="K2191" s="110">
        <v>0</v>
      </c>
      <c r="L2191" s="110"/>
      <c r="M2191" s="110">
        <v>0</v>
      </c>
      <c r="N2191" s="110"/>
      <c r="O2191" s="110"/>
      <c r="P2191" s="110">
        <f t="shared" si="162"/>
        <v>0</v>
      </c>
      <c r="Q2191" s="110">
        <f t="shared" si="163"/>
        <v>0</v>
      </c>
      <c r="R2191" s="110">
        <f t="shared" si="164"/>
        <v>0</v>
      </c>
      <c r="S2191" s="112">
        <v>0</v>
      </c>
    </row>
    <row r="2192" spans="1:19">
      <c r="A2192" s="79"/>
      <c r="B2192" s="77" t="s">
        <v>14</v>
      </c>
      <c r="C2192" s="76" t="s">
        <v>4</v>
      </c>
      <c r="D2192" s="143">
        <v>3</v>
      </c>
      <c r="E2192" s="77"/>
      <c r="F2192" s="334"/>
      <c r="G2192" s="112">
        <v>0</v>
      </c>
      <c r="H2192" s="120">
        <v>0</v>
      </c>
      <c r="I2192" s="120">
        <v>0</v>
      </c>
      <c r="J2192" s="120">
        <v>0</v>
      </c>
      <c r="K2192" s="110">
        <v>0</v>
      </c>
      <c r="L2192" s="110"/>
      <c r="M2192" s="110">
        <v>0</v>
      </c>
      <c r="N2192" s="110"/>
      <c r="O2192" s="110"/>
      <c r="P2192" s="110">
        <f t="shared" si="162"/>
        <v>0</v>
      </c>
      <c r="Q2192" s="110">
        <f t="shared" si="163"/>
        <v>0</v>
      </c>
      <c r="R2192" s="110">
        <f t="shared" si="164"/>
        <v>0</v>
      </c>
      <c r="S2192" s="112">
        <v>0</v>
      </c>
    </row>
    <row r="2193" spans="1:19">
      <c r="A2193" s="79"/>
      <c r="B2193" s="77" t="s">
        <v>154</v>
      </c>
      <c r="C2193" s="76"/>
      <c r="D2193" s="143"/>
      <c r="E2193" s="77"/>
      <c r="F2193" s="76"/>
      <c r="G2193" s="112">
        <v>0</v>
      </c>
      <c r="H2193" s="120">
        <v>0</v>
      </c>
      <c r="I2193" s="120">
        <v>0</v>
      </c>
      <c r="J2193" s="120">
        <v>0</v>
      </c>
      <c r="K2193" s="110">
        <v>0</v>
      </c>
      <c r="L2193" s="110"/>
      <c r="M2193" s="110">
        <v>0</v>
      </c>
      <c r="N2193" s="110"/>
      <c r="O2193" s="110"/>
      <c r="P2193" s="110">
        <f t="shared" si="162"/>
        <v>0</v>
      </c>
      <c r="Q2193" s="110">
        <f t="shared" si="163"/>
        <v>0</v>
      </c>
      <c r="R2193" s="110">
        <f t="shared" si="164"/>
        <v>0</v>
      </c>
      <c r="S2193" s="112">
        <v>0</v>
      </c>
    </row>
    <row r="2194" spans="1:19">
      <c r="A2194" s="79"/>
      <c r="B2194" s="77" t="s">
        <v>277</v>
      </c>
      <c r="C2194" s="76" t="s">
        <v>4</v>
      </c>
      <c r="D2194" s="143">
        <v>1</v>
      </c>
      <c r="E2194" s="77"/>
      <c r="F2194" s="334"/>
      <c r="G2194" s="112">
        <v>0</v>
      </c>
      <c r="H2194" s="120">
        <v>0</v>
      </c>
      <c r="I2194" s="120">
        <v>0</v>
      </c>
      <c r="J2194" s="120">
        <v>0</v>
      </c>
      <c r="K2194" s="110">
        <v>0</v>
      </c>
      <c r="L2194" s="110"/>
      <c r="M2194" s="110">
        <v>0</v>
      </c>
      <c r="N2194" s="110"/>
      <c r="O2194" s="110"/>
      <c r="P2194" s="110">
        <f t="shared" si="162"/>
        <v>0</v>
      </c>
      <c r="Q2194" s="110">
        <f t="shared" si="163"/>
        <v>0</v>
      </c>
      <c r="R2194" s="110">
        <f t="shared" si="164"/>
        <v>0</v>
      </c>
      <c r="S2194" s="112">
        <v>0</v>
      </c>
    </row>
    <row r="2195" spans="1:19">
      <c r="A2195" s="79"/>
      <c r="B2195" s="77" t="s">
        <v>272</v>
      </c>
      <c r="C2195" s="76" t="s">
        <v>4</v>
      </c>
      <c r="D2195" s="143">
        <v>16</v>
      </c>
      <c r="E2195" s="77"/>
      <c r="F2195" s="334"/>
      <c r="G2195" s="112">
        <v>0</v>
      </c>
      <c r="H2195" s="120">
        <v>0</v>
      </c>
      <c r="I2195" s="120">
        <v>0</v>
      </c>
      <c r="J2195" s="120">
        <v>0</v>
      </c>
      <c r="K2195" s="110">
        <v>0</v>
      </c>
      <c r="L2195" s="110"/>
      <c r="M2195" s="110">
        <v>0</v>
      </c>
      <c r="N2195" s="110"/>
      <c r="O2195" s="110"/>
      <c r="P2195" s="110">
        <f t="shared" si="162"/>
        <v>0</v>
      </c>
      <c r="Q2195" s="110">
        <f t="shared" si="163"/>
        <v>0</v>
      </c>
      <c r="R2195" s="110">
        <f t="shared" si="164"/>
        <v>0</v>
      </c>
      <c r="S2195" s="112">
        <v>0</v>
      </c>
    </row>
    <row r="2196" spans="1:19">
      <c r="A2196" s="79"/>
      <c r="B2196" s="77" t="s">
        <v>158</v>
      </c>
      <c r="C2196" s="76" t="s">
        <v>4</v>
      </c>
      <c r="D2196" s="143">
        <v>1</v>
      </c>
      <c r="E2196" s="77"/>
      <c r="F2196" s="334"/>
      <c r="G2196" s="112">
        <v>0</v>
      </c>
      <c r="H2196" s="120">
        <v>0</v>
      </c>
      <c r="I2196" s="120">
        <v>0</v>
      </c>
      <c r="J2196" s="120">
        <v>0</v>
      </c>
      <c r="K2196" s="110">
        <v>0</v>
      </c>
      <c r="L2196" s="110"/>
      <c r="M2196" s="110">
        <v>0</v>
      </c>
      <c r="N2196" s="110"/>
      <c r="O2196" s="110"/>
      <c r="P2196" s="110">
        <f t="shared" si="162"/>
        <v>0</v>
      </c>
      <c r="Q2196" s="110">
        <f t="shared" si="163"/>
        <v>0</v>
      </c>
      <c r="R2196" s="110">
        <f t="shared" si="164"/>
        <v>0</v>
      </c>
      <c r="S2196" s="112">
        <v>0</v>
      </c>
    </row>
    <row r="2197" spans="1:19">
      <c r="A2197" s="79"/>
      <c r="B2197" s="77" t="s">
        <v>279</v>
      </c>
      <c r="C2197" s="76" t="s">
        <v>4</v>
      </c>
      <c r="D2197" s="143">
        <v>2</v>
      </c>
      <c r="E2197" s="77"/>
      <c r="F2197" s="334"/>
      <c r="G2197" s="112">
        <v>0</v>
      </c>
      <c r="H2197" s="120">
        <v>0</v>
      </c>
      <c r="I2197" s="120">
        <v>0</v>
      </c>
      <c r="J2197" s="120">
        <v>0</v>
      </c>
      <c r="K2197" s="110">
        <v>0</v>
      </c>
      <c r="L2197" s="110"/>
      <c r="M2197" s="110">
        <v>0</v>
      </c>
      <c r="N2197" s="110"/>
      <c r="O2197" s="110"/>
      <c r="P2197" s="110">
        <f t="shared" si="162"/>
        <v>0</v>
      </c>
      <c r="Q2197" s="110">
        <f t="shared" si="163"/>
        <v>0</v>
      </c>
      <c r="R2197" s="110">
        <f t="shared" si="164"/>
        <v>0</v>
      </c>
      <c r="S2197" s="112">
        <v>0</v>
      </c>
    </row>
    <row r="2198" spans="1:19">
      <c r="A2198" s="79"/>
      <c r="B2198" s="77" t="s">
        <v>285</v>
      </c>
      <c r="C2198" s="76" t="s">
        <v>4</v>
      </c>
      <c r="D2198" s="143">
        <v>32</v>
      </c>
      <c r="E2198" s="77"/>
      <c r="F2198" s="334"/>
      <c r="G2198" s="112">
        <v>0</v>
      </c>
      <c r="H2198" s="120">
        <v>0</v>
      </c>
      <c r="I2198" s="120">
        <v>0</v>
      </c>
      <c r="J2198" s="120">
        <v>0</v>
      </c>
      <c r="K2198" s="110">
        <v>0</v>
      </c>
      <c r="L2198" s="110"/>
      <c r="M2198" s="110">
        <v>0</v>
      </c>
      <c r="N2198" s="110"/>
      <c r="O2198" s="110"/>
      <c r="P2198" s="110">
        <f t="shared" si="162"/>
        <v>0</v>
      </c>
      <c r="Q2198" s="110">
        <f t="shared" si="163"/>
        <v>0</v>
      </c>
      <c r="R2198" s="110">
        <f t="shared" si="164"/>
        <v>0</v>
      </c>
      <c r="S2198" s="112">
        <v>0</v>
      </c>
    </row>
    <row r="2199" spans="1:19">
      <c r="A2199" s="79"/>
      <c r="B2199" s="77" t="s">
        <v>287</v>
      </c>
      <c r="C2199" s="76" t="s">
        <v>4</v>
      </c>
      <c r="D2199" s="143">
        <v>16</v>
      </c>
      <c r="E2199" s="77"/>
      <c r="F2199" s="334"/>
      <c r="G2199" s="112">
        <v>0</v>
      </c>
      <c r="H2199" s="120">
        <v>0</v>
      </c>
      <c r="I2199" s="120">
        <v>0</v>
      </c>
      <c r="J2199" s="120">
        <v>0</v>
      </c>
      <c r="K2199" s="110">
        <v>0</v>
      </c>
      <c r="L2199" s="110"/>
      <c r="M2199" s="110">
        <v>0</v>
      </c>
      <c r="N2199" s="110"/>
      <c r="O2199" s="110"/>
      <c r="P2199" s="110">
        <f t="shared" si="162"/>
        <v>0</v>
      </c>
      <c r="Q2199" s="110">
        <f t="shared" si="163"/>
        <v>0</v>
      </c>
      <c r="R2199" s="110">
        <f t="shared" si="164"/>
        <v>0</v>
      </c>
      <c r="S2199" s="112">
        <v>0</v>
      </c>
    </row>
    <row r="2200" spans="1:19">
      <c r="A2200" s="79"/>
      <c r="B2200" s="77" t="s">
        <v>281</v>
      </c>
      <c r="C2200" s="76" t="s">
        <v>4</v>
      </c>
      <c r="D2200" s="143">
        <v>1</v>
      </c>
      <c r="E2200" s="77"/>
      <c r="F2200" s="334"/>
      <c r="G2200" s="112">
        <v>0</v>
      </c>
      <c r="H2200" s="120">
        <v>0</v>
      </c>
      <c r="I2200" s="120">
        <v>0</v>
      </c>
      <c r="J2200" s="120">
        <v>0</v>
      </c>
      <c r="K2200" s="110">
        <v>0</v>
      </c>
      <c r="L2200" s="110"/>
      <c r="M2200" s="110">
        <v>0</v>
      </c>
      <c r="N2200" s="110"/>
      <c r="O2200" s="110"/>
      <c r="P2200" s="110">
        <f t="shared" si="162"/>
        <v>0</v>
      </c>
      <c r="Q2200" s="110">
        <f t="shared" si="163"/>
        <v>0</v>
      </c>
      <c r="R2200" s="110">
        <f t="shared" si="164"/>
        <v>0</v>
      </c>
      <c r="S2200" s="112">
        <v>0</v>
      </c>
    </row>
    <row r="2201" spans="1:19" ht="30">
      <c r="A2201" s="79"/>
      <c r="B2201" s="77" t="s">
        <v>282</v>
      </c>
      <c r="C2201" s="76" t="s">
        <v>8</v>
      </c>
      <c r="D2201" s="143">
        <v>1</v>
      </c>
      <c r="E2201" s="77"/>
      <c r="F2201" s="334"/>
      <c r="G2201" s="112">
        <v>0</v>
      </c>
      <c r="H2201" s="120">
        <v>0</v>
      </c>
      <c r="I2201" s="120">
        <v>0</v>
      </c>
      <c r="J2201" s="120">
        <v>0</v>
      </c>
      <c r="K2201" s="110">
        <v>0</v>
      </c>
      <c r="L2201" s="110"/>
      <c r="M2201" s="110">
        <v>0</v>
      </c>
      <c r="N2201" s="110"/>
      <c r="O2201" s="110"/>
      <c r="P2201" s="110">
        <f t="shared" si="162"/>
        <v>0</v>
      </c>
      <c r="Q2201" s="110">
        <f t="shared" si="163"/>
        <v>0</v>
      </c>
      <c r="R2201" s="110">
        <f t="shared" si="164"/>
        <v>0</v>
      </c>
      <c r="S2201" s="112">
        <v>0</v>
      </c>
    </row>
    <row r="2202" spans="1:19" ht="45">
      <c r="A2202" s="79"/>
      <c r="B2202" s="77" t="s">
        <v>166</v>
      </c>
      <c r="C2202" s="76" t="s">
        <v>17</v>
      </c>
      <c r="D2202" s="143">
        <v>1</v>
      </c>
      <c r="E2202" s="77"/>
      <c r="F2202" s="334"/>
      <c r="G2202" s="112">
        <v>0</v>
      </c>
      <c r="H2202" s="120">
        <v>0</v>
      </c>
      <c r="I2202" s="120">
        <v>0</v>
      </c>
      <c r="J2202" s="120">
        <v>0</v>
      </c>
      <c r="K2202" s="110">
        <v>0</v>
      </c>
      <c r="L2202" s="110"/>
      <c r="M2202" s="110">
        <v>0</v>
      </c>
      <c r="N2202" s="110"/>
      <c r="O2202" s="110"/>
      <c r="P2202" s="110">
        <f t="shared" si="162"/>
        <v>0</v>
      </c>
      <c r="Q2202" s="110">
        <f t="shared" si="163"/>
        <v>0</v>
      </c>
      <c r="R2202" s="110">
        <f t="shared" si="164"/>
        <v>0</v>
      </c>
      <c r="S2202" s="112">
        <v>0</v>
      </c>
    </row>
    <row r="2203" spans="1:19" ht="60">
      <c r="A2203" s="79">
        <v>92</v>
      </c>
      <c r="B2203" s="77" t="s">
        <v>457</v>
      </c>
      <c r="C2203" s="76" t="s">
        <v>6</v>
      </c>
      <c r="D2203" s="143">
        <v>6</v>
      </c>
      <c r="E2203" s="77"/>
      <c r="F2203" s="334">
        <v>6</v>
      </c>
      <c r="G2203" s="112" t="s">
        <v>876</v>
      </c>
      <c r="H2203" s="120" t="s">
        <v>1076</v>
      </c>
      <c r="I2203" s="120" t="s">
        <v>828</v>
      </c>
      <c r="J2203" s="120" t="s">
        <v>829</v>
      </c>
      <c r="K2203" s="110">
        <v>38112300</v>
      </c>
      <c r="L2203" s="110"/>
      <c r="M2203" s="110">
        <v>3828500</v>
      </c>
      <c r="N2203" s="110"/>
      <c r="O2203" s="110"/>
      <c r="P2203" s="110">
        <f t="shared" si="162"/>
        <v>41940800</v>
      </c>
      <c r="Q2203" s="110">
        <f t="shared" si="163"/>
        <v>251644800</v>
      </c>
      <c r="R2203" s="110">
        <f t="shared" si="164"/>
        <v>251644800</v>
      </c>
      <c r="S2203" s="112" t="s">
        <v>4094</v>
      </c>
    </row>
    <row r="2204" spans="1:19" ht="45">
      <c r="A2204" s="79"/>
      <c r="B2204" s="77" t="s">
        <v>274</v>
      </c>
      <c r="C2204" s="76" t="s">
        <v>4</v>
      </c>
      <c r="D2204" s="143">
        <v>1</v>
      </c>
      <c r="E2204" s="77"/>
      <c r="F2204" s="334"/>
      <c r="G2204" s="112">
        <v>0</v>
      </c>
      <c r="H2204" s="120">
        <v>0</v>
      </c>
      <c r="I2204" s="120">
        <v>0</v>
      </c>
      <c r="J2204" s="120">
        <v>0</v>
      </c>
      <c r="K2204" s="110">
        <v>0</v>
      </c>
      <c r="L2204" s="110"/>
      <c r="M2204" s="110">
        <v>0</v>
      </c>
      <c r="N2204" s="110"/>
      <c r="O2204" s="110"/>
      <c r="P2204" s="110">
        <f t="shared" si="162"/>
        <v>0</v>
      </c>
      <c r="Q2204" s="110">
        <f t="shared" si="163"/>
        <v>0</v>
      </c>
      <c r="R2204" s="110">
        <f t="shared" si="164"/>
        <v>0</v>
      </c>
      <c r="S2204" s="112" t="s">
        <v>150</v>
      </c>
    </row>
    <row r="2205" spans="1:19">
      <c r="A2205" s="79"/>
      <c r="B2205" s="77" t="s">
        <v>287</v>
      </c>
      <c r="C2205" s="76" t="s">
        <v>4</v>
      </c>
      <c r="D2205" s="143">
        <v>16</v>
      </c>
      <c r="E2205" s="77"/>
      <c r="F2205" s="334"/>
      <c r="G2205" s="112">
        <v>0</v>
      </c>
      <c r="H2205" s="120">
        <v>0</v>
      </c>
      <c r="I2205" s="120">
        <v>0</v>
      </c>
      <c r="J2205" s="120">
        <v>0</v>
      </c>
      <c r="K2205" s="110">
        <v>0</v>
      </c>
      <c r="L2205" s="110"/>
      <c r="M2205" s="110">
        <v>0</v>
      </c>
      <c r="N2205" s="110"/>
      <c r="O2205" s="110"/>
      <c r="P2205" s="110">
        <f t="shared" si="162"/>
        <v>0</v>
      </c>
      <c r="Q2205" s="110">
        <f t="shared" si="163"/>
        <v>0</v>
      </c>
      <c r="R2205" s="110">
        <f t="shared" si="164"/>
        <v>0</v>
      </c>
      <c r="S2205" s="112">
        <v>0</v>
      </c>
    </row>
    <row r="2206" spans="1:19">
      <c r="A2206" s="79"/>
      <c r="B2206" s="77" t="s">
        <v>281</v>
      </c>
      <c r="C2206" s="76" t="s">
        <v>4</v>
      </c>
      <c r="D2206" s="143">
        <v>1</v>
      </c>
      <c r="E2206" s="77"/>
      <c r="F2206" s="334"/>
      <c r="G2206" s="112">
        <v>0</v>
      </c>
      <c r="H2206" s="120">
        <v>0</v>
      </c>
      <c r="I2206" s="120">
        <v>0</v>
      </c>
      <c r="J2206" s="120">
        <v>0</v>
      </c>
      <c r="K2206" s="110">
        <v>0</v>
      </c>
      <c r="L2206" s="110"/>
      <c r="M2206" s="110">
        <v>0</v>
      </c>
      <c r="N2206" s="110"/>
      <c r="O2206" s="110"/>
      <c r="P2206" s="110">
        <f t="shared" si="162"/>
        <v>0</v>
      </c>
      <c r="Q2206" s="110">
        <f t="shared" si="163"/>
        <v>0</v>
      </c>
      <c r="R2206" s="110">
        <f t="shared" si="164"/>
        <v>0</v>
      </c>
      <c r="S2206" s="112">
        <v>0</v>
      </c>
    </row>
    <row r="2207" spans="1:19" ht="60">
      <c r="A2207" s="79">
        <v>93</v>
      </c>
      <c r="B2207" s="77" t="s">
        <v>458</v>
      </c>
      <c r="C2207" s="76" t="s">
        <v>6</v>
      </c>
      <c r="D2207" s="143">
        <v>3</v>
      </c>
      <c r="E2207" s="77"/>
      <c r="F2207" s="334">
        <v>3</v>
      </c>
      <c r="G2207" s="112" t="s">
        <v>458</v>
      </c>
      <c r="H2207" s="120" t="s">
        <v>1076</v>
      </c>
      <c r="I2207" s="120" t="s">
        <v>828</v>
      </c>
      <c r="J2207" s="120" t="s">
        <v>829</v>
      </c>
      <c r="K2207" s="110">
        <v>8333900</v>
      </c>
      <c r="L2207" s="110"/>
      <c r="M2207" s="110">
        <v>1471000</v>
      </c>
      <c r="N2207" s="110"/>
      <c r="O2207" s="110"/>
      <c r="P2207" s="110">
        <f t="shared" si="162"/>
        <v>9804900</v>
      </c>
      <c r="Q2207" s="110">
        <f t="shared" si="163"/>
        <v>29414700</v>
      </c>
      <c r="R2207" s="110">
        <f t="shared" si="164"/>
        <v>29414700</v>
      </c>
      <c r="S2207" s="112" t="s">
        <v>4094</v>
      </c>
    </row>
    <row r="2208" spans="1:19" ht="45">
      <c r="A2208" s="79"/>
      <c r="B2208" s="77" t="s">
        <v>459</v>
      </c>
      <c r="C2208" s="76" t="s">
        <v>4</v>
      </c>
      <c r="D2208" s="143">
        <v>1</v>
      </c>
      <c r="E2208" s="77"/>
      <c r="F2208" s="334"/>
      <c r="G2208" s="112">
        <v>0</v>
      </c>
      <c r="H2208" s="120">
        <v>0</v>
      </c>
      <c r="I2208" s="120">
        <v>0</v>
      </c>
      <c r="J2208" s="120">
        <v>0</v>
      </c>
      <c r="K2208" s="110">
        <v>0</v>
      </c>
      <c r="L2208" s="110"/>
      <c r="M2208" s="110">
        <v>0</v>
      </c>
      <c r="N2208" s="110"/>
      <c r="O2208" s="110"/>
      <c r="P2208" s="110">
        <f t="shared" si="162"/>
        <v>0</v>
      </c>
      <c r="Q2208" s="110">
        <f t="shared" si="163"/>
        <v>0</v>
      </c>
      <c r="R2208" s="110">
        <f t="shared" si="164"/>
        <v>0</v>
      </c>
      <c r="S2208" s="112" t="s">
        <v>150</v>
      </c>
    </row>
    <row r="2209" spans="1:19">
      <c r="A2209" s="79"/>
      <c r="B2209" s="77" t="s">
        <v>151</v>
      </c>
      <c r="C2209" s="76"/>
      <c r="D2209" s="143"/>
      <c r="E2209" s="77"/>
      <c r="F2209" s="76"/>
      <c r="G2209" s="112">
        <v>0</v>
      </c>
      <c r="H2209" s="120">
        <v>0</v>
      </c>
      <c r="I2209" s="120">
        <v>0</v>
      </c>
      <c r="J2209" s="120">
        <v>0</v>
      </c>
      <c r="K2209" s="110">
        <v>0</v>
      </c>
      <c r="L2209" s="110"/>
      <c r="M2209" s="110">
        <v>0</v>
      </c>
      <c r="N2209" s="110"/>
      <c r="O2209" s="110"/>
      <c r="P2209" s="110">
        <f t="shared" si="162"/>
        <v>0</v>
      </c>
      <c r="Q2209" s="110">
        <f t="shared" si="163"/>
        <v>0</v>
      </c>
      <c r="R2209" s="110">
        <f t="shared" si="164"/>
        <v>0</v>
      </c>
      <c r="S2209" s="112">
        <v>0</v>
      </c>
    </row>
    <row r="2210" spans="1:19">
      <c r="A2210" s="79"/>
      <c r="B2210" s="77" t="s">
        <v>183</v>
      </c>
      <c r="C2210" s="76" t="s">
        <v>4</v>
      </c>
      <c r="D2210" s="143">
        <v>1</v>
      </c>
      <c r="E2210" s="77"/>
      <c r="F2210" s="334"/>
      <c r="G2210" s="112">
        <v>0</v>
      </c>
      <c r="H2210" s="120">
        <v>0</v>
      </c>
      <c r="I2210" s="120">
        <v>0</v>
      </c>
      <c r="J2210" s="120">
        <v>0</v>
      </c>
      <c r="K2210" s="110">
        <v>0</v>
      </c>
      <c r="L2210" s="110"/>
      <c r="M2210" s="110">
        <v>0</v>
      </c>
      <c r="N2210" s="110"/>
      <c r="O2210" s="110"/>
      <c r="P2210" s="110">
        <f t="shared" si="162"/>
        <v>0</v>
      </c>
      <c r="Q2210" s="110">
        <f t="shared" si="163"/>
        <v>0</v>
      </c>
      <c r="R2210" s="110">
        <f t="shared" si="164"/>
        <v>0</v>
      </c>
      <c r="S2210" s="112">
        <v>0</v>
      </c>
    </row>
    <row r="2211" spans="1:19">
      <c r="A2211" s="79"/>
      <c r="B2211" s="77" t="s">
        <v>57</v>
      </c>
      <c r="C2211" s="76" t="s">
        <v>12</v>
      </c>
      <c r="D2211" s="143">
        <v>3</v>
      </c>
      <c r="E2211" s="77"/>
      <c r="F2211" s="334"/>
      <c r="G2211" s="112">
        <v>0</v>
      </c>
      <c r="H2211" s="120">
        <v>0</v>
      </c>
      <c r="I2211" s="120">
        <v>0</v>
      </c>
      <c r="J2211" s="120">
        <v>0</v>
      </c>
      <c r="K2211" s="110">
        <v>0</v>
      </c>
      <c r="L2211" s="110"/>
      <c r="M2211" s="110">
        <v>0</v>
      </c>
      <c r="N2211" s="110"/>
      <c r="O2211" s="110"/>
      <c r="P2211" s="110">
        <f t="shared" si="162"/>
        <v>0</v>
      </c>
      <c r="Q2211" s="110">
        <f t="shared" si="163"/>
        <v>0</v>
      </c>
      <c r="R2211" s="110">
        <f t="shared" si="164"/>
        <v>0</v>
      </c>
      <c r="S2211" s="112">
        <v>0</v>
      </c>
    </row>
    <row r="2212" spans="1:19">
      <c r="A2212" s="79"/>
      <c r="B2212" s="77" t="s">
        <v>29</v>
      </c>
      <c r="C2212" s="76" t="s">
        <v>4</v>
      </c>
      <c r="D2212" s="143">
        <v>1</v>
      </c>
      <c r="E2212" s="77"/>
      <c r="F2212" s="334"/>
      <c r="G2212" s="112">
        <v>0</v>
      </c>
      <c r="H2212" s="120">
        <v>0</v>
      </c>
      <c r="I2212" s="120">
        <v>0</v>
      </c>
      <c r="J2212" s="120">
        <v>0</v>
      </c>
      <c r="K2212" s="110">
        <v>0</v>
      </c>
      <c r="L2212" s="110"/>
      <c r="M2212" s="110">
        <v>0</v>
      </c>
      <c r="N2212" s="110"/>
      <c r="O2212" s="110"/>
      <c r="P2212" s="110">
        <f t="shared" si="162"/>
        <v>0</v>
      </c>
      <c r="Q2212" s="110">
        <f t="shared" si="163"/>
        <v>0</v>
      </c>
      <c r="R2212" s="110">
        <f t="shared" si="164"/>
        <v>0</v>
      </c>
      <c r="S2212" s="112">
        <v>0</v>
      </c>
    </row>
    <row r="2213" spans="1:19">
      <c r="A2213" s="79"/>
      <c r="B2213" s="77" t="s">
        <v>30</v>
      </c>
      <c r="C2213" s="76" t="s">
        <v>4</v>
      </c>
      <c r="D2213" s="143">
        <v>1</v>
      </c>
      <c r="E2213" s="77"/>
      <c r="F2213" s="334"/>
      <c r="G2213" s="112">
        <v>0</v>
      </c>
      <c r="H2213" s="120">
        <v>0</v>
      </c>
      <c r="I2213" s="120">
        <v>0</v>
      </c>
      <c r="J2213" s="120">
        <v>0</v>
      </c>
      <c r="K2213" s="110">
        <v>0</v>
      </c>
      <c r="L2213" s="110"/>
      <c r="M2213" s="110">
        <v>0</v>
      </c>
      <c r="N2213" s="110"/>
      <c r="O2213" s="110"/>
      <c r="P2213" s="110">
        <f t="shared" si="162"/>
        <v>0</v>
      </c>
      <c r="Q2213" s="110">
        <f t="shared" si="163"/>
        <v>0</v>
      </c>
      <c r="R2213" s="110">
        <f t="shared" si="164"/>
        <v>0</v>
      </c>
      <c r="S2213" s="112">
        <v>0</v>
      </c>
    </row>
    <row r="2214" spans="1:19">
      <c r="A2214" s="79"/>
      <c r="B2214" s="77" t="s">
        <v>184</v>
      </c>
      <c r="C2214" s="76" t="s">
        <v>4</v>
      </c>
      <c r="D2214" s="143">
        <v>3</v>
      </c>
      <c r="E2214" s="77"/>
      <c r="F2214" s="334"/>
      <c r="G2214" s="112">
        <v>0</v>
      </c>
      <c r="H2214" s="120">
        <v>0</v>
      </c>
      <c r="I2214" s="120">
        <v>0</v>
      </c>
      <c r="J2214" s="120">
        <v>0</v>
      </c>
      <c r="K2214" s="110">
        <v>0</v>
      </c>
      <c r="L2214" s="110"/>
      <c r="M2214" s="110">
        <v>0</v>
      </c>
      <c r="N2214" s="110"/>
      <c r="O2214" s="110"/>
      <c r="P2214" s="110">
        <f t="shared" si="162"/>
        <v>0</v>
      </c>
      <c r="Q2214" s="110">
        <f t="shared" si="163"/>
        <v>0</v>
      </c>
      <c r="R2214" s="110">
        <f t="shared" si="164"/>
        <v>0</v>
      </c>
      <c r="S2214" s="112">
        <v>0</v>
      </c>
    </row>
    <row r="2215" spans="1:19">
      <c r="A2215" s="79"/>
      <c r="B2215" s="77" t="s">
        <v>14</v>
      </c>
      <c r="C2215" s="76" t="s">
        <v>4</v>
      </c>
      <c r="D2215" s="143">
        <v>3</v>
      </c>
      <c r="E2215" s="77"/>
      <c r="F2215" s="334"/>
      <c r="G2215" s="112">
        <v>0</v>
      </c>
      <c r="H2215" s="120">
        <v>0</v>
      </c>
      <c r="I2215" s="120">
        <v>0</v>
      </c>
      <c r="J2215" s="120">
        <v>0</v>
      </c>
      <c r="K2215" s="110">
        <v>0</v>
      </c>
      <c r="L2215" s="110"/>
      <c r="M2215" s="110">
        <v>0</v>
      </c>
      <c r="N2215" s="110"/>
      <c r="O2215" s="110"/>
      <c r="P2215" s="110">
        <f t="shared" si="162"/>
        <v>0</v>
      </c>
      <c r="Q2215" s="110">
        <f t="shared" si="163"/>
        <v>0</v>
      </c>
      <c r="R2215" s="110">
        <f t="shared" si="164"/>
        <v>0</v>
      </c>
      <c r="S2215" s="112">
        <v>0</v>
      </c>
    </row>
    <row r="2216" spans="1:19">
      <c r="A2216" s="79"/>
      <c r="B2216" s="77" t="s">
        <v>154</v>
      </c>
      <c r="C2216" s="76"/>
      <c r="D2216" s="143"/>
      <c r="E2216" s="77"/>
      <c r="F2216" s="76"/>
      <c r="G2216" s="112">
        <v>0</v>
      </c>
      <c r="H2216" s="120">
        <v>0</v>
      </c>
      <c r="I2216" s="120">
        <v>0</v>
      </c>
      <c r="J2216" s="120">
        <v>0</v>
      </c>
      <c r="K2216" s="110">
        <v>0</v>
      </c>
      <c r="L2216" s="110"/>
      <c r="M2216" s="110">
        <v>0</v>
      </c>
      <c r="N2216" s="110"/>
      <c r="O2216" s="110"/>
      <c r="P2216" s="110">
        <f t="shared" si="162"/>
        <v>0</v>
      </c>
      <c r="Q2216" s="110">
        <f t="shared" si="163"/>
        <v>0</v>
      </c>
      <c r="R2216" s="110">
        <f t="shared" si="164"/>
        <v>0</v>
      </c>
      <c r="S2216" s="112">
        <v>0</v>
      </c>
    </row>
    <row r="2217" spans="1:19">
      <c r="A2217" s="79"/>
      <c r="B2217" s="77" t="s">
        <v>268</v>
      </c>
      <c r="C2217" s="76" t="s">
        <v>8</v>
      </c>
      <c r="D2217" s="143">
        <v>1</v>
      </c>
      <c r="E2217" s="77"/>
      <c r="F2217" s="334"/>
      <c r="G2217" s="112">
        <v>0</v>
      </c>
      <c r="H2217" s="120">
        <v>0</v>
      </c>
      <c r="I2217" s="120">
        <v>0</v>
      </c>
      <c r="J2217" s="120">
        <v>0</v>
      </c>
      <c r="K2217" s="110">
        <v>0</v>
      </c>
      <c r="L2217" s="110"/>
      <c r="M2217" s="110">
        <v>0</v>
      </c>
      <c r="N2217" s="110"/>
      <c r="O2217" s="110"/>
      <c r="P2217" s="110">
        <f t="shared" si="162"/>
        <v>0</v>
      </c>
      <c r="Q2217" s="110">
        <f t="shared" si="163"/>
        <v>0</v>
      </c>
      <c r="R2217" s="110">
        <f t="shared" si="164"/>
        <v>0</v>
      </c>
      <c r="S2217" s="112">
        <v>0</v>
      </c>
    </row>
    <row r="2218" spans="1:19" ht="45">
      <c r="A2218" s="79"/>
      <c r="B2218" s="77" t="s">
        <v>166</v>
      </c>
      <c r="C2218" s="76" t="s">
        <v>17</v>
      </c>
      <c r="D2218" s="143">
        <v>1</v>
      </c>
      <c r="E2218" s="77"/>
      <c r="F2218" s="334"/>
      <c r="G2218" s="112">
        <v>0</v>
      </c>
      <c r="H2218" s="120">
        <v>0</v>
      </c>
      <c r="I2218" s="120">
        <v>0</v>
      </c>
      <c r="J2218" s="120">
        <v>0</v>
      </c>
      <c r="K2218" s="110">
        <v>0</v>
      </c>
      <c r="L2218" s="110"/>
      <c r="M2218" s="110">
        <v>0</v>
      </c>
      <c r="N2218" s="110"/>
      <c r="O2218" s="110"/>
      <c r="P2218" s="110">
        <f t="shared" si="162"/>
        <v>0</v>
      </c>
      <c r="Q2218" s="110">
        <f t="shared" si="163"/>
        <v>0</v>
      </c>
      <c r="R2218" s="110">
        <f t="shared" si="164"/>
        <v>0</v>
      </c>
      <c r="S2218" s="112">
        <v>0</v>
      </c>
    </row>
    <row r="2219" spans="1:19" ht="60">
      <c r="A2219" s="79">
        <v>94</v>
      </c>
      <c r="B2219" s="77" t="s">
        <v>460</v>
      </c>
      <c r="C2219" s="76" t="s">
        <v>6</v>
      </c>
      <c r="D2219" s="143">
        <v>2</v>
      </c>
      <c r="E2219" s="77"/>
      <c r="F2219" s="334">
        <v>2</v>
      </c>
      <c r="G2219" s="112" t="s">
        <v>460</v>
      </c>
      <c r="H2219" s="120" t="s">
        <v>1076</v>
      </c>
      <c r="I2219" s="120" t="s">
        <v>828</v>
      </c>
      <c r="J2219" s="120" t="s">
        <v>829</v>
      </c>
      <c r="K2219" s="110">
        <v>8567100</v>
      </c>
      <c r="L2219" s="110"/>
      <c r="M2219" s="110">
        <v>1471000</v>
      </c>
      <c r="N2219" s="110"/>
      <c r="O2219" s="110"/>
      <c r="P2219" s="110">
        <f t="shared" si="162"/>
        <v>10038100</v>
      </c>
      <c r="Q2219" s="110">
        <f t="shared" si="163"/>
        <v>20076200</v>
      </c>
      <c r="R2219" s="110">
        <f t="shared" si="164"/>
        <v>20076200</v>
      </c>
      <c r="S2219" s="112" t="s">
        <v>4094</v>
      </c>
    </row>
    <row r="2220" spans="1:19" ht="45">
      <c r="A2220" s="79"/>
      <c r="B2220" s="77" t="s">
        <v>459</v>
      </c>
      <c r="C2220" s="76" t="s">
        <v>4</v>
      </c>
      <c r="D2220" s="143">
        <v>1</v>
      </c>
      <c r="E2220" s="77"/>
      <c r="F2220" s="334"/>
      <c r="G2220" s="112">
        <v>0</v>
      </c>
      <c r="H2220" s="120">
        <v>0</v>
      </c>
      <c r="I2220" s="120">
        <v>0</v>
      </c>
      <c r="J2220" s="120">
        <v>0</v>
      </c>
      <c r="K2220" s="110">
        <v>0</v>
      </c>
      <c r="L2220" s="110"/>
      <c r="M2220" s="110">
        <v>0</v>
      </c>
      <c r="N2220" s="110"/>
      <c r="O2220" s="110"/>
      <c r="P2220" s="110">
        <f t="shared" si="162"/>
        <v>0</v>
      </c>
      <c r="Q2220" s="110">
        <f t="shared" si="163"/>
        <v>0</v>
      </c>
      <c r="R2220" s="110">
        <f t="shared" si="164"/>
        <v>0</v>
      </c>
      <c r="S2220" s="112" t="s">
        <v>150</v>
      </c>
    </row>
    <row r="2221" spans="1:19">
      <c r="A2221" s="79"/>
      <c r="B2221" s="77" t="s">
        <v>151</v>
      </c>
      <c r="C2221" s="76"/>
      <c r="D2221" s="143"/>
      <c r="E2221" s="77"/>
      <c r="F2221" s="76"/>
      <c r="G2221" s="112">
        <v>0</v>
      </c>
      <c r="H2221" s="120">
        <v>0</v>
      </c>
      <c r="I2221" s="120">
        <v>0</v>
      </c>
      <c r="J2221" s="120">
        <v>0</v>
      </c>
      <c r="K2221" s="110">
        <v>0</v>
      </c>
      <c r="L2221" s="110"/>
      <c r="M2221" s="110">
        <v>0</v>
      </c>
      <c r="N2221" s="110"/>
      <c r="O2221" s="110"/>
      <c r="P2221" s="110">
        <f t="shared" si="162"/>
        <v>0</v>
      </c>
      <c r="Q2221" s="110">
        <f t="shared" si="163"/>
        <v>0</v>
      </c>
      <c r="R2221" s="110">
        <f t="shared" si="164"/>
        <v>0</v>
      </c>
      <c r="S2221" s="112">
        <v>0</v>
      </c>
    </row>
    <row r="2222" spans="1:19">
      <c r="A2222" s="79"/>
      <c r="B2222" s="77" t="s">
        <v>258</v>
      </c>
      <c r="C2222" s="76" t="s">
        <v>4</v>
      </c>
      <c r="D2222" s="143">
        <v>1</v>
      </c>
      <c r="E2222" s="77"/>
      <c r="F2222" s="334"/>
      <c r="G2222" s="112">
        <v>0</v>
      </c>
      <c r="H2222" s="120">
        <v>0</v>
      </c>
      <c r="I2222" s="120">
        <v>0</v>
      </c>
      <c r="J2222" s="120">
        <v>0</v>
      </c>
      <c r="K2222" s="110">
        <v>0</v>
      </c>
      <c r="L2222" s="110"/>
      <c r="M2222" s="110">
        <v>0</v>
      </c>
      <c r="N2222" s="110"/>
      <c r="O2222" s="110"/>
      <c r="P2222" s="110">
        <f t="shared" si="162"/>
        <v>0</v>
      </c>
      <c r="Q2222" s="110">
        <f t="shared" si="163"/>
        <v>0</v>
      </c>
      <c r="R2222" s="110">
        <f t="shared" si="164"/>
        <v>0</v>
      </c>
      <c r="S2222" s="112">
        <v>0</v>
      </c>
    </row>
    <row r="2223" spans="1:19">
      <c r="A2223" s="79"/>
      <c r="B2223" s="77" t="s">
        <v>57</v>
      </c>
      <c r="C2223" s="76" t="s">
        <v>12</v>
      </c>
      <c r="D2223" s="143">
        <v>3</v>
      </c>
      <c r="E2223" s="77"/>
      <c r="F2223" s="334"/>
      <c r="G2223" s="112">
        <v>0</v>
      </c>
      <c r="H2223" s="120">
        <v>0</v>
      </c>
      <c r="I2223" s="120">
        <v>0</v>
      </c>
      <c r="J2223" s="120">
        <v>0</v>
      </c>
      <c r="K2223" s="110">
        <v>0</v>
      </c>
      <c r="L2223" s="110"/>
      <c r="M2223" s="110">
        <v>0</v>
      </c>
      <c r="N2223" s="110"/>
      <c r="O2223" s="110"/>
      <c r="P2223" s="110">
        <f t="shared" si="162"/>
        <v>0</v>
      </c>
      <c r="Q2223" s="110">
        <f t="shared" si="163"/>
        <v>0</v>
      </c>
      <c r="R2223" s="110">
        <f t="shared" si="164"/>
        <v>0</v>
      </c>
      <c r="S2223" s="112">
        <v>0</v>
      </c>
    </row>
    <row r="2224" spans="1:19">
      <c r="A2224" s="79"/>
      <c r="B2224" s="77" t="s">
        <v>29</v>
      </c>
      <c r="C2224" s="76" t="s">
        <v>4</v>
      </c>
      <c r="D2224" s="143">
        <v>1</v>
      </c>
      <c r="E2224" s="77"/>
      <c r="F2224" s="334"/>
      <c r="G2224" s="112">
        <v>0</v>
      </c>
      <c r="H2224" s="120">
        <v>0</v>
      </c>
      <c r="I2224" s="120">
        <v>0</v>
      </c>
      <c r="J2224" s="120">
        <v>0</v>
      </c>
      <c r="K2224" s="110">
        <v>0</v>
      </c>
      <c r="L2224" s="110"/>
      <c r="M2224" s="110">
        <v>0</v>
      </c>
      <c r="N2224" s="110"/>
      <c r="O2224" s="110"/>
      <c r="P2224" s="110">
        <f t="shared" si="162"/>
        <v>0</v>
      </c>
      <c r="Q2224" s="110">
        <f t="shared" si="163"/>
        <v>0</v>
      </c>
      <c r="R2224" s="110">
        <f t="shared" si="164"/>
        <v>0</v>
      </c>
      <c r="S2224" s="112">
        <v>0</v>
      </c>
    </row>
    <row r="2225" spans="1:19">
      <c r="A2225" s="79"/>
      <c r="B2225" s="77" t="s">
        <v>30</v>
      </c>
      <c r="C2225" s="76" t="s">
        <v>4</v>
      </c>
      <c r="D2225" s="143">
        <v>1</v>
      </c>
      <c r="E2225" s="77"/>
      <c r="F2225" s="334"/>
      <c r="G2225" s="112">
        <v>0</v>
      </c>
      <c r="H2225" s="120">
        <v>0</v>
      </c>
      <c r="I2225" s="120">
        <v>0</v>
      </c>
      <c r="J2225" s="120">
        <v>0</v>
      </c>
      <c r="K2225" s="110">
        <v>0</v>
      </c>
      <c r="L2225" s="110"/>
      <c r="M2225" s="110">
        <v>0</v>
      </c>
      <c r="N2225" s="110"/>
      <c r="O2225" s="110"/>
      <c r="P2225" s="110">
        <f t="shared" ref="P2225:P2288" si="165">+K2225+L2225+M2225+N2225+O2225</f>
        <v>0</v>
      </c>
      <c r="Q2225" s="110">
        <f t="shared" ref="Q2225:Q2288" si="166">+P2225*D2225</f>
        <v>0</v>
      </c>
      <c r="R2225" s="110">
        <f t="shared" ref="R2225:R2288" si="167">P2225*F2225</f>
        <v>0</v>
      </c>
      <c r="S2225" s="112">
        <v>0</v>
      </c>
    </row>
    <row r="2226" spans="1:19">
      <c r="A2226" s="79"/>
      <c r="B2226" s="77" t="s">
        <v>184</v>
      </c>
      <c r="C2226" s="76" t="s">
        <v>4</v>
      </c>
      <c r="D2226" s="143">
        <v>3</v>
      </c>
      <c r="E2226" s="77"/>
      <c r="F2226" s="334"/>
      <c r="G2226" s="112">
        <v>0</v>
      </c>
      <c r="H2226" s="120">
        <v>0</v>
      </c>
      <c r="I2226" s="120">
        <v>0</v>
      </c>
      <c r="J2226" s="120">
        <v>0</v>
      </c>
      <c r="K2226" s="110">
        <v>0</v>
      </c>
      <c r="L2226" s="110"/>
      <c r="M2226" s="110">
        <v>0</v>
      </c>
      <c r="N2226" s="110"/>
      <c r="O2226" s="110"/>
      <c r="P2226" s="110">
        <f t="shared" si="165"/>
        <v>0</v>
      </c>
      <c r="Q2226" s="110">
        <f t="shared" si="166"/>
        <v>0</v>
      </c>
      <c r="R2226" s="110">
        <f t="shared" si="167"/>
        <v>0</v>
      </c>
      <c r="S2226" s="112">
        <v>0</v>
      </c>
    </row>
    <row r="2227" spans="1:19">
      <c r="A2227" s="79"/>
      <c r="B2227" s="77" t="s">
        <v>14</v>
      </c>
      <c r="C2227" s="76" t="s">
        <v>4</v>
      </c>
      <c r="D2227" s="143">
        <v>3</v>
      </c>
      <c r="E2227" s="77"/>
      <c r="F2227" s="334"/>
      <c r="G2227" s="112">
        <v>0</v>
      </c>
      <c r="H2227" s="120">
        <v>0</v>
      </c>
      <c r="I2227" s="120">
        <v>0</v>
      </c>
      <c r="J2227" s="120">
        <v>0</v>
      </c>
      <c r="K2227" s="110">
        <v>0</v>
      </c>
      <c r="L2227" s="110"/>
      <c r="M2227" s="110">
        <v>0</v>
      </c>
      <c r="N2227" s="110"/>
      <c r="O2227" s="110"/>
      <c r="P2227" s="110">
        <f t="shared" si="165"/>
        <v>0</v>
      </c>
      <c r="Q2227" s="110">
        <f t="shared" si="166"/>
        <v>0</v>
      </c>
      <c r="R2227" s="110">
        <f t="shared" si="167"/>
        <v>0</v>
      </c>
      <c r="S2227" s="112">
        <v>0</v>
      </c>
    </row>
    <row r="2228" spans="1:19">
      <c r="A2228" s="79"/>
      <c r="B2228" s="77" t="s">
        <v>154</v>
      </c>
      <c r="C2228" s="76"/>
      <c r="D2228" s="143"/>
      <c r="E2228" s="77"/>
      <c r="F2228" s="76"/>
      <c r="G2228" s="112">
        <v>0</v>
      </c>
      <c r="H2228" s="120">
        <v>0</v>
      </c>
      <c r="I2228" s="120">
        <v>0</v>
      </c>
      <c r="J2228" s="120">
        <v>0</v>
      </c>
      <c r="K2228" s="110">
        <v>0</v>
      </c>
      <c r="L2228" s="110"/>
      <c r="M2228" s="110">
        <v>0</v>
      </c>
      <c r="N2228" s="110"/>
      <c r="O2228" s="110"/>
      <c r="P2228" s="110">
        <f t="shared" si="165"/>
        <v>0</v>
      </c>
      <c r="Q2228" s="110">
        <f t="shared" si="166"/>
        <v>0</v>
      </c>
      <c r="R2228" s="110">
        <f t="shared" si="167"/>
        <v>0</v>
      </c>
      <c r="S2228" s="112">
        <v>0</v>
      </c>
    </row>
    <row r="2229" spans="1:19">
      <c r="A2229" s="79"/>
      <c r="B2229" s="77" t="s">
        <v>268</v>
      </c>
      <c r="C2229" s="76" t="s">
        <v>8</v>
      </c>
      <c r="D2229" s="143">
        <v>1</v>
      </c>
      <c r="E2229" s="77"/>
      <c r="F2229" s="334"/>
      <c r="G2229" s="112">
        <v>0</v>
      </c>
      <c r="H2229" s="120">
        <v>0</v>
      </c>
      <c r="I2229" s="120">
        <v>0</v>
      </c>
      <c r="J2229" s="120">
        <v>0</v>
      </c>
      <c r="K2229" s="110">
        <v>0</v>
      </c>
      <c r="L2229" s="110"/>
      <c r="M2229" s="110">
        <v>0</v>
      </c>
      <c r="N2229" s="110"/>
      <c r="O2229" s="110"/>
      <c r="P2229" s="110">
        <f t="shared" si="165"/>
        <v>0</v>
      </c>
      <c r="Q2229" s="110">
        <f t="shared" si="166"/>
        <v>0</v>
      </c>
      <c r="R2229" s="110">
        <f t="shared" si="167"/>
        <v>0</v>
      </c>
      <c r="S2229" s="112">
        <v>0</v>
      </c>
    </row>
    <row r="2230" spans="1:19" ht="45">
      <c r="A2230" s="79"/>
      <c r="B2230" s="77" t="s">
        <v>166</v>
      </c>
      <c r="C2230" s="76" t="s">
        <v>17</v>
      </c>
      <c r="D2230" s="143">
        <v>1</v>
      </c>
      <c r="E2230" s="77"/>
      <c r="F2230" s="334"/>
      <c r="G2230" s="112">
        <v>0</v>
      </c>
      <c r="H2230" s="120">
        <v>0</v>
      </c>
      <c r="I2230" s="120">
        <v>0</v>
      </c>
      <c r="J2230" s="120">
        <v>0</v>
      </c>
      <c r="K2230" s="110">
        <v>0</v>
      </c>
      <c r="L2230" s="110"/>
      <c r="M2230" s="110">
        <v>0</v>
      </c>
      <c r="N2230" s="110"/>
      <c r="O2230" s="110"/>
      <c r="P2230" s="110">
        <f t="shared" si="165"/>
        <v>0</v>
      </c>
      <c r="Q2230" s="110">
        <f t="shared" si="166"/>
        <v>0</v>
      </c>
      <c r="R2230" s="110">
        <f t="shared" si="167"/>
        <v>0</v>
      </c>
      <c r="S2230" s="112">
        <v>0</v>
      </c>
    </row>
    <row r="2231" spans="1:19" ht="60">
      <c r="A2231" s="79">
        <v>95</v>
      </c>
      <c r="B2231" s="77" t="s">
        <v>461</v>
      </c>
      <c r="C2231" s="76" t="s">
        <v>6</v>
      </c>
      <c r="D2231" s="143">
        <v>4</v>
      </c>
      <c r="E2231" s="77"/>
      <c r="F2231" s="334">
        <v>4</v>
      </c>
      <c r="G2231" s="112" t="s">
        <v>461</v>
      </c>
      <c r="H2231" s="120" t="s">
        <v>1076</v>
      </c>
      <c r="I2231" s="120" t="s">
        <v>828</v>
      </c>
      <c r="J2231" s="120" t="s">
        <v>829</v>
      </c>
      <c r="K2231" s="110">
        <v>16317400</v>
      </c>
      <c r="L2231" s="110"/>
      <c r="M2231" s="110">
        <v>2821000</v>
      </c>
      <c r="N2231" s="110"/>
      <c r="O2231" s="110"/>
      <c r="P2231" s="110">
        <f t="shared" si="165"/>
        <v>19138400</v>
      </c>
      <c r="Q2231" s="110">
        <f t="shared" si="166"/>
        <v>76553600</v>
      </c>
      <c r="R2231" s="110">
        <f t="shared" si="167"/>
        <v>76553600</v>
      </c>
      <c r="S2231" s="112" t="s">
        <v>4094</v>
      </c>
    </row>
    <row r="2232" spans="1:19" ht="45">
      <c r="A2232" s="79"/>
      <c r="B2232" s="77" t="s">
        <v>459</v>
      </c>
      <c r="C2232" s="76" t="s">
        <v>4</v>
      </c>
      <c r="D2232" s="143">
        <v>1</v>
      </c>
      <c r="E2232" s="77"/>
      <c r="F2232" s="334"/>
      <c r="G2232" s="112">
        <v>0</v>
      </c>
      <c r="H2232" s="120">
        <v>0</v>
      </c>
      <c r="I2232" s="120">
        <v>0</v>
      </c>
      <c r="J2232" s="120">
        <v>0</v>
      </c>
      <c r="K2232" s="110">
        <v>0</v>
      </c>
      <c r="L2232" s="110"/>
      <c r="M2232" s="110">
        <v>0</v>
      </c>
      <c r="N2232" s="110"/>
      <c r="O2232" s="110"/>
      <c r="P2232" s="110">
        <f t="shared" si="165"/>
        <v>0</v>
      </c>
      <c r="Q2232" s="110">
        <f t="shared" si="166"/>
        <v>0</v>
      </c>
      <c r="R2232" s="110">
        <f t="shared" si="167"/>
        <v>0</v>
      </c>
      <c r="S2232" s="112" t="s">
        <v>150</v>
      </c>
    </row>
    <row r="2233" spans="1:19">
      <c r="A2233" s="79"/>
      <c r="B2233" s="77" t="s">
        <v>151</v>
      </c>
      <c r="C2233" s="76"/>
      <c r="D2233" s="143"/>
      <c r="E2233" s="77"/>
      <c r="F2233" s="76"/>
      <c r="G2233" s="112">
        <v>0</v>
      </c>
      <c r="H2233" s="120">
        <v>0</v>
      </c>
      <c r="I2233" s="120">
        <v>0</v>
      </c>
      <c r="J2233" s="120">
        <v>0</v>
      </c>
      <c r="K2233" s="110">
        <v>0</v>
      </c>
      <c r="L2233" s="110"/>
      <c r="M2233" s="110">
        <v>0</v>
      </c>
      <c r="N2233" s="110"/>
      <c r="O2233" s="110"/>
      <c r="P2233" s="110">
        <f t="shared" si="165"/>
        <v>0</v>
      </c>
      <c r="Q2233" s="110">
        <f t="shared" si="166"/>
        <v>0</v>
      </c>
      <c r="R2233" s="110">
        <f t="shared" si="167"/>
        <v>0</v>
      </c>
      <c r="S2233" s="112">
        <v>0</v>
      </c>
    </row>
    <row r="2234" spans="1:19">
      <c r="A2234" s="79"/>
      <c r="B2234" s="77" t="s">
        <v>239</v>
      </c>
      <c r="C2234" s="76" t="s">
        <v>4</v>
      </c>
      <c r="D2234" s="143">
        <v>1</v>
      </c>
      <c r="E2234" s="77"/>
      <c r="F2234" s="334"/>
      <c r="G2234" s="112">
        <v>0</v>
      </c>
      <c r="H2234" s="120">
        <v>0</v>
      </c>
      <c r="I2234" s="120">
        <v>0</v>
      </c>
      <c r="J2234" s="120">
        <v>0</v>
      </c>
      <c r="K2234" s="110">
        <v>0</v>
      </c>
      <c r="L2234" s="110"/>
      <c r="M2234" s="110">
        <v>0</v>
      </c>
      <c r="N2234" s="110"/>
      <c r="O2234" s="110"/>
      <c r="P2234" s="110">
        <f t="shared" si="165"/>
        <v>0</v>
      </c>
      <c r="Q2234" s="110">
        <f t="shared" si="166"/>
        <v>0</v>
      </c>
      <c r="R2234" s="110">
        <f t="shared" si="167"/>
        <v>0</v>
      </c>
      <c r="S2234" s="112">
        <v>0</v>
      </c>
    </row>
    <row r="2235" spans="1:19">
      <c r="A2235" s="79"/>
      <c r="B2235" s="77" t="s">
        <v>240</v>
      </c>
      <c r="C2235" s="76" t="s">
        <v>12</v>
      </c>
      <c r="D2235" s="143">
        <v>3</v>
      </c>
      <c r="E2235" s="77"/>
      <c r="F2235" s="334"/>
      <c r="G2235" s="112">
        <v>0</v>
      </c>
      <c r="H2235" s="120">
        <v>0</v>
      </c>
      <c r="I2235" s="120">
        <v>0</v>
      </c>
      <c r="J2235" s="120">
        <v>0</v>
      </c>
      <c r="K2235" s="110">
        <v>0</v>
      </c>
      <c r="L2235" s="110"/>
      <c r="M2235" s="110">
        <v>0</v>
      </c>
      <c r="N2235" s="110"/>
      <c r="O2235" s="110"/>
      <c r="P2235" s="110">
        <f t="shared" si="165"/>
        <v>0</v>
      </c>
      <c r="Q2235" s="110">
        <f t="shared" si="166"/>
        <v>0</v>
      </c>
      <c r="R2235" s="110">
        <f t="shared" si="167"/>
        <v>0</v>
      </c>
      <c r="S2235" s="112">
        <v>0</v>
      </c>
    </row>
    <row r="2236" spans="1:19">
      <c r="A2236" s="79"/>
      <c r="B2236" s="77" t="s">
        <v>29</v>
      </c>
      <c r="C2236" s="76" t="s">
        <v>4</v>
      </c>
      <c r="D2236" s="143">
        <v>1</v>
      </c>
      <c r="E2236" s="77"/>
      <c r="F2236" s="334"/>
      <c r="G2236" s="112">
        <v>0</v>
      </c>
      <c r="H2236" s="120">
        <v>0</v>
      </c>
      <c r="I2236" s="120">
        <v>0</v>
      </c>
      <c r="J2236" s="120">
        <v>0</v>
      </c>
      <c r="K2236" s="110">
        <v>0</v>
      </c>
      <c r="L2236" s="110"/>
      <c r="M2236" s="110">
        <v>0</v>
      </c>
      <c r="N2236" s="110"/>
      <c r="O2236" s="110"/>
      <c r="P2236" s="110">
        <f t="shared" si="165"/>
        <v>0</v>
      </c>
      <c r="Q2236" s="110">
        <f t="shared" si="166"/>
        <v>0</v>
      </c>
      <c r="R2236" s="110">
        <f t="shared" si="167"/>
        <v>0</v>
      </c>
      <c r="S2236" s="112">
        <v>0</v>
      </c>
    </row>
    <row r="2237" spans="1:19">
      <c r="A2237" s="79"/>
      <c r="B2237" s="77" t="s">
        <v>30</v>
      </c>
      <c r="C2237" s="76" t="s">
        <v>4</v>
      </c>
      <c r="D2237" s="143">
        <v>1</v>
      </c>
      <c r="E2237" s="77"/>
      <c r="F2237" s="334"/>
      <c r="G2237" s="112">
        <v>0</v>
      </c>
      <c r="H2237" s="120">
        <v>0</v>
      </c>
      <c r="I2237" s="120">
        <v>0</v>
      </c>
      <c r="J2237" s="120">
        <v>0</v>
      </c>
      <c r="K2237" s="110">
        <v>0</v>
      </c>
      <c r="L2237" s="110"/>
      <c r="M2237" s="110">
        <v>0</v>
      </c>
      <c r="N2237" s="110"/>
      <c r="O2237" s="110"/>
      <c r="P2237" s="110">
        <f t="shared" si="165"/>
        <v>0</v>
      </c>
      <c r="Q2237" s="110">
        <f t="shared" si="166"/>
        <v>0</v>
      </c>
      <c r="R2237" s="110">
        <f t="shared" si="167"/>
        <v>0</v>
      </c>
      <c r="S2237" s="112">
        <v>0</v>
      </c>
    </row>
    <row r="2238" spans="1:19">
      <c r="A2238" s="79"/>
      <c r="B2238" s="77" t="s">
        <v>241</v>
      </c>
      <c r="C2238" s="76" t="s">
        <v>4</v>
      </c>
      <c r="D2238" s="143">
        <v>3</v>
      </c>
      <c r="E2238" s="77"/>
      <c r="F2238" s="334"/>
      <c r="G2238" s="112">
        <v>0</v>
      </c>
      <c r="H2238" s="120">
        <v>0</v>
      </c>
      <c r="I2238" s="120">
        <v>0</v>
      </c>
      <c r="J2238" s="120">
        <v>0</v>
      </c>
      <c r="K2238" s="110">
        <v>0</v>
      </c>
      <c r="L2238" s="110"/>
      <c r="M2238" s="110">
        <v>0</v>
      </c>
      <c r="N2238" s="110"/>
      <c r="O2238" s="110"/>
      <c r="P2238" s="110">
        <f t="shared" si="165"/>
        <v>0</v>
      </c>
      <c r="Q2238" s="110">
        <f t="shared" si="166"/>
        <v>0</v>
      </c>
      <c r="R2238" s="110">
        <f t="shared" si="167"/>
        <v>0</v>
      </c>
      <c r="S2238" s="112">
        <v>0</v>
      </c>
    </row>
    <row r="2239" spans="1:19">
      <c r="A2239" s="79"/>
      <c r="B2239" s="77" t="s">
        <v>14</v>
      </c>
      <c r="C2239" s="76" t="s">
        <v>4</v>
      </c>
      <c r="D2239" s="143">
        <v>3</v>
      </c>
      <c r="E2239" s="77"/>
      <c r="F2239" s="334"/>
      <c r="G2239" s="112">
        <v>0</v>
      </c>
      <c r="H2239" s="120">
        <v>0</v>
      </c>
      <c r="I2239" s="120">
        <v>0</v>
      </c>
      <c r="J2239" s="120">
        <v>0</v>
      </c>
      <c r="K2239" s="110">
        <v>0</v>
      </c>
      <c r="L2239" s="110"/>
      <c r="M2239" s="110">
        <v>0</v>
      </c>
      <c r="N2239" s="110"/>
      <c r="O2239" s="110"/>
      <c r="P2239" s="110">
        <f t="shared" si="165"/>
        <v>0</v>
      </c>
      <c r="Q2239" s="110">
        <f t="shared" si="166"/>
        <v>0</v>
      </c>
      <c r="R2239" s="110">
        <f t="shared" si="167"/>
        <v>0</v>
      </c>
      <c r="S2239" s="112">
        <v>0</v>
      </c>
    </row>
    <row r="2240" spans="1:19">
      <c r="A2240" s="79"/>
      <c r="B2240" s="77" t="s">
        <v>154</v>
      </c>
      <c r="C2240" s="76"/>
      <c r="D2240" s="143"/>
      <c r="E2240" s="77"/>
      <c r="F2240" s="76"/>
      <c r="G2240" s="112">
        <v>0</v>
      </c>
      <c r="H2240" s="120">
        <v>0</v>
      </c>
      <c r="I2240" s="120">
        <v>0</v>
      </c>
      <c r="J2240" s="120">
        <v>0</v>
      </c>
      <c r="K2240" s="110">
        <v>0</v>
      </c>
      <c r="L2240" s="110"/>
      <c r="M2240" s="110">
        <v>0</v>
      </c>
      <c r="N2240" s="110"/>
      <c r="O2240" s="110"/>
      <c r="P2240" s="110">
        <f t="shared" si="165"/>
        <v>0</v>
      </c>
      <c r="Q2240" s="110">
        <f t="shared" si="166"/>
        <v>0</v>
      </c>
      <c r="R2240" s="110">
        <f t="shared" si="167"/>
        <v>0</v>
      </c>
      <c r="S2240" s="112">
        <v>0</v>
      </c>
    </row>
    <row r="2241" spans="1:19">
      <c r="A2241" s="79"/>
      <c r="B2241" s="77" t="s">
        <v>259</v>
      </c>
      <c r="C2241" s="76" t="s">
        <v>4</v>
      </c>
      <c r="D2241" s="143">
        <v>2</v>
      </c>
      <c r="E2241" s="77"/>
      <c r="F2241" s="334"/>
      <c r="G2241" s="112">
        <v>0</v>
      </c>
      <c r="H2241" s="120">
        <v>0</v>
      </c>
      <c r="I2241" s="120">
        <v>0</v>
      </c>
      <c r="J2241" s="120">
        <v>0</v>
      </c>
      <c r="K2241" s="110">
        <v>0</v>
      </c>
      <c r="L2241" s="110"/>
      <c r="M2241" s="110">
        <v>0</v>
      </c>
      <c r="N2241" s="110"/>
      <c r="O2241" s="110"/>
      <c r="P2241" s="110">
        <f t="shared" si="165"/>
        <v>0</v>
      </c>
      <c r="Q2241" s="110">
        <f t="shared" si="166"/>
        <v>0</v>
      </c>
      <c r="R2241" s="110">
        <f t="shared" si="167"/>
        <v>0</v>
      </c>
      <c r="S2241" s="112">
        <v>0</v>
      </c>
    </row>
    <row r="2242" spans="1:19">
      <c r="A2242" s="79"/>
      <c r="B2242" s="77" t="s">
        <v>268</v>
      </c>
      <c r="C2242" s="76" t="s">
        <v>8</v>
      </c>
      <c r="D2242" s="143">
        <v>1</v>
      </c>
      <c r="E2242" s="77"/>
      <c r="F2242" s="334"/>
      <c r="G2242" s="112">
        <v>0</v>
      </c>
      <c r="H2242" s="120">
        <v>0</v>
      </c>
      <c r="I2242" s="120">
        <v>0</v>
      </c>
      <c r="J2242" s="120">
        <v>0</v>
      </c>
      <c r="K2242" s="110">
        <v>0</v>
      </c>
      <c r="L2242" s="110"/>
      <c r="M2242" s="110">
        <v>0</v>
      </c>
      <c r="N2242" s="110"/>
      <c r="O2242" s="110"/>
      <c r="P2242" s="110">
        <f t="shared" si="165"/>
        <v>0</v>
      </c>
      <c r="Q2242" s="110">
        <f t="shared" si="166"/>
        <v>0</v>
      </c>
      <c r="R2242" s="110">
        <f t="shared" si="167"/>
        <v>0</v>
      </c>
      <c r="S2242" s="112">
        <v>0</v>
      </c>
    </row>
    <row r="2243" spans="1:19" ht="45">
      <c r="A2243" s="79"/>
      <c r="B2243" s="77" t="s">
        <v>166</v>
      </c>
      <c r="C2243" s="76" t="s">
        <v>17</v>
      </c>
      <c r="D2243" s="143">
        <v>1</v>
      </c>
      <c r="E2243" s="77"/>
      <c r="F2243" s="334"/>
      <c r="G2243" s="112">
        <v>0</v>
      </c>
      <c r="H2243" s="120">
        <v>0</v>
      </c>
      <c r="I2243" s="120">
        <v>0</v>
      </c>
      <c r="J2243" s="120">
        <v>0</v>
      </c>
      <c r="K2243" s="110">
        <v>0</v>
      </c>
      <c r="L2243" s="110"/>
      <c r="M2243" s="110">
        <v>0</v>
      </c>
      <c r="N2243" s="110"/>
      <c r="O2243" s="110"/>
      <c r="P2243" s="110">
        <f t="shared" si="165"/>
        <v>0</v>
      </c>
      <c r="Q2243" s="110">
        <f t="shared" si="166"/>
        <v>0</v>
      </c>
      <c r="R2243" s="110">
        <f t="shared" si="167"/>
        <v>0</v>
      </c>
      <c r="S2243" s="112">
        <v>0</v>
      </c>
    </row>
    <row r="2244" spans="1:19" ht="60">
      <c r="A2244" s="79">
        <v>96</v>
      </c>
      <c r="B2244" s="77" t="s">
        <v>462</v>
      </c>
      <c r="C2244" s="76" t="s">
        <v>6</v>
      </c>
      <c r="D2244" s="143">
        <v>2</v>
      </c>
      <c r="E2244" s="77"/>
      <c r="F2244" s="334">
        <v>2</v>
      </c>
      <c r="G2244" s="112" t="s">
        <v>462</v>
      </c>
      <c r="H2244" s="120" t="s">
        <v>1076</v>
      </c>
      <c r="I2244" s="120" t="s">
        <v>828</v>
      </c>
      <c r="J2244" s="120" t="s">
        <v>829</v>
      </c>
      <c r="K2244" s="110">
        <v>8333900</v>
      </c>
      <c r="L2244" s="110"/>
      <c r="M2244" s="110">
        <v>1471000</v>
      </c>
      <c r="N2244" s="110"/>
      <c r="O2244" s="110"/>
      <c r="P2244" s="110">
        <f t="shared" si="165"/>
        <v>9804900</v>
      </c>
      <c r="Q2244" s="110">
        <f t="shared" si="166"/>
        <v>19609800</v>
      </c>
      <c r="R2244" s="110">
        <f t="shared" si="167"/>
        <v>19609800</v>
      </c>
      <c r="S2244" s="112" t="s">
        <v>4094</v>
      </c>
    </row>
    <row r="2245" spans="1:19" ht="45">
      <c r="A2245" s="79"/>
      <c r="B2245" s="77" t="s">
        <v>459</v>
      </c>
      <c r="C2245" s="76" t="s">
        <v>4</v>
      </c>
      <c r="D2245" s="143">
        <v>1</v>
      </c>
      <c r="E2245" s="77"/>
      <c r="F2245" s="334"/>
      <c r="G2245" s="112">
        <v>0</v>
      </c>
      <c r="H2245" s="120">
        <v>0</v>
      </c>
      <c r="I2245" s="120">
        <v>0</v>
      </c>
      <c r="J2245" s="120">
        <v>0</v>
      </c>
      <c r="K2245" s="110">
        <v>0</v>
      </c>
      <c r="L2245" s="110"/>
      <c r="M2245" s="110">
        <v>0</v>
      </c>
      <c r="N2245" s="110"/>
      <c r="O2245" s="110"/>
      <c r="P2245" s="110">
        <f t="shared" si="165"/>
        <v>0</v>
      </c>
      <c r="Q2245" s="110">
        <f t="shared" si="166"/>
        <v>0</v>
      </c>
      <c r="R2245" s="110">
        <f t="shared" si="167"/>
        <v>0</v>
      </c>
      <c r="S2245" s="112" t="s">
        <v>150</v>
      </c>
    </row>
    <row r="2246" spans="1:19">
      <c r="A2246" s="79"/>
      <c r="B2246" s="77" t="s">
        <v>151</v>
      </c>
      <c r="C2246" s="76"/>
      <c r="D2246" s="143"/>
      <c r="E2246" s="77"/>
      <c r="F2246" s="76"/>
      <c r="G2246" s="112">
        <v>0</v>
      </c>
      <c r="H2246" s="120">
        <v>0</v>
      </c>
      <c r="I2246" s="120">
        <v>0</v>
      </c>
      <c r="J2246" s="120">
        <v>0</v>
      </c>
      <c r="K2246" s="110">
        <v>0</v>
      </c>
      <c r="L2246" s="110"/>
      <c r="M2246" s="110">
        <v>0</v>
      </c>
      <c r="N2246" s="110"/>
      <c r="O2246" s="110"/>
      <c r="P2246" s="110">
        <f t="shared" si="165"/>
        <v>0</v>
      </c>
      <c r="Q2246" s="110">
        <f t="shared" si="166"/>
        <v>0</v>
      </c>
      <c r="R2246" s="110">
        <f t="shared" si="167"/>
        <v>0</v>
      </c>
      <c r="S2246" s="112">
        <v>0</v>
      </c>
    </row>
    <row r="2247" spans="1:19">
      <c r="A2247" s="79"/>
      <c r="B2247" s="77" t="s">
        <v>183</v>
      </c>
      <c r="C2247" s="76" t="s">
        <v>4</v>
      </c>
      <c r="D2247" s="143">
        <v>1</v>
      </c>
      <c r="E2247" s="77"/>
      <c r="F2247" s="334"/>
      <c r="G2247" s="112">
        <v>0</v>
      </c>
      <c r="H2247" s="120">
        <v>0</v>
      </c>
      <c r="I2247" s="120">
        <v>0</v>
      </c>
      <c r="J2247" s="120">
        <v>0</v>
      </c>
      <c r="K2247" s="110">
        <v>0</v>
      </c>
      <c r="L2247" s="110"/>
      <c r="M2247" s="110">
        <v>0</v>
      </c>
      <c r="N2247" s="110"/>
      <c r="O2247" s="110"/>
      <c r="P2247" s="110">
        <f t="shared" si="165"/>
        <v>0</v>
      </c>
      <c r="Q2247" s="110">
        <f t="shared" si="166"/>
        <v>0</v>
      </c>
      <c r="R2247" s="110">
        <f t="shared" si="167"/>
        <v>0</v>
      </c>
      <c r="S2247" s="112">
        <v>0</v>
      </c>
    </row>
    <row r="2248" spans="1:19">
      <c r="A2248" s="79"/>
      <c r="B2248" s="77" t="s">
        <v>57</v>
      </c>
      <c r="C2248" s="76" t="s">
        <v>12</v>
      </c>
      <c r="D2248" s="143">
        <v>3</v>
      </c>
      <c r="E2248" s="77"/>
      <c r="F2248" s="334"/>
      <c r="G2248" s="112">
        <v>0</v>
      </c>
      <c r="H2248" s="120">
        <v>0</v>
      </c>
      <c r="I2248" s="120">
        <v>0</v>
      </c>
      <c r="J2248" s="120">
        <v>0</v>
      </c>
      <c r="K2248" s="110">
        <v>0</v>
      </c>
      <c r="L2248" s="110"/>
      <c r="M2248" s="110">
        <v>0</v>
      </c>
      <c r="N2248" s="110"/>
      <c r="O2248" s="110"/>
      <c r="P2248" s="110">
        <f t="shared" si="165"/>
        <v>0</v>
      </c>
      <c r="Q2248" s="110">
        <f t="shared" si="166"/>
        <v>0</v>
      </c>
      <c r="R2248" s="110">
        <f t="shared" si="167"/>
        <v>0</v>
      </c>
      <c r="S2248" s="112">
        <v>0</v>
      </c>
    </row>
    <row r="2249" spans="1:19">
      <c r="A2249" s="79"/>
      <c r="B2249" s="77" t="s">
        <v>29</v>
      </c>
      <c r="C2249" s="76" t="s">
        <v>4</v>
      </c>
      <c r="D2249" s="143">
        <v>1</v>
      </c>
      <c r="E2249" s="77"/>
      <c r="F2249" s="334"/>
      <c r="G2249" s="112">
        <v>0</v>
      </c>
      <c r="H2249" s="120">
        <v>0</v>
      </c>
      <c r="I2249" s="120">
        <v>0</v>
      </c>
      <c r="J2249" s="120">
        <v>0</v>
      </c>
      <c r="K2249" s="110">
        <v>0</v>
      </c>
      <c r="L2249" s="110"/>
      <c r="M2249" s="110">
        <v>0</v>
      </c>
      <c r="N2249" s="110"/>
      <c r="O2249" s="110"/>
      <c r="P2249" s="110">
        <f t="shared" si="165"/>
        <v>0</v>
      </c>
      <c r="Q2249" s="110">
        <f t="shared" si="166"/>
        <v>0</v>
      </c>
      <c r="R2249" s="110">
        <f t="shared" si="167"/>
        <v>0</v>
      </c>
      <c r="S2249" s="112">
        <v>0</v>
      </c>
    </row>
    <row r="2250" spans="1:19">
      <c r="A2250" s="79"/>
      <c r="B2250" s="77" t="s">
        <v>30</v>
      </c>
      <c r="C2250" s="76" t="s">
        <v>4</v>
      </c>
      <c r="D2250" s="143">
        <v>1</v>
      </c>
      <c r="E2250" s="77"/>
      <c r="F2250" s="334"/>
      <c r="G2250" s="112">
        <v>0</v>
      </c>
      <c r="H2250" s="120">
        <v>0</v>
      </c>
      <c r="I2250" s="120">
        <v>0</v>
      </c>
      <c r="J2250" s="120">
        <v>0</v>
      </c>
      <c r="K2250" s="110">
        <v>0</v>
      </c>
      <c r="L2250" s="110"/>
      <c r="M2250" s="110">
        <v>0</v>
      </c>
      <c r="N2250" s="110"/>
      <c r="O2250" s="110"/>
      <c r="P2250" s="110">
        <f t="shared" si="165"/>
        <v>0</v>
      </c>
      <c r="Q2250" s="110">
        <f t="shared" si="166"/>
        <v>0</v>
      </c>
      <c r="R2250" s="110">
        <f t="shared" si="167"/>
        <v>0</v>
      </c>
      <c r="S2250" s="112">
        <v>0</v>
      </c>
    </row>
    <row r="2251" spans="1:19">
      <c r="A2251" s="79"/>
      <c r="B2251" s="77" t="s">
        <v>184</v>
      </c>
      <c r="C2251" s="76" t="s">
        <v>4</v>
      </c>
      <c r="D2251" s="143">
        <v>3</v>
      </c>
      <c r="E2251" s="77"/>
      <c r="F2251" s="334"/>
      <c r="G2251" s="112">
        <v>0</v>
      </c>
      <c r="H2251" s="120">
        <v>0</v>
      </c>
      <c r="I2251" s="120">
        <v>0</v>
      </c>
      <c r="J2251" s="120">
        <v>0</v>
      </c>
      <c r="K2251" s="110">
        <v>0</v>
      </c>
      <c r="L2251" s="110"/>
      <c r="M2251" s="110">
        <v>0</v>
      </c>
      <c r="N2251" s="110"/>
      <c r="O2251" s="110"/>
      <c r="P2251" s="110">
        <f t="shared" si="165"/>
        <v>0</v>
      </c>
      <c r="Q2251" s="110">
        <f t="shared" si="166"/>
        <v>0</v>
      </c>
      <c r="R2251" s="110">
        <f t="shared" si="167"/>
        <v>0</v>
      </c>
      <c r="S2251" s="112">
        <v>0</v>
      </c>
    </row>
    <row r="2252" spans="1:19">
      <c r="A2252" s="79"/>
      <c r="B2252" s="77" t="s">
        <v>14</v>
      </c>
      <c r="C2252" s="76" t="s">
        <v>4</v>
      </c>
      <c r="D2252" s="143">
        <v>3</v>
      </c>
      <c r="E2252" s="77"/>
      <c r="F2252" s="334"/>
      <c r="G2252" s="112">
        <v>0</v>
      </c>
      <c r="H2252" s="120">
        <v>0</v>
      </c>
      <c r="I2252" s="120">
        <v>0</v>
      </c>
      <c r="J2252" s="120">
        <v>0</v>
      </c>
      <c r="K2252" s="110">
        <v>0</v>
      </c>
      <c r="L2252" s="110"/>
      <c r="M2252" s="110">
        <v>0</v>
      </c>
      <c r="N2252" s="110"/>
      <c r="O2252" s="110"/>
      <c r="P2252" s="110">
        <f t="shared" si="165"/>
        <v>0</v>
      </c>
      <c r="Q2252" s="110">
        <f t="shared" si="166"/>
        <v>0</v>
      </c>
      <c r="R2252" s="110">
        <f t="shared" si="167"/>
        <v>0</v>
      </c>
      <c r="S2252" s="112">
        <v>0</v>
      </c>
    </row>
    <row r="2253" spans="1:19">
      <c r="A2253" s="79"/>
      <c r="B2253" s="77" t="s">
        <v>154</v>
      </c>
      <c r="C2253" s="76"/>
      <c r="D2253" s="143"/>
      <c r="E2253" s="77"/>
      <c r="F2253" s="76"/>
      <c r="G2253" s="112">
        <v>0</v>
      </c>
      <c r="H2253" s="120">
        <v>0</v>
      </c>
      <c r="I2253" s="120">
        <v>0</v>
      </c>
      <c r="J2253" s="120">
        <v>0</v>
      </c>
      <c r="K2253" s="110">
        <v>0</v>
      </c>
      <c r="L2253" s="110"/>
      <c r="M2253" s="110">
        <v>0</v>
      </c>
      <c r="N2253" s="110"/>
      <c r="O2253" s="110"/>
      <c r="P2253" s="110">
        <f t="shared" si="165"/>
        <v>0</v>
      </c>
      <c r="Q2253" s="110">
        <f t="shared" si="166"/>
        <v>0</v>
      </c>
      <c r="R2253" s="110">
        <f t="shared" si="167"/>
        <v>0</v>
      </c>
      <c r="S2253" s="112">
        <v>0</v>
      </c>
    </row>
    <row r="2254" spans="1:19">
      <c r="A2254" s="79"/>
      <c r="B2254" s="77" t="s">
        <v>268</v>
      </c>
      <c r="C2254" s="76" t="s">
        <v>8</v>
      </c>
      <c r="D2254" s="143">
        <v>1</v>
      </c>
      <c r="E2254" s="77"/>
      <c r="F2254" s="334"/>
      <c r="G2254" s="112">
        <v>0</v>
      </c>
      <c r="H2254" s="120">
        <v>0</v>
      </c>
      <c r="I2254" s="120">
        <v>0</v>
      </c>
      <c r="J2254" s="120">
        <v>0</v>
      </c>
      <c r="K2254" s="110">
        <v>0</v>
      </c>
      <c r="L2254" s="110"/>
      <c r="M2254" s="110">
        <v>0</v>
      </c>
      <c r="N2254" s="110"/>
      <c r="O2254" s="110"/>
      <c r="P2254" s="110">
        <f t="shared" si="165"/>
        <v>0</v>
      </c>
      <c r="Q2254" s="110">
        <f t="shared" si="166"/>
        <v>0</v>
      </c>
      <c r="R2254" s="110">
        <f t="shared" si="167"/>
        <v>0</v>
      </c>
      <c r="S2254" s="112">
        <v>0</v>
      </c>
    </row>
    <row r="2255" spans="1:19" ht="45">
      <c r="A2255" s="79"/>
      <c r="B2255" s="77" t="s">
        <v>166</v>
      </c>
      <c r="C2255" s="76" t="s">
        <v>17</v>
      </c>
      <c r="D2255" s="143">
        <v>1</v>
      </c>
      <c r="E2255" s="77"/>
      <c r="F2255" s="334"/>
      <c r="G2255" s="112">
        <v>0</v>
      </c>
      <c r="H2255" s="120">
        <v>0</v>
      </c>
      <c r="I2255" s="120">
        <v>0</v>
      </c>
      <c r="J2255" s="120">
        <v>0</v>
      </c>
      <c r="K2255" s="110">
        <v>0</v>
      </c>
      <c r="L2255" s="110"/>
      <c r="M2255" s="110">
        <v>0</v>
      </c>
      <c r="N2255" s="110"/>
      <c r="O2255" s="110"/>
      <c r="P2255" s="110">
        <f t="shared" si="165"/>
        <v>0</v>
      </c>
      <c r="Q2255" s="110">
        <f t="shared" si="166"/>
        <v>0</v>
      </c>
      <c r="R2255" s="110">
        <f t="shared" si="167"/>
        <v>0</v>
      </c>
      <c r="S2255" s="112">
        <v>0</v>
      </c>
    </row>
    <row r="2256" spans="1:19" ht="60">
      <c r="A2256" s="79">
        <v>97</v>
      </c>
      <c r="B2256" s="77" t="s">
        <v>463</v>
      </c>
      <c r="C2256" s="76" t="s">
        <v>6</v>
      </c>
      <c r="D2256" s="143">
        <v>1</v>
      </c>
      <c r="E2256" s="77"/>
      <c r="F2256" s="334">
        <v>1</v>
      </c>
      <c r="G2256" s="112" t="s">
        <v>463</v>
      </c>
      <c r="H2256" s="120" t="s">
        <v>1076</v>
      </c>
      <c r="I2256" s="120" t="s">
        <v>828</v>
      </c>
      <c r="J2256" s="120" t="s">
        <v>829</v>
      </c>
      <c r="K2256" s="110">
        <v>8010700</v>
      </c>
      <c r="L2256" s="110"/>
      <c r="M2256" s="110">
        <v>1471000</v>
      </c>
      <c r="N2256" s="110"/>
      <c r="O2256" s="110"/>
      <c r="P2256" s="110">
        <f t="shared" si="165"/>
        <v>9481700</v>
      </c>
      <c r="Q2256" s="110">
        <f t="shared" si="166"/>
        <v>9481700</v>
      </c>
      <c r="R2256" s="110">
        <f t="shared" si="167"/>
        <v>9481700</v>
      </c>
      <c r="S2256" s="112" t="s">
        <v>4094</v>
      </c>
    </row>
    <row r="2257" spans="1:19" ht="45">
      <c r="A2257" s="79"/>
      <c r="B2257" s="77" t="s">
        <v>464</v>
      </c>
      <c r="C2257" s="76" t="s">
        <v>4</v>
      </c>
      <c r="D2257" s="143">
        <v>1</v>
      </c>
      <c r="E2257" s="77"/>
      <c r="F2257" s="334"/>
      <c r="G2257" s="112">
        <v>0</v>
      </c>
      <c r="H2257" s="120">
        <v>0</v>
      </c>
      <c r="I2257" s="120">
        <v>0</v>
      </c>
      <c r="J2257" s="120">
        <v>0</v>
      </c>
      <c r="K2257" s="110">
        <v>0</v>
      </c>
      <c r="L2257" s="110"/>
      <c r="M2257" s="110">
        <v>0</v>
      </c>
      <c r="N2257" s="110"/>
      <c r="O2257" s="110"/>
      <c r="P2257" s="110">
        <f t="shared" si="165"/>
        <v>0</v>
      </c>
      <c r="Q2257" s="110">
        <f t="shared" si="166"/>
        <v>0</v>
      </c>
      <c r="R2257" s="110">
        <f t="shared" si="167"/>
        <v>0</v>
      </c>
      <c r="S2257" s="112" t="s">
        <v>150</v>
      </c>
    </row>
    <row r="2258" spans="1:19">
      <c r="A2258" s="79"/>
      <c r="B2258" s="77" t="s">
        <v>151</v>
      </c>
      <c r="C2258" s="76"/>
      <c r="D2258" s="143"/>
      <c r="E2258" s="77"/>
      <c r="F2258" s="76"/>
      <c r="G2258" s="112">
        <v>0</v>
      </c>
      <c r="H2258" s="120">
        <v>0</v>
      </c>
      <c r="I2258" s="120">
        <v>0</v>
      </c>
      <c r="J2258" s="120">
        <v>0</v>
      </c>
      <c r="K2258" s="110">
        <v>0</v>
      </c>
      <c r="L2258" s="110"/>
      <c r="M2258" s="110">
        <v>0</v>
      </c>
      <c r="N2258" s="110"/>
      <c r="O2258" s="110"/>
      <c r="P2258" s="110">
        <f t="shared" si="165"/>
        <v>0</v>
      </c>
      <c r="Q2258" s="110">
        <f t="shared" si="166"/>
        <v>0</v>
      </c>
      <c r="R2258" s="110">
        <f t="shared" si="167"/>
        <v>0</v>
      </c>
      <c r="S2258" s="112">
        <v>0</v>
      </c>
    </row>
    <row r="2259" spans="1:19">
      <c r="A2259" s="79"/>
      <c r="B2259" s="77" t="s">
        <v>465</v>
      </c>
      <c r="C2259" s="76" t="s">
        <v>4</v>
      </c>
      <c r="D2259" s="143">
        <v>25</v>
      </c>
      <c r="E2259" s="77"/>
      <c r="F2259" s="334"/>
      <c r="G2259" s="112">
        <v>0</v>
      </c>
      <c r="H2259" s="120">
        <v>0</v>
      </c>
      <c r="I2259" s="120">
        <v>0</v>
      </c>
      <c r="J2259" s="120">
        <v>0</v>
      </c>
      <c r="K2259" s="110">
        <v>0</v>
      </c>
      <c r="L2259" s="110"/>
      <c r="M2259" s="110">
        <v>0</v>
      </c>
      <c r="N2259" s="110"/>
      <c r="O2259" s="110"/>
      <c r="P2259" s="110">
        <f t="shared" si="165"/>
        <v>0</v>
      </c>
      <c r="Q2259" s="110">
        <f t="shared" si="166"/>
        <v>0</v>
      </c>
      <c r="R2259" s="110">
        <f t="shared" si="167"/>
        <v>0</v>
      </c>
      <c r="S2259" s="112">
        <v>0</v>
      </c>
    </row>
    <row r="2260" spans="1:19">
      <c r="A2260" s="79"/>
      <c r="B2260" s="77" t="s">
        <v>466</v>
      </c>
      <c r="C2260" s="76" t="s">
        <v>8</v>
      </c>
      <c r="D2260" s="143">
        <v>43</v>
      </c>
      <c r="E2260" s="77"/>
      <c r="F2260" s="334"/>
      <c r="G2260" s="112">
        <v>0</v>
      </c>
      <c r="H2260" s="120">
        <v>0</v>
      </c>
      <c r="I2260" s="120">
        <v>0</v>
      </c>
      <c r="J2260" s="120">
        <v>0</v>
      </c>
      <c r="K2260" s="110">
        <v>0</v>
      </c>
      <c r="L2260" s="110"/>
      <c r="M2260" s="110">
        <v>0</v>
      </c>
      <c r="N2260" s="110"/>
      <c r="O2260" s="110"/>
      <c r="P2260" s="110">
        <f t="shared" si="165"/>
        <v>0</v>
      </c>
      <c r="Q2260" s="110">
        <f t="shared" si="166"/>
        <v>0</v>
      </c>
      <c r="R2260" s="110">
        <f t="shared" si="167"/>
        <v>0</v>
      </c>
      <c r="S2260" s="112">
        <v>0</v>
      </c>
    </row>
    <row r="2261" spans="1:19" ht="45">
      <c r="A2261" s="79"/>
      <c r="B2261" s="77" t="s">
        <v>166</v>
      </c>
      <c r="C2261" s="76" t="s">
        <v>17</v>
      </c>
      <c r="D2261" s="143">
        <v>1</v>
      </c>
      <c r="E2261" s="77"/>
      <c r="F2261" s="334"/>
      <c r="G2261" s="112">
        <v>0</v>
      </c>
      <c r="H2261" s="120">
        <v>0</v>
      </c>
      <c r="I2261" s="120">
        <v>0</v>
      </c>
      <c r="J2261" s="120">
        <v>0</v>
      </c>
      <c r="K2261" s="110">
        <v>0</v>
      </c>
      <c r="L2261" s="110"/>
      <c r="M2261" s="110">
        <v>0</v>
      </c>
      <c r="N2261" s="110"/>
      <c r="O2261" s="110"/>
      <c r="P2261" s="110">
        <f t="shared" si="165"/>
        <v>0</v>
      </c>
      <c r="Q2261" s="110">
        <f t="shared" si="166"/>
        <v>0</v>
      </c>
      <c r="R2261" s="110">
        <f t="shared" si="167"/>
        <v>0</v>
      </c>
      <c r="S2261" s="112">
        <v>0</v>
      </c>
    </row>
    <row r="2262" spans="1:19" ht="60">
      <c r="A2262" s="79">
        <v>98</v>
      </c>
      <c r="B2262" s="77" t="s">
        <v>467</v>
      </c>
      <c r="C2262" s="76" t="s">
        <v>6</v>
      </c>
      <c r="D2262" s="143">
        <v>1</v>
      </c>
      <c r="E2262" s="77"/>
      <c r="F2262" s="334">
        <v>1</v>
      </c>
      <c r="G2262" s="112" t="s">
        <v>467</v>
      </c>
      <c r="H2262" s="120" t="s">
        <v>1076</v>
      </c>
      <c r="I2262" s="120" t="s">
        <v>828</v>
      </c>
      <c r="J2262" s="120" t="s">
        <v>829</v>
      </c>
      <c r="K2262" s="110">
        <v>17423400</v>
      </c>
      <c r="L2262" s="110"/>
      <c r="M2262" s="110">
        <v>2821000</v>
      </c>
      <c r="N2262" s="110"/>
      <c r="O2262" s="110"/>
      <c r="P2262" s="110">
        <f t="shared" si="165"/>
        <v>20244400</v>
      </c>
      <c r="Q2262" s="110">
        <f t="shared" si="166"/>
        <v>20244400</v>
      </c>
      <c r="R2262" s="110">
        <f t="shared" si="167"/>
        <v>20244400</v>
      </c>
      <c r="S2262" s="112" t="s">
        <v>4094</v>
      </c>
    </row>
    <row r="2263" spans="1:19" ht="45">
      <c r="A2263" s="79"/>
      <c r="B2263" s="77" t="s">
        <v>464</v>
      </c>
      <c r="C2263" s="76" t="s">
        <v>4</v>
      </c>
      <c r="D2263" s="143">
        <v>1</v>
      </c>
      <c r="E2263" s="77"/>
      <c r="F2263" s="334"/>
      <c r="G2263" s="112">
        <v>0</v>
      </c>
      <c r="H2263" s="120">
        <v>0</v>
      </c>
      <c r="I2263" s="120">
        <v>0</v>
      </c>
      <c r="J2263" s="120">
        <v>0</v>
      </c>
      <c r="K2263" s="110">
        <v>0</v>
      </c>
      <c r="L2263" s="110"/>
      <c r="M2263" s="110">
        <v>0</v>
      </c>
      <c r="N2263" s="110"/>
      <c r="O2263" s="110"/>
      <c r="P2263" s="110">
        <f t="shared" si="165"/>
        <v>0</v>
      </c>
      <c r="Q2263" s="110">
        <f t="shared" si="166"/>
        <v>0</v>
      </c>
      <c r="R2263" s="110">
        <f t="shared" si="167"/>
        <v>0</v>
      </c>
      <c r="S2263" s="112" t="s">
        <v>150</v>
      </c>
    </row>
    <row r="2264" spans="1:19">
      <c r="A2264" s="79"/>
      <c r="B2264" s="77" t="s">
        <v>151</v>
      </c>
      <c r="C2264" s="76"/>
      <c r="D2264" s="143"/>
      <c r="E2264" s="77"/>
      <c r="F2264" s="76"/>
      <c r="G2264" s="112">
        <v>0</v>
      </c>
      <c r="H2264" s="120">
        <v>0</v>
      </c>
      <c r="I2264" s="120">
        <v>0</v>
      </c>
      <c r="J2264" s="120">
        <v>0</v>
      </c>
      <c r="K2264" s="110">
        <v>0</v>
      </c>
      <c r="L2264" s="110"/>
      <c r="M2264" s="110">
        <v>0</v>
      </c>
      <c r="N2264" s="110"/>
      <c r="O2264" s="110"/>
      <c r="P2264" s="110">
        <f t="shared" si="165"/>
        <v>0</v>
      </c>
      <c r="Q2264" s="110">
        <f t="shared" si="166"/>
        <v>0</v>
      </c>
      <c r="R2264" s="110">
        <f t="shared" si="167"/>
        <v>0</v>
      </c>
      <c r="S2264" s="112">
        <v>0</v>
      </c>
    </row>
    <row r="2265" spans="1:19">
      <c r="A2265" s="79"/>
      <c r="B2265" s="77" t="s">
        <v>465</v>
      </c>
      <c r="C2265" s="76" t="s">
        <v>4</v>
      </c>
      <c r="D2265" s="143">
        <v>99</v>
      </c>
      <c r="E2265" s="77"/>
      <c r="F2265" s="334"/>
      <c r="G2265" s="112">
        <v>0</v>
      </c>
      <c r="H2265" s="120">
        <v>0</v>
      </c>
      <c r="I2265" s="120">
        <v>0</v>
      </c>
      <c r="J2265" s="120">
        <v>0</v>
      </c>
      <c r="K2265" s="110">
        <v>0</v>
      </c>
      <c r="L2265" s="110"/>
      <c r="M2265" s="110">
        <v>0</v>
      </c>
      <c r="N2265" s="110"/>
      <c r="O2265" s="110"/>
      <c r="P2265" s="110">
        <f t="shared" si="165"/>
        <v>0</v>
      </c>
      <c r="Q2265" s="110">
        <f t="shared" si="166"/>
        <v>0</v>
      </c>
      <c r="R2265" s="110">
        <f t="shared" si="167"/>
        <v>0</v>
      </c>
      <c r="S2265" s="112">
        <v>0</v>
      </c>
    </row>
    <row r="2266" spans="1:19">
      <c r="A2266" s="79"/>
      <c r="B2266" s="77" t="s">
        <v>468</v>
      </c>
      <c r="C2266" s="76" t="s">
        <v>4</v>
      </c>
      <c r="D2266" s="143">
        <v>99</v>
      </c>
      <c r="E2266" s="77"/>
      <c r="F2266" s="334"/>
      <c r="G2266" s="112">
        <v>0</v>
      </c>
      <c r="H2266" s="120">
        <v>0</v>
      </c>
      <c r="I2266" s="120">
        <v>0</v>
      </c>
      <c r="J2266" s="120">
        <v>0</v>
      </c>
      <c r="K2266" s="110">
        <v>0</v>
      </c>
      <c r="L2266" s="110"/>
      <c r="M2266" s="110">
        <v>0</v>
      </c>
      <c r="N2266" s="110"/>
      <c r="O2266" s="110"/>
      <c r="P2266" s="110">
        <f t="shared" si="165"/>
        <v>0</v>
      </c>
      <c r="Q2266" s="110">
        <f t="shared" si="166"/>
        <v>0</v>
      </c>
      <c r="R2266" s="110">
        <f t="shared" si="167"/>
        <v>0</v>
      </c>
      <c r="S2266" s="112">
        <v>0</v>
      </c>
    </row>
    <row r="2267" spans="1:19" ht="45">
      <c r="A2267" s="79"/>
      <c r="B2267" s="77" t="s">
        <v>166</v>
      </c>
      <c r="C2267" s="76" t="s">
        <v>17</v>
      </c>
      <c r="D2267" s="143">
        <v>1</v>
      </c>
      <c r="E2267" s="77"/>
      <c r="F2267" s="334"/>
      <c r="G2267" s="112">
        <v>0</v>
      </c>
      <c r="H2267" s="120">
        <v>0</v>
      </c>
      <c r="I2267" s="120">
        <v>0</v>
      </c>
      <c r="J2267" s="120">
        <v>0</v>
      </c>
      <c r="K2267" s="110">
        <v>0</v>
      </c>
      <c r="L2267" s="110"/>
      <c r="M2267" s="110">
        <v>0</v>
      </c>
      <c r="N2267" s="110"/>
      <c r="O2267" s="110"/>
      <c r="P2267" s="110">
        <f t="shared" si="165"/>
        <v>0</v>
      </c>
      <c r="Q2267" s="110">
        <f t="shared" si="166"/>
        <v>0</v>
      </c>
      <c r="R2267" s="110">
        <f t="shared" si="167"/>
        <v>0</v>
      </c>
      <c r="S2267" s="112">
        <v>0</v>
      </c>
    </row>
    <row r="2268" spans="1:19" ht="60">
      <c r="A2268" s="79">
        <v>99</v>
      </c>
      <c r="B2268" s="77" t="s">
        <v>469</v>
      </c>
      <c r="C2268" s="76" t="s">
        <v>6</v>
      </c>
      <c r="D2268" s="143">
        <v>1</v>
      </c>
      <c r="E2268" s="77"/>
      <c r="F2268" s="334">
        <v>1</v>
      </c>
      <c r="G2268" s="112" t="s">
        <v>469</v>
      </c>
      <c r="H2268" s="120" t="s">
        <v>1076</v>
      </c>
      <c r="I2268" s="120" t="s">
        <v>828</v>
      </c>
      <c r="J2268" s="120" t="s">
        <v>829</v>
      </c>
      <c r="K2268" s="110">
        <v>12390900</v>
      </c>
      <c r="L2268" s="110"/>
      <c r="M2268" s="110">
        <v>1853800</v>
      </c>
      <c r="N2268" s="110"/>
      <c r="O2268" s="110"/>
      <c r="P2268" s="110">
        <f t="shared" si="165"/>
        <v>14244700</v>
      </c>
      <c r="Q2268" s="110">
        <f t="shared" si="166"/>
        <v>14244700</v>
      </c>
      <c r="R2268" s="110">
        <f t="shared" si="167"/>
        <v>14244700</v>
      </c>
      <c r="S2268" s="112" t="s">
        <v>4094</v>
      </c>
    </row>
    <row r="2269" spans="1:19" ht="45">
      <c r="A2269" s="79"/>
      <c r="B2269" s="77" t="s">
        <v>404</v>
      </c>
      <c r="C2269" s="76" t="s">
        <v>4</v>
      </c>
      <c r="D2269" s="143">
        <v>1</v>
      </c>
      <c r="E2269" s="77"/>
      <c r="F2269" s="334"/>
      <c r="G2269" s="112">
        <v>0</v>
      </c>
      <c r="H2269" s="120">
        <v>0</v>
      </c>
      <c r="I2269" s="120">
        <v>0</v>
      </c>
      <c r="J2269" s="120">
        <v>0</v>
      </c>
      <c r="K2269" s="110">
        <v>0</v>
      </c>
      <c r="L2269" s="110"/>
      <c r="M2269" s="110">
        <v>0</v>
      </c>
      <c r="N2269" s="110"/>
      <c r="O2269" s="110"/>
      <c r="P2269" s="110">
        <f t="shared" si="165"/>
        <v>0</v>
      </c>
      <c r="Q2269" s="110">
        <f t="shared" si="166"/>
        <v>0</v>
      </c>
      <c r="R2269" s="110">
        <f t="shared" si="167"/>
        <v>0</v>
      </c>
      <c r="S2269" s="112" t="s">
        <v>150</v>
      </c>
    </row>
    <row r="2270" spans="1:19">
      <c r="A2270" s="79"/>
      <c r="B2270" s="77" t="s">
        <v>151</v>
      </c>
      <c r="C2270" s="76"/>
      <c r="D2270" s="143"/>
      <c r="E2270" s="77"/>
      <c r="F2270" s="76"/>
      <c r="G2270" s="112">
        <v>0</v>
      </c>
      <c r="H2270" s="120">
        <v>0</v>
      </c>
      <c r="I2270" s="120">
        <v>0</v>
      </c>
      <c r="J2270" s="120">
        <v>0</v>
      </c>
      <c r="K2270" s="110">
        <v>0</v>
      </c>
      <c r="L2270" s="110"/>
      <c r="M2270" s="110">
        <v>0</v>
      </c>
      <c r="N2270" s="110"/>
      <c r="O2270" s="110"/>
      <c r="P2270" s="110">
        <f t="shared" si="165"/>
        <v>0</v>
      </c>
      <c r="Q2270" s="110">
        <f t="shared" si="166"/>
        <v>0</v>
      </c>
      <c r="R2270" s="110">
        <f t="shared" si="167"/>
        <v>0</v>
      </c>
      <c r="S2270" s="112">
        <v>0</v>
      </c>
    </row>
    <row r="2271" spans="1:19">
      <c r="A2271" s="79"/>
      <c r="B2271" s="77" t="s">
        <v>152</v>
      </c>
      <c r="C2271" s="76" t="s">
        <v>4</v>
      </c>
      <c r="D2271" s="143">
        <v>1</v>
      </c>
      <c r="E2271" s="77"/>
      <c r="F2271" s="334"/>
      <c r="G2271" s="112">
        <v>0</v>
      </c>
      <c r="H2271" s="120">
        <v>0</v>
      </c>
      <c r="I2271" s="120">
        <v>0</v>
      </c>
      <c r="J2271" s="120">
        <v>0</v>
      </c>
      <c r="K2271" s="110">
        <v>0</v>
      </c>
      <c r="L2271" s="110"/>
      <c r="M2271" s="110">
        <v>0</v>
      </c>
      <c r="N2271" s="110"/>
      <c r="O2271" s="110"/>
      <c r="P2271" s="110">
        <f t="shared" si="165"/>
        <v>0</v>
      </c>
      <c r="Q2271" s="110">
        <f t="shared" si="166"/>
        <v>0</v>
      </c>
      <c r="R2271" s="110">
        <f t="shared" si="167"/>
        <v>0</v>
      </c>
      <c r="S2271" s="112">
        <v>0</v>
      </c>
    </row>
    <row r="2272" spans="1:19">
      <c r="A2272" s="79"/>
      <c r="B2272" s="77" t="s">
        <v>14</v>
      </c>
      <c r="C2272" s="76" t="s">
        <v>4</v>
      </c>
      <c r="D2272" s="143">
        <v>3</v>
      </c>
      <c r="E2272" s="77"/>
      <c r="F2272" s="334"/>
      <c r="G2272" s="112">
        <v>0</v>
      </c>
      <c r="H2272" s="120">
        <v>0</v>
      </c>
      <c r="I2272" s="120">
        <v>0</v>
      </c>
      <c r="J2272" s="120">
        <v>0</v>
      </c>
      <c r="K2272" s="110">
        <v>0</v>
      </c>
      <c r="L2272" s="110"/>
      <c r="M2272" s="110">
        <v>0</v>
      </c>
      <c r="N2272" s="110"/>
      <c r="O2272" s="110"/>
      <c r="P2272" s="110">
        <f t="shared" si="165"/>
        <v>0</v>
      </c>
      <c r="Q2272" s="110">
        <f t="shared" si="166"/>
        <v>0</v>
      </c>
      <c r="R2272" s="110">
        <f t="shared" si="167"/>
        <v>0</v>
      </c>
      <c r="S2272" s="112">
        <v>0</v>
      </c>
    </row>
    <row r="2273" spans="1:19">
      <c r="A2273" s="79"/>
      <c r="B2273" s="77" t="s">
        <v>153</v>
      </c>
      <c r="C2273" s="76" t="s">
        <v>4</v>
      </c>
      <c r="D2273" s="143">
        <v>3</v>
      </c>
      <c r="E2273" s="77"/>
      <c r="F2273" s="334"/>
      <c r="G2273" s="112">
        <v>0</v>
      </c>
      <c r="H2273" s="120">
        <v>0</v>
      </c>
      <c r="I2273" s="120">
        <v>0</v>
      </c>
      <c r="J2273" s="120">
        <v>0</v>
      </c>
      <c r="K2273" s="110">
        <v>0</v>
      </c>
      <c r="L2273" s="110"/>
      <c r="M2273" s="110">
        <v>0</v>
      </c>
      <c r="N2273" s="110"/>
      <c r="O2273" s="110"/>
      <c r="P2273" s="110">
        <f t="shared" si="165"/>
        <v>0</v>
      </c>
      <c r="Q2273" s="110">
        <f t="shared" si="166"/>
        <v>0</v>
      </c>
      <c r="R2273" s="110">
        <f t="shared" si="167"/>
        <v>0</v>
      </c>
      <c r="S2273" s="112">
        <v>0</v>
      </c>
    </row>
    <row r="2274" spans="1:19">
      <c r="A2274" s="79"/>
      <c r="B2274" s="77" t="s">
        <v>154</v>
      </c>
      <c r="C2274" s="76"/>
      <c r="D2274" s="143"/>
      <c r="E2274" s="77"/>
      <c r="F2274" s="76"/>
      <c r="G2274" s="112">
        <v>0</v>
      </c>
      <c r="H2274" s="120">
        <v>0</v>
      </c>
      <c r="I2274" s="120">
        <v>0</v>
      </c>
      <c r="J2274" s="120">
        <v>0</v>
      </c>
      <c r="K2274" s="110">
        <v>0</v>
      </c>
      <c r="L2274" s="110"/>
      <c r="M2274" s="110">
        <v>0</v>
      </c>
      <c r="N2274" s="110"/>
      <c r="O2274" s="110"/>
      <c r="P2274" s="110">
        <f t="shared" si="165"/>
        <v>0</v>
      </c>
      <c r="Q2274" s="110">
        <f t="shared" si="166"/>
        <v>0</v>
      </c>
      <c r="R2274" s="110">
        <f t="shared" si="167"/>
        <v>0</v>
      </c>
      <c r="S2274" s="112">
        <v>0</v>
      </c>
    </row>
    <row r="2275" spans="1:19">
      <c r="A2275" s="79"/>
      <c r="B2275" s="77" t="s">
        <v>155</v>
      </c>
      <c r="C2275" s="76" t="s">
        <v>4</v>
      </c>
      <c r="D2275" s="143">
        <v>1</v>
      </c>
      <c r="E2275" s="77"/>
      <c r="F2275" s="334"/>
      <c r="G2275" s="112">
        <v>0</v>
      </c>
      <c r="H2275" s="120">
        <v>0</v>
      </c>
      <c r="I2275" s="120">
        <v>0</v>
      </c>
      <c r="J2275" s="120">
        <v>0</v>
      </c>
      <c r="K2275" s="110">
        <v>0</v>
      </c>
      <c r="L2275" s="110"/>
      <c r="M2275" s="110">
        <v>0</v>
      </c>
      <c r="N2275" s="110"/>
      <c r="O2275" s="110"/>
      <c r="P2275" s="110">
        <f t="shared" si="165"/>
        <v>0</v>
      </c>
      <c r="Q2275" s="110">
        <f t="shared" si="166"/>
        <v>0</v>
      </c>
      <c r="R2275" s="110">
        <f t="shared" si="167"/>
        <v>0</v>
      </c>
      <c r="S2275" s="112">
        <v>0</v>
      </c>
    </row>
    <row r="2276" spans="1:19">
      <c r="A2276" s="79"/>
      <c r="B2276" s="77" t="s">
        <v>214</v>
      </c>
      <c r="C2276" s="76" t="s">
        <v>4</v>
      </c>
      <c r="D2276" s="143">
        <v>2</v>
      </c>
      <c r="E2276" s="77"/>
      <c r="F2276" s="334"/>
      <c r="G2276" s="112">
        <v>0</v>
      </c>
      <c r="H2276" s="120">
        <v>0</v>
      </c>
      <c r="I2276" s="120">
        <v>0</v>
      </c>
      <c r="J2276" s="120">
        <v>0</v>
      </c>
      <c r="K2276" s="110">
        <v>0</v>
      </c>
      <c r="L2276" s="110"/>
      <c r="M2276" s="110">
        <v>0</v>
      </c>
      <c r="N2276" s="110"/>
      <c r="O2276" s="110"/>
      <c r="P2276" s="110">
        <f t="shared" si="165"/>
        <v>0</v>
      </c>
      <c r="Q2276" s="110">
        <f t="shared" si="166"/>
        <v>0</v>
      </c>
      <c r="R2276" s="110">
        <f t="shared" si="167"/>
        <v>0</v>
      </c>
      <c r="S2276" s="112">
        <v>0</v>
      </c>
    </row>
    <row r="2277" spans="1:19">
      <c r="A2277" s="79"/>
      <c r="B2277" s="77" t="s">
        <v>156</v>
      </c>
      <c r="C2277" s="76" t="s">
        <v>4</v>
      </c>
      <c r="D2277" s="143">
        <v>3</v>
      </c>
      <c r="E2277" s="77"/>
      <c r="F2277" s="334"/>
      <c r="G2277" s="112">
        <v>0</v>
      </c>
      <c r="H2277" s="120">
        <v>0</v>
      </c>
      <c r="I2277" s="120">
        <v>0</v>
      </c>
      <c r="J2277" s="120">
        <v>0</v>
      </c>
      <c r="K2277" s="110">
        <v>0</v>
      </c>
      <c r="L2277" s="110"/>
      <c r="M2277" s="110">
        <v>0</v>
      </c>
      <c r="N2277" s="110"/>
      <c r="O2277" s="110"/>
      <c r="P2277" s="110">
        <f t="shared" si="165"/>
        <v>0</v>
      </c>
      <c r="Q2277" s="110">
        <f t="shared" si="166"/>
        <v>0</v>
      </c>
      <c r="R2277" s="110">
        <f t="shared" si="167"/>
        <v>0</v>
      </c>
      <c r="S2277" s="112">
        <v>0</v>
      </c>
    </row>
    <row r="2278" spans="1:19">
      <c r="A2278" s="79"/>
      <c r="B2278" s="77" t="s">
        <v>157</v>
      </c>
      <c r="C2278" s="76" t="s">
        <v>4</v>
      </c>
      <c r="D2278" s="143">
        <v>2</v>
      </c>
      <c r="E2278" s="77"/>
      <c r="F2278" s="334"/>
      <c r="G2278" s="112">
        <v>0</v>
      </c>
      <c r="H2278" s="120">
        <v>0</v>
      </c>
      <c r="I2278" s="120">
        <v>0</v>
      </c>
      <c r="J2278" s="120">
        <v>0</v>
      </c>
      <c r="K2278" s="110">
        <v>0</v>
      </c>
      <c r="L2278" s="110"/>
      <c r="M2278" s="110">
        <v>0</v>
      </c>
      <c r="N2278" s="110"/>
      <c r="O2278" s="110"/>
      <c r="P2278" s="110">
        <f t="shared" si="165"/>
        <v>0</v>
      </c>
      <c r="Q2278" s="110">
        <f t="shared" si="166"/>
        <v>0</v>
      </c>
      <c r="R2278" s="110">
        <f t="shared" si="167"/>
        <v>0</v>
      </c>
      <c r="S2278" s="112">
        <v>0</v>
      </c>
    </row>
    <row r="2279" spans="1:19" ht="30">
      <c r="A2279" s="79"/>
      <c r="B2279" s="77" t="s">
        <v>164</v>
      </c>
      <c r="C2279" s="76" t="s">
        <v>8</v>
      </c>
      <c r="D2279" s="143">
        <v>1</v>
      </c>
      <c r="E2279" s="77"/>
      <c r="F2279" s="334"/>
      <c r="G2279" s="112">
        <v>0</v>
      </c>
      <c r="H2279" s="120">
        <v>0</v>
      </c>
      <c r="I2279" s="120">
        <v>0</v>
      </c>
      <c r="J2279" s="120">
        <v>0</v>
      </c>
      <c r="K2279" s="110">
        <v>0</v>
      </c>
      <c r="L2279" s="110"/>
      <c r="M2279" s="110">
        <v>0</v>
      </c>
      <c r="N2279" s="110"/>
      <c r="O2279" s="110"/>
      <c r="P2279" s="110">
        <f t="shared" si="165"/>
        <v>0</v>
      </c>
      <c r="Q2279" s="110">
        <f t="shared" si="166"/>
        <v>0</v>
      </c>
      <c r="R2279" s="110">
        <f t="shared" si="167"/>
        <v>0</v>
      </c>
      <c r="S2279" s="112">
        <v>0</v>
      </c>
    </row>
    <row r="2280" spans="1:19">
      <c r="A2280" s="79"/>
      <c r="B2280" s="77" t="s">
        <v>165</v>
      </c>
      <c r="C2280" s="76" t="s">
        <v>8</v>
      </c>
      <c r="D2280" s="143">
        <v>1</v>
      </c>
      <c r="E2280" s="77"/>
      <c r="F2280" s="334"/>
      <c r="G2280" s="112">
        <v>0</v>
      </c>
      <c r="H2280" s="120">
        <v>0</v>
      </c>
      <c r="I2280" s="120">
        <v>0</v>
      </c>
      <c r="J2280" s="120">
        <v>0</v>
      </c>
      <c r="K2280" s="110">
        <v>0</v>
      </c>
      <c r="L2280" s="110"/>
      <c r="M2280" s="110">
        <v>0</v>
      </c>
      <c r="N2280" s="110"/>
      <c r="O2280" s="110"/>
      <c r="P2280" s="110">
        <f t="shared" si="165"/>
        <v>0</v>
      </c>
      <c r="Q2280" s="110">
        <f t="shared" si="166"/>
        <v>0</v>
      </c>
      <c r="R2280" s="110">
        <f t="shared" si="167"/>
        <v>0</v>
      </c>
      <c r="S2280" s="112">
        <v>0</v>
      </c>
    </row>
    <row r="2281" spans="1:19" ht="45">
      <c r="A2281" s="79"/>
      <c r="B2281" s="77" t="s">
        <v>166</v>
      </c>
      <c r="C2281" s="76" t="s">
        <v>17</v>
      </c>
      <c r="D2281" s="143">
        <v>1</v>
      </c>
      <c r="E2281" s="77"/>
      <c r="F2281" s="334"/>
      <c r="G2281" s="112">
        <v>0</v>
      </c>
      <c r="H2281" s="120">
        <v>0</v>
      </c>
      <c r="I2281" s="120">
        <v>0</v>
      </c>
      <c r="J2281" s="120">
        <v>0</v>
      </c>
      <c r="K2281" s="110">
        <v>0</v>
      </c>
      <c r="L2281" s="110"/>
      <c r="M2281" s="110">
        <v>0</v>
      </c>
      <c r="N2281" s="110"/>
      <c r="O2281" s="110"/>
      <c r="P2281" s="110">
        <f t="shared" si="165"/>
        <v>0</v>
      </c>
      <c r="Q2281" s="110">
        <f t="shared" si="166"/>
        <v>0</v>
      </c>
      <c r="R2281" s="110">
        <f t="shared" si="167"/>
        <v>0</v>
      </c>
      <c r="S2281" s="112">
        <v>0</v>
      </c>
    </row>
    <row r="2282" spans="1:19" ht="60">
      <c r="A2282" s="79">
        <v>100</v>
      </c>
      <c r="B2282" s="77" t="s">
        <v>470</v>
      </c>
      <c r="C2282" s="76" t="s">
        <v>6</v>
      </c>
      <c r="D2282" s="143">
        <v>3</v>
      </c>
      <c r="E2282" s="77"/>
      <c r="F2282" s="334">
        <v>3</v>
      </c>
      <c r="G2282" s="112" t="s">
        <v>470</v>
      </c>
      <c r="H2282" s="120" t="s">
        <v>1076</v>
      </c>
      <c r="I2282" s="120" t="s">
        <v>828</v>
      </c>
      <c r="J2282" s="120" t="s">
        <v>829</v>
      </c>
      <c r="K2282" s="110">
        <v>8333900</v>
      </c>
      <c r="L2282" s="110"/>
      <c r="M2282" s="110">
        <v>1471000</v>
      </c>
      <c r="N2282" s="110"/>
      <c r="O2282" s="110"/>
      <c r="P2282" s="110">
        <f t="shared" si="165"/>
        <v>9804900</v>
      </c>
      <c r="Q2282" s="110">
        <f t="shared" si="166"/>
        <v>29414700</v>
      </c>
      <c r="R2282" s="110">
        <f t="shared" si="167"/>
        <v>29414700</v>
      </c>
      <c r="S2282" s="112" t="s">
        <v>4094</v>
      </c>
    </row>
    <row r="2283" spans="1:19" ht="45">
      <c r="A2283" s="79"/>
      <c r="B2283" s="77" t="s">
        <v>459</v>
      </c>
      <c r="C2283" s="76" t="s">
        <v>4</v>
      </c>
      <c r="D2283" s="143">
        <v>1</v>
      </c>
      <c r="E2283" s="77"/>
      <c r="F2283" s="334"/>
      <c r="G2283" s="112">
        <v>0</v>
      </c>
      <c r="H2283" s="120">
        <v>0</v>
      </c>
      <c r="I2283" s="120">
        <v>0</v>
      </c>
      <c r="J2283" s="120">
        <v>0</v>
      </c>
      <c r="K2283" s="110">
        <v>0</v>
      </c>
      <c r="L2283" s="110"/>
      <c r="M2283" s="110">
        <v>0</v>
      </c>
      <c r="N2283" s="110"/>
      <c r="O2283" s="110"/>
      <c r="P2283" s="110">
        <f t="shared" si="165"/>
        <v>0</v>
      </c>
      <c r="Q2283" s="110">
        <f t="shared" si="166"/>
        <v>0</v>
      </c>
      <c r="R2283" s="110">
        <f t="shared" si="167"/>
        <v>0</v>
      </c>
      <c r="S2283" s="112" t="s">
        <v>150</v>
      </c>
    </row>
    <row r="2284" spans="1:19">
      <c r="A2284" s="79"/>
      <c r="B2284" s="77" t="s">
        <v>151</v>
      </c>
      <c r="C2284" s="76"/>
      <c r="D2284" s="143"/>
      <c r="E2284" s="77"/>
      <c r="F2284" s="76"/>
      <c r="G2284" s="112">
        <v>0</v>
      </c>
      <c r="H2284" s="120">
        <v>0</v>
      </c>
      <c r="I2284" s="120">
        <v>0</v>
      </c>
      <c r="J2284" s="120">
        <v>0</v>
      </c>
      <c r="K2284" s="110">
        <v>0</v>
      </c>
      <c r="L2284" s="110"/>
      <c r="M2284" s="110">
        <v>0</v>
      </c>
      <c r="N2284" s="110"/>
      <c r="O2284" s="110"/>
      <c r="P2284" s="110">
        <f t="shared" si="165"/>
        <v>0</v>
      </c>
      <c r="Q2284" s="110">
        <f t="shared" si="166"/>
        <v>0</v>
      </c>
      <c r="R2284" s="110">
        <f t="shared" si="167"/>
        <v>0</v>
      </c>
      <c r="S2284" s="112">
        <v>0</v>
      </c>
    </row>
    <row r="2285" spans="1:19">
      <c r="A2285" s="79"/>
      <c r="B2285" s="77" t="s">
        <v>209</v>
      </c>
      <c r="C2285" s="76" t="s">
        <v>4</v>
      </c>
      <c r="D2285" s="143">
        <v>1</v>
      </c>
      <c r="E2285" s="77"/>
      <c r="F2285" s="334"/>
      <c r="G2285" s="112">
        <v>0</v>
      </c>
      <c r="H2285" s="120">
        <v>0</v>
      </c>
      <c r="I2285" s="120">
        <v>0</v>
      </c>
      <c r="J2285" s="120">
        <v>0</v>
      </c>
      <c r="K2285" s="110">
        <v>0</v>
      </c>
      <c r="L2285" s="110"/>
      <c r="M2285" s="110">
        <v>0</v>
      </c>
      <c r="N2285" s="110"/>
      <c r="O2285" s="110"/>
      <c r="P2285" s="110">
        <f t="shared" si="165"/>
        <v>0</v>
      </c>
      <c r="Q2285" s="110">
        <f t="shared" si="166"/>
        <v>0</v>
      </c>
      <c r="R2285" s="110">
        <f t="shared" si="167"/>
        <v>0</v>
      </c>
      <c r="S2285" s="112">
        <v>0</v>
      </c>
    </row>
    <row r="2286" spans="1:19">
      <c r="A2286" s="79"/>
      <c r="B2286" s="77" t="s">
        <v>192</v>
      </c>
      <c r="C2286" s="76" t="s">
        <v>12</v>
      </c>
      <c r="D2286" s="143">
        <v>3</v>
      </c>
      <c r="E2286" s="77"/>
      <c r="F2286" s="334"/>
      <c r="G2286" s="112">
        <v>0</v>
      </c>
      <c r="H2286" s="120">
        <v>0</v>
      </c>
      <c r="I2286" s="120">
        <v>0</v>
      </c>
      <c r="J2286" s="120">
        <v>0</v>
      </c>
      <c r="K2286" s="110">
        <v>0</v>
      </c>
      <c r="L2286" s="110"/>
      <c r="M2286" s="110">
        <v>0</v>
      </c>
      <c r="N2286" s="110"/>
      <c r="O2286" s="110"/>
      <c r="P2286" s="110">
        <f t="shared" si="165"/>
        <v>0</v>
      </c>
      <c r="Q2286" s="110">
        <f t="shared" si="166"/>
        <v>0</v>
      </c>
      <c r="R2286" s="110">
        <f t="shared" si="167"/>
        <v>0</v>
      </c>
      <c r="S2286" s="112">
        <v>0</v>
      </c>
    </row>
    <row r="2287" spans="1:19">
      <c r="A2287" s="79"/>
      <c r="B2287" s="77" t="s">
        <v>29</v>
      </c>
      <c r="C2287" s="76" t="s">
        <v>4</v>
      </c>
      <c r="D2287" s="143">
        <v>1</v>
      </c>
      <c r="E2287" s="77"/>
      <c r="F2287" s="334"/>
      <c r="G2287" s="112">
        <v>0</v>
      </c>
      <c r="H2287" s="120">
        <v>0</v>
      </c>
      <c r="I2287" s="120">
        <v>0</v>
      </c>
      <c r="J2287" s="120">
        <v>0</v>
      </c>
      <c r="K2287" s="110">
        <v>0</v>
      </c>
      <c r="L2287" s="110"/>
      <c r="M2287" s="110">
        <v>0</v>
      </c>
      <c r="N2287" s="110"/>
      <c r="O2287" s="110"/>
      <c r="P2287" s="110">
        <f t="shared" si="165"/>
        <v>0</v>
      </c>
      <c r="Q2287" s="110">
        <f t="shared" si="166"/>
        <v>0</v>
      </c>
      <c r="R2287" s="110">
        <f t="shared" si="167"/>
        <v>0</v>
      </c>
      <c r="S2287" s="112">
        <v>0</v>
      </c>
    </row>
    <row r="2288" spans="1:19">
      <c r="A2288" s="79"/>
      <c r="B2288" s="77" t="s">
        <v>30</v>
      </c>
      <c r="C2288" s="76" t="s">
        <v>4</v>
      </c>
      <c r="D2288" s="143">
        <v>1</v>
      </c>
      <c r="E2288" s="77"/>
      <c r="F2288" s="334"/>
      <c r="G2288" s="112">
        <v>0</v>
      </c>
      <c r="H2288" s="120">
        <v>0</v>
      </c>
      <c r="I2288" s="120">
        <v>0</v>
      </c>
      <c r="J2288" s="120">
        <v>0</v>
      </c>
      <c r="K2288" s="110">
        <v>0</v>
      </c>
      <c r="L2288" s="110"/>
      <c r="M2288" s="110">
        <v>0</v>
      </c>
      <c r="N2288" s="110"/>
      <c r="O2288" s="110"/>
      <c r="P2288" s="110">
        <f t="shared" si="165"/>
        <v>0</v>
      </c>
      <c r="Q2288" s="110">
        <f t="shared" si="166"/>
        <v>0</v>
      </c>
      <c r="R2288" s="110">
        <f t="shared" si="167"/>
        <v>0</v>
      </c>
      <c r="S2288" s="112">
        <v>0</v>
      </c>
    </row>
    <row r="2289" spans="1:19">
      <c r="A2289" s="79"/>
      <c r="B2289" s="77" t="s">
        <v>193</v>
      </c>
      <c r="C2289" s="76" t="s">
        <v>4</v>
      </c>
      <c r="D2289" s="143">
        <v>3</v>
      </c>
      <c r="E2289" s="77"/>
      <c r="F2289" s="334"/>
      <c r="G2289" s="112">
        <v>0</v>
      </c>
      <c r="H2289" s="120">
        <v>0</v>
      </c>
      <c r="I2289" s="120">
        <v>0</v>
      </c>
      <c r="J2289" s="120">
        <v>0</v>
      </c>
      <c r="K2289" s="110">
        <v>0</v>
      </c>
      <c r="L2289" s="110"/>
      <c r="M2289" s="110">
        <v>0</v>
      </c>
      <c r="N2289" s="110"/>
      <c r="O2289" s="110"/>
      <c r="P2289" s="110">
        <f t="shared" ref="P2289:P2318" si="168">+K2289+L2289+M2289+N2289+O2289</f>
        <v>0</v>
      </c>
      <c r="Q2289" s="110">
        <f t="shared" ref="Q2289:Q2318" si="169">+P2289*D2289</f>
        <v>0</v>
      </c>
      <c r="R2289" s="110">
        <f t="shared" ref="R2289:R2318" si="170">P2289*F2289</f>
        <v>0</v>
      </c>
      <c r="S2289" s="112">
        <v>0</v>
      </c>
    </row>
    <row r="2290" spans="1:19">
      <c r="A2290" s="79"/>
      <c r="B2290" s="77" t="s">
        <v>14</v>
      </c>
      <c r="C2290" s="76" t="s">
        <v>4</v>
      </c>
      <c r="D2290" s="143">
        <v>3</v>
      </c>
      <c r="E2290" s="77"/>
      <c r="F2290" s="334"/>
      <c r="G2290" s="112">
        <v>0</v>
      </c>
      <c r="H2290" s="120">
        <v>0</v>
      </c>
      <c r="I2290" s="120">
        <v>0</v>
      </c>
      <c r="J2290" s="120">
        <v>0</v>
      </c>
      <c r="K2290" s="110">
        <v>0</v>
      </c>
      <c r="L2290" s="110"/>
      <c r="M2290" s="110">
        <v>0</v>
      </c>
      <c r="N2290" s="110"/>
      <c r="O2290" s="110"/>
      <c r="P2290" s="110">
        <f t="shared" si="168"/>
        <v>0</v>
      </c>
      <c r="Q2290" s="110">
        <f t="shared" si="169"/>
        <v>0</v>
      </c>
      <c r="R2290" s="110">
        <f t="shared" si="170"/>
        <v>0</v>
      </c>
      <c r="S2290" s="112">
        <v>0</v>
      </c>
    </row>
    <row r="2291" spans="1:19">
      <c r="A2291" s="79"/>
      <c r="B2291" s="77" t="s">
        <v>154</v>
      </c>
      <c r="C2291" s="76"/>
      <c r="D2291" s="143"/>
      <c r="E2291" s="77"/>
      <c r="F2291" s="76"/>
      <c r="G2291" s="112">
        <v>0</v>
      </c>
      <c r="H2291" s="120">
        <v>0</v>
      </c>
      <c r="I2291" s="120">
        <v>0</v>
      </c>
      <c r="J2291" s="120">
        <v>0</v>
      </c>
      <c r="K2291" s="110">
        <v>0</v>
      </c>
      <c r="L2291" s="110"/>
      <c r="M2291" s="110">
        <v>0</v>
      </c>
      <c r="N2291" s="110"/>
      <c r="O2291" s="110"/>
      <c r="P2291" s="110">
        <f t="shared" si="168"/>
        <v>0</v>
      </c>
      <c r="Q2291" s="110">
        <f t="shared" si="169"/>
        <v>0</v>
      </c>
      <c r="R2291" s="110">
        <f t="shared" si="170"/>
        <v>0</v>
      </c>
      <c r="S2291" s="112">
        <v>0</v>
      </c>
    </row>
    <row r="2292" spans="1:19">
      <c r="A2292" s="79"/>
      <c r="B2292" s="77" t="s">
        <v>268</v>
      </c>
      <c r="C2292" s="76" t="s">
        <v>8</v>
      </c>
      <c r="D2292" s="143">
        <v>1</v>
      </c>
      <c r="E2292" s="77"/>
      <c r="F2292" s="334"/>
      <c r="G2292" s="112">
        <v>0</v>
      </c>
      <c r="H2292" s="120">
        <v>0</v>
      </c>
      <c r="I2292" s="120">
        <v>0</v>
      </c>
      <c r="J2292" s="120">
        <v>0</v>
      </c>
      <c r="K2292" s="110">
        <v>0</v>
      </c>
      <c r="L2292" s="110"/>
      <c r="M2292" s="110">
        <v>0</v>
      </c>
      <c r="N2292" s="110"/>
      <c r="O2292" s="110"/>
      <c r="P2292" s="110">
        <f t="shared" si="168"/>
        <v>0</v>
      </c>
      <c r="Q2292" s="110">
        <f t="shared" si="169"/>
        <v>0</v>
      </c>
      <c r="R2292" s="110">
        <f t="shared" si="170"/>
        <v>0</v>
      </c>
      <c r="S2292" s="112">
        <v>0</v>
      </c>
    </row>
    <row r="2293" spans="1:19" ht="45">
      <c r="A2293" s="79"/>
      <c r="B2293" s="77" t="s">
        <v>166</v>
      </c>
      <c r="C2293" s="76" t="s">
        <v>17</v>
      </c>
      <c r="D2293" s="143">
        <v>1</v>
      </c>
      <c r="E2293" s="77"/>
      <c r="F2293" s="334"/>
      <c r="G2293" s="112">
        <v>0</v>
      </c>
      <c r="H2293" s="120">
        <v>0</v>
      </c>
      <c r="I2293" s="120">
        <v>0</v>
      </c>
      <c r="J2293" s="120">
        <v>0</v>
      </c>
      <c r="K2293" s="110">
        <v>0</v>
      </c>
      <c r="L2293" s="110"/>
      <c r="M2293" s="110">
        <v>0</v>
      </c>
      <c r="N2293" s="110"/>
      <c r="O2293" s="110"/>
      <c r="P2293" s="110">
        <f t="shared" si="168"/>
        <v>0</v>
      </c>
      <c r="Q2293" s="110">
        <f t="shared" si="169"/>
        <v>0</v>
      </c>
      <c r="R2293" s="110">
        <f t="shared" si="170"/>
        <v>0</v>
      </c>
      <c r="S2293" s="112">
        <v>0</v>
      </c>
    </row>
    <row r="2294" spans="1:19" ht="60">
      <c r="A2294" s="79">
        <v>101</v>
      </c>
      <c r="B2294" s="77" t="s">
        <v>471</v>
      </c>
      <c r="C2294" s="76" t="s">
        <v>6</v>
      </c>
      <c r="D2294" s="143">
        <v>1</v>
      </c>
      <c r="E2294" s="77"/>
      <c r="F2294" s="334">
        <v>1</v>
      </c>
      <c r="G2294" s="112" t="s">
        <v>471</v>
      </c>
      <c r="H2294" s="120" t="s">
        <v>1076</v>
      </c>
      <c r="I2294" s="120" t="s">
        <v>828</v>
      </c>
      <c r="J2294" s="120" t="s">
        <v>829</v>
      </c>
      <c r="K2294" s="110">
        <v>19335600</v>
      </c>
      <c r="L2294" s="110"/>
      <c r="M2294" s="110">
        <v>2821000</v>
      </c>
      <c r="N2294" s="110"/>
      <c r="O2294" s="110"/>
      <c r="P2294" s="110">
        <f t="shared" si="168"/>
        <v>22156600</v>
      </c>
      <c r="Q2294" s="110">
        <f t="shared" si="169"/>
        <v>22156600</v>
      </c>
      <c r="R2294" s="110">
        <f t="shared" si="170"/>
        <v>22156600</v>
      </c>
      <c r="S2294" s="112" t="s">
        <v>4094</v>
      </c>
    </row>
    <row r="2295" spans="1:19" ht="45">
      <c r="A2295" s="79"/>
      <c r="B2295" s="77" t="s">
        <v>182</v>
      </c>
      <c r="C2295" s="76" t="s">
        <v>4</v>
      </c>
      <c r="D2295" s="143">
        <v>1</v>
      </c>
      <c r="E2295" s="77"/>
      <c r="F2295" s="334"/>
      <c r="G2295" s="112">
        <v>0</v>
      </c>
      <c r="H2295" s="120">
        <v>0</v>
      </c>
      <c r="I2295" s="120">
        <v>0</v>
      </c>
      <c r="J2295" s="120">
        <v>0</v>
      </c>
      <c r="K2295" s="110">
        <v>0</v>
      </c>
      <c r="L2295" s="110"/>
      <c r="M2295" s="110">
        <v>0</v>
      </c>
      <c r="N2295" s="110"/>
      <c r="O2295" s="110"/>
      <c r="P2295" s="110">
        <f t="shared" si="168"/>
        <v>0</v>
      </c>
      <c r="Q2295" s="110">
        <f t="shared" si="169"/>
        <v>0</v>
      </c>
      <c r="R2295" s="110">
        <f t="shared" si="170"/>
        <v>0</v>
      </c>
      <c r="S2295" s="112" t="s">
        <v>150</v>
      </c>
    </row>
    <row r="2296" spans="1:19">
      <c r="A2296" s="79"/>
      <c r="B2296" s="77" t="s">
        <v>151</v>
      </c>
      <c r="C2296" s="76"/>
      <c r="D2296" s="143"/>
      <c r="E2296" s="77"/>
      <c r="F2296" s="76"/>
      <c r="G2296" s="112">
        <v>0</v>
      </c>
      <c r="H2296" s="120">
        <v>0</v>
      </c>
      <c r="I2296" s="120">
        <v>0</v>
      </c>
      <c r="J2296" s="120">
        <v>0</v>
      </c>
      <c r="K2296" s="110">
        <v>0</v>
      </c>
      <c r="L2296" s="110"/>
      <c r="M2296" s="110">
        <v>0</v>
      </c>
      <c r="N2296" s="110"/>
      <c r="O2296" s="110"/>
      <c r="P2296" s="110">
        <f t="shared" si="168"/>
        <v>0</v>
      </c>
      <c r="Q2296" s="110">
        <f t="shared" si="169"/>
        <v>0</v>
      </c>
      <c r="R2296" s="110">
        <f t="shared" si="170"/>
        <v>0</v>
      </c>
      <c r="S2296" s="112">
        <v>0</v>
      </c>
    </row>
    <row r="2297" spans="1:19">
      <c r="A2297" s="79"/>
      <c r="B2297" s="77" t="s">
        <v>472</v>
      </c>
      <c r="C2297" s="76" t="s">
        <v>4</v>
      </c>
      <c r="D2297" s="143">
        <v>1</v>
      </c>
      <c r="E2297" s="77"/>
      <c r="F2297" s="334"/>
      <c r="G2297" s="112">
        <v>0</v>
      </c>
      <c r="H2297" s="120">
        <v>0</v>
      </c>
      <c r="I2297" s="120">
        <v>0</v>
      </c>
      <c r="J2297" s="120">
        <v>0</v>
      </c>
      <c r="K2297" s="110">
        <v>0</v>
      </c>
      <c r="L2297" s="110"/>
      <c r="M2297" s="110">
        <v>0</v>
      </c>
      <c r="N2297" s="110"/>
      <c r="O2297" s="110"/>
      <c r="P2297" s="110">
        <f t="shared" si="168"/>
        <v>0</v>
      </c>
      <c r="Q2297" s="110">
        <f t="shared" si="169"/>
        <v>0</v>
      </c>
      <c r="R2297" s="110">
        <f t="shared" si="170"/>
        <v>0</v>
      </c>
      <c r="S2297" s="112">
        <v>0</v>
      </c>
    </row>
    <row r="2298" spans="1:19">
      <c r="A2298" s="79"/>
      <c r="B2298" s="77" t="s">
        <v>192</v>
      </c>
      <c r="C2298" s="76" t="s">
        <v>12</v>
      </c>
      <c r="D2298" s="143">
        <v>3</v>
      </c>
      <c r="E2298" s="77"/>
      <c r="F2298" s="334"/>
      <c r="G2298" s="112">
        <v>0</v>
      </c>
      <c r="H2298" s="120">
        <v>0</v>
      </c>
      <c r="I2298" s="120">
        <v>0</v>
      </c>
      <c r="J2298" s="120">
        <v>0</v>
      </c>
      <c r="K2298" s="110">
        <v>0</v>
      </c>
      <c r="L2298" s="110"/>
      <c r="M2298" s="110">
        <v>0</v>
      </c>
      <c r="N2298" s="110"/>
      <c r="O2298" s="110"/>
      <c r="P2298" s="110">
        <f t="shared" si="168"/>
        <v>0</v>
      </c>
      <c r="Q2298" s="110">
        <f t="shared" si="169"/>
        <v>0</v>
      </c>
      <c r="R2298" s="110">
        <f t="shared" si="170"/>
        <v>0</v>
      </c>
      <c r="S2298" s="112">
        <v>0</v>
      </c>
    </row>
    <row r="2299" spans="1:19">
      <c r="A2299" s="79"/>
      <c r="B2299" s="77" t="s">
        <v>29</v>
      </c>
      <c r="C2299" s="76" t="s">
        <v>4</v>
      </c>
      <c r="D2299" s="143">
        <v>1</v>
      </c>
      <c r="E2299" s="77"/>
      <c r="F2299" s="334"/>
      <c r="G2299" s="112">
        <v>0</v>
      </c>
      <c r="H2299" s="120">
        <v>0</v>
      </c>
      <c r="I2299" s="120">
        <v>0</v>
      </c>
      <c r="J2299" s="120">
        <v>0</v>
      </c>
      <c r="K2299" s="110">
        <v>0</v>
      </c>
      <c r="L2299" s="110"/>
      <c r="M2299" s="110">
        <v>0</v>
      </c>
      <c r="N2299" s="110"/>
      <c r="O2299" s="110"/>
      <c r="P2299" s="110">
        <f t="shared" si="168"/>
        <v>0</v>
      </c>
      <c r="Q2299" s="110">
        <f t="shared" si="169"/>
        <v>0</v>
      </c>
      <c r="R2299" s="110">
        <f t="shared" si="170"/>
        <v>0</v>
      </c>
      <c r="S2299" s="112">
        <v>0</v>
      </c>
    </row>
    <row r="2300" spans="1:19">
      <c r="A2300" s="79"/>
      <c r="B2300" s="77" t="s">
        <v>30</v>
      </c>
      <c r="C2300" s="76" t="s">
        <v>4</v>
      </c>
      <c r="D2300" s="143">
        <v>1</v>
      </c>
      <c r="E2300" s="77"/>
      <c r="F2300" s="334"/>
      <c r="G2300" s="112">
        <v>0</v>
      </c>
      <c r="H2300" s="120">
        <v>0</v>
      </c>
      <c r="I2300" s="120">
        <v>0</v>
      </c>
      <c r="J2300" s="120">
        <v>0</v>
      </c>
      <c r="K2300" s="110">
        <v>0</v>
      </c>
      <c r="L2300" s="110"/>
      <c r="M2300" s="110">
        <v>0</v>
      </c>
      <c r="N2300" s="110"/>
      <c r="O2300" s="110"/>
      <c r="P2300" s="110">
        <f t="shared" si="168"/>
        <v>0</v>
      </c>
      <c r="Q2300" s="110">
        <f t="shared" si="169"/>
        <v>0</v>
      </c>
      <c r="R2300" s="110">
        <f t="shared" si="170"/>
        <v>0</v>
      </c>
      <c r="S2300" s="112">
        <v>0</v>
      </c>
    </row>
    <row r="2301" spans="1:19">
      <c r="A2301" s="79"/>
      <c r="B2301" s="77" t="s">
        <v>193</v>
      </c>
      <c r="C2301" s="76" t="s">
        <v>4</v>
      </c>
      <c r="D2301" s="143">
        <v>3</v>
      </c>
      <c r="E2301" s="77"/>
      <c r="F2301" s="334"/>
      <c r="G2301" s="112">
        <v>0</v>
      </c>
      <c r="H2301" s="120">
        <v>0</v>
      </c>
      <c r="I2301" s="120">
        <v>0</v>
      </c>
      <c r="J2301" s="120">
        <v>0</v>
      </c>
      <c r="K2301" s="110">
        <v>0</v>
      </c>
      <c r="L2301" s="110"/>
      <c r="M2301" s="110">
        <v>0</v>
      </c>
      <c r="N2301" s="110"/>
      <c r="O2301" s="110"/>
      <c r="P2301" s="110">
        <f t="shared" si="168"/>
        <v>0</v>
      </c>
      <c r="Q2301" s="110">
        <f t="shared" si="169"/>
        <v>0</v>
      </c>
      <c r="R2301" s="110">
        <f t="shared" si="170"/>
        <v>0</v>
      </c>
      <c r="S2301" s="112">
        <v>0</v>
      </c>
    </row>
    <row r="2302" spans="1:19">
      <c r="A2302" s="79"/>
      <c r="B2302" s="77" t="s">
        <v>14</v>
      </c>
      <c r="C2302" s="76" t="s">
        <v>4</v>
      </c>
      <c r="D2302" s="143">
        <v>3</v>
      </c>
      <c r="E2302" s="77"/>
      <c r="F2302" s="334"/>
      <c r="G2302" s="112">
        <v>0</v>
      </c>
      <c r="H2302" s="120">
        <v>0</v>
      </c>
      <c r="I2302" s="120">
        <v>0</v>
      </c>
      <c r="J2302" s="120">
        <v>0</v>
      </c>
      <c r="K2302" s="110">
        <v>0</v>
      </c>
      <c r="L2302" s="110"/>
      <c r="M2302" s="110">
        <v>0</v>
      </c>
      <c r="N2302" s="110"/>
      <c r="O2302" s="110"/>
      <c r="P2302" s="110">
        <f t="shared" si="168"/>
        <v>0</v>
      </c>
      <c r="Q2302" s="110">
        <f t="shared" si="169"/>
        <v>0</v>
      </c>
      <c r="R2302" s="110">
        <f t="shared" si="170"/>
        <v>0</v>
      </c>
      <c r="S2302" s="112">
        <v>0</v>
      </c>
    </row>
    <row r="2303" spans="1:19">
      <c r="A2303" s="79"/>
      <c r="B2303" s="77" t="s">
        <v>153</v>
      </c>
      <c r="C2303" s="76" t="s">
        <v>4</v>
      </c>
      <c r="D2303" s="143">
        <v>3</v>
      </c>
      <c r="E2303" s="77"/>
      <c r="F2303" s="334"/>
      <c r="G2303" s="112">
        <v>0</v>
      </c>
      <c r="H2303" s="120">
        <v>0</v>
      </c>
      <c r="I2303" s="120">
        <v>0</v>
      </c>
      <c r="J2303" s="120">
        <v>0</v>
      </c>
      <c r="K2303" s="110">
        <v>0</v>
      </c>
      <c r="L2303" s="110"/>
      <c r="M2303" s="110">
        <v>0</v>
      </c>
      <c r="N2303" s="110"/>
      <c r="O2303" s="110"/>
      <c r="P2303" s="110">
        <f t="shared" si="168"/>
        <v>0</v>
      </c>
      <c r="Q2303" s="110">
        <f t="shared" si="169"/>
        <v>0</v>
      </c>
      <c r="R2303" s="110">
        <f t="shared" si="170"/>
        <v>0</v>
      </c>
      <c r="S2303" s="112">
        <v>0</v>
      </c>
    </row>
    <row r="2304" spans="1:19">
      <c r="A2304" s="79"/>
      <c r="B2304" s="77" t="s">
        <v>154</v>
      </c>
      <c r="C2304" s="76"/>
      <c r="D2304" s="143"/>
      <c r="E2304" s="77"/>
      <c r="F2304" s="76"/>
      <c r="G2304" s="112">
        <v>0</v>
      </c>
      <c r="H2304" s="120">
        <v>0</v>
      </c>
      <c r="I2304" s="120">
        <v>0</v>
      </c>
      <c r="J2304" s="120">
        <v>0</v>
      </c>
      <c r="K2304" s="110">
        <v>0</v>
      </c>
      <c r="L2304" s="110"/>
      <c r="M2304" s="110">
        <v>0</v>
      </c>
      <c r="N2304" s="110"/>
      <c r="O2304" s="110"/>
      <c r="P2304" s="110">
        <f t="shared" si="168"/>
        <v>0</v>
      </c>
      <c r="Q2304" s="110">
        <f t="shared" si="169"/>
        <v>0</v>
      </c>
      <c r="R2304" s="110">
        <f t="shared" si="170"/>
        <v>0</v>
      </c>
      <c r="S2304" s="112">
        <v>0</v>
      </c>
    </row>
    <row r="2305" spans="1:19">
      <c r="A2305" s="79"/>
      <c r="B2305" s="77" t="s">
        <v>251</v>
      </c>
      <c r="C2305" s="76" t="s">
        <v>4</v>
      </c>
      <c r="D2305" s="143">
        <v>2</v>
      </c>
      <c r="E2305" s="77"/>
      <c r="F2305" s="334"/>
      <c r="G2305" s="112">
        <v>0</v>
      </c>
      <c r="H2305" s="120">
        <v>0</v>
      </c>
      <c r="I2305" s="120">
        <v>0</v>
      </c>
      <c r="J2305" s="120">
        <v>0</v>
      </c>
      <c r="K2305" s="110">
        <v>0</v>
      </c>
      <c r="L2305" s="110"/>
      <c r="M2305" s="110">
        <v>0</v>
      </c>
      <c r="N2305" s="110"/>
      <c r="O2305" s="110"/>
      <c r="P2305" s="110">
        <f t="shared" si="168"/>
        <v>0</v>
      </c>
      <c r="Q2305" s="110">
        <f t="shared" si="169"/>
        <v>0</v>
      </c>
      <c r="R2305" s="110">
        <f t="shared" si="170"/>
        <v>0</v>
      </c>
      <c r="S2305" s="112">
        <v>0</v>
      </c>
    </row>
    <row r="2306" spans="1:19">
      <c r="A2306" s="79"/>
      <c r="B2306" s="77" t="s">
        <v>158</v>
      </c>
      <c r="C2306" s="76" t="s">
        <v>4</v>
      </c>
      <c r="D2306" s="143">
        <v>1</v>
      </c>
      <c r="E2306" s="77"/>
      <c r="F2306" s="334"/>
      <c r="G2306" s="112">
        <v>0</v>
      </c>
      <c r="H2306" s="120">
        <v>0</v>
      </c>
      <c r="I2306" s="120">
        <v>0</v>
      </c>
      <c r="J2306" s="120">
        <v>0</v>
      </c>
      <c r="K2306" s="110">
        <v>0</v>
      </c>
      <c r="L2306" s="110"/>
      <c r="M2306" s="110">
        <v>0</v>
      </c>
      <c r="N2306" s="110"/>
      <c r="O2306" s="110"/>
      <c r="P2306" s="110">
        <f t="shared" si="168"/>
        <v>0</v>
      </c>
      <c r="Q2306" s="110">
        <f t="shared" si="169"/>
        <v>0</v>
      </c>
      <c r="R2306" s="110">
        <f t="shared" si="170"/>
        <v>0</v>
      </c>
      <c r="S2306" s="112">
        <v>0</v>
      </c>
    </row>
    <row r="2307" spans="1:19">
      <c r="A2307" s="79"/>
      <c r="B2307" s="77" t="s">
        <v>473</v>
      </c>
      <c r="C2307" s="76" t="s">
        <v>8</v>
      </c>
      <c r="D2307" s="143">
        <v>2</v>
      </c>
      <c r="E2307" s="77"/>
      <c r="F2307" s="334"/>
      <c r="G2307" s="112">
        <v>0</v>
      </c>
      <c r="H2307" s="120">
        <v>0</v>
      </c>
      <c r="I2307" s="120">
        <v>0</v>
      </c>
      <c r="J2307" s="120">
        <v>0</v>
      </c>
      <c r="K2307" s="110">
        <v>0</v>
      </c>
      <c r="L2307" s="110"/>
      <c r="M2307" s="110">
        <v>0</v>
      </c>
      <c r="N2307" s="110"/>
      <c r="O2307" s="110"/>
      <c r="P2307" s="110">
        <f t="shared" si="168"/>
        <v>0</v>
      </c>
      <c r="Q2307" s="110">
        <f t="shared" si="169"/>
        <v>0</v>
      </c>
      <c r="R2307" s="110">
        <f t="shared" si="170"/>
        <v>0</v>
      </c>
      <c r="S2307" s="112">
        <v>0</v>
      </c>
    </row>
    <row r="2308" spans="1:19">
      <c r="A2308" s="79"/>
      <c r="B2308" s="77" t="s">
        <v>172</v>
      </c>
      <c r="C2308" s="76" t="s">
        <v>4</v>
      </c>
      <c r="D2308" s="143">
        <v>2</v>
      </c>
      <c r="E2308" s="77"/>
      <c r="F2308" s="334"/>
      <c r="G2308" s="112">
        <v>0</v>
      </c>
      <c r="H2308" s="120">
        <v>0</v>
      </c>
      <c r="I2308" s="120">
        <v>0</v>
      </c>
      <c r="J2308" s="120">
        <v>0</v>
      </c>
      <c r="K2308" s="110">
        <v>0</v>
      </c>
      <c r="L2308" s="110"/>
      <c r="M2308" s="110">
        <v>0</v>
      </c>
      <c r="N2308" s="110"/>
      <c r="O2308" s="110"/>
      <c r="P2308" s="110">
        <f t="shared" si="168"/>
        <v>0</v>
      </c>
      <c r="Q2308" s="110">
        <f t="shared" si="169"/>
        <v>0</v>
      </c>
      <c r="R2308" s="110">
        <f t="shared" si="170"/>
        <v>0</v>
      </c>
      <c r="S2308" s="112">
        <v>0</v>
      </c>
    </row>
    <row r="2309" spans="1:19">
      <c r="A2309" s="79"/>
      <c r="B2309" s="77" t="s">
        <v>173</v>
      </c>
      <c r="C2309" s="76" t="s">
        <v>4</v>
      </c>
      <c r="D2309" s="143">
        <v>2</v>
      </c>
      <c r="E2309" s="77"/>
      <c r="F2309" s="334"/>
      <c r="G2309" s="112">
        <v>0</v>
      </c>
      <c r="H2309" s="120">
        <v>0</v>
      </c>
      <c r="I2309" s="120">
        <v>0</v>
      </c>
      <c r="J2309" s="120">
        <v>0</v>
      </c>
      <c r="K2309" s="110">
        <v>0</v>
      </c>
      <c r="L2309" s="110"/>
      <c r="M2309" s="110">
        <v>0</v>
      </c>
      <c r="N2309" s="110"/>
      <c r="O2309" s="110"/>
      <c r="P2309" s="110">
        <f t="shared" si="168"/>
        <v>0</v>
      </c>
      <c r="Q2309" s="110">
        <f t="shared" si="169"/>
        <v>0</v>
      </c>
      <c r="R2309" s="110">
        <f t="shared" si="170"/>
        <v>0</v>
      </c>
      <c r="S2309" s="112">
        <v>0</v>
      </c>
    </row>
    <row r="2310" spans="1:19">
      <c r="A2310" s="79"/>
      <c r="B2310" s="77" t="s">
        <v>253</v>
      </c>
      <c r="C2310" s="76" t="s">
        <v>4</v>
      </c>
      <c r="D2310" s="143">
        <v>2</v>
      </c>
      <c r="E2310" s="77"/>
      <c r="F2310" s="334"/>
      <c r="G2310" s="112">
        <v>0</v>
      </c>
      <c r="H2310" s="120">
        <v>0</v>
      </c>
      <c r="I2310" s="120">
        <v>0</v>
      </c>
      <c r="J2310" s="120">
        <v>0</v>
      </c>
      <c r="K2310" s="110">
        <v>0</v>
      </c>
      <c r="L2310" s="110"/>
      <c r="M2310" s="110">
        <v>0</v>
      </c>
      <c r="N2310" s="110"/>
      <c r="O2310" s="110"/>
      <c r="P2310" s="110">
        <f t="shared" si="168"/>
        <v>0</v>
      </c>
      <c r="Q2310" s="110">
        <f t="shared" si="169"/>
        <v>0</v>
      </c>
      <c r="R2310" s="110">
        <f t="shared" si="170"/>
        <v>0</v>
      </c>
      <c r="S2310" s="112">
        <v>0</v>
      </c>
    </row>
    <row r="2311" spans="1:19">
      <c r="A2311" s="79"/>
      <c r="B2311" s="77" t="s">
        <v>175</v>
      </c>
      <c r="C2311" s="76" t="s">
        <v>4</v>
      </c>
      <c r="D2311" s="143">
        <v>2</v>
      </c>
      <c r="E2311" s="77"/>
      <c r="F2311" s="334"/>
      <c r="G2311" s="112">
        <v>0</v>
      </c>
      <c r="H2311" s="120">
        <v>0</v>
      </c>
      <c r="I2311" s="120">
        <v>0</v>
      </c>
      <c r="J2311" s="120">
        <v>0</v>
      </c>
      <c r="K2311" s="110">
        <v>0</v>
      </c>
      <c r="L2311" s="110"/>
      <c r="M2311" s="110">
        <v>0</v>
      </c>
      <c r="N2311" s="110"/>
      <c r="O2311" s="110"/>
      <c r="P2311" s="110">
        <f t="shared" si="168"/>
        <v>0</v>
      </c>
      <c r="Q2311" s="110">
        <f t="shared" si="169"/>
        <v>0</v>
      </c>
      <c r="R2311" s="110">
        <f t="shared" si="170"/>
        <v>0</v>
      </c>
      <c r="S2311" s="112">
        <v>0</v>
      </c>
    </row>
    <row r="2312" spans="1:19">
      <c r="A2312" s="79"/>
      <c r="B2312" s="77" t="s">
        <v>176</v>
      </c>
      <c r="C2312" s="76" t="s">
        <v>4</v>
      </c>
      <c r="D2312" s="143">
        <v>4</v>
      </c>
      <c r="E2312" s="77"/>
      <c r="F2312" s="334"/>
      <c r="G2312" s="112">
        <v>0</v>
      </c>
      <c r="H2312" s="120">
        <v>0</v>
      </c>
      <c r="I2312" s="120">
        <v>0</v>
      </c>
      <c r="J2312" s="120">
        <v>0</v>
      </c>
      <c r="K2312" s="110">
        <v>0</v>
      </c>
      <c r="L2312" s="110"/>
      <c r="M2312" s="110">
        <v>0</v>
      </c>
      <c r="N2312" s="110"/>
      <c r="O2312" s="110"/>
      <c r="P2312" s="110">
        <f t="shared" si="168"/>
        <v>0</v>
      </c>
      <c r="Q2312" s="110">
        <f t="shared" si="169"/>
        <v>0</v>
      </c>
      <c r="R2312" s="110">
        <f t="shared" si="170"/>
        <v>0</v>
      </c>
      <c r="S2312" s="112">
        <v>0</v>
      </c>
    </row>
    <row r="2313" spans="1:19">
      <c r="A2313" s="79"/>
      <c r="B2313" s="77" t="s">
        <v>177</v>
      </c>
      <c r="C2313" s="76" t="s">
        <v>17</v>
      </c>
      <c r="D2313" s="143">
        <v>1</v>
      </c>
      <c r="E2313" s="77"/>
      <c r="F2313" s="334"/>
      <c r="G2313" s="112">
        <v>0</v>
      </c>
      <c r="H2313" s="120">
        <v>0</v>
      </c>
      <c r="I2313" s="120">
        <v>0</v>
      </c>
      <c r="J2313" s="120">
        <v>0</v>
      </c>
      <c r="K2313" s="110">
        <v>0</v>
      </c>
      <c r="L2313" s="110"/>
      <c r="M2313" s="110">
        <v>0</v>
      </c>
      <c r="N2313" s="110"/>
      <c r="O2313" s="110"/>
      <c r="P2313" s="110">
        <f t="shared" si="168"/>
        <v>0</v>
      </c>
      <c r="Q2313" s="110">
        <f t="shared" si="169"/>
        <v>0</v>
      </c>
      <c r="R2313" s="110">
        <f t="shared" si="170"/>
        <v>0</v>
      </c>
      <c r="S2313" s="112">
        <v>0</v>
      </c>
    </row>
    <row r="2314" spans="1:19">
      <c r="A2314" s="79"/>
      <c r="B2314" s="77" t="s">
        <v>254</v>
      </c>
      <c r="C2314" s="76" t="s">
        <v>4</v>
      </c>
      <c r="D2314" s="143">
        <v>1</v>
      </c>
      <c r="E2314" s="77"/>
      <c r="F2314" s="334"/>
      <c r="G2314" s="112">
        <v>0</v>
      </c>
      <c r="H2314" s="120">
        <v>0</v>
      </c>
      <c r="I2314" s="120">
        <v>0</v>
      </c>
      <c r="J2314" s="120">
        <v>0</v>
      </c>
      <c r="K2314" s="110">
        <v>0</v>
      </c>
      <c r="L2314" s="110"/>
      <c r="M2314" s="110">
        <v>0</v>
      </c>
      <c r="N2314" s="110"/>
      <c r="O2314" s="110"/>
      <c r="P2314" s="110">
        <f t="shared" si="168"/>
        <v>0</v>
      </c>
      <c r="Q2314" s="110">
        <f t="shared" si="169"/>
        <v>0</v>
      </c>
      <c r="R2314" s="110">
        <f t="shared" si="170"/>
        <v>0</v>
      </c>
      <c r="S2314" s="112">
        <v>0</v>
      </c>
    </row>
    <row r="2315" spans="1:19">
      <c r="A2315" s="79"/>
      <c r="B2315" s="77" t="s">
        <v>163</v>
      </c>
      <c r="C2315" s="76" t="s">
        <v>4</v>
      </c>
      <c r="D2315" s="143">
        <v>1</v>
      </c>
      <c r="E2315" s="77"/>
      <c r="F2315" s="334"/>
      <c r="G2315" s="112">
        <v>0</v>
      </c>
      <c r="H2315" s="120">
        <v>0</v>
      </c>
      <c r="I2315" s="120">
        <v>0</v>
      </c>
      <c r="J2315" s="120">
        <v>0</v>
      </c>
      <c r="K2315" s="110">
        <v>0</v>
      </c>
      <c r="L2315" s="110"/>
      <c r="M2315" s="110">
        <v>0</v>
      </c>
      <c r="N2315" s="110"/>
      <c r="O2315" s="110"/>
      <c r="P2315" s="110">
        <f t="shared" si="168"/>
        <v>0</v>
      </c>
      <c r="Q2315" s="110">
        <f t="shared" si="169"/>
        <v>0</v>
      </c>
      <c r="R2315" s="110">
        <f t="shared" si="170"/>
        <v>0</v>
      </c>
      <c r="S2315" s="112">
        <v>0</v>
      </c>
    </row>
    <row r="2316" spans="1:19">
      <c r="A2316" s="79"/>
      <c r="B2316" s="77" t="s">
        <v>207</v>
      </c>
      <c r="C2316" s="76" t="s">
        <v>8</v>
      </c>
      <c r="D2316" s="143">
        <v>1</v>
      </c>
      <c r="E2316" s="77"/>
      <c r="F2316" s="334"/>
      <c r="G2316" s="112">
        <v>0</v>
      </c>
      <c r="H2316" s="120">
        <v>0</v>
      </c>
      <c r="I2316" s="120">
        <v>0</v>
      </c>
      <c r="J2316" s="120">
        <v>0</v>
      </c>
      <c r="K2316" s="110">
        <v>0</v>
      </c>
      <c r="L2316" s="110"/>
      <c r="M2316" s="110">
        <v>0</v>
      </c>
      <c r="N2316" s="110"/>
      <c r="O2316" s="110"/>
      <c r="P2316" s="110">
        <f t="shared" si="168"/>
        <v>0</v>
      </c>
      <c r="Q2316" s="110">
        <f t="shared" si="169"/>
        <v>0</v>
      </c>
      <c r="R2316" s="110">
        <f t="shared" si="170"/>
        <v>0</v>
      </c>
      <c r="S2316" s="112">
        <v>0</v>
      </c>
    </row>
    <row r="2317" spans="1:19" ht="45">
      <c r="A2317" s="79"/>
      <c r="B2317" s="77" t="s">
        <v>166</v>
      </c>
      <c r="C2317" s="76" t="s">
        <v>17</v>
      </c>
      <c r="D2317" s="143">
        <v>1</v>
      </c>
      <c r="E2317" s="77"/>
      <c r="F2317" s="334"/>
      <c r="G2317" s="112">
        <v>0</v>
      </c>
      <c r="H2317" s="120">
        <v>0</v>
      </c>
      <c r="I2317" s="120">
        <v>0</v>
      </c>
      <c r="J2317" s="120">
        <v>0</v>
      </c>
      <c r="K2317" s="110">
        <v>0</v>
      </c>
      <c r="L2317" s="110"/>
      <c r="M2317" s="110">
        <v>0</v>
      </c>
      <c r="N2317" s="110"/>
      <c r="O2317" s="110"/>
      <c r="P2317" s="110">
        <f t="shared" si="168"/>
        <v>0</v>
      </c>
      <c r="Q2317" s="110">
        <f t="shared" si="169"/>
        <v>0</v>
      </c>
      <c r="R2317" s="110">
        <f t="shared" si="170"/>
        <v>0</v>
      </c>
      <c r="S2317" s="112">
        <v>0</v>
      </c>
    </row>
    <row r="2318" spans="1:19" ht="60">
      <c r="A2318" s="79">
        <v>102</v>
      </c>
      <c r="B2318" s="80" t="s">
        <v>885</v>
      </c>
      <c r="C2318" s="79" t="s">
        <v>6</v>
      </c>
      <c r="D2318" s="170">
        <v>1</v>
      </c>
      <c r="E2318" s="91" t="s">
        <v>1051</v>
      </c>
      <c r="F2318" s="334">
        <v>1</v>
      </c>
      <c r="G2318" s="112" t="s">
        <v>877</v>
      </c>
      <c r="H2318" s="120" t="s">
        <v>1076</v>
      </c>
      <c r="I2318" s="120" t="s">
        <v>828</v>
      </c>
      <c r="J2318" s="120" t="s">
        <v>829</v>
      </c>
      <c r="K2318" s="110">
        <v>42704900</v>
      </c>
      <c r="L2318" s="110"/>
      <c r="M2318" s="110">
        <v>3828500</v>
      </c>
      <c r="N2318" s="110"/>
      <c r="O2318" s="110"/>
      <c r="P2318" s="110">
        <f t="shared" si="168"/>
        <v>46533400</v>
      </c>
      <c r="Q2318" s="110">
        <f t="shared" si="169"/>
        <v>46533400</v>
      </c>
      <c r="R2318" s="110">
        <f t="shared" si="170"/>
        <v>46533400</v>
      </c>
      <c r="S2318" s="112" t="s">
        <v>4094</v>
      </c>
    </row>
    <row r="2319" spans="1:19">
      <c r="A2319" s="85" t="s">
        <v>10</v>
      </c>
      <c r="B2319" s="86" t="s">
        <v>1052</v>
      </c>
      <c r="C2319" s="85"/>
      <c r="D2319" s="151"/>
      <c r="E2319" s="337"/>
      <c r="F2319" s="347"/>
      <c r="G2319" s="448"/>
      <c r="H2319" s="447"/>
      <c r="I2319" s="447"/>
      <c r="J2319" s="447"/>
      <c r="K2319" s="548"/>
      <c r="L2319" s="548"/>
      <c r="M2319" s="548"/>
      <c r="N2319" s="548"/>
      <c r="O2319" s="548"/>
      <c r="P2319" s="548"/>
      <c r="Q2319" s="548"/>
      <c r="R2319" s="548"/>
      <c r="S2319" s="112">
        <v>0</v>
      </c>
    </row>
    <row r="2320" spans="1:19">
      <c r="A2320" s="76"/>
      <c r="B2320" s="80" t="s">
        <v>108</v>
      </c>
      <c r="C2320" s="76"/>
      <c r="D2320" s="143"/>
      <c r="E2320" s="77"/>
      <c r="F2320" s="76"/>
      <c r="G2320" s="112"/>
      <c r="H2320" s="120"/>
      <c r="I2320" s="120"/>
      <c r="J2320" s="120"/>
      <c r="K2320" s="118"/>
      <c r="L2320" s="118"/>
      <c r="M2320" s="118"/>
      <c r="N2320" s="118"/>
      <c r="O2320" s="118"/>
      <c r="P2320" s="118"/>
      <c r="Q2320" s="118"/>
      <c r="R2320" s="118"/>
      <c r="S2320" s="112">
        <v>0</v>
      </c>
    </row>
    <row r="2321" spans="1:19" ht="30">
      <c r="A2321" s="76">
        <v>1</v>
      </c>
      <c r="B2321" s="77" t="s">
        <v>120</v>
      </c>
      <c r="C2321" s="76" t="s">
        <v>7</v>
      </c>
      <c r="D2321" s="143">
        <v>222</v>
      </c>
      <c r="E2321" s="77"/>
      <c r="F2321" s="334">
        <v>222</v>
      </c>
      <c r="G2321" s="112">
        <v>0</v>
      </c>
      <c r="H2321" s="120" t="s">
        <v>1132</v>
      </c>
      <c r="I2321" s="120" t="s">
        <v>771</v>
      </c>
      <c r="J2321" s="120" t="s">
        <v>772</v>
      </c>
      <c r="K2321" s="110">
        <v>121200</v>
      </c>
      <c r="L2321" s="110"/>
      <c r="M2321" s="110">
        <v>27300</v>
      </c>
      <c r="N2321" s="110"/>
      <c r="O2321" s="110"/>
      <c r="P2321" s="110">
        <f t="shared" ref="P2321" si="171">+K2321+L2321+M2321+N2321+O2321</f>
        <v>148500</v>
      </c>
      <c r="Q2321" s="110">
        <f>+P2321*D2321</f>
        <v>32967000</v>
      </c>
      <c r="R2321" s="110">
        <f t="shared" ref="R2321" si="172">P2321*F2321</f>
        <v>32967000</v>
      </c>
      <c r="S2321" s="112">
        <v>0</v>
      </c>
    </row>
    <row r="2322" spans="1:19" ht="30">
      <c r="A2322" s="76">
        <v>2</v>
      </c>
      <c r="B2322" s="87" t="s">
        <v>1053</v>
      </c>
      <c r="C2322" s="88" t="s">
        <v>7</v>
      </c>
      <c r="D2322" s="147">
        <v>11</v>
      </c>
      <c r="E2322" s="87"/>
      <c r="F2322" s="334">
        <v>11</v>
      </c>
      <c r="G2322" s="112">
        <v>0</v>
      </c>
      <c r="H2322" s="120" t="s">
        <v>1130</v>
      </c>
      <c r="I2322" s="120" t="s">
        <v>771</v>
      </c>
      <c r="J2322" s="120" t="s">
        <v>772</v>
      </c>
      <c r="K2322" s="110">
        <v>227000</v>
      </c>
      <c r="L2322" s="110"/>
      <c r="M2322" s="110">
        <v>39300</v>
      </c>
      <c r="N2322" s="110"/>
      <c r="O2322" s="110"/>
      <c r="P2322" s="110">
        <f t="shared" ref="P2322:P2337" si="173">+K2322+L2322+M2322+N2322+O2322</f>
        <v>266300</v>
      </c>
      <c r="Q2322" s="110">
        <f t="shared" ref="Q2322:Q2337" si="174">+P2322*D2322</f>
        <v>2929300</v>
      </c>
      <c r="R2322" s="110">
        <f t="shared" ref="R2322:R2337" si="175">P2322*F2322</f>
        <v>2929300</v>
      </c>
      <c r="S2322" s="112">
        <v>0</v>
      </c>
    </row>
    <row r="2323" spans="1:19" ht="30">
      <c r="A2323" s="76">
        <v>3</v>
      </c>
      <c r="B2323" s="77" t="s">
        <v>724</v>
      </c>
      <c r="C2323" s="76" t="s">
        <v>7</v>
      </c>
      <c r="D2323" s="143">
        <v>30</v>
      </c>
      <c r="E2323" s="77"/>
      <c r="F2323" s="334">
        <v>30</v>
      </c>
      <c r="G2323" s="112">
        <v>0</v>
      </c>
      <c r="H2323" s="120" t="s">
        <v>1117</v>
      </c>
      <c r="I2323" s="120" t="s">
        <v>771</v>
      </c>
      <c r="J2323" s="120" t="s">
        <v>772</v>
      </c>
      <c r="K2323" s="110">
        <v>504200</v>
      </c>
      <c r="L2323" s="110"/>
      <c r="M2323" s="110">
        <v>68600</v>
      </c>
      <c r="N2323" s="110"/>
      <c r="O2323" s="110"/>
      <c r="P2323" s="110">
        <f t="shared" si="173"/>
        <v>572800</v>
      </c>
      <c r="Q2323" s="110">
        <f t="shared" si="174"/>
        <v>17184000</v>
      </c>
      <c r="R2323" s="110">
        <f t="shared" si="175"/>
        <v>17184000</v>
      </c>
      <c r="S2323" s="112">
        <v>0</v>
      </c>
    </row>
    <row r="2324" spans="1:19" ht="30">
      <c r="A2324" s="76">
        <v>4</v>
      </c>
      <c r="B2324" s="77" t="s">
        <v>725</v>
      </c>
      <c r="C2324" s="76" t="s">
        <v>7</v>
      </c>
      <c r="D2324" s="143">
        <v>844</v>
      </c>
      <c r="E2324" s="77"/>
      <c r="F2324" s="334">
        <v>844</v>
      </c>
      <c r="G2324" s="112">
        <v>0</v>
      </c>
      <c r="H2324" s="120" t="s">
        <v>1118</v>
      </c>
      <c r="I2324" s="120" t="s">
        <v>771</v>
      </c>
      <c r="J2324" s="120" t="s">
        <v>772</v>
      </c>
      <c r="K2324" s="110">
        <v>385900</v>
      </c>
      <c r="L2324" s="110"/>
      <c r="M2324" s="110">
        <v>64500</v>
      </c>
      <c r="N2324" s="110"/>
      <c r="O2324" s="110"/>
      <c r="P2324" s="110">
        <f t="shared" si="173"/>
        <v>450400</v>
      </c>
      <c r="Q2324" s="110">
        <f t="shared" si="174"/>
        <v>380137600</v>
      </c>
      <c r="R2324" s="110">
        <f t="shared" si="175"/>
        <v>380137600</v>
      </c>
      <c r="S2324" s="112">
        <v>0</v>
      </c>
    </row>
    <row r="2325" spans="1:19" ht="30">
      <c r="A2325" s="76">
        <v>5</v>
      </c>
      <c r="B2325" s="77" t="s">
        <v>726</v>
      </c>
      <c r="C2325" s="76" t="s">
        <v>7</v>
      </c>
      <c r="D2325" s="143">
        <v>10</v>
      </c>
      <c r="E2325" s="77"/>
      <c r="F2325" s="334">
        <v>10</v>
      </c>
      <c r="G2325" s="112">
        <v>0</v>
      </c>
      <c r="H2325" s="120" t="s">
        <v>1119</v>
      </c>
      <c r="I2325" s="120" t="s">
        <v>771</v>
      </c>
      <c r="J2325" s="120" t="s">
        <v>772</v>
      </c>
      <c r="K2325" s="110">
        <v>265600</v>
      </c>
      <c r="L2325" s="110"/>
      <c r="M2325" s="110">
        <v>53400</v>
      </c>
      <c r="N2325" s="110"/>
      <c r="O2325" s="110"/>
      <c r="P2325" s="110">
        <f t="shared" si="173"/>
        <v>319000</v>
      </c>
      <c r="Q2325" s="110">
        <f t="shared" si="174"/>
        <v>3190000</v>
      </c>
      <c r="R2325" s="110">
        <f t="shared" si="175"/>
        <v>3190000</v>
      </c>
      <c r="S2325" s="112">
        <v>0</v>
      </c>
    </row>
    <row r="2326" spans="1:19" ht="30">
      <c r="A2326" s="76">
        <v>6</v>
      </c>
      <c r="B2326" s="77" t="s">
        <v>727</v>
      </c>
      <c r="C2326" s="76" t="s">
        <v>7</v>
      </c>
      <c r="D2326" s="143">
        <v>1286</v>
      </c>
      <c r="E2326" s="77"/>
      <c r="F2326" s="334">
        <v>1286</v>
      </c>
      <c r="G2326" s="112">
        <v>0</v>
      </c>
      <c r="H2326" s="120" t="s">
        <v>1120</v>
      </c>
      <c r="I2326" s="120" t="s">
        <v>771</v>
      </c>
      <c r="J2326" s="120" t="s">
        <v>772</v>
      </c>
      <c r="K2326" s="110">
        <v>178600</v>
      </c>
      <c r="L2326" s="110"/>
      <c r="M2326" s="110">
        <v>37300</v>
      </c>
      <c r="N2326" s="110"/>
      <c r="O2326" s="110"/>
      <c r="P2326" s="110">
        <f t="shared" si="173"/>
        <v>215900</v>
      </c>
      <c r="Q2326" s="110">
        <f t="shared" si="174"/>
        <v>277647400</v>
      </c>
      <c r="R2326" s="110">
        <f t="shared" si="175"/>
        <v>277647400</v>
      </c>
      <c r="S2326" s="112">
        <v>0</v>
      </c>
    </row>
    <row r="2327" spans="1:19" ht="30">
      <c r="A2327" s="76">
        <v>7</v>
      </c>
      <c r="B2327" s="77" t="s">
        <v>728</v>
      </c>
      <c r="C2327" s="76" t="s">
        <v>7</v>
      </c>
      <c r="D2327" s="143">
        <v>346</v>
      </c>
      <c r="E2327" s="77"/>
      <c r="F2327" s="334">
        <v>346</v>
      </c>
      <c r="G2327" s="112">
        <v>0</v>
      </c>
      <c r="H2327" s="120" t="s">
        <v>1121</v>
      </c>
      <c r="I2327" s="120" t="s">
        <v>771</v>
      </c>
      <c r="J2327" s="120" t="s">
        <v>772</v>
      </c>
      <c r="K2327" s="110">
        <v>123800</v>
      </c>
      <c r="L2327" s="110"/>
      <c r="M2327" s="110">
        <v>28300</v>
      </c>
      <c r="N2327" s="110"/>
      <c r="O2327" s="110"/>
      <c r="P2327" s="110">
        <f t="shared" si="173"/>
        <v>152100</v>
      </c>
      <c r="Q2327" s="110">
        <f t="shared" si="174"/>
        <v>52626600</v>
      </c>
      <c r="R2327" s="110">
        <f t="shared" si="175"/>
        <v>52626600</v>
      </c>
      <c r="S2327" s="112">
        <v>0</v>
      </c>
    </row>
    <row r="2328" spans="1:19" ht="30">
      <c r="A2328" s="76">
        <v>8</v>
      </c>
      <c r="B2328" s="77" t="s">
        <v>729</v>
      </c>
      <c r="C2328" s="76" t="s">
        <v>7</v>
      </c>
      <c r="D2328" s="143">
        <v>264</v>
      </c>
      <c r="E2328" s="77"/>
      <c r="F2328" s="334">
        <v>264</v>
      </c>
      <c r="G2328" s="112">
        <v>0</v>
      </c>
      <c r="H2328" s="120" t="s">
        <v>1122</v>
      </c>
      <c r="I2328" s="120" t="s">
        <v>771</v>
      </c>
      <c r="J2328" s="120" t="s">
        <v>772</v>
      </c>
      <c r="K2328" s="110">
        <v>96700</v>
      </c>
      <c r="L2328" s="110"/>
      <c r="M2328" s="110">
        <v>22200</v>
      </c>
      <c r="N2328" s="110"/>
      <c r="O2328" s="110"/>
      <c r="P2328" s="110">
        <f t="shared" si="173"/>
        <v>118900</v>
      </c>
      <c r="Q2328" s="110">
        <f t="shared" si="174"/>
        <v>31389600</v>
      </c>
      <c r="R2328" s="110">
        <f t="shared" si="175"/>
        <v>31389600</v>
      </c>
      <c r="S2328" s="112">
        <v>0</v>
      </c>
    </row>
    <row r="2329" spans="1:19" ht="30">
      <c r="A2329" s="76">
        <v>9</v>
      </c>
      <c r="B2329" s="77" t="s">
        <v>730</v>
      </c>
      <c r="C2329" s="76" t="s">
        <v>7</v>
      </c>
      <c r="D2329" s="143">
        <v>408</v>
      </c>
      <c r="E2329" s="77"/>
      <c r="F2329" s="334">
        <v>408</v>
      </c>
      <c r="G2329" s="112">
        <v>0</v>
      </c>
      <c r="H2329" s="120" t="s">
        <v>1123</v>
      </c>
      <c r="I2329" s="120" t="s">
        <v>771</v>
      </c>
      <c r="J2329" s="120" t="s">
        <v>772</v>
      </c>
      <c r="K2329" s="110">
        <v>69200</v>
      </c>
      <c r="L2329" s="110"/>
      <c r="M2329" s="110">
        <v>18200</v>
      </c>
      <c r="N2329" s="110"/>
      <c r="O2329" s="110"/>
      <c r="P2329" s="110">
        <f t="shared" si="173"/>
        <v>87400</v>
      </c>
      <c r="Q2329" s="110">
        <f t="shared" si="174"/>
        <v>35659200</v>
      </c>
      <c r="R2329" s="110">
        <f t="shared" si="175"/>
        <v>35659200</v>
      </c>
      <c r="S2329" s="112">
        <v>0</v>
      </c>
    </row>
    <row r="2330" spans="1:19" ht="60">
      <c r="A2330" s="76">
        <v>10</v>
      </c>
      <c r="B2330" s="77" t="s">
        <v>731</v>
      </c>
      <c r="C2330" s="76" t="s">
        <v>7</v>
      </c>
      <c r="D2330" s="143">
        <v>4770</v>
      </c>
      <c r="E2330" s="77"/>
      <c r="F2330" s="334">
        <v>4770</v>
      </c>
      <c r="G2330" s="112">
        <v>0</v>
      </c>
      <c r="H2330" s="120" t="s">
        <v>1124</v>
      </c>
      <c r="I2330" s="120" t="s">
        <v>771</v>
      </c>
      <c r="J2330" s="120" t="s">
        <v>772</v>
      </c>
      <c r="K2330" s="110">
        <v>52100</v>
      </c>
      <c r="L2330" s="110"/>
      <c r="M2330" s="110">
        <v>18200</v>
      </c>
      <c r="N2330" s="110"/>
      <c r="O2330" s="110"/>
      <c r="P2330" s="110">
        <f t="shared" si="173"/>
        <v>70300</v>
      </c>
      <c r="Q2330" s="110">
        <f t="shared" si="174"/>
        <v>335331000</v>
      </c>
      <c r="R2330" s="110">
        <f t="shared" si="175"/>
        <v>335331000</v>
      </c>
      <c r="S2330" s="112" t="s">
        <v>886</v>
      </c>
    </row>
    <row r="2331" spans="1:19" ht="30">
      <c r="A2331" s="76">
        <v>11</v>
      </c>
      <c r="B2331" s="77" t="s">
        <v>732</v>
      </c>
      <c r="C2331" s="76" t="s">
        <v>7</v>
      </c>
      <c r="D2331" s="143">
        <v>10</v>
      </c>
      <c r="E2331" s="77"/>
      <c r="F2331" s="334">
        <v>10</v>
      </c>
      <c r="G2331" s="112">
        <v>0</v>
      </c>
      <c r="H2331" s="120" t="s">
        <v>1114</v>
      </c>
      <c r="I2331" s="120" t="s">
        <v>771</v>
      </c>
      <c r="J2331" s="120" t="s">
        <v>772</v>
      </c>
      <c r="K2331" s="110">
        <v>133700</v>
      </c>
      <c r="L2331" s="110"/>
      <c r="M2331" s="110">
        <v>29300</v>
      </c>
      <c r="N2331" s="110"/>
      <c r="O2331" s="110"/>
      <c r="P2331" s="110">
        <f t="shared" si="173"/>
        <v>163000</v>
      </c>
      <c r="Q2331" s="110">
        <f t="shared" si="174"/>
        <v>1630000</v>
      </c>
      <c r="R2331" s="110">
        <f t="shared" si="175"/>
        <v>1630000</v>
      </c>
      <c r="S2331" s="112">
        <v>0</v>
      </c>
    </row>
    <row r="2332" spans="1:19" ht="30">
      <c r="A2332" s="76">
        <v>12</v>
      </c>
      <c r="B2332" s="77" t="s">
        <v>733</v>
      </c>
      <c r="C2332" s="76" t="s">
        <v>7</v>
      </c>
      <c r="D2332" s="143">
        <v>174</v>
      </c>
      <c r="E2332" s="77"/>
      <c r="F2332" s="334">
        <v>174</v>
      </c>
      <c r="G2332" s="112">
        <v>0</v>
      </c>
      <c r="H2332" s="120" t="s">
        <v>1115</v>
      </c>
      <c r="I2332" s="120" t="s">
        <v>771</v>
      </c>
      <c r="J2332" s="120" t="s">
        <v>772</v>
      </c>
      <c r="K2332" s="110">
        <v>95200</v>
      </c>
      <c r="L2332" s="110"/>
      <c r="M2332" s="110">
        <v>22200</v>
      </c>
      <c r="N2332" s="110"/>
      <c r="O2332" s="110"/>
      <c r="P2332" s="110">
        <f t="shared" si="173"/>
        <v>117400</v>
      </c>
      <c r="Q2332" s="110">
        <f t="shared" si="174"/>
        <v>20427600</v>
      </c>
      <c r="R2332" s="110">
        <f t="shared" si="175"/>
        <v>20427600</v>
      </c>
      <c r="S2332" s="112">
        <v>0</v>
      </c>
    </row>
    <row r="2333" spans="1:19" ht="30">
      <c r="A2333" s="76">
        <v>13</v>
      </c>
      <c r="B2333" s="77" t="s">
        <v>734</v>
      </c>
      <c r="C2333" s="76" t="s">
        <v>7</v>
      </c>
      <c r="D2333" s="143">
        <v>817</v>
      </c>
      <c r="E2333" s="77"/>
      <c r="F2333" s="334">
        <v>817</v>
      </c>
      <c r="G2333" s="112">
        <v>0</v>
      </c>
      <c r="H2333" s="120" t="s">
        <v>1116</v>
      </c>
      <c r="I2333" s="120" t="s">
        <v>771</v>
      </c>
      <c r="J2333" s="120" t="s">
        <v>772</v>
      </c>
      <c r="K2333" s="110">
        <v>76000</v>
      </c>
      <c r="L2333" s="110"/>
      <c r="M2333" s="110">
        <v>14200</v>
      </c>
      <c r="N2333" s="110"/>
      <c r="O2333" s="110"/>
      <c r="P2333" s="110">
        <f t="shared" si="173"/>
        <v>90200</v>
      </c>
      <c r="Q2333" s="110">
        <f t="shared" si="174"/>
        <v>73693400</v>
      </c>
      <c r="R2333" s="110">
        <f t="shared" si="175"/>
        <v>73693400</v>
      </c>
      <c r="S2333" s="112">
        <v>0</v>
      </c>
    </row>
    <row r="2334" spans="1:19" ht="30">
      <c r="A2334" s="76">
        <v>14</v>
      </c>
      <c r="B2334" s="87" t="s">
        <v>111</v>
      </c>
      <c r="C2334" s="88" t="s">
        <v>7</v>
      </c>
      <c r="D2334" s="147">
        <v>158</v>
      </c>
      <c r="E2334" s="87"/>
      <c r="F2334" s="334">
        <v>158</v>
      </c>
      <c r="G2334" s="112">
        <v>0</v>
      </c>
      <c r="H2334" s="120" t="s">
        <v>1108</v>
      </c>
      <c r="I2334" s="120" t="s">
        <v>771</v>
      </c>
      <c r="J2334" s="120" t="s">
        <v>772</v>
      </c>
      <c r="K2334" s="110">
        <v>807100</v>
      </c>
      <c r="L2334" s="110"/>
      <c r="M2334" s="110">
        <v>71600</v>
      </c>
      <c r="N2334" s="110"/>
      <c r="O2334" s="110"/>
      <c r="P2334" s="110">
        <f t="shared" si="173"/>
        <v>878700</v>
      </c>
      <c r="Q2334" s="110">
        <f t="shared" si="174"/>
        <v>138834600</v>
      </c>
      <c r="R2334" s="110">
        <f t="shared" si="175"/>
        <v>138834600</v>
      </c>
      <c r="S2334" s="112">
        <v>0</v>
      </c>
    </row>
    <row r="2335" spans="1:19" ht="30">
      <c r="A2335" s="76">
        <v>15</v>
      </c>
      <c r="B2335" s="77" t="s">
        <v>113</v>
      </c>
      <c r="C2335" s="76" t="s">
        <v>7</v>
      </c>
      <c r="D2335" s="143">
        <v>140</v>
      </c>
      <c r="E2335" s="77"/>
      <c r="F2335" s="334">
        <v>140</v>
      </c>
      <c r="G2335" s="112">
        <v>0</v>
      </c>
      <c r="H2335" s="120" t="s">
        <v>1111</v>
      </c>
      <c r="I2335" s="120" t="s">
        <v>771</v>
      </c>
      <c r="J2335" s="120" t="s">
        <v>772</v>
      </c>
      <c r="K2335" s="110">
        <v>311200</v>
      </c>
      <c r="L2335" s="110"/>
      <c r="M2335" s="110">
        <v>48400</v>
      </c>
      <c r="N2335" s="110"/>
      <c r="O2335" s="110"/>
      <c r="P2335" s="110">
        <f t="shared" si="173"/>
        <v>359600</v>
      </c>
      <c r="Q2335" s="110">
        <f t="shared" si="174"/>
        <v>50344000</v>
      </c>
      <c r="R2335" s="110">
        <f t="shared" si="175"/>
        <v>50344000</v>
      </c>
      <c r="S2335" s="112">
        <v>0</v>
      </c>
    </row>
    <row r="2336" spans="1:19" ht="30">
      <c r="A2336" s="76">
        <v>16</v>
      </c>
      <c r="B2336" s="77" t="s">
        <v>735</v>
      </c>
      <c r="C2336" s="76" t="s">
        <v>7</v>
      </c>
      <c r="D2336" s="143">
        <v>848</v>
      </c>
      <c r="E2336" s="77"/>
      <c r="F2336" s="334">
        <v>848</v>
      </c>
      <c r="G2336" s="112">
        <v>0</v>
      </c>
      <c r="H2336" s="120" t="s">
        <v>1112</v>
      </c>
      <c r="I2336" s="120" t="s">
        <v>771</v>
      </c>
      <c r="J2336" s="120" t="s">
        <v>772</v>
      </c>
      <c r="K2336" s="110">
        <v>21000</v>
      </c>
      <c r="L2336" s="110"/>
      <c r="M2336" s="110">
        <v>8100</v>
      </c>
      <c r="N2336" s="110"/>
      <c r="O2336" s="110"/>
      <c r="P2336" s="110">
        <f t="shared" si="173"/>
        <v>29100</v>
      </c>
      <c r="Q2336" s="110">
        <f t="shared" si="174"/>
        <v>24676800</v>
      </c>
      <c r="R2336" s="110">
        <f t="shared" si="175"/>
        <v>24676800</v>
      </c>
      <c r="S2336" s="112">
        <v>0</v>
      </c>
    </row>
    <row r="2337" spans="1:19" ht="30">
      <c r="A2337" s="76">
        <v>17</v>
      </c>
      <c r="B2337" s="77" t="s">
        <v>1054</v>
      </c>
      <c r="C2337" s="76" t="s">
        <v>7</v>
      </c>
      <c r="D2337" s="147">
        <v>13324</v>
      </c>
      <c r="E2337" s="77"/>
      <c r="F2337" s="334">
        <v>13324</v>
      </c>
      <c r="G2337" s="112">
        <v>0</v>
      </c>
      <c r="H2337" s="120" t="s">
        <v>1124</v>
      </c>
      <c r="I2337" s="120" t="s">
        <v>771</v>
      </c>
      <c r="J2337" s="120" t="s">
        <v>772</v>
      </c>
      <c r="K2337" s="110">
        <v>52100</v>
      </c>
      <c r="L2337" s="110"/>
      <c r="M2337" s="110">
        <v>18200</v>
      </c>
      <c r="N2337" s="110"/>
      <c r="O2337" s="110"/>
      <c r="P2337" s="110">
        <f t="shared" si="173"/>
        <v>70300</v>
      </c>
      <c r="Q2337" s="110">
        <f t="shared" si="174"/>
        <v>936677200</v>
      </c>
      <c r="R2337" s="110">
        <f t="shared" si="175"/>
        <v>936677200</v>
      </c>
      <c r="S2337" s="112">
        <v>0</v>
      </c>
    </row>
    <row r="2338" spans="1:19" ht="28.5">
      <c r="A2338" s="76"/>
      <c r="B2338" s="80" t="s">
        <v>121</v>
      </c>
      <c r="C2338" s="76"/>
      <c r="D2338" s="143">
        <v>0</v>
      </c>
      <c r="E2338" s="77"/>
      <c r="F2338" s="76"/>
      <c r="G2338" s="112"/>
      <c r="H2338" s="120"/>
      <c r="I2338" s="120"/>
      <c r="J2338" s="120"/>
      <c r="K2338" s="118"/>
      <c r="L2338" s="118"/>
      <c r="M2338" s="118"/>
      <c r="N2338" s="118"/>
      <c r="O2338" s="118"/>
      <c r="P2338" s="118"/>
      <c r="Q2338" s="118"/>
      <c r="R2338" s="118"/>
      <c r="S2338" s="112">
        <v>0</v>
      </c>
    </row>
    <row r="2339" spans="1:19">
      <c r="A2339" s="76">
        <v>1</v>
      </c>
      <c r="B2339" s="77" t="s">
        <v>736</v>
      </c>
      <c r="C2339" s="76" t="s">
        <v>7</v>
      </c>
      <c r="D2339" s="143">
        <v>198</v>
      </c>
      <c r="E2339" s="77"/>
      <c r="F2339" s="334">
        <v>198</v>
      </c>
      <c r="G2339" s="112">
        <v>0</v>
      </c>
      <c r="H2339" s="120" t="s">
        <v>1133</v>
      </c>
      <c r="I2339" s="120" t="s">
        <v>771</v>
      </c>
      <c r="J2339" s="120" t="s">
        <v>772</v>
      </c>
      <c r="K2339" s="110">
        <v>979400</v>
      </c>
      <c r="L2339" s="110"/>
      <c r="M2339" s="110">
        <v>81700</v>
      </c>
      <c r="N2339" s="110"/>
      <c r="O2339" s="110"/>
      <c r="P2339" s="110">
        <f t="shared" ref="P2339" si="176">+K2339+L2339+M2339+N2339+O2339</f>
        <v>1061100</v>
      </c>
      <c r="Q2339" s="110">
        <f t="shared" ref="Q2339" si="177">+P2339*D2339</f>
        <v>210097800</v>
      </c>
      <c r="R2339" s="110">
        <f t="shared" ref="R2339" si="178">P2339*F2339</f>
        <v>210097800</v>
      </c>
      <c r="S2339" s="112">
        <v>0</v>
      </c>
    </row>
    <row r="2340" spans="1:19">
      <c r="A2340" s="76">
        <v>2</v>
      </c>
      <c r="B2340" s="77" t="s">
        <v>127</v>
      </c>
      <c r="C2340" s="76" t="s">
        <v>7</v>
      </c>
      <c r="D2340" s="143">
        <v>128</v>
      </c>
      <c r="E2340" s="77"/>
      <c r="F2340" s="334">
        <v>128</v>
      </c>
      <c r="G2340" s="112">
        <v>0</v>
      </c>
      <c r="H2340" s="120" t="s">
        <v>797</v>
      </c>
      <c r="I2340" s="120" t="s">
        <v>771</v>
      </c>
      <c r="J2340" s="120" t="s">
        <v>772</v>
      </c>
      <c r="K2340" s="110">
        <v>393700</v>
      </c>
      <c r="L2340" s="110"/>
      <c r="M2340" s="110">
        <v>57500</v>
      </c>
      <c r="N2340" s="110"/>
      <c r="O2340" s="110"/>
      <c r="P2340" s="110">
        <f t="shared" ref="P2340:P2352" si="179">+K2340+L2340+M2340+N2340+O2340</f>
        <v>451200</v>
      </c>
      <c r="Q2340" s="110">
        <f t="shared" ref="Q2340:Q2352" si="180">+P2340*D2340</f>
        <v>57753600</v>
      </c>
      <c r="R2340" s="110">
        <f t="shared" ref="R2340:R2352" si="181">P2340*F2340</f>
        <v>57753600</v>
      </c>
      <c r="S2340" s="112">
        <v>0</v>
      </c>
    </row>
    <row r="2341" spans="1:19">
      <c r="A2341" s="76">
        <v>3</v>
      </c>
      <c r="B2341" s="77" t="s">
        <v>128</v>
      </c>
      <c r="C2341" s="76" t="s">
        <v>7</v>
      </c>
      <c r="D2341" s="143">
        <v>298</v>
      </c>
      <c r="E2341" s="77"/>
      <c r="F2341" s="334">
        <v>298</v>
      </c>
      <c r="G2341" s="112">
        <v>0</v>
      </c>
      <c r="H2341" s="120" t="s">
        <v>796</v>
      </c>
      <c r="I2341" s="120" t="s">
        <v>771</v>
      </c>
      <c r="J2341" s="120" t="s">
        <v>772</v>
      </c>
      <c r="K2341" s="110">
        <v>286500</v>
      </c>
      <c r="L2341" s="110"/>
      <c r="M2341" s="110">
        <v>48400</v>
      </c>
      <c r="N2341" s="110"/>
      <c r="O2341" s="110"/>
      <c r="P2341" s="110">
        <f t="shared" si="179"/>
        <v>334900</v>
      </c>
      <c r="Q2341" s="110">
        <f t="shared" si="180"/>
        <v>99800200</v>
      </c>
      <c r="R2341" s="110">
        <f t="shared" si="181"/>
        <v>99800200</v>
      </c>
      <c r="S2341" s="112">
        <v>0</v>
      </c>
    </row>
    <row r="2342" spans="1:19">
      <c r="A2342" s="76">
        <v>4</v>
      </c>
      <c r="B2342" s="77" t="s">
        <v>129</v>
      </c>
      <c r="C2342" s="76" t="s">
        <v>7</v>
      </c>
      <c r="D2342" s="143">
        <v>649</v>
      </c>
      <c r="E2342" s="77"/>
      <c r="F2342" s="334">
        <v>649</v>
      </c>
      <c r="G2342" s="112">
        <v>0</v>
      </c>
      <c r="H2342" s="120" t="s">
        <v>1143</v>
      </c>
      <c r="I2342" s="120" t="s">
        <v>771</v>
      </c>
      <c r="J2342" s="120" t="s">
        <v>772</v>
      </c>
      <c r="K2342" s="110">
        <v>850800</v>
      </c>
      <c r="L2342" s="110"/>
      <c r="M2342" s="110">
        <v>81700</v>
      </c>
      <c r="N2342" s="110"/>
      <c r="O2342" s="110"/>
      <c r="P2342" s="110">
        <f t="shared" si="179"/>
        <v>932500</v>
      </c>
      <c r="Q2342" s="110">
        <f t="shared" si="180"/>
        <v>605192500</v>
      </c>
      <c r="R2342" s="110">
        <f t="shared" si="181"/>
        <v>605192500</v>
      </c>
      <c r="S2342" s="112">
        <v>0</v>
      </c>
    </row>
    <row r="2343" spans="1:19">
      <c r="A2343" s="76">
        <v>5</v>
      </c>
      <c r="B2343" s="77" t="s">
        <v>130</v>
      </c>
      <c r="C2343" s="76" t="s">
        <v>7</v>
      </c>
      <c r="D2343" s="143">
        <v>352</v>
      </c>
      <c r="E2343" s="77"/>
      <c r="F2343" s="334">
        <v>352</v>
      </c>
      <c r="G2343" s="112">
        <v>0</v>
      </c>
      <c r="H2343" s="120" t="s">
        <v>795</v>
      </c>
      <c r="I2343" s="120" t="s">
        <v>771</v>
      </c>
      <c r="J2343" s="120" t="s">
        <v>772</v>
      </c>
      <c r="K2343" s="110">
        <v>631100</v>
      </c>
      <c r="L2343" s="110"/>
      <c r="M2343" s="110">
        <v>72600</v>
      </c>
      <c r="N2343" s="110"/>
      <c r="O2343" s="110"/>
      <c r="P2343" s="110">
        <f t="shared" si="179"/>
        <v>703700</v>
      </c>
      <c r="Q2343" s="110">
        <f t="shared" si="180"/>
        <v>247702400</v>
      </c>
      <c r="R2343" s="110">
        <f t="shared" si="181"/>
        <v>247702400</v>
      </c>
      <c r="S2343" s="112">
        <v>0</v>
      </c>
    </row>
    <row r="2344" spans="1:19">
      <c r="A2344" s="76">
        <v>6</v>
      </c>
      <c r="B2344" s="77" t="s">
        <v>131</v>
      </c>
      <c r="C2344" s="76" t="s">
        <v>7</v>
      </c>
      <c r="D2344" s="143">
        <v>726</v>
      </c>
      <c r="E2344" s="77"/>
      <c r="F2344" s="334">
        <v>726</v>
      </c>
      <c r="G2344" s="112">
        <v>0</v>
      </c>
      <c r="H2344" s="120" t="s">
        <v>794</v>
      </c>
      <c r="I2344" s="120" t="s">
        <v>771</v>
      </c>
      <c r="J2344" s="120" t="s">
        <v>772</v>
      </c>
      <c r="K2344" s="110">
        <v>466000</v>
      </c>
      <c r="L2344" s="110"/>
      <c r="M2344" s="110">
        <v>68600</v>
      </c>
      <c r="N2344" s="110"/>
      <c r="O2344" s="110"/>
      <c r="P2344" s="110">
        <f t="shared" si="179"/>
        <v>534600</v>
      </c>
      <c r="Q2344" s="110">
        <f t="shared" si="180"/>
        <v>388119600</v>
      </c>
      <c r="R2344" s="110">
        <f t="shared" si="181"/>
        <v>388119600</v>
      </c>
      <c r="S2344" s="112">
        <v>0</v>
      </c>
    </row>
    <row r="2345" spans="1:19">
      <c r="A2345" s="76">
        <v>7</v>
      </c>
      <c r="B2345" s="77" t="s">
        <v>132</v>
      </c>
      <c r="C2345" s="76" t="s">
        <v>7</v>
      </c>
      <c r="D2345" s="143">
        <v>79</v>
      </c>
      <c r="E2345" s="77"/>
      <c r="F2345" s="334">
        <v>79</v>
      </c>
      <c r="G2345" s="112">
        <v>0</v>
      </c>
      <c r="H2345" s="120" t="s">
        <v>793</v>
      </c>
      <c r="I2345" s="120" t="s">
        <v>771</v>
      </c>
      <c r="J2345" s="120" t="s">
        <v>772</v>
      </c>
      <c r="K2345" s="110">
        <v>312800</v>
      </c>
      <c r="L2345" s="110"/>
      <c r="M2345" s="110">
        <v>55500</v>
      </c>
      <c r="N2345" s="110"/>
      <c r="O2345" s="110"/>
      <c r="P2345" s="110">
        <f t="shared" si="179"/>
        <v>368300</v>
      </c>
      <c r="Q2345" s="110">
        <f t="shared" si="180"/>
        <v>29095700</v>
      </c>
      <c r="R2345" s="110">
        <f t="shared" si="181"/>
        <v>29095700</v>
      </c>
      <c r="S2345" s="112">
        <v>0</v>
      </c>
    </row>
    <row r="2346" spans="1:19">
      <c r="A2346" s="76">
        <v>8</v>
      </c>
      <c r="B2346" s="77" t="s">
        <v>133</v>
      </c>
      <c r="C2346" s="76" t="s">
        <v>7</v>
      </c>
      <c r="D2346" s="143">
        <v>351</v>
      </c>
      <c r="E2346" s="77"/>
      <c r="F2346" s="334">
        <v>351</v>
      </c>
      <c r="G2346" s="112">
        <v>0</v>
      </c>
      <c r="H2346" s="120" t="s">
        <v>792</v>
      </c>
      <c r="I2346" s="120" t="s">
        <v>771</v>
      </c>
      <c r="J2346" s="120" t="s">
        <v>772</v>
      </c>
      <c r="K2346" s="110">
        <v>203200</v>
      </c>
      <c r="L2346" s="110"/>
      <c r="M2346" s="110">
        <v>39300</v>
      </c>
      <c r="N2346" s="110"/>
      <c r="O2346" s="110"/>
      <c r="P2346" s="110">
        <f t="shared" si="179"/>
        <v>242500</v>
      </c>
      <c r="Q2346" s="110">
        <f t="shared" si="180"/>
        <v>85117500</v>
      </c>
      <c r="R2346" s="110">
        <f t="shared" si="181"/>
        <v>85117500</v>
      </c>
      <c r="S2346" s="112">
        <v>0</v>
      </c>
    </row>
    <row r="2347" spans="1:19">
      <c r="A2347" s="76">
        <v>9</v>
      </c>
      <c r="B2347" s="77" t="s">
        <v>135</v>
      </c>
      <c r="C2347" s="76" t="s">
        <v>7</v>
      </c>
      <c r="D2347" s="143">
        <v>46</v>
      </c>
      <c r="E2347" s="77"/>
      <c r="F2347" s="334">
        <v>46</v>
      </c>
      <c r="G2347" s="112">
        <v>0</v>
      </c>
      <c r="H2347" s="120" t="s">
        <v>1145</v>
      </c>
      <c r="I2347" s="120" t="s">
        <v>771</v>
      </c>
      <c r="J2347" s="120" t="s">
        <v>772</v>
      </c>
      <c r="K2347" s="110">
        <v>92100</v>
      </c>
      <c r="L2347" s="110"/>
      <c r="M2347" s="110">
        <v>27300</v>
      </c>
      <c r="N2347" s="110"/>
      <c r="O2347" s="110"/>
      <c r="P2347" s="110">
        <f t="shared" si="179"/>
        <v>119400</v>
      </c>
      <c r="Q2347" s="110">
        <f t="shared" si="180"/>
        <v>5492400</v>
      </c>
      <c r="R2347" s="110">
        <f t="shared" si="181"/>
        <v>5492400</v>
      </c>
      <c r="S2347" s="112">
        <v>0</v>
      </c>
    </row>
    <row r="2348" spans="1:19">
      <c r="A2348" s="76">
        <v>10</v>
      </c>
      <c r="B2348" s="77" t="s">
        <v>737</v>
      </c>
      <c r="C2348" s="76" t="s">
        <v>7</v>
      </c>
      <c r="D2348" s="143">
        <v>100</v>
      </c>
      <c r="E2348" s="77"/>
      <c r="F2348" s="334">
        <v>100</v>
      </c>
      <c r="G2348" s="112">
        <v>0</v>
      </c>
      <c r="H2348" s="120" t="s">
        <v>1135</v>
      </c>
      <c r="I2348" s="120" t="s">
        <v>771</v>
      </c>
      <c r="J2348" s="120" t="s">
        <v>772</v>
      </c>
      <c r="K2348" s="110">
        <v>348500</v>
      </c>
      <c r="L2348" s="110"/>
      <c r="M2348" s="110">
        <v>64500</v>
      </c>
      <c r="N2348" s="110"/>
      <c r="O2348" s="110"/>
      <c r="P2348" s="110">
        <f t="shared" si="179"/>
        <v>413000</v>
      </c>
      <c r="Q2348" s="110">
        <f t="shared" si="180"/>
        <v>41300000</v>
      </c>
      <c r="R2348" s="110">
        <f t="shared" si="181"/>
        <v>41300000</v>
      </c>
      <c r="S2348" s="112">
        <v>0</v>
      </c>
    </row>
    <row r="2349" spans="1:19">
      <c r="A2349" s="76">
        <v>11</v>
      </c>
      <c r="B2349" s="77" t="s">
        <v>738</v>
      </c>
      <c r="C2349" s="76" t="s">
        <v>7</v>
      </c>
      <c r="D2349" s="143">
        <v>184</v>
      </c>
      <c r="E2349" s="77"/>
      <c r="F2349" s="334">
        <v>184</v>
      </c>
      <c r="G2349" s="112">
        <v>0</v>
      </c>
      <c r="H2349" s="120" t="s">
        <v>1136</v>
      </c>
      <c r="I2349" s="120" t="s">
        <v>771</v>
      </c>
      <c r="J2349" s="120" t="s">
        <v>772</v>
      </c>
      <c r="K2349" s="110">
        <v>156000</v>
      </c>
      <c r="L2349" s="110"/>
      <c r="M2349" s="110">
        <v>37300</v>
      </c>
      <c r="N2349" s="110"/>
      <c r="O2349" s="110"/>
      <c r="P2349" s="110">
        <f t="shared" si="179"/>
        <v>193300</v>
      </c>
      <c r="Q2349" s="110">
        <f t="shared" si="180"/>
        <v>35567200</v>
      </c>
      <c r="R2349" s="110">
        <f t="shared" si="181"/>
        <v>35567200</v>
      </c>
      <c r="S2349" s="112">
        <v>0</v>
      </c>
    </row>
    <row r="2350" spans="1:19">
      <c r="A2350" s="76">
        <v>12</v>
      </c>
      <c r="B2350" s="77" t="s">
        <v>739</v>
      </c>
      <c r="C2350" s="76" t="s">
        <v>7</v>
      </c>
      <c r="D2350" s="143">
        <v>609</v>
      </c>
      <c r="E2350" s="77"/>
      <c r="F2350" s="334">
        <v>609</v>
      </c>
      <c r="G2350" s="112">
        <v>0</v>
      </c>
      <c r="H2350" s="120" t="s">
        <v>1137</v>
      </c>
      <c r="I2350" s="120" t="s">
        <v>771</v>
      </c>
      <c r="J2350" s="120" t="s">
        <v>772</v>
      </c>
      <c r="K2350" s="110">
        <v>100000</v>
      </c>
      <c r="L2350" s="110"/>
      <c r="M2350" s="110">
        <v>28300</v>
      </c>
      <c r="N2350" s="110"/>
      <c r="O2350" s="110"/>
      <c r="P2350" s="110">
        <f t="shared" si="179"/>
        <v>128300</v>
      </c>
      <c r="Q2350" s="110">
        <f t="shared" si="180"/>
        <v>78134700</v>
      </c>
      <c r="R2350" s="110">
        <f t="shared" si="181"/>
        <v>78134700</v>
      </c>
      <c r="S2350" s="112">
        <v>0</v>
      </c>
    </row>
    <row r="2351" spans="1:19">
      <c r="A2351" s="76">
        <v>13</v>
      </c>
      <c r="B2351" s="77" t="s">
        <v>740</v>
      </c>
      <c r="C2351" s="76" t="s">
        <v>7</v>
      </c>
      <c r="D2351" s="143">
        <v>30</v>
      </c>
      <c r="E2351" s="77"/>
      <c r="F2351" s="334">
        <v>30</v>
      </c>
      <c r="G2351" s="112">
        <v>0</v>
      </c>
      <c r="H2351" s="120" t="s">
        <v>1138</v>
      </c>
      <c r="I2351" s="120" t="s">
        <v>771</v>
      </c>
      <c r="J2351" s="120" t="s">
        <v>772</v>
      </c>
      <c r="K2351" s="110">
        <v>71800</v>
      </c>
      <c r="L2351" s="110"/>
      <c r="M2351" s="110">
        <v>22200</v>
      </c>
      <c r="N2351" s="110"/>
      <c r="O2351" s="110"/>
      <c r="P2351" s="110">
        <f t="shared" si="179"/>
        <v>94000</v>
      </c>
      <c r="Q2351" s="110">
        <f t="shared" si="180"/>
        <v>2820000</v>
      </c>
      <c r="R2351" s="110">
        <f t="shared" si="181"/>
        <v>2820000</v>
      </c>
      <c r="S2351" s="112">
        <v>0</v>
      </c>
    </row>
    <row r="2352" spans="1:19">
      <c r="A2352" s="76">
        <v>14</v>
      </c>
      <c r="B2352" s="77" t="s">
        <v>741</v>
      </c>
      <c r="C2352" s="76" t="s">
        <v>7</v>
      </c>
      <c r="D2352" s="143">
        <v>1566</v>
      </c>
      <c r="E2352" s="77"/>
      <c r="F2352" s="334">
        <v>1566</v>
      </c>
      <c r="G2352" s="112">
        <v>0</v>
      </c>
      <c r="H2352" s="120" t="s">
        <v>1139</v>
      </c>
      <c r="I2352" s="120" t="s">
        <v>771</v>
      </c>
      <c r="J2352" s="120" t="s">
        <v>772</v>
      </c>
      <c r="K2352" s="110">
        <v>49700</v>
      </c>
      <c r="L2352" s="110"/>
      <c r="M2352" s="110">
        <v>18200</v>
      </c>
      <c r="N2352" s="110"/>
      <c r="O2352" s="110"/>
      <c r="P2352" s="110">
        <f t="shared" si="179"/>
        <v>67900</v>
      </c>
      <c r="Q2352" s="110">
        <f t="shared" si="180"/>
        <v>106331400</v>
      </c>
      <c r="R2352" s="110">
        <f t="shared" si="181"/>
        <v>106331400</v>
      </c>
      <c r="S2352" s="112">
        <v>0</v>
      </c>
    </row>
    <row r="2353" spans="1:19" ht="28.5">
      <c r="A2353" s="76"/>
      <c r="B2353" s="80" t="s">
        <v>742</v>
      </c>
      <c r="C2353" s="76"/>
      <c r="D2353" s="143">
        <v>0</v>
      </c>
      <c r="E2353" s="77"/>
      <c r="F2353" s="76"/>
      <c r="G2353" s="112"/>
      <c r="H2353" s="120"/>
      <c r="I2353" s="120"/>
      <c r="J2353" s="120"/>
      <c r="K2353" s="118"/>
      <c r="L2353" s="118"/>
      <c r="M2353" s="118"/>
      <c r="N2353" s="118"/>
      <c r="O2353" s="118"/>
      <c r="P2353" s="118"/>
      <c r="Q2353" s="118"/>
      <c r="R2353" s="118"/>
      <c r="S2353" s="112">
        <v>0</v>
      </c>
    </row>
    <row r="2354" spans="1:19">
      <c r="A2354" s="76">
        <v>1</v>
      </c>
      <c r="B2354" s="77" t="s">
        <v>743</v>
      </c>
      <c r="C2354" s="76" t="s">
        <v>7</v>
      </c>
      <c r="D2354" s="143">
        <v>71</v>
      </c>
      <c r="E2354" s="77"/>
      <c r="F2354" s="334">
        <v>71</v>
      </c>
      <c r="G2354" s="112">
        <v>0</v>
      </c>
      <c r="H2354" s="120" t="s">
        <v>788</v>
      </c>
      <c r="I2354" s="120" t="s">
        <v>771</v>
      </c>
      <c r="J2354" s="120" t="s">
        <v>772</v>
      </c>
      <c r="K2354" s="110">
        <v>305300</v>
      </c>
      <c r="L2354" s="110"/>
      <c r="M2354" s="110">
        <v>55500</v>
      </c>
      <c r="N2354" s="110"/>
      <c r="O2354" s="110"/>
      <c r="P2354" s="110">
        <f t="shared" ref="P2354" si="182">+K2354+L2354+M2354+N2354+O2354</f>
        <v>360800</v>
      </c>
      <c r="Q2354" s="110">
        <f t="shared" ref="Q2354" si="183">+P2354*D2354</f>
        <v>25616800</v>
      </c>
      <c r="R2354" s="110">
        <f t="shared" ref="R2354" si="184">P2354*F2354</f>
        <v>25616800</v>
      </c>
      <c r="S2354" s="112">
        <v>0</v>
      </c>
    </row>
    <row r="2355" spans="1:19" ht="30">
      <c r="A2355" s="76">
        <v>2</v>
      </c>
      <c r="B2355" s="77" t="s">
        <v>744</v>
      </c>
      <c r="C2355" s="76" t="s">
        <v>7</v>
      </c>
      <c r="D2355" s="143">
        <v>795</v>
      </c>
      <c r="E2355" s="77"/>
      <c r="F2355" s="334">
        <v>795</v>
      </c>
      <c r="G2355" s="112">
        <v>0</v>
      </c>
      <c r="H2355" s="120" t="s">
        <v>787</v>
      </c>
      <c r="I2355" s="120" t="s">
        <v>771</v>
      </c>
      <c r="J2355" s="120" t="s">
        <v>772</v>
      </c>
      <c r="K2355" s="110">
        <v>208800</v>
      </c>
      <c r="L2355" s="110"/>
      <c r="M2355" s="110">
        <v>39300</v>
      </c>
      <c r="N2355" s="110"/>
      <c r="O2355" s="110"/>
      <c r="P2355" s="110">
        <f t="shared" ref="P2355:P2361" si="185">+K2355+L2355+M2355+N2355+O2355</f>
        <v>248100</v>
      </c>
      <c r="Q2355" s="110">
        <f t="shared" ref="Q2355:Q2361" si="186">+P2355*D2355</f>
        <v>197239500</v>
      </c>
      <c r="R2355" s="110">
        <f t="shared" ref="R2355:R2361" si="187">P2355*F2355</f>
        <v>197239500</v>
      </c>
      <c r="S2355" s="112">
        <v>0</v>
      </c>
    </row>
    <row r="2356" spans="1:19" ht="30">
      <c r="A2356" s="76">
        <v>3</v>
      </c>
      <c r="B2356" s="77" t="s">
        <v>474</v>
      </c>
      <c r="C2356" s="76" t="s">
        <v>7</v>
      </c>
      <c r="D2356" s="143">
        <v>14</v>
      </c>
      <c r="E2356" s="77"/>
      <c r="F2356" s="334">
        <v>14</v>
      </c>
      <c r="G2356" s="112">
        <v>0</v>
      </c>
      <c r="H2356" s="120" t="s">
        <v>786</v>
      </c>
      <c r="I2356" s="120" t="s">
        <v>771</v>
      </c>
      <c r="J2356" s="120" t="s">
        <v>772</v>
      </c>
      <c r="K2356" s="110">
        <v>93800</v>
      </c>
      <c r="L2356" s="110"/>
      <c r="M2356" s="110">
        <v>27300</v>
      </c>
      <c r="N2356" s="110"/>
      <c r="O2356" s="110"/>
      <c r="P2356" s="110">
        <f t="shared" si="185"/>
        <v>121100</v>
      </c>
      <c r="Q2356" s="110">
        <f t="shared" si="186"/>
        <v>1695400</v>
      </c>
      <c r="R2356" s="110">
        <f t="shared" si="187"/>
        <v>1695400</v>
      </c>
      <c r="S2356" s="112">
        <v>0</v>
      </c>
    </row>
    <row r="2357" spans="1:19">
      <c r="A2357" s="76">
        <v>4</v>
      </c>
      <c r="B2357" s="77" t="s">
        <v>745</v>
      </c>
      <c r="C2357" s="76" t="s">
        <v>7</v>
      </c>
      <c r="D2357" s="143">
        <v>785</v>
      </c>
      <c r="E2357" s="77"/>
      <c r="F2357" s="334">
        <v>785</v>
      </c>
      <c r="G2357" s="112">
        <v>0</v>
      </c>
      <c r="H2357" s="120" t="s">
        <v>1147</v>
      </c>
      <c r="I2357" s="120" t="s">
        <v>771</v>
      </c>
      <c r="J2357" s="120" t="s">
        <v>772</v>
      </c>
      <c r="K2357" s="110">
        <v>168400</v>
      </c>
      <c r="L2357" s="110"/>
      <c r="M2357" s="110">
        <v>42400</v>
      </c>
      <c r="N2357" s="110"/>
      <c r="O2357" s="110"/>
      <c r="P2357" s="110">
        <f t="shared" si="185"/>
        <v>210800</v>
      </c>
      <c r="Q2357" s="110">
        <f t="shared" si="186"/>
        <v>165478000</v>
      </c>
      <c r="R2357" s="110">
        <f t="shared" si="187"/>
        <v>165478000</v>
      </c>
      <c r="S2357" s="112">
        <v>0</v>
      </c>
    </row>
    <row r="2358" spans="1:19" ht="30">
      <c r="A2358" s="76">
        <v>5</v>
      </c>
      <c r="B2358" s="77" t="s">
        <v>746</v>
      </c>
      <c r="C2358" s="76" t="s">
        <v>7</v>
      </c>
      <c r="D2358" s="143">
        <v>23839</v>
      </c>
      <c r="E2358" s="77"/>
      <c r="F2358" s="334">
        <v>23839</v>
      </c>
      <c r="G2358" s="112">
        <v>0</v>
      </c>
      <c r="H2358" s="120" t="s">
        <v>791</v>
      </c>
      <c r="I2358" s="120" t="s">
        <v>771</v>
      </c>
      <c r="J2358" s="120" t="s">
        <v>772</v>
      </c>
      <c r="K2358" s="110">
        <v>116200</v>
      </c>
      <c r="L2358" s="110"/>
      <c r="M2358" s="110">
        <v>29300</v>
      </c>
      <c r="N2358" s="110"/>
      <c r="O2358" s="110"/>
      <c r="P2358" s="110">
        <f t="shared" si="185"/>
        <v>145500</v>
      </c>
      <c r="Q2358" s="110">
        <f t="shared" si="186"/>
        <v>3468574500</v>
      </c>
      <c r="R2358" s="110">
        <f t="shared" si="187"/>
        <v>3468574500</v>
      </c>
      <c r="S2358" s="112">
        <v>0</v>
      </c>
    </row>
    <row r="2359" spans="1:19" ht="30">
      <c r="A2359" s="76">
        <v>6</v>
      </c>
      <c r="B2359" s="77" t="s">
        <v>747</v>
      </c>
      <c r="C2359" s="76" t="s">
        <v>7</v>
      </c>
      <c r="D2359" s="143">
        <v>693</v>
      </c>
      <c r="E2359" s="77"/>
      <c r="F2359" s="334">
        <v>693</v>
      </c>
      <c r="G2359" s="112">
        <v>0</v>
      </c>
      <c r="H2359" s="120" t="s">
        <v>790</v>
      </c>
      <c r="I2359" s="120" t="s">
        <v>771</v>
      </c>
      <c r="J2359" s="120" t="s">
        <v>772</v>
      </c>
      <c r="K2359" s="110">
        <v>75000</v>
      </c>
      <c r="L2359" s="110"/>
      <c r="M2359" s="110">
        <v>22200</v>
      </c>
      <c r="N2359" s="110"/>
      <c r="O2359" s="110"/>
      <c r="P2359" s="110">
        <f t="shared" si="185"/>
        <v>97200</v>
      </c>
      <c r="Q2359" s="110">
        <f t="shared" si="186"/>
        <v>67359600</v>
      </c>
      <c r="R2359" s="110">
        <f t="shared" si="187"/>
        <v>67359600</v>
      </c>
      <c r="S2359" s="112">
        <v>0</v>
      </c>
    </row>
    <row r="2360" spans="1:19" ht="30">
      <c r="A2360" s="76">
        <v>7</v>
      </c>
      <c r="B2360" s="77" t="s">
        <v>748</v>
      </c>
      <c r="C2360" s="76" t="s">
        <v>7</v>
      </c>
      <c r="D2360" s="143">
        <v>324</v>
      </c>
      <c r="E2360" s="77"/>
      <c r="F2360" s="334">
        <v>324</v>
      </c>
      <c r="G2360" s="112">
        <v>0</v>
      </c>
      <c r="H2360" s="120" t="s">
        <v>789</v>
      </c>
      <c r="I2360" s="120" t="s">
        <v>771</v>
      </c>
      <c r="J2360" s="120" t="s">
        <v>772</v>
      </c>
      <c r="K2360" s="110">
        <v>37800</v>
      </c>
      <c r="L2360" s="110"/>
      <c r="M2360" s="110">
        <v>12100</v>
      </c>
      <c r="N2360" s="110"/>
      <c r="O2360" s="110"/>
      <c r="P2360" s="110">
        <f t="shared" si="185"/>
        <v>49900</v>
      </c>
      <c r="Q2360" s="110">
        <f t="shared" si="186"/>
        <v>16167600</v>
      </c>
      <c r="R2360" s="110">
        <f t="shared" si="187"/>
        <v>16167600</v>
      </c>
      <c r="S2360" s="112">
        <v>0</v>
      </c>
    </row>
    <row r="2361" spans="1:19" ht="30">
      <c r="A2361" s="76">
        <v>8</v>
      </c>
      <c r="B2361" s="77" t="s">
        <v>749</v>
      </c>
      <c r="C2361" s="76" t="s">
        <v>7</v>
      </c>
      <c r="D2361" s="143">
        <v>8076</v>
      </c>
      <c r="E2361" s="77"/>
      <c r="F2361" s="334">
        <v>8076</v>
      </c>
      <c r="G2361" s="112">
        <v>0</v>
      </c>
      <c r="H2361" s="120" t="s">
        <v>1150</v>
      </c>
      <c r="I2361" s="120" t="s">
        <v>771</v>
      </c>
      <c r="J2361" s="120" t="s">
        <v>772</v>
      </c>
      <c r="K2361" s="110">
        <v>35100</v>
      </c>
      <c r="L2361" s="110"/>
      <c r="M2361" s="110">
        <v>18200</v>
      </c>
      <c r="N2361" s="110"/>
      <c r="O2361" s="110"/>
      <c r="P2361" s="110">
        <f t="shared" si="185"/>
        <v>53300</v>
      </c>
      <c r="Q2361" s="110">
        <f t="shared" si="186"/>
        <v>430450800</v>
      </c>
      <c r="R2361" s="110">
        <f t="shared" si="187"/>
        <v>430450800</v>
      </c>
      <c r="S2361" s="112">
        <v>0</v>
      </c>
    </row>
    <row r="2362" spans="1:19">
      <c r="A2362" s="76"/>
      <c r="B2362" s="80" t="s">
        <v>750</v>
      </c>
      <c r="C2362" s="76"/>
      <c r="D2362" s="143">
        <v>0</v>
      </c>
      <c r="E2362" s="77"/>
      <c r="F2362" s="76"/>
      <c r="G2362" s="112"/>
      <c r="H2362" s="120"/>
      <c r="I2362" s="120"/>
      <c r="J2362" s="120"/>
      <c r="K2362" s="118"/>
      <c r="L2362" s="118"/>
      <c r="M2362" s="118"/>
      <c r="N2362" s="118"/>
      <c r="O2362" s="118"/>
      <c r="P2362" s="118"/>
      <c r="Q2362" s="118"/>
      <c r="R2362" s="118"/>
      <c r="S2362" s="112">
        <v>0</v>
      </c>
    </row>
    <row r="2363" spans="1:19">
      <c r="A2363" s="76">
        <v>1</v>
      </c>
      <c r="B2363" s="77" t="s">
        <v>751</v>
      </c>
      <c r="C2363" s="76" t="s">
        <v>7</v>
      </c>
      <c r="D2363" s="143">
        <v>42</v>
      </c>
      <c r="E2363" s="77"/>
      <c r="F2363" s="334">
        <v>42</v>
      </c>
      <c r="G2363" s="112">
        <v>0</v>
      </c>
      <c r="H2363" s="120" t="s">
        <v>778</v>
      </c>
      <c r="I2363" s="120" t="s">
        <v>771</v>
      </c>
      <c r="J2363" s="120" t="s">
        <v>772</v>
      </c>
      <c r="K2363" s="110">
        <v>21300</v>
      </c>
      <c r="L2363" s="110"/>
      <c r="M2363" s="110">
        <v>8100</v>
      </c>
      <c r="N2363" s="110"/>
      <c r="O2363" s="110"/>
      <c r="P2363" s="110">
        <f t="shared" ref="P2363:P2365" si="188">+K2363+L2363+M2363+N2363+O2363</f>
        <v>29400</v>
      </c>
      <c r="Q2363" s="110">
        <f t="shared" ref="Q2363:Q2365" si="189">+P2363*D2363</f>
        <v>1234800</v>
      </c>
      <c r="R2363" s="110">
        <f t="shared" ref="R2363:R2365" si="190">P2363*F2363</f>
        <v>1234800</v>
      </c>
      <c r="S2363" s="112">
        <v>0</v>
      </c>
    </row>
    <row r="2364" spans="1:19">
      <c r="A2364" s="76">
        <v>2</v>
      </c>
      <c r="B2364" s="77" t="s">
        <v>475</v>
      </c>
      <c r="C2364" s="76" t="s">
        <v>7</v>
      </c>
      <c r="D2364" s="143">
        <v>29312</v>
      </c>
      <c r="E2364" s="77"/>
      <c r="F2364" s="334">
        <v>29312</v>
      </c>
      <c r="G2364" s="112">
        <v>0</v>
      </c>
      <c r="H2364" s="120" t="s">
        <v>777</v>
      </c>
      <c r="I2364" s="120" t="s">
        <v>771</v>
      </c>
      <c r="J2364" s="120" t="s">
        <v>772</v>
      </c>
      <c r="K2364" s="110">
        <v>14100</v>
      </c>
      <c r="L2364" s="110"/>
      <c r="M2364" s="110">
        <v>7100</v>
      </c>
      <c r="N2364" s="110"/>
      <c r="O2364" s="110"/>
      <c r="P2364" s="110">
        <f t="shared" si="188"/>
        <v>21200</v>
      </c>
      <c r="Q2364" s="110">
        <f t="shared" si="189"/>
        <v>621414400</v>
      </c>
      <c r="R2364" s="110">
        <f t="shared" si="190"/>
        <v>621414400</v>
      </c>
      <c r="S2364" s="112">
        <v>0</v>
      </c>
    </row>
    <row r="2365" spans="1:19">
      <c r="A2365" s="76">
        <v>3</v>
      </c>
      <c r="B2365" s="77" t="s">
        <v>476</v>
      </c>
      <c r="C2365" s="76" t="s">
        <v>7</v>
      </c>
      <c r="D2365" s="143">
        <v>66340</v>
      </c>
      <c r="E2365" s="77"/>
      <c r="F2365" s="334">
        <v>66340</v>
      </c>
      <c r="G2365" s="112">
        <v>0</v>
      </c>
      <c r="H2365" s="120" t="s">
        <v>776</v>
      </c>
      <c r="I2365" s="120" t="s">
        <v>771</v>
      </c>
      <c r="J2365" s="120" t="s">
        <v>772</v>
      </c>
      <c r="K2365" s="110">
        <v>8700</v>
      </c>
      <c r="L2365" s="110"/>
      <c r="M2365" s="110">
        <v>6100</v>
      </c>
      <c r="N2365" s="110"/>
      <c r="O2365" s="110"/>
      <c r="P2365" s="110">
        <f t="shared" si="188"/>
        <v>14800</v>
      </c>
      <c r="Q2365" s="110">
        <f t="shared" si="189"/>
        <v>981832000</v>
      </c>
      <c r="R2365" s="110">
        <f t="shared" si="190"/>
        <v>981832000</v>
      </c>
      <c r="S2365" s="112">
        <v>0</v>
      </c>
    </row>
    <row r="2366" spans="1:19">
      <c r="A2366" s="79"/>
      <c r="B2366" s="80" t="s">
        <v>136</v>
      </c>
      <c r="C2366" s="76"/>
      <c r="D2366" s="143">
        <v>0</v>
      </c>
      <c r="E2366" s="77"/>
      <c r="F2366" s="76"/>
      <c r="G2366" s="112"/>
      <c r="H2366" s="120"/>
      <c r="I2366" s="120"/>
      <c r="J2366" s="120"/>
      <c r="K2366" s="118"/>
      <c r="L2366" s="118"/>
      <c r="M2366" s="118"/>
      <c r="N2366" s="118"/>
      <c r="O2366" s="118"/>
      <c r="P2366" s="118"/>
      <c r="Q2366" s="118"/>
      <c r="R2366" s="118"/>
      <c r="S2366" s="112">
        <v>0</v>
      </c>
    </row>
    <row r="2367" spans="1:19">
      <c r="A2367" s="76">
        <v>1</v>
      </c>
      <c r="B2367" s="87" t="s">
        <v>1055</v>
      </c>
      <c r="C2367" s="88" t="s">
        <v>7</v>
      </c>
      <c r="D2367" s="147">
        <v>50</v>
      </c>
      <c r="E2367" s="87"/>
      <c r="F2367" s="334">
        <v>50</v>
      </c>
      <c r="G2367" s="112">
        <v>0</v>
      </c>
      <c r="H2367" s="120" t="s">
        <v>1152</v>
      </c>
      <c r="I2367" s="120" t="s">
        <v>771</v>
      </c>
      <c r="J2367" s="120" t="s">
        <v>772</v>
      </c>
      <c r="K2367" s="110">
        <v>508500</v>
      </c>
      <c r="L2367" s="110"/>
      <c r="M2367" s="110">
        <v>53400</v>
      </c>
      <c r="N2367" s="110"/>
      <c r="O2367" s="110"/>
      <c r="P2367" s="110">
        <f t="shared" ref="P2367:P2376" si="191">+K2367+L2367+M2367+N2367+O2367</f>
        <v>561900</v>
      </c>
      <c r="Q2367" s="110">
        <f t="shared" ref="Q2367:Q2376" si="192">+P2367*D2367</f>
        <v>28095000</v>
      </c>
      <c r="R2367" s="110">
        <f t="shared" ref="R2367:R2376" si="193">P2367*F2367</f>
        <v>28095000</v>
      </c>
      <c r="S2367" s="112">
        <v>0</v>
      </c>
    </row>
    <row r="2368" spans="1:19">
      <c r="A2368" s="76">
        <v>2</v>
      </c>
      <c r="B2368" s="87" t="s">
        <v>1056</v>
      </c>
      <c r="C2368" s="88" t="s">
        <v>7</v>
      </c>
      <c r="D2368" s="147">
        <v>51</v>
      </c>
      <c r="E2368" s="87"/>
      <c r="F2368" s="334">
        <v>51</v>
      </c>
      <c r="G2368" s="112">
        <v>0</v>
      </c>
      <c r="H2368" s="120" t="s">
        <v>784</v>
      </c>
      <c r="I2368" s="120" t="s">
        <v>771</v>
      </c>
      <c r="J2368" s="120" t="s">
        <v>772</v>
      </c>
      <c r="K2368" s="110">
        <v>390400</v>
      </c>
      <c r="L2368" s="110"/>
      <c r="M2368" s="110">
        <v>49400</v>
      </c>
      <c r="N2368" s="110"/>
      <c r="O2368" s="110"/>
      <c r="P2368" s="110">
        <f t="shared" si="191"/>
        <v>439800</v>
      </c>
      <c r="Q2368" s="110">
        <f t="shared" si="192"/>
        <v>22429800</v>
      </c>
      <c r="R2368" s="110">
        <f t="shared" si="193"/>
        <v>22429800</v>
      </c>
      <c r="S2368" s="112">
        <v>0</v>
      </c>
    </row>
    <row r="2369" spans="1:19">
      <c r="A2369" s="76">
        <v>3</v>
      </c>
      <c r="B2369" s="77" t="s">
        <v>752</v>
      </c>
      <c r="C2369" s="76" t="s">
        <v>7</v>
      </c>
      <c r="D2369" s="143">
        <v>94</v>
      </c>
      <c r="E2369" s="77"/>
      <c r="F2369" s="334">
        <v>94</v>
      </c>
      <c r="G2369" s="112">
        <v>0</v>
      </c>
      <c r="H2369" s="120" t="s">
        <v>782</v>
      </c>
      <c r="I2369" s="120" t="s">
        <v>771</v>
      </c>
      <c r="J2369" s="120" t="s">
        <v>772</v>
      </c>
      <c r="K2369" s="110">
        <v>197900</v>
      </c>
      <c r="L2369" s="110"/>
      <c r="M2369" s="110">
        <v>34300</v>
      </c>
      <c r="N2369" s="110"/>
      <c r="O2369" s="110"/>
      <c r="P2369" s="110">
        <f t="shared" si="191"/>
        <v>232200</v>
      </c>
      <c r="Q2369" s="110">
        <f t="shared" si="192"/>
        <v>21826800</v>
      </c>
      <c r="R2369" s="110">
        <f t="shared" si="193"/>
        <v>21826800</v>
      </c>
      <c r="S2369" s="112">
        <v>0</v>
      </c>
    </row>
    <row r="2370" spans="1:19">
      <c r="A2370" s="76">
        <v>4</v>
      </c>
      <c r="B2370" s="77" t="s">
        <v>142</v>
      </c>
      <c r="C2370" s="76" t="s">
        <v>7</v>
      </c>
      <c r="D2370" s="143">
        <v>227</v>
      </c>
      <c r="E2370" s="77"/>
      <c r="F2370" s="334">
        <v>227</v>
      </c>
      <c r="G2370" s="112">
        <v>0</v>
      </c>
      <c r="H2370" s="120" t="s">
        <v>781</v>
      </c>
      <c r="I2370" s="120" t="s">
        <v>771</v>
      </c>
      <c r="J2370" s="120" t="s">
        <v>772</v>
      </c>
      <c r="K2370" s="110">
        <v>146000</v>
      </c>
      <c r="L2370" s="110"/>
      <c r="M2370" s="110">
        <v>30300</v>
      </c>
      <c r="N2370" s="110"/>
      <c r="O2370" s="110"/>
      <c r="P2370" s="110">
        <f t="shared" si="191"/>
        <v>176300</v>
      </c>
      <c r="Q2370" s="110">
        <f t="shared" si="192"/>
        <v>40020100</v>
      </c>
      <c r="R2370" s="110">
        <f t="shared" si="193"/>
        <v>40020100</v>
      </c>
      <c r="S2370" s="112">
        <v>0</v>
      </c>
    </row>
    <row r="2371" spans="1:19">
      <c r="A2371" s="76">
        <v>5</v>
      </c>
      <c r="B2371" s="77" t="s">
        <v>143</v>
      </c>
      <c r="C2371" s="76" t="s">
        <v>7</v>
      </c>
      <c r="D2371" s="143">
        <v>723</v>
      </c>
      <c r="E2371" s="77"/>
      <c r="F2371" s="334">
        <v>723</v>
      </c>
      <c r="G2371" s="112">
        <v>0</v>
      </c>
      <c r="H2371" s="120" t="s">
        <v>1153</v>
      </c>
      <c r="I2371" s="120" t="s">
        <v>771</v>
      </c>
      <c r="J2371" s="120" t="s">
        <v>772</v>
      </c>
      <c r="K2371" s="110">
        <v>105500</v>
      </c>
      <c r="L2371" s="110"/>
      <c r="M2371" s="110">
        <v>28300</v>
      </c>
      <c r="N2371" s="110"/>
      <c r="O2371" s="110"/>
      <c r="P2371" s="110">
        <f t="shared" si="191"/>
        <v>133800</v>
      </c>
      <c r="Q2371" s="110">
        <f t="shared" si="192"/>
        <v>96737400</v>
      </c>
      <c r="R2371" s="110">
        <f t="shared" si="193"/>
        <v>96737400</v>
      </c>
      <c r="S2371" s="112">
        <v>0</v>
      </c>
    </row>
    <row r="2372" spans="1:19">
      <c r="A2372" s="76">
        <v>6</v>
      </c>
      <c r="B2372" s="77" t="s">
        <v>144</v>
      </c>
      <c r="C2372" s="76" t="s">
        <v>7</v>
      </c>
      <c r="D2372" s="143">
        <v>2641</v>
      </c>
      <c r="E2372" s="77"/>
      <c r="F2372" s="334">
        <v>2641</v>
      </c>
      <c r="G2372" s="112">
        <v>0</v>
      </c>
      <c r="H2372" s="120" t="s">
        <v>1154</v>
      </c>
      <c r="I2372" s="120" t="s">
        <v>771</v>
      </c>
      <c r="J2372" s="120" t="s">
        <v>772</v>
      </c>
      <c r="K2372" s="110">
        <v>74300</v>
      </c>
      <c r="L2372" s="110"/>
      <c r="M2372" s="110">
        <v>23200</v>
      </c>
      <c r="N2372" s="110"/>
      <c r="O2372" s="110"/>
      <c r="P2372" s="110">
        <f t="shared" si="191"/>
        <v>97500</v>
      </c>
      <c r="Q2372" s="110">
        <f t="shared" si="192"/>
        <v>257497500</v>
      </c>
      <c r="R2372" s="110">
        <f t="shared" si="193"/>
        <v>257497500</v>
      </c>
      <c r="S2372" s="112">
        <v>0</v>
      </c>
    </row>
    <row r="2373" spans="1:19">
      <c r="A2373" s="76">
        <v>7</v>
      </c>
      <c r="B2373" s="77" t="s">
        <v>145</v>
      </c>
      <c r="C2373" s="76" t="s">
        <v>7</v>
      </c>
      <c r="D2373" s="143">
        <v>17980</v>
      </c>
      <c r="E2373" s="77"/>
      <c r="F2373" s="334">
        <v>17980</v>
      </c>
      <c r="G2373" s="112">
        <v>0</v>
      </c>
      <c r="H2373" s="120" t="s">
        <v>780</v>
      </c>
      <c r="I2373" s="120" t="s">
        <v>771</v>
      </c>
      <c r="J2373" s="120" t="s">
        <v>772</v>
      </c>
      <c r="K2373" s="110">
        <v>51700</v>
      </c>
      <c r="L2373" s="110"/>
      <c r="M2373" s="110">
        <v>16200</v>
      </c>
      <c r="N2373" s="110"/>
      <c r="O2373" s="110"/>
      <c r="P2373" s="110">
        <f t="shared" si="191"/>
        <v>67900</v>
      </c>
      <c r="Q2373" s="110">
        <f t="shared" si="192"/>
        <v>1220842000</v>
      </c>
      <c r="R2373" s="110">
        <f t="shared" si="193"/>
        <v>1220842000</v>
      </c>
      <c r="S2373" s="112">
        <v>0</v>
      </c>
    </row>
    <row r="2374" spans="1:19">
      <c r="A2374" s="76">
        <v>8</v>
      </c>
      <c r="B2374" s="77" t="s">
        <v>146</v>
      </c>
      <c r="C2374" s="76" t="s">
        <v>7</v>
      </c>
      <c r="D2374" s="143">
        <v>841</v>
      </c>
      <c r="E2374" s="77"/>
      <c r="F2374" s="334">
        <v>841</v>
      </c>
      <c r="G2374" s="112">
        <v>0</v>
      </c>
      <c r="H2374" s="120" t="s">
        <v>779</v>
      </c>
      <c r="I2374" s="120" t="s">
        <v>771</v>
      </c>
      <c r="J2374" s="120" t="s">
        <v>772</v>
      </c>
      <c r="K2374" s="110">
        <v>31300</v>
      </c>
      <c r="L2374" s="110"/>
      <c r="M2374" s="110">
        <v>12100</v>
      </c>
      <c r="N2374" s="110"/>
      <c r="O2374" s="110"/>
      <c r="P2374" s="110">
        <f t="shared" si="191"/>
        <v>43400</v>
      </c>
      <c r="Q2374" s="110">
        <f t="shared" si="192"/>
        <v>36499400</v>
      </c>
      <c r="R2374" s="110">
        <f t="shared" si="193"/>
        <v>36499400</v>
      </c>
      <c r="S2374" s="112">
        <v>0</v>
      </c>
    </row>
    <row r="2375" spans="1:19">
      <c r="A2375" s="76">
        <v>9</v>
      </c>
      <c r="B2375" s="77" t="s">
        <v>147</v>
      </c>
      <c r="C2375" s="76" t="s">
        <v>7</v>
      </c>
      <c r="D2375" s="143">
        <v>1388</v>
      </c>
      <c r="E2375" s="77"/>
      <c r="F2375" s="334">
        <v>1388</v>
      </c>
      <c r="G2375" s="112">
        <v>0</v>
      </c>
      <c r="H2375" s="120" t="s">
        <v>778</v>
      </c>
      <c r="I2375" s="120" t="s">
        <v>771</v>
      </c>
      <c r="J2375" s="120" t="s">
        <v>772</v>
      </c>
      <c r="K2375" s="110">
        <v>21300</v>
      </c>
      <c r="L2375" s="110"/>
      <c r="M2375" s="110">
        <v>8100</v>
      </c>
      <c r="N2375" s="110"/>
      <c r="O2375" s="110"/>
      <c r="P2375" s="110">
        <f t="shared" si="191"/>
        <v>29400</v>
      </c>
      <c r="Q2375" s="110">
        <f t="shared" si="192"/>
        <v>40807200</v>
      </c>
      <c r="R2375" s="110">
        <f t="shared" si="193"/>
        <v>40807200</v>
      </c>
      <c r="S2375" s="112">
        <v>0</v>
      </c>
    </row>
    <row r="2376" spans="1:19">
      <c r="A2376" s="76">
        <v>10</v>
      </c>
      <c r="B2376" s="77" t="s">
        <v>475</v>
      </c>
      <c r="C2376" s="76" t="s">
        <v>7</v>
      </c>
      <c r="D2376" s="143">
        <v>45855</v>
      </c>
      <c r="E2376" s="77"/>
      <c r="F2376" s="334">
        <v>45855</v>
      </c>
      <c r="G2376" s="112">
        <v>0</v>
      </c>
      <c r="H2376" s="120" t="s">
        <v>777</v>
      </c>
      <c r="I2376" s="120" t="s">
        <v>771</v>
      </c>
      <c r="J2376" s="120" t="s">
        <v>772</v>
      </c>
      <c r="K2376" s="110">
        <v>14100</v>
      </c>
      <c r="L2376" s="110"/>
      <c r="M2376" s="110">
        <v>7100</v>
      </c>
      <c r="N2376" s="110"/>
      <c r="O2376" s="110"/>
      <c r="P2376" s="110">
        <f t="shared" si="191"/>
        <v>21200</v>
      </c>
      <c r="Q2376" s="110">
        <f t="shared" si="192"/>
        <v>972126000</v>
      </c>
      <c r="R2376" s="110">
        <f t="shared" si="193"/>
        <v>972126000</v>
      </c>
      <c r="S2376" s="112">
        <v>0</v>
      </c>
    </row>
    <row r="2377" spans="1:19">
      <c r="A2377" s="79"/>
      <c r="B2377" s="80" t="s">
        <v>753</v>
      </c>
      <c r="C2377" s="76"/>
      <c r="D2377" s="143"/>
      <c r="E2377" s="77"/>
      <c r="F2377" s="76"/>
      <c r="G2377" s="112"/>
      <c r="H2377" s="120"/>
      <c r="I2377" s="120"/>
      <c r="J2377" s="120"/>
      <c r="K2377" s="118"/>
      <c r="L2377" s="118"/>
      <c r="M2377" s="118"/>
      <c r="N2377" s="118"/>
      <c r="O2377" s="118"/>
      <c r="P2377" s="118"/>
      <c r="Q2377" s="118"/>
      <c r="R2377" s="118"/>
      <c r="S2377" s="112">
        <v>0</v>
      </c>
    </row>
    <row r="2378" spans="1:19" ht="60">
      <c r="A2378" s="76">
        <v>1</v>
      </c>
      <c r="B2378" s="77" t="s">
        <v>754</v>
      </c>
      <c r="C2378" s="76" t="s">
        <v>7</v>
      </c>
      <c r="D2378" s="143">
        <v>174</v>
      </c>
      <c r="E2378" s="77"/>
      <c r="F2378" s="334">
        <v>174</v>
      </c>
      <c r="G2378" s="112" t="s">
        <v>974</v>
      </c>
      <c r="H2378" s="120" t="s">
        <v>975</v>
      </c>
      <c r="I2378" s="120" t="s">
        <v>723</v>
      </c>
      <c r="J2378" s="120" t="s">
        <v>772</v>
      </c>
      <c r="K2378" s="110">
        <v>28700</v>
      </c>
      <c r="L2378" s="110"/>
      <c r="M2378" s="110">
        <v>39300</v>
      </c>
      <c r="N2378" s="110"/>
      <c r="O2378" s="110"/>
      <c r="P2378" s="110">
        <f t="shared" ref="P2378:P2386" si="194">+K2378+L2378+M2378+N2378+O2378</f>
        <v>68000</v>
      </c>
      <c r="Q2378" s="110">
        <f t="shared" ref="Q2378:Q2386" si="195">+P2378*D2378</f>
        <v>11832000</v>
      </c>
      <c r="R2378" s="110">
        <f t="shared" ref="R2378:R2386" si="196">P2378*F2378</f>
        <v>11832000</v>
      </c>
      <c r="S2378" s="112" t="s">
        <v>1197</v>
      </c>
    </row>
    <row r="2379" spans="1:19" ht="60">
      <c r="A2379" s="76">
        <v>2</v>
      </c>
      <c r="B2379" s="77" t="s">
        <v>755</v>
      </c>
      <c r="C2379" s="76" t="s">
        <v>7</v>
      </c>
      <c r="D2379" s="143">
        <v>116</v>
      </c>
      <c r="E2379" s="77"/>
      <c r="F2379" s="334">
        <v>116</v>
      </c>
      <c r="G2379" s="112" t="s">
        <v>974</v>
      </c>
      <c r="H2379" s="120" t="s">
        <v>975</v>
      </c>
      <c r="I2379" s="120" t="s">
        <v>723</v>
      </c>
      <c r="J2379" s="120" t="s">
        <v>772</v>
      </c>
      <c r="K2379" s="110">
        <v>28700</v>
      </c>
      <c r="L2379" s="110"/>
      <c r="M2379" s="110">
        <v>47700</v>
      </c>
      <c r="N2379" s="110"/>
      <c r="O2379" s="110"/>
      <c r="P2379" s="110">
        <f t="shared" si="194"/>
        <v>76400</v>
      </c>
      <c r="Q2379" s="110">
        <f t="shared" si="195"/>
        <v>8862400</v>
      </c>
      <c r="R2379" s="110">
        <f t="shared" si="196"/>
        <v>8862400</v>
      </c>
      <c r="S2379" s="112" t="s">
        <v>1018</v>
      </c>
    </row>
    <row r="2380" spans="1:19" ht="60">
      <c r="A2380" s="76">
        <v>3</v>
      </c>
      <c r="B2380" s="77" t="s">
        <v>756</v>
      </c>
      <c r="C2380" s="76" t="s">
        <v>7</v>
      </c>
      <c r="D2380" s="143">
        <v>1550</v>
      </c>
      <c r="E2380" s="77"/>
      <c r="F2380" s="334">
        <v>1550</v>
      </c>
      <c r="G2380" s="112" t="s">
        <v>822</v>
      </c>
      <c r="H2380" s="120" t="s">
        <v>821</v>
      </c>
      <c r="I2380" s="120" t="s">
        <v>723</v>
      </c>
      <c r="J2380" s="120" t="s">
        <v>772</v>
      </c>
      <c r="K2380" s="110">
        <v>25800</v>
      </c>
      <c r="L2380" s="110"/>
      <c r="M2380" s="110">
        <v>30300</v>
      </c>
      <c r="N2380" s="110"/>
      <c r="O2380" s="110"/>
      <c r="P2380" s="110">
        <f t="shared" si="194"/>
        <v>56100</v>
      </c>
      <c r="Q2380" s="110">
        <f t="shared" si="195"/>
        <v>86955000</v>
      </c>
      <c r="R2380" s="110">
        <f t="shared" si="196"/>
        <v>86955000</v>
      </c>
      <c r="S2380" s="112" t="s">
        <v>1197</v>
      </c>
    </row>
    <row r="2381" spans="1:19" ht="60">
      <c r="A2381" s="76">
        <v>4</v>
      </c>
      <c r="B2381" s="77" t="s">
        <v>757</v>
      </c>
      <c r="C2381" s="76" t="s">
        <v>7</v>
      </c>
      <c r="D2381" s="143">
        <v>1034</v>
      </c>
      <c r="E2381" s="77"/>
      <c r="F2381" s="334">
        <v>1034</v>
      </c>
      <c r="G2381" s="112" t="s">
        <v>822</v>
      </c>
      <c r="H2381" s="120" t="s">
        <v>821</v>
      </c>
      <c r="I2381" s="120" t="s">
        <v>723</v>
      </c>
      <c r="J2381" s="120" t="s">
        <v>772</v>
      </c>
      <c r="K2381" s="110">
        <v>25800</v>
      </c>
      <c r="L2381" s="110"/>
      <c r="M2381" s="110">
        <v>46400</v>
      </c>
      <c r="N2381" s="110"/>
      <c r="O2381" s="110"/>
      <c r="P2381" s="110">
        <f t="shared" si="194"/>
        <v>72200</v>
      </c>
      <c r="Q2381" s="110">
        <f t="shared" si="195"/>
        <v>74654800</v>
      </c>
      <c r="R2381" s="110">
        <f t="shared" si="196"/>
        <v>74654800</v>
      </c>
      <c r="S2381" s="112" t="s">
        <v>1018</v>
      </c>
    </row>
    <row r="2382" spans="1:19" ht="60">
      <c r="A2382" s="76">
        <v>5</v>
      </c>
      <c r="B2382" s="77" t="s">
        <v>758</v>
      </c>
      <c r="C2382" s="76" t="s">
        <v>7</v>
      </c>
      <c r="D2382" s="143">
        <v>415</v>
      </c>
      <c r="E2382" s="77"/>
      <c r="F2382" s="334">
        <v>415</v>
      </c>
      <c r="G2382" s="112" t="s">
        <v>972</v>
      </c>
      <c r="H2382" s="120" t="s">
        <v>973</v>
      </c>
      <c r="I2382" s="120" t="s">
        <v>723</v>
      </c>
      <c r="J2382" s="120" t="s">
        <v>772</v>
      </c>
      <c r="K2382" s="110">
        <v>12400</v>
      </c>
      <c r="L2382" s="110"/>
      <c r="M2382" s="110">
        <v>25200</v>
      </c>
      <c r="N2382" s="110"/>
      <c r="O2382" s="110"/>
      <c r="P2382" s="110">
        <f t="shared" si="194"/>
        <v>37600</v>
      </c>
      <c r="Q2382" s="110">
        <f t="shared" si="195"/>
        <v>15604000</v>
      </c>
      <c r="R2382" s="110">
        <f t="shared" si="196"/>
        <v>15604000</v>
      </c>
      <c r="S2382" s="112" t="s">
        <v>1197</v>
      </c>
    </row>
    <row r="2383" spans="1:19" ht="60">
      <c r="A2383" s="76">
        <v>6</v>
      </c>
      <c r="B2383" s="77" t="s">
        <v>759</v>
      </c>
      <c r="C2383" s="76" t="s">
        <v>7</v>
      </c>
      <c r="D2383" s="143">
        <v>277</v>
      </c>
      <c r="E2383" s="77"/>
      <c r="F2383" s="334">
        <v>277</v>
      </c>
      <c r="G2383" s="112" t="s">
        <v>972</v>
      </c>
      <c r="H2383" s="120" t="s">
        <v>973</v>
      </c>
      <c r="I2383" s="120" t="s">
        <v>723</v>
      </c>
      <c r="J2383" s="120" t="s">
        <v>772</v>
      </c>
      <c r="K2383" s="110">
        <v>12400</v>
      </c>
      <c r="L2383" s="110"/>
      <c r="M2383" s="110">
        <v>43700</v>
      </c>
      <c r="N2383" s="110"/>
      <c r="O2383" s="110"/>
      <c r="P2383" s="110">
        <f t="shared" si="194"/>
        <v>56100</v>
      </c>
      <c r="Q2383" s="110">
        <f t="shared" si="195"/>
        <v>15539700</v>
      </c>
      <c r="R2383" s="110">
        <f t="shared" si="196"/>
        <v>15539700</v>
      </c>
      <c r="S2383" s="112" t="s">
        <v>1018</v>
      </c>
    </row>
    <row r="2384" spans="1:19" ht="60">
      <c r="A2384" s="76">
        <v>7</v>
      </c>
      <c r="B2384" s="77" t="s">
        <v>760</v>
      </c>
      <c r="C2384" s="76" t="s">
        <v>7</v>
      </c>
      <c r="D2384" s="143">
        <v>26278</v>
      </c>
      <c r="E2384" s="77"/>
      <c r="F2384" s="334">
        <v>26278</v>
      </c>
      <c r="G2384" s="112" t="s">
        <v>970</v>
      </c>
      <c r="H2384" s="120" t="s">
        <v>971</v>
      </c>
      <c r="I2384" s="120" t="s">
        <v>723</v>
      </c>
      <c r="J2384" s="120" t="s">
        <v>772</v>
      </c>
      <c r="K2384" s="110">
        <v>9000</v>
      </c>
      <c r="L2384" s="110"/>
      <c r="M2384" s="110">
        <v>23200</v>
      </c>
      <c r="N2384" s="110"/>
      <c r="O2384" s="110"/>
      <c r="P2384" s="110">
        <f t="shared" si="194"/>
        <v>32200</v>
      </c>
      <c r="Q2384" s="110">
        <f t="shared" si="195"/>
        <v>846151600</v>
      </c>
      <c r="R2384" s="110">
        <f t="shared" si="196"/>
        <v>846151600</v>
      </c>
      <c r="S2384" s="112" t="s">
        <v>1197</v>
      </c>
    </row>
    <row r="2385" spans="1:19" ht="60">
      <c r="A2385" s="76">
        <v>8</v>
      </c>
      <c r="B2385" s="77" t="s">
        <v>761</v>
      </c>
      <c r="C2385" s="76" t="s">
        <v>7</v>
      </c>
      <c r="D2385" s="143">
        <v>17518</v>
      </c>
      <c r="E2385" s="77"/>
      <c r="F2385" s="334">
        <v>17518</v>
      </c>
      <c r="G2385" s="112" t="s">
        <v>970</v>
      </c>
      <c r="H2385" s="120" t="s">
        <v>971</v>
      </c>
      <c r="I2385" s="120" t="s">
        <v>723</v>
      </c>
      <c r="J2385" s="120" t="s">
        <v>772</v>
      </c>
      <c r="K2385" s="110">
        <v>9000</v>
      </c>
      <c r="L2385" s="110"/>
      <c r="M2385" s="110">
        <v>41700</v>
      </c>
      <c r="N2385" s="110"/>
      <c r="O2385" s="110"/>
      <c r="P2385" s="110">
        <f t="shared" si="194"/>
        <v>50700</v>
      </c>
      <c r="Q2385" s="110">
        <f t="shared" si="195"/>
        <v>888162600</v>
      </c>
      <c r="R2385" s="110">
        <f t="shared" si="196"/>
        <v>888162600</v>
      </c>
      <c r="S2385" s="112" t="s">
        <v>1018</v>
      </c>
    </row>
    <row r="2386" spans="1:19" ht="30">
      <c r="A2386" s="76">
        <v>9</v>
      </c>
      <c r="B2386" s="77" t="s">
        <v>762</v>
      </c>
      <c r="C2386" s="76" t="s">
        <v>7</v>
      </c>
      <c r="D2386" s="143">
        <v>173</v>
      </c>
      <c r="E2386" s="77"/>
      <c r="F2386" s="334">
        <v>173</v>
      </c>
      <c r="G2386" s="112" t="s">
        <v>810</v>
      </c>
      <c r="H2386" s="120" t="s">
        <v>809</v>
      </c>
      <c r="I2386" s="120" t="s">
        <v>808</v>
      </c>
      <c r="J2386" s="120" t="s">
        <v>772</v>
      </c>
      <c r="K2386" s="110">
        <v>9400</v>
      </c>
      <c r="L2386" s="110"/>
      <c r="M2386" s="110">
        <v>48400</v>
      </c>
      <c r="N2386" s="110"/>
      <c r="O2386" s="110"/>
      <c r="P2386" s="110">
        <f t="shared" si="194"/>
        <v>57800</v>
      </c>
      <c r="Q2386" s="110">
        <f t="shared" si="195"/>
        <v>9999400</v>
      </c>
      <c r="R2386" s="110">
        <f t="shared" si="196"/>
        <v>9999400</v>
      </c>
      <c r="S2386" s="112">
        <v>0</v>
      </c>
    </row>
    <row r="2387" spans="1:19">
      <c r="A2387" s="79"/>
      <c r="B2387" s="80" t="s">
        <v>480</v>
      </c>
      <c r="C2387" s="76"/>
      <c r="D2387" s="143"/>
      <c r="E2387" s="77"/>
      <c r="F2387" s="76"/>
      <c r="G2387" s="112"/>
      <c r="H2387" s="120"/>
      <c r="I2387" s="120"/>
      <c r="J2387" s="120"/>
      <c r="K2387" s="118"/>
      <c r="L2387" s="118"/>
      <c r="M2387" s="118"/>
      <c r="N2387" s="118"/>
      <c r="O2387" s="118"/>
      <c r="P2387" s="118"/>
      <c r="Q2387" s="118"/>
      <c r="R2387" s="118"/>
      <c r="S2387" s="112">
        <v>0</v>
      </c>
    </row>
    <row r="2388" spans="1:19" ht="45">
      <c r="A2388" s="76">
        <v>1</v>
      </c>
      <c r="B2388" s="77" t="s">
        <v>479</v>
      </c>
      <c r="C2388" s="76" t="s">
        <v>7</v>
      </c>
      <c r="D2388" s="143">
        <v>4277</v>
      </c>
      <c r="E2388" s="77"/>
      <c r="F2388" s="334">
        <v>4277</v>
      </c>
      <c r="G2388" s="112" t="s">
        <v>818</v>
      </c>
      <c r="H2388" s="120" t="s">
        <v>817</v>
      </c>
      <c r="I2388" s="120" t="s">
        <v>723</v>
      </c>
      <c r="J2388" s="120" t="s">
        <v>772</v>
      </c>
      <c r="K2388" s="110">
        <v>3000</v>
      </c>
      <c r="L2388" s="110"/>
      <c r="M2388" s="110">
        <v>12100</v>
      </c>
      <c r="N2388" s="110"/>
      <c r="O2388" s="110"/>
      <c r="P2388" s="110">
        <f t="shared" ref="P2388" si="197">+K2388+L2388+M2388+N2388+O2388</f>
        <v>15100</v>
      </c>
      <c r="Q2388" s="110">
        <f t="shared" ref="Q2388" si="198">+P2388*D2388</f>
        <v>64582700</v>
      </c>
      <c r="R2388" s="110">
        <f t="shared" ref="R2388" si="199">P2388*F2388</f>
        <v>64582700</v>
      </c>
      <c r="S2388" s="112">
        <v>0</v>
      </c>
    </row>
    <row r="2389" spans="1:19">
      <c r="A2389" s="90"/>
      <c r="B2389" s="91" t="s">
        <v>1057</v>
      </c>
      <c r="C2389" s="88"/>
      <c r="D2389" s="147"/>
      <c r="E2389" s="77"/>
      <c r="F2389" s="76"/>
      <c r="G2389" s="112"/>
      <c r="H2389" s="120"/>
      <c r="I2389" s="120"/>
      <c r="J2389" s="120"/>
      <c r="K2389" s="118"/>
      <c r="L2389" s="118"/>
      <c r="M2389" s="118"/>
      <c r="N2389" s="118"/>
      <c r="O2389" s="118"/>
      <c r="P2389" s="118"/>
      <c r="Q2389" s="118"/>
      <c r="R2389" s="118"/>
      <c r="S2389" s="112">
        <v>0</v>
      </c>
    </row>
    <row r="2390" spans="1:19" ht="75">
      <c r="A2390" s="88">
        <v>1</v>
      </c>
      <c r="B2390" s="87" t="s">
        <v>893</v>
      </c>
      <c r="C2390" s="88" t="s">
        <v>7</v>
      </c>
      <c r="D2390" s="147">
        <v>47</v>
      </c>
      <c r="E2390" s="87"/>
      <c r="F2390" s="334">
        <v>47</v>
      </c>
      <c r="G2390" s="112" t="s">
        <v>987</v>
      </c>
      <c r="H2390" s="120" t="s">
        <v>984</v>
      </c>
      <c r="I2390" s="120" t="s">
        <v>800</v>
      </c>
      <c r="J2390" s="120" t="s">
        <v>772</v>
      </c>
      <c r="K2390" s="110">
        <v>55300</v>
      </c>
      <c r="L2390" s="110"/>
      <c r="M2390" s="110">
        <v>37300</v>
      </c>
      <c r="N2390" s="110"/>
      <c r="O2390" s="110"/>
      <c r="P2390" s="110">
        <f t="shared" ref="P2390:P2395" si="200">+K2390+L2390+M2390+N2390+O2390</f>
        <v>92600</v>
      </c>
      <c r="Q2390" s="110">
        <f t="shared" ref="Q2390:Q2395" si="201">+P2390*D2390</f>
        <v>4352200</v>
      </c>
      <c r="R2390" s="110">
        <f t="shared" ref="R2390:R2395" si="202">P2390*F2390</f>
        <v>4352200</v>
      </c>
      <c r="S2390" s="112" t="s">
        <v>1197</v>
      </c>
    </row>
    <row r="2391" spans="1:19" ht="75">
      <c r="A2391" s="88">
        <v>2</v>
      </c>
      <c r="B2391" s="87" t="s">
        <v>894</v>
      </c>
      <c r="C2391" s="88" t="s">
        <v>7</v>
      </c>
      <c r="D2391" s="147">
        <v>4</v>
      </c>
      <c r="E2391" s="87"/>
      <c r="F2391" s="334">
        <v>4</v>
      </c>
      <c r="G2391" s="112" t="s">
        <v>980</v>
      </c>
      <c r="H2391" s="120" t="s">
        <v>981</v>
      </c>
      <c r="I2391" s="120" t="s">
        <v>800</v>
      </c>
      <c r="J2391" s="120" t="s">
        <v>772</v>
      </c>
      <c r="K2391" s="110">
        <v>81800</v>
      </c>
      <c r="L2391" s="110"/>
      <c r="M2391" s="110">
        <v>50400</v>
      </c>
      <c r="N2391" s="110"/>
      <c r="O2391" s="110"/>
      <c r="P2391" s="110">
        <f t="shared" si="200"/>
        <v>132200</v>
      </c>
      <c r="Q2391" s="110">
        <f t="shared" si="201"/>
        <v>528800</v>
      </c>
      <c r="R2391" s="110">
        <f t="shared" si="202"/>
        <v>528800</v>
      </c>
      <c r="S2391" s="112" t="s">
        <v>1197</v>
      </c>
    </row>
    <row r="2392" spans="1:19" ht="75">
      <c r="A2392" s="88">
        <v>3</v>
      </c>
      <c r="B2392" s="87" t="s">
        <v>895</v>
      </c>
      <c r="C2392" s="88" t="s">
        <v>7</v>
      </c>
      <c r="D2392" s="147">
        <v>264</v>
      </c>
      <c r="E2392" s="87"/>
      <c r="F2392" s="334">
        <v>264</v>
      </c>
      <c r="G2392" s="112" t="s">
        <v>982</v>
      </c>
      <c r="H2392" s="120" t="s">
        <v>983</v>
      </c>
      <c r="I2392" s="120" t="s">
        <v>800</v>
      </c>
      <c r="J2392" s="120" t="s">
        <v>772</v>
      </c>
      <c r="K2392" s="110">
        <v>114500</v>
      </c>
      <c r="L2392" s="110"/>
      <c r="M2392" s="110">
        <v>66500</v>
      </c>
      <c r="N2392" s="110"/>
      <c r="O2392" s="110"/>
      <c r="P2392" s="110">
        <f t="shared" si="200"/>
        <v>181000</v>
      </c>
      <c r="Q2392" s="110">
        <f t="shared" si="201"/>
        <v>47784000</v>
      </c>
      <c r="R2392" s="110">
        <f t="shared" si="202"/>
        <v>47784000</v>
      </c>
      <c r="S2392" s="112" t="s">
        <v>1197</v>
      </c>
    </row>
    <row r="2393" spans="1:19" ht="90">
      <c r="A2393" s="88">
        <v>4</v>
      </c>
      <c r="B2393" s="87" t="s">
        <v>896</v>
      </c>
      <c r="C2393" s="88" t="s">
        <v>7</v>
      </c>
      <c r="D2393" s="147">
        <v>10</v>
      </c>
      <c r="E2393" s="87"/>
      <c r="F2393" s="334">
        <v>10</v>
      </c>
      <c r="G2393" s="112" t="s">
        <v>816</v>
      </c>
      <c r="H2393" s="120" t="s">
        <v>815</v>
      </c>
      <c r="I2393" s="120" t="s">
        <v>800</v>
      </c>
      <c r="J2393" s="120" t="s">
        <v>772</v>
      </c>
      <c r="K2393" s="110">
        <v>40700</v>
      </c>
      <c r="L2393" s="110"/>
      <c r="M2393" s="110">
        <v>23200</v>
      </c>
      <c r="N2393" s="110"/>
      <c r="O2393" s="110"/>
      <c r="P2393" s="110">
        <f t="shared" si="200"/>
        <v>63900</v>
      </c>
      <c r="Q2393" s="110">
        <f t="shared" si="201"/>
        <v>639000</v>
      </c>
      <c r="R2393" s="110">
        <f t="shared" si="202"/>
        <v>639000</v>
      </c>
      <c r="S2393" s="112" t="s">
        <v>1197</v>
      </c>
    </row>
    <row r="2394" spans="1:19" ht="75">
      <c r="A2394" s="88">
        <v>5</v>
      </c>
      <c r="B2394" s="87" t="s">
        <v>897</v>
      </c>
      <c r="C2394" s="88" t="s">
        <v>7</v>
      </c>
      <c r="D2394" s="147">
        <v>1</v>
      </c>
      <c r="E2394" s="87"/>
      <c r="F2394" s="334">
        <v>1</v>
      </c>
      <c r="G2394" s="112" t="s">
        <v>814</v>
      </c>
      <c r="H2394" s="120" t="s">
        <v>813</v>
      </c>
      <c r="I2394" s="120" t="s">
        <v>800</v>
      </c>
      <c r="J2394" s="120" t="s">
        <v>772</v>
      </c>
      <c r="K2394" s="110">
        <v>52900</v>
      </c>
      <c r="L2394" s="110"/>
      <c r="M2394" s="110">
        <v>28300</v>
      </c>
      <c r="N2394" s="110"/>
      <c r="O2394" s="110"/>
      <c r="P2394" s="110">
        <f t="shared" si="200"/>
        <v>81200</v>
      </c>
      <c r="Q2394" s="110">
        <f t="shared" si="201"/>
        <v>81200</v>
      </c>
      <c r="R2394" s="110">
        <f t="shared" si="202"/>
        <v>81200</v>
      </c>
      <c r="S2394" s="112" t="s">
        <v>1197</v>
      </c>
    </row>
    <row r="2395" spans="1:19" ht="90">
      <c r="A2395" s="88">
        <v>6</v>
      </c>
      <c r="B2395" s="87" t="s">
        <v>898</v>
      </c>
      <c r="C2395" s="88" t="s">
        <v>7</v>
      </c>
      <c r="D2395" s="147">
        <v>48</v>
      </c>
      <c r="E2395" s="87"/>
      <c r="F2395" s="334">
        <v>48</v>
      </c>
      <c r="G2395" s="112" t="s">
        <v>985</v>
      </c>
      <c r="H2395" s="120" t="s">
        <v>986</v>
      </c>
      <c r="I2395" s="120" t="s">
        <v>800</v>
      </c>
      <c r="J2395" s="120" t="s">
        <v>772</v>
      </c>
      <c r="K2395" s="110">
        <v>98100</v>
      </c>
      <c r="L2395" s="110"/>
      <c r="M2395" s="110">
        <v>31300</v>
      </c>
      <c r="N2395" s="110"/>
      <c r="O2395" s="110"/>
      <c r="P2395" s="110">
        <f t="shared" si="200"/>
        <v>129400</v>
      </c>
      <c r="Q2395" s="110">
        <f t="shared" si="201"/>
        <v>6211200</v>
      </c>
      <c r="R2395" s="110">
        <f t="shared" si="202"/>
        <v>6211200</v>
      </c>
      <c r="S2395" s="112" t="s">
        <v>1197</v>
      </c>
    </row>
    <row r="2396" spans="1:19">
      <c r="A2396" s="79"/>
      <c r="B2396" s="91" t="s">
        <v>1058</v>
      </c>
      <c r="C2396" s="76"/>
      <c r="D2396" s="143"/>
      <c r="E2396" s="77"/>
      <c r="F2396" s="76"/>
      <c r="G2396" s="112"/>
      <c r="H2396" s="120"/>
      <c r="I2396" s="120"/>
      <c r="J2396" s="120"/>
      <c r="K2396" s="118"/>
      <c r="L2396" s="118"/>
      <c r="M2396" s="118"/>
      <c r="N2396" s="118"/>
      <c r="O2396" s="118"/>
      <c r="P2396" s="118"/>
      <c r="Q2396" s="118"/>
      <c r="R2396" s="118"/>
      <c r="S2396" s="112">
        <v>0</v>
      </c>
    </row>
    <row r="2397" spans="1:19" ht="60">
      <c r="A2397" s="88">
        <v>1</v>
      </c>
      <c r="B2397" s="87" t="s">
        <v>1059</v>
      </c>
      <c r="C2397" s="76" t="s">
        <v>7</v>
      </c>
      <c r="D2397" s="147">
        <v>144</v>
      </c>
      <c r="E2397" s="87"/>
      <c r="F2397" s="334">
        <v>144</v>
      </c>
      <c r="G2397" s="112" t="s">
        <v>3753</v>
      </c>
      <c r="H2397" s="120" t="s">
        <v>3754</v>
      </c>
      <c r="I2397" s="120" t="s">
        <v>723</v>
      </c>
      <c r="J2397" s="120" t="s">
        <v>772</v>
      </c>
      <c r="K2397" s="110">
        <v>10400</v>
      </c>
      <c r="L2397" s="110"/>
      <c r="M2397" s="110">
        <v>41700</v>
      </c>
      <c r="N2397" s="110"/>
      <c r="O2397" s="110"/>
      <c r="P2397" s="110">
        <f t="shared" ref="P2397" si="203">+K2397+L2397+M2397+N2397+O2397</f>
        <v>52100</v>
      </c>
      <c r="Q2397" s="110">
        <f t="shared" ref="Q2397" si="204">+P2397*D2397</f>
        <v>7502400</v>
      </c>
      <c r="R2397" s="110">
        <f t="shared" ref="R2397" si="205">P2397*F2397</f>
        <v>7502400</v>
      </c>
      <c r="S2397" s="112" t="s">
        <v>1018</v>
      </c>
    </row>
    <row r="2398" spans="1:19">
      <c r="A2398" s="85" t="s">
        <v>477</v>
      </c>
      <c r="B2398" s="86" t="s">
        <v>1060</v>
      </c>
      <c r="C2398" s="85"/>
      <c r="D2398" s="151"/>
      <c r="E2398" s="337"/>
      <c r="F2398" s="347"/>
      <c r="G2398" s="448"/>
      <c r="H2398" s="447"/>
      <c r="I2398" s="447"/>
      <c r="J2398" s="447"/>
      <c r="K2398" s="548"/>
      <c r="L2398" s="548"/>
      <c r="M2398" s="548"/>
      <c r="N2398" s="548"/>
      <c r="O2398" s="548"/>
      <c r="P2398" s="548"/>
      <c r="Q2398" s="548"/>
      <c r="R2398" s="548"/>
      <c r="S2398" s="337"/>
    </row>
    <row r="2399" spans="1:19">
      <c r="A2399" s="79"/>
      <c r="B2399" s="80" t="s">
        <v>482</v>
      </c>
      <c r="C2399" s="76"/>
      <c r="D2399" s="143"/>
      <c r="E2399" s="77"/>
      <c r="F2399" s="76"/>
      <c r="G2399" s="112"/>
      <c r="H2399" s="120"/>
      <c r="I2399" s="120"/>
      <c r="J2399" s="120"/>
      <c r="K2399" s="118"/>
      <c r="L2399" s="118"/>
      <c r="M2399" s="118"/>
      <c r="N2399" s="118"/>
      <c r="O2399" s="118"/>
      <c r="P2399" s="118"/>
      <c r="Q2399" s="118"/>
      <c r="R2399" s="118"/>
      <c r="S2399" s="77"/>
    </row>
    <row r="2400" spans="1:19" ht="28.5">
      <c r="A2400" s="79">
        <v>1</v>
      </c>
      <c r="B2400" s="80" t="s">
        <v>483</v>
      </c>
      <c r="C2400" s="76"/>
      <c r="D2400" s="143"/>
      <c r="E2400" s="77"/>
      <c r="F2400" s="76"/>
      <c r="G2400" s="112">
        <v>0</v>
      </c>
      <c r="H2400" s="120">
        <v>0</v>
      </c>
      <c r="I2400" s="120">
        <v>0</v>
      </c>
      <c r="J2400" s="120">
        <v>0</v>
      </c>
      <c r="K2400" s="110">
        <v>0</v>
      </c>
      <c r="L2400" s="110"/>
      <c r="M2400" s="110">
        <v>0</v>
      </c>
      <c r="N2400" s="110"/>
      <c r="O2400" s="110"/>
      <c r="P2400" s="110">
        <f t="shared" ref="P2400" si="206">+K2400+L2400+M2400+N2400+O2400</f>
        <v>0</v>
      </c>
      <c r="Q2400" s="110">
        <f t="shared" ref="Q2400" si="207">+P2400*D2400</f>
        <v>0</v>
      </c>
      <c r="R2400" s="110">
        <f t="shared" ref="R2400" si="208">P2400*F2400</f>
        <v>0</v>
      </c>
      <c r="S2400" s="112">
        <v>0</v>
      </c>
    </row>
    <row r="2401" spans="1:19" ht="45">
      <c r="A2401" s="79"/>
      <c r="B2401" s="77" t="s">
        <v>484</v>
      </c>
      <c r="C2401" s="76" t="s">
        <v>6</v>
      </c>
      <c r="D2401" s="143">
        <v>36</v>
      </c>
      <c r="E2401" s="77"/>
      <c r="F2401" s="334">
        <v>36</v>
      </c>
      <c r="G2401" s="112">
        <v>0</v>
      </c>
      <c r="H2401" s="120" t="s">
        <v>1078</v>
      </c>
      <c r="I2401" s="120" t="s">
        <v>948</v>
      </c>
      <c r="J2401" s="120" t="s">
        <v>1088</v>
      </c>
      <c r="K2401" s="110">
        <v>3674300</v>
      </c>
      <c r="L2401" s="110"/>
      <c r="M2401" s="110">
        <v>1533500</v>
      </c>
      <c r="N2401" s="110"/>
      <c r="O2401" s="110"/>
      <c r="P2401" s="110">
        <f t="shared" ref="P2401:P2464" si="209">+K2401+L2401+M2401+N2401+O2401</f>
        <v>5207800</v>
      </c>
      <c r="Q2401" s="110">
        <f t="shared" ref="Q2401:Q2464" si="210">+P2401*D2401</f>
        <v>187480800</v>
      </c>
      <c r="R2401" s="110">
        <f t="shared" ref="R2401:R2464" si="211">P2401*F2401</f>
        <v>187480800</v>
      </c>
      <c r="S2401" s="112">
        <v>0</v>
      </c>
    </row>
    <row r="2402" spans="1:19" ht="45">
      <c r="A2402" s="79"/>
      <c r="B2402" s="77" t="s">
        <v>360</v>
      </c>
      <c r="C2402" s="76" t="s">
        <v>485</v>
      </c>
      <c r="D2402" s="143">
        <v>1</v>
      </c>
      <c r="E2402" s="77"/>
      <c r="F2402" s="334">
        <v>1</v>
      </c>
      <c r="G2402" s="112">
        <v>0</v>
      </c>
      <c r="H2402" s="120" t="s">
        <v>1084</v>
      </c>
      <c r="I2402" s="120" t="s">
        <v>948</v>
      </c>
      <c r="J2402" s="120" t="s">
        <v>769</v>
      </c>
      <c r="K2402" s="110">
        <v>0</v>
      </c>
      <c r="L2402" s="110"/>
      <c r="M2402" s="110">
        <v>0</v>
      </c>
      <c r="N2402" s="110"/>
      <c r="O2402" s="110"/>
      <c r="P2402" s="110">
        <f t="shared" si="209"/>
        <v>0</v>
      </c>
      <c r="Q2402" s="110">
        <f t="shared" si="210"/>
        <v>0</v>
      </c>
      <c r="R2402" s="110">
        <f t="shared" si="211"/>
        <v>0</v>
      </c>
      <c r="S2402" s="112" t="s">
        <v>806</v>
      </c>
    </row>
    <row r="2403" spans="1:19" ht="45">
      <c r="A2403" s="79"/>
      <c r="B2403" s="77" t="s">
        <v>306</v>
      </c>
      <c r="C2403" s="76" t="s">
        <v>485</v>
      </c>
      <c r="D2403" s="143">
        <v>2</v>
      </c>
      <c r="E2403" s="77"/>
      <c r="F2403" s="334">
        <v>2</v>
      </c>
      <c r="G2403" s="112">
        <v>0</v>
      </c>
      <c r="H2403" s="120" t="s">
        <v>1082</v>
      </c>
      <c r="I2403" s="120" t="s">
        <v>948</v>
      </c>
      <c r="J2403" s="120" t="s">
        <v>769</v>
      </c>
      <c r="K2403" s="110">
        <v>0</v>
      </c>
      <c r="L2403" s="110"/>
      <c r="M2403" s="110">
        <v>0</v>
      </c>
      <c r="N2403" s="110"/>
      <c r="O2403" s="110"/>
      <c r="P2403" s="110">
        <f t="shared" si="209"/>
        <v>0</v>
      </c>
      <c r="Q2403" s="110">
        <f t="shared" si="210"/>
        <v>0</v>
      </c>
      <c r="R2403" s="110">
        <f t="shared" si="211"/>
        <v>0</v>
      </c>
      <c r="S2403" s="112" t="s">
        <v>806</v>
      </c>
    </row>
    <row r="2404" spans="1:19" ht="45">
      <c r="A2404" s="79"/>
      <c r="B2404" s="77" t="s">
        <v>156</v>
      </c>
      <c r="C2404" s="76" t="s">
        <v>485</v>
      </c>
      <c r="D2404" s="143">
        <v>6</v>
      </c>
      <c r="E2404" s="77"/>
      <c r="F2404" s="334">
        <v>6</v>
      </c>
      <c r="G2404" s="112">
        <v>0</v>
      </c>
      <c r="H2404" s="120" t="s">
        <v>1081</v>
      </c>
      <c r="I2404" s="120" t="s">
        <v>948</v>
      </c>
      <c r="J2404" s="120" t="s">
        <v>769</v>
      </c>
      <c r="K2404" s="110">
        <v>0</v>
      </c>
      <c r="L2404" s="110"/>
      <c r="M2404" s="110">
        <v>0</v>
      </c>
      <c r="N2404" s="110"/>
      <c r="O2404" s="110"/>
      <c r="P2404" s="110">
        <f t="shared" si="209"/>
        <v>0</v>
      </c>
      <c r="Q2404" s="110">
        <f t="shared" si="210"/>
        <v>0</v>
      </c>
      <c r="R2404" s="110">
        <f t="shared" si="211"/>
        <v>0</v>
      </c>
      <c r="S2404" s="112" t="s">
        <v>806</v>
      </c>
    </row>
    <row r="2405" spans="1:19" ht="45">
      <c r="A2405" s="79"/>
      <c r="B2405" s="77" t="s">
        <v>157</v>
      </c>
      <c r="C2405" s="76" t="s">
        <v>485</v>
      </c>
      <c r="D2405" s="143">
        <v>2</v>
      </c>
      <c r="E2405" s="77"/>
      <c r="F2405" s="334">
        <v>2</v>
      </c>
      <c r="G2405" s="112">
        <v>0</v>
      </c>
      <c r="H2405" s="120" t="s">
        <v>1080</v>
      </c>
      <c r="I2405" s="120" t="s">
        <v>948</v>
      </c>
      <c r="J2405" s="120" t="s">
        <v>769</v>
      </c>
      <c r="K2405" s="110">
        <v>0</v>
      </c>
      <c r="L2405" s="110"/>
      <c r="M2405" s="110">
        <v>0</v>
      </c>
      <c r="N2405" s="110"/>
      <c r="O2405" s="110"/>
      <c r="P2405" s="110">
        <f t="shared" si="209"/>
        <v>0</v>
      </c>
      <c r="Q2405" s="110">
        <f t="shared" si="210"/>
        <v>0</v>
      </c>
      <c r="R2405" s="110">
        <f t="shared" si="211"/>
        <v>0</v>
      </c>
      <c r="S2405" s="112" t="s">
        <v>806</v>
      </c>
    </row>
    <row r="2406" spans="1:19" ht="45">
      <c r="A2406" s="79"/>
      <c r="B2406" s="77" t="s">
        <v>486</v>
      </c>
      <c r="C2406" s="76" t="s">
        <v>485</v>
      </c>
      <c r="D2406" s="143">
        <v>1</v>
      </c>
      <c r="E2406" s="77"/>
      <c r="F2406" s="334">
        <v>1</v>
      </c>
      <c r="G2406" s="112">
        <v>0</v>
      </c>
      <c r="H2406" s="120" t="s">
        <v>1086</v>
      </c>
      <c r="I2406" s="120" t="s">
        <v>948</v>
      </c>
      <c r="J2406" s="120" t="s">
        <v>769</v>
      </c>
      <c r="K2406" s="110">
        <v>0</v>
      </c>
      <c r="L2406" s="110"/>
      <c r="M2406" s="110">
        <v>0</v>
      </c>
      <c r="N2406" s="110"/>
      <c r="O2406" s="110"/>
      <c r="P2406" s="110">
        <f t="shared" si="209"/>
        <v>0</v>
      </c>
      <c r="Q2406" s="110">
        <f t="shared" si="210"/>
        <v>0</v>
      </c>
      <c r="R2406" s="110">
        <f t="shared" si="211"/>
        <v>0</v>
      </c>
      <c r="S2406" s="112" t="s">
        <v>806</v>
      </c>
    </row>
    <row r="2407" spans="1:19" ht="45">
      <c r="A2407" s="79"/>
      <c r="B2407" s="77" t="s">
        <v>487</v>
      </c>
      <c r="C2407" s="76" t="s">
        <v>485</v>
      </c>
      <c r="D2407" s="143">
        <v>1</v>
      </c>
      <c r="E2407" s="77"/>
      <c r="F2407" s="334">
        <v>1</v>
      </c>
      <c r="G2407" s="112">
        <v>0</v>
      </c>
      <c r="H2407" s="120" t="s">
        <v>1086</v>
      </c>
      <c r="I2407" s="120" t="s">
        <v>948</v>
      </c>
      <c r="J2407" s="120" t="s">
        <v>769</v>
      </c>
      <c r="K2407" s="110">
        <v>0</v>
      </c>
      <c r="L2407" s="110"/>
      <c r="M2407" s="110">
        <v>0</v>
      </c>
      <c r="N2407" s="110"/>
      <c r="O2407" s="110"/>
      <c r="P2407" s="110">
        <f t="shared" si="209"/>
        <v>0</v>
      </c>
      <c r="Q2407" s="110">
        <f t="shared" si="210"/>
        <v>0</v>
      </c>
      <c r="R2407" s="110">
        <f t="shared" si="211"/>
        <v>0</v>
      </c>
      <c r="S2407" s="112" t="s">
        <v>806</v>
      </c>
    </row>
    <row r="2408" spans="1:19">
      <c r="A2408" s="79"/>
      <c r="B2408" s="77" t="s">
        <v>488</v>
      </c>
      <c r="C2408" s="76" t="s">
        <v>17</v>
      </c>
      <c r="D2408" s="143">
        <v>1</v>
      </c>
      <c r="E2408" s="77"/>
      <c r="F2408" s="334">
        <v>1</v>
      </c>
      <c r="G2408" s="112">
        <v>0</v>
      </c>
      <c r="H2408" s="120">
        <v>0</v>
      </c>
      <c r="I2408" s="120">
        <v>0</v>
      </c>
      <c r="J2408" s="120" t="s">
        <v>772</v>
      </c>
      <c r="K2408" s="110">
        <v>0</v>
      </c>
      <c r="L2408" s="110"/>
      <c r="M2408" s="110">
        <v>0</v>
      </c>
      <c r="N2408" s="110"/>
      <c r="O2408" s="110"/>
      <c r="P2408" s="110">
        <f t="shared" si="209"/>
        <v>0</v>
      </c>
      <c r="Q2408" s="110">
        <f t="shared" si="210"/>
        <v>0</v>
      </c>
      <c r="R2408" s="110">
        <f t="shared" si="211"/>
        <v>0</v>
      </c>
      <c r="S2408" s="112" t="s">
        <v>806</v>
      </c>
    </row>
    <row r="2409" spans="1:19" ht="28.5">
      <c r="A2409" s="79">
        <v>2</v>
      </c>
      <c r="B2409" s="80" t="s">
        <v>489</v>
      </c>
      <c r="C2409" s="76"/>
      <c r="D2409" s="143">
        <v>0</v>
      </c>
      <c r="E2409" s="77"/>
      <c r="F2409" s="76"/>
      <c r="G2409" s="112">
        <v>0</v>
      </c>
      <c r="H2409" s="120">
        <v>0</v>
      </c>
      <c r="I2409" s="120">
        <v>0</v>
      </c>
      <c r="J2409" s="120">
        <v>0</v>
      </c>
      <c r="K2409" s="110">
        <v>0</v>
      </c>
      <c r="L2409" s="110"/>
      <c r="M2409" s="110">
        <v>0</v>
      </c>
      <c r="N2409" s="110"/>
      <c r="O2409" s="110"/>
      <c r="P2409" s="110">
        <f t="shared" si="209"/>
        <v>0</v>
      </c>
      <c r="Q2409" s="110">
        <f t="shared" si="210"/>
        <v>0</v>
      </c>
      <c r="R2409" s="110">
        <f t="shared" si="211"/>
        <v>0</v>
      </c>
      <c r="S2409" s="112">
        <v>0</v>
      </c>
    </row>
    <row r="2410" spans="1:19" ht="45">
      <c r="A2410" s="79"/>
      <c r="B2410" s="77" t="s">
        <v>490</v>
      </c>
      <c r="C2410" s="76" t="s">
        <v>6</v>
      </c>
      <c r="D2410" s="143">
        <v>95</v>
      </c>
      <c r="E2410" s="77"/>
      <c r="F2410" s="334">
        <v>95</v>
      </c>
      <c r="G2410" s="112">
        <v>0</v>
      </c>
      <c r="H2410" s="120" t="s">
        <v>1078</v>
      </c>
      <c r="I2410" s="120" t="s">
        <v>948</v>
      </c>
      <c r="J2410" s="120" t="s">
        <v>1088</v>
      </c>
      <c r="K2410" s="110">
        <v>3461200</v>
      </c>
      <c r="L2410" s="110"/>
      <c r="M2410" s="110">
        <v>1533500</v>
      </c>
      <c r="N2410" s="110"/>
      <c r="O2410" s="110"/>
      <c r="P2410" s="110">
        <f t="shared" si="209"/>
        <v>4994700</v>
      </c>
      <c r="Q2410" s="110">
        <f t="shared" si="210"/>
        <v>474496500</v>
      </c>
      <c r="R2410" s="110">
        <f t="shared" si="211"/>
        <v>474496500</v>
      </c>
      <c r="S2410" s="112">
        <v>0</v>
      </c>
    </row>
    <row r="2411" spans="1:19" ht="45">
      <c r="A2411" s="79"/>
      <c r="B2411" s="77" t="s">
        <v>360</v>
      </c>
      <c r="C2411" s="76" t="s">
        <v>485</v>
      </c>
      <c r="D2411" s="143">
        <v>1</v>
      </c>
      <c r="E2411" s="77"/>
      <c r="F2411" s="334">
        <v>1</v>
      </c>
      <c r="G2411" s="112">
        <v>0</v>
      </c>
      <c r="H2411" s="120" t="s">
        <v>1084</v>
      </c>
      <c r="I2411" s="120" t="s">
        <v>948</v>
      </c>
      <c r="J2411" s="120" t="s">
        <v>769</v>
      </c>
      <c r="K2411" s="110">
        <v>0</v>
      </c>
      <c r="L2411" s="110"/>
      <c r="M2411" s="110">
        <v>0</v>
      </c>
      <c r="N2411" s="110"/>
      <c r="O2411" s="110"/>
      <c r="P2411" s="110">
        <f t="shared" si="209"/>
        <v>0</v>
      </c>
      <c r="Q2411" s="110">
        <f t="shared" si="210"/>
        <v>0</v>
      </c>
      <c r="R2411" s="110">
        <f t="shared" si="211"/>
        <v>0</v>
      </c>
      <c r="S2411" s="112" t="s">
        <v>806</v>
      </c>
    </row>
    <row r="2412" spans="1:19" ht="45">
      <c r="A2412" s="79"/>
      <c r="B2412" s="77" t="s">
        <v>491</v>
      </c>
      <c r="C2412" s="76" t="s">
        <v>485</v>
      </c>
      <c r="D2412" s="143">
        <v>1</v>
      </c>
      <c r="E2412" s="77"/>
      <c r="F2412" s="334">
        <v>1</v>
      </c>
      <c r="G2412" s="112">
        <v>0</v>
      </c>
      <c r="H2412" s="120" t="s">
        <v>1082</v>
      </c>
      <c r="I2412" s="120" t="s">
        <v>948</v>
      </c>
      <c r="J2412" s="120" t="s">
        <v>769</v>
      </c>
      <c r="K2412" s="110">
        <v>0</v>
      </c>
      <c r="L2412" s="110"/>
      <c r="M2412" s="110">
        <v>0</v>
      </c>
      <c r="N2412" s="110"/>
      <c r="O2412" s="110"/>
      <c r="P2412" s="110">
        <f t="shared" si="209"/>
        <v>0</v>
      </c>
      <c r="Q2412" s="110">
        <f t="shared" si="210"/>
        <v>0</v>
      </c>
      <c r="R2412" s="110">
        <f t="shared" si="211"/>
        <v>0</v>
      </c>
      <c r="S2412" s="112" t="s">
        <v>806</v>
      </c>
    </row>
    <row r="2413" spans="1:19" ht="45">
      <c r="A2413" s="79"/>
      <c r="B2413" s="77" t="s">
        <v>156</v>
      </c>
      <c r="C2413" s="76" t="s">
        <v>485</v>
      </c>
      <c r="D2413" s="143">
        <v>6</v>
      </c>
      <c r="E2413" s="77"/>
      <c r="F2413" s="334">
        <v>6</v>
      </c>
      <c r="G2413" s="112">
        <v>0</v>
      </c>
      <c r="H2413" s="120" t="s">
        <v>1081</v>
      </c>
      <c r="I2413" s="120" t="s">
        <v>948</v>
      </c>
      <c r="J2413" s="120" t="s">
        <v>769</v>
      </c>
      <c r="K2413" s="110">
        <v>0</v>
      </c>
      <c r="L2413" s="110"/>
      <c r="M2413" s="110">
        <v>0</v>
      </c>
      <c r="N2413" s="110"/>
      <c r="O2413" s="110"/>
      <c r="P2413" s="110">
        <f t="shared" si="209"/>
        <v>0</v>
      </c>
      <c r="Q2413" s="110">
        <f t="shared" si="210"/>
        <v>0</v>
      </c>
      <c r="R2413" s="110">
        <f t="shared" si="211"/>
        <v>0</v>
      </c>
      <c r="S2413" s="112" t="s">
        <v>806</v>
      </c>
    </row>
    <row r="2414" spans="1:19" ht="45">
      <c r="A2414" s="79"/>
      <c r="B2414" s="77" t="s">
        <v>157</v>
      </c>
      <c r="C2414" s="76" t="s">
        <v>485</v>
      </c>
      <c r="D2414" s="143">
        <v>1</v>
      </c>
      <c r="E2414" s="77"/>
      <c r="F2414" s="334">
        <v>1</v>
      </c>
      <c r="G2414" s="112">
        <v>0</v>
      </c>
      <c r="H2414" s="120" t="s">
        <v>1080</v>
      </c>
      <c r="I2414" s="120" t="s">
        <v>948</v>
      </c>
      <c r="J2414" s="120" t="s">
        <v>769</v>
      </c>
      <c r="K2414" s="110">
        <v>0</v>
      </c>
      <c r="L2414" s="110"/>
      <c r="M2414" s="110">
        <v>0</v>
      </c>
      <c r="N2414" s="110"/>
      <c r="O2414" s="110"/>
      <c r="P2414" s="110">
        <f t="shared" si="209"/>
        <v>0</v>
      </c>
      <c r="Q2414" s="110">
        <f t="shared" si="210"/>
        <v>0</v>
      </c>
      <c r="R2414" s="110">
        <f t="shared" si="211"/>
        <v>0</v>
      </c>
      <c r="S2414" s="112" t="s">
        <v>806</v>
      </c>
    </row>
    <row r="2415" spans="1:19" ht="45">
      <c r="A2415" s="79"/>
      <c r="B2415" s="77" t="s">
        <v>492</v>
      </c>
      <c r="C2415" s="76" t="s">
        <v>485</v>
      </c>
      <c r="D2415" s="143">
        <v>1</v>
      </c>
      <c r="E2415" s="77"/>
      <c r="F2415" s="334">
        <v>1</v>
      </c>
      <c r="G2415" s="112">
        <v>0</v>
      </c>
      <c r="H2415" s="120" t="s">
        <v>1087</v>
      </c>
      <c r="I2415" s="120" t="s">
        <v>948</v>
      </c>
      <c r="J2415" s="120" t="s">
        <v>769</v>
      </c>
      <c r="K2415" s="110">
        <v>0</v>
      </c>
      <c r="L2415" s="110"/>
      <c r="M2415" s="110">
        <v>0</v>
      </c>
      <c r="N2415" s="110"/>
      <c r="O2415" s="110"/>
      <c r="P2415" s="110">
        <f t="shared" si="209"/>
        <v>0</v>
      </c>
      <c r="Q2415" s="110">
        <f t="shared" si="210"/>
        <v>0</v>
      </c>
      <c r="R2415" s="110">
        <f t="shared" si="211"/>
        <v>0</v>
      </c>
      <c r="S2415" s="112" t="s">
        <v>806</v>
      </c>
    </row>
    <row r="2416" spans="1:19" ht="45">
      <c r="A2416" s="79"/>
      <c r="B2416" s="77" t="s">
        <v>487</v>
      </c>
      <c r="C2416" s="76" t="s">
        <v>485</v>
      </c>
      <c r="D2416" s="143">
        <v>1</v>
      </c>
      <c r="E2416" s="77"/>
      <c r="F2416" s="334">
        <v>1</v>
      </c>
      <c r="G2416" s="112">
        <v>0</v>
      </c>
      <c r="H2416" s="120" t="s">
        <v>1086</v>
      </c>
      <c r="I2416" s="120" t="s">
        <v>948</v>
      </c>
      <c r="J2416" s="120" t="s">
        <v>769</v>
      </c>
      <c r="K2416" s="110">
        <v>0</v>
      </c>
      <c r="L2416" s="110"/>
      <c r="M2416" s="110">
        <v>0</v>
      </c>
      <c r="N2416" s="110"/>
      <c r="O2416" s="110"/>
      <c r="P2416" s="110">
        <f t="shared" si="209"/>
        <v>0</v>
      </c>
      <c r="Q2416" s="110">
        <f t="shared" si="210"/>
        <v>0</v>
      </c>
      <c r="R2416" s="110">
        <f t="shared" si="211"/>
        <v>0</v>
      </c>
      <c r="S2416" s="112" t="s">
        <v>806</v>
      </c>
    </row>
    <row r="2417" spans="1:19">
      <c r="A2417" s="79"/>
      <c r="B2417" s="77" t="s">
        <v>488</v>
      </c>
      <c r="C2417" s="76" t="s">
        <v>17</v>
      </c>
      <c r="D2417" s="143">
        <v>1</v>
      </c>
      <c r="E2417" s="77"/>
      <c r="F2417" s="334">
        <v>1</v>
      </c>
      <c r="G2417" s="112">
        <v>0</v>
      </c>
      <c r="H2417" s="120">
        <v>0</v>
      </c>
      <c r="I2417" s="120">
        <v>0</v>
      </c>
      <c r="J2417" s="120" t="s">
        <v>772</v>
      </c>
      <c r="K2417" s="110">
        <v>0</v>
      </c>
      <c r="L2417" s="110"/>
      <c r="M2417" s="110">
        <v>0</v>
      </c>
      <c r="N2417" s="110"/>
      <c r="O2417" s="110"/>
      <c r="P2417" s="110">
        <f t="shared" si="209"/>
        <v>0</v>
      </c>
      <c r="Q2417" s="110">
        <f t="shared" si="210"/>
        <v>0</v>
      </c>
      <c r="R2417" s="110">
        <f t="shared" si="211"/>
        <v>0</v>
      </c>
      <c r="S2417" s="112" t="s">
        <v>806</v>
      </c>
    </row>
    <row r="2418" spans="1:19" ht="42.75">
      <c r="A2418" s="79">
        <v>3</v>
      </c>
      <c r="B2418" s="80" t="s">
        <v>493</v>
      </c>
      <c r="C2418" s="76"/>
      <c r="D2418" s="143">
        <v>0</v>
      </c>
      <c r="E2418" s="77"/>
      <c r="F2418" s="76"/>
      <c r="G2418" s="112">
        <v>0</v>
      </c>
      <c r="H2418" s="120">
        <v>0</v>
      </c>
      <c r="I2418" s="120">
        <v>0</v>
      </c>
      <c r="J2418" s="120">
        <v>0</v>
      </c>
      <c r="K2418" s="110">
        <v>0</v>
      </c>
      <c r="L2418" s="110"/>
      <c r="M2418" s="110">
        <v>0</v>
      </c>
      <c r="N2418" s="110"/>
      <c r="O2418" s="110"/>
      <c r="P2418" s="110">
        <f t="shared" si="209"/>
        <v>0</v>
      </c>
      <c r="Q2418" s="110">
        <f t="shared" si="210"/>
        <v>0</v>
      </c>
      <c r="R2418" s="110">
        <f t="shared" si="211"/>
        <v>0</v>
      </c>
      <c r="S2418" s="112">
        <v>0</v>
      </c>
    </row>
    <row r="2419" spans="1:19" ht="45">
      <c r="A2419" s="79"/>
      <c r="B2419" s="77" t="s">
        <v>490</v>
      </c>
      <c r="C2419" s="76" t="s">
        <v>6</v>
      </c>
      <c r="D2419" s="143">
        <v>95</v>
      </c>
      <c r="E2419" s="77"/>
      <c r="F2419" s="334">
        <v>95</v>
      </c>
      <c r="G2419" s="112">
        <v>0</v>
      </c>
      <c r="H2419" s="120" t="s">
        <v>1078</v>
      </c>
      <c r="I2419" s="120" t="s">
        <v>948</v>
      </c>
      <c r="J2419" s="120" t="s">
        <v>1088</v>
      </c>
      <c r="K2419" s="110">
        <v>3461200</v>
      </c>
      <c r="L2419" s="110"/>
      <c r="M2419" s="110">
        <v>1533500</v>
      </c>
      <c r="N2419" s="110"/>
      <c r="O2419" s="110"/>
      <c r="P2419" s="110">
        <f t="shared" si="209"/>
        <v>4994700</v>
      </c>
      <c r="Q2419" s="110">
        <f t="shared" si="210"/>
        <v>474496500</v>
      </c>
      <c r="R2419" s="110">
        <f t="shared" si="211"/>
        <v>474496500</v>
      </c>
      <c r="S2419" s="112">
        <v>0</v>
      </c>
    </row>
    <row r="2420" spans="1:19" ht="45">
      <c r="A2420" s="79"/>
      <c r="B2420" s="77" t="s">
        <v>360</v>
      </c>
      <c r="C2420" s="76" t="s">
        <v>485</v>
      </c>
      <c r="D2420" s="143">
        <v>1</v>
      </c>
      <c r="E2420" s="77"/>
      <c r="F2420" s="334">
        <v>1</v>
      </c>
      <c r="G2420" s="112">
        <v>0</v>
      </c>
      <c r="H2420" s="120" t="s">
        <v>1084</v>
      </c>
      <c r="I2420" s="120" t="s">
        <v>948</v>
      </c>
      <c r="J2420" s="120" t="s">
        <v>769</v>
      </c>
      <c r="K2420" s="110">
        <v>0</v>
      </c>
      <c r="L2420" s="110"/>
      <c r="M2420" s="110">
        <v>0</v>
      </c>
      <c r="N2420" s="110"/>
      <c r="O2420" s="110"/>
      <c r="P2420" s="110">
        <f t="shared" si="209"/>
        <v>0</v>
      </c>
      <c r="Q2420" s="110">
        <f t="shared" si="210"/>
        <v>0</v>
      </c>
      <c r="R2420" s="110">
        <f t="shared" si="211"/>
        <v>0</v>
      </c>
      <c r="S2420" s="112" t="s">
        <v>806</v>
      </c>
    </row>
    <row r="2421" spans="1:19" ht="45">
      <c r="A2421" s="79"/>
      <c r="B2421" s="77" t="s">
        <v>306</v>
      </c>
      <c r="C2421" s="76" t="s">
        <v>485</v>
      </c>
      <c r="D2421" s="143">
        <v>2</v>
      </c>
      <c r="E2421" s="77"/>
      <c r="F2421" s="334">
        <v>2</v>
      </c>
      <c r="G2421" s="112">
        <v>0</v>
      </c>
      <c r="H2421" s="120" t="s">
        <v>1082</v>
      </c>
      <c r="I2421" s="120" t="s">
        <v>948</v>
      </c>
      <c r="J2421" s="120" t="s">
        <v>769</v>
      </c>
      <c r="K2421" s="110">
        <v>0</v>
      </c>
      <c r="L2421" s="110"/>
      <c r="M2421" s="110">
        <v>0</v>
      </c>
      <c r="N2421" s="110"/>
      <c r="O2421" s="110"/>
      <c r="P2421" s="110">
        <f t="shared" si="209"/>
        <v>0</v>
      </c>
      <c r="Q2421" s="110">
        <f t="shared" si="210"/>
        <v>0</v>
      </c>
      <c r="R2421" s="110">
        <f t="shared" si="211"/>
        <v>0</v>
      </c>
      <c r="S2421" s="112" t="s">
        <v>806</v>
      </c>
    </row>
    <row r="2422" spans="1:19" ht="45">
      <c r="A2422" s="79"/>
      <c r="B2422" s="77" t="s">
        <v>156</v>
      </c>
      <c r="C2422" s="76" t="s">
        <v>485</v>
      </c>
      <c r="D2422" s="143">
        <v>5</v>
      </c>
      <c r="E2422" s="77"/>
      <c r="F2422" s="334">
        <v>5</v>
      </c>
      <c r="G2422" s="112">
        <v>0</v>
      </c>
      <c r="H2422" s="120" t="s">
        <v>1081</v>
      </c>
      <c r="I2422" s="120" t="s">
        <v>948</v>
      </c>
      <c r="J2422" s="120" t="s">
        <v>769</v>
      </c>
      <c r="K2422" s="110">
        <v>0</v>
      </c>
      <c r="L2422" s="110"/>
      <c r="M2422" s="110">
        <v>0</v>
      </c>
      <c r="N2422" s="110"/>
      <c r="O2422" s="110"/>
      <c r="P2422" s="110">
        <f t="shared" si="209"/>
        <v>0</v>
      </c>
      <c r="Q2422" s="110">
        <f t="shared" si="210"/>
        <v>0</v>
      </c>
      <c r="R2422" s="110">
        <f t="shared" si="211"/>
        <v>0</v>
      </c>
      <c r="S2422" s="112" t="s">
        <v>806</v>
      </c>
    </row>
    <row r="2423" spans="1:19" ht="45">
      <c r="A2423" s="79"/>
      <c r="B2423" s="77" t="s">
        <v>157</v>
      </c>
      <c r="C2423" s="76" t="s">
        <v>485</v>
      </c>
      <c r="D2423" s="143">
        <v>1</v>
      </c>
      <c r="E2423" s="77"/>
      <c r="F2423" s="334">
        <v>1</v>
      </c>
      <c r="G2423" s="112">
        <v>0</v>
      </c>
      <c r="H2423" s="120" t="s">
        <v>1080</v>
      </c>
      <c r="I2423" s="120" t="s">
        <v>948</v>
      </c>
      <c r="J2423" s="120" t="s">
        <v>769</v>
      </c>
      <c r="K2423" s="110">
        <v>0</v>
      </c>
      <c r="L2423" s="110"/>
      <c r="M2423" s="110">
        <v>0</v>
      </c>
      <c r="N2423" s="110"/>
      <c r="O2423" s="110"/>
      <c r="P2423" s="110">
        <f t="shared" si="209"/>
        <v>0</v>
      </c>
      <c r="Q2423" s="110">
        <f t="shared" si="210"/>
        <v>0</v>
      </c>
      <c r="R2423" s="110">
        <f t="shared" si="211"/>
        <v>0</v>
      </c>
      <c r="S2423" s="112" t="s">
        <v>806</v>
      </c>
    </row>
    <row r="2424" spans="1:19" ht="45">
      <c r="A2424" s="79"/>
      <c r="B2424" s="77" t="s">
        <v>492</v>
      </c>
      <c r="C2424" s="76" t="s">
        <v>485</v>
      </c>
      <c r="D2424" s="143">
        <v>1</v>
      </c>
      <c r="E2424" s="77"/>
      <c r="F2424" s="334">
        <v>1</v>
      </c>
      <c r="G2424" s="112">
        <v>0</v>
      </c>
      <c r="H2424" s="120" t="s">
        <v>1087</v>
      </c>
      <c r="I2424" s="120" t="s">
        <v>948</v>
      </c>
      <c r="J2424" s="120" t="s">
        <v>769</v>
      </c>
      <c r="K2424" s="110">
        <v>0</v>
      </c>
      <c r="L2424" s="110"/>
      <c r="M2424" s="110">
        <v>0</v>
      </c>
      <c r="N2424" s="110"/>
      <c r="O2424" s="110"/>
      <c r="P2424" s="110">
        <f t="shared" si="209"/>
        <v>0</v>
      </c>
      <c r="Q2424" s="110">
        <f t="shared" si="210"/>
        <v>0</v>
      </c>
      <c r="R2424" s="110">
        <f t="shared" si="211"/>
        <v>0</v>
      </c>
      <c r="S2424" s="112" t="s">
        <v>806</v>
      </c>
    </row>
    <row r="2425" spans="1:19" ht="45">
      <c r="A2425" s="79"/>
      <c r="B2425" s="77" t="s">
        <v>487</v>
      </c>
      <c r="C2425" s="76" t="s">
        <v>485</v>
      </c>
      <c r="D2425" s="143">
        <v>1</v>
      </c>
      <c r="E2425" s="77"/>
      <c r="F2425" s="334">
        <v>1</v>
      </c>
      <c r="G2425" s="112">
        <v>0</v>
      </c>
      <c r="H2425" s="120" t="s">
        <v>1086</v>
      </c>
      <c r="I2425" s="120" t="s">
        <v>948</v>
      </c>
      <c r="J2425" s="120" t="s">
        <v>769</v>
      </c>
      <c r="K2425" s="110">
        <v>0</v>
      </c>
      <c r="L2425" s="110"/>
      <c r="M2425" s="110">
        <v>0</v>
      </c>
      <c r="N2425" s="110"/>
      <c r="O2425" s="110"/>
      <c r="P2425" s="110">
        <f t="shared" si="209"/>
        <v>0</v>
      </c>
      <c r="Q2425" s="110">
        <f t="shared" si="210"/>
        <v>0</v>
      </c>
      <c r="R2425" s="110">
        <f t="shared" si="211"/>
        <v>0</v>
      </c>
      <c r="S2425" s="112" t="s">
        <v>806</v>
      </c>
    </row>
    <row r="2426" spans="1:19">
      <c r="A2426" s="79"/>
      <c r="B2426" s="77" t="s">
        <v>488</v>
      </c>
      <c r="C2426" s="76" t="s">
        <v>17</v>
      </c>
      <c r="D2426" s="143">
        <v>1</v>
      </c>
      <c r="E2426" s="77"/>
      <c r="F2426" s="334">
        <v>1</v>
      </c>
      <c r="G2426" s="112">
        <v>0</v>
      </c>
      <c r="H2426" s="120">
        <v>0</v>
      </c>
      <c r="I2426" s="120">
        <v>0</v>
      </c>
      <c r="J2426" s="120" t="s">
        <v>772</v>
      </c>
      <c r="K2426" s="110">
        <v>0</v>
      </c>
      <c r="L2426" s="110"/>
      <c r="M2426" s="110">
        <v>0</v>
      </c>
      <c r="N2426" s="110"/>
      <c r="O2426" s="110"/>
      <c r="P2426" s="110">
        <f t="shared" si="209"/>
        <v>0</v>
      </c>
      <c r="Q2426" s="110">
        <f t="shared" si="210"/>
        <v>0</v>
      </c>
      <c r="R2426" s="110">
        <f t="shared" si="211"/>
        <v>0</v>
      </c>
      <c r="S2426" s="112" t="s">
        <v>806</v>
      </c>
    </row>
    <row r="2427" spans="1:19" ht="28.5">
      <c r="A2427" s="79">
        <v>4</v>
      </c>
      <c r="B2427" s="80" t="s">
        <v>494</v>
      </c>
      <c r="C2427" s="76"/>
      <c r="D2427" s="143">
        <v>0</v>
      </c>
      <c r="E2427" s="77"/>
      <c r="F2427" s="76"/>
      <c r="G2427" s="112">
        <v>0</v>
      </c>
      <c r="H2427" s="120">
        <v>0</v>
      </c>
      <c r="I2427" s="120">
        <v>0</v>
      </c>
      <c r="J2427" s="120">
        <v>0</v>
      </c>
      <c r="K2427" s="110">
        <v>0</v>
      </c>
      <c r="L2427" s="110"/>
      <c r="M2427" s="110">
        <v>0</v>
      </c>
      <c r="N2427" s="110"/>
      <c r="O2427" s="110"/>
      <c r="P2427" s="110">
        <f t="shared" si="209"/>
        <v>0</v>
      </c>
      <c r="Q2427" s="110">
        <f t="shared" si="210"/>
        <v>0</v>
      </c>
      <c r="R2427" s="110">
        <f t="shared" si="211"/>
        <v>0</v>
      </c>
      <c r="S2427" s="112">
        <v>0</v>
      </c>
    </row>
    <row r="2428" spans="1:19" ht="45">
      <c r="A2428" s="79"/>
      <c r="B2428" s="77" t="s">
        <v>490</v>
      </c>
      <c r="C2428" s="76" t="s">
        <v>6</v>
      </c>
      <c r="D2428" s="143">
        <v>34</v>
      </c>
      <c r="E2428" s="77"/>
      <c r="F2428" s="334">
        <v>34</v>
      </c>
      <c r="G2428" s="112">
        <v>0</v>
      </c>
      <c r="H2428" s="120" t="s">
        <v>1078</v>
      </c>
      <c r="I2428" s="120" t="s">
        <v>948</v>
      </c>
      <c r="J2428" s="120" t="s">
        <v>1088</v>
      </c>
      <c r="K2428" s="110">
        <v>3461200</v>
      </c>
      <c r="L2428" s="110"/>
      <c r="M2428" s="110">
        <v>1533500</v>
      </c>
      <c r="N2428" s="110"/>
      <c r="O2428" s="110"/>
      <c r="P2428" s="110">
        <f t="shared" si="209"/>
        <v>4994700</v>
      </c>
      <c r="Q2428" s="110">
        <f t="shared" si="210"/>
        <v>169819800</v>
      </c>
      <c r="R2428" s="110">
        <f t="shared" si="211"/>
        <v>169819800</v>
      </c>
      <c r="S2428" s="112">
        <v>0</v>
      </c>
    </row>
    <row r="2429" spans="1:19" ht="45">
      <c r="A2429" s="79"/>
      <c r="B2429" s="77" t="s">
        <v>495</v>
      </c>
      <c r="C2429" s="76" t="s">
        <v>485</v>
      </c>
      <c r="D2429" s="143">
        <v>1</v>
      </c>
      <c r="E2429" s="77"/>
      <c r="F2429" s="334">
        <v>1</v>
      </c>
      <c r="G2429" s="112">
        <v>0</v>
      </c>
      <c r="H2429" s="120" t="s">
        <v>1085</v>
      </c>
      <c r="I2429" s="120" t="s">
        <v>948</v>
      </c>
      <c r="J2429" s="120" t="s">
        <v>769</v>
      </c>
      <c r="K2429" s="110">
        <v>0</v>
      </c>
      <c r="L2429" s="110"/>
      <c r="M2429" s="110">
        <v>0</v>
      </c>
      <c r="N2429" s="110"/>
      <c r="O2429" s="110"/>
      <c r="P2429" s="110">
        <f t="shared" si="209"/>
        <v>0</v>
      </c>
      <c r="Q2429" s="110">
        <f t="shared" si="210"/>
        <v>0</v>
      </c>
      <c r="R2429" s="110">
        <f t="shared" si="211"/>
        <v>0</v>
      </c>
      <c r="S2429" s="112" t="s">
        <v>806</v>
      </c>
    </row>
    <row r="2430" spans="1:19" ht="45">
      <c r="A2430" s="79"/>
      <c r="B2430" s="77" t="s">
        <v>306</v>
      </c>
      <c r="C2430" s="76" t="s">
        <v>485</v>
      </c>
      <c r="D2430" s="143">
        <v>1</v>
      </c>
      <c r="E2430" s="77"/>
      <c r="F2430" s="334">
        <v>1</v>
      </c>
      <c r="G2430" s="112">
        <v>0</v>
      </c>
      <c r="H2430" s="120" t="s">
        <v>1082</v>
      </c>
      <c r="I2430" s="120" t="s">
        <v>948</v>
      </c>
      <c r="J2430" s="120" t="s">
        <v>769</v>
      </c>
      <c r="K2430" s="110">
        <v>0</v>
      </c>
      <c r="L2430" s="110"/>
      <c r="M2430" s="110">
        <v>0</v>
      </c>
      <c r="N2430" s="110"/>
      <c r="O2430" s="110"/>
      <c r="P2430" s="110">
        <f t="shared" si="209"/>
        <v>0</v>
      </c>
      <c r="Q2430" s="110">
        <f t="shared" si="210"/>
        <v>0</v>
      </c>
      <c r="R2430" s="110">
        <f t="shared" si="211"/>
        <v>0</v>
      </c>
      <c r="S2430" s="112" t="s">
        <v>806</v>
      </c>
    </row>
    <row r="2431" spans="1:19" ht="45">
      <c r="A2431" s="79"/>
      <c r="B2431" s="77" t="s">
        <v>156</v>
      </c>
      <c r="C2431" s="76" t="s">
        <v>485</v>
      </c>
      <c r="D2431" s="143">
        <v>6</v>
      </c>
      <c r="E2431" s="77"/>
      <c r="F2431" s="334">
        <v>6</v>
      </c>
      <c r="G2431" s="112">
        <v>0</v>
      </c>
      <c r="H2431" s="120" t="s">
        <v>1081</v>
      </c>
      <c r="I2431" s="120" t="s">
        <v>948</v>
      </c>
      <c r="J2431" s="120" t="s">
        <v>769</v>
      </c>
      <c r="K2431" s="110">
        <v>0</v>
      </c>
      <c r="L2431" s="110"/>
      <c r="M2431" s="110">
        <v>0</v>
      </c>
      <c r="N2431" s="110"/>
      <c r="O2431" s="110"/>
      <c r="P2431" s="110">
        <f t="shared" si="209"/>
        <v>0</v>
      </c>
      <c r="Q2431" s="110">
        <f t="shared" si="210"/>
        <v>0</v>
      </c>
      <c r="R2431" s="110">
        <f t="shared" si="211"/>
        <v>0</v>
      </c>
      <c r="S2431" s="112" t="s">
        <v>806</v>
      </c>
    </row>
    <row r="2432" spans="1:19" ht="45">
      <c r="A2432" s="79"/>
      <c r="B2432" s="77" t="s">
        <v>157</v>
      </c>
      <c r="C2432" s="76" t="s">
        <v>485</v>
      </c>
      <c r="D2432" s="143">
        <v>1</v>
      </c>
      <c r="E2432" s="77"/>
      <c r="F2432" s="334">
        <v>1</v>
      </c>
      <c r="G2432" s="112">
        <v>0</v>
      </c>
      <c r="H2432" s="120" t="s">
        <v>1080</v>
      </c>
      <c r="I2432" s="120" t="s">
        <v>948</v>
      </c>
      <c r="J2432" s="120" t="s">
        <v>769</v>
      </c>
      <c r="K2432" s="110">
        <v>0</v>
      </c>
      <c r="L2432" s="110"/>
      <c r="M2432" s="110">
        <v>0</v>
      </c>
      <c r="N2432" s="110"/>
      <c r="O2432" s="110"/>
      <c r="P2432" s="110">
        <f t="shared" si="209"/>
        <v>0</v>
      </c>
      <c r="Q2432" s="110">
        <f t="shared" si="210"/>
        <v>0</v>
      </c>
      <c r="R2432" s="110">
        <f t="shared" si="211"/>
        <v>0</v>
      </c>
      <c r="S2432" s="112" t="s">
        <v>806</v>
      </c>
    </row>
    <row r="2433" spans="1:19" ht="45">
      <c r="A2433" s="79"/>
      <c r="B2433" s="77" t="s">
        <v>492</v>
      </c>
      <c r="C2433" s="76" t="s">
        <v>485</v>
      </c>
      <c r="D2433" s="143">
        <v>1</v>
      </c>
      <c r="E2433" s="77"/>
      <c r="F2433" s="334">
        <v>1</v>
      </c>
      <c r="G2433" s="112">
        <v>0</v>
      </c>
      <c r="H2433" s="120" t="s">
        <v>1087</v>
      </c>
      <c r="I2433" s="120" t="s">
        <v>948</v>
      </c>
      <c r="J2433" s="120" t="s">
        <v>769</v>
      </c>
      <c r="K2433" s="110">
        <v>0</v>
      </c>
      <c r="L2433" s="110"/>
      <c r="M2433" s="110">
        <v>0</v>
      </c>
      <c r="N2433" s="110"/>
      <c r="O2433" s="110"/>
      <c r="P2433" s="110">
        <f t="shared" si="209"/>
        <v>0</v>
      </c>
      <c r="Q2433" s="110">
        <f t="shared" si="210"/>
        <v>0</v>
      </c>
      <c r="R2433" s="110">
        <f t="shared" si="211"/>
        <v>0</v>
      </c>
      <c r="S2433" s="112" t="s">
        <v>806</v>
      </c>
    </row>
    <row r="2434" spans="1:19" ht="45">
      <c r="A2434" s="79"/>
      <c r="B2434" s="77" t="s">
        <v>487</v>
      </c>
      <c r="C2434" s="76" t="s">
        <v>485</v>
      </c>
      <c r="D2434" s="143">
        <v>1</v>
      </c>
      <c r="E2434" s="77"/>
      <c r="F2434" s="334">
        <v>1</v>
      </c>
      <c r="G2434" s="112">
        <v>0</v>
      </c>
      <c r="H2434" s="120" t="s">
        <v>1086</v>
      </c>
      <c r="I2434" s="120" t="s">
        <v>948</v>
      </c>
      <c r="J2434" s="120" t="s">
        <v>769</v>
      </c>
      <c r="K2434" s="110">
        <v>0</v>
      </c>
      <c r="L2434" s="110"/>
      <c r="M2434" s="110">
        <v>0</v>
      </c>
      <c r="N2434" s="110"/>
      <c r="O2434" s="110"/>
      <c r="P2434" s="110">
        <f t="shared" si="209"/>
        <v>0</v>
      </c>
      <c r="Q2434" s="110">
        <f t="shared" si="210"/>
        <v>0</v>
      </c>
      <c r="R2434" s="110">
        <f t="shared" si="211"/>
        <v>0</v>
      </c>
      <c r="S2434" s="112" t="s">
        <v>806</v>
      </c>
    </row>
    <row r="2435" spans="1:19">
      <c r="A2435" s="79"/>
      <c r="B2435" s="77" t="s">
        <v>488</v>
      </c>
      <c r="C2435" s="76" t="s">
        <v>17</v>
      </c>
      <c r="D2435" s="143">
        <v>1</v>
      </c>
      <c r="E2435" s="77"/>
      <c r="F2435" s="334">
        <v>1</v>
      </c>
      <c r="G2435" s="112">
        <v>0</v>
      </c>
      <c r="H2435" s="120">
        <v>0</v>
      </c>
      <c r="I2435" s="120">
        <v>0</v>
      </c>
      <c r="J2435" s="120" t="s">
        <v>772</v>
      </c>
      <c r="K2435" s="110">
        <v>0</v>
      </c>
      <c r="L2435" s="110"/>
      <c r="M2435" s="110">
        <v>0</v>
      </c>
      <c r="N2435" s="110"/>
      <c r="O2435" s="110"/>
      <c r="P2435" s="110">
        <f t="shared" si="209"/>
        <v>0</v>
      </c>
      <c r="Q2435" s="110">
        <f t="shared" si="210"/>
        <v>0</v>
      </c>
      <c r="R2435" s="110">
        <f t="shared" si="211"/>
        <v>0</v>
      </c>
      <c r="S2435" s="112" t="s">
        <v>806</v>
      </c>
    </row>
    <row r="2436" spans="1:19" ht="28.5">
      <c r="A2436" s="79">
        <v>5</v>
      </c>
      <c r="B2436" s="80" t="s">
        <v>496</v>
      </c>
      <c r="C2436" s="76"/>
      <c r="D2436" s="143">
        <v>0</v>
      </c>
      <c r="E2436" s="77"/>
      <c r="F2436" s="76"/>
      <c r="G2436" s="112">
        <v>0</v>
      </c>
      <c r="H2436" s="120">
        <v>0</v>
      </c>
      <c r="I2436" s="120">
        <v>0</v>
      </c>
      <c r="J2436" s="120">
        <v>0</v>
      </c>
      <c r="K2436" s="110">
        <v>0</v>
      </c>
      <c r="L2436" s="110"/>
      <c r="M2436" s="110">
        <v>0</v>
      </c>
      <c r="N2436" s="110"/>
      <c r="O2436" s="110"/>
      <c r="P2436" s="110">
        <f t="shared" si="209"/>
        <v>0</v>
      </c>
      <c r="Q2436" s="110">
        <f t="shared" si="210"/>
        <v>0</v>
      </c>
      <c r="R2436" s="110">
        <f t="shared" si="211"/>
        <v>0</v>
      </c>
      <c r="S2436" s="112">
        <v>0</v>
      </c>
    </row>
    <row r="2437" spans="1:19" ht="45">
      <c r="A2437" s="79"/>
      <c r="B2437" s="77" t="s">
        <v>490</v>
      </c>
      <c r="C2437" s="76" t="s">
        <v>6</v>
      </c>
      <c r="D2437" s="143">
        <v>34</v>
      </c>
      <c r="E2437" s="77"/>
      <c r="F2437" s="334">
        <v>34</v>
      </c>
      <c r="G2437" s="112">
        <v>0</v>
      </c>
      <c r="H2437" s="120" t="s">
        <v>1078</v>
      </c>
      <c r="I2437" s="120" t="s">
        <v>948</v>
      </c>
      <c r="J2437" s="120" t="s">
        <v>1088</v>
      </c>
      <c r="K2437" s="110">
        <v>3360000</v>
      </c>
      <c r="L2437" s="110"/>
      <c r="M2437" s="110">
        <v>1533500</v>
      </c>
      <c r="N2437" s="110"/>
      <c r="O2437" s="110"/>
      <c r="P2437" s="110">
        <f t="shared" si="209"/>
        <v>4893500</v>
      </c>
      <c r="Q2437" s="110">
        <f t="shared" si="210"/>
        <v>166379000</v>
      </c>
      <c r="R2437" s="110">
        <f t="shared" si="211"/>
        <v>166379000</v>
      </c>
      <c r="S2437" s="112">
        <v>0</v>
      </c>
    </row>
    <row r="2438" spans="1:19" ht="45">
      <c r="A2438" s="79"/>
      <c r="B2438" s="77" t="s">
        <v>495</v>
      </c>
      <c r="C2438" s="76" t="s">
        <v>485</v>
      </c>
      <c r="D2438" s="143">
        <v>1</v>
      </c>
      <c r="E2438" s="77"/>
      <c r="F2438" s="334">
        <v>1</v>
      </c>
      <c r="G2438" s="112">
        <v>0</v>
      </c>
      <c r="H2438" s="120" t="s">
        <v>1085</v>
      </c>
      <c r="I2438" s="120" t="s">
        <v>948</v>
      </c>
      <c r="J2438" s="120" t="s">
        <v>769</v>
      </c>
      <c r="K2438" s="110">
        <v>0</v>
      </c>
      <c r="L2438" s="110"/>
      <c r="M2438" s="110">
        <v>0</v>
      </c>
      <c r="N2438" s="110"/>
      <c r="O2438" s="110"/>
      <c r="P2438" s="110">
        <f t="shared" si="209"/>
        <v>0</v>
      </c>
      <c r="Q2438" s="110">
        <f t="shared" si="210"/>
        <v>0</v>
      </c>
      <c r="R2438" s="110">
        <f t="shared" si="211"/>
        <v>0</v>
      </c>
      <c r="S2438" s="112" t="s">
        <v>806</v>
      </c>
    </row>
    <row r="2439" spans="1:19" ht="45">
      <c r="A2439" s="79"/>
      <c r="B2439" s="77" t="s">
        <v>306</v>
      </c>
      <c r="C2439" s="76" t="s">
        <v>485</v>
      </c>
      <c r="D2439" s="143">
        <v>1</v>
      </c>
      <c r="E2439" s="77"/>
      <c r="F2439" s="334">
        <v>1</v>
      </c>
      <c r="G2439" s="112">
        <v>0</v>
      </c>
      <c r="H2439" s="120" t="s">
        <v>1082</v>
      </c>
      <c r="I2439" s="120" t="s">
        <v>948</v>
      </c>
      <c r="J2439" s="120" t="s">
        <v>769</v>
      </c>
      <c r="K2439" s="110">
        <v>0</v>
      </c>
      <c r="L2439" s="110"/>
      <c r="M2439" s="110">
        <v>0</v>
      </c>
      <c r="N2439" s="110"/>
      <c r="O2439" s="110"/>
      <c r="P2439" s="110">
        <f t="shared" si="209"/>
        <v>0</v>
      </c>
      <c r="Q2439" s="110">
        <f t="shared" si="210"/>
        <v>0</v>
      </c>
      <c r="R2439" s="110">
        <f t="shared" si="211"/>
        <v>0</v>
      </c>
      <c r="S2439" s="112" t="s">
        <v>806</v>
      </c>
    </row>
    <row r="2440" spans="1:19" ht="45">
      <c r="A2440" s="79"/>
      <c r="B2440" s="77" t="s">
        <v>156</v>
      </c>
      <c r="C2440" s="76" t="s">
        <v>485</v>
      </c>
      <c r="D2440" s="143">
        <v>5</v>
      </c>
      <c r="E2440" s="77"/>
      <c r="F2440" s="334">
        <v>5</v>
      </c>
      <c r="G2440" s="112">
        <v>0</v>
      </c>
      <c r="H2440" s="120" t="s">
        <v>1081</v>
      </c>
      <c r="I2440" s="120" t="s">
        <v>948</v>
      </c>
      <c r="J2440" s="120" t="s">
        <v>769</v>
      </c>
      <c r="K2440" s="110">
        <v>0</v>
      </c>
      <c r="L2440" s="110"/>
      <c r="M2440" s="110">
        <v>0</v>
      </c>
      <c r="N2440" s="110"/>
      <c r="O2440" s="110"/>
      <c r="P2440" s="110">
        <f t="shared" si="209"/>
        <v>0</v>
      </c>
      <c r="Q2440" s="110">
        <f t="shared" si="210"/>
        <v>0</v>
      </c>
      <c r="R2440" s="110">
        <f t="shared" si="211"/>
        <v>0</v>
      </c>
      <c r="S2440" s="112" t="s">
        <v>806</v>
      </c>
    </row>
    <row r="2441" spans="1:19" ht="45">
      <c r="A2441" s="79"/>
      <c r="B2441" s="77" t="s">
        <v>157</v>
      </c>
      <c r="C2441" s="76" t="s">
        <v>485</v>
      </c>
      <c r="D2441" s="143">
        <v>1</v>
      </c>
      <c r="E2441" s="77"/>
      <c r="F2441" s="334">
        <v>1</v>
      </c>
      <c r="G2441" s="112">
        <v>0</v>
      </c>
      <c r="H2441" s="120" t="s">
        <v>1080</v>
      </c>
      <c r="I2441" s="120" t="s">
        <v>948</v>
      </c>
      <c r="J2441" s="120" t="s">
        <v>769</v>
      </c>
      <c r="K2441" s="110">
        <v>0</v>
      </c>
      <c r="L2441" s="110"/>
      <c r="M2441" s="110">
        <v>0</v>
      </c>
      <c r="N2441" s="110"/>
      <c r="O2441" s="110"/>
      <c r="P2441" s="110">
        <f t="shared" si="209"/>
        <v>0</v>
      </c>
      <c r="Q2441" s="110">
        <f t="shared" si="210"/>
        <v>0</v>
      </c>
      <c r="R2441" s="110">
        <f t="shared" si="211"/>
        <v>0</v>
      </c>
      <c r="S2441" s="112" t="s">
        <v>806</v>
      </c>
    </row>
    <row r="2442" spans="1:19" ht="45">
      <c r="A2442" s="79"/>
      <c r="B2442" s="77" t="s">
        <v>497</v>
      </c>
      <c r="C2442" s="76" t="s">
        <v>485</v>
      </c>
      <c r="D2442" s="143">
        <v>1</v>
      </c>
      <c r="E2442" s="77"/>
      <c r="F2442" s="334">
        <v>1</v>
      </c>
      <c r="G2442" s="112">
        <v>0</v>
      </c>
      <c r="H2442" s="120" t="s">
        <v>1087</v>
      </c>
      <c r="I2442" s="120" t="s">
        <v>948</v>
      </c>
      <c r="J2442" s="120" t="s">
        <v>769</v>
      </c>
      <c r="K2442" s="110">
        <v>0</v>
      </c>
      <c r="L2442" s="110"/>
      <c r="M2442" s="110">
        <v>0</v>
      </c>
      <c r="N2442" s="110"/>
      <c r="O2442" s="110"/>
      <c r="P2442" s="110">
        <f t="shared" si="209"/>
        <v>0</v>
      </c>
      <c r="Q2442" s="110">
        <f t="shared" si="210"/>
        <v>0</v>
      </c>
      <c r="R2442" s="110">
        <f t="shared" si="211"/>
        <v>0</v>
      </c>
      <c r="S2442" s="112" t="s">
        <v>806</v>
      </c>
    </row>
    <row r="2443" spans="1:19" ht="45">
      <c r="A2443" s="79"/>
      <c r="B2443" s="77" t="s">
        <v>487</v>
      </c>
      <c r="C2443" s="76" t="s">
        <v>485</v>
      </c>
      <c r="D2443" s="143">
        <v>1</v>
      </c>
      <c r="E2443" s="77"/>
      <c r="F2443" s="334">
        <v>1</v>
      </c>
      <c r="G2443" s="112">
        <v>0</v>
      </c>
      <c r="H2443" s="120" t="s">
        <v>1086</v>
      </c>
      <c r="I2443" s="120" t="s">
        <v>948</v>
      </c>
      <c r="J2443" s="120" t="s">
        <v>769</v>
      </c>
      <c r="K2443" s="110">
        <v>0</v>
      </c>
      <c r="L2443" s="110"/>
      <c r="M2443" s="110">
        <v>0</v>
      </c>
      <c r="N2443" s="110"/>
      <c r="O2443" s="110"/>
      <c r="P2443" s="110">
        <f t="shared" si="209"/>
        <v>0</v>
      </c>
      <c r="Q2443" s="110">
        <f t="shared" si="210"/>
        <v>0</v>
      </c>
      <c r="R2443" s="110">
        <f t="shared" si="211"/>
        <v>0</v>
      </c>
      <c r="S2443" s="112" t="s">
        <v>806</v>
      </c>
    </row>
    <row r="2444" spans="1:19">
      <c r="A2444" s="79"/>
      <c r="B2444" s="77" t="s">
        <v>488</v>
      </c>
      <c r="C2444" s="76" t="s">
        <v>17</v>
      </c>
      <c r="D2444" s="143">
        <v>1</v>
      </c>
      <c r="E2444" s="77"/>
      <c r="F2444" s="334">
        <v>1</v>
      </c>
      <c r="G2444" s="112">
        <v>0</v>
      </c>
      <c r="H2444" s="120">
        <v>0</v>
      </c>
      <c r="I2444" s="120">
        <v>0</v>
      </c>
      <c r="J2444" s="120" t="s">
        <v>772</v>
      </c>
      <c r="K2444" s="110">
        <v>0</v>
      </c>
      <c r="L2444" s="110"/>
      <c r="M2444" s="110">
        <v>0</v>
      </c>
      <c r="N2444" s="110"/>
      <c r="O2444" s="110"/>
      <c r="P2444" s="110">
        <f t="shared" si="209"/>
        <v>0</v>
      </c>
      <c r="Q2444" s="110">
        <f t="shared" si="210"/>
        <v>0</v>
      </c>
      <c r="R2444" s="110">
        <f t="shared" si="211"/>
        <v>0</v>
      </c>
      <c r="S2444" s="112" t="s">
        <v>806</v>
      </c>
    </row>
    <row r="2445" spans="1:19" ht="57">
      <c r="A2445" s="79">
        <v>6</v>
      </c>
      <c r="B2445" s="80" t="s">
        <v>498</v>
      </c>
      <c r="C2445" s="76"/>
      <c r="D2445" s="143">
        <v>0</v>
      </c>
      <c r="E2445" s="77"/>
      <c r="F2445" s="76"/>
      <c r="G2445" s="112">
        <v>0</v>
      </c>
      <c r="H2445" s="120">
        <v>0</v>
      </c>
      <c r="I2445" s="120">
        <v>0</v>
      </c>
      <c r="J2445" s="120">
        <v>0</v>
      </c>
      <c r="K2445" s="110">
        <v>0</v>
      </c>
      <c r="L2445" s="110"/>
      <c r="M2445" s="110">
        <v>0</v>
      </c>
      <c r="N2445" s="110"/>
      <c r="O2445" s="110"/>
      <c r="P2445" s="110">
        <f t="shared" si="209"/>
        <v>0</v>
      </c>
      <c r="Q2445" s="110">
        <f t="shared" si="210"/>
        <v>0</v>
      </c>
      <c r="R2445" s="110">
        <f t="shared" si="211"/>
        <v>0</v>
      </c>
      <c r="S2445" s="112">
        <v>0</v>
      </c>
    </row>
    <row r="2446" spans="1:19" ht="45">
      <c r="A2446" s="79"/>
      <c r="B2446" s="77" t="s">
        <v>490</v>
      </c>
      <c r="C2446" s="76" t="s">
        <v>6</v>
      </c>
      <c r="D2446" s="143">
        <v>204</v>
      </c>
      <c r="E2446" s="77"/>
      <c r="F2446" s="334">
        <v>204</v>
      </c>
      <c r="G2446" s="112">
        <v>0</v>
      </c>
      <c r="H2446" s="120" t="s">
        <v>1078</v>
      </c>
      <c r="I2446" s="120" t="s">
        <v>948</v>
      </c>
      <c r="J2446" s="120" t="s">
        <v>1088</v>
      </c>
      <c r="K2446" s="110">
        <v>3258800</v>
      </c>
      <c r="L2446" s="110"/>
      <c r="M2446" s="110">
        <v>1533500</v>
      </c>
      <c r="N2446" s="110"/>
      <c r="O2446" s="110"/>
      <c r="P2446" s="110">
        <f t="shared" si="209"/>
        <v>4792300</v>
      </c>
      <c r="Q2446" s="110">
        <f t="shared" si="210"/>
        <v>977629200</v>
      </c>
      <c r="R2446" s="110">
        <f t="shared" si="211"/>
        <v>977629200</v>
      </c>
      <c r="S2446" s="112">
        <v>0</v>
      </c>
    </row>
    <row r="2447" spans="1:19" ht="45">
      <c r="A2447" s="79"/>
      <c r="B2447" s="77" t="s">
        <v>495</v>
      </c>
      <c r="C2447" s="76" t="s">
        <v>485</v>
      </c>
      <c r="D2447" s="143">
        <v>1</v>
      </c>
      <c r="E2447" s="77"/>
      <c r="F2447" s="334">
        <v>1</v>
      </c>
      <c r="G2447" s="112">
        <v>0</v>
      </c>
      <c r="H2447" s="120" t="s">
        <v>1085</v>
      </c>
      <c r="I2447" s="120" t="s">
        <v>948</v>
      </c>
      <c r="J2447" s="120" t="s">
        <v>769</v>
      </c>
      <c r="K2447" s="110">
        <v>0</v>
      </c>
      <c r="L2447" s="110"/>
      <c r="M2447" s="110">
        <v>0</v>
      </c>
      <c r="N2447" s="110"/>
      <c r="O2447" s="110"/>
      <c r="P2447" s="110">
        <f t="shared" si="209"/>
        <v>0</v>
      </c>
      <c r="Q2447" s="110">
        <f t="shared" si="210"/>
        <v>0</v>
      </c>
      <c r="R2447" s="110">
        <f t="shared" si="211"/>
        <v>0</v>
      </c>
      <c r="S2447" s="112" t="s">
        <v>806</v>
      </c>
    </row>
    <row r="2448" spans="1:19" ht="45">
      <c r="A2448" s="79"/>
      <c r="B2448" s="77" t="s">
        <v>306</v>
      </c>
      <c r="C2448" s="76" t="s">
        <v>485</v>
      </c>
      <c r="D2448" s="143">
        <v>2</v>
      </c>
      <c r="E2448" s="77"/>
      <c r="F2448" s="334">
        <v>2</v>
      </c>
      <c r="G2448" s="112">
        <v>0</v>
      </c>
      <c r="H2448" s="120" t="s">
        <v>1082</v>
      </c>
      <c r="I2448" s="120" t="s">
        <v>948</v>
      </c>
      <c r="J2448" s="120" t="s">
        <v>769</v>
      </c>
      <c r="K2448" s="110">
        <v>0</v>
      </c>
      <c r="L2448" s="110"/>
      <c r="M2448" s="110">
        <v>0</v>
      </c>
      <c r="N2448" s="110"/>
      <c r="O2448" s="110"/>
      <c r="P2448" s="110">
        <f t="shared" si="209"/>
        <v>0</v>
      </c>
      <c r="Q2448" s="110">
        <f t="shared" si="210"/>
        <v>0</v>
      </c>
      <c r="R2448" s="110">
        <f t="shared" si="211"/>
        <v>0</v>
      </c>
      <c r="S2448" s="112" t="s">
        <v>806</v>
      </c>
    </row>
    <row r="2449" spans="1:19" ht="45">
      <c r="A2449" s="79"/>
      <c r="B2449" s="77" t="s">
        <v>156</v>
      </c>
      <c r="C2449" s="76" t="s">
        <v>485</v>
      </c>
      <c r="D2449" s="143">
        <v>3</v>
      </c>
      <c r="E2449" s="77"/>
      <c r="F2449" s="334">
        <v>3</v>
      </c>
      <c r="G2449" s="112">
        <v>0</v>
      </c>
      <c r="H2449" s="120" t="s">
        <v>1081</v>
      </c>
      <c r="I2449" s="120" t="s">
        <v>948</v>
      </c>
      <c r="J2449" s="120" t="s">
        <v>769</v>
      </c>
      <c r="K2449" s="110">
        <v>0</v>
      </c>
      <c r="L2449" s="110"/>
      <c r="M2449" s="110">
        <v>0</v>
      </c>
      <c r="N2449" s="110"/>
      <c r="O2449" s="110"/>
      <c r="P2449" s="110">
        <f t="shared" si="209"/>
        <v>0</v>
      </c>
      <c r="Q2449" s="110">
        <f t="shared" si="210"/>
        <v>0</v>
      </c>
      <c r="R2449" s="110">
        <f t="shared" si="211"/>
        <v>0</v>
      </c>
      <c r="S2449" s="112" t="s">
        <v>806</v>
      </c>
    </row>
    <row r="2450" spans="1:19" ht="45">
      <c r="A2450" s="79"/>
      <c r="B2450" s="77" t="s">
        <v>157</v>
      </c>
      <c r="C2450" s="76" t="s">
        <v>485</v>
      </c>
      <c r="D2450" s="143">
        <v>1</v>
      </c>
      <c r="E2450" s="77"/>
      <c r="F2450" s="334">
        <v>1</v>
      </c>
      <c r="G2450" s="112">
        <v>0</v>
      </c>
      <c r="H2450" s="120" t="s">
        <v>1080</v>
      </c>
      <c r="I2450" s="120" t="s">
        <v>948</v>
      </c>
      <c r="J2450" s="120" t="s">
        <v>769</v>
      </c>
      <c r="K2450" s="110">
        <v>0</v>
      </c>
      <c r="L2450" s="110"/>
      <c r="M2450" s="110">
        <v>0</v>
      </c>
      <c r="N2450" s="110"/>
      <c r="O2450" s="110"/>
      <c r="P2450" s="110">
        <f t="shared" si="209"/>
        <v>0</v>
      </c>
      <c r="Q2450" s="110">
        <f t="shared" si="210"/>
        <v>0</v>
      </c>
      <c r="R2450" s="110">
        <f t="shared" si="211"/>
        <v>0</v>
      </c>
      <c r="S2450" s="112" t="s">
        <v>806</v>
      </c>
    </row>
    <row r="2451" spans="1:19" ht="45">
      <c r="A2451" s="79"/>
      <c r="B2451" s="77" t="s">
        <v>499</v>
      </c>
      <c r="C2451" s="76" t="s">
        <v>485</v>
      </c>
      <c r="D2451" s="143">
        <v>1</v>
      </c>
      <c r="E2451" s="77"/>
      <c r="F2451" s="334">
        <v>1</v>
      </c>
      <c r="G2451" s="112">
        <v>0</v>
      </c>
      <c r="H2451" s="120" t="s">
        <v>1087</v>
      </c>
      <c r="I2451" s="120" t="s">
        <v>948</v>
      </c>
      <c r="J2451" s="120" t="s">
        <v>769</v>
      </c>
      <c r="K2451" s="110">
        <v>0</v>
      </c>
      <c r="L2451" s="110"/>
      <c r="M2451" s="110">
        <v>0</v>
      </c>
      <c r="N2451" s="110"/>
      <c r="O2451" s="110"/>
      <c r="P2451" s="110">
        <f t="shared" si="209"/>
        <v>0</v>
      </c>
      <c r="Q2451" s="110">
        <f t="shared" si="210"/>
        <v>0</v>
      </c>
      <c r="R2451" s="110">
        <f t="shared" si="211"/>
        <v>0</v>
      </c>
      <c r="S2451" s="112" t="s">
        <v>806</v>
      </c>
    </row>
    <row r="2452" spans="1:19" ht="45">
      <c r="A2452" s="79"/>
      <c r="B2452" s="77" t="s">
        <v>500</v>
      </c>
      <c r="C2452" s="76" t="s">
        <v>485</v>
      </c>
      <c r="D2452" s="143">
        <v>1</v>
      </c>
      <c r="E2452" s="77"/>
      <c r="F2452" s="334">
        <v>1</v>
      </c>
      <c r="G2452" s="112">
        <v>0</v>
      </c>
      <c r="H2452" s="120" t="s">
        <v>1086</v>
      </c>
      <c r="I2452" s="120" t="s">
        <v>948</v>
      </c>
      <c r="J2452" s="120" t="s">
        <v>769</v>
      </c>
      <c r="K2452" s="110">
        <v>0</v>
      </c>
      <c r="L2452" s="110"/>
      <c r="M2452" s="110">
        <v>0</v>
      </c>
      <c r="N2452" s="110"/>
      <c r="O2452" s="110"/>
      <c r="P2452" s="110">
        <f t="shared" si="209"/>
        <v>0</v>
      </c>
      <c r="Q2452" s="110">
        <f t="shared" si="210"/>
        <v>0</v>
      </c>
      <c r="R2452" s="110">
        <f t="shared" si="211"/>
        <v>0</v>
      </c>
      <c r="S2452" s="112" t="s">
        <v>806</v>
      </c>
    </row>
    <row r="2453" spans="1:19">
      <c r="A2453" s="79"/>
      <c r="B2453" s="77" t="s">
        <v>488</v>
      </c>
      <c r="C2453" s="76" t="s">
        <v>17</v>
      </c>
      <c r="D2453" s="143">
        <v>1</v>
      </c>
      <c r="E2453" s="77"/>
      <c r="F2453" s="334">
        <v>1</v>
      </c>
      <c r="G2453" s="112">
        <v>0</v>
      </c>
      <c r="H2453" s="120">
        <v>0</v>
      </c>
      <c r="I2453" s="120">
        <v>0</v>
      </c>
      <c r="J2453" s="120" t="s">
        <v>772</v>
      </c>
      <c r="K2453" s="110">
        <v>0</v>
      </c>
      <c r="L2453" s="110"/>
      <c r="M2453" s="110">
        <v>0</v>
      </c>
      <c r="N2453" s="110"/>
      <c r="O2453" s="110"/>
      <c r="P2453" s="110">
        <f t="shared" si="209"/>
        <v>0</v>
      </c>
      <c r="Q2453" s="110">
        <f t="shared" si="210"/>
        <v>0</v>
      </c>
      <c r="R2453" s="110">
        <f t="shared" si="211"/>
        <v>0</v>
      </c>
      <c r="S2453" s="112" t="s">
        <v>806</v>
      </c>
    </row>
    <row r="2454" spans="1:19" ht="28.5">
      <c r="A2454" s="79">
        <v>7</v>
      </c>
      <c r="B2454" s="80" t="s">
        <v>501</v>
      </c>
      <c r="C2454" s="76"/>
      <c r="D2454" s="143">
        <v>0</v>
      </c>
      <c r="E2454" s="77"/>
      <c r="F2454" s="76"/>
      <c r="G2454" s="112">
        <v>0</v>
      </c>
      <c r="H2454" s="120">
        <v>0</v>
      </c>
      <c r="I2454" s="120">
        <v>0</v>
      </c>
      <c r="J2454" s="120">
        <v>0</v>
      </c>
      <c r="K2454" s="110">
        <v>0</v>
      </c>
      <c r="L2454" s="110"/>
      <c r="M2454" s="110">
        <v>0</v>
      </c>
      <c r="N2454" s="110"/>
      <c r="O2454" s="110"/>
      <c r="P2454" s="110">
        <f t="shared" si="209"/>
        <v>0</v>
      </c>
      <c r="Q2454" s="110">
        <f t="shared" si="210"/>
        <v>0</v>
      </c>
      <c r="R2454" s="110">
        <f t="shared" si="211"/>
        <v>0</v>
      </c>
      <c r="S2454" s="112">
        <v>0</v>
      </c>
    </row>
    <row r="2455" spans="1:19" ht="45">
      <c r="A2455" s="79"/>
      <c r="B2455" s="77" t="s">
        <v>502</v>
      </c>
      <c r="C2455" s="76" t="s">
        <v>6</v>
      </c>
      <c r="D2455" s="143">
        <v>3</v>
      </c>
      <c r="E2455" s="77"/>
      <c r="F2455" s="334">
        <v>3</v>
      </c>
      <c r="G2455" s="112">
        <v>0</v>
      </c>
      <c r="H2455" s="120" t="s">
        <v>1079</v>
      </c>
      <c r="I2455" s="120" t="s">
        <v>948</v>
      </c>
      <c r="J2455" s="120" t="s">
        <v>1088</v>
      </c>
      <c r="K2455" s="110">
        <v>8164200</v>
      </c>
      <c r="L2455" s="110"/>
      <c r="M2455" s="110">
        <v>1533500</v>
      </c>
      <c r="N2455" s="110"/>
      <c r="O2455" s="110"/>
      <c r="P2455" s="110">
        <f t="shared" si="209"/>
        <v>9697700</v>
      </c>
      <c r="Q2455" s="110">
        <f t="shared" si="210"/>
        <v>29093100</v>
      </c>
      <c r="R2455" s="110">
        <f t="shared" si="211"/>
        <v>29093100</v>
      </c>
      <c r="S2455" s="112">
        <v>0</v>
      </c>
    </row>
    <row r="2456" spans="1:19" ht="45">
      <c r="A2456" s="79"/>
      <c r="B2456" s="77" t="s">
        <v>292</v>
      </c>
      <c r="C2456" s="76" t="s">
        <v>485</v>
      </c>
      <c r="D2456" s="143">
        <v>1</v>
      </c>
      <c r="E2456" s="77"/>
      <c r="F2456" s="334">
        <v>1</v>
      </c>
      <c r="G2456" s="112">
        <v>0</v>
      </c>
      <c r="H2456" s="120" t="s">
        <v>1002</v>
      </c>
      <c r="I2456" s="120" t="s">
        <v>948</v>
      </c>
      <c r="J2456" s="120" t="s">
        <v>769</v>
      </c>
      <c r="K2456" s="110">
        <v>0</v>
      </c>
      <c r="L2456" s="110"/>
      <c r="M2456" s="110">
        <v>0</v>
      </c>
      <c r="N2456" s="110"/>
      <c r="O2456" s="110"/>
      <c r="P2456" s="110">
        <f t="shared" si="209"/>
        <v>0</v>
      </c>
      <c r="Q2456" s="110">
        <f t="shared" si="210"/>
        <v>0</v>
      </c>
      <c r="R2456" s="110">
        <f t="shared" si="211"/>
        <v>0</v>
      </c>
      <c r="S2456" s="112" t="s">
        <v>806</v>
      </c>
    </row>
    <row r="2457" spans="1:19" ht="45">
      <c r="A2457" s="79"/>
      <c r="B2457" s="77" t="s">
        <v>214</v>
      </c>
      <c r="C2457" s="76" t="s">
        <v>485</v>
      </c>
      <c r="D2457" s="143">
        <v>1</v>
      </c>
      <c r="E2457" s="77"/>
      <c r="F2457" s="334">
        <v>1</v>
      </c>
      <c r="G2457" s="112">
        <v>0</v>
      </c>
      <c r="H2457" s="120" t="s">
        <v>1001</v>
      </c>
      <c r="I2457" s="120" t="s">
        <v>948</v>
      </c>
      <c r="J2457" s="120" t="s">
        <v>769</v>
      </c>
      <c r="K2457" s="110">
        <v>0</v>
      </c>
      <c r="L2457" s="110"/>
      <c r="M2457" s="110">
        <v>0</v>
      </c>
      <c r="N2457" s="110"/>
      <c r="O2457" s="110"/>
      <c r="P2457" s="110">
        <f t="shared" si="209"/>
        <v>0</v>
      </c>
      <c r="Q2457" s="110">
        <f t="shared" si="210"/>
        <v>0</v>
      </c>
      <c r="R2457" s="110">
        <f t="shared" si="211"/>
        <v>0</v>
      </c>
      <c r="S2457" s="112" t="s">
        <v>806</v>
      </c>
    </row>
    <row r="2458" spans="1:19" ht="45">
      <c r="A2458" s="79"/>
      <c r="B2458" s="77" t="s">
        <v>215</v>
      </c>
      <c r="C2458" s="76" t="s">
        <v>485</v>
      </c>
      <c r="D2458" s="143">
        <v>1</v>
      </c>
      <c r="E2458" s="77"/>
      <c r="F2458" s="334">
        <v>1</v>
      </c>
      <c r="G2458" s="112">
        <v>0</v>
      </c>
      <c r="H2458" s="120" t="s">
        <v>1083</v>
      </c>
      <c r="I2458" s="120" t="s">
        <v>948</v>
      </c>
      <c r="J2458" s="120" t="s">
        <v>769</v>
      </c>
      <c r="K2458" s="110">
        <v>0</v>
      </c>
      <c r="L2458" s="110"/>
      <c r="M2458" s="110">
        <v>0</v>
      </c>
      <c r="N2458" s="110"/>
      <c r="O2458" s="110"/>
      <c r="P2458" s="110">
        <f t="shared" si="209"/>
        <v>0</v>
      </c>
      <c r="Q2458" s="110">
        <f t="shared" si="210"/>
        <v>0</v>
      </c>
      <c r="R2458" s="110">
        <f t="shared" si="211"/>
        <v>0</v>
      </c>
      <c r="S2458" s="112" t="s">
        <v>806</v>
      </c>
    </row>
    <row r="2459" spans="1:19" ht="45">
      <c r="A2459" s="79"/>
      <c r="B2459" s="77" t="s">
        <v>306</v>
      </c>
      <c r="C2459" s="76" t="s">
        <v>485</v>
      </c>
      <c r="D2459" s="143">
        <v>1</v>
      </c>
      <c r="E2459" s="77"/>
      <c r="F2459" s="334">
        <v>1</v>
      </c>
      <c r="G2459" s="112">
        <v>0</v>
      </c>
      <c r="H2459" s="120" t="s">
        <v>1082</v>
      </c>
      <c r="I2459" s="120" t="s">
        <v>948</v>
      </c>
      <c r="J2459" s="120" t="s">
        <v>769</v>
      </c>
      <c r="K2459" s="110">
        <v>0</v>
      </c>
      <c r="L2459" s="110"/>
      <c r="M2459" s="110">
        <v>0</v>
      </c>
      <c r="N2459" s="110"/>
      <c r="O2459" s="110"/>
      <c r="P2459" s="110">
        <f t="shared" si="209"/>
        <v>0</v>
      </c>
      <c r="Q2459" s="110">
        <f t="shared" si="210"/>
        <v>0</v>
      </c>
      <c r="R2459" s="110">
        <f t="shared" si="211"/>
        <v>0</v>
      </c>
      <c r="S2459" s="112" t="s">
        <v>806</v>
      </c>
    </row>
    <row r="2460" spans="1:19" ht="45">
      <c r="A2460" s="79"/>
      <c r="B2460" s="77" t="s">
        <v>156</v>
      </c>
      <c r="C2460" s="76" t="s">
        <v>485</v>
      </c>
      <c r="D2460" s="143">
        <v>7</v>
      </c>
      <c r="E2460" s="77"/>
      <c r="F2460" s="334">
        <v>7</v>
      </c>
      <c r="G2460" s="112">
        <v>0</v>
      </c>
      <c r="H2460" s="120" t="s">
        <v>1081</v>
      </c>
      <c r="I2460" s="120" t="s">
        <v>948</v>
      </c>
      <c r="J2460" s="120" t="s">
        <v>769</v>
      </c>
      <c r="K2460" s="110">
        <v>0</v>
      </c>
      <c r="L2460" s="110"/>
      <c r="M2460" s="110">
        <v>0</v>
      </c>
      <c r="N2460" s="110"/>
      <c r="O2460" s="110"/>
      <c r="P2460" s="110">
        <f t="shared" si="209"/>
        <v>0</v>
      </c>
      <c r="Q2460" s="110">
        <f t="shared" si="210"/>
        <v>0</v>
      </c>
      <c r="R2460" s="110">
        <f t="shared" si="211"/>
        <v>0</v>
      </c>
      <c r="S2460" s="112" t="s">
        <v>806</v>
      </c>
    </row>
    <row r="2461" spans="1:19" ht="45">
      <c r="A2461" s="79"/>
      <c r="B2461" s="77" t="s">
        <v>157</v>
      </c>
      <c r="C2461" s="76" t="s">
        <v>485</v>
      </c>
      <c r="D2461" s="143">
        <v>2</v>
      </c>
      <c r="E2461" s="77"/>
      <c r="F2461" s="334">
        <v>2</v>
      </c>
      <c r="G2461" s="112">
        <v>0</v>
      </c>
      <c r="H2461" s="120" t="s">
        <v>1080</v>
      </c>
      <c r="I2461" s="120" t="s">
        <v>948</v>
      </c>
      <c r="J2461" s="120" t="s">
        <v>769</v>
      </c>
      <c r="K2461" s="110">
        <v>0</v>
      </c>
      <c r="L2461" s="110"/>
      <c r="M2461" s="110">
        <v>0</v>
      </c>
      <c r="N2461" s="110"/>
      <c r="O2461" s="110"/>
      <c r="P2461" s="110">
        <f t="shared" si="209"/>
        <v>0</v>
      </c>
      <c r="Q2461" s="110">
        <f t="shared" si="210"/>
        <v>0</v>
      </c>
      <c r="R2461" s="110">
        <f t="shared" si="211"/>
        <v>0</v>
      </c>
      <c r="S2461" s="112" t="s">
        <v>806</v>
      </c>
    </row>
    <row r="2462" spans="1:19" ht="45">
      <c r="A2462" s="79"/>
      <c r="B2462" s="77" t="s">
        <v>492</v>
      </c>
      <c r="C2462" s="76" t="s">
        <v>485</v>
      </c>
      <c r="D2462" s="143">
        <v>1</v>
      </c>
      <c r="E2462" s="77"/>
      <c r="F2462" s="334">
        <v>1</v>
      </c>
      <c r="G2462" s="112">
        <v>0</v>
      </c>
      <c r="H2462" s="120" t="s">
        <v>1087</v>
      </c>
      <c r="I2462" s="120" t="s">
        <v>948</v>
      </c>
      <c r="J2462" s="120" t="s">
        <v>769</v>
      </c>
      <c r="K2462" s="110">
        <v>0</v>
      </c>
      <c r="L2462" s="110"/>
      <c r="M2462" s="110">
        <v>0</v>
      </c>
      <c r="N2462" s="110"/>
      <c r="O2462" s="110"/>
      <c r="P2462" s="110">
        <f t="shared" si="209"/>
        <v>0</v>
      </c>
      <c r="Q2462" s="110">
        <f t="shared" si="210"/>
        <v>0</v>
      </c>
      <c r="R2462" s="110">
        <f t="shared" si="211"/>
        <v>0</v>
      </c>
      <c r="S2462" s="112" t="s">
        <v>806</v>
      </c>
    </row>
    <row r="2463" spans="1:19" ht="45">
      <c r="A2463" s="79"/>
      <c r="B2463" s="77" t="s">
        <v>503</v>
      </c>
      <c r="C2463" s="76" t="s">
        <v>485</v>
      </c>
      <c r="D2463" s="143">
        <v>1</v>
      </c>
      <c r="E2463" s="77"/>
      <c r="F2463" s="334">
        <v>1</v>
      </c>
      <c r="G2463" s="112">
        <v>0</v>
      </c>
      <c r="H2463" s="120" t="s">
        <v>1087</v>
      </c>
      <c r="I2463" s="120" t="s">
        <v>948</v>
      </c>
      <c r="J2463" s="120" t="s">
        <v>769</v>
      </c>
      <c r="K2463" s="110">
        <v>0</v>
      </c>
      <c r="L2463" s="110"/>
      <c r="M2463" s="110">
        <v>0</v>
      </c>
      <c r="N2463" s="110"/>
      <c r="O2463" s="110"/>
      <c r="P2463" s="110">
        <f t="shared" si="209"/>
        <v>0</v>
      </c>
      <c r="Q2463" s="110">
        <f t="shared" si="210"/>
        <v>0</v>
      </c>
      <c r="R2463" s="110">
        <f t="shared" si="211"/>
        <v>0</v>
      </c>
      <c r="S2463" s="112" t="s">
        <v>806</v>
      </c>
    </row>
    <row r="2464" spans="1:19" ht="45">
      <c r="A2464" s="79"/>
      <c r="B2464" s="77" t="s">
        <v>487</v>
      </c>
      <c r="C2464" s="76" t="s">
        <v>485</v>
      </c>
      <c r="D2464" s="143">
        <v>1</v>
      </c>
      <c r="E2464" s="77"/>
      <c r="F2464" s="334">
        <v>1</v>
      </c>
      <c r="G2464" s="112">
        <v>0</v>
      </c>
      <c r="H2464" s="120" t="s">
        <v>1086</v>
      </c>
      <c r="I2464" s="120" t="s">
        <v>948</v>
      </c>
      <c r="J2464" s="120" t="s">
        <v>769</v>
      </c>
      <c r="K2464" s="110">
        <v>0</v>
      </c>
      <c r="L2464" s="110"/>
      <c r="M2464" s="110">
        <v>0</v>
      </c>
      <c r="N2464" s="110"/>
      <c r="O2464" s="110"/>
      <c r="P2464" s="110">
        <f t="shared" si="209"/>
        <v>0</v>
      </c>
      <c r="Q2464" s="110">
        <f t="shared" si="210"/>
        <v>0</v>
      </c>
      <c r="R2464" s="110">
        <f t="shared" si="211"/>
        <v>0</v>
      </c>
      <c r="S2464" s="112" t="s">
        <v>806</v>
      </c>
    </row>
    <row r="2465" spans="1:19">
      <c r="A2465" s="79"/>
      <c r="B2465" s="77" t="s">
        <v>488</v>
      </c>
      <c r="C2465" s="76" t="s">
        <v>17</v>
      </c>
      <c r="D2465" s="143">
        <v>1</v>
      </c>
      <c r="E2465" s="77"/>
      <c r="F2465" s="334">
        <v>1</v>
      </c>
      <c r="G2465" s="112">
        <v>0</v>
      </c>
      <c r="H2465" s="120">
        <v>0</v>
      </c>
      <c r="I2465" s="120">
        <v>0</v>
      </c>
      <c r="J2465" s="120" t="s">
        <v>772</v>
      </c>
      <c r="K2465" s="110">
        <v>0</v>
      </c>
      <c r="L2465" s="110"/>
      <c r="M2465" s="110">
        <v>0</v>
      </c>
      <c r="N2465" s="110"/>
      <c r="O2465" s="110"/>
      <c r="P2465" s="110">
        <f t="shared" ref="P2465:P2528" si="212">+K2465+L2465+M2465+N2465+O2465</f>
        <v>0</v>
      </c>
      <c r="Q2465" s="110">
        <f t="shared" ref="Q2465:Q2528" si="213">+P2465*D2465</f>
        <v>0</v>
      </c>
      <c r="R2465" s="110">
        <f t="shared" ref="R2465:R2528" si="214">P2465*F2465</f>
        <v>0</v>
      </c>
      <c r="S2465" s="112" t="s">
        <v>806</v>
      </c>
    </row>
    <row r="2466" spans="1:19" ht="28.5">
      <c r="A2466" s="79">
        <v>8</v>
      </c>
      <c r="B2466" s="80" t="s">
        <v>504</v>
      </c>
      <c r="C2466" s="76"/>
      <c r="D2466" s="143">
        <v>0</v>
      </c>
      <c r="E2466" s="77"/>
      <c r="F2466" s="76"/>
      <c r="G2466" s="112">
        <v>0</v>
      </c>
      <c r="H2466" s="120">
        <v>0</v>
      </c>
      <c r="I2466" s="120">
        <v>0</v>
      </c>
      <c r="J2466" s="120">
        <v>0</v>
      </c>
      <c r="K2466" s="110">
        <v>0</v>
      </c>
      <c r="L2466" s="110"/>
      <c r="M2466" s="110">
        <v>0</v>
      </c>
      <c r="N2466" s="110"/>
      <c r="O2466" s="110"/>
      <c r="P2466" s="110">
        <f t="shared" si="212"/>
        <v>0</v>
      </c>
      <c r="Q2466" s="110">
        <f t="shared" si="213"/>
        <v>0</v>
      </c>
      <c r="R2466" s="110">
        <f t="shared" si="214"/>
        <v>0</v>
      </c>
      <c r="S2466" s="112">
        <v>0</v>
      </c>
    </row>
    <row r="2467" spans="1:19" ht="45">
      <c r="A2467" s="79"/>
      <c r="B2467" s="77" t="s">
        <v>505</v>
      </c>
      <c r="C2467" s="76" t="s">
        <v>6</v>
      </c>
      <c r="D2467" s="143">
        <v>1</v>
      </c>
      <c r="E2467" s="77"/>
      <c r="F2467" s="334">
        <v>1</v>
      </c>
      <c r="G2467" s="112">
        <v>0</v>
      </c>
      <c r="H2467" s="120" t="s">
        <v>1079</v>
      </c>
      <c r="I2467" s="120" t="s">
        <v>948</v>
      </c>
      <c r="J2467" s="120" t="s">
        <v>1088</v>
      </c>
      <c r="K2467" s="110">
        <v>7135600</v>
      </c>
      <c r="L2467" s="110"/>
      <c r="M2467" s="110">
        <v>1549600</v>
      </c>
      <c r="N2467" s="110"/>
      <c r="O2467" s="110"/>
      <c r="P2467" s="110">
        <f t="shared" si="212"/>
        <v>8685200</v>
      </c>
      <c r="Q2467" s="110">
        <f t="shared" si="213"/>
        <v>8685200</v>
      </c>
      <c r="R2467" s="110">
        <f t="shared" si="214"/>
        <v>8685200</v>
      </c>
      <c r="S2467" s="112">
        <v>0</v>
      </c>
    </row>
    <row r="2468" spans="1:19" ht="45">
      <c r="A2468" s="79"/>
      <c r="B2468" s="77" t="s">
        <v>292</v>
      </c>
      <c r="C2468" s="76" t="s">
        <v>485</v>
      </c>
      <c r="D2468" s="143">
        <v>1</v>
      </c>
      <c r="E2468" s="77"/>
      <c r="F2468" s="334">
        <v>1</v>
      </c>
      <c r="G2468" s="112">
        <v>0</v>
      </c>
      <c r="H2468" s="120" t="s">
        <v>1002</v>
      </c>
      <c r="I2468" s="120" t="s">
        <v>948</v>
      </c>
      <c r="J2468" s="120" t="s">
        <v>769</v>
      </c>
      <c r="K2468" s="110">
        <v>0</v>
      </c>
      <c r="L2468" s="110"/>
      <c r="M2468" s="110">
        <v>0</v>
      </c>
      <c r="N2468" s="110"/>
      <c r="O2468" s="110"/>
      <c r="P2468" s="110">
        <f t="shared" si="212"/>
        <v>0</v>
      </c>
      <c r="Q2468" s="110">
        <f t="shared" si="213"/>
        <v>0</v>
      </c>
      <c r="R2468" s="110">
        <f t="shared" si="214"/>
        <v>0</v>
      </c>
      <c r="S2468" s="112" t="s">
        <v>806</v>
      </c>
    </row>
    <row r="2469" spans="1:19" ht="45">
      <c r="A2469" s="79"/>
      <c r="B2469" s="77" t="s">
        <v>214</v>
      </c>
      <c r="C2469" s="76" t="s">
        <v>485</v>
      </c>
      <c r="D2469" s="143">
        <v>1</v>
      </c>
      <c r="E2469" s="77"/>
      <c r="F2469" s="334">
        <v>1</v>
      </c>
      <c r="G2469" s="112">
        <v>0</v>
      </c>
      <c r="H2469" s="120" t="s">
        <v>1001</v>
      </c>
      <c r="I2469" s="120" t="s">
        <v>948</v>
      </c>
      <c r="J2469" s="120" t="s">
        <v>769</v>
      </c>
      <c r="K2469" s="110">
        <v>0</v>
      </c>
      <c r="L2469" s="110"/>
      <c r="M2469" s="110">
        <v>0</v>
      </c>
      <c r="N2469" s="110"/>
      <c r="O2469" s="110"/>
      <c r="P2469" s="110">
        <f t="shared" si="212"/>
        <v>0</v>
      </c>
      <c r="Q2469" s="110">
        <f t="shared" si="213"/>
        <v>0</v>
      </c>
      <c r="R2469" s="110">
        <f t="shared" si="214"/>
        <v>0</v>
      </c>
      <c r="S2469" s="112" t="s">
        <v>806</v>
      </c>
    </row>
    <row r="2470" spans="1:19" ht="45">
      <c r="A2470" s="79"/>
      <c r="B2470" s="77" t="s">
        <v>306</v>
      </c>
      <c r="C2470" s="76" t="s">
        <v>485</v>
      </c>
      <c r="D2470" s="143">
        <v>1</v>
      </c>
      <c r="E2470" s="77"/>
      <c r="F2470" s="334">
        <v>1</v>
      </c>
      <c r="G2470" s="112">
        <v>0</v>
      </c>
      <c r="H2470" s="120" t="s">
        <v>1082</v>
      </c>
      <c r="I2470" s="120" t="s">
        <v>948</v>
      </c>
      <c r="J2470" s="120" t="s">
        <v>769</v>
      </c>
      <c r="K2470" s="110">
        <v>0</v>
      </c>
      <c r="L2470" s="110"/>
      <c r="M2470" s="110">
        <v>0</v>
      </c>
      <c r="N2470" s="110"/>
      <c r="O2470" s="110"/>
      <c r="P2470" s="110">
        <f t="shared" si="212"/>
        <v>0</v>
      </c>
      <c r="Q2470" s="110">
        <f t="shared" si="213"/>
        <v>0</v>
      </c>
      <c r="R2470" s="110">
        <f t="shared" si="214"/>
        <v>0</v>
      </c>
      <c r="S2470" s="112" t="s">
        <v>806</v>
      </c>
    </row>
    <row r="2471" spans="1:19" ht="45">
      <c r="A2471" s="79"/>
      <c r="B2471" s="77" t="s">
        <v>156</v>
      </c>
      <c r="C2471" s="76" t="s">
        <v>485</v>
      </c>
      <c r="D2471" s="143">
        <v>5</v>
      </c>
      <c r="E2471" s="77"/>
      <c r="F2471" s="334">
        <v>5</v>
      </c>
      <c r="G2471" s="112">
        <v>0</v>
      </c>
      <c r="H2471" s="120" t="s">
        <v>1081</v>
      </c>
      <c r="I2471" s="120" t="s">
        <v>948</v>
      </c>
      <c r="J2471" s="120" t="s">
        <v>769</v>
      </c>
      <c r="K2471" s="110">
        <v>0</v>
      </c>
      <c r="L2471" s="110"/>
      <c r="M2471" s="110">
        <v>0</v>
      </c>
      <c r="N2471" s="110"/>
      <c r="O2471" s="110"/>
      <c r="P2471" s="110">
        <f t="shared" si="212"/>
        <v>0</v>
      </c>
      <c r="Q2471" s="110">
        <f t="shared" si="213"/>
        <v>0</v>
      </c>
      <c r="R2471" s="110">
        <f t="shared" si="214"/>
        <v>0</v>
      </c>
      <c r="S2471" s="112" t="s">
        <v>806</v>
      </c>
    </row>
    <row r="2472" spans="1:19" ht="45">
      <c r="A2472" s="79"/>
      <c r="B2472" s="77" t="s">
        <v>157</v>
      </c>
      <c r="C2472" s="76" t="s">
        <v>485</v>
      </c>
      <c r="D2472" s="143">
        <v>2</v>
      </c>
      <c r="E2472" s="77"/>
      <c r="F2472" s="334">
        <v>2</v>
      </c>
      <c r="G2472" s="112">
        <v>0</v>
      </c>
      <c r="H2472" s="120" t="s">
        <v>1080</v>
      </c>
      <c r="I2472" s="120" t="s">
        <v>948</v>
      </c>
      <c r="J2472" s="120" t="s">
        <v>769</v>
      </c>
      <c r="K2472" s="110">
        <v>0</v>
      </c>
      <c r="L2472" s="110"/>
      <c r="M2472" s="110">
        <v>0</v>
      </c>
      <c r="N2472" s="110"/>
      <c r="O2472" s="110"/>
      <c r="P2472" s="110">
        <f t="shared" si="212"/>
        <v>0</v>
      </c>
      <c r="Q2472" s="110">
        <f t="shared" si="213"/>
        <v>0</v>
      </c>
      <c r="R2472" s="110">
        <f t="shared" si="214"/>
        <v>0</v>
      </c>
      <c r="S2472" s="112" t="s">
        <v>806</v>
      </c>
    </row>
    <row r="2473" spans="1:19" ht="45">
      <c r="A2473" s="79"/>
      <c r="B2473" s="77" t="s">
        <v>506</v>
      </c>
      <c r="C2473" s="76" t="s">
        <v>485</v>
      </c>
      <c r="D2473" s="143">
        <v>1</v>
      </c>
      <c r="E2473" s="77"/>
      <c r="F2473" s="334">
        <v>1</v>
      </c>
      <c r="G2473" s="112">
        <v>0</v>
      </c>
      <c r="H2473" s="120" t="s">
        <v>1087</v>
      </c>
      <c r="I2473" s="120" t="s">
        <v>948</v>
      </c>
      <c r="J2473" s="120" t="s">
        <v>769</v>
      </c>
      <c r="K2473" s="110">
        <v>0</v>
      </c>
      <c r="L2473" s="110"/>
      <c r="M2473" s="110">
        <v>0</v>
      </c>
      <c r="N2473" s="110"/>
      <c r="O2473" s="110"/>
      <c r="P2473" s="110">
        <f t="shared" si="212"/>
        <v>0</v>
      </c>
      <c r="Q2473" s="110">
        <f t="shared" si="213"/>
        <v>0</v>
      </c>
      <c r="R2473" s="110">
        <f t="shared" si="214"/>
        <v>0</v>
      </c>
      <c r="S2473" s="112" t="s">
        <v>806</v>
      </c>
    </row>
    <row r="2474" spans="1:19" ht="45">
      <c r="A2474" s="79"/>
      <c r="B2474" s="77" t="s">
        <v>492</v>
      </c>
      <c r="C2474" s="76" t="s">
        <v>485</v>
      </c>
      <c r="D2474" s="143">
        <v>1</v>
      </c>
      <c r="E2474" s="77"/>
      <c r="F2474" s="334">
        <v>1</v>
      </c>
      <c r="G2474" s="112">
        <v>0</v>
      </c>
      <c r="H2474" s="120" t="s">
        <v>1087</v>
      </c>
      <c r="I2474" s="120" t="s">
        <v>948</v>
      </c>
      <c r="J2474" s="120" t="s">
        <v>769</v>
      </c>
      <c r="K2474" s="110">
        <v>0</v>
      </c>
      <c r="L2474" s="110"/>
      <c r="M2474" s="110">
        <v>0</v>
      </c>
      <c r="N2474" s="110"/>
      <c r="O2474" s="110"/>
      <c r="P2474" s="110">
        <f t="shared" si="212"/>
        <v>0</v>
      </c>
      <c r="Q2474" s="110">
        <f t="shared" si="213"/>
        <v>0</v>
      </c>
      <c r="R2474" s="110">
        <f t="shared" si="214"/>
        <v>0</v>
      </c>
      <c r="S2474" s="112" t="s">
        <v>806</v>
      </c>
    </row>
    <row r="2475" spans="1:19">
      <c r="A2475" s="79"/>
      <c r="B2475" s="77" t="s">
        <v>488</v>
      </c>
      <c r="C2475" s="76" t="s">
        <v>17</v>
      </c>
      <c r="D2475" s="143">
        <v>1</v>
      </c>
      <c r="E2475" s="77"/>
      <c r="F2475" s="334">
        <v>1</v>
      </c>
      <c r="G2475" s="112">
        <v>0</v>
      </c>
      <c r="H2475" s="120">
        <v>0</v>
      </c>
      <c r="I2475" s="120">
        <v>0</v>
      </c>
      <c r="J2475" s="120" t="s">
        <v>772</v>
      </c>
      <c r="K2475" s="110">
        <v>0</v>
      </c>
      <c r="L2475" s="110"/>
      <c r="M2475" s="110">
        <v>0</v>
      </c>
      <c r="N2475" s="110"/>
      <c r="O2475" s="110"/>
      <c r="P2475" s="110">
        <f t="shared" si="212"/>
        <v>0</v>
      </c>
      <c r="Q2475" s="110">
        <f t="shared" si="213"/>
        <v>0</v>
      </c>
      <c r="R2475" s="110">
        <f t="shared" si="214"/>
        <v>0</v>
      </c>
      <c r="S2475" s="112" t="s">
        <v>806</v>
      </c>
    </row>
    <row r="2476" spans="1:19" ht="28.5">
      <c r="A2476" s="79">
        <v>9</v>
      </c>
      <c r="B2476" s="80" t="s">
        <v>507</v>
      </c>
      <c r="C2476" s="76"/>
      <c r="D2476" s="143">
        <v>0</v>
      </c>
      <c r="E2476" s="77"/>
      <c r="F2476" s="76"/>
      <c r="G2476" s="112">
        <v>0</v>
      </c>
      <c r="H2476" s="120">
        <v>0</v>
      </c>
      <c r="I2476" s="120">
        <v>0</v>
      </c>
      <c r="J2476" s="120">
        <v>0</v>
      </c>
      <c r="K2476" s="110">
        <v>0</v>
      </c>
      <c r="L2476" s="110"/>
      <c r="M2476" s="110">
        <v>0</v>
      </c>
      <c r="N2476" s="110"/>
      <c r="O2476" s="110"/>
      <c r="P2476" s="110">
        <f t="shared" si="212"/>
        <v>0</v>
      </c>
      <c r="Q2476" s="110">
        <f t="shared" si="213"/>
        <v>0</v>
      </c>
      <c r="R2476" s="110">
        <f t="shared" si="214"/>
        <v>0</v>
      </c>
      <c r="S2476" s="112">
        <v>0</v>
      </c>
    </row>
    <row r="2477" spans="1:19" ht="45">
      <c r="A2477" s="79"/>
      <c r="B2477" s="77" t="s">
        <v>508</v>
      </c>
      <c r="C2477" s="76" t="s">
        <v>6</v>
      </c>
      <c r="D2477" s="143">
        <v>1</v>
      </c>
      <c r="E2477" s="77"/>
      <c r="F2477" s="334">
        <v>1</v>
      </c>
      <c r="G2477" s="112">
        <v>0</v>
      </c>
      <c r="H2477" s="120" t="s">
        <v>1079</v>
      </c>
      <c r="I2477" s="120" t="s">
        <v>948</v>
      </c>
      <c r="J2477" s="120" t="s">
        <v>1088</v>
      </c>
      <c r="K2477" s="110">
        <v>7236800</v>
      </c>
      <c r="L2477" s="110"/>
      <c r="M2477" s="110">
        <v>1549600</v>
      </c>
      <c r="N2477" s="110"/>
      <c r="O2477" s="110"/>
      <c r="P2477" s="110">
        <f t="shared" si="212"/>
        <v>8786400</v>
      </c>
      <c r="Q2477" s="110">
        <f t="shared" si="213"/>
        <v>8786400</v>
      </c>
      <c r="R2477" s="110">
        <f t="shared" si="214"/>
        <v>8786400</v>
      </c>
      <c r="S2477" s="112">
        <v>0</v>
      </c>
    </row>
    <row r="2478" spans="1:19" ht="45">
      <c r="A2478" s="79"/>
      <c r="B2478" s="77" t="s">
        <v>292</v>
      </c>
      <c r="C2478" s="76" t="s">
        <v>485</v>
      </c>
      <c r="D2478" s="143">
        <v>1</v>
      </c>
      <c r="E2478" s="77"/>
      <c r="F2478" s="334">
        <v>1</v>
      </c>
      <c r="G2478" s="112">
        <v>0</v>
      </c>
      <c r="H2478" s="120" t="s">
        <v>1002</v>
      </c>
      <c r="I2478" s="120" t="s">
        <v>948</v>
      </c>
      <c r="J2478" s="120" t="s">
        <v>769</v>
      </c>
      <c r="K2478" s="110">
        <v>0</v>
      </c>
      <c r="L2478" s="110"/>
      <c r="M2478" s="110">
        <v>0</v>
      </c>
      <c r="N2478" s="110"/>
      <c r="O2478" s="110"/>
      <c r="P2478" s="110">
        <f t="shared" si="212"/>
        <v>0</v>
      </c>
      <c r="Q2478" s="110">
        <f t="shared" si="213"/>
        <v>0</v>
      </c>
      <c r="R2478" s="110">
        <f t="shared" si="214"/>
        <v>0</v>
      </c>
      <c r="S2478" s="112" t="s">
        <v>806</v>
      </c>
    </row>
    <row r="2479" spans="1:19" ht="45">
      <c r="A2479" s="79"/>
      <c r="B2479" s="77" t="s">
        <v>214</v>
      </c>
      <c r="C2479" s="76" t="s">
        <v>485</v>
      </c>
      <c r="D2479" s="143">
        <v>1</v>
      </c>
      <c r="E2479" s="77"/>
      <c r="F2479" s="334">
        <v>1</v>
      </c>
      <c r="G2479" s="112">
        <v>0</v>
      </c>
      <c r="H2479" s="120" t="s">
        <v>1001</v>
      </c>
      <c r="I2479" s="120" t="s">
        <v>948</v>
      </c>
      <c r="J2479" s="120" t="s">
        <v>769</v>
      </c>
      <c r="K2479" s="110">
        <v>0</v>
      </c>
      <c r="L2479" s="110"/>
      <c r="M2479" s="110">
        <v>0</v>
      </c>
      <c r="N2479" s="110"/>
      <c r="O2479" s="110"/>
      <c r="P2479" s="110">
        <f t="shared" si="212"/>
        <v>0</v>
      </c>
      <c r="Q2479" s="110">
        <f t="shared" si="213"/>
        <v>0</v>
      </c>
      <c r="R2479" s="110">
        <f t="shared" si="214"/>
        <v>0</v>
      </c>
      <c r="S2479" s="112" t="s">
        <v>806</v>
      </c>
    </row>
    <row r="2480" spans="1:19" ht="45">
      <c r="A2480" s="79"/>
      <c r="B2480" s="77" t="s">
        <v>306</v>
      </c>
      <c r="C2480" s="76" t="s">
        <v>485</v>
      </c>
      <c r="D2480" s="143">
        <v>2</v>
      </c>
      <c r="E2480" s="77"/>
      <c r="F2480" s="334">
        <v>2</v>
      </c>
      <c r="G2480" s="112">
        <v>0</v>
      </c>
      <c r="H2480" s="120" t="s">
        <v>1082</v>
      </c>
      <c r="I2480" s="120" t="s">
        <v>948</v>
      </c>
      <c r="J2480" s="120" t="s">
        <v>769</v>
      </c>
      <c r="K2480" s="110">
        <v>0</v>
      </c>
      <c r="L2480" s="110"/>
      <c r="M2480" s="110">
        <v>0</v>
      </c>
      <c r="N2480" s="110"/>
      <c r="O2480" s="110"/>
      <c r="P2480" s="110">
        <f t="shared" si="212"/>
        <v>0</v>
      </c>
      <c r="Q2480" s="110">
        <f t="shared" si="213"/>
        <v>0</v>
      </c>
      <c r="R2480" s="110">
        <f t="shared" si="214"/>
        <v>0</v>
      </c>
      <c r="S2480" s="112" t="s">
        <v>806</v>
      </c>
    </row>
    <row r="2481" spans="1:19" ht="45">
      <c r="A2481" s="79"/>
      <c r="B2481" s="77" t="s">
        <v>156</v>
      </c>
      <c r="C2481" s="76" t="s">
        <v>485</v>
      </c>
      <c r="D2481" s="143">
        <v>5</v>
      </c>
      <c r="E2481" s="77"/>
      <c r="F2481" s="334">
        <v>5</v>
      </c>
      <c r="G2481" s="112">
        <v>0</v>
      </c>
      <c r="H2481" s="120" t="s">
        <v>1081</v>
      </c>
      <c r="I2481" s="120" t="s">
        <v>948</v>
      </c>
      <c r="J2481" s="120" t="s">
        <v>769</v>
      </c>
      <c r="K2481" s="110">
        <v>0</v>
      </c>
      <c r="L2481" s="110"/>
      <c r="M2481" s="110">
        <v>0</v>
      </c>
      <c r="N2481" s="110"/>
      <c r="O2481" s="110"/>
      <c r="P2481" s="110">
        <f t="shared" si="212"/>
        <v>0</v>
      </c>
      <c r="Q2481" s="110">
        <f t="shared" si="213"/>
        <v>0</v>
      </c>
      <c r="R2481" s="110">
        <f t="shared" si="214"/>
        <v>0</v>
      </c>
      <c r="S2481" s="112" t="s">
        <v>806</v>
      </c>
    </row>
    <row r="2482" spans="1:19" ht="45">
      <c r="A2482" s="79"/>
      <c r="B2482" s="77" t="s">
        <v>157</v>
      </c>
      <c r="C2482" s="76" t="s">
        <v>485</v>
      </c>
      <c r="D2482" s="143">
        <v>2</v>
      </c>
      <c r="E2482" s="77"/>
      <c r="F2482" s="334">
        <v>2</v>
      </c>
      <c r="G2482" s="112">
        <v>0</v>
      </c>
      <c r="H2482" s="120" t="s">
        <v>1080</v>
      </c>
      <c r="I2482" s="120" t="s">
        <v>948</v>
      </c>
      <c r="J2482" s="120" t="s">
        <v>769</v>
      </c>
      <c r="K2482" s="110">
        <v>0</v>
      </c>
      <c r="L2482" s="110"/>
      <c r="M2482" s="110">
        <v>0</v>
      </c>
      <c r="N2482" s="110"/>
      <c r="O2482" s="110"/>
      <c r="P2482" s="110">
        <f t="shared" si="212"/>
        <v>0</v>
      </c>
      <c r="Q2482" s="110">
        <f t="shared" si="213"/>
        <v>0</v>
      </c>
      <c r="R2482" s="110">
        <f t="shared" si="214"/>
        <v>0</v>
      </c>
      <c r="S2482" s="112" t="s">
        <v>806</v>
      </c>
    </row>
    <row r="2483" spans="1:19" ht="45">
      <c r="A2483" s="79"/>
      <c r="B2483" s="77" t="s">
        <v>506</v>
      </c>
      <c r="C2483" s="76" t="s">
        <v>485</v>
      </c>
      <c r="D2483" s="143">
        <v>1</v>
      </c>
      <c r="E2483" s="77"/>
      <c r="F2483" s="334">
        <v>1</v>
      </c>
      <c r="G2483" s="112">
        <v>0</v>
      </c>
      <c r="H2483" s="120" t="s">
        <v>1087</v>
      </c>
      <c r="I2483" s="120" t="s">
        <v>948</v>
      </c>
      <c r="J2483" s="120" t="s">
        <v>769</v>
      </c>
      <c r="K2483" s="110">
        <v>0</v>
      </c>
      <c r="L2483" s="110"/>
      <c r="M2483" s="110">
        <v>0</v>
      </c>
      <c r="N2483" s="110"/>
      <c r="O2483" s="110"/>
      <c r="P2483" s="110">
        <f t="shared" si="212"/>
        <v>0</v>
      </c>
      <c r="Q2483" s="110">
        <f t="shared" si="213"/>
        <v>0</v>
      </c>
      <c r="R2483" s="110">
        <f t="shared" si="214"/>
        <v>0</v>
      </c>
      <c r="S2483" s="112" t="s">
        <v>806</v>
      </c>
    </row>
    <row r="2484" spans="1:19" ht="45">
      <c r="A2484" s="79"/>
      <c r="B2484" s="77" t="s">
        <v>487</v>
      </c>
      <c r="C2484" s="76" t="s">
        <v>485</v>
      </c>
      <c r="D2484" s="143">
        <v>1</v>
      </c>
      <c r="E2484" s="77"/>
      <c r="F2484" s="334">
        <v>1</v>
      </c>
      <c r="G2484" s="112">
        <v>0</v>
      </c>
      <c r="H2484" s="120" t="s">
        <v>1086</v>
      </c>
      <c r="I2484" s="120" t="s">
        <v>948</v>
      </c>
      <c r="J2484" s="120" t="s">
        <v>769</v>
      </c>
      <c r="K2484" s="110">
        <v>0</v>
      </c>
      <c r="L2484" s="110"/>
      <c r="M2484" s="110">
        <v>0</v>
      </c>
      <c r="N2484" s="110"/>
      <c r="O2484" s="110"/>
      <c r="P2484" s="110">
        <f t="shared" si="212"/>
        <v>0</v>
      </c>
      <c r="Q2484" s="110">
        <f t="shared" si="213"/>
        <v>0</v>
      </c>
      <c r="R2484" s="110">
        <f t="shared" si="214"/>
        <v>0</v>
      </c>
      <c r="S2484" s="112" t="s">
        <v>806</v>
      </c>
    </row>
    <row r="2485" spans="1:19">
      <c r="A2485" s="79"/>
      <c r="B2485" s="77" t="s">
        <v>488</v>
      </c>
      <c r="C2485" s="76" t="s">
        <v>17</v>
      </c>
      <c r="D2485" s="143">
        <v>1</v>
      </c>
      <c r="E2485" s="77"/>
      <c r="F2485" s="334">
        <v>1</v>
      </c>
      <c r="G2485" s="112">
        <v>0</v>
      </c>
      <c r="H2485" s="120">
        <v>0</v>
      </c>
      <c r="I2485" s="120">
        <v>0</v>
      </c>
      <c r="J2485" s="120" t="s">
        <v>772</v>
      </c>
      <c r="K2485" s="110">
        <v>0</v>
      </c>
      <c r="L2485" s="110"/>
      <c r="M2485" s="110">
        <v>0</v>
      </c>
      <c r="N2485" s="110"/>
      <c r="O2485" s="110"/>
      <c r="P2485" s="110">
        <f t="shared" si="212"/>
        <v>0</v>
      </c>
      <c r="Q2485" s="110">
        <f t="shared" si="213"/>
        <v>0</v>
      </c>
      <c r="R2485" s="110">
        <f t="shared" si="214"/>
        <v>0</v>
      </c>
      <c r="S2485" s="112" t="s">
        <v>806</v>
      </c>
    </row>
    <row r="2486" spans="1:19">
      <c r="A2486" s="79"/>
      <c r="B2486" s="80" t="s">
        <v>509</v>
      </c>
      <c r="C2486" s="76"/>
      <c r="D2486" s="143">
        <v>0</v>
      </c>
      <c r="E2486" s="77"/>
      <c r="F2486" s="76"/>
      <c r="G2486" s="112">
        <v>0</v>
      </c>
      <c r="H2486" s="120">
        <v>0</v>
      </c>
      <c r="I2486" s="120">
        <v>0</v>
      </c>
      <c r="J2486" s="120">
        <v>0</v>
      </c>
      <c r="K2486" s="110">
        <v>0</v>
      </c>
      <c r="L2486" s="110"/>
      <c r="M2486" s="110">
        <v>0</v>
      </c>
      <c r="N2486" s="110"/>
      <c r="O2486" s="110"/>
      <c r="P2486" s="110">
        <f t="shared" si="212"/>
        <v>0</v>
      </c>
      <c r="Q2486" s="110">
        <f t="shared" si="213"/>
        <v>0</v>
      </c>
      <c r="R2486" s="110">
        <f t="shared" si="214"/>
        <v>0</v>
      </c>
      <c r="S2486" s="112">
        <v>0</v>
      </c>
    </row>
    <row r="2487" spans="1:19">
      <c r="A2487" s="79">
        <v>1</v>
      </c>
      <c r="B2487" s="80" t="s">
        <v>510</v>
      </c>
      <c r="C2487" s="76"/>
      <c r="D2487" s="143">
        <v>0</v>
      </c>
      <c r="E2487" s="77"/>
      <c r="F2487" s="76"/>
      <c r="G2487" s="112">
        <v>0</v>
      </c>
      <c r="H2487" s="120">
        <v>0</v>
      </c>
      <c r="I2487" s="120">
        <v>0</v>
      </c>
      <c r="J2487" s="120">
        <v>0</v>
      </c>
      <c r="K2487" s="110">
        <v>0</v>
      </c>
      <c r="L2487" s="110"/>
      <c r="M2487" s="110">
        <v>0</v>
      </c>
      <c r="N2487" s="110"/>
      <c r="O2487" s="110"/>
      <c r="P2487" s="110">
        <f t="shared" si="212"/>
        <v>0</v>
      </c>
      <c r="Q2487" s="110">
        <f t="shared" si="213"/>
        <v>0</v>
      </c>
      <c r="R2487" s="110">
        <f t="shared" si="214"/>
        <v>0</v>
      </c>
      <c r="S2487" s="112">
        <v>0</v>
      </c>
    </row>
    <row r="2488" spans="1:19" ht="210">
      <c r="A2488" s="79"/>
      <c r="B2488" s="77" t="s">
        <v>511</v>
      </c>
      <c r="C2488" s="76" t="s">
        <v>8</v>
      </c>
      <c r="D2488" s="143">
        <v>8787</v>
      </c>
      <c r="E2488" s="77"/>
      <c r="F2488" s="334">
        <v>8787</v>
      </c>
      <c r="G2488" s="112" t="s">
        <v>968</v>
      </c>
      <c r="H2488" s="120" t="s">
        <v>969</v>
      </c>
      <c r="I2488" s="120" t="s">
        <v>951</v>
      </c>
      <c r="J2488" s="120" t="s">
        <v>772</v>
      </c>
      <c r="K2488" s="110">
        <v>128100</v>
      </c>
      <c r="L2488" s="110"/>
      <c r="M2488" s="110">
        <v>104800</v>
      </c>
      <c r="N2488" s="110"/>
      <c r="O2488" s="110"/>
      <c r="P2488" s="110">
        <f t="shared" si="212"/>
        <v>232900</v>
      </c>
      <c r="Q2488" s="110">
        <f t="shared" si="213"/>
        <v>2046492300</v>
      </c>
      <c r="R2488" s="110">
        <f t="shared" si="214"/>
        <v>2046492300</v>
      </c>
      <c r="S2488" s="112">
        <v>0</v>
      </c>
    </row>
    <row r="2489" spans="1:19" ht="195">
      <c r="A2489" s="79"/>
      <c r="B2489" s="77" t="s">
        <v>512</v>
      </c>
      <c r="C2489" s="76" t="s">
        <v>8</v>
      </c>
      <c r="D2489" s="143">
        <v>1545</v>
      </c>
      <c r="E2489" s="77"/>
      <c r="F2489" s="334">
        <v>1545</v>
      </c>
      <c r="G2489" s="112" t="s">
        <v>966</v>
      </c>
      <c r="H2489" s="120" t="s">
        <v>967</v>
      </c>
      <c r="I2489" s="120" t="s">
        <v>951</v>
      </c>
      <c r="J2489" s="120" t="s">
        <v>772</v>
      </c>
      <c r="K2489" s="110">
        <v>146500</v>
      </c>
      <c r="L2489" s="110"/>
      <c r="M2489" s="110">
        <v>104800</v>
      </c>
      <c r="N2489" s="110"/>
      <c r="O2489" s="110"/>
      <c r="P2489" s="110">
        <f t="shared" si="212"/>
        <v>251300</v>
      </c>
      <c r="Q2489" s="110">
        <f t="shared" si="213"/>
        <v>388258500</v>
      </c>
      <c r="R2489" s="110">
        <f t="shared" si="214"/>
        <v>388258500</v>
      </c>
      <c r="S2489" s="112">
        <v>0</v>
      </c>
    </row>
    <row r="2490" spans="1:19" ht="180">
      <c r="A2490" s="79"/>
      <c r="B2490" s="77" t="s">
        <v>513</v>
      </c>
      <c r="C2490" s="76" t="s">
        <v>8</v>
      </c>
      <c r="D2490" s="143">
        <v>632</v>
      </c>
      <c r="E2490" s="77"/>
      <c r="F2490" s="334">
        <v>632</v>
      </c>
      <c r="G2490" s="112" t="s">
        <v>963</v>
      </c>
      <c r="H2490" s="120" t="s">
        <v>964</v>
      </c>
      <c r="I2490" s="120" t="s">
        <v>951</v>
      </c>
      <c r="J2490" s="120" t="s">
        <v>772</v>
      </c>
      <c r="K2490" s="110">
        <v>203600</v>
      </c>
      <c r="L2490" s="110"/>
      <c r="M2490" s="110">
        <v>111900</v>
      </c>
      <c r="N2490" s="110"/>
      <c r="O2490" s="110"/>
      <c r="P2490" s="110">
        <f t="shared" si="212"/>
        <v>315500</v>
      </c>
      <c r="Q2490" s="110">
        <f t="shared" si="213"/>
        <v>199396000</v>
      </c>
      <c r="R2490" s="110">
        <f t="shared" si="214"/>
        <v>199396000</v>
      </c>
      <c r="S2490" s="112">
        <v>0</v>
      </c>
    </row>
    <row r="2491" spans="1:19" ht="45">
      <c r="A2491" s="79"/>
      <c r="B2491" s="77" t="s">
        <v>673</v>
      </c>
      <c r="C2491" s="76" t="s">
        <v>8</v>
      </c>
      <c r="D2491" s="143">
        <v>503</v>
      </c>
      <c r="E2491" s="77"/>
      <c r="F2491" s="334">
        <v>503</v>
      </c>
      <c r="G2491" s="112">
        <v>0</v>
      </c>
      <c r="H2491" s="120">
        <v>0</v>
      </c>
      <c r="I2491" s="120">
        <v>0</v>
      </c>
      <c r="J2491" s="120">
        <v>0</v>
      </c>
      <c r="K2491" s="110">
        <v>0</v>
      </c>
      <c r="L2491" s="110"/>
      <c r="M2491" s="110">
        <v>0</v>
      </c>
      <c r="N2491" s="110"/>
      <c r="O2491" s="110"/>
      <c r="P2491" s="110">
        <f t="shared" si="212"/>
        <v>0</v>
      </c>
      <c r="Q2491" s="110">
        <f t="shared" si="213"/>
        <v>0</v>
      </c>
      <c r="R2491" s="110">
        <f t="shared" si="214"/>
        <v>0</v>
      </c>
      <c r="S2491" s="112" t="s">
        <v>1164</v>
      </c>
    </row>
    <row r="2492" spans="1:19" ht="45">
      <c r="A2492" s="79"/>
      <c r="B2492" s="77" t="s">
        <v>674</v>
      </c>
      <c r="C2492" s="76" t="s">
        <v>8</v>
      </c>
      <c r="D2492" s="143">
        <v>503</v>
      </c>
      <c r="E2492" s="77"/>
      <c r="F2492" s="334">
        <v>503</v>
      </c>
      <c r="G2492" s="112">
        <v>0</v>
      </c>
      <c r="H2492" s="120">
        <v>0</v>
      </c>
      <c r="I2492" s="120">
        <v>0</v>
      </c>
      <c r="J2492" s="120">
        <v>0</v>
      </c>
      <c r="K2492" s="110">
        <v>0</v>
      </c>
      <c r="L2492" s="110"/>
      <c r="M2492" s="110">
        <v>0</v>
      </c>
      <c r="N2492" s="110"/>
      <c r="O2492" s="110"/>
      <c r="P2492" s="110">
        <f t="shared" si="212"/>
        <v>0</v>
      </c>
      <c r="Q2492" s="110">
        <f t="shared" si="213"/>
        <v>0</v>
      </c>
      <c r="R2492" s="110">
        <f t="shared" si="214"/>
        <v>0</v>
      </c>
      <c r="S2492" s="112" t="s">
        <v>1164</v>
      </c>
    </row>
    <row r="2493" spans="1:19" ht="30">
      <c r="A2493" s="79"/>
      <c r="B2493" s="77" t="s">
        <v>514</v>
      </c>
      <c r="C2493" s="76" t="s">
        <v>8</v>
      </c>
      <c r="D2493" s="143">
        <v>0</v>
      </c>
      <c r="E2493" s="77"/>
      <c r="F2493" s="334">
        <v>0</v>
      </c>
      <c r="G2493" s="112" t="s">
        <v>1163</v>
      </c>
      <c r="H2493" s="120">
        <v>0</v>
      </c>
      <c r="I2493" s="120">
        <v>0</v>
      </c>
      <c r="J2493" s="120" t="s">
        <v>1162</v>
      </c>
      <c r="K2493" s="110">
        <v>1196500</v>
      </c>
      <c r="L2493" s="110"/>
      <c r="M2493" s="110">
        <v>74600</v>
      </c>
      <c r="N2493" s="110"/>
      <c r="O2493" s="110"/>
      <c r="P2493" s="110">
        <f t="shared" si="212"/>
        <v>1271100</v>
      </c>
      <c r="Q2493" s="110">
        <f t="shared" si="213"/>
        <v>0</v>
      </c>
      <c r="R2493" s="110">
        <f t="shared" si="214"/>
        <v>0</v>
      </c>
      <c r="S2493" s="112">
        <v>0</v>
      </c>
    </row>
    <row r="2494" spans="1:19" ht="90">
      <c r="A2494" s="79"/>
      <c r="B2494" s="77" t="s">
        <v>515</v>
      </c>
      <c r="C2494" s="76" t="s">
        <v>8</v>
      </c>
      <c r="D2494" s="143">
        <v>0</v>
      </c>
      <c r="E2494" s="77"/>
      <c r="F2494" s="334">
        <v>0</v>
      </c>
      <c r="G2494" s="112" t="s">
        <v>4032</v>
      </c>
      <c r="H2494" s="120" t="s">
        <v>1003</v>
      </c>
      <c r="I2494" s="120" t="s">
        <v>951</v>
      </c>
      <c r="J2494" s="120" t="s">
        <v>772</v>
      </c>
      <c r="K2494" s="110">
        <v>142300</v>
      </c>
      <c r="L2494" s="110"/>
      <c r="M2494" s="110">
        <v>93300</v>
      </c>
      <c r="N2494" s="110"/>
      <c r="O2494" s="110"/>
      <c r="P2494" s="110">
        <f t="shared" si="212"/>
        <v>235600</v>
      </c>
      <c r="Q2494" s="110">
        <f t="shared" si="213"/>
        <v>0</v>
      </c>
      <c r="R2494" s="110">
        <f t="shared" si="214"/>
        <v>0</v>
      </c>
      <c r="S2494" s="112">
        <v>0</v>
      </c>
    </row>
    <row r="2495" spans="1:19">
      <c r="A2495" s="79">
        <v>2</v>
      </c>
      <c r="B2495" s="80" t="s">
        <v>516</v>
      </c>
      <c r="C2495" s="76"/>
      <c r="D2495" s="143">
        <v>0</v>
      </c>
      <c r="E2495" s="77"/>
      <c r="F2495" s="76"/>
      <c r="G2495" s="112">
        <v>0</v>
      </c>
      <c r="H2495" s="120">
        <v>0</v>
      </c>
      <c r="I2495" s="120">
        <v>0</v>
      </c>
      <c r="J2495" s="120">
        <v>0</v>
      </c>
      <c r="K2495" s="110">
        <v>0</v>
      </c>
      <c r="L2495" s="110"/>
      <c r="M2495" s="110">
        <v>0</v>
      </c>
      <c r="N2495" s="110"/>
      <c r="O2495" s="110"/>
      <c r="P2495" s="110">
        <f t="shared" si="212"/>
        <v>0</v>
      </c>
      <c r="Q2495" s="110">
        <f t="shared" si="213"/>
        <v>0</v>
      </c>
      <c r="R2495" s="110">
        <f t="shared" si="214"/>
        <v>0</v>
      </c>
      <c r="S2495" s="112">
        <v>0</v>
      </c>
    </row>
    <row r="2496" spans="1:19" ht="45">
      <c r="A2496" s="79"/>
      <c r="B2496" s="77" t="s">
        <v>517</v>
      </c>
      <c r="C2496" s="76" t="s">
        <v>8</v>
      </c>
      <c r="D2496" s="143">
        <v>2826</v>
      </c>
      <c r="E2496" s="77"/>
      <c r="F2496" s="334">
        <v>2826</v>
      </c>
      <c r="G2496" s="112">
        <v>0</v>
      </c>
      <c r="H2496" s="120" t="s">
        <v>1089</v>
      </c>
      <c r="I2496" s="120" t="s">
        <v>1090</v>
      </c>
      <c r="J2496" s="120" t="s">
        <v>949</v>
      </c>
      <c r="K2496" s="110">
        <v>41900</v>
      </c>
      <c r="L2496" s="110"/>
      <c r="M2496" s="110">
        <v>110900</v>
      </c>
      <c r="N2496" s="110"/>
      <c r="O2496" s="110"/>
      <c r="P2496" s="110">
        <f t="shared" si="212"/>
        <v>152800</v>
      </c>
      <c r="Q2496" s="110">
        <f t="shared" si="213"/>
        <v>431812800</v>
      </c>
      <c r="R2496" s="110">
        <f t="shared" si="214"/>
        <v>431812800</v>
      </c>
      <c r="S2496" s="112">
        <v>0</v>
      </c>
    </row>
    <row r="2497" spans="1:19" ht="45">
      <c r="A2497" s="79"/>
      <c r="B2497" s="77" t="s">
        <v>518</v>
      </c>
      <c r="C2497" s="76" t="s">
        <v>8</v>
      </c>
      <c r="D2497" s="143">
        <v>972</v>
      </c>
      <c r="E2497" s="77"/>
      <c r="F2497" s="334">
        <v>972</v>
      </c>
      <c r="G2497" s="112">
        <v>0</v>
      </c>
      <c r="H2497" s="120" t="s">
        <v>1092</v>
      </c>
      <c r="I2497" s="120" t="s">
        <v>1090</v>
      </c>
      <c r="J2497" s="120" t="s">
        <v>949</v>
      </c>
      <c r="K2497" s="110">
        <v>60200</v>
      </c>
      <c r="L2497" s="110"/>
      <c r="M2497" s="110">
        <v>112900</v>
      </c>
      <c r="N2497" s="110"/>
      <c r="O2497" s="110"/>
      <c r="P2497" s="110">
        <f t="shared" si="212"/>
        <v>173100</v>
      </c>
      <c r="Q2497" s="110">
        <f t="shared" si="213"/>
        <v>168253200</v>
      </c>
      <c r="R2497" s="110">
        <f t="shared" si="214"/>
        <v>168253200</v>
      </c>
      <c r="S2497" s="112">
        <v>0</v>
      </c>
    </row>
    <row r="2498" spans="1:19" ht="45">
      <c r="A2498" s="79"/>
      <c r="B2498" s="77" t="s">
        <v>519</v>
      </c>
      <c r="C2498" s="76" t="s">
        <v>8</v>
      </c>
      <c r="D2498" s="143">
        <v>22</v>
      </c>
      <c r="E2498" s="77"/>
      <c r="F2498" s="334">
        <v>22</v>
      </c>
      <c r="G2498" s="112">
        <v>0</v>
      </c>
      <c r="H2498" s="120" t="s">
        <v>1093</v>
      </c>
      <c r="I2498" s="120" t="s">
        <v>1090</v>
      </c>
      <c r="J2498" s="120" t="s">
        <v>949</v>
      </c>
      <c r="K2498" s="110">
        <v>83300</v>
      </c>
      <c r="L2498" s="110"/>
      <c r="M2498" s="110">
        <v>115900</v>
      </c>
      <c r="N2498" s="110"/>
      <c r="O2498" s="110"/>
      <c r="P2498" s="110">
        <f t="shared" si="212"/>
        <v>199200</v>
      </c>
      <c r="Q2498" s="110">
        <f t="shared" si="213"/>
        <v>4382400</v>
      </c>
      <c r="R2498" s="110">
        <f t="shared" si="214"/>
        <v>4382400</v>
      </c>
      <c r="S2498" s="112">
        <v>0</v>
      </c>
    </row>
    <row r="2499" spans="1:19" ht="45">
      <c r="A2499" s="79"/>
      <c r="B2499" s="77" t="s">
        <v>520</v>
      </c>
      <c r="C2499" s="76" t="s">
        <v>8</v>
      </c>
      <c r="D2499" s="143">
        <v>2264</v>
      </c>
      <c r="E2499" s="77"/>
      <c r="F2499" s="334">
        <v>2264</v>
      </c>
      <c r="G2499" s="112">
        <v>0</v>
      </c>
      <c r="H2499" s="120" t="s">
        <v>1094</v>
      </c>
      <c r="I2499" s="120" t="s">
        <v>1090</v>
      </c>
      <c r="J2499" s="120" t="s">
        <v>949</v>
      </c>
      <c r="K2499" s="110">
        <v>45500</v>
      </c>
      <c r="L2499" s="110"/>
      <c r="M2499" s="110">
        <v>111900</v>
      </c>
      <c r="N2499" s="110"/>
      <c r="O2499" s="110"/>
      <c r="P2499" s="110">
        <f t="shared" si="212"/>
        <v>157400</v>
      </c>
      <c r="Q2499" s="110">
        <f t="shared" si="213"/>
        <v>356353600</v>
      </c>
      <c r="R2499" s="110">
        <f t="shared" si="214"/>
        <v>356353600</v>
      </c>
      <c r="S2499" s="112">
        <v>0</v>
      </c>
    </row>
    <row r="2500" spans="1:19" ht="45">
      <c r="A2500" s="79"/>
      <c r="B2500" s="77" t="s">
        <v>521</v>
      </c>
      <c r="C2500" s="76" t="s">
        <v>8</v>
      </c>
      <c r="D2500" s="143">
        <v>22</v>
      </c>
      <c r="E2500" s="77"/>
      <c r="F2500" s="334">
        <v>22</v>
      </c>
      <c r="G2500" s="112">
        <v>0</v>
      </c>
      <c r="H2500" s="120" t="s">
        <v>1095</v>
      </c>
      <c r="I2500" s="120" t="s">
        <v>1090</v>
      </c>
      <c r="J2500" s="120" t="s">
        <v>949</v>
      </c>
      <c r="K2500" s="110">
        <v>68700</v>
      </c>
      <c r="L2500" s="110"/>
      <c r="M2500" s="110">
        <v>118900</v>
      </c>
      <c r="N2500" s="110"/>
      <c r="O2500" s="110"/>
      <c r="P2500" s="110">
        <f t="shared" si="212"/>
        <v>187600</v>
      </c>
      <c r="Q2500" s="110">
        <f t="shared" si="213"/>
        <v>4127200</v>
      </c>
      <c r="R2500" s="110">
        <f t="shared" si="214"/>
        <v>4127200</v>
      </c>
      <c r="S2500" s="112">
        <v>0</v>
      </c>
    </row>
    <row r="2501" spans="1:19" ht="45">
      <c r="A2501" s="79"/>
      <c r="B2501" s="77" t="s">
        <v>522</v>
      </c>
      <c r="C2501" s="76" t="s">
        <v>8</v>
      </c>
      <c r="D2501" s="143">
        <v>771</v>
      </c>
      <c r="E2501" s="77"/>
      <c r="F2501" s="334">
        <v>771</v>
      </c>
      <c r="G2501" s="112">
        <v>0</v>
      </c>
      <c r="H2501" s="120" t="s">
        <v>1096</v>
      </c>
      <c r="I2501" s="120" t="s">
        <v>1090</v>
      </c>
      <c r="J2501" s="120" t="s">
        <v>949</v>
      </c>
      <c r="K2501" s="110">
        <v>94300</v>
      </c>
      <c r="L2501" s="110"/>
      <c r="M2501" s="110">
        <v>131000</v>
      </c>
      <c r="N2501" s="110"/>
      <c r="O2501" s="110"/>
      <c r="P2501" s="110">
        <f t="shared" si="212"/>
        <v>225300</v>
      </c>
      <c r="Q2501" s="110">
        <f t="shared" si="213"/>
        <v>173706300</v>
      </c>
      <c r="R2501" s="110">
        <f t="shared" si="214"/>
        <v>173706300</v>
      </c>
      <c r="S2501" s="112">
        <v>0</v>
      </c>
    </row>
    <row r="2502" spans="1:19" ht="60">
      <c r="A2502" s="79"/>
      <c r="B2502" s="77" t="s">
        <v>523</v>
      </c>
      <c r="C2502" s="76" t="s">
        <v>8</v>
      </c>
      <c r="D2502" s="143">
        <v>503</v>
      </c>
      <c r="E2502" s="77"/>
      <c r="F2502" s="334">
        <v>503</v>
      </c>
      <c r="G2502" s="112">
        <v>0</v>
      </c>
      <c r="H2502" s="120" t="s">
        <v>1097</v>
      </c>
      <c r="I2502" s="120" t="s">
        <v>1090</v>
      </c>
      <c r="J2502" s="120" t="s">
        <v>949</v>
      </c>
      <c r="K2502" s="110">
        <v>273800</v>
      </c>
      <c r="L2502" s="110"/>
      <c r="M2502" s="110">
        <v>203600</v>
      </c>
      <c r="N2502" s="110"/>
      <c r="O2502" s="110"/>
      <c r="P2502" s="110">
        <f t="shared" si="212"/>
        <v>477400</v>
      </c>
      <c r="Q2502" s="110">
        <f t="shared" si="213"/>
        <v>240132200</v>
      </c>
      <c r="R2502" s="110">
        <f t="shared" si="214"/>
        <v>240132200</v>
      </c>
      <c r="S2502" s="112">
        <v>0</v>
      </c>
    </row>
    <row r="2503" spans="1:19">
      <c r="A2503" s="79">
        <v>3</v>
      </c>
      <c r="B2503" s="80" t="s">
        <v>524</v>
      </c>
      <c r="C2503" s="76"/>
      <c r="D2503" s="143">
        <v>0</v>
      </c>
      <c r="E2503" s="77"/>
      <c r="F2503" s="76"/>
      <c r="G2503" s="112">
        <v>0</v>
      </c>
      <c r="H2503" s="120">
        <v>0</v>
      </c>
      <c r="I2503" s="120">
        <v>0</v>
      </c>
      <c r="J2503" s="120">
        <v>0</v>
      </c>
      <c r="K2503" s="110">
        <v>0</v>
      </c>
      <c r="L2503" s="110"/>
      <c r="M2503" s="110">
        <v>0</v>
      </c>
      <c r="N2503" s="110"/>
      <c r="O2503" s="110"/>
      <c r="P2503" s="110">
        <f t="shared" si="212"/>
        <v>0</v>
      </c>
      <c r="Q2503" s="110">
        <f t="shared" si="213"/>
        <v>0</v>
      </c>
      <c r="R2503" s="110">
        <f t="shared" si="214"/>
        <v>0</v>
      </c>
      <c r="S2503" s="112">
        <v>0</v>
      </c>
    </row>
    <row r="2504" spans="1:19" ht="45">
      <c r="A2504" s="79"/>
      <c r="B2504" s="77" t="s">
        <v>525</v>
      </c>
      <c r="C2504" s="76" t="s">
        <v>485</v>
      </c>
      <c r="D2504" s="143">
        <v>5261</v>
      </c>
      <c r="E2504" s="77"/>
      <c r="F2504" s="334">
        <v>5261</v>
      </c>
      <c r="G2504" s="112">
        <v>0</v>
      </c>
      <c r="H2504" s="120" t="s">
        <v>1098</v>
      </c>
      <c r="I2504" s="120" t="s">
        <v>1090</v>
      </c>
      <c r="J2504" s="120" t="s">
        <v>949</v>
      </c>
      <c r="K2504" s="110">
        <v>107700</v>
      </c>
      <c r="L2504" s="110"/>
      <c r="M2504" s="110">
        <v>84700</v>
      </c>
      <c r="N2504" s="110"/>
      <c r="O2504" s="110"/>
      <c r="P2504" s="110">
        <f t="shared" si="212"/>
        <v>192400</v>
      </c>
      <c r="Q2504" s="110">
        <f t="shared" si="213"/>
        <v>1012216400</v>
      </c>
      <c r="R2504" s="110">
        <f t="shared" si="214"/>
        <v>1012216400</v>
      </c>
      <c r="S2504" s="112">
        <v>0</v>
      </c>
    </row>
    <row r="2505" spans="1:19" ht="45">
      <c r="A2505" s="79"/>
      <c r="B2505" s="77" t="s">
        <v>526</v>
      </c>
      <c r="C2505" s="76" t="s">
        <v>485</v>
      </c>
      <c r="D2505" s="143">
        <v>2114</v>
      </c>
      <c r="E2505" s="77"/>
      <c r="F2505" s="334">
        <v>2114</v>
      </c>
      <c r="G2505" s="112">
        <v>0</v>
      </c>
      <c r="H2505" s="120" t="s">
        <v>1098</v>
      </c>
      <c r="I2505" s="120" t="s">
        <v>1090</v>
      </c>
      <c r="J2505" s="120" t="s">
        <v>949</v>
      </c>
      <c r="K2505" s="110">
        <v>107700</v>
      </c>
      <c r="L2505" s="110"/>
      <c r="M2505" s="110">
        <v>84700</v>
      </c>
      <c r="N2505" s="110"/>
      <c r="O2505" s="110"/>
      <c r="P2505" s="110">
        <f t="shared" si="212"/>
        <v>192400</v>
      </c>
      <c r="Q2505" s="110">
        <f t="shared" si="213"/>
        <v>406733600</v>
      </c>
      <c r="R2505" s="110">
        <f t="shared" si="214"/>
        <v>406733600</v>
      </c>
      <c r="S2505" s="112">
        <v>0</v>
      </c>
    </row>
    <row r="2506" spans="1:19" ht="60">
      <c r="A2506" s="79"/>
      <c r="B2506" s="77" t="s">
        <v>527</v>
      </c>
      <c r="C2506" s="76" t="s">
        <v>485</v>
      </c>
      <c r="D2506" s="143">
        <v>1274</v>
      </c>
      <c r="E2506" s="77"/>
      <c r="F2506" s="334">
        <v>1274</v>
      </c>
      <c r="G2506" s="112">
        <v>0</v>
      </c>
      <c r="H2506" s="120" t="s">
        <v>1100</v>
      </c>
      <c r="I2506" s="120" t="s">
        <v>1090</v>
      </c>
      <c r="J2506" s="120" t="s">
        <v>949</v>
      </c>
      <c r="K2506" s="110">
        <v>229800</v>
      </c>
      <c r="L2506" s="110"/>
      <c r="M2506" s="110">
        <v>92700</v>
      </c>
      <c r="N2506" s="110"/>
      <c r="O2506" s="110"/>
      <c r="P2506" s="110">
        <f t="shared" si="212"/>
        <v>322500</v>
      </c>
      <c r="Q2506" s="110">
        <f t="shared" si="213"/>
        <v>410865000</v>
      </c>
      <c r="R2506" s="110">
        <f t="shared" si="214"/>
        <v>410865000</v>
      </c>
      <c r="S2506" s="112">
        <v>0</v>
      </c>
    </row>
    <row r="2507" spans="1:19" ht="45">
      <c r="A2507" s="79"/>
      <c r="B2507" s="77" t="s">
        <v>528</v>
      </c>
      <c r="C2507" s="76" t="s">
        <v>485</v>
      </c>
      <c r="D2507" s="143">
        <v>0</v>
      </c>
      <c r="E2507" s="77"/>
      <c r="F2507" s="334">
        <v>0</v>
      </c>
      <c r="G2507" s="112">
        <v>0</v>
      </c>
      <c r="H2507" s="120" t="s">
        <v>1099</v>
      </c>
      <c r="I2507" s="120" t="s">
        <v>1090</v>
      </c>
      <c r="J2507" s="120" t="s">
        <v>949</v>
      </c>
      <c r="K2507" s="110">
        <v>107700</v>
      </c>
      <c r="L2507" s="110"/>
      <c r="M2507" s="110">
        <v>84700</v>
      </c>
      <c r="N2507" s="110"/>
      <c r="O2507" s="110"/>
      <c r="P2507" s="110">
        <f t="shared" si="212"/>
        <v>192400</v>
      </c>
      <c r="Q2507" s="110">
        <f t="shared" si="213"/>
        <v>0</v>
      </c>
      <c r="R2507" s="110">
        <f t="shared" si="214"/>
        <v>0</v>
      </c>
      <c r="S2507" s="112">
        <v>0</v>
      </c>
    </row>
    <row r="2508" spans="1:19" ht="45">
      <c r="A2508" s="79"/>
      <c r="B2508" s="77" t="s">
        <v>529</v>
      </c>
      <c r="C2508" s="76" t="s">
        <v>485</v>
      </c>
      <c r="D2508" s="143">
        <v>2</v>
      </c>
      <c r="E2508" s="77"/>
      <c r="F2508" s="334">
        <v>2</v>
      </c>
      <c r="G2508" s="112">
        <v>0</v>
      </c>
      <c r="H2508" s="120" t="s">
        <v>950</v>
      </c>
      <c r="I2508" s="120" t="s">
        <v>1091</v>
      </c>
      <c r="J2508" s="120" t="s">
        <v>949</v>
      </c>
      <c r="K2508" s="110">
        <v>689600</v>
      </c>
      <c r="L2508" s="110"/>
      <c r="M2508" s="110">
        <v>193500</v>
      </c>
      <c r="N2508" s="110"/>
      <c r="O2508" s="110"/>
      <c r="P2508" s="110">
        <f t="shared" si="212"/>
        <v>883100</v>
      </c>
      <c r="Q2508" s="110">
        <f t="shared" si="213"/>
        <v>1766200</v>
      </c>
      <c r="R2508" s="110">
        <f t="shared" si="214"/>
        <v>1766200</v>
      </c>
      <c r="S2508" s="112">
        <v>0</v>
      </c>
    </row>
    <row r="2509" spans="1:19" ht="30">
      <c r="A2509" s="79"/>
      <c r="B2509" s="77" t="s">
        <v>530</v>
      </c>
      <c r="C2509" s="76" t="s">
        <v>485</v>
      </c>
      <c r="D2509" s="143">
        <v>4421</v>
      </c>
      <c r="E2509" s="77"/>
      <c r="F2509" s="334">
        <v>4421</v>
      </c>
      <c r="G2509" s="112" t="s">
        <v>978</v>
      </c>
      <c r="H2509" s="120" t="s">
        <v>979</v>
      </c>
      <c r="I2509" s="120" t="s">
        <v>723</v>
      </c>
      <c r="J2509" s="120" t="s">
        <v>772</v>
      </c>
      <c r="K2509" s="110">
        <v>12600</v>
      </c>
      <c r="L2509" s="110"/>
      <c r="M2509" s="110">
        <v>43400</v>
      </c>
      <c r="N2509" s="110"/>
      <c r="O2509" s="110"/>
      <c r="P2509" s="110">
        <f t="shared" si="212"/>
        <v>56000</v>
      </c>
      <c r="Q2509" s="110">
        <f t="shared" si="213"/>
        <v>247576000</v>
      </c>
      <c r="R2509" s="110">
        <f t="shared" si="214"/>
        <v>247576000</v>
      </c>
      <c r="S2509" s="112">
        <v>0</v>
      </c>
    </row>
    <row r="2510" spans="1:19">
      <c r="A2510" s="79"/>
      <c r="B2510" s="80" t="s">
        <v>1181</v>
      </c>
      <c r="C2510" s="76"/>
      <c r="D2510" s="143">
        <v>0</v>
      </c>
      <c r="E2510" s="77"/>
      <c r="F2510" s="76"/>
      <c r="G2510" s="112">
        <v>0</v>
      </c>
      <c r="H2510" s="120">
        <v>0</v>
      </c>
      <c r="I2510" s="120">
        <v>0</v>
      </c>
      <c r="J2510" s="120">
        <v>0</v>
      </c>
      <c r="K2510" s="110">
        <v>0</v>
      </c>
      <c r="L2510" s="110"/>
      <c r="M2510" s="110">
        <v>0</v>
      </c>
      <c r="N2510" s="110"/>
      <c r="O2510" s="110"/>
      <c r="P2510" s="110">
        <f t="shared" si="212"/>
        <v>0</v>
      </c>
      <c r="Q2510" s="110">
        <f t="shared" si="213"/>
        <v>0</v>
      </c>
      <c r="R2510" s="110">
        <f t="shared" si="214"/>
        <v>0</v>
      </c>
      <c r="S2510" s="112">
        <v>0</v>
      </c>
    </row>
    <row r="2511" spans="1:19" ht="28.5">
      <c r="A2511" s="79">
        <v>1</v>
      </c>
      <c r="B2511" s="80" t="s">
        <v>531</v>
      </c>
      <c r="C2511" s="76"/>
      <c r="D2511" s="143">
        <v>0</v>
      </c>
      <c r="E2511" s="77"/>
      <c r="F2511" s="76"/>
      <c r="G2511" s="112">
        <v>0</v>
      </c>
      <c r="H2511" s="120">
        <v>0</v>
      </c>
      <c r="I2511" s="120">
        <v>0</v>
      </c>
      <c r="J2511" s="120">
        <v>0</v>
      </c>
      <c r="K2511" s="110">
        <v>0</v>
      </c>
      <c r="L2511" s="110"/>
      <c r="M2511" s="110">
        <v>0</v>
      </c>
      <c r="N2511" s="110"/>
      <c r="O2511" s="110"/>
      <c r="P2511" s="110">
        <f t="shared" si="212"/>
        <v>0</v>
      </c>
      <c r="Q2511" s="110">
        <f t="shared" si="213"/>
        <v>0</v>
      </c>
      <c r="R2511" s="110">
        <f t="shared" si="214"/>
        <v>0</v>
      </c>
      <c r="S2511" s="112">
        <v>0</v>
      </c>
    </row>
    <row r="2512" spans="1:19" ht="30">
      <c r="A2512" s="79"/>
      <c r="B2512" s="77" t="s">
        <v>474</v>
      </c>
      <c r="C2512" s="76" t="s">
        <v>7</v>
      </c>
      <c r="D2512" s="143">
        <v>99</v>
      </c>
      <c r="E2512" s="77"/>
      <c r="F2512" s="334">
        <v>99</v>
      </c>
      <c r="G2512" s="112">
        <v>0</v>
      </c>
      <c r="H2512" s="120" t="s">
        <v>786</v>
      </c>
      <c r="I2512" s="120" t="s">
        <v>771</v>
      </c>
      <c r="J2512" s="120" t="s">
        <v>772</v>
      </c>
      <c r="K2512" s="110">
        <v>93800</v>
      </c>
      <c r="L2512" s="110"/>
      <c r="M2512" s="110">
        <v>27300</v>
      </c>
      <c r="N2512" s="110"/>
      <c r="O2512" s="110"/>
      <c r="P2512" s="110">
        <f t="shared" si="212"/>
        <v>121100</v>
      </c>
      <c r="Q2512" s="110">
        <f t="shared" si="213"/>
        <v>11988900</v>
      </c>
      <c r="R2512" s="110">
        <f t="shared" si="214"/>
        <v>11988900</v>
      </c>
      <c r="S2512" s="112">
        <v>0</v>
      </c>
    </row>
    <row r="2513" spans="1:19" ht="28.5">
      <c r="A2513" s="79">
        <v>2</v>
      </c>
      <c r="B2513" s="80" t="s">
        <v>532</v>
      </c>
      <c r="C2513" s="76"/>
      <c r="D2513" s="143">
        <v>0</v>
      </c>
      <c r="E2513" s="77"/>
      <c r="F2513" s="76"/>
      <c r="G2513" s="112">
        <v>0</v>
      </c>
      <c r="H2513" s="120">
        <v>0</v>
      </c>
      <c r="I2513" s="120">
        <v>0</v>
      </c>
      <c r="J2513" s="120">
        <v>0</v>
      </c>
      <c r="K2513" s="110">
        <v>0</v>
      </c>
      <c r="L2513" s="110"/>
      <c r="M2513" s="110">
        <v>0</v>
      </c>
      <c r="N2513" s="110"/>
      <c r="O2513" s="110"/>
      <c r="P2513" s="110">
        <f t="shared" si="212"/>
        <v>0</v>
      </c>
      <c r="Q2513" s="110">
        <f t="shared" si="213"/>
        <v>0</v>
      </c>
      <c r="R2513" s="110">
        <f t="shared" si="214"/>
        <v>0</v>
      </c>
      <c r="S2513" s="112">
        <v>0</v>
      </c>
    </row>
    <row r="2514" spans="1:19">
      <c r="A2514" s="79"/>
      <c r="B2514" s="77" t="s">
        <v>146</v>
      </c>
      <c r="C2514" s="76" t="s">
        <v>7</v>
      </c>
      <c r="D2514" s="143">
        <v>8796.8970000000008</v>
      </c>
      <c r="E2514" s="77"/>
      <c r="F2514" s="334">
        <v>8796.8970000000008</v>
      </c>
      <c r="G2514" s="112">
        <v>0</v>
      </c>
      <c r="H2514" s="120" t="s">
        <v>779</v>
      </c>
      <c r="I2514" s="120" t="s">
        <v>771</v>
      </c>
      <c r="J2514" s="120" t="s">
        <v>772</v>
      </c>
      <c r="K2514" s="110">
        <v>31300</v>
      </c>
      <c r="L2514" s="110"/>
      <c r="M2514" s="110">
        <v>12100</v>
      </c>
      <c r="N2514" s="110"/>
      <c r="O2514" s="110"/>
      <c r="P2514" s="110">
        <f t="shared" si="212"/>
        <v>43400</v>
      </c>
      <c r="Q2514" s="110">
        <f t="shared" si="213"/>
        <v>381785329.80000001</v>
      </c>
      <c r="R2514" s="110">
        <f t="shared" si="214"/>
        <v>381785329.80000001</v>
      </c>
      <c r="S2514" s="112">
        <v>0</v>
      </c>
    </row>
    <row r="2515" spans="1:19">
      <c r="A2515" s="79"/>
      <c r="B2515" s="77" t="s">
        <v>533</v>
      </c>
      <c r="C2515" s="76" t="s">
        <v>7</v>
      </c>
      <c r="D2515" s="143">
        <v>38939.692000000003</v>
      </c>
      <c r="E2515" s="77"/>
      <c r="F2515" s="334">
        <v>38939.692000000003</v>
      </c>
      <c r="G2515" s="112">
        <v>0</v>
      </c>
      <c r="H2515" s="120" t="s">
        <v>778</v>
      </c>
      <c r="I2515" s="120" t="s">
        <v>771</v>
      </c>
      <c r="J2515" s="120" t="s">
        <v>772</v>
      </c>
      <c r="K2515" s="110">
        <v>21300</v>
      </c>
      <c r="L2515" s="110"/>
      <c r="M2515" s="110">
        <v>8100</v>
      </c>
      <c r="N2515" s="110"/>
      <c r="O2515" s="110"/>
      <c r="P2515" s="110">
        <f t="shared" si="212"/>
        <v>29400</v>
      </c>
      <c r="Q2515" s="110">
        <f t="shared" si="213"/>
        <v>1144826944.8000002</v>
      </c>
      <c r="R2515" s="110">
        <f t="shared" si="214"/>
        <v>1144826944.8000002</v>
      </c>
      <c r="S2515" s="112">
        <v>0</v>
      </c>
    </row>
    <row r="2516" spans="1:19">
      <c r="A2516" s="79"/>
      <c r="B2516" s="77" t="s">
        <v>475</v>
      </c>
      <c r="C2516" s="76" t="s">
        <v>7</v>
      </c>
      <c r="D2516" s="348">
        <v>124280</v>
      </c>
      <c r="E2516" s="77"/>
      <c r="F2516" s="349">
        <v>124280</v>
      </c>
      <c r="G2516" s="112">
        <v>0</v>
      </c>
      <c r="H2516" s="120" t="s">
        <v>777</v>
      </c>
      <c r="I2516" s="120" t="s">
        <v>771</v>
      </c>
      <c r="J2516" s="120" t="s">
        <v>772</v>
      </c>
      <c r="K2516" s="110">
        <v>14100</v>
      </c>
      <c r="L2516" s="110"/>
      <c r="M2516" s="110">
        <v>7100</v>
      </c>
      <c r="N2516" s="110"/>
      <c r="O2516" s="110"/>
      <c r="P2516" s="110">
        <f t="shared" si="212"/>
        <v>21200</v>
      </c>
      <c r="Q2516" s="110">
        <f t="shared" si="213"/>
        <v>2634736000</v>
      </c>
      <c r="R2516" s="110">
        <f t="shared" si="214"/>
        <v>2634736000</v>
      </c>
      <c r="S2516" s="112">
        <v>0</v>
      </c>
    </row>
    <row r="2517" spans="1:19">
      <c r="A2517" s="79"/>
      <c r="B2517" s="77" t="s">
        <v>476</v>
      </c>
      <c r="C2517" s="76" t="s">
        <v>7</v>
      </c>
      <c r="D2517" s="143">
        <v>221107.53599999999</v>
      </c>
      <c r="E2517" s="77"/>
      <c r="F2517" s="334">
        <v>221107.53599999999</v>
      </c>
      <c r="G2517" s="112">
        <v>0</v>
      </c>
      <c r="H2517" s="120" t="s">
        <v>776</v>
      </c>
      <c r="I2517" s="120" t="s">
        <v>771</v>
      </c>
      <c r="J2517" s="120" t="s">
        <v>772</v>
      </c>
      <c r="K2517" s="110">
        <v>8700</v>
      </c>
      <c r="L2517" s="110"/>
      <c r="M2517" s="110">
        <v>6100</v>
      </c>
      <c r="N2517" s="110"/>
      <c r="O2517" s="110"/>
      <c r="P2517" s="110">
        <f t="shared" si="212"/>
        <v>14800</v>
      </c>
      <c r="Q2517" s="110">
        <f t="shared" si="213"/>
        <v>3272391532.7999997</v>
      </c>
      <c r="R2517" s="110">
        <f t="shared" si="214"/>
        <v>3272391532.7999997</v>
      </c>
      <c r="S2517" s="112">
        <v>0</v>
      </c>
    </row>
    <row r="2518" spans="1:19">
      <c r="A2518" s="79">
        <v>3</v>
      </c>
      <c r="B2518" s="80" t="s">
        <v>136</v>
      </c>
      <c r="C2518" s="76"/>
      <c r="D2518" s="143">
        <v>0</v>
      </c>
      <c r="E2518" s="77"/>
      <c r="F2518" s="76"/>
      <c r="G2518" s="112">
        <v>0</v>
      </c>
      <c r="H2518" s="120">
        <v>0</v>
      </c>
      <c r="I2518" s="120">
        <v>0</v>
      </c>
      <c r="J2518" s="120">
        <v>0</v>
      </c>
      <c r="K2518" s="110">
        <v>0</v>
      </c>
      <c r="L2518" s="110"/>
      <c r="M2518" s="110">
        <v>0</v>
      </c>
      <c r="N2518" s="110"/>
      <c r="O2518" s="110"/>
      <c r="P2518" s="110">
        <f t="shared" si="212"/>
        <v>0</v>
      </c>
      <c r="Q2518" s="110">
        <f t="shared" si="213"/>
        <v>0</v>
      </c>
      <c r="R2518" s="110">
        <f t="shared" si="214"/>
        <v>0</v>
      </c>
      <c r="S2518" s="112">
        <v>0</v>
      </c>
    </row>
    <row r="2519" spans="1:19">
      <c r="A2519" s="79"/>
      <c r="B2519" s="77" t="s">
        <v>534</v>
      </c>
      <c r="C2519" s="76" t="s">
        <v>7</v>
      </c>
      <c r="D2519" s="143">
        <v>0</v>
      </c>
      <c r="E2519" s="77"/>
      <c r="F2519" s="334">
        <v>0</v>
      </c>
      <c r="G2519" s="112">
        <v>0</v>
      </c>
      <c r="H2519" s="120" t="s">
        <v>780</v>
      </c>
      <c r="I2519" s="120" t="s">
        <v>771</v>
      </c>
      <c r="J2519" s="120" t="s">
        <v>772</v>
      </c>
      <c r="K2519" s="110">
        <v>51700</v>
      </c>
      <c r="L2519" s="110"/>
      <c r="M2519" s="110">
        <v>16200</v>
      </c>
      <c r="N2519" s="110"/>
      <c r="O2519" s="110"/>
      <c r="P2519" s="110">
        <f t="shared" si="212"/>
        <v>67900</v>
      </c>
      <c r="Q2519" s="110">
        <f t="shared" si="213"/>
        <v>0</v>
      </c>
      <c r="R2519" s="110">
        <f t="shared" si="214"/>
        <v>0</v>
      </c>
      <c r="S2519" s="112">
        <v>0</v>
      </c>
    </row>
    <row r="2520" spans="1:19">
      <c r="A2520" s="79"/>
      <c r="B2520" s="77" t="s">
        <v>146</v>
      </c>
      <c r="C2520" s="76" t="s">
        <v>7</v>
      </c>
      <c r="D2520" s="143">
        <v>4398.4380000000001</v>
      </c>
      <c r="E2520" s="77"/>
      <c r="F2520" s="334">
        <v>4398.4380000000001</v>
      </c>
      <c r="G2520" s="112">
        <v>0</v>
      </c>
      <c r="H2520" s="120" t="s">
        <v>779</v>
      </c>
      <c r="I2520" s="120" t="s">
        <v>771</v>
      </c>
      <c r="J2520" s="120" t="s">
        <v>772</v>
      </c>
      <c r="K2520" s="110">
        <v>31300</v>
      </c>
      <c r="L2520" s="110"/>
      <c r="M2520" s="110">
        <v>12100</v>
      </c>
      <c r="N2520" s="110"/>
      <c r="O2520" s="110"/>
      <c r="P2520" s="110">
        <f t="shared" si="212"/>
        <v>43400</v>
      </c>
      <c r="Q2520" s="110">
        <f t="shared" si="213"/>
        <v>190892209.20000002</v>
      </c>
      <c r="R2520" s="110">
        <f t="shared" si="214"/>
        <v>190892209.20000002</v>
      </c>
      <c r="S2520" s="112">
        <v>0</v>
      </c>
    </row>
    <row r="2521" spans="1:19">
      <c r="A2521" s="79"/>
      <c r="B2521" s="77" t="s">
        <v>533</v>
      </c>
      <c r="C2521" s="76" t="s">
        <v>7</v>
      </c>
      <c r="D2521" s="143">
        <v>19511.939000000002</v>
      </c>
      <c r="E2521" s="77"/>
      <c r="F2521" s="334">
        <v>19511.939000000002</v>
      </c>
      <c r="G2521" s="112">
        <v>0</v>
      </c>
      <c r="H2521" s="120" t="s">
        <v>778</v>
      </c>
      <c r="I2521" s="120" t="s">
        <v>771</v>
      </c>
      <c r="J2521" s="120" t="s">
        <v>772</v>
      </c>
      <c r="K2521" s="110">
        <v>21300</v>
      </c>
      <c r="L2521" s="110"/>
      <c r="M2521" s="110">
        <v>8100</v>
      </c>
      <c r="N2521" s="110"/>
      <c r="O2521" s="110"/>
      <c r="P2521" s="110">
        <f t="shared" si="212"/>
        <v>29400</v>
      </c>
      <c r="Q2521" s="110">
        <f t="shared" si="213"/>
        <v>573651006.60000002</v>
      </c>
      <c r="R2521" s="110">
        <f t="shared" si="214"/>
        <v>573651006.60000002</v>
      </c>
      <c r="S2521" s="112">
        <v>0</v>
      </c>
    </row>
    <row r="2522" spans="1:19">
      <c r="A2522" s="79"/>
      <c r="B2522" s="77" t="s">
        <v>475</v>
      </c>
      <c r="C2522" s="76" t="s">
        <v>7</v>
      </c>
      <c r="D2522" s="143">
        <v>61993.275000000001</v>
      </c>
      <c r="E2522" s="77"/>
      <c r="F2522" s="334">
        <v>61993.275000000001</v>
      </c>
      <c r="G2522" s="112">
        <v>0</v>
      </c>
      <c r="H2522" s="120" t="s">
        <v>777</v>
      </c>
      <c r="I2522" s="120" t="s">
        <v>771</v>
      </c>
      <c r="J2522" s="120" t="s">
        <v>772</v>
      </c>
      <c r="K2522" s="110">
        <v>14100</v>
      </c>
      <c r="L2522" s="110"/>
      <c r="M2522" s="110">
        <v>7100</v>
      </c>
      <c r="N2522" s="110"/>
      <c r="O2522" s="110"/>
      <c r="P2522" s="110">
        <f t="shared" si="212"/>
        <v>21200</v>
      </c>
      <c r="Q2522" s="110">
        <f t="shared" si="213"/>
        <v>1314257430</v>
      </c>
      <c r="R2522" s="110">
        <f t="shared" si="214"/>
        <v>1314257430</v>
      </c>
      <c r="S2522" s="112">
        <v>0</v>
      </c>
    </row>
    <row r="2523" spans="1:19">
      <c r="A2523" s="79">
        <v>4</v>
      </c>
      <c r="B2523" s="80" t="s">
        <v>535</v>
      </c>
      <c r="C2523" s="76"/>
      <c r="D2523" s="143">
        <v>0</v>
      </c>
      <c r="E2523" s="77"/>
      <c r="F2523" s="76"/>
      <c r="G2523" s="112">
        <v>0</v>
      </c>
      <c r="H2523" s="120">
        <v>0</v>
      </c>
      <c r="I2523" s="120">
        <v>0</v>
      </c>
      <c r="J2523" s="120">
        <v>0</v>
      </c>
      <c r="K2523" s="110">
        <v>0</v>
      </c>
      <c r="L2523" s="110"/>
      <c r="M2523" s="110">
        <v>0</v>
      </c>
      <c r="N2523" s="110"/>
      <c r="O2523" s="110"/>
      <c r="P2523" s="110">
        <f t="shared" si="212"/>
        <v>0</v>
      </c>
      <c r="Q2523" s="110">
        <f t="shared" si="213"/>
        <v>0</v>
      </c>
      <c r="R2523" s="110">
        <f t="shared" si="214"/>
        <v>0</v>
      </c>
      <c r="S2523" s="112">
        <v>0</v>
      </c>
    </row>
    <row r="2524" spans="1:19" ht="60">
      <c r="A2524" s="79"/>
      <c r="B2524" s="77" t="s">
        <v>664</v>
      </c>
      <c r="C2524" s="76" t="s">
        <v>7</v>
      </c>
      <c r="D2524" s="143">
        <v>57939.6</v>
      </c>
      <c r="E2524" s="77"/>
      <c r="F2524" s="334">
        <v>57939.6</v>
      </c>
      <c r="G2524" s="112" t="s">
        <v>970</v>
      </c>
      <c r="H2524" s="120" t="s">
        <v>971</v>
      </c>
      <c r="I2524" s="120" t="s">
        <v>723</v>
      </c>
      <c r="J2524" s="120" t="s">
        <v>772</v>
      </c>
      <c r="K2524" s="110">
        <v>9000</v>
      </c>
      <c r="L2524" s="110"/>
      <c r="M2524" s="110">
        <v>23200</v>
      </c>
      <c r="N2524" s="110"/>
      <c r="O2524" s="110"/>
      <c r="P2524" s="110">
        <f t="shared" si="212"/>
        <v>32200</v>
      </c>
      <c r="Q2524" s="110">
        <f t="shared" si="213"/>
        <v>1865655120</v>
      </c>
      <c r="R2524" s="110">
        <f t="shared" si="214"/>
        <v>1865655120</v>
      </c>
      <c r="S2524" s="112" t="s">
        <v>1197</v>
      </c>
    </row>
    <row r="2525" spans="1:19" ht="60">
      <c r="A2525" s="79"/>
      <c r="B2525" s="77" t="s">
        <v>665</v>
      </c>
      <c r="C2525" s="76" t="s">
        <v>7</v>
      </c>
      <c r="D2525" s="143">
        <v>38626.400000000001</v>
      </c>
      <c r="E2525" s="77"/>
      <c r="F2525" s="334">
        <v>38626.400000000001</v>
      </c>
      <c r="G2525" s="112" t="s">
        <v>970</v>
      </c>
      <c r="H2525" s="120" t="s">
        <v>971</v>
      </c>
      <c r="I2525" s="120" t="s">
        <v>723</v>
      </c>
      <c r="J2525" s="120" t="s">
        <v>772</v>
      </c>
      <c r="K2525" s="110">
        <v>9000</v>
      </c>
      <c r="L2525" s="110"/>
      <c r="M2525" s="110">
        <v>41700</v>
      </c>
      <c r="N2525" s="110"/>
      <c r="O2525" s="110"/>
      <c r="P2525" s="110">
        <f t="shared" si="212"/>
        <v>50700</v>
      </c>
      <c r="Q2525" s="110">
        <f t="shared" si="213"/>
        <v>1958358480</v>
      </c>
      <c r="R2525" s="110">
        <f t="shared" si="214"/>
        <v>1958358480</v>
      </c>
      <c r="S2525" s="112" t="s">
        <v>1018</v>
      </c>
    </row>
    <row r="2526" spans="1:19" ht="60">
      <c r="A2526" s="79"/>
      <c r="B2526" s="77" t="s">
        <v>666</v>
      </c>
      <c r="C2526" s="76" t="s">
        <v>7</v>
      </c>
      <c r="D2526" s="143">
        <v>10380.6</v>
      </c>
      <c r="E2526" s="77"/>
      <c r="F2526" s="334">
        <v>10380.6</v>
      </c>
      <c r="G2526" s="112" t="s">
        <v>972</v>
      </c>
      <c r="H2526" s="120" t="s">
        <v>973</v>
      </c>
      <c r="I2526" s="120" t="s">
        <v>723</v>
      </c>
      <c r="J2526" s="120" t="s">
        <v>772</v>
      </c>
      <c r="K2526" s="110">
        <v>12400</v>
      </c>
      <c r="L2526" s="110"/>
      <c r="M2526" s="110">
        <v>25200</v>
      </c>
      <c r="N2526" s="110"/>
      <c r="O2526" s="110"/>
      <c r="P2526" s="110">
        <f t="shared" si="212"/>
        <v>37600</v>
      </c>
      <c r="Q2526" s="110">
        <f t="shared" si="213"/>
        <v>390310560</v>
      </c>
      <c r="R2526" s="110">
        <f t="shared" si="214"/>
        <v>390310560</v>
      </c>
      <c r="S2526" s="112" t="s">
        <v>1197</v>
      </c>
    </row>
    <row r="2527" spans="1:19" ht="60">
      <c r="A2527" s="79"/>
      <c r="B2527" s="77" t="s">
        <v>667</v>
      </c>
      <c r="C2527" s="76" t="s">
        <v>7</v>
      </c>
      <c r="D2527" s="143">
        <v>6920.4</v>
      </c>
      <c r="E2527" s="77"/>
      <c r="F2527" s="334">
        <v>6920.4</v>
      </c>
      <c r="G2527" s="112" t="s">
        <v>972</v>
      </c>
      <c r="H2527" s="120" t="s">
        <v>973</v>
      </c>
      <c r="I2527" s="120" t="s">
        <v>723</v>
      </c>
      <c r="J2527" s="120" t="s">
        <v>772</v>
      </c>
      <c r="K2527" s="110">
        <v>12400</v>
      </c>
      <c r="L2527" s="110"/>
      <c r="M2527" s="110">
        <v>43700</v>
      </c>
      <c r="N2527" s="110"/>
      <c r="O2527" s="110"/>
      <c r="P2527" s="110">
        <f t="shared" si="212"/>
        <v>56100</v>
      </c>
      <c r="Q2527" s="110">
        <f t="shared" si="213"/>
        <v>388234440</v>
      </c>
      <c r="R2527" s="110">
        <f t="shared" si="214"/>
        <v>388234440</v>
      </c>
      <c r="S2527" s="112" t="s">
        <v>1018</v>
      </c>
    </row>
    <row r="2528" spans="1:19" ht="60">
      <c r="A2528" s="79"/>
      <c r="B2528" s="77" t="s">
        <v>668</v>
      </c>
      <c r="C2528" s="76" t="s">
        <v>7</v>
      </c>
      <c r="D2528" s="143">
        <v>2476.1999999999998</v>
      </c>
      <c r="E2528" s="77"/>
      <c r="F2528" s="334">
        <v>2476.1999999999998</v>
      </c>
      <c r="G2528" s="112" t="s">
        <v>822</v>
      </c>
      <c r="H2528" s="120" t="s">
        <v>821</v>
      </c>
      <c r="I2528" s="120" t="s">
        <v>723</v>
      </c>
      <c r="J2528" s="120" t="s">
        <v>772</v>
      </c>
      <c r="K2528" s="110">
        <v>25800</v>
      </c>
      <c r="L2528" s="110"/>
      <c r="M2528" s="110">
        <v>30300</v>
      </c>
      <c r="N2528" s="110"/>
      <c r="O2528" s="110"/>
      <c r="P2528" s="110">
        <f t="shared" si="212"/>
        <v>56100</v>
      </c>
      <c r="Q2528" s="110">
        <f t="shared" si="213"/>
        <v>138914820</v>
      </c>
      <c r="R2528" s="110">
        <f t="shared" si="214"/>
        <v>138914820</v>
      </c>
      <c r="S2528" s="112" t="s">
        <v>1197</v>
      </c>
    </row>
    <row r="2529" spans="1:19" ht="60">
      <c r="A2529" s="79"/>
      <c r="B2529" s="77" t="s">
        <v>669</v>
      </c>
      <c r="C2529" s="76" t="s">
        <v>7</v>
      </c>
      <c r="D2529" s="143">
        <v>1650.8</v>
      </c>
      <c r="E2529" s="77"/>
      <c r="F2529" s="334">
        <v>1650.8</v>
      </c>
      <c r="G2529" s="112" t="s">
        <v>822</v>
      </c>
      <c r="H2529" s="120" t="s">
        <v>821</v>
      </c>
      <c r="I2529" s="120" t="s">
        <v>723</v>
      </c>
      <c r="J2529" s="120" t="s">
        <v>772</v>
      </c>
      <c r="K2529" s="110">
        <v>25800</v>
      </c>
      <c r="L2529" s="110"/>
      <c r="M2529" s="110">
        <v>46400</v>
      </c>
      <c r="N2529" s="110"/>
      <c r="O2529" s="110"/>
      <c r="P2529" s="110">
        <f t="shared" ref="P2529:P2532" si="215">+K2529+L2529+M2529+N2529+O2529</f>
        <v>72200</v>
      </c>
      <c r="Q2529" s="110">
        <f t="shared" ref="Q2529:Q2532" si="216">+P2529*D2529</f>
        <v>119187760</v>
      </c>
      <c r="R2529" s="110">
        <f t="shared" ref="R2529:R2532" si="217">P2529*F2529</f>
        <v>119187760</v>
      </c>
      <c r="S2529" s="112" t="s">
        <v>1018</v>
      </c>
    </row>
    <row r="2530" spans="1:19">
      <c r="A2530" s="79">
        <v>5</v>
      </c>
      <c r="B2530" s="80" t="s">
        <v>480</v>
      </c>
      <c r="C2530" s="76"/>
      <c r="D2530" s="143">
        <v>0</v>
      </c>
      <c r="E2530" s="77"/>
      <c r="F2530" s="76"/>
      <c r="G2530" s="112">
        <v>0</v>
      </c>
      <c r="H2530" s="120">
        <v>0</v>
      </c>
      <c r="I2530" s="120">
        <v>0</v>
      </c>
      <c r="J2530" s="120">
        <v>0</v>
      </c>
      <c r="K2530" s="110">
        <v>0</v>
      </c>
      <c r="L2530" s="110"/>
      <c r="M2530" s="110">
        <v>0</v>
      </c>
      <c r="N2530" s="110"/>
      <c r="O2530" s="110"/>
      <c r="P2530" s="110">
        <f t="shared" si="215"/>
        <v>0</v>
      </c>
      <c r="Q2530" s="110">
        <f t="shared" si="216"/>
        <v>0</v>
      </c>
      <c r="R2530" s="110">
        <f t="shared" si="217"/>
        <v>0</v>
      </c>
      <c r="S2530" s="112">
        <v>0</v>
      </c>
    </row>
    <row r="2531" spans="1:19" ht="45">
      <c r="A2531" s="79"/>
      <c r="B2531" s="77" t="s">
        <v>536</v>
      </c>
      <c r="C2531" s="76" t="s">
        <v>7</v>
      </c>
      <c r="D2531" s="143">
        <v>6083</v>
      </c>
      <c r="E2531" s="77"/>
      <c r="F2531" s="334">
        <v>6083</v>
      </c>
      <c r="G2531" s="112" t="s">
        <v>818</v>
      </c>
      <c r="H2531" s="120" t="s">
        <v>817</v>
      </c>
      <c r="I2531" s="120" t="s">
        <v>723</v>
      </c>
      <c r="J2531" s="120" t="s">
        <v>772</v>
      </c>
      <c r="K2531" s="110">
        <v>3000</v>
      </c>
      <c r="L2531" s="110"/>
      <c r="M2531" s="110">
        <v>12100</v>
      </c>
      <c r="N2531" s="110"/>
      <c r="O2531" s="110"/>
      <c r="P2531" s="110">
        <f t="shared" si="215"/>
        <v>15100</v>
      </c>
      <c r="Q2531" s="110">
        <f t="shared" si="216"/>
        <v>91853300</v>
      </c>
      <c r="R2531" s="110">
        <f t="shared" si="217"/>
        <v>91853300</v>
      </c>
      <c r="S2531" s="112">
        <v>0</v>
      </c>
    </row>
    <row r="2532" spans="1:19" ht="30">
      <c r="A2532" s="79"/>
      <c r="B2532" s="77" t="s">
        <v>537</v>
      </c>
      <c r="C2532" s="76" t="s">
        <v>17</v>
      </c>
      <c r="D2532" s="143">
        <v>503</v>
      </c>
      <c r="E2532" s="77"/>
      <c r="F2532" s="334">
        <v>503</v>
      </c>
      <c r="G2532" s="112">
        <v>0</v>
      </c>
      <c r="H2532" s="120">
        <v>0</v>
      </c>
      <c r="I2532" s="120">
        <v>0</v>
      </c>
      <c r="J2532" s="120" t="s">
        <v>772</v>
      </c>
      <c r="K2532" s="110">
        <v>0</v>
      </c>
      <c r="L2532" s="110"/>
      <c r="M2532" s="110">
        <v>0</v>
      </c>
      <c r="N2532" s="110"/>
      <c r="O2532" s="110"/>
      <c r="P2532" s="110">
        <f t="shared" si="215"/>
        <v>0</v>
      </c>
      <c r="Q2532" s="110">
        <f t="shared" si="216"/>
        <v>0</v>
      </c>
      <c r="R2532" s="110">
        <f t="shared" si="217"/>
        <v>0</v>
      </c>
      <c r="S2532" s="112" t="s">
        <v>806</v>
      </c>
    </row>
    <row r="2533" spans="1:19">
      <c r="A2533" s="85" t="s">
        <v>478</v>
      </c>
      <c r="B2533" s="86" t="s">
        <v>1061</v>
      </c>
      <c r="C2533" s="85"/>
      <c r="D2533" s="151">
        <v>0</v>
      </c>
      <c r="E2533" s="337"/>
      <c r="F2533" s="347"/>
      <c r="G2533" s="448"/>
      <c r="H2533" s="447"/>
      <c r="I2533" s="447"/>
      <c r="J2533" s="447"/>
      <c r="K2533" s="548"/>
      <c r="L2533" s="548"/>
      <c r="M2533" s="548"/>
      <c r="N2533" s="548"/>
      <c r="O2533" s="548"/>
      <c r="P2533" s="548"/>
      <c r="Q2533" s="548"/>
      <c r="R2533" s="548"/>
      <c r="S2533" s="112">
        <v>0</v>
      </c>
    </row>
    <row r="2534" spans="1:19">
      <c r="A2534" s="79"/>
      <c r="B2534" s="80" t="s">
        <v>544</v>
      </c>
      <c r="C2534" s="76"/>
      <c r="D2534" s="143">
        <v>0</v>
      </c>
      <c r="E2534" s="77"/>
      <c r="F2534" s="76"/>
      <c r="G2534" s="112"/>
      <c r="H2534" s="120"/>
      <c r="I2534" s="120"/>
      <c r="J2534" s="120"/>
      <c r="K2534" s="118"/>
      <c r="L2534" s="118"/>
      <c r="M2534" s="118"/>
      <c r="N2534" s="118"/>
      <c r="O2534" s="118"/>
      <c r="P2534" s="118"/>
      <c r="Q2534" s="118"/>
      <c r="R2534" s="118"/>
      <c r="S2534" s="112">
        <v>0</v>
      </c>
    </row>
    <row r="2535" spans="1:19" ht="165">
      <c r="A2535" s="79">
        <v>1</v>
      </c>
      <c r="B2535" s="77" t="s">
        <v>545</v>
      </c>
      <c r="C2535" s="76" t="s">
        <v>8</v>
      </c>
      <c r="D2535" s="143">
        <v>6</v>
      </c>
      <c r="E2535" s="77"/>
      <c r="F2535" s="334">
        <v>6</v>
      </c>
      <c r="G2535" s="112" t="s">
        <v>952</v>
      </c>
      <c r="H2535" s="120" t="s">
        <v>953</v>
      </c>
      <c r="I2535" s="120" t="s">
        <v>951</v>
      </c>
      <c r="J2535" s="120" t="s">
        <v>772</v>
      </c>
      <c r="K2535" s="110">
        <v>783300</v>
      </c>
      <c r="L2535" s="110"/>
      <c r="M2535" s="110">
        <v>172400</v>
      </c>
      <c r="N2535" s="110"/>
      <c r="O2535" s="110"/>
      <c r="P2535" s="110">
        <f t="shared" ref="P2535" si="218">+K2535+L2535+M2535+N2535+O2535</f>
        <v>955700</v>
      </c>
      <c r="Q2535" s="110">
        <f t="shared" ref="Q2535" si="219">+P2535*D2535</f>
        <v>5734200</v>
      </c>
      <c r="R2535" s="110">
        <f t="shared" ref="R2535" si="220">P2535*F2535</f>
        <v>5734200</v>
      </c>
      <c r="S2535" s="112">
        <v>0</v>
      </c>
    </row>
    <row r="2536" spans="1:19" ht="165">
      <c r="A2536" s="79">
        <v>2</v>
      </c>
      <c r="B2536" s="77" t="s">
        <v>546</v>
      </c>
      <c r="C2536" s="76" t="s">
        <v>8</v>
      </c>
      <c r="D2536" s="143">
        <v>400</v>
      </c>
      <c r="E2536" s="77"/>
      <c r="F2536" s="334">
        <v>400</v>
      </c>
      <c r="G2536" s="112" t="s">
        <v>954</v>
      </c>
      <c r="H2536" s="120" t="s">
        <v>955</v>
      </c>
      <c r="I2536" s="120" t="s">
        <v>951</v>
      </c>
      <c r="J2536" s="120" t="s">
        <v>772</v>
      </c>
      <c r="K2536" s="110">
        <v>632900</v>
      </c>
      <c r="L2536" s="110"/>
      <c r="M2536" s="110">
        <v>141200</v>
      </c>
      <c r="N2536" s="110"/>
      <c r="O2536" s="110"/>
      <c r="P2536" s="110">
        <f t="shared" ref="P2536:P2559" si="221">+K2536+L2536+M2536+N2536+O2536</f>
        <v>774100</v>
      </c>
      <c r="Q2536" s="110">
        <f t="shared" ref="Q2536:Q2559" si="222">+P2536*D2536</f>
        <v>309640000</v>
      </c>
      <c r="R2536" s="110">
        <f t="shared" ref="R2536:R2559" si="223">P2536*F2536</f>
        <v>309640000</v>
      </c>
      <c r="S2536" s="112">
        <v>0</v>
      </c>
    </row>
    <row r="2537" spans="1:19" ht="150">
      <c r="A2537" s="79">
        <v>3</v>
      </c>
      <c r="B2537" s="77" t="s">
        <v>547</v>
      </c>
      <c r="C2537" s="76" t="s">
        <v>8</v>
      </c>
      <c r="D2537" s="143">
        <v>2</v>
      </c>
      <c r="E2537" s="77"/>
      <c r="F2537" s="334">
        <v>2</v>
      </c>
      <c r="G2537" s="112" t="s">
        <v>956</v>
      </c>
      <c r="H2537" s="120" t="s">
        <v>957</v>
      </c>
      <c r="I2537" s="120" t="s">
        <v>951</v>
      </c>
      <c r="J2537" s="120" t="s">
        <v>772</v>
      </c>
      <c r="K2537" s="110">
        <v>346400</v>
      </c>
      <c r="L2537" s="110"/>
      <c r="M2537" s="110">
        <v>117900</v>
      </c>
      <c r="N2537" s="110"/>
      <c r="O2537" s="110"/>
      <c r="P2537" s="110">
        <f t="shared" si="221"/>
        <v>464300</v>
      </c>
      <c r="Q2537" s="110">
        <f t="shared" si="222"/>
        <v>928600</v>
      </c>
      <c r="R2537" s="110">
        <f t="shared" si="223"/>
        <v>928600</v>
      </c>
      <c r="S2537" s="112">
        <v>0</v>
      </c>
    </row>
    <row r="2538" spans="1:19" ht="150">
      <c r="A2538" s="79">
        <v>4</v>
      </c>
      <c r="B2538" s="77" t="s">
        <v>548</v>
      </c>
      <c r="C2538" s="76" t="s">
        <v>8</v>
      </c>
      <c r="D2538" s="143">
        <v>188</v>
      </c>
      <c r="E2538" s="77"/>
      <c r="F2538" s="334">
        <v>188</v>
      </c>
      <c r="G2538" s="112" t="s">
        <v>958</v>
      </c>
      <c r="H2538" s="120" t="s">
        <v>959</v>
      </c>
      <c r="I2538" s="120" t="s">
        <v>951</v>
      </c>
      <c r="J2538" s="120" t="s">
        <v>772</v>
      </c>
      <c r="K2538" s="110">
        <v>210100</v>
      </c>
      <c r="L2538" s="110"/>
      <c r="M2538" s="110">
        <v>92700</v>
      </c>
      <c r="N2538" s="110"/>
      <c r="O2538" s="110"/>
      <c r="P2538" s="110">
        <f t="shared" si="221"/>
        <v>302800</v>
      </c>
      <c r="Q2538" s="110">
        <f t="shared" si="222"/>
        <v>56926400</v>
      </c>
      <c r="R2538" s="110">
        <f t="shared" si="223"/>
        <v>56926400</v>
      </c>
      <c r="S2538" s="112">
        <v>0</v>
      </c>
    </row>
    <row r="2539" spans="1:19" ht="150">
      <c r="A2539" s="79">
        <v>5</v>
      </c>
      <c r="B2539" s="77" t="s">
        <v>549</v>
      </c>
      <c r="C2539" s="76" t="s">
        <v>8</v>
      </c>
      <c r="D2539" s="143">
        <v>2</v>
      </c>
      <c r="E2539" s="77"/>
      <c r="F2539" s="334">
        <v>2</v>
      </c>
      <c r="G2539" s="112" t="s">
        <v>960</v>
      </c>
      <c r="H2539" s="120" t="s">
        <v>961</v>
      </c>
      <c r="I2539" s="120" t="s">
        <v>951</v>
      </c>
      <c r="J2539" s="120" t="s">
        <v>772</v>
      </c>
      <c r="K2539" s="110">
        <v>154700</v>
      </c>
      <c r="L2539" s="110"/>
      <c r="M2539" s="110">
        <v>80600</v>
      </c>
      <c r="N2539" s="110"/>
      <c r="O2539" s="110"/>
      <c r="P2539" s="110">
        <f t="shared" si="221"/>
        <v>235300</v>
      </c>
      <c r="Q2539" s="110">
        <f t="shared" si="222"/>
        <v>470600</v>
      </c>
      <c r="R2539" s="110">
        <f t="shared" si="223"/>
        <v>470600</v>
      </c>
      <c r="S2539" s="112">
        <v>0</v>
      </c>
    </row>
    <row r="2540" spans="1:19" ht="165">
      <c r="A2540" s="79">
        <v>6</v>
      </c>
      <c r="B2540" s="77" t="s">
        <v>550</v>
      </c>
      <c r="C2540" s="76" t="s">
        <v>8</v>
      </c>
      <c r="D2540" s="143">
        <v>0</v>
      </c>
      <c r="E2540" s="77"/>
      <c r="F2540" s="334">
        <v>0</v>
      </c>
      <c r="G2540" s="112" t="s">
        <v>952</v>
      </c>
      <c r="H2540" s="120" t="s">
        <v>953</v>
      </c>
      <c r="I2540" s="120" t="s">
        <v>951</v>
      </c>
      <c r="J2540" s="120" t="s">
        <v>772</v>
      </c>
      <c r="K2540" s="110">
        <v>783300</v>
      </c>
      <c r="L2540" s="110"/>
      <c r="M2540" s="110">
        <v>149200</v>
      </c>
      <c r="N2540" s="110"/>
      <c r="O2540" s="110"/>
      <c r="P2540" s="110">
        <f t="shared" si="221"/>
        <v>932500</v>
      </c>
      <c r="Q2540" s="110">
        <f t="shared" si="222"/>
        <v>0</v>
      </c>
      <c r="R2540" s="110">
        <f t="shared" si="223"/>
        <v>0</v>
      </c>
      <c r="S2540" s="112">
        <v>0</v>
      </c>
    </row>
    <row r="2541" spans="1:19" ht="165">
      <c r="A2541" s="79">
        <v>7</v>
      </c>
      <c r="B2541" s="77" t="s">
        <v>551</v>
      </c>
      <c r="C2541" s="76" t="s">
        <v>8</v>
      </c>
      <c r="D2541" s="143">
        <v>60</v>
      </c>
      <c r="E2541" s="77"/>
      <c r="F2541" s="334">
        <v>60</v>
      </c>
      <c r="G2541" s="112" t="s">
        <v>954</v>
      </c>
      <c r="H2541" s="120" t="s">
        <v>955</v>
      </c>
      <c r="I2541" s="120" t="s">
        <v>951</v>
      </c>
      <c r="J2541" s="120" t="s">
        <v>772</v>
      </c>
      <c r="K2541" s="110">
        <v>632900</v>
      </c>
      <c r="L2541" s="110"/>
      <c r="M2541" s="110">
        <v>117900</v>
      </c>
      <c r="N2541" s="110"/>
      <c r="O2541" s="110"/>
      <c r="P2541" s="110">
        <f t="shared" si="221"/>
        <v>750800</v>
      </c>
      <c r="Q2541" s="110">
        <f t="shared" si="222"/>
        <v>45048000</v>
      </c>
      <c r="R2541" s="110">
        <f t="shared" si="223"/>
        <v>45048000</v>
      </c>
      <c r="S2541" s="112">
        <v>0</v>
      </c>
    </row>
    <row r="2542" spans="1:19" ht="165">
      <c r="A2542" s="79">
        <v>8</v>
      </c>
      <c r="B2542" s="77" t="s">
        <v>552</v>
      </c>
      <c r="C2542" s="76" t="s">
        <v>8</v>
      </c>
      <c r="D2542" s="143">
        <v>33</v>
      </c>
      <c r="E2542" s="77"/>
      <c r="F2542" s="334">
        <v>33</v>
      </c>
      <c r="G2542" s="112" t="s">
        <v>994</v>
      </c>
      <c r="H2542" s="120" t="s">
        <v>995</v>
      </c>
      <c r="I2542" s="120" t="s">
        <v>951</v>
      </c>
      <c r="J2542" s="120" t="s">
        <v>772</v>
      </c>
      <c r="K2542" s="110">
        <v>439600</v>
      </c>
      <c r="L2542" s="110"/>
      <c r="M2542" s="110">
        <v>116000</v>
      </c>
      <c r="N2542" s="110"/>
      <c r="O2542" s="110"/>
      <c r="P2542" s="110">
        <f t="shared" si="221"/>
        <v>555600</v>
      </c>
      <c r="Q2542" s="110">
        <f t="shared" si="222"/>
        <v>18334800</v>
      </c>
      <c r="R2542" s="110">
        <f t="shared" si="223"/>
        <v>18334800</v>
      </c>
      <c r="S2542" s="112">
        <v>0</v>
      </c>
    </row>
    <row r="2543" spans="1:19" ht="165">
      <c r="A2543" s="79">
        <v>9</v>
      </c>
      <c r="B2543" s="77" t="s">
        <v>553</v>
      </c>
      <c r="C2543" s="76" t="s">
        <v>8</v>
      </c>
      <c r="D2543" s="143">
        <v>92</v>
      </c>
      <c r="E2543" s="77"/>
      <c r="F2543" s="334">
        <v>92</v>
      </c>
      <c r="G2543" s="112" t="s">
        <v>1156</v>
      </c>
      <c r="H2543" s="120" t="s">
        <v>962</v>
      </c>
      <c r="I2543" s="120" t="s">
        <v>951</v>
      </c>
      <c r="J2543" s="120" t="s">
        <v>772</v>
      </c>
      <c r="K2543" s="110">
        <v>774200</v>
      </c>
      <c r="L2543" s="110"/>
      <c r="M2543" s="110">
        <v>88700</v>
      </c>
      <c r="N2543" s="110"/>
      <c r="O2543" s="110"/>
      <c r="P2543" s="110">
        <f t="shared" si="221"/>
        <v>862900</v>
      </c>
      <c r="Q2543" s="110">
        <f t="shared" si="222"/>
        <v>79386800</v>
      </c>
      <c r="R2543" s="110">
        <f t="shared" si="223"/>
        <v>79386800</v>
      </c>
      <c r="S2543" s="112">
        <v>0</v>
      </c>
    </row>
    <row r="2544" spans="1:19" ht="210">
      <c r="A2544" s="79">
        <v>10</v>
      </c>
      <c r="B2544" s="77" t="s">
        <v>554</v>
      </c>
      <c r="C2544" s="76" t="s">
        <v>8</v>
      </c>
      <c r="D2544" s="143">
        <v>75</v>
      </c>
      <c r="E2544" s="77"/>
      <c r="F2544" s="334">
        <v>75</v>
      </c>
      <c r="G2544" s="112" t="s">
        <v>1155</v>
      </c>
      <c r="H2544" s="120" t="s">
        <v>965</v>
      </c>
      <c r="I2544" s="120" t="s">
        <v>951</v>
      </c>
      <c r="J2544" s="120" t="s">
        <v>772</v>
      </c>
      <c r="K2544" s="110">
        <v>395000</v>
      </c>
      <c r="L2544" s="110"/>
      <c r="M2544" s="110">
        <v>125000</v>
      </c>
      <c r="N2544" s="110"/>
      <c r="O2544" s="110"/>
      <c r="P2544" s="110">
        <f t="shared" si="221"/>
        <v>520000</v>
      </c>
      <c r="Q2544" s="110">
        <f t="shared" si="222"/>
        <v>39000000</v>
      </c>
      <c r="R2544" s="110">
        <f t="shared" si="223"/>
        <v>39000000</v>
      </c>
      <c r="S2544" s="112">
        <v>0</v>
      </c>
    </row>
    <row r="2545" spans="1:19" ht="210">
      <c r="A2545" s="79">
        <v>11</v>
      </c>
      <c r="B2545" s="77" t="s">
        <v>555</v>
      </c>
      <c r="C2545" s="76" t="s">
        <v>8</v>
      </c>
      <c r="D2545" s="143">
        <v>2082</v>
      </c>
      <c r="E2545" s="77"/>
      <c r="F2545" s="334">
        <v>2082</v>
      </c>
      <c r="G2545" s="112" t="s">
        <v>968</v>
      </c>
      <c r="H2545" s="120" t="s">
        <v>969</v>
      </c>
      <c r="I2545" s="120" t="s">
        <v>951</v>
      </c>
      <c r="J2545" s="120" t="s">
        <v>772</v>
      </c>
      <c r="K2545" s="110">
        <v>128100</v>
      </c>
      <c r="L2545" s="110"/>
      <c r="M2545" s="110">
        <v>104800</v>
      </c>
      <c r="N2545" s="110"/>
      <c r="O2545" s="110"/>
      <c r="P2545" s="110">
        <f t="shared" si="221"/>
        <v>232900</v>
      </c>
      <c r="Q2545" s="110">
        <f t="shared" si="222"/>
        <v>484897800</v>
      </c>
      <c r="R2545" s="110">
        <f t="shared" si="223"/>
        <v>484897800</v>
      </c>
      <c r="S2545" s="112">
        <v>0</v>
      </c>
    </row>
    <row r="2546" spans="1:19" ht="195">
      <c r="A2546" s="79">
        <v>12</v>
      </c>
      <c r="B2546" s="77" t="s">
        <v>556</v>
      </c>
      <c r="C2546" s="76" t="s">
        <v>8</v>
      </c>
      <c r="D2546" s="143">
        <v>106</v>
      </c>
      <c r="E2546" s="77"/>
      <c r="F2546" s="334">
        <v>106</v>
      </c>
      <c r="G2546" s="112" t="s">
        <v>966</v>
      </c>
      <c r="H2546" s="120" t="s">
        <v>967</v>
      </c>
      <c r="I2546" s="120" t="s">
        <v>951</v>
      </c>
      <c r="J2546" s="120" t="s">
        <v>772</v>
      </c>
      <c r="K2546" s="110">
        <v>146500</v>
      </c>
      <c r="L2546" s="110"/>
      <c r="M2546" s="110">
        <v>104800</v>
      </c>
      <c r="N2546" s="110"/>
      <c r="O2546" s="110"/>
      <c r="P2546" s="110">
        <f t="shared" si="221"/>
        <v>251300</v>
      </c>
      <c r="Q2546" s="110">
        <f t="shared" si="222"/>
        <v>26637800</v>
      </c>
      <c r="R2546" s="110">
        <f t="shared" si="223"/>
        <v>26637800</v>
      </c>
      <c r="S2546" s="112">
        <v>0</v>
      </c>
    </row>
    <row r="2547" spans="1:19" ht="180">
      <c r="A2547" s="79">
        <v>13</v>
      </c>
      <c r="B2547" s="77" t="s">
        <v>557</v>
      </c>
      <c r="C2547" s="76" t="s">
        <v>8</v>
      </c>
      <c r="D2547" s="143">
        <v>496</v>
      </c>
      <c r="E2547" s="77"/>
      <c r="F2547" s="334">
        <v>496</v>
      </c>
      <c r="G2547" s="112" t="s">
        <v>963</v>
      </c>
      <c r="H2547" s="120" t="s">
        <v>964</v>
      </c>
      <c r="I2547" s="120" t="s">
        <v>951</v>
      </c>
      <c r="J2547" s="120" t="s">
        <v>772</v>
      </c>
      <c r="K2547" s="110">
        <v>203600</v>
      </c>
      <c r="L2547" s="110"/>
      <c r="M2547" s="110">
        <v>111900</v>
      </c>
      <c r="N2547" s="110"/>
      <c r="O2547" s="110"/>
      <c r="P2547" s="110">
        <f t="shared" si="221"/>
        <v>315500</v>
      </c>
      <c r="Q2547" s="110">
        <f t="shared" si="222"/>
        <v>156488000</v>
      </c>
      <c r="R2547" s="110">
        <f t="shared" si="223"/>
        <v>156488000</v>
      </c>
      <c r="S2547" s="112">
        <v>0</v>
      </c>
    </row>
    <row r="2548" spans="1:19" ht="180">
      <c r="A2548" s="79">
        <v>14</v>
      </c>
      <c r="B2548" s="77" t="s">
        <v>558</v>
      </c>
      <c r="C2548" s="76" t="s">
        <v>8</v>
      </c>
      <c r="D2548" s="143">
        <v>18</v>
      </c>
      <c r="E2548" s="77"/>
      <c r="F2548" s="334">
        <v>18</v>
      </c>
      <c r="G2548" s="112" t="s">
        <v>1158</v>
      </c>
      <c r="H2548" s="120" t="s">
        <v>1159</v>
      </c>
      <c r="I2548" s="120" t="s">
        <v>951</v>
      </c>
      <c r="J2548" s="120" t="s">
        <v>949</v>
      </c>
      <c r="K2548" s="110">
        <v>384900</v>
      </c>
      <c r="L2548" s="110"/>
      <c r="M2548" s="110">
        <v>92700</v>
      </c>
      <c r="N2548" s="110"/>
      <c r="O2548" s="110"/>
      <c r="P2548" s="110">
        <f t="shared" si="221"/>
        <v>477600</v>
      </c>
      <c r="Q2548" s="110">
        <f t="shared" si="222"/>
        <v>8596800</v>
      </c>
      <c r="R2548" s="110">
        <f t="shared" si="223"/>
        <v>8596800</v>
      </c>
      <c r="S2548" s="112">
        <v>0</v>
      </c>
    </row>
    <row r="2549" spans="1:19" ht="75">
      <c r="A2549" s="79">
        <v>15</v>
      </c>
      <c r="B2549" s="77" t="s">
        <v>559</v>
      </c>
      <c r="C2549" s="76" t="s">
        <v>8</v>
      </c>
      <c r="D2549" s="143">
        <v>3</v>
      </c>
      <c r="E2549" s="77"/>
      <c r="F2549" s="334">
        <v>3</v>
      </c>
      <c r="G2549" s="112">
        <v>0</v>
      </c>
      <c r="H2549" s="120" t="s">
        <v>1161</v>
      </c>
      <c r="I2549" s="120">
        <v>0</v>
      </c>
      <c r="J2549" s="120">
        <v>0</v>
      </c>
      <c r="K2549" s="110">
        <v>0</v>
      </c>
      <c r="L2549" s="110"/>
      <c r="M2549" s="110">
        <v>201500</v>
      </c>
      <c r="N2549" s="110"/>
      <c r="O2549" s="110"/>
      <c r="P2549" s="110">
        <f t="shared" si="221"/>
        <v>201500</v>
      </c>
      <c r="Q2549" s="110">
        <f t="shared" si="222"/>
        <v>604500</v>
      </c>
      <c r="R2549" s="110">
        <f t="shared" si="223"/>
        <v>604500</v>
      </c>
      <c r="S2549" s="112" t="s">
        <v>1160</v>
      </c>
    </row>
    <row r="2550" spans="1:19" ht="75">
      <c r="A2550" s="79">
        <v>16</v>
      </c>
      <c r="B2550" s="77" t="s">
        <v>560</v>
      </c>
      <c r="C2550" s="76" t="s">
        <v>8</v>
      </c>
      <c r="D2550" s="143">
        <v>48</v>
      </c>
      <c r="E2550" s="77"/>
      <c r="F2550" s="334">
        <v>48</v>
      </c>
      <c r="G2550" s="112">
        <v>0</v>
      </c>
      <c r="H2550" s="120" t="s">
        <v>1161</v>
      </c>
      <c r="I2550" s="120">
        <v>0</v>
      </c>
      <c r="J2550" s="120">
        <v>0</v>
      </c>
      <c r="K2550" s="110">
        <v>0</v>
      </c>
      <c r="L2550" s="110"/>
      <c r="M2550" s="110">
        <v>685100</v>
      </c>
      <c r="N2550" s="110"/>
      <c r="O2550" s="110"/>
      <c r="P2550" s="110">
        <f t="shared" si="221"/>
        <v>685100</v>
      </c>
      <c r="Q2550" s="110">
        <f t="shared" si="222"/>
        <v>32884800</v>
      </c>
      <c r="R2550" s="110">
        <f t="shared" si="223"/>
        <v>32884800</v>
      </c>
      <c r="S2550" s="112" t="s">
        <v>1160</v>
      </c>
    </row>
    <row r="2551" spans="1:19" ht="75">
      <c r="A2551" s="79">
        <v>17</v>
      </c>
      <c r="B2551" s="77" t="s">
        <v>561</v>
      </c>
      <c r="C2551" s="76" t="s">
        <v>8</v>
      </c>
      <c r="D2551" s="143">
        <v>0</v>
      </c>
      <c r="E2551" s="77"/>
      <c r="F2551" s="334">
        <v>0</v>
      </c>
      <c r="G2551" s="112">
        <v>0</v>
      </c>
      <c r="H2551" s="120" t="s">
        <v>1161</v>
      </c>
      <c r="I2551" s="120">
        <v>0</v>
      </c>
      <c r="J2551" s="120">
        <v>0</v>
      </c>
      <c r="K2551" s="110">
        <v>0</v>
      </c>
      <c r="L2551" s="110"/>
      <c r="M2551" s="110">
        <v>1209000</v>
      </c>
      <c r="N2551" s="110"/>
      <c r="O2551" s="110"/>
      <c r="P2551" s="110">
        <f t="shared" si="221"/>
        <v>1209000</v>
      </c>
      <c r="Q2551" s="110">
        <f t="shared" si="222"/>
        <v>0</v>
      </c>
      <c r="R2551" s="110">
        <f t="shared" si="223"/>
        <v>0</v>
      </c>
      <c r="S2551" s="112" t="s">
        <v>1160</v>
      </c>
    </row>
    <row r="2552" spans="1:19" ht="165">
      <c r="A2552" s="79">
        <v>18</v>
      </c>
      <c r="B2552" s="77" t="s">
        <v>562</v>
      </c>
      <c r="C2552" s="76" t="s">
        <v>8</v>
      </c>
      <c r="D2552" s="143">
        <v>11</v>
      </c>
      <c r="E2552" s="77"/>
      <c r="F2552" s="334">
        <v>11</v>
      </c>
      <c r="G2552" s="112" t="s">
        <v>4033</v>
      </c>
      <c r="H2552" s="120" t="s">
        <v>993</v>
      </c>
      <c r="I2552" s="120" t="s">
        <v>992</v>
      </c>
      <c r="J2552" s="120" t="s">
        <v>772</v>
      </c>
      <c r="K2552" s="110">
        <v>10788600</v>
      </c>
      <c r="L2552" s="110"/>
      <c r="M2552" s="110">
        <v>232800</v>
      </c>
      <c r="N2552" s="110"/>
      <c r="O2552" s="110"/>
      <c r="P2552" s="110">
        <f t="shared" si="221"/>
        <v>11021400</v>
      </c>
      <c r="Q2552" s="110">
        <f t="shared" si="222"/>
        <v>121235400</v>
      </c>
      <c r="R2552" s="110">
        <f t="shared" si="223"/>
        <v>121235400</v>
      </c>
      <c r="S2552" s="112">
        <v>0</v>
      </c>
    </row>
    <row r="2553" spans="1:19" ht="150">
      <c r="A2553" s="79">
        <v>19</v>
      </c>
      <c r="B2553" s="77" t="s">
        <v>563</v>
      </c>
      <c r="C2553" s="76" t="s">
        <v>8</v>
      </c>
      <c r="D2553" s="143">
        <v>12</v>
      </c>
      <c r="E2553" s="77"/>
      <c r="F2553" s="334">
        <v>12</v>
      </c>
      <c r="G2553" s="112" t="s">
        <v>998</v>
      </c>
      <c r="H2553" s="120" t="s">
        <v>999</v>
      </c>
      <c r="I2553" s="120" t="s">
        <v>951</v>
      </c>
      <c r="J2553" s="120" t="s">
        <v>769</v>
      </c>
      <c r="K2553" s="110">
        <v>295200</v>
      </c>
      <c r="L2553" s="110"/>
      <c r="M2553" s="110">
        <v>104800</v>
      </c>
      <c r="N2553" s="110"/>
      <c r="O2553" s="110"/>
      <c r="P2553" s="110">
        <f t="shared" si="221"/>
        <v>400000</v>
      </c>
      <c r="Q2553" s="110">
        <f t="shared" si="222"/>
        <v>4800000</v>
      </c>
      <c r="R2553" s="110">
        <f t="shared" si="223"/>
        <v>4800000</v>
      </c>
      <c r="S2553" s="112">
        <v>0</v>
      </c>
    </row>
    <row r="2554" spans="1:19" ht="45">
      <c r="A2554" s="79">
        <v>20</v>
      </c>
      <c r="B2554" s="77" t="s">
        <v>564</v>
      </c>
      <c r="C2554" s="76" t="s">
        <v>8</v>
      </c>
      <c r="D2554" s="143">
        <v>6</v>
      </c>
      <c r="E2554" s="77"/>
      <c r="F2554" s="334">
        <v>6</v>
      </c>
      <c r="G2554" s="112">
        <v>0</v>
      </c>
      <c r="H2554" s="120" t="s">
        <v>1161</v>
      </c>
      <c r="I2554" s="120">
        <v>0</v>
      </c>
      <c r="J2554" s="120">
        <v>0</v>
      </c>
      <c r="K2554" s="110">
        <v>0</v>
      </c>
      <c r="L2554" s="110"/>
      <c r="M2554" s="110">
        <v>495700</v>
      </c>
      <c r="N2554" s="110"/>
      <c r="O2554" s="110"/>
      <c r="P2554" s="110">
        <f t="shared" si="221"/>
        <v>495700</v>
      </c>
      <c r="Q2554" s="110">
        <f t="shared" si="222"/>
        <v>2974200</v>
      </c>
      <c r="R2554" s="110">
        <f t="shared" si="223"/>
        <v>2974200</v>
      </c>
      <c r="S2554" s="112" t="s">
        <v>1040</v>
      </c>
    </row>
    <row r="2555" spans="1:19" ht="90">
      <c r="A2555" s="79">
        <v>21</v>
      </c>
      <c r="B2555" s="77" t="s">
        <v>565</v>
      </c>
      <c r="C2555" s="76" t="s">
        <v>7</v>
      </c>
      <c r="D2555" s="143">
        <v>1135</v>
      </c>
      <c r="E2555" s="77"/>
      <c r="F2555" s="334">
        <v>1135</v>
      </c>
      <c r="G2555" s="112" t="s">
        <v>4032</v>
      </c>
      <c r="H2555" s="120" t="s">
        <v>1003</v>
      </c>
      <c r="I2555" s="120" t="s">
        <v>951</v>
      </c>
      <c r="J2555" s="120" t="s">
        <v>772</v>
      </c>
      <c r="K2555" s="110">
        <v>142300</v>
      </c>
      <c r="L2555" s="110"/>
      <c r="M2555" s="110">
        <v>93300</v>
      </c>
      <c r="N2555" s="110"/>
      <c r="O2555" s="110"/>
      <c r="P2555" s="110">
        <f t="shared" si="221"/>
        <v>235600</v>
      </c>
      <c r="Q2555" s="110">
        <f t="shared" si="222"/>
        <v>267406000</v>
      </c>
      <c r="R2555" s="110">
        <f t="shared" si="223"/>
        <v>267406000</v>
      </c>
      <c r="S2555" s="112">
        <v>0</v>
      </c>
    </row>
    <row r="2556" spans="1:19" ht="30">
      <c r="A2556" s="79">
        <v>22</v>
      </c>
      <c r="B2556" s="77" t="s">
        <v>566</v>
      </c>
      <c r="C2556" s="76" t="s">
        <v>8</v>
      </c>
      <c r="D2556" s="143">
        <v>135</v>
      </c>
      <c r="E2556" s="77"/>
      <c r="F2556" s="334">
        <v>135</v>
      </c>
      <c r="G2556" s="112" t="s">
        <v>1004</v>
      </c>
      <c r="H2556" s="120">
        <v>0</v>
      </c>
      <c r="I2556" s="120">
        <v>0</v>
      </c>
      <c r="J2556" s="120" t="s">
        <v>769</v>
      </c>
      <c r="K2556" s="110">
        <v>1037400</v>
      </c>
      <c r="L2556" s="110"/>
      <c r="M2556" s="110">
        <v>108500</v>
      </c>
      <c r="N2556" s="110"/>
      <c r="O2556" s="110"/>
      <c r="P2556" s="110">
        <f t="shared" si="221"/>
        <v>1145900</v>
      </c>
      <c r="Q2556" s="110">
        <f t="shared" si="222"/>
        <v>154696500</v>
      </c>
      <c r="R2556" s="110">
        <f t="shared" si="223"/>
        <v>154696500</v>
      </c>
      <c r="S2556" s="112">
        <v>0</v>
      </c>
    </row>
    <row r="2557" spans="1:19" ht="150">
      <c r="A2557" s="79">
        <v>23</v>
      </c>
      <c r="B2557" s="77" t="s">
        <v>567</v>
      </c>
      <c r="C2557" s="76" t="s">
        <v>7</v>
      </c>
      <c r="D2557" s="143">
        <v>93</v>
      </c>
      <c r="E2557" s="77"/>
      <c r="F2557" s="334">
        <v>93</v>
      </c>
      <c r="G2557" s="112" t="s">
        <v>996</v>
      </c>
      <c r="H2557" s="120" t="s">
        <v>997</v>
      </c>
      <c r="I2557" s="120" t="s">
        <v>951</v>
      </c>
      <c r="J2557" s="120" t="s">
        <v>769</v>
      </c>
      <c r="K2557" s="110">
        <v>1372300</v>
      </c>
      <c r="L2557" s="110"/>
      <c r="M2557" s="110">
        <v>171300</v>
      </c>
      <c r="N2557" s="110"/>
      <c r="O2557" s="110"/>
      <c r="P2557" s="110">
        <f t="shared" si="221"/>
        <v>1543600</v>
      </c>
      <c r="Q2557" s="110">
        <f t="shared" si="222"/>
        <v>143554800</v>
      </c>
      <c r="R2557" s="110">
        <f t="shared" si="223"/>
        <v>143554800</v>
      </c>
      <c r="S2557" s="112">
        <v>0</v>
      </c>
    </row>
    <row r="2558" spans="1:19">
      <c r="A2558" s="79">
        <v>24</v>
      </c>
      <c r="B2558" s="77" t="s">
        <v>568</v>
      </c>
      <c r="C2558" s="76" t="s">
        <v>7</v>
      </c>
      <c r="D2558" s="143">
        <v>650</v>
      </c>
      <c r="E2558" s="77"/>
      <c r="F2558" s="334">
        <v>650</v>
      </c>
      <c r="G2558" s="112">
        <v>0</v>
      </c>
      <c r="H2558" s="120">
        <v>0</v>
      </c>
      <c r="I2558" s="120">
        <v>0</v>
      </c>
      <c r="J2558" s="120" t="s">
        <v>772</v>
      </c>
      <c r="K2558" s="110">
        <v>0</v>
      </c>
      <c r="L2558" s="110"/>
      <c r="M2558" s="110">
        <v>0</v>
      </c>
      <c r="N2558" s="110"/>
      <c r="O2558" s="110"/>
      <c r="P2558" s="110">
        <f t="shared" si="221"/>
        <v>0</v>
      </c>
      <c r="Q2558" s="110">
        <f t="shared" si="222"/>
        <v>0</v>
      </c>
      <c r="R2558" s="110">
        <f t="shared" si="223"/>
        <v>0</v>
      </c>
      <c r="S2558" s="112" t="s">
        <v>806</v>
      </c>
    </row>
    <row r="2559" spans="1:19">
      <c r="A2559" s="79">
        <v>25</v>
      </c>
      <c r="B2559" s="77" t="s">
        <v>569</v>
      </c>
      <c r="C2559" s="76" t="s">
        <v>20</v>
      </c>
      <c r="D2559" s="143">
        <v>650</v>
      </c>
      <c r="E2559" s="77"/>
      <c r="F2559" s="334">
        <v>650</v>
      </c>
      <c r="G2559" s="112">
        <v>0</v>
      </c>
      <c r="H2559" s="120">
        <v>0</v>
      </c>
      <c r="I2559" s="120">
        <v>0</v>
      </c>
      <c r="J2559" s="120" t="s">
        <v>772</v>
      </c>
      <c r="K2559" s="110">
        <v>0</v>
      </c>
      <c r="L2559" s="110"/>
      <c r="M2559" s="110">
        <v>0</v>
      </c>
      <c r="N2559" s="110"/>
      <c r="O2559" s="110"/>
      <c r="P2559" s="110">
        <f t="shared" si="221"/>
        <v>0</v>
      </c>
      <c r="Q2559" s="110">
        <f t="shared" si="222"/>
        <v>0</v>
      </c>
      <c r="R2559" s="110">
        <f t="shared" si="223"/>
        <v>0</v>
      </c>
      <c r="S2559" s="112" t="s">
        <v>806</v>
      </c>
    </row>
    <row r="2560" spans="1:19">
      <c r="A2560" s="79"/>
      <c r="B2560" s="80" t="s">
        <v>570</v>
      </c>
      <c r="C2560" s="76"/>
      <c r="D2560" s="143">
        <v>0</v>
      </c>
      <c r="E2560" s="77"/>
      <c r="F2560" s="76"/>
      <c r="G2560" s="112"/>
      <c r="H2560" s="120"/>
      <c r="I2560" s="120"/>
      <c r="J2560" s="120"/>
      <c r="K2560" s="118"/>
      <c r="L2560" s="118"/>
      <c r="M2560" s="118"/>
      <c r="N2560" s="118"/>
      <c r="O2560" s="118"/>
      <c r="P2560" s="118"/>
      <c r="Q2560" s="118"/>
      <c r="R2560" s="118"/>
      <c r="S2560" s="112">
        <v>0</v>
      </c>
    </row>
    <row r="2561" spans="1:19" ht="45">
      <c r="A2561" s="79">
        <v>1</v>
      </c>
      <c r="B2561" s="77" t="s">
        <v>571</v>
      </c>
      <c r="C2561" s="76" t="s">
        <v>8</v>
      </c>
      <c r="D2561" s="143">
        <v>274</v>
      </c>
      <c r="E2561" s="77"/>
      <c r="F2561" s="334">
        <v>274</v>
      </c>
      <c r="G2561" s="112">
        <v>0</v>
      </c>
      <c r="H2561" s="120" t="s">
        <v>1089</v>
      </c>
      <c r="I2561" s="120" t="s">
        <v>1090</v>
      </c>
      <c r="J2561" s="120" t="s">
        <v>949</v>
      </c>
      <c r="K2561" s="110">
        <v>41900</v>
      </c>
      <c r="L2561" s="110"/>
      <c r="M2561" s="110">
        <v>110900</v>
      </c>
      <c r="N2561" s="110"/>
      <c r="O2561" s="110"/>
      <c r="P2561" s="110">
        <f t="shared" ref="P2561:P2564" si="224">+K2561+L2561+M2561+N2561+O2561</f>
        <v>152800</v>
      </c>
      <c r="Q2561" s="110">
        <f t="shared" ref="Q2561:Q2564" si="225">+P2561*D2561</f>
        <v>41867200</v>
      </c>
      <c r="R2561" s="110">
        <f t="shared" ref="R2561:R2564" si="226">P2561*F2561</f>
        <v>41867200</v>
      </c>
      <c r="S2561" s="112">
        <v>0</v>
      </c>
    </row>
    <row r="2562" spans="1:19" ht="45">
      <c r="A2562" s="79">
        <v>2</v>
      </c>
      <c r="B2562" s="77" t="s">
        <v>572</v>
      </c>
      <c r="C2562" s="76" t="s">
        <v>8</v>
      </c>
      <c r="D2562" s="143">
        <v>77</v>
      </c>
      <c r="E2562" s="77"/>
      <c r="F2562" s="334">
        <v>77</v>
      </c>
      <c r="G2562" s="112">
        <v>0</v>
      </c>
      <c r="H2562" s="120" t="s">
        <v>1092</v>
      </c>
      <c r="I2562" s="120" t="s">
        <v>1090</v>
      </c>
      <c r="J2562" s="120" t="s">
        <v>949</v>
      </c>
      <c r="K2562" s="110">
        <v>60200</v>
      </c>
      <c r="L2562" s="110"/>
      <c r="M2562" s="110">
        <v>112900</v>
      </c>
      <c r="N2562" s="110"/>
      <c r="O2562" s="110"/>
      <c r="P2562" s="110">
        <f t="shared" si="224"/>
        <v>173100</v>
      </c>
      <c r="Q2562" s="110">
        <f t="shared" si="225"/>
        <v>13328700</v>
      </c>
      <c r="R2562" s="110">
        <f t="shared" si="226"/>
        <v>13328700</v>
      </c>
      <c r="S2562" s="112">
        <v>0</v>
      </c>
    </row>
    <row r="2563" spans="1:19" ht="45">
      <c r="A2563" s="79">
        <v>3</v>
      </c>
      <c r="B2563" s="77" t="s">
        <v>573</v>
      </c>
      <c r="C2563" s="76" t="s">
        <v>8</v>
      </c>
      <c r="D2563" s="143">
        <v>10</v>
      </c>
      <c r="E2563" s="77"/>
      <c r="F2563" s="334">
        <v>10</v>
      </c>
      <c r="G2563" s="112">
        <v>0</v>
      </c>
      <c r="H2563" s="120" t="s">
        <v>1093</v>
      </c>
      <c r="I2563" s="120" t="s">
        <v>1090</v>
      </c>
      <c r="J2563" s="120" t="s">
        <v>949</v>
      </c>
      <c r="K2563" s="110">
        <v>83300</v>
      </c>
      <c r="L2563" s="110"/>
      <c r="M2563" s="110">
        <v>115900</v>
      </c>
      <c r="N2563" s="110"/>
      <c r="O2563" s="110"/>
      <c r="P2563" s="110">
        <f t="shared" si="224"/>
        <v>199200</v>
      </c>
      <c r="Q2563" s="110">
        <f t="shared" si="225"/>
        <v>1992000</v>
      </c>
      <c r="R2563" s="110">
        <f t="shared" si="226"/>
        <v>1992000</v>
      </c>
      <c r="S2563" s="112">
        <v>0</v>
      </c>
    </row>
    <row r="2564" spans="1:19" ht="45">
      <c r="A2564" s="79">
        <v>4</v>
      </c>
      <c r="B2564" s="77" t="s">
        <v>574</v>
      </c>
      <c r="C2564" s="76" t="s">
        <v>8</v>
      </c>
      <c r="D2564" s="143">
        <v>22</v>
      </c>
      <c r="E2564" s="77"/>
      <c r="F2564" s="334">
        <v>22</v>
      </c>
      <c r="G2564" s="112">
        <v>0</v>
      </c>
      <c r="H2564" s="120" t="s">
        <v>1094</v>
      </c>
      <c r="I2564" s="120" t="s">
        <v>1090</v>
      </c>
      <c r="J2564" s="120" t="s">
        <v>949</v>
      </c>
      <c r="K2564" s="110">
        <v>45500</v>
      </c>
      <c r="L2564" s="110"/>
      <c r="M2564" s="110">
        <v>111900</v>
      </c>
      <c r="N2564" s="110"/>
      <c r="O2564" s="110"/>
      <c r="P2564" s="110">
        <f t="shared" si="224"/>
        <v>157400</v>
      </c>
      <c r="Q2564" s="110">
        <f t="shared" si="225"/>
        <v>3462800</v>
      </c>
      <c r="R2564" s="110">
        <f t="shared" si="226"/>
        <v>3462800</v>
      </c>
      <c r="S2564" s="112">
        <v>0</v>
      </c>
    </row>
    <row r="2565" spans="1:19" ht="60">
      <c r="A2565" s="79"/>
      <c r="B2565" s="80" t="s">
        <v>524</v>
      </c>
      <c r="C2565" s="76"/>
      <c r="D2565" s="143">
        <v>0</v>
      </c>
      <c r="E2565" s="77"/>
      <c r="F2565" s="76"/>
      <c r="G2565" s="112"/>
      <c r="H2565" s="120"/>
      <c r="I2565" s="120"/>
      <c r="J2565" s="120"/>
      <c r="K2565" s="118"/>
      <c r="L2565" s="118"/>
      <c r="M2565" s="118"/>
      <c r="N2565" s="118"/>
      <c r="O2565" s="118"/>
      <c r="P2565" s="118"/>
      <c r="Q2565" s="118"/>
      <c r="R2565" s="118"/>
      <c r="S2565" s="112" t="s">
        <v>1197</v>
      </c>
    </row>
    <row r="2566" spans="1:19" ht="45">
      <c r="A2566" s="79">
        <v>1</v>
      </c>
      <c r="B2566" s="77" t="s">
        <v>575</v>
      </c>
      <c r="C2566" s="76" t="s">
        <v>8</v>
      </c>
      <c r="D2566" s="143">
        <v>180</v>
      </c>
      <c r="E2566" s="77"/>
      <c r="F2566" s="334">
        <v>180</v>
      </c>
      <c r="G2566" s="112">
        <v>0</v>
      </c>
      <c r="H2566" s="120" t="s">
        <v>1098</v>
      </c>
      <c r="I2566" s="120" t="s">
        <v>1090</v>
      </c>
      <c r="J2566" s="120" t="s">
        <v>949</v>
      </c>
      <c r="K2566" s="110">
        <v>107700</v>
      </c>
      <c r="L2566" s="110"/>
      <c r="M2566" s="110">
        <v>84700</v>
      </c>
      <c r="N2566" s="110"/>
      <c r="O2566" s="110"/>
      <c r="P2566" s="110">
        <f t="shared" ref="P2566:P2569" si="227">+K2566+L2566+M2566+N2566+O2566</f>
        <v>192400</v>
      </c>
      <c r="Q2566" s="110">
        <f t="shared" ref="Q2566:Q2569" si="228">+P2566*D2566</f>
        <v>34632000</v>
      </c>
      <c r="R2566" s="110">
        <f t="shared" ref="R2566:R2569" si="229">P2566*F2566</f>
        <v>34632000</v>
      </c>
      <c r="S2566" s="112">
        <v>0</v>
      </c>
    </row>
    <row r="2567" spans="1:19" ht="60">
      <c r="A2567" s="79">
        <v>2</v>
      </c>
      <c r="B2567" s="77" t="s">
        <v>576</v>
      </c>
      <c r="C2567" s="76" t="s">
        <v>8</v>
      </c>
      <c r="D2567" s="143">
        <v>60</v>
      </c>
      <c r="E2567" s="77"/>
      <c r="F2567" s="334">
        <v>60</v>
      </c>
      <c r="G2567" s="112">
        <v>0</v>
      </c>
      <c r="H2567" s="120" t="s">
        <v>1100</v>
      </c>
      <c r="I2567" s="120" t="s">
        <v>1090</v>
      </c>
      <c r="J2567" s="120" t="s">
        <v>949</v>
      </c>
      <c r="K2567" s="110">
        <v>229800</v>
      </c>
      <c r="L2567" s="110"/>
      <c r="M2567" s="110">
        <v>92700</v>
      </c>
      <c r="N2567" s="110"/>
      <c r="O2567" s="110"/>
      <c r="P2567" s="110">
        <f t="shared" si="227"/>
        <v>322500</v>
      </c>
      <c r="Q2567" s="110">
        <f t="shared" si="228"/>
        <v>19350000</v>
      </c>
      <c r="R2567" s="110">
        <f t="shared" si="229"/>
        <v>19350000</v>
      </c>
      <c r="S2567" s="112">
        <v>0</v>
      </c>
    </row>
    <row r="2568" spans="1:19" ht="60">
      <c r="A2568" s="79">
        <v>3</v>
      </c>
      <c r="B2568" s="77" t="s">
        <v>577</v>
      </c>
      <c r="C2568" s="76"/>
      <c r="D2568" s="143">
        <v>6</v>
      </c>
      <c r="E2568" s="77"/>
      <c r="F2568" s="334">
        <v>6</v>
      </c>
      <c r="G2568" s="112">
        <v>0</v>
      </c>
      <c r="H2568" s="120" t="s">
        <v>1100</v>
      </c>
      <c r="I2568" s="120" t="s">
        <v>1090</v>
      </c>
      <c r="J2568" s="120" t="s">
        <v>949</v>
      </c>
      <c r="K2568" s="110">
        <v>229800</v>
      </c>
      <c r="L2568" s="110"/>
      <c r="M2568" s="110">
        <v>92700</v>
      </c>
      <c r="N2568" s="110"/>
      <c r="O2568" s="110"/>
      <c r="P2568" s="110">
        <f t="shared" si="227"/>
        <v>322500</v>
      </c>
      <c r="Q2568" s="110">
        <f t="shared" si="228"/>
        <v>1935000</v>
      </c>
      <c r="R2568" s="110">
        <f t="shared" si="229"/>
        <v>1935000</v>
      </c>
      <c r="S2568" s="112">
        <v>0</v>
      </c>
    </row>
    <row r="2569" spans="1:19" ht="30">
      <c r="A2569" s="79">
        <v>4</v>
      </c>
      <c r="B2569" s="77" t="s">
        <v>578</v>
      </c>
      <c r="C2569" s="76" t="s">
        <v>8</v>
      </c>
      <c r="D2569" s="143">
        <v>3934</v>
      </c>
      <c r="E2569" s="77"/>
      <c r="F2569" s="334">
        <v>3934</v>
      </c>
      <c r="G2569" s="112" t="s">
        <v>978</v>
      </c>
      <c r="H2569" s="120" t="s">
        <v>979</v>
      </c>
      <c r="I2569" s="120" t="s">
        <v>723</v>
      </c>
      <c r="J2569" s="120" t="s">
        <v>772</v>
      </c>
      <c r="K2569" s="110">
        <v>12600</v>
      </c>
      <c r="L2569" s="110"/>
      <c r="M2569" s="110">
        <v>43400</v>
      </c>
      <c r="N2569" s="110"/>
      <c r="O2569" s="110"/>
      <c r="P2569" s="110">
        <f t="shared" si="227"/>
        <v>56000</v>
      </c>
      <c r="Q2569" s="110">
        <f t="shared" si="228"/>
        <v>220304000</v>
      </c>
      <c r="R2569" s="110">
        <f t="shared" si="229"/>
        <v>220304000</v>
      </c>
      <c r="S2569" s="112">
        <v>0</v>
      </c>
    </row>
    <row r="2570" spans="1:19">
      <c r="A2570" s="85" t="s">
        <v>717</v>
      </c>
      <c r="B2570" s="86" t="s">
        <v>1062</v>
      </c>
      <c r="C2570" s="85"/>
      <c r="D2570" s="151">
        <v>0</v>
      </c>
      <c r="E2570" s="337"/>
      <c r="F2570" s="347"/>
      <c r="G2570" s="448"/>
      <c r="H2570" s="447"/>
      <c r="I2570" s="447"/>
      <c r="J2570" s="447"/>
      <c r="K2570" s="548"/>
      <c r="L2570" s="548"/>
      <c r="M2570" s="548"/>
      <c r="N2570" s="548"/>
      <c r="O2570" s="548"/>
      <c r="P2570" s="548"/>
      <c r="Q2570" s="548"/>
      <c r="R2570" s="548"/>
      <c r="S2570" s="337"/>
    </row>
    <row r="2571" spans="1:19" ht="60">
      <c r="A2571" s="79">
        <v>1</v>
      </c>
      <c r="B2571" s="77" t="s">
        <v>580</v>
      </c>
      <c r="C2571" s="76" t="s">
        <v>7</v>
      </c>
      <c r="D2571" s="143">
        <v>35</v>
      </c>
      <c r="E2571" s="77"/>
      <c r="F2571" s="334">
        <v>35</v>
      </c>
      <c r="G2571" s="112" t="s">
        <v>1019</v>
      </c>
      <c r="H2571" s="120" t="s">
        <v>1038</v>
      </c>
      <c r="I2571" s="120" t="s">
        <v>807</v>
      </c>
      <c r="J2571" s="120" t="s">
        <v>772</v>
      </c>
      <c r="K2571" s="110">
        <v>546200</v>
      </c>
      <c r="L2571" s="110"/>
      <c r="M2571" s="110">
        <v>224700</v>
      </c>
      <c r="N2571" s="110"/>
      <c r="O2571" s="110"/>
      <c r="P2571" s="110">
        <f t="shared" ref="P2571:P2633" si="230">+K2571+L2571+M2571+N2571+O2571</f>
        <v>770900</v>
      </c>
      <c r="Q2571" s="110">
        <f t="shared" ref="Q2571:Q2633" si="231">+P2571*D2571</f>
        <v>26981500</v>
      </c>
      <c r="R2571" s="110">
        <f t="shared" ref="R2571:R2633" si="232">P2571*F2571</f>
        <v>26981500</v>
      </c>
      <c r="S2571" s="112" t="s">
        <v>1039</v>
      </c>
    </row>
    <row r="2572" spans="1:19" ht="45">
      <c r="A2572" s="79"/>
      <c r="B2572" s="77" t="s">
        <v>581</v>
      </c>
      <c r="C2572" s="76" t="s">
        <v>4</v>
      </c>
      <c r="D2572" s="143">
        <v>4</v>
      </c>
      <c r="E2572" s="77"/>
      <c r="F2572" s="334">
        <v>4</v>
      </c>
      <c r="G2572" s="112" t="s">
        <v>581</v>
      </c>
      <c r="H2572" s="120" t="s">
        <v>1027</v>
      </c>
      <c r="I2572" s="120" t="s">
        <v>807</v>
      </c>
      <c r="J2572" s="120" t="s">
        <v>772</v>
      </c>
      <c r="K2572" s="110">
        <v>533600</v>
      </c>
      <c r="L2572" s="110"/>
      <c r="M2572" s="110">
        <v>224700</v>
      </c>
      <c r="N2572" s="110"/>
      <c r="O2572" s="110"/>
      <c r="P2572" s="110">
        <f t="shared" si="230"/>
        <v>758300</v>
      </c>
      <c r="Q2572" s="110">
        <f t="shared" si="231"/>
        <v>3033200</v>
      </c>
      <c r="R2572" s="110">
        <f t="shared" si="232"/>
        <v>3033200</v>
      </c>
      <c r="S2572" s="112">
        <v>0</v>
      </c>
    </row>
    <row r="2573" spans="1:19" ht="45">
      <c r="A2573" s="79"/>
      <c r="B2573" s="77" t="s">
        <v>582</v>
      </c>
      <c r="C2573" s="76" t="s">
        <v>4</v>
      </c>
      <c r="D2573" s="143">
        <v>7</v>
      </c>
      <c r="E2573" s="77"/>
      <c r="F2573" s="334">
        <v>7</v>
      </c>
      <c r="G2573" s="112" t="s">
        <v>582</v>
      </c>
      <c r="H2573" s="120" t="s">
        <v>1027</v>
      </c>
      <c r="I2573" s="120" t="s">
        <v>807</v>
      </c>
      <c r="J2573" s="120" t="s">
        <v>772</v>
      </c>
      <c r="K2573" s="110">
        <v>800300</v>
      </c>
      <c r="L2573" s="110"/>
      <c r="M2573" s="110">
        <v>227700</v>
      </c>
      <c r="N2573" s="110"/>
      <c r="O2573" s="110"/>
      <c r="P2573" s="110">
        <f t="shared" si="230"/>
        <v>1028000</v>
      </c>
      <c r="Q2573" s="110">
        <f t="shared" si="231"/>
        <v>7196000</v>
      </c>
      <c r="R2573" s="110">
        <f t="shared" si="232"/>
        <v>7196000</v>
      </c>
      <c r="S2573" s="112">
        <v>0</v>
      </c>
    </row>
    <row r="2574" spans="1:19" ht="30">
      <c r="A2574" s="79"/>
      <c r="B2574" s="77" t="s">
        <v>583</v>
      </c>
      <c r="C2574" s="76" t="s">
        <v>4</v>
      </c>
      <c r="D2574" s="143">
        <v>3</v>
      </c>
      <c r="E2574" s="77"/>
      <c r="F2574" s="334">
        <v>3</v>
      </c>
      <c r="G2574" s="112" t="s">
        <v>583</v>
      </c>
      <c r="H2574" s="120" t="s">
        <v>1027</v>
      </c>
      <c r="I2574" s="120" t="s">
        <v>807</v>
      </c>
      <c r="J2574" s="120" t="s">
        <v>772</v>
      </c>
      <c r="K2574" s="110">
        <v>667000</v>
      </c>
      <c r="L2574" s="110"/>
      <c r="M2574" s="110">
        <v>224700</v>
      </c>
      <c r="N2574" s="110"/>
      <c r="O2574" s="110"/>
      <c r="P2574" s="110">
        <f t="shared" si="230"/>
        <v>891700</v>
      </c>
      <c r="Q2574" s="110">
        <f t="shared" si="231"/>
        <v>2675100</v>
      </c>
      <c r="R2574" s="110">
        <f t="shared" si="232"/>
        <v>2675100</v>
      </c>
      <c r="S2574" s="112">
        <v>0</v>
      </c>
    </row>
    <row r="2575" spans="1:19">
      <c r="A2575" s="79"/>
      <c r="B2575" s="77" t="s">
        <v>584</v>
      </c>
      <c r="C2575" s="76" t="s">
        <v>4</v>
      </c>
      <c r="D2575" s="143">
        <v>0</v>
      </c>
      <c r="E2575" s="77"/>
      <c r="F2575" s="334">
        <v>0</v>
      </c>
      <c r="G2575" s="112" t="s">
        <v>584</v>
      </c>
      <c r="H2575" s="120" t="s">
        <v>1027</v>
      </c>
      <c r="I2575" s="120" t="s">
        <v>807</v>
      </c>
      <c r="J2575" s="120" t="s">
        <v>772</v>
      </c>
      <c r="K2575" s="110">
        <v>533600</v>
      </c>
      <c r="L2575" s="110"/>
      <c r="M2575" s="110">
        <v>186400</v>
      </c>
      <c r="N2575" s="110"/>
      <c r="O2575" s="110"/>
      <c r="P2575" s="110">
        <f t="shared" si="230"/>
        <v>720000</v>
      </c>
      <c r="Q2575" s="110">
        <f t="shared" si="231"/>
        <v>0</v>
      </c>
      <c r="R2575" s="110">
        <f t="shared" si="232"/>
        <v>0</v>
      </c>
      <c r="S2575" s="112">
        <v>0</v>
      </c>
    </row>
    <row r="2576" spans="1:19">
      <c r="A2576" s="79"/>
      <c r="B2576" s="77" t="s">
        <v>585</v>
      </c>
      <c r="C2576" s="76" t="s">
        <v>4</v>
      </c>
      <c r="D2576" s="143">
        <v>0</v>
      </c>
      <c r="E2576" s="77"/>
      <c r="F2576" s="334">
        <v>0</v>
      </c>
      <c r="G2576" s="112" t="s">
        <v>585</v>
      </c>
      <c r="H2576" s="120" t="s">
        <v>1027</v>
      </c>
      <c r="I2576" s="120" t="s">
        <v>807</v>
      </c>
      <c r="J2576" s="120" t="s">
        <v>772</v>
      </c>
      <c r="K2576" s="110">
        <v>533600</v>
      </c>
      <c r="L2576" s="110"/>
      <c r="M2576" s="110">
        <v>186400</v>
      </c>
      <c r="N2576" s="110"/>
      <c r="O2576" s="110"/>
      <c r="P2576" s="110">
        <f t="shared" si="230"/>
        <v>720000</v>
      </c>
      <c r="Q2576" s="110">
        <f t="shared" si="231"/>
        <v>0</v>
      </c>
      <c r="R2576" s="110">
        <f t="shared" si="232"/>
        <v>0</v>
      </c>
      <c r="S2576" s="112">
        <v>0</v>
      </c>
    </row>
    <row r="2577" spans="1:19" ht="30">
      <c r="A2577" s="79"/>
      <c r="B2577" s="77" t="s">
        <v>586</v>
      </c>
      <c r="C2577" s="76" t="s">
        <v>4</v>
      </c>
      <c r="D2577" s="143">
        <v>2</v>
      </c>
      <c r="E2577" s="77"/>
      <c r="F2577" s="334">
        <v>2</v>
      </c>
      <c r="G2577" s="112" t="s">
        <v>586</v>
      </c>
      <c r="H2577" s="120" t="s">
        <v>1027</v>
      </c>
      <c r="I2577" s="120" t="s">
        <v>807</v>
      </c>
      <c r="J2577" s="120" t="s">
        <v>772</v>
      </c>
      <c r="K2577" s="110">
        <v>533600</v>
      </c>
      <c r="L2577" s="110"/>
      <c r="M2577" s="110">
        <v>195500</v>
      </c>
      <c r="N2577" s="110"/>
      <c r="O2577" s="110"/>
      <c r="P2577" s="110">
        <f t="shared" si="230"/>
        <v>729100</v>
      </c>
      <c r="Q2577" s="110">
        <f t="shared" si="231"/>
        <v>1458200</v>
      </c>
      <c r="R2577" s="110">
        <f t="shared" si="232"/>
        <v>1458200</v>
      </c>
      <c r="S2577" s="112">
        <v>0</v>
      </c>
    </row>
    <row r="2578" spans="1:19" ht="30">
      <c r="A2578" s="79"/>
      <c r="B2578" s="77" t="s">
        <v>587</v>
      </c>
      <c r="C2578" s="76" t="s">
        <v>4</v>
      </c>
      <c r="D2578" s="143">
        <v>1</v>
      </c>
      <c r="E2578" s="77"/>
      <c r="F2578" s="334">
        <v>1</v>
      </c>
      <c r="G2578" s="112" t="s">
        <v>587</v>
      </c>
      <c r="H2578" s="120" t="s">
        <v>1027</v>
      </c>
      <c r="I2578" s="120" t="s">
        <v>807</v>
      </c>
      <c r="J2578" s="120" t="s">
        <v>772</v>
      </c>
      <c r="K2578" s="110">
        <v>533600</v>
      </c>
      <c r="L2578" s="110"/>
      <c r="M2578" s="110">
        <v>195500</v>
      </c>
      <c r="N2578" s="110"/>
      <c r="O2578" s="110"/>
      <c r="P2578" s="110">
        <f t="shared" si="230"/>
        <v>729100</v>
      </c>
      <c r="Q2578" s="110">
        <f t="shared" si="231"/>
        <v>729100</v>
      </c>
      <c r="R2578" s="110">
        <f t="shared" si="232"/>
        <v>729100</v>
      </c>
      <c r="S2578" s="112">
        <v>0</v>
      </c>
    </row>
    <row r="2579" spans="1:19" ht="30">
      <c r="A2579" s="79"/>
      <c r="B2579" s="77" t="s">
        <v>588</v>
      </c>
      <c r="C2579" s="76" t="s">
        <v>4</v>
      </c>
      <c r="D2579" s="143">
        <v>2</v>
      </c>
      <c r="E2579" s="77"/>
      <c r="F2579" s="334">
        <v>2</v>
      </c>
      <c r="G2579" s="112" t="s">
        <v>588</v>
      </c>
      <c r="H2579" s="120" t="s">
        <v>1027</v>
      </c>
      <c r="I2579" s="120" t="s">
        <v>807</v>
      </c>
      <c r="J2579" s="120" t="s">
        <v>772</v>
      </c>
      <c r="K2579" s="110">
        <v>1067100</v>
      </c>
      <c r="L2579" s="110"/>
      <c r="M2579" s="110">
        <v>224700</v>
      </c>
      <c r="N2579" s="110"/>
      <c r="O2579" s="110"/>
      <c r="P2579" s="110">
        <f t="shared" si="230"/>
        <v>1291800</v>
      </c>
      <c r="Q2579" s="110">
        <f t="shared" si="231"/>
        <v>2583600</v>
      </c>
      <c r="R2579" s="110">
        <f t="shared" si="232"/>
        <v>2583600</v>
      </c>
      <c r="S2579" s="112">
        <v>0</v>
      </c>
    </row>
    <row r="2580" spans="1:19" ht="60">
      <c r="A2580" s="79">
        <v>2</v>
      </c>
      <c r="B2580" s="77" t="s">
        <v>589</v>
      </c>
      <c r="C2580" s="76" t="s">
        <v>7</v>
      </c>
      <c r="D2580" s="143">
        <v>160</v>
      </c>
      <c r="E2580" s="77"/>
      <c r="F2580" s="334">
        <v>160</v>
      </c>
      <c r="G2580" s="112" t="s">
        <v>1020</v>
      </c>
      <c r="H2580" s="120" t="s">
        <v>1038</v>
      </c>
      <c r="I2580" s="120" t="s">
        <v>807</v>
      </c>
      <c r="J2580" s="120" t="s">
        <v>772</v>
      </c>
      <c r="K2580" s="110">
        <v>503600</v>
      </c>
      <c r="L2580" s="110"/>
      <c r="M2580" s="110">
        <v>209600</v>
      </c>
      <c r="N2580" s="110"/>
      <c r="O2580" s="110"/>
      <c r="P2580" s="110">
        <f t="shared" si="230"/>
        <v>713200</v>
      </c>
      <c r="Q2580" s="110">
        <f t="shared" si="231"/>
        <v>114112000</v>
      </c>
      <c r="R2580" s="110">
        <f t="shared" si="232"/>
        <v>114112000</v>
      </c>
      <c r="S2580" s="112" t="s">
        <v>1039</v>
      </c>
    </row>
    <row r="2581" spans="1:19" ht="45">
      <c r="A2581" s="79"/>
      <c r="B2581" s="77" t="s">
        <v>590</v>
      </c>
      <c r="C2581" s="76" t="s">
        <v>4</v>
      </c>
      <c r="D2581" s="143">
        <v>9</v>
      </c>
      <c r="E2581" s="77"/>
      <c r="F2581" s="334">
        <v>9</v>
      </c>
      <c r="G2581" s="112" t="s">
        <v>590</v>
      </c>
      <c r="H2581" s="120" t="s">
        <v>1027</v>
      </c>
      <c r="I2581" s="120" t="s">
        <v>807</v>
      </c>
      <c r="J2581" s="120" t="s">
        <v>772</v>
      </c>
      <c r="K2581" s="110">
        <v>492000</v>
      </c>
      <c r="L2581" s="110"/>
      <c r="M2581" s="110">
        <v>209600</v>
      </c>
      <c r="N2581" s="110"/>
      <c r="O2581" s="110"/>
      <c r="P2581" s="110">
        <f t="shared" si="230"/>
        <v>701600</v>
      </c>
      <c r="Q2581" s="110">
        <f t="shared" si="231"/>
        <v>6314400</v>
      </c>
      <c r="R2581" s="110">
        <f t="shared" si="232"/>
        <v>6314400</v>
      </c>
      <c r="S2581" s="112">
        <v>0</v>
      </c>
    </row>
    <row r="2582" spans="1:19" ht="45">
      <c r="A2582" s="79"/>
      <c r="B2582" s="77" t="s">
        <v>591</v>
      </c>
      <c r="C2582" s="76" t="s">
        <v>4</v>
      </c>
      <c r="D2582" s="143">
        <v>3</v>
      </c>
      <c r="E2582" s="77"/>
      <c r="F2582" s="334">
        <v>3</v>
      </c>
      <c r="G2582" s="112" t="s">
        <v>591</v>
      </c>
      <c r="H2582" s="120" t="s">
        <v>1027</v>
      </c>
      <c r="I2582" s="120" t="s">
        <v>807</v>
      </c>
      <c r="J2582" s="120" t="s">
        <v>772</v>
      </c>
      <c r="K2582" s="110">
        <v>492000</v>
      </c>
      <c r="L2582" s="110"/>
      <c r="M2582" s="110">
        <v>209600</v>
      </c>
      <c r="N2582" s="110"/>
      <c r="O2582" s="110"/>
      <c r="P2582" s="110">
        <f t="shared" si="230"/>
        <v>701600</v>
      </c>
      <c r="Q2582" s="110">
        <f t="shared" si="231"/>
        <v>2104800</v>
      </c>
      <c r="R2582" s="110">
        <f t="shared" si="232"/>
        <v>2104800</v>
      </c>
      <c r="S2582" s="112">
        <v>0</v>
      </c>
    </row>
    <row r="2583" spans="1:19" ht="30">
      <c r="A2583" s="79"/>
      <c r="B2583" s="77" t="s">
        <v>592</v>
      </c>
      <c r="C2583" s="76" t="s">
        <v>4</v>
      </c>
      <c r="D2583" s="143">
        <v>3</v>
      </c>
      <c r="E2583" s="77"/>
      <c r="F2583" s="334">
        <v>3</v>
      </c>
      <c r="G2583" s="112" t="s">
        <v>592</v>
      </c>
      <c r="H2583" s="120" t="s">
        <v>1027</v>
      </c>
      <c r="I2583" s="120" t="s">
        <v>807</v>
      </c>
      <c r="J2583" s="120" t="s">
        <v>772</v>
      </c>
      <c r="K2583" s="110">
        <v>615000</v>
      </c>
      <c r="L2583" s="110"/>
      <c r="M2583" s="110">
        <v>216700</v>
      </c>
      <c r="N2583" s="110"/>
      <c r="O2583" s="110"/>
      <c r="P2583" s="110">
        <f t="shared" si="230"/>
        <v>831700</v>
      </c>
      <c r="Q2583" s="110">
        <f t="shared" si="231"/>
        <v>2495100</v>
      </c>
      <c r="R2583" s="110">
        <f t="shared" si="232"/>
        <v>2495100</v>
      </c>
      <c r="S2583" s="112">
        <v>0</v>
      </c>
    </row>
    <row r="2584" spans="1:19">
      <c r="A2584" s="79"/>
      <c r="B2584" s="77" t="s">
        <v>593</v>
      </c>
      <c r="C2584" s="76" t="s">
        <v>4</v>
      </c>
      <c r="D2584" s="143">
        <v>0</v>
      </c>
      <c r="E2584" s="77"/>
      <c r="F2584" s="334">
        <v>0</v>
      </c>
      <c r="G2584" s="112" t="s">
        <v>593</v>
      </c>
      <c r="H2584" s="120" t="s">
        <v>1027</v>
      </c>
      <c r="I2584" s="120" t="s">
        <v>807</v>
      </c>
      <c r="J2584" s="120" t="s">
        <v>772</v>
      </c>
      <c r="K2584" s="110">
        <v>492000</v>
      </c>
      <c r="L2584" s="110"/>
      <c r="M2584" s="110">
        <v>209600</v>
      </c>
      <c r="N2584" s="110"/>
      <c r="O2584" s="110"/>
      <c r="P2584" s="110">
        <f t="shared" si="230"/>
        <v>701600</v>
      </c>
      <c r="Q2584" s="110">
        <f t="shared" si="231"/>
        <v>0</v>
      </c>
      <c r="R2584" s="110">
        <f t="shared" si="232"/>
        <v>0</v>
      </c>
      <c r="S2584" s="112">
        <v>0</v>
      </c>
    </row>
    <row r="2585" spans="1:19" ht="45">
      <c r="A2585" s="79"/>
      <c r="B2585" s="77" t="s">
        <v>594</v>
      </c>
      <c r="C2585" s="76" t="s">
        <v>4</v>
      </c>
      <c r="D2585" s="143">
        <v>5</v>
      </c>
      <c r="E2585" s="77"/>
      <c r="F2585" s="334">
        <v>5</v>
      </c>
      <c r="G2585" s="112" t="s">
        <v>594</v>
      </c>
      <c r="H2585" s="120" t="s">
        <v>1027</v>
      </c>
      <c r="I2585" s="120" t="s">
        <v>807</v>
      </c>
      <c r="J2585" s="120" t="s">
        <v>772</v>
      </c>
      <c r="K2585" s="110">
        <v>615000</v>
      </c>
      <c r="L2585" s="110"/>
      <c r="M2585" s="110">
        <v>216700</v>
      </c>
      <c r="N2585" s="110"/>
      <c r="O2585" s="110"/>
      <c r="P2585" s="110">
        <f t="shared" si="230"/>
        <v>831700</v>
      </c>
      <c r="Q2585" s="110">
        <f t="shared" si="231"/>
        <v>4158500</v>
      </c>
      <c r="R2585" s="110">
        <f t="shared" si="232"/>
        <v>4158500</v>
      </c>
      <c r="S2585" s="112">
        <v>0</v>
      </c>
    </row>
    <row r="2586" spans="1:19" ht="45">
      <c r="A2586" s="79"/>
      <c r="B2586" s="77" t="s">
        <v>595</v>
      </c>
      <c r="C2586" s="76" t="s">
        <v>4</v>
      </c>
      <c r="D2586" s="143">
        <v>2</v>
      </c>
      <c r="E2586" s="77"/>
      <c r="F2586" s="334">
        <v>2</v>
      </c>
      <c r="G2586" s="112" t="s">
        <v>595</v>
      </c>
      <c r="H2586" s="120" t="s">
        <v>1027</v>
      </c>
      <c r="I2586" s="120" t="s">
        <v>807</v>
      </c>
      <c r="J2586" s="120" t="s">
        <v>772</v>
      </c>
      <c r="K2586" s="110">
        <v>615000</v>
      </c>
      <c r="L2586" s="110"/>
      <c r="M2586" s="110">
        <v>216700</v>
      </c>
      <c r="N2586" s="110"/>
      <c r="O2586" s="110"/>
      <c r="P2586" s="110">
        <f t="shared" si="230"/>
        <v>831700</v>
      </c>
      <c r="Q2586" s="110">
        <f t="shared" si="231"/>
        <v>1663400</v>
      </c>
      <c r="R2586" s="110">
        <f t="shared" si="232"/>
        <v>1663400</v>
      </c>
      <c r="S2586" s="112">
        <v>0</v>
      </c>
    </row>
    <row r="2587" spans="1:19" ht="45">
      <c r="A2587" s="79"/>
      <c r="B2587" s="77" t="s">
        <v>596</v>
      </c>
      <c r="C2587" s="76" t="s">
        <v>4</v>
      </c>
      <c r="D2587" s="143">
        <v>1</v>
      </c>
      <c r="E2587" s="77"/>
      <c r="F2587" s="334">
        <v>1</v>
      </c>
      <c r="G2587" s="112" t="s">
        <v>596</v>
      </c>
      <c r="H2587" s="120" t="s">
        <v>1027</v>
      </c>
      <c r="I2587" s="120" t="s">
        <v>807</v>
      </c>
      <c r="J2587" s="120" t="s">
        <v>772</v>
      </c>
      <c r="K2587" s="110">
        <v>737900</v>
      </c>
      <c r="L2587" s="110"/>
      <c r="M2587" s="110">
        <v>224700</v>
      </c>
      <c r="N2587" s="110"/>
      <c r="O2587" s="110"/>
      <c r="P2587" s="110">
        <f t="shared" si="230"/>
        <v>962600</v>
      </c>
      <c r="Q2587" s="110">
        <f t="shared" si="231"/>
        <v>962600</v>
      </c>
      <c r="R2587" s="110">
        <f t="shared" si="232"/>
        <v>962600</v>
      </c>
      <c r="S2587" s="112">
        <v>0</v>
      </c>
    </row>
    <row r="2588" spans="1:19" ht="30">
      <c r="A2588" s="79"/>
      <c r="B2588" s="77" t="s">
        <v>597</v>
      </c>
      <c r="C2588" s="76" t="s">
        <v>4</v>
      </c>
      <c r="D2588" s="143">
        <v>2</v>
      </c>
      <c r="E2588" s="77"/>
      <c r="F2588" s="334">
        <v>2</v>
      </c>
      <c r="G2588" s="112" t="s">
        <v>597</v>
      </c>
      <c r="H2588" s="120" t="s">
        <v>1027</v>
      </c>
      <c r="I2588" s="120" t="s">
        <v>807</v>
      </c>
      <c r="J2588" s="120" t="s">
        <v>772</v>
      </c>
      <c r="K2588" s="110">
        <v>492000</v>
      </c>
      <c r="L2588" s="110"/>
      <c r="M2588" s="110">
        <v>216700</v>
      </c>
      <c r="N2588" s="110"/>
      <c r="O2588" s="110"/>
      <c r="P2588" s="110">
        <f t="shared" si="230"/>
        <v>708700</v>
      </c>
      <c r="Q2588" s="110">
        <f t="shared" si="231"/>
        <v>1417400</v>
      </c>
      <c r="R2588" s="110">
        <f t="shared" si="232"/>
        <v>1417400</v>
      </c>
      <c r="S2588" s="112">
        <v>0</v>
      </c>
    </row>
    <row r="2589" spans="1:19" ht="30">
      <c r="A2589" s="79"/>
      <c r="B2589" s="77" t="s">
        <v>598</v>
      </c>
      <c r="C2589" s="76" t="s">
        <v>4</v>
      </c>
      <c r="D2589" s="143">
        <v>2</v>
      </c>
      <c r="E2589" s="77"/>
      <c r="F2589" s="334">
        <v>2</v>
      </c>
      <c r="G2589" s="112" t="s">
        <v>598</v>
      </c>
      <c r="H2589" s="120" t="s">
        <v>1027</v>
      </c>
      <c r="I2589" s="120" t="s">
        <v>807</v>
      </c>
      <c r="J2589" s="120" t="s">
        <v>772</v>
      </c>
      <c r="K2589" s="110">
        <v>983900</v>
      </c>
      <c r="L2589" s="110"/>
      <c r="M2589" s="110">
        <v>216700</v>
      </c>
      <c r="N2589" s="110"/>
      <c r="O2589" s="110"/>
      <c r="P2589" s="110">
        <f t="shared" si="230"/>
        <v>1200600</v>
      </c>
      <c r="Q2589" s="110">
        <f t="shared" si="231"/>
        <v>2401200</v>
      </c>
      <c r="R2589" s="110">
        <f t="shared" si="232"/>
        <v>2401200</v>
      </c>
      <c r="S2589" s="112">
        <v>0</v>
      </c>
    </row>
    <row r="2590" spans="1:19" ht="60">
      <c r="A2590" s="79">
        <v>3</v>
      </c>
      <c r="B2590" s="77" t="s">
        <v>599</v>
      </c>
      <c r="C2590" s="76" t="s">
        <v>7</v>
      </c>
      <c r="D2590" s="143">
        <v>181</v>
      </c>
      <c r="E2590" s="77"/>
      <c r="F2590" s="334">
        <v>181</v>
      </c>
      <c r="G2590" s="112" t="s">
        <v>599</v>
      </c>
      <c r="H2590" s="120" t="s">
        <v>1034</v>
      </c>
      <c r="I2590" s="120" t="s">
        <v>807</v>
      </c>
      <c r="J2590" s="120" t="s">
        <v>772</v>
      </c>
      <c r="K2590" s="110">
        <v>361600</v>
      </c>
      <c r="L2590" s="110"/>
      <c r="M2590" s="110">
        <v>172300</v>
      </c>
      <c r="N2590" s="110"/>
      <c r="O2590" s="110"/>
      <c r="P2590" s="110">
        <f t="shared" si="230"/>
        <v>533900</v>
      </c>
      <c r="Q2590" s="110">
        <f t="shared" si="231"/>
        <v>96635900</v>
      </c>
      <c r="R2590" s="110">
        <f t="shared" si="232"/>
        <v>96635900</v>
      </c>
      <c r="S2590" s="112" t="s">
        <v>1039</v>
      </c>
    </row>
    <row r="2591" spans="1:19" ht="45">
      <c r="A2591" s="79"/>
      <c r="B2591" s="77" t="s">
        <v>600</v>
      </c>
      <c r="C2591" s="76" t="s">
        <v>4</v>
      </c>
      <c r="D2591" s="143">
        <v>2</v>
      </c>
      <c r="E2591" s="77"/>
      <c r="F2591" s="334">
        <v>2</v>
      </c>
      <c r="G2591" s="112" t="s">
        <v>600</v>
      </c>
      <c r="H2591" s="120" t="s">
        <v>1027</v>
      </c>
      <c r="I2591" s="120" t="s">
        <v>807</v>
      </c>
      <c r="J2591" s="120" t="s">
        <v>772</v>
      </c>
      <c r="K2591" s="110">
        <v>353200</v>
      </c>
      <c r="L2591" s="110"/>
      <c r="M2591" s="110">
        <v>172300</v>
      </c>
      <c r="N2591" s="110"/>
      <c r="O2591" s="110"/>
      <c r="P2591" s="110">
        <f t="shared" si="230"/>
        <v>525500</v>
      </c>
      <c r="Q2591" s="110">
        <f t="shared" si="231"/>
        <v>1051000</v>
      </c>
      <c r="R2591" s="110">
        <f t="shared" si="232"/>
        <v>1051000</v>
      </c>
      <c r="S2591" s="112">
        <v>0</v>
      </c>
    </row>
    <row r="2592" spans="1:19" ht="45">
      <c r="A2592" s="79"/>
      <c r="B2592" s="77" t="s">
        <v>601</v>
      </c>
      <c r="C2592" s="76" t="s">
        <v>4</v>
      </c>
      <c r="D2592" s="143">
        <v>1</v>
      </c>
      <c r="E2592" s="77"/>
      <c r="F2592" s="334">
        <v>1</v>
      </c>
      <c r="G2592" s="112" t="s">
        <v>601</v>
      </c>
      <c r="H2592" s="120" t="s">
        <v>1027</v>
      </c>
      <c r="I2592" s="120" t="s">
        <v>807</v>
      </c>
      <c r="J2592" s="120" t="s">
        <v>772</v>
      </c>
      <c r="K2592" s="110">
        <v>353200</v>
      </c>
      <c r="L2592" s="110"/>
      <c r="M2592" s="110">
        <v>172300</v>
      </c>
      <c r="N2592" s="110"/>
      <c r="O2592" s="110"/>
      <c r="P2592" s="110">
        <f t="shared" si="230"/>
        <v>525500</v>
      </c>
      <c r="Q2592" s="110">
        <f t="shared" si="231"/>
        <v>525500</v>
      </c>
      <c r="R2592" s="110">
        <f t="shared" si="232"/>
        <v>525500</v>
      </c>
      <c r="S2592" s="112">
        <v>0</v>
      </c>
    </row>
    <row r="2593" spans="1:19" ht="30">
      <c r="A2593" s="79"/>
      <c r="B2593" s="77" t="s">
        <v>602</v>
      </c>
      <c r="C2593" s="76" t="s">
        <v>4</v>
      </c>
      <c r="D2593" s="143">
        <v>1</v>
      </c>
      <c r="E2593" s="77"/>
      <c r="F2593" s="334">
        <v>1</v>
      </c>
      <c r="G2593" s="112" t="s">
        <v>602</v>
      </c>
      <c r="H2593" s="120" t="s">
        <v>1027</v>
      </c>
      <c r="I2593" s="120" t="s">
        <v>807</v>
      </c>
      <c r="J2593" s="120" t="s">
        <v>772</v>
      </c>
      <c r="K2593" s="110">
        <v>441600</v>
      </c>
      <c r="L2593" s="110"/>
      <c r="M2593" s="110">
        <v>193500</v>
      </c>
      <c r="N2593" s="110"/>
      <c r="O2593" s="110"/>
      <c r="P2593" s="110">
        <f t="shared" si="230"/>
        <v>635100</v>
      </c>
      <c r="Q2593" s="110">
        <f t="shared" si="231"/>
        <v>635100</v>
      </c>
      <c r="R2593" s="110">
        <f t="shared" si="232"/>
        <v>635100</v>
      </c>
      <c r="S2593" s="112">
        <v>0</v>
      </c>
    </row>
    <row r="2594" spans="1:19" ht="30">
      <c r="A2594" s="79"/>
      <c r="B2594" s="77" t="s">
        <v>603</v>
      </c>
      <c r="C2594" s="76" t="s">
        <v>4</v>
      </c>
      <c r="D2594" s="143">
        <v>2</v>
      </c>
      <c r="E2594" s="77"/>
      <c r="F2594" s="334">
        <v>2</v>
      </c>
      <c r="G2594" s="112" t="s">
        <v>603</v>
      </c>
      <c r="H2594" s="120" t="s">
        <v>1027</v>
      </c>
      <c r="I2594" s="120" t="s">
        <v>807</v>
      </c>
      <c r="J2594" s="120" t="s">
        <v>772</v>
      </c>
      <c r="K2594" s="110">
        <v>353200</v>
      </c>
      <c r="L2594" s="110"/>
      <c r="M2594" s="110">
        <v>172300</v>
      </c>
      <c r="N2594" s="110"/>
      <c r="O2594" s="110"/>
      <c r="P2594" s="110">
        <f t="shared" si="230"/>
        <v>525500</v>
      </c>
      <c r="Q2594" s="110">
        <f t="shared" si="231"/>
        <v>1051000</v>
      </c>
      <c r="R2594" s="110">
        <f t="shared" si="232"/>
        <v>1051000</v>
      </c>
      <c r="S2594" s="112">
        <v>0</v>
      </c>
    </row>
    <row r="2595" spans="1:19" ht="60">
      <c r="A2595" s="79">
        <v>4</v>
      </c>
      <c r="B2595" s="77" t="s">
        <v>604</v>
      </c>
      <c r="C2595" s="76" t="s">
        <v>7</v>
      </c>
      <c r="D2595" s="143">
        <v>30</v>
      </c>
      <c r="E2595" s="77"/>
      <c r="F2595" s="334">
        <v>30</v>
      </c>
      <c r="G2595" s="112" t="s">
        <v>604</v>
      </c>
      <c r="H2595" s="120" t="s">
        <v>1034</v>
      </c>
      <c r="I2595" s="120" t="s">
        <v>807</v>
      </c>
      <c r="J2595" s="120" t="s">
        <v>772</v>
      </c>
      <c r="K2595" s="110">
        <v>333400</v>
      </c>
      <c r="L2595" s="110"/>
      <c r="M2595" s="110">
        <v>124000</v>
      </c>
      <c r="N2595" s="110"/>
      <c r="O2595" s="110"/>
      <c r="P2595" s="110">
        <f t="shared" si="230"/>
        <v>457400</v>
      </c>
      <c r="Q2595" s="110">
        <f t="shared" si="231"/>
        <v>13722000</v>
      </c>
      <c r="R2595" s="110">
        <f t="shared" si="232"/>
        <v>13722000</v>
      </c>
      <c r="S2595" s="112" t="s">
        <v>1039</v>
      </c>
    </row>
    <row r="2596" spans="1:19" ht="60">
      <c r="A2596" s="79">
        <v>5</v>
      </c>
      <c r="B2596" s="77" t="s">
        <v>605</v>
      </c>
      <c r="C2596" s="76" t="s">
        <v>7</v>
      </c>
      <c r="D2596" s="143">
        <v>8</v>
      </c>
      <c r="E2596" s="77"/>
      <c r="F2596" s="334">
        <v>8</v>
      </c>
      <c r="G2596" s="112" t="s">
        <v>1021</v>
      </c>
      <c r="H2596" s="120" t="s">
        <v>1037</v>
      </c>
      <c r="I2596" s="120" t="s">
        <v>807</v>
      </c>
      <c r="J2596" s="120" t="s">
        <v>772</v>
      </c>
      <c r="K2596" s="110">
        <v>257300</v>
      </c>
      <c r="L2596" s="110"/>
      <c r="M2596" s="110">
        <v>120900</v>
      </c>
      <c r="N2596" s="110"/>
      <c r="O2596" s="110"/>
      <c r="P2596" s="110">
        <f t="shared" si="230"/>
        <v>378200</v>
      </c>
      <c r="Q2596" s="110">
        <f t="shared" si="231"/>
        <v>3025600</v>
      </c>
      <c r="R2596" s="110">
        <f t="shared" si="232"/>
        <v>3025600</v>
      </c>
      <c r="S2596" s="112" t="s">
        <v>1039</v>
      </c>
    </row>
    <row r="2597" spans="1:19" ht="60">
      <c r="A2597" s="79">
        <v>6</v>
      </c>
      <c r="B2597" s="77" t="s">
        <v>606</v>
      </c>
      <c r="C2597" s="76" t="s">
        <v>7</v>
      </c>
      <c r="D2597" s="143">
        <v>91</v>
      </c>
      <c r="E2597" s="77"/>
      <c r="F2597" s="334">
        <v>91</v>
      </c>
      <c r="G2597" s="112" t="s">
        <v>606</v>
      </c>
      <c r="H2597" s="120" t="s">
        <v>1036</v>
      </c>
      <c r="I2597" s="120" t="s">
        <v>807</v>
      </c>
      <c r="J2597" s="120" t="s">
        <v>772</v>
      </c>
      <c r="K2597" s="110">
        <v>780500</v>
      </c>
      <c r="L2597" s="110"/>
      <c r="M2597" s="110">
        <v>158200</v>
      </c>
      <c r="N2597" s="110"/>
      <c r="O2597" s="110"/>
      <c r="P2597" s="110">
        <f t="shared" si="230"/>
        <v>938700</v>
      </c>
      <c r="Q2597" s="110">
        <f t="shared" si="231"/>
        <v>85421700</v>
      </c>
      <c r="R2597" s="110">
        <f t="shared" si="232"/>
        <v>85421700</v>
      </c>
      <c r="S2597" s="112" t="s">
        <v>1039</v>
      </c>
    </row>
    <row r="2598" spans="1:19" ht="60">
      <c r="A2598" s="79"/>
      <c r="B2598" s="77" t="s">
        <v>607</v>
      </c>
      <c r="C2598" s="76" t="s">
        <v>4</v>
      </c>
      <c r="D2598" s="143">
        <v>3</v>
      </c>
      <c r="E2598" s="77"/>
      <c r="F2598" s="334">
        <v>3</v>
      </c>
      <c r="G2598" s="112" t="s">
        <v>607</v>
      </c>
      <c r="H2598" s="120" t="s">
        <v>1027</v>
      </c>
      <c r="I2598" s="120" t="s">
        <v>807</v>
      </c>
      <c r="J2598" s="120" t="s">
        <v>772</v>
      </c>
      <c r="K2598" s="110">
        <v>762500</v>
      </c>
      <c r="L2598" s="110"/>
      <c r="M2598" s="110">
        <v>158200</v>
      </c>
      <c r="N2598" s="110"/>
      <c r="O2598" s="110"/>
      <c r="P2598" s="110">
        <f t="shared" si="230"/>
        <v>920700</v>
      </c>
      <c r="Q2598" s="110">
        <f t="shared" si="231"/>
        <v>2762100</v>
      </c>
      <c r="R2598" s="110">
        <f t="shared" si="232"/>
        <v>2762100</v>
      </c>
      <c r="S2598" s="112">
        <v>0</v>
      </c>
    </row>
    <row r="2599" spans="1:19" ht="45">
      <c r="A2599" s="79"/>
      <c r="B2599" s="77" t="s">
        <v>608</v>
      </c>
      <c r="C2599" s="76" t="s">
        <v>4</v>
      </c>
      <c r="D2599" s="143">
        <v>6</v>
      </c>
      <c r="E2599" s="77"/>
      <c r="F2599" s="334">
        <v>6</v>
      </c>
      <c r="G2599" s="112" t="s">
        <v>608</v>
      </c>
      <c r="H2599" s="120" t="s">
        <v>1027</v>
      </c>
      <c r="I2599" s="120" t="s">
        <v>807</v>
      </c>
      <c r="J2599" s="120" t="s">
        <v>772</v>
      </c>
      <c r="K2599" s="110">
        <v>762500</v>
      </c>
      <c r="L2599" s="110"/>
      <c r="M2599" s="110">
        <v>158200</v>
      </c>
      <c r="N2599" s="110"/>
      <c r="O2599" s="110"/>
      <c r="P2599" s="110">
        <f t="shared" si="230"/>
        <v>920700</v>
      </c>
      <c r="Q2599" s="110">
        <f t="shared" si="231"/>
        <v>5524200</v>
      </c>
      <c r="R2599" s="110">
        <f t="shared" si="232"/>
        <v>5524200</v>
      </c>
      <c r="S2599" s="112">
        <v>0</v>
      </c>
    </row>
    <row r="2600" spans="1:19" ht="45">
      <c r="A2600" s="79"/>
      <c r="B2600" s="77" t="s">
        <v>609</v>
      </c>
      <c r="C2600" s="76" t="s">
        <v>4</v>
      </c>
      <c r="D2600" s="143">
        <v>11</v>
      </c>
      <c r="E2600" s="77"/>
      <c r="F2600" s="334">
        <v>11</v>
      </c>
      <c r="G2600" s="112" t="s">
        <v>609</v>
      </c>
      <c r="H2600" s="120" t="s">
        <v>1027</v>
      </c>
      <c r="I2600" s="120" t="s">
        <v>807</v>
      </c>
      <c r="J2600" s="120" t="s">
        <v>772</v>
      </c>
      <c r="K2600" s="110">
        <v>953300</v>
      </c>
      <c r="L2600" s="110"/>
      <c r="M2600" s="110">
        <v>167300</v>
      </c>
      <c r="N2600" s="110"/>
      <c r="O2600" s="110"/>
      <c r="P2600" s="110">
        <f t="shared" si="230"/>
        <v>1120600</v>
      </c>
      <c r="Q2600" s="110">
        <f t="shared" si="231"/>
        <v>12326600</v>
      </c>
      <c r="R2600" s="110">
        <f t="shared" si="232"/>
        <v>12326600</v>
      </c>
      <c r="S2600" s="112">
        <v>0</v>
      </c>
    </row>
    <row r="2601" spans="1:19" ht="45">
      <c r="A2601" s="79"/>
      <c r="B2601" s="77" t="s">
        <v>610</v>
      </c>
      <c r="C2601" s="76" t="s">
        <v>4</v>
      </c>
      <c r="D2601" s="143">
        <v>10</v>
      </c>
      <c r="E2601" s="77"/>
      <c r="F2601" s="334">
        <v>10</v>
      </c>
      <c r="G2601" s="112" t="s">
        <v>609</v>
      </c>
      <c r="H2601" s="120" t="s">
        <v>1027</v>
      </c>
      <c r="I2601" s="120" t="s">
        <v>807</v>
      </c>
      <c r="J2601" s="120" t="s">
        <v>772</v>
      </c>
      <c r="K2601" s="110">
        <v>953300</v>
      </c>
      <c r="L2601" s="110"/>
      <c r="M2601" s="110">
        <v>167300</v>
      </c>
      <c r="N2601" s="110"/>
      <c r="O2601" s="110"/>
      <c r="P2601" s="110">
        <f t="shared" si="230"/>
        <v>1120600</v>
      </c>
      <c r="Q2601" s="110">
        <f t="shared" si="231"/>
        <v>11206000</v>
      </c>
      <c r="R2601" s="110">
        <f t="shared" si="232"/>
        <v>11206000</v>
      </c>
      <c r="S2601" s="112">
        <v>0</v>
      </c>
    </row>
    <row r="2602" spans="1:19" ht="60">
      <c r="A2602" s="79"/>
      <c r="B2602" s="77" t="s">
        <v>611</v>
      </c>
      <c r="C2602" s="76" t="s">
        <v>4</v>
      </c>
      <c r="D2602" s="143">
        <v>4</v>
      </c>
      <c r="E2602" s="77"/>
      <c r="F2602" s="334">
        <v>4</v>
      </c>
      <c r="G2602" s="112" t="s">
        <v>611</v>
      </c>
      <c r="H2602" s="120" t="s">
        <v>1027</v>
      </c>
      <c r="I2602" s="120" t="s">
        <v>807</v>
      </c>
      <c r="J2602" s="120" t="s">
        <v>772</v>
      </c>
      <c r="K2602" s="110">
        <v>1143800</v>
      </c>
      <c r="L2602" s="110"/>
      <c r="M2602" s="110">
        <v>176400</v>
      </c>
      <c r="N2602" s="110"/>
      <c r="O2602" s="110"/>
      <c r="P2602" s="110">
        <f t="shared" si="230"/>
        <v>1320200</v>
      </c>
      <c r="Q2602" s="110">
        <f t="shared" si="231"/>
        <v>5280800</v>
      </c>
      <c r="R2602" s="110">
        <f t="shared" si="232"/>
        <v>5280800</v>
      </c>
      <c r="S2602" s="112">
        <v>0</v>
      </c>
    </row>
    <row r="2603" spans="1:19" ht="60">
      <c r="A2603" s="79"/>
      <c r="B2603" s="77" t="s">
        <v>612</v>
      </c>
      <c r="C2603" s="76" t="s">
        <v>4</v>
      </c>
      <c r="D2603" s="143">
        <v>4</v>
      </c>
      <c r="E2603" s="77"/>
      <c r="F2603" s="334">
        <v>4</v>
      </c>
      <c r="G2603" s="112" t="s">
        <v>612</v>
      </c>
      <c r="H2603" s="120" t="s">
        <v>1027</v>
      </c>
      <c r="I2603" s="120" t="s">
        <v>807</v>
      </c>
      <c r="J2603" s="120" t="s">
        <v>772</v>
      </c>
      <c r="K2603" s="110">
        <v>1143800</v>
      </c>
      <c r="L2603" s="110"/>
      <c r="M2603" s="110">
        <v>176400</v>
      </c>
      <c r="N2603" s="110"/>
      <c r="O2603" s="110"/>
      <c r="P2603" s="110">
        <f t="shared" si="230"/>
        <v>1320200</v>
      </c>
      <c r="Q2603" s="110">
        <f t="shared" si="231"/>
        <v>5280800</v>
      </c>
      <c r="R2603" s="110">
        <f t="shared" si="232"/>
        <v>5280800</v>
      </c>
      <c r="S2603" s="112">
        <v>0</v>
      </c>
    </row>
    <row r="2604" spans="1:19" ht="30">
      <c r="A2604" s="79"/>
      <c r="B2604" s="77" t="s">
        <v>613</v>
      </c>
      <c r="C2604" s="76" t="s">
        <v>4</v>
      </c>
      <c r="D2604" s="143">
        <v>2</v>
      </c>
      <c r="E2604" s="77"/>
      <c r="F2604" s="334">
        <v>2</v>
      </c>
      <c r="G2604" s="112" t="s">
        <v>613</v>
      </c>
      <c r="H2604" s="120" t="s">
        <v>1027</v>
      </c>
      <c r="I2604" s="120" t="s">
        <v>807</v>
      </c>
      <c r="J2604" s="120" t="s">
        <v>772</v>
      </c>
      <c r="K2604" s="110">
        <v>1525000</v>
      </c>
      <c r="L2604" s="110"/>
      <c r="M2604" s="110">
        <v>167300</v>
      </c>
      <c r="N2604" s="110"/>
      <c r="O2604" s="110"/>
      <c r="P2604" s="110">
        <f t="shared" si="230"/>
        <v>1692300</v>
      </c>
      <c r="Q2604" s="110">
        <f t="shared" si="231"/>
        <v>3384600</v>
      </c>
      <c r="R2604" s="110">
        <f t="shared" si="232"/>
        <v>3384600</v>
      </c>
      <c r="S2604" s="112">
        <v>0</v>
      </c>
    </row>
    <row r="2605" spans="1:19" ht="30">
      <c r="A2605" s="79"/>
      <c r="B2605" s="77" t="s">
        <v>614</v>
      </c>
      <c r="C2605" s="76" t="s">
        <v>4</v>
      </c>
      <c r="D2605" s="143">
        <v>4</v>
      </c>
      <c r="E2605" s="77"/>
      <c r="F2605" s="334">
        <v>4</v>
      </c>
      <c r="G2605" s="112" t="s">
        <v>614</v>
      </c>
      <c r="H2605" s="120" t="s">
        <v>1027</v>
      </c>
      <c r="I2605" s="120" t="s">
        <v>807</v>
      </c>
      <c r="J2605" s="120" t="s">
        <v>772</v>
      </c>
      <c r="K2605" s="110">
        <v>762500</v>
      </c>
      <c r="L2605" s="110"/>
      <c r="M2605" s="110">
        <v>158200</v>
      </c>
      <c r="N2605" s="110"/>
      <c r="O2605" s="110"/>
      <c r="P2605" s="110">
        <f t="shared" si="230"/>
        <v>920700</v>
      </c>
      <c r="Q2605" s="110">
        <f t="shared" si="231"/>
        <v>3682800</v>
      </c>
      <c r="R2605" s="110">
        <f t="shared" si="232"/>
        <v>3682800</v>
      </c>
      <c r="S2605" s="112">
        <v>0</v>
      </c>
    </row>
    <row r="2606" spans="1:19" ht="30">
      <c r="A2606" s="79"/>
      <c r="B2606" s="77" t="s">
        <v>615</v>
      </c>
      <c r="C2606" s="76" t="s">
        <v>4</v>
      </c>
      <c r="D2606" s="143">
        <v>8</v>
      </c>
      <c r="E2606" s="77"/>
      <c r="F2606" s="334">
        <v>8</v>
      </c>
      <c r="G2606" s="112" t="s">
        <v>615</v>
      </c>
      <c r="H2606" s="120" t="s">
        <v>1027</v>
      </c>
      <c r="I2606" s="120" t="s">
        <v>807</v>
      </c>
      <c r="J2606" s="120" t="s">
        <v>772</v>
      </c>
      <c r="K2606" s="110">
        <v>762500</v>
      </c>
      <c r="L2606" s="110"/>
      <c r="M2606" s="110">
        <v>158200</v>
      </c>
      <c r="N2606" s="110"/>
      <c r="O2606" s="110"/>
      <c r="P2606" s="110">
        <f t="shared" si="230"/>
        <v>920700</v>
      </c>
      <c r="Q2606" s="110">
        <f t="shared" si="231"/>
        <v>7365600</v>
      </c>
      <c r="R2606" s="110">
        <f t="shared" si="232"/>
        <v>7365600</v>
      </c>
      <c r="S2606" s="112">
        <v>0</v>
      </c>
    </row>
    <row r="2607" spans="1:19" ht="60">
      <c r="A2607" s="79">
        <v>7</v>
      </c>
      <c r="B2607" s="77" t="s">
        <v>616</v>
      </c>
      <c r="C2607" s="76" t="s">
        <v>7</v>
      </c>
      <c r="D2607" s="143">
        <v>612</v>
      </c>
      <c r="E2607" s="77"/>
      <c r="F2607" s="334">
        <v>612</v>
      </c>
      <c r="G2607" s="112" t="s">
        <v>616</v>
      </c>
      <c r="H2607" s="120" t="s">
        <v>1035</v>
      </c>
      <c r="I2607" s="120" t="s">
        <v>807</v>
      </c>
      <c r="J2607" s="120" t="s">
        <v>772</v>
      </c>
      <c r="K2607" s="110">
        <v>521900</v>
      </c>
      <c r="L2607" s="110"/>
      <c r="M2607" s="110">
        <v>139100</v>
      </c>
      <c r="N2607" s="110"/>
      <c r="O2607" s="110"/>
      <c r="P2607" s="110">
        <f t="shared" si="230"/>
        <v>661000</v>
      </c>
      <c r="Q2607" s="110">
        <f t="shared" si="231"/>
        <v>404532000</v>
      </c>
      <c r="R2607" s="110">
        <f t="shared" si="232"/>
        <v>404532000</v>
      </c>
      <c r="S2607" s="112" t="s">
        <v>1039</v>
      </c>
    </row>
    <row r="2608" spans="1:19" ht="45">
      <c r="A2608" s="79"/>
      <c r="B2608" s="77" t="s">
        <v>617</v>
      </c>
      <c r="C2608" s="76" t="s">
        <v>4</v>
      </c>
      <c r="D2608" s="143">
        <v>46</v>
      </c>
      <c r="E2608" s="77"/>
      <c r="F2608" s="334">
        <v>46</v>
      </c>
      <c r="G2608" s="112" t="s">
        <v>617</v>
      </c>
      <c r="H2608" s="120" t="s">
        <v>1027</v>
      </c>
      <c r="I2608" s="120" t="s">
        <v>807</v>
      </c>
      <c r="J2608" s="120" t="s">
        <v>772</v>
      </c>
      <c r="K2608" s="110">
        <v>509800</v>
      </c>
      <c r="L2608" s="110"/>
      <c r="M2608" s="110">
        <v>139100</v>
      </c>
      <c r="N2608" s="110"/>
      <c r="O2608" s="110"/>
      <c r="P2608" s="110">
        <f t="shared" si="230"/>
        <v>648900</v>
      </c>
      <c r="Q2608" s="110">
        <f t="shared" si="231"/>
        <v>29849400</v>
      </c>
      <c r="R2608" s="110">
        <f t="shared" si="232"/>
        <v>29849400</v>
      </c>
      <c r="S2608" s="112">
        <v>0</v>
      </c>
    </row>
    <row r="2609" spans="1:19" ht="45">
      <c r="A2609" s="79"/>
      <c r="B2609" s="77" t="s">
        <v>618</v>
      </c>
      <c r="C2609" s="76" t="s">
        <v>4</v>
      </c>
      <c r="D2609" s="143">
        <v>19</v>
      </c>
      <c r="E2609" s="77"/>
      <c r="F2609" s="334">
        <v>19</v>
      </c>
      <c r="G2609" s="112" t="s">
        <v>618</v>
      </c>
      <c r="H2609" s="120" t="s">
        <v>1027</v>
      </c>
      <c r="I2609" s="120" t="s">
        <v>807</v>
      </c>
      <c r="J2609" s="120" t="s">
        <v>772</v>
      </c>
      <c r="K2609" s="110">
        <v>509800</v>
      </c>
      <c r="L2609" s="110"/>
      <c r="M2609" s="110">
        <v>139100</v>
      </c>
      <c r="N2609" s="110"/>
      <c r="O2609" s="110"/>
      <c r="P2609" s="110">
        <f t="shared" si="230"/>
        <v>648900</v>
      </c>
      <c r="Q2609" s="110">
        <f t="shared" si="231"/>
        <v>12329100</v>
      </c>
      <c r="R2609" s="110">
        <f t="shared" si="232"/>
        <v>12329100</v>
      </c>
      <c r="S2609" s="112">
        <v>0</v>
      </c>
    </row>
    <row r="2610" spans="1:19" ht="30">
      <c r="A2610" s="79"/>
      <c r="B2610" s="77" t="s">
        <v>619</v>
      </c>
      <c r="C2610" s="76" t="s">
        <v>4</v>
      </c>
      <c r="D2610" s="143">
        <v>20</v>
      </c>
      <c r="E2610" s="77"/>
      <c r="F2610" s="334">
        <v>20</v>
      </c>
      <c r="G2610" s="112" t="s">
        <v>619</v>
      </c>
      <c r="H2610" s="120" t="s">
        <v>1027</v>
      </c>
      <c r="I2610" s="120" t="s">
        <v>807</v>
      </c>
      <c r="J2610" s="120" t="s">
        <v>772</v>
      </c>
      <c r="K2610" s="110">
        <v>637300</v>
      </c>
      <c r="L2610" s="110"/>
      <c r="M2610" s="110">
        <v>149200</v>
      </c>
      <c r="N2610" s="110"/>
      <c r="O2610" s="110"/>
      <c r="P2610" s="110">
        <f t="shared" si="230"/>
        <v>786500</v>
      </c>
      <c r="Q2610" s="110">
        <f t="shared" si="231"/>
        <v>15730000</v>
      </c>
      <c r="R2610" s="110">
        <f t="shared" si="232"/>
        <v>15730000</v>
      </c>
      <c r="S2610" s="112">
        <v>0</v>
      </c>
    </row>
    <row r="2611" spans="1:19" ht="45">
      <c r="A2611" s="79"/>
      <c r="B2611" s="77" t="s">
        <v>620</v>
      </c>
      <c r="C2611" s="76" t="s">
        <v>4</v>
      </c>
      <c r="D2611" s="143">
        <v>1</v>
      </c>
      <c r="E2611" s="77"/>
      <c r="F2611" s="334">
        <v>1</v>
      </c>
      <c r="G2611" s="112" t="s">
        <v>620</v>
      </c>
      <c r="H2611" s="120" t="s">
        <v>1027</v>
      </c>
      <c r="I2611" s="120" t="s">
        <v>807</v>
      </c>
      <c r="J2611" s="120" t="s">
        <v>772</v>
      </c>
      <c r="K2611" s="110">
        <v>764700</v>
      </c>
      <c r="L2611" s="110"/>
      <c r="M2611" s="110">
        <v>158200</v>
      </c>
      <c r="N2611" s="110"/>
      <c r="O2611" s="110"/>
      <c r="P2611" s="110">
        <f t="shared" si="230"/>
        <v>922900</v>
      </c>
      <c r="Q2611" s="110">
        <f t="shared" si="231"/>
        <v>922900</v>
      </c>
      <c r="R2611" s="110">
        <f t="shared" si="232"/>
        <v>922900</v>
      </c>
      <c r="S2611" s="112">
        <v>0</v>
      </c>
    </row>
    <row r="2612" spans="1:19">
      <c r="A2612" s="79"/>
      <c r="B2612" s="77" t="s">
        <v>621</v>
      </c>
      <c r="C2612" s="76" t="s">
        <v>4</v>
      </c>
      <c r="D2612" s="143">
        <v>11</v>
      </c>
      <c r="E2612" s="77"/>
      <c r="F2612" s="334">
        <v>11</v>
      </c>
      <c r="G2612" s="112" t="s">
        <v>621</v>
      </c>
      <c r="H2612" s="120" t="s">
        <v>1027</v>
      </c>
      <c r="I2612" s="120" t="s">
        <v>807</v>
      </c>
      <c r="J2612" s="120" t="s">
        <v>772</v>
      </c>
      <c r="K2612" s="110">
        <v>509800</v>
      </c>
      <c r="L2612" s="110"/>
      <c r="M2612" s="110">
        <v>139100</v>
      </c>
      <c r="N2612" s="110"/>
      <c r="O2612" s="110"/>
      <c r="P2612" s="110">
        <f t="shared" si="230"/>
        <v>648900</v>
      </c>
      <c r="Q2612" s="110">
        <f t="shared" si="231"/>
        <v>7137900</v>
      </c>
      <c r="R2612" s="110">
        <f t="shared" si="232"/>
        <v>7137900</v>
      </c>
      <c r="S2612" s="112">
        <v>0</v>
      </c>
    </row>
    <row r="2613" spans="1:19" ht="30">
      <c r="A2613" s="79"/>
      <c r="B2613" s="77" t="s">
        <v>622</v>
      </c>
      <c r="C2613" s="76" t="s">
        <v>4</v>
      </c>
      <c r="D2613" s="143">
        <v>3</v>
      </c>
      <c r="E2613" s="77"/>
      <c r="F2613" s="334">
        <v>3</v>
      </c>
      <c r="G2613" s="112" t="s">
        <v>622</v>
      </c>
      <c r="H2613" s="120" t="s">
        <v>1027</v>
      </c>
      <c r="I2613" s="120" t="s">
        <v>807</v>
      </c>
      <c r="J2613" s="120" t="s">
        <v>772</v>
      </c>
      <c r="K2613" s="110">
        <v>1019500</v>
      </c>
      <c r="L2613" s="110"/>
      <c r="M2613" s="110">
        <v>149200</v>
      </c>
      <c r="N2613" s="110"/>
      <c r="O2613" s="110"/>
      <c r="P2613" s="110">
        <f t="shared" si="230"/>
        <v>1168700</v>
      </c>
      <c r="Q2613" s="110">
        <f t="shared" si="231"/>
        <v>3506100</v>
      </c>
      <c r="R2613" s="110">
        <f t="shared" si="232"/>
        <v>3506100</v>
      </c>
      <c r="S2613" s="112">
        <v>0</v>
      </c>
    </row>
    <row r="2614" spans="1:19" ht="45">
      <c r="A2614" s="79"/>
      <c r="B2614" s="77" t="s">
        <v>623</v>
      </c>
      <c r="C2614" s="76" t="s">
        <v>4</v>
      </c>
      <c r="D2614" s="143">
        <v>5</v>
      </c>
      <c r="E2614" s="77"/>
      <c r="F2614" s="334">
        <v>5</v>
      </c>
      <c r="G2614" s="112" t="s">
        <v>623</v>
      </c>
      <c r="H2614" s="120" t="s">
        <v>1027</v>
      </c>
      <c r="I2614" s="120" t="s">
        <v>807</v>
      </c>
      <c r="J2614" s="120" t="s">
        <v>772</v>
      </c>
      <c r="K2614" s="110">
        <v>637300</v>
      </c>
      <c r="L2614" s="110"/>
      <c r="M2614" s="110">
        <v>149200</v>
      </c>
      <c r="N2614" s="110"/>
      <c r="O2614" s="110"/>
      <c r="P2614" s="110">
        <f t="shared" si="230"/>
        <v>786500</v>
      </c>
      <c r="Q2614" s="110">
        <f t="shared" si="231"/>
        <v>3932500</v>
      </c>
      <c r="R2614" s="110">
        <f t="shared" si="232"/>
        <v>3932500</v>
      </c>
      <c r="S2614" s="112">
        <v>0</v>
      </c>
    </row>
    <row r="2615" spans="1:19" ht="60">
      <c r="A2615" s="79">
        <v>8</v>
      </c>
      <c r="B2615" s="77" t="s">
        <v>624</v>
      </c>
      <c r="C2615" s="76" t="s">
        <v>7</v>
      </c>
      <c r="D2615" s="143">
        <v>731</v>
      </c>
      <c r="E2615" s="77"/>
      <c r="F2615" s="334">
        <v>731</v>
      </c>
      <c r="G2615" s="112" t="s">
        <v>1023</v>
      </c>
      <c r="H2615" s="120" t="s">
        <v>1033</v>
      </c>
      <c r="I2615" s="120" t="s">
        <v>807</v>
      </c>
      <c r="J2615" s="120" t="s">
        <v>772</v>
      </c>
      <c r="K2615" s="110">
        <v>344200</v>
      </c>
      <c r="L2615" s="110"/>
      <c r="M2615" s="110">
        <v>120900</v>
      </c>
      <c r="N2615" s="110"/>
      <c r="O2615" s="110"/>
      <c r="P2615" s="110">
        <f t="shared" si="230"/>
        <v>465100</v>
      </c>
      <c r="Q2615" s="110">
        <f t="shared" si="231"/>
        <v>339988100</v>
      </c>
      <c r="R2615" s="110">
        <f t="shared" si="232"/>
        <v>339988100</v>
      </c>
      <c r="S2615" s="112" t="s">
        <v>1039</v>
      </c>
    </row>
    <row r="2616" spans="1:19" ht="45">
      <c r="A2616" s="79"/>
      <c r="B2616" s="77" t="s">
        <v>625</v>
      </c>
      <c r="C2616" s="76" t="s">
        <v>4</v>
      </c>
      <c r="D2616" s="143">
        <v>26</v>
      </c>
      <c r="E2616" s="77"/>
      <c r="F2616" s="334">
        <v>26</v>
      </c>
      <c r="G2616" s="112" t="s">
        <v>625</v>
      </c>
      <c r="H2616" s="120" t="s">
        <v>1027</v>
      </c>
      <c r="I2616" s="120" t="s">
        <v>807</v>
      </c>
      <c r="J2616" s="120" t="s">
        <v>772</v>
      </c>
      <c r="K2616" s="110">
        <v>336300</v>
      </c>
      <c r="L2616" s="110"/>
      <c r="M2616" s="110">
        <v>120900</v>
      </c>
      <c r="N2616" s="110"/>
      <c r="O2616" s="110"/>
      <c r="P2616" s="110">
        <f t="shared" si="230"/>
        <v>457200</v>
      </c>
      <c r="Q2616" s="110">
        <f t="shared" si="231"/>
        <v>11887200</v>
      </c>
      <c r="R2616" s="110">
        <f t="shared" si="232"/>
        <v>11887200</v>
      </c>
      <c r="S2616" s="112">
        <v>0</v>
      </c>
    </row>
    <row r="2617" spans="1:19" ht="45">
      <c r="A2617" s="79"/>
      <c r="B2617" s="77" t="s">
        <v>626</v>
      </c>
      <c r="C2617" s="76" t="s">
        <v>4</v>
      </c>
      <c r="D2617" s="143">
        <v>49</v>
      </c>
      <c r="E2617" s="77"/>
      <c r="F2617" s="334">
        <v>49</v>
      </c>
      <c r="G2617" s="112" t="s">
        <v>626</v>
      </c>
      <c r="H2617" s="120" t="s">
        <v>1027</v>
      </c>
      <c r="I2617" s="120" t="s">
        <v>807</v>
      </c>
      <c r="J2617" s="120" t="s">
        <v>772</v>
      </c>
      <c r="K2617" s="110">
        <v>336300</v>
      </c>
      <c r="L2617" s="110"/>
      <c r="M2617" s="110">
        <v>120900</v>
      </c>
      <c r="N2617" s="110"/>
      <c r="O2617" s="110"/>
      <c r="P2617" s="110">
        <f t="shared" si="230"/>
        <v>457200</v>
      </c>
      <c r="Q2617" s="110">
        <f t="shared" si="231"/>
        <v>22402800</v>
      </c>
      <c r="R2617" s="110">
        <f t="shared" si="232"/>
        <v>22402800</v>
      </c>
      <c r="S2617" s="112">
        <v>0</v>
      </c>
    </row>
    <row r="2618" spans="1:19" ht="30">
      <c r="A2618" s="79"/>
      <c r="B2618" s="77" t="s">
        <v>627</v>
      </c>
      <c r="C2618" s="76" t="s">
        <v>4</v>
      </c>
      <c r="D2618" s="143">
        <v>3</v>
      </c>
      <c r="E2618" s="77"/>
      <c r="F2618" s="334">
        <v>3</v>
      </c>
      <c r="G2618" s="112" t="s">
        <v>627</v>
      </c>
      <c r="H2618" s="120" t="s">
        <v>1027</v>
      </c>
      <c r="I2618" s="120" t="s">
        <v>807</v>
      </c>
      <c r="J2618" s="120" t="s">
        <v>772</v>
      </c>
      <c r="K2618" s="110">
        <v>420200</v>
      </c>
      <c r="L2618" s="110"/>
      <c r="M2618" s="110">
        <v>130000</v>
      </c>
      <c r="N2618" s="110"/>
      <c r="O2618" s="110"/>
      <c r="P2618" s="110">
        <f t="shared" si="230"/>
        <v>550200</v>
      </c>
      <c r="Q2618" s="110">
        <f t="shared" si="231"/>
        <v>1650600</v>
      </c>
      <c r="R2618" s="110">
        <f t="shared" si="232"/>
        <v>1650600</v>
      </c>
      <c r="S2618" s="112">
        <v>0</v>
      </c>
    </row>
    <row r="2619" spans="1:19" ht="30">
      <c r="A2619" s="79"/>
      <c r="B2619" s="77" t="s">
        <v>628</v>
      </c>
      <c r="C2619" s="76" t="s">
        <v>4</v>
      </c>
      <c r="D2619" s="143">
        <v>5</v>
      </c>
      <c r="E2619" s="77"/>
      <c r="F2619" s="334">
        <v>5</v>
      </c>
      <c r="G2619" s="112" t="s">
        <v>628</v>
      </c>
      <c r="H2619" s="120" t="s">
        <v>1027</v>
      </c>
      <c r="I2619" s="120" t="s">
        <v>807</v>
      </c>
      <c r="J2619" s="120" t="s">
        <v>772</v>
      </c>
      <c r="K2619" s="110">
        <v>672400</v>
      </c>
      <c r="L2619" s="110"/>
      <c r="M2619" s="110">
        <v>130000</v>
      </c>
      <c r="N2619" s="110"/>
      <c r="O2619" s="110"/>
      <c r="P2619" s="110">
        <f t="shared" si="230"/>
        <v>802400</v>
      </c>
      <c r="Q2619" s="110">
        <f t="shared" si="231"/>
        <v>4012000</v>
      </c>
      <c r="R2619" s="110">
        <f t="shared" si="232"/>
        <v>4012000</v>
      </c>
      <c r="S2619" s="112">
        <v>0</v>
      </c>
    </row>
    <row r="2620" spans="1:19" ht="60">
      <c r="A2620" s="79">
        <v>9</v>
      </c>
      <c r="B2620" s="77" t="s">
        <v>629</v>
      </c>
      <c r="C2620" s="76" t="s">
        <v>7</v>
      </c>
      <c r="D2620" s="143">
        <v>187</v>
      </c>
      <c r="E2620" s="77"/>
      <c r="F2620" s="334">
        <v>187</v>
      </c>
      <c r="G2620" s="112" t="s">
        <v>629</v>
      </c>
      <c r="H2620" s="120" t="s">
        <v>1035</v>
      </c>
      <c r="I2620" s="120" t="s">
        <v>807</v>
      </c>
      <c r="J2620" s="120" t="s">
        <v>772</v>
      </c>
      <c r="K2620" s="110">
        <v>459400</v>
      </c>
      <c r="L2620" s="110"/>
      <c r="M2620" s="110">
        <v>139100</v>
      </c>
      <c r="N2620" s="110"/>
      <c r="O2620" s="110"/>
      <c r="P2620" s="110">
        <f t="shared" si="230"/>
        <v>598500</v>
      </c>
      <c r="Q2620" s="110">
        <f t="shared" si="231"/>
        <v>111919500</v>
      </c>
      <c r="R2620" s="110">
        <f t="shared" si="232"/>
        <v>111919500</v>
      </c>
      <c r="S2620" s="112" t="s">
        <v>1039</v>
      </c>
    </row>
    <row r="2621" spans="1:19" ht="45">
      <c r="A2621" s="79"/>
      <c r="B2621" s="77" t="s">
        <v>630</v>
      </c>
      <c r="C2621" s="76" t="s">
        <v>4</v>
      </c>
      <c r="D2621" s="143">
        <v>3</v>
      </c>
      <c r="E2621" s="77"/>
      <c r="F2621" s="334">
        <v>3</v>
      </c>
      <c r="G2621" s="112" t="s">
        <v>630</v>
      </c>
      <c r="H2621" s="120" t="s">
        <v>1027</v>
      </c>
      <c r="I2621" s="120" t="s">
        <v>807</v>
      </c>
      <c r="J2621" s="120" t="s">
        <v>772</v>
      </c>
      <c r="K2621" s="110">
        <v>448800</v>
      </c>
      <c r="L2621" s="110"/>
      <c r="M2621" s="110">
        <v>139100</v>
      </c>
      <c r="N2621" s="110"/>
      <c r="O2621" s="110"/>
      <c r="P2621" s="110">
        <f t="shared" si="230"/>
        <v>587900</v>
      </c>
      <c r="Q2621" s="110">
        <f t="shared" si="231"/>
        <v>1763700</v>
      </c>
      <c r="R2621" s="110">
        <f t="shared" si="232"/>
        <v>1763700</v>
      </c>
      <c r="S2621" s="112">
        <v>0</v>
      </c>
    </row>
    <row r="2622" spans="1:19" ht="45">
      <c r="A2622" s="79"/>
      <c r="B2622" s="77" t="s">
        <v>631</v>
      </c>
      <c r="C2622" s="76" t="s">
        <v>4</v>
      </c>
      <c r="D2622" s="143">
        <v>76</v>
      </c>
      <c r="E2622" s="77"/>
      <c r="F2622" s="334">
        <v>76</v>
      </c>
      <c r="G2622" s="112" t="s">
        <v>631</v>
      </c>
      <c r="H2622" s="120" t="s">
        <v>1027</v>
      </c>
      <c r="I2622" s="120" t="s">
        <v>807</v>
      </c>
      <c r="J2622" s="120" t="s">
        <v>772</v>
      </c>
      <c r="K2622" s="110">
        <v>448800</v>
      </c>
      <c r="L2622" s="110"/>
      <c r="M2622" s="110">
        <v>139100</v>
      </c>
      <c r="N2622" s="110"/>
      <c r="O2622" s="110"/>
      <c r="P2622" s="110">
        <f t="shared" si="230"/>
        <v>587900</v>
      </c>
      <c r="Q2622" s="110">
        <f t="shared" si="231"/>
        <v>44680400</v>
      </c>
      <c r="R2622" s="110">
        <f t="shared" si="232"/>
        <v>44680400</v>
      </c>
      <c r="S2622" s="112">
        <v>0</v>
      </c>
    </row>
    <row r="2623" spans="1:19" ht="30">
      <c r="A2623" s="79"/>
      <c r="B2623" s="77" t="s">
        <v>632</v>
      </c>
      <c r="C2623" s="76" t="s">
        <v>4</v>
      </c>
      <c r="D2623" s="143">
        <v>77</v>
      </c>
      <c r="E2623" s="77"/>
      <c r="F2623" s="334">
        <v>77</v>
      </c>
      <c r="G2623" s="112" t="s">
        <v>632</v>
      </c>
      <c r="H2623" s="120" t="s">
        <v>1027</v>
      </c>
      <c r="I2623" s="120" t="s">
        <v>807</v>
      </c>
      <c r="J2623" s="120" t="s">
        <v>772</v>
      </c>
      <c r="K2623" s="110">
        <v>561200</v>
      </c>
      <c r="L2623" s="110"/>
      <c r="M2623" s="110">
        <v>149200</v>
      </c>
      <c r="N2623" s="110"/>
      <c r="O2623" s="110"/>
      <c r="P2623" s="110">
        <f t="shared" si="230"/>
        <v>710400</v>
      </c>
      <c r="Q2623" s="110">
        <f t="shared" si="231"/>
        <v>54700800</v>
      </c>
      <c r="R2623" s="110">
        <f t="shared" si="232"/>
        <v>54700800</v>
      </c>
      <c r="S2623" s="112">
        <v>0</v>
      </c>
    </row>
    <row r="2624" spans="1:19" ht="45">
      <c r="A2624" s="79"/>
      <c r="B2624" s="77" t="s">
        <v>633</v>
      </c>
      <c r="C2624" s="76" t="s">
        <v>4</v>
      </c>
      <c r="D2624" s="143">
        <v>38</v>
      </c>
      <c r="E2624" s="77"/>
      <c r="F2624" s="334">
        <v>38</v>
      </c>
      <c r="G2624" s="112" t="s">
        <v>633</v>
      </c>
      <c r="H2624" s="120" t="s">
        <v>1027</v>
      </c>
      <c r="I2624" s="120" t="s">
        <v>807</v>
      </c>
      <c r="J2624" s="120" t="s">
        <v>772</v>
      </c>
      <c r="K2624" s="110">
        <v>561200</v>
      </c>
      <c r="L2624" s="110"/>
      <c r="M2624" s="110">
        <v>149200</v>
      </c>
      <c r="N2624" s="110"/>
      <c r="O2624" s="110"/>
      <c r="P2624" s="110">
        <f t="shared" si="230"/>
        <v>710400</v>
      </c>
      <c r="Q2624" s="110">
        <f t="shared" si="231"/>
        <v>26995200</v>
      </c>
      <c r="R2624" s="110">
        <f t="shared" si="232"/>
        <v>26995200</v>
      </c>
      <c r="S2624" s="112">
        <v>0</v>
      </c>
    </row>
    <row r="2625" spans="1:19">
      <c r="A2625" s="79"/>
      <c r="B2625" s="77" t="s">
        <v>621</v>
      </c>
      <c r="C2625" s="76" t="s">
        <v>4</v>
      </c>
      <c r="D2625" s="143">
        <v>3</v>
      </c>
      <c r="E2625" s="77"/>
      <c r="F2625" s="334">
        <v>3</v>
      </c>
      <c r="G2625" s="112" t="s">
        <v>621</v>
      </c>
      <c r="H2625" s="120" t="s">
        <v>1027</v>
      </c>
      <c r="I2625" s="120" t="s">
        <v>807</v>
      </c>
      <c r="J2625" s="120" t="s">
        <v>772</v>
      </c>
      <c r="K2625" s="110">
        <v>509800</v>
      </c>
      <c r="L2625" s="110"/>
      <c r="M2625" s="110">
        <v>139100</v>
      </c>
      <c r="N2625" s="110"/>
      <c r="O2625" s="110"/>
      <c r="P2625" s="110">
        <f t="shared" si="230"/>
        <v>648900</v>
      </c>
      <c r="Q2625" s="110">
        <f t="shared" si="231"/>
        <v>1946700</v>
      </c>
      <c r="R2625" s="110">
        <f t="shared" si="232"/>
        <v>1946700</v>
      </c>
      <c r="S2625" s="112">
        <v>0</v>
      </c>
    </row>
    <row r="2626" spans="1:19" ht="60">
      <c r="A2626" s="79">
        <v>10</v>
      </c>
      <c r="B2626" s="77" t="s">
        <v>634</v>
      </c>
      <c r="C2626" s="76" t="s">
        <v>7</v>
      </c>
      <c r="D2626" s="143">
        <v>2024</v>
      </c>
      <c r="E2626" s="77"/>
      <c r="F2626" s="334">
        <v>2024</v>
      </c>
      <c r="G2626" s="112" t="s">
        <v>1025</v>
      </c>
      <c r="H2626" s="120" t="s">
        <v>1024</v>
      </c>
      <c r="I2626" s="120" t="s">
        <v>807</v>
      </c>
      <c r="J2626" s="120" t="s">
        <v>772</v>
      </c>
      <c r="K2626" s="110">
        <v>290500</v>
      </c>
      <c r="L2626" s="110"/>
      <c r="M2626" s="110">
        <v>120900</v>
      </c>
      <c r="N2626" s="110"/>
      <c r="O2626" s="110"/>
      <c r="P2626" s="110">
        <f t="shared" si="230"/>
        <v>411400</v>
      </c>
      <c r="Q2626" s="110">
        <f t="shared" si="231"/>
        <v>832673600</v>
      </c>
      <c r="R2626" s="110">
        <f t="shared" si="232"/>
        <v>832673600</v>
      </c>
      <c r="S2626" s="112" t="s">
        <v>1039</v>
      </c>
    </row>
    <row r="2627" spans="1:19" ht="45">
      <c r="A2627" s="79"/>
      <c r="B2627" s="77" t="s">
        <v>635</v>
      </c>
      <c r="C2627" s="76" t="s">
        <v>4</v>
      </c>
      <c r="D2627" s="143">
        <v>39</v>
      </c>
      <c r="E2627" s="77"/>
      <c r="F2627" s="334">
        <v>39</v>
      </c>
      <c r="G2627" s="112" t="s">
        <v>635</v>
      </c>
      <c r="H2627" s="120" t="s">
        <v>1027</v>
      </c>
      <c r="I2627" s="120" t="s">
        <v>807</v>
      </c>
      <c r="J2627" s="120" t="s">
        <v>772</v>
      </c>
      <c r="K2627" s="110">
        <v>283800</v>
      </c>
      <c r="L2627" s="110"/>
      <c r="M2627" s="110">
        <v>120900</v>
      </c>
      <c r="N2627" s="110"/>
      <c r="O2627" s="110"/>
      <c r="P2627" s="110">
        <f t="shared" si="230"/>
        <v>404700</v>
      </c>
      <c r="Q2627" s="110">
        <f t="shared" si="231"/>
        <v>15783300</v>
      </c>
      <c r="R2627" s="110">
        <f t="shared" si="232"/>
        <v>15783300</v>
      </c>
      <c r="S2627" s="112">
        <v>0</v>
      </c>
    </row>
    <row r="2628" spans="1:19" ht="45">
      <c r="A2628" s="79"/>
      <c r="B2628" s="77" t="s">
        <v>636</v>
      </c>
      <c r="C2628" s="76" t="s">
        <v>4</v>
      </c>
      <c r="D2628" s="143">
        <v>0</v>
      </c>
      <c r="E2628" s="77"/>
      <c r="F2628" s="334">
        <v>0</v>
      </c>
      <c r="G2628" s="112" t="s">
        <v>636</v>
      </c>
      <c r="H2628" s="120" t="s">
        <v>1027</v>
      </c>
      <c r="I2628" s="120" t="s">
        <v>807</v>
      </c>
      <c r="J2628" s="120" t="s">
        <v>772</v>
      </c>
      <c r="K2628" s="110">
        <v>283800</v>
      </c>
      <c r="L2628" s="110"/>
      <c r="M2628" s="110">
        <v>120900</v>
      </c>
      <c r="N2628" s="110"/>
      <c r="O2628" s="110"/>
      <c r="P2628" s="110">
        <f t="shared" si="230"/>
        <v>404700</v>
      </c>
      <c r="Q2628" s="110">
        <f t="shared" si="231"/>
        <v>0</v>
      </c>
      <c r="R2628" s="110">
        <f t="shared" si="232"/>
        <v>0</v>
      </c>
      <c r="S2628" s="112">
        <v>0</v>
      </c>
    </row>
    <row r="2629" spans="1:19" ht="60">
      <c r="A2629" s="79"/>
      <c r="B2629" s="77" t="s">
        <v>637</v>
      </c>
      <c r="C2629" s="76" t="s">
        <v>7</v>
      </c>
      <c r="D2629" s="143">
        <v>0</v>
      </c>
      <c r="E2629" s="77"/>
      <c r="F2629" s="334">
        <v>0</v>
      </c>
      <c r="G2629" s="112" t="s">
        <v>637</v>
      </c>
      <c r="H2629" s="120" t="s">
        <v>1027</v>
      </c>
      <c r="I2629" s="120" t="s">
        <v>807</v>
      </c>
      <c r="J2629" s="120" t="s">
        <v>772</v>
      </c>
      <c r="K2629" s="110">
        <v>363300</v>
      </c>
      <c r="L2629" s="110"/>
      <c r="M2629" s="110">
        <v>130000</v>
      </c>
      <c r="N2629" s="110"/>
      <c r="O2629" s="110"/>
      <c r="P2629" s="110">
        <f t="shared" si="230"/>
        <v>493300</v>
      </c>
      <c r="Q2629" s="110">
        <f t="shared" si="231"/>
        <v>0</v>
      </c>
      <c r="R2629" s="110">
        <f t="shared" si="232"/>
        <v>0</v>
      </c>
      <c r="S2629" s="112" t="s">
        <v>1039</v>
      </c>
    </row>
    <row r="2630" spans="1:19">
      <c r="A2630" s="79"/>
      <c r="B2630" s="77" t="s">
        <v>638</v>
      </c>
      <c r="C2630" s="76" t="s">
        <v>4</v>
      </c>
      <c r="D2630" s="143">
        <v>196</v>
      </c>
      <c r="E2630" s="77"/>
      <c r="F2630" s="334">
        <v>196</v>
      </c>
      <c r="G2630" s="112">
        <v>0</v>
      </c>
      <c r="H2630" s="120">
        <v>0</v>
      </c>
      <c r="I2630" s="120">
        <v>0</v>
      </c>
      <c r="J2630" s="120" t="s">
        <v>772</v>
      </c>
      <c r="K2630" s="110">
        <v>0</v>
      </c>
      <c r="L2630" s="110"/>
      <c r="M2630" s="110">
        <v>0</v>
      </c>
      <c r="N2630" s="110"/>
      <c r="O2630" s="110"/>
      <c r="P2630" s="110">
        <f t="shared" si="230"/>
        <v>0</v>
      </c>
      <c r="Q2630" s="110">
        <f t="shared" si="231"/>
        <v>0</v>
      </c>
      <c r="R2630" s="110">
        <f t="shared" si="232"/>
        <v>0</v>
      </c>
      <c r="S2630" s="112" t="s">
        <v>806</v>
      </c>
    </row>
    <row r="2631" spans="1:19">
      <c r="A2631" s="79">
        <v>11</v>
      </c>
      <c r="B2631" s="77" t="s">
        <v>639</v>
      </c>
      <c r="C2631" s="76" t="s">
        <v>7</v>
      </c>
      <c r="D2631" s="143">
        <v>1549</v>
      </c>
      <c r="E2631" s="77"/>
      <c r="F2631" s="334">
        <v>1549</v>
      </c>
      <c r="G2631" s="112">
        <v>0</v>
      </c>
      <c r="H2631" s="120">
        <v>0</v>
      </c>
      <c r="I2631" s="120">
        <v>0</v>
      </c>
      <c r="J2631" s="120" t="s">
        <v>772</v>
      </c>
      <c r="K2631" s="110">
        <v>0</v>
      </c>
      <c r="L2631" s="110"/>
      <c r="M2631" s="110">
        <v>0</v>
      </c>
      <c r="N2631" s="110"/>
      <c r="O2631" s="110"/>
      <c r="P2631" s="110">
        <f t="shared" si="230"/>
        <v>0</v>
      </c>
      <c r="Q2631" s="110">
        <f t="shared" si="231"/>
        <v>0</v>
      </c>
      <c r="R2631" s="110">
        <f t="shared" si="232"/>
        <v>0</v>
      </c>
      <c r="S2631" s="112" t="s">
        <v>806</v>
      </c>
    </row>
    <row r="2632" spans="1:19">
      <c r="A2632" s="79">
        <v>12</v>
      </c>
      <c r="B2632" s="77" t="s">
        <v>640</v>
      </c>
      <c r="C2632" s="76" t="s">
        <v>7</v>
      </c>
      <c r="D2632" s="143">
        <v>3474</v>
      </c>
      <c r="E2632" s="77"/>
      <c r="F2632" s="334">
        <v>3474</v>
      </c>
      <c r="G2632" s="112">
        <v>0</v>
      </c>
      <c r="H2632" s="120">
        <v>0</v>
      </c>
      <c r="I2632" s="120">
        <v>0</v>
      </c>
      <c r="J2632" s="120" t="s">
        <v>772</v>
      </c>
      <c r="K2632" s="110">
        <v>0</v>
      </c>
      <c r="L2632" s="110"/>
      <c r="M2632" s="110">
        <v>0</v>
      </c>
      <c r="N2632" s="110"/>
      <c r="O2632" s="110"/>
      <c r="P2632" s="110">
        <f t="shared" si="230"/>
        <v>0</v>
      </c>
      <c r="Q2632" s="110">
        <f t="shared" si="231"/>
        <v>0</v>
      </c>
      <c r="R2632" s="110">
        <f t="shared" si="232"/>
        <v>0</v>
      </c>
      <c r="S2632" s="112" t="s">
        <v>806</v>
      </c>
    </row>
    <row r="2633" spans="1:19">
      <c r="A2633" s="79">
        <v>13</v>
      </c>
      <c r="B2633" s="77" t="s">
        <v>569</v>
      </c>
      <c r="C2633" s="76" t="s">
        <v>20</v>
      </c>
      <c r="D2633" s="143">
        <v>48</v>
      </c>
      <c r="E2633" s="77"/>
      <c r="F2633" s="334">
        <v>48</v>
      </c>
      <c r="G2633" s="112">
        <v>0</v>
      </c>
      <c r="H2633" s="120">
        <v>0</v>
      </c>
      <c r="I2633" s="120">
        <v>0</v>
      </c>
      <c r="J2633" s="120" t="s">
        <v>772</v>
      </c>
      <c r="K2633" s="110">
        <v>0</v>
      </c>
      <c r="L2633" s="110"/>
      <c r="M2633" s="110">
        <v>0</v>
      </c>
      <c r="N2633" s="110"/>
      <c r="O2633" s="110"/>
      <c r="P2633" s="110">
        <f t="shared" si="230"/>
        <v>0</v>
      </c>
      <c r="Q2633" s="110">
        <f t="shared" si="231"/>
        <v>0</v>
      </c>
      <c r="R2633" s="110">
        <f t="shared" si="232"/>
        <v>0</v>
      </c>
      <c r="S2633" s="112" t="s">
        <v>806</v>
      </c>
    </row>
    <row r="2634" spans="1:19">
      <c r="A2634" s="85"/>
      <c r="B2634" s="86" t="s">
        <v>641</v>
      </c>
      <c r="C2634" s="85"/>
      <c r="D2634" s="151">
        <v>0</v>
      </c>
      <c r="E2634" s="337"/>
      <c r="F2634" s="347"/>
      <c r="G2634" s="448"/>
      <c r="H2634" s="447"/>
      <c r="I2634" s="447"/>
      <c r="J2634" s="447"/>
      <c r="K2634" s="548"/>
      <c r="L2634" s="548"/>
      <c r="M2634" s="548"/>
      <c r="N2634" s="548"/>
      <c r="O2634" s="548"/>
      <c r="P2634" s="548"/>
      <c r="Q2634" s="548"/>
      <c r="R2634" s="548"/>
      <c r="S2634" s="337"/>
    </row>
    <row r="2635" spans="1:19" ht="105">
      <c r="A2635" s="79">
        <v>1</v>
      </c>
      <c r="B2635" s="77" t="s">
        <v>642</v>
      </c>
      <c r="C2635" s="76"/>
      <c r="D2635" s="143">
        <v>0</v>
      </c>
      <c r="E2635" s="77"/>
      <c r="F2635" s="76"/>
      <c r="G2635" s="112" t="s">
        <v>925</v>
      </c>
      <c r="H2635" s="120">
        <v>0</v>
      </c>
      <c r="I2635" s="120">
        <v>0</v>
      </c>
      <c r="J2635" s="120">
        <v>0</v>
      </c>
      <c r="K2635" s="110">
        <v>0</v>
      </c>
      <c r="L2635" s="110"/>
      <c r="M2635" s="110">
        <v>0</v>
      </c>
      <c r="N2635" s="110"/>
      <c r="O2635" s="110"/>
      <c r="P2635" s="110">
        <f t="shared" ref="P2635:P2665" si="233">+K2635+L2635+M2635+N2635+O2635</f>
        <v>0</v>
      </c>
      <c r="Q2635" s="110">
        <f t="shared" ref="Q2635:Q2665" si="234">+P2635*D2635</f>
        <v>0</v>
      </c>
      <c r="R2635" s="110">
        <f t="shared" ref="R2635:R2665" si="235">P2635*F2635</f>
        <v>0</v>
      </c>
      <c r="S2635" s="112">
        <v>0</v>
      </c>
    </row>
    <row r="2636" spans="1:19" ht="45">
      <c r="A2636" s="79"/>
      <c r="B2636" s="77" t="s">
        <v>1182</v>
      </c>
      <c r="C2636" s="76" t="s">
        <v>7</v>
      </c>
      <c r="D2636" s="143">
        <v>8.3000000000000007</v>
      </c>
      <c r="E2636" s="77"/>
      <c r="F2636" s="334">
        <v>8.3000000000000007</v>
      </c>
      <c r="G2636" s="112" t="s">
        <v>919</v>
      </c>
      <c r="H2636" s="120" t="s">
        <v>920</v>
      </c>
      <c r="I2636" s="120" t="s">
        <v>824</v>
      </c>
      <c r="J2636" s="120" t="s">
        <v>769</v>
      </c>
      <c r="K2636" s="110">
        <v>17277300</v>
      </c>
      <c r="L2636" s="110"/>
      <c r="M2636" s="110">
        <v>1488100</v>
      </c>
      <c r="N2636" s="110"/>
      <c r="O2636" s="110"/>
      <c r="P2636" s="110">
        <f t="shared" si="233"/>
        <v>18765400</v>
      </c>
      <c r="Q2636" s="110">
        <f t="shared" si="234"/>
        <v>155752820</v>
      </c>
      <c r="R2636" s="110">
        <f t="shared" si="235"/>
        <v>155752820</v>
      </c>
      <c r="S2636" s="112">
        <v>0</v>
      </c>
    </row>
    <row r="2637" spans="1:19" ht="45">
      <c r="A2637" s="79"/>
      <c r="B2637" s="77" t="s">
        <v>643</v>
      </c>
      <c r="C2637" s="76" t="s">
        <v>644</v>
      </c>
      <c r="D2637" s="143">
        <v>4</v>
      </c>
      <c r="E2637" s="77"/>
      <c r="F2637" s="334">
        <v>4</v>
      </c>
      <c r="G2637" s="112" t="s">
        <v>921</v>
      </c>
      <c r="H2637" s="120" t="s">
        <v>922</v>
      </c>
      <c r="I2637" s="120" t="s">
        <v>824</v>
      </c>
      <c r="J2637" s="120" t="s">
        <v>769</v>
      </c>
      <c r="K2637" s="110">
        <v>12412200</v>
      </c>
      <c r="L2637" s="110"/>
      <c r="M2637" s="110">
        <v>1356100</v>
      </c>
      <c r="N2637" s="110"/>
      <c r="O2637" s="110"/>
      <c r="P2637" s="110">
        <f t="shared" si="233"/>
        <v>13768300</v>
      </c>
      <c r="Q2637" s="110">
        <f t="shared" si="234"/>
        <v>55073200</v>
      </c>
      <c r="R2637" s="110">
        <f t="shared" si="235"/>
        <v>55073200</v>
      </c>
      <c r="S2637" s="112">
        <v>0</v>
      </c>
    </row>
    <row r="2638" spans="1:19" ht="45">
      <c r="A2638" s="79"/>
      <c r="B2638" s="77" t="s">
        <v>1183</v>
      </c>
      <c r="C2638" s="76" t="s">
        <v>644</v>
      </c>
      <c r="D2638" s="143">
        <v>2</v>
      </c>
      <c r="E2638" s="77"/>
      <c r="F2638" s="334">
        <v>2</v>
      </c>
      <c r="G2638" s="112" t="s">
        <v>923</v>
      </c>
      <c r="H2638" s="120" t="s">
        <v>924</v>
      </c>
      <c r="I2638" s="120" t="s">
        <v>824</v>
      </c>
      <c r="J2638" s="120" t="s">
        <v>769</v>
      </c>
      <c r="K2638" s="110">
        <v>6206100</v>
      </c>
      <c r="L2638" s="110"/>
      <c r="M2638" s="110">
        <v>1356100</v>
      </c>
      <c r="N2638" s="110"/>
      <c r="O2638" s="110"/>
      <c r="P2638" s="110">
        <f t="shared" si="233"/>
        <v>7562200</v>
      </c>
      <c r="Q2638" s="110">
        <f t="shared" si="234"/>
        <v>15124400</v>
      </c>
      <c r="R2638" s="110">
        <f t="shared" si="235"/>
        <v>15124400</v>
      </c>
      <c r="S2638" s="112">
        <v>0</v>
      </c>
    </row>
    <row r="2639" spans="1:19" ht="30">
      <c r="A2639" s="79"/>
      <c r="B2639" s="77" t="s">
        <v>1184</v>
      </c>
      <c r="C2639" s="76" t="s">
        <v>4</v>
      </c>
      <c r="D2639" s="143">
        <v>5</v>
      </c>
      <c r="E2639" s="77"/>
      <c r="F2639" s="334">
        <v>5</v>
      </c>
      <c r="G2639" s="112" t="s">
        <v>926</v>
      </c>
      <c r="H2639" s="120" t="s">
        <v>927</v>
      </c>
      <c r="I2639" s="120" t="s">
        <v>824</v>
      </c>
      <c r="J2639" s="120" t="s">
        <v>769</v>
      </c>
      <c r="K2639" s="110">
        <v>365200</v>
      </c>
      <c r="L2639" s="110"/>
      <c r="M2639" s="110">
        <v>581400</v>
      </c>
      <c r="N2639" s="110"/>
      <c r="O2639" s="110"/>
      <c r="P2639" s="110">
        <f t="shared" si="233"/>
        <v>946600</v>
      </c>
      <c r="Q2639" s="110">
        <f t="shared" si="234"/>
        <v>4733000</v>
      </c>
      <c r="R2639" s="110">
        <f t="shared" si="235"/>
        <v>4733000</v>
      </c>
      <c r="S2639" s="112">
        <v>0</v>
      </c>
    </row>
    <row r="2640" spans="1:19" ht="105">
      <c r="A2640" s="79">
        <v>2</v>
      </c>
      <c r="B2640" s="77" t="s">
        <v>645</v>
      </c>
      <c r="C2640" s="76"/>
      <c r="D2640" s="143"/>
      <c r="E2640" s="77"/>
      <c r="F2640" s="76"/>
      <c r="G2640" s="112" t="s">
        <v>928</v>
      </c>
      <c r="H2640" s="120">
        <v>0</v>
      </c>
      <c r="I2640" s="120">
        <v>0</v>
      </c>
      <c r="J2640" s="120">
        <v>0</v>
      </c>
      <c r="K2640" s="110">
        <v>0</v>
      </c>
      <c r="L2640" s="110"/>
      <c r="M2640" s="110">
        <v>0</v>
      </c>
      <c r="N2640" s="110"/>
      <c r="O2640" s="110"/>
      <c r="P2640" s="110">
        <f t="shared" si="233"/>
        <v>0</v>
      </c>
      <c r="Q2640" s="110">
        <f t="shared" si="234"/>
        <v>0</v>
      </c>
      <c r="R2640" s="110">
        <f t="shared" si="235"/>
        <v>0</v>
      </c>
      <c r="S2640" s="112">
        <v>0</v>
      </c>
    </row>
    <row r="2641" spans="1:19" ht="45">
      <c r="A2641" s="79"/>
      <c r="B2641" s="77" t="s">
        <v>1182</v>
      </c>
      <c r="C2641" s="76" t="s">
        <v>7</v>
      </c>
      <c r="D2641" s="143">
        <v>6</v>
      </c>
      <c r="E2641" s="77"/>
      <c r="F2641" s="334">
        <v>6</v>
      </c>
      <c r="G2641" s="112" t="s">
        <v>919</v>
      </c>
      <c r="H2641" s="120" t="s">
        <v>929</v>
      </c>
      <c r="I2641" s="120" t="s">
        <v>824</v>
      </c>
      <c r="J2641" s="120" t="s">
        <v>769</v>
      </c>
      <c r="K2641" s="110">
        <v>9676500</v>
      </c>
      <c r="L2641" s="110"/>
      <c r="M2641" s="110">
        <v>1116400</v>
      </c>
      <c r="N2641" s="110"/>
      <c r="O2641" s="110"/>
      <c r="P2641" s="110">
        <f t="shared" si="233"/>
        <v>10792900</v>
      </c>
      <c r="Q2641" s="110">
        <f t="shared" si="234"/>
        <v>64757400</v>
      </c>
      <c r="R2641" s="110">
        <f t="shared" si="235"/>
        <v>64757400</v>
      </c>
      <c r="S2641" s="112">
        <v>0</v>
      </c>
    </row>
    <row r="2642" spans="1:19" ht="45">
      <c r="A2642" s="79"/>
      <c r="B2642" s="77" t="s">
        <v>643</v>
      </c>
      <c r="C2642" s="76" t="s">
        <v>644</v>
      </c>
      <c r="D2642" s="143">
        <v>4</v>
      </c>
      <c r="E2642" s="77"/>
      <c r="F2642" s="334">
        <v>4</v>
      </c>
      <c r="G2642" s="112" t="s">
        <v>921</v>
      </c>
      <c r="H2642" s="120" t="s">
        <v>930</v>
      </c>
      <c r="I2642" s="120" t="s">
        <v>824</v>
      </c>
      <c r="J2642" s="120" t="s">
        <v>769</v>
      </c>
      <c r="K2642" s="110">
        <v>7261000</v>
      </c>
      <c r="L2642" s="110"/>
      <c r="M2642" s="110">
        <v>898700</v>
      </c>
      <c r="N2642" s="110"/>
      <c r="O2642" s="110"/>
      <c r="P2642" s="110">
        <f t="shared" si="233"/>
        <v>8159700</v>
      </c>
      <c r="Q2642" s="110">
        <f t="shared" si="234"/>
        <v>32638800</v>
      </c>
      <c r="R2642" s="110">
        <f t="shared" si="235"/>
        <v>32638800</v>
      </c>
      <c r="S2642" s="112">
        <v>0</v>
      </c>
    </row>
    <row r="2643" spans="1:19" ht="45">
      <c r="A2643" s="79"/>
      <c r="B2643" s="77" t="s">
        <v>1185</v>
      </c>
      <c r="C2643" s="76" t="s">
        <v>644</v>
      </c>
      <c r="D2643" s="143">
        <v>2</v>
      </c>
      <c r="E2643" s="77"/>
      <c r="F2643" s="334">
        <v>2</v>
      </c>
      <c r="G2643" s="112" t="s">
        <v>923</v>
      </c>
      <c r="H2643" s="120" t="s">
        <v>931</v>
      </c>
      <c r="I2643" s="120" t="s">
        <v>824</v>
      </c>
      <c r="J2643" s="120" t="s">
        <v>769</v>
      </c>
      <c r="K2643" s="110">
        <v>6661100</v>
      </c>
      <c r="L2643" s="110"/>
      <c r="M2643" s="110">
        <v>898700</v>
      </c>
      <c r="N2643" s="110"/>
      <c r="O2643" s="110"/>
      <c r="P2643" s="110">
        <f t="shared" si="233"/>
        <v>7559800</v>
      </c>
      <c r="Q2643" s="110">
        <f t="shared" si="234"/>
        <v>15119600</v>
      </c>
      <c r="R2643" s="110">
        <f t="shared" si="235"/>
        <v>15119600</v>
      </c>
      <c r="S2643" s="112">
        <v>0</v>
      </c>
    </row>
    <row r="2644" spans="1:19" ht="30">
      <c r="A2644" s="79"/>
      <c r="B2644" s="77" t="s">
        <v>1184</v>
      </c>
      <c r="C2644" s="76" t="s">
        <v>4</v>
      </c>
      <c r="D2644" s="143">
        <v>3</v>
      </c>
      <c r="E2644" s="77"/>
      <c r="F2644" s="334">
        <v>3</v>
      </c>
      <c r="G2644" s="112" t="s">
        <v>926</v>
      </c>
      <c r="H2644" s="120" t="s">
        <v>932</v>
      </c>
      <c r="I2644" s="120" t="s">
        <v>824</v>
      </c>
      <c r="J2644" s="120" t="s">
        <v>769</v>
      </c>
      <c r="K2644" s="110">
        <v>291300</v>
      </c>
      <c r="L2644" s="110"/>
      <c r="M2644" s="110">
        <v>581400</v>
      </c>
      <c r="N2644" s="110"/>
      <c r="O2644" s="110"/>
      <c r="P2644" s="110">
        <f t="shared" si="233"/>
        <v>872700</v>
      </c>
      <c r="Q2644" s="110">
        <f t="shared" si="234"/>
        <v>2618100</v>
      </c>
      <c r="R2644" s="110">
        <f t="shared" si="235"/>
        <v>2618100</v>
      </c>
      <c r="S2644" s="112">
        <v>0</v>
      </c>
    </row>
    <row r="2645" spans="1:19" ht="90">
      <c r="A2645" s="79">
        <v>3</v>
      </c>
      <c r="B2645" s="77" t="s">
        <v>646</v>
      </c>
      <c r="C2645" s="76"/>
      <c r="D2645" s="143"/>
      <c r="E2645" s="77"/>
      <c r="F2645" s="76"/>
      <c r="G2645" s="112" t="s">
        <v>933</v>
      </c>
      <c r="H2645" s="120">
        <v>0</v>
      </c>
      <c r="I2645" s="120">
        <v>0</v>
      </c>
      <c r="J2645" s="120">
        <v>0</v>
      </c>
      <c r="K2645" s="110">
        <v>0</v>
      </c>
      <c r="L2645" s="110"/>
      <c r="M2645" s="110">
        <v>0</v>
      </c>
      <c r="N2645" s="110"/>
      <c r="O2645" s="110"/>
      <c r="P2645" s="110">
        <f t="shared" si="233"/>
        <v>0</v>
      </c>
      <c r="Q2645" s="110">
        <f t="shared" si="234"/>
        <v>0</v>
      </c>
      <c r="R2645" s="110">
        <f t="shared" si="235"/>
        <v>0</v>
      </c>
      <c r="S2645" s="112">
        <v>0</v>
      </c>
    </row>
    <row r="2646" spans="1:19" ht="45">
      <c r="A2646" s="79"/>
      <c r="B2646" s="77" t="s">
        <v>1182</v>
      </c>
      <c r="C2646" s="76" t="s">
        <v>7</v>
      </c>
      <c r="D2646" s="143">
        <v>56</v>
      </c>
      <c r="E2646" s="77"/>
      <c r="F2646" s="334">
        <v>56</v>
      </c>
      <c r="G2646" s="112" t="s">
        <v>919</v>
      </c>
      <c r="H2646" s="120" t="s">
        <v>934</v>
      </c>
      <c r="I2646" s="120" t="s">
        <v>824</v>
      </c>
      <c r="J2646" s="120" t="s">
        <v>769</v>
      </c>
      <c r="K2646" s="110">
        <v>9259500</v>
      </c>
      <c r="L2646" s="110"/>
      <c r="M2646" s="110">
        <v>1240300</v>
      </c>
      <c r="N2646" s="110"/>
      <c r="O2646" s="110"/>
      <c r="P2646" s="110">
        <f t="shared" si="233"/>
        <v>10499800</v>
      </c>
      <c r="Q2646" s="110">
        <f t="shared" si="234"/>
        <v>587988800</v>
      </c>
      <c r="R2646" s="110">
        <f t="shared" si="235"/>
        <v>587988800</v>
      </c>
      <c r="S2646" s="112">
        <v>0</v>
      </c>
    </row>
    <row r="2647" spans="1:19" ht="45">
      <c r="A2647" s="79"/>
      <c r="B2647" s="77" t="s">
        <v>1186</v>
      </c>
      <c r="C2647" s="76" t="s">
        <v>7</v>
      </c>
      <c r="D2647" s="143">
        <v>67</v>
      </c>
      <c r="E2647" s="77"/>
      <c r="F2647" s="334">
        <v>67</v>
      </c>
      <c r="G2647" s="112" t="s">
        <v>919</v>
      </c>
      <c r="H2647" s="120" t="s">
        <v>935</v>
      </c>
      <c r="I2647" s="120" t="s">
        <v>824</v>
      </c>
      <c r="J2647" s="120" t="s">
        <v>769</v>
      </c>
      <c r="K2647" s="110">
        <v>9341100</v>
      </c>
      <c r="L2647" s="110"/>
      <c r="M2647" s="110">
        <v>1240300</v>
      </c>
      <c r="N2647" s="110"/>
      <c r="O2647" s="110"/>
      <c r="P2647" s="110">
        <f t="shared" si="233"/>
        <v>10581400</v>
      </c>
      <c r="Q2647" s="110">
        <f t="shared" si="234"/>
        <v>708953800</v>
      </c>
      <c r="R2647" s="110">
        <f t="shared" si="235"/>
        <v>708953800</v>
      </c>
      <c r="S2647" s="112">
        <v>0</v>
      </c>
    </row>
    <row r="2648" spans="1:19" ht="30">
      <c r="A2648" s="79"/>
      <c r="B2648" s="77" t="s">
        <v>647</v>
      </c>
      <c r="C2648" s="76" t="s">
        <v>644</v>
      </c>
      <c r="D2648" s="143">
        <v>20</v>
      </c>
      <c r="E2648" s="77"/>
      <c r="F2648" s="334">
        <v>20</v>
      </c>
      <c r="G2648" s="112" t="s">
        <v>936</v>
      </c>
      <c r="H2648" s="120" t="s">
        <v>937</v>
      </c>
      <c r="I2648" s="120" t="s">
        <v>824</v>
      </c>
      <c r="J2648" s="120" t="s">
        <v>769</v>
      </c>
      <c r="K2648" s="110">
        <v>1141900</v>
      </c>
      <c r="L2648" s="110"/>
      <c r="M2648" s="110">
        <v>0</v>
      </c>
      <c r="N2648" s="110"/>
      <c r="O2648" s="110"/>
      <c r="P2648" s="110">
        <f t="shared" si="233"/>
        <v>1141900</v>
      </c>
      <c r="Q2648" s="110">
        <f t="shared" si="234"/>
        <v>22838000</v>
      </c>
      <c r="R2648" s="110">
        <f t="shared" si="235"/>
        <v>22838000</v>
      </c>
      <c r="S2648" s="112">
        <v>0</v>
      </c>
    </row>
    <row r="2649" spans="1:19" ht="45">
      <c r="A2649" s="79"/>
      <c r="B2649" s="77" t="s">
        <v>643</v>
      </c>
      <c r="C2649" s="76" t="s">
        <v>644</v>
      </c>
      <c r="D2649" s="143">
        <v>10</v>
      </c>
      <c r="E2649" s="77"/>
      <c r="F2649" s="334">
        <v>10</v>
      </c>
      <c r="G2649" s="112" t="s">
        <v>921</v>
      </c>
      <c r="H2649" s="120" t="s">
        <v>938</v>
      </c>
      <c r="I2649" s="120" t="s">
        <v>824</v>
      </c>
      <c r="J2649" s="120" t="s">
        <v>769</v>
      </c>
      <c r="K2649" s="110">
        <v>6649500</v>
      </c>
      <c r="L2649" s="110"/>
      <c r="M2649" s="110">
        <v>898700</v>
      </c>
      <c r="N2649" s="110"/>
      <c r="O2649" s="110"/>
      <c r="P2649" s="110">
        <f t="shared" si="233"/>
        <v>7548200</v>
      </c>
      <c r="Q2649" s="110">
        <f t="shared" si="234"/>
        <v>75482000</v>
      </c>
      <c r="R2649" s="110">
        <f t="shared" si="235"/>
        <v>75482000</v>
      </c>
      <c r="S2649" s="112">
        <v>0</v>
      </c>
    </row>
    <row r="2650" spans="1:19" ht="45">
      <c r="A2650" s="79"/>
      <c r="B2650" s="77" t="s">
        <v>1183</v>
      </c>
      <c r="C2650" s="76" t="s">
        <v>644</v>
      </c>
      <c r="D2650" s="143">
        <v>1</v>
      </c>
      <c r="E2650" s="77"/>
      <c r="F2650" s="334">
        <v>1</v>
      </c>
      <c r="G2650" s="112" t="s">
        <v>923</v>
      </c>
      <c r="H2650" s="120" t="s">
        <v>939</v>
      </c>
      <c r="I2650" s="120" t="s">
        <v>824</v>
      </c>
      <c r="J2650" s="120" t="s">
        <v>769</v>
      </c>
      <c r="K2650" s="110">
        <v>6546600</v>
      </c>
      <c r="L2650" s="110"/>
      <c r="M2650" s="110">
        <v>898700</v>
      </c>
      <c r="N2650" s="110"/>
      <c r="O2650" s="110"/>
      <c r="P2650" s="110">
        <f t="shared" si="233"/>
        <v>7445300</v>
      </c>
      <c r="Q2650" s="110">
        <f t="shared" si="234"/>
        <v>7445300</v>
      </c>
      <c r="R2650" s="110">
        <f t="shared" si="235"/>
        <v>7445300</v>
      </c>
      <c r="S2650" s="112">
        <v>0</v>
      </c>
    </row>
    <row r="2651" spans="1:19" ht="45">
      <c r="A2651" s="79"/>
      <c r="B2651" s="77" t="s">
        <v>1187</v>
      </c>
      <c r="C2651" s="76" t="s">
        <v>4</v>
      </c>
      <c r="D2651" s="143">
        <v>1</v>
      </c>
      <c r="E2651" s="77"/>
      <c r="F2651" s="334">
        <v>1</v>
      </c>
      <c r="G2651" s="112" t="s">
        <v>940</v>
      </c>
      <c r="H2651" s="120" t="s">
        <v>941</v>
      </c>
      <c r="I2651" s="120" t="s">
        <v>824</v>
      </c>
      <c r="J2651" s="120" t="s">
        <v>769</v>
      </c>
      <c r="K2651" s="110">
        <v>1005700</v>
      </c>
      <c r="L2651" s="110"/>
      <c r="M2651" s="110">
        <v>780900</v>
      </c>
      <c r="N2651" s="110"/>
      <c r="O2651" s="110"/>
      <c r="P2651" s="110">
        <f t="shared" si="233"/>
        <v>1786600</v>
      </c>
      <c r="Q2651" s="110">
        <f t="shared" si="234"/>
        <v>1786600</v>
      </c>
      <c r="R2651" s="110">
        <f t="shared" si="235"/>
        <v>1786600</v>
      </c>
      <c r="S2651" s="112">
        <v>0</v>
      </c>
    </row>
    <row r="2652" spans="1:19" ht="30">
      <c r="A2652" s="79"/>
      <c r="B2652" s="77" t="s">
        <v>1184</v>
      </c>
      <c r="C2652" s="76" t="s">
        <v>4</v>
      </c>
      <c r="D2652" s="143">
        <v>10</v>
      </c>
      <c r="E2652" s="77"/>
      <c r="F2652" s="334">
        <v>10</v>
      </c>
      <c r="G2652" s="112" t="s">
        <v>926</v>
      </c>
      <c r="H2652" s="120" t="s">
        <v>942</v>
      </c>
      <c r="I2652" s="120" t="s">
        <v>824</v>
      </c>
      <c r="J2652" s="120" t="s">
        <v>769</v>
      </c>
      <c r="K2652" s="110">
        <v>304300</v>
      </c>
      <c r="L2652" s="110"/>
      <c r="M2652" s="110">
        <v>581400</v>
      </c>
      <c r="N2652" s="110"/>
      <c r="O2652" s="110"/>
      <c r="P2652" s="110">
        <f t="shared" si="233"/>
        <v>885700</v>
      </c>
      <c r="Q2652" s="110">
        <f t="shared" si="234"/>
        <v>8857000</v>
      </c>
      <c r="R2652" s="110">
        <f t="shared" si="235"/>
        <v>8857000</v>
      </c>
      <c r="S2652" s="112">
        <v>0</v>
      </c>
    </row>
    <row r="2653" spans="1:19" ht="30">
      <c r="A2653" s="79"/>
      <c r="B2653" s="77" t="s">
        <v>1188</v>
      </c>
      <c r="C2653" s="76" t="s">
        <v>4</v>
      </c>
      <c r="D2653" s="143">
        <v>25</v>
      </c>
      <c r="E2653" s="77"/>
      <c r="F2653" s="334">
        <v>25</v>
      </c>
      <c r="G2653" s="112" t="s">
        <v>943</v>
      </c>
      <c r="H2653" s="120" t="s">
        <v>825</v>
      </c>
      <c r="I2653" s="120" t="s">
        <v>824</v>
      </c>
      <c r="J2653" s="120" t="s">
        <v>769</v>
      </c>
      <c r="K2653" s="110">
        <v>628900</v>
      </c>
      <c r="L2653" s="110"/>
      <c r="M2653" s="110">
        <v>520900</v>
      </c>
      <c r="N2653" s="110"/>
      <c r="O2653" s="110"/>
      <c r="P2653" s="110">
        <f t="shared" si="233"/>
        <v>1149800</v>
      </c>
      <c r="Q2653" s="110">
        <f t="shared" si="234"/>
        <v>28745000</v>
      </c>
      <c r="R2653" s="110">
        <f t="shared" si="235"/>
        <v>28745000</v>
      </c>
      <c r="S2653" s="112">
        <v>0</v>
      </c>
    </row>
    <row r="2654" spans="1:19" ht="45">
      <c r="A2654" s="79"/>
      <c r="B2654" s="77" t="s">
        <v>1189</v>
      </c>
      <c r="C2654" s="76" t="s">
        <v>4</v>
      </c>
      <c r="D2654" s="143">
        <v>19</v>
      </c>
      <c r="E2654" s="77"/>
      <c r="F2654" s="334">
        <v>19</v>
      </c>
      <c r="G2654" s="112" t="s">
        <v>944</v>
      </c>
      <c r="H2654" s="120" t="s">
        <v>945</v>
      </c>
      <c r="I2654" s="120" t="s">
        <v>824</v>
      </c>
      <c r="J2654" s="120" t="s">
        <v>769</v>
      </c>
      <c r="K2654" s="110">
        <v>12256100</v>
      </c>
      <c r="L2654" s="110"/>
      <c r="M2654" s="110">
        <v>898700</v>
      </c>
      <c r="N2654" s="110"/>
      <c r="O2654" s="110"/>
      <c r="P2654" s="110">
        <f t="shared" si="233"/>
        <v>13154800</v>
      </c>
      <c r="Q2654" s="110">
        <f t="shared" si="234"/>
        <v>249941200</v>
      </c>
      <c r="R2654" s="110">
        <f t="shared" si="235"/>
        <v>249941200</v>
      </c>
      <c r="S2654" s="112">
        <v>0</v>
      </c>
    </row>
    <row r="2655" spans="1:19" ht="45">
      <c r="A2655" s="79"/>
      <c r="B2655" s="77" t="s">
        <v>1190</v>
      </c>
      <c r="C2655" s="76" t="s">
        <v>8</v>
      </c>
      <c r="D2655" s="143">
        <v>1</v>
      </c>
      <c r="E2655" s="77"/>
      <c r="F2655" s="334">
        <v>1</v>
      </c>
      <c r="G2655" s="112" t="s">
        <v>946</v>
      </c>
      <c r="H2655" s="120" t="s">
        <v>947</v>
      </c>
      <c r="I2655" s="120" t="s">
        <v>824</v>
      </c>
      <c r="J2655" s="120" t="s">
        <v>769</v>
      </c>
      <c r="K2655" s="110">
        <v>10180100</v>
      </c>
      <c r="L2655" s="110"/>
      <c r="M2655" s="110">
        <v>898700</v>
      </c>
      <c r="N2655" s="110"/>
      <c r="O2655" s="110"/>
      <c r="P2655" s="110">
        <f t="shared" si="233"/>
        <v>11078800</v>
      </c>
      <c r="Q2655" s="110">
        <f t="shared" si="234"/>
        <v>11078800</v>
      </c>
      <c r="R2655" s="110">
        <f t="shared" si="235"/>
        <v>11078800</v>
      </c>
      <c r="S2655" s="112">
        <v>0</v>
      </c>
    </row>
    <row r="2656" spans="1:19" ht="90">
      <c r="A2656" s="79">
        <v>4</v>
      </c>
      <c r="B2656" s="77" t="s">
        <v>648</v>
      </c>
      <c r="C2656" s="76"/>
      <c r="D2656" s="143"/>
      <c r="E2656" s="77"/>
      <c r="F2656" s="76"/>
      <c r="G2656" s="112" t="s">
        <v>933</v>
      </c>
      <c r="H2656" s="120">
        <v>0</v>
      </c>
      <c r="I2656" s="120">
        <v>0</v>
      </c>
      <c r="J2656" s="120">
        <v>0</v>
      </c>
      <c r="K2656" s="110">
        <v>0</v>
      </c>
      <c r="L2656" s="110"/>
      <c r="M2656" s="110">
        <v>0</v>
      </c>
      <c r="N2656" s="110"/>
      <c r="O2656" s="110"/>
      <c r="P2656" s="110">
        <f t="shared" si="233"/>
        <v>0</v>
      </c>
      <c r="Q2656" s="110">
        <f t="shared" si="234"/>
        <v>0</v>
      </c>
      <c r="R2656" s="110">
        <f t="shared" si="235"/>
        <v>0</v>
      </c>
      <c r="S2656" s="112">
        <v>0</v>
      </c>
    </row>
    <row r="2657" spans="1:19" ht="45">
      <c r="A2657" s="79"/>
      <c r="B2657" s="77" t="s">
        <v>1182</v>
      </c>
      <c r="C2657" s="76" t="s">
        <v>7</v>
      </c>
      <c r="D2657" s="143">
        <v>87</v>
      </c>
      <c r="E2657" s="77"/>
      <c r="F2657" s="334">
        <v>87</v>
      </c>
      <c r="G2657" s="112" t="s">
        <v>919</v>
      </c>
      <c r="H2657" s="120" t="s">
        <v>934</v>
      </c>
      <c r="I2657" s="120" t="s">
        <v>824</v>
      </c>
      <c r="J2657" s="120" t="s">
        <v>769</v>
      </c>
      <c r="K2657" s="110">
        <v>9259500</v>
      </c>
      <c r="L2657" s="110"/>
      <c r="M2657" s="110">
        <v>1240300</v>
      </c>
      <c r="N2657" s="110"/>
      <c r="O2657" s="110"/>
      <c r="P2657" s="110">
        <f t="shared" si="233"/>
        <v>10499800</v>
      </c>
      <c r="Q2657" s="110">
        <f t="shared" si="234"/>
        <v>913482600</v>
      </c>
      <c r="R2657" s="110">
        <f t="shared" si="235"/>
        <v>913482600</v>
      </c>
      <c r="S2657" s="112">
        <v>0</v>
      </c>
    </row>
    <row r="2658" spans="1:19" ht="45">
      <c r="A2658" s="79"/>
      <c r="B2658" s="77" t="s">
        <v>1186</v>
      </c>
      <c r="C2658" s="76" t="s">
        <v>7</v>
      </c>
      <c r="D2658" s="143">
        <v>59.5</v>
      </c>
      <c r="E2658" s="77"/>
      <c r="F2658" s="334">
        <v>59.5</v>
      </c>
      <c r="G2658" s="112" t="s">
        <v>919</v>
      </c>
      <c r="H2658" s="120" t="s">
        <v>935</v>
      </c>
      <c r="I2658" s="120" t="s">
        <v>824</v>
      </c>
      <c r="J2658" s="120" t="s">
        <v>769</v>
      </c>
      <c r="K2658" s="110">
        <v>9341100</v>
      </c>
      <c r="L2658" s="110"/>
      <c r="M2658" s="110">
        <v>1240300</v>
      </c>
      <c r="N2658" s="110"/>
      <c r="O2658" s="110"/>
      <c r="P2658" s="110">
        <f t="shared" si="233"/>
        <v>10581400</v>
      </c>
      <c r="Q2658" s="110">
        <f t="shared" si="234"/>
        <v>629593300</v>
      </c>
      <c r="R2658" s="110">
        <f t="shared" si="235"/>
        <v>629593300</v>
      </c>
      <c r="S2658" s="112">
        <v>0</v>
      </c>
    </row>
    <row r="2659" spans="1:19" ht="30">
      <c r="A2659" s="79"/>
      <c r="B2659" s="77" t="s">
        <v>647</v>
      </c>
      <c r="C2659" s="76" t="s">
        <v>644</v>
      </c>
      <c r="D2659" s="143">
        <v>17</v>
      </c>
      <c r="E2659" s="77"/>
      <c r="F2659" s="334">
        <v>17</v>
      </c>
      <c r="G2659" s="112" t="s">
        <v>936</v>
      </c>
      <c r="H2659" s="120" t="s">
        <v>937</v>
      </c>
      <c r="I2659" s="120" t="s">
        <v>824</v>
      </c>
      <c r="J2659" s="120" t="s">
        <v>769</v>
      </c>
      <c r="K2659" s="110">
        <v>1141900</v>
      </c>
      <c r="L2659" s="110"/>
      <c r="M2659" s="110">
        <v>0</v>
      </c>
      <c r="N2659" s="110"/>
      <c r="O2659" s="110"/>
      <c r="P2659" s="110">
        <f t="shared" si="233"/>
        <v>1141900</v>
      </c>
      <c r="Q2659" s="110">
        <f t="shared" si="234"/>
        <v>19412300</v>
      </c>
      <c r="R2659" s="110">
        <f t="shared" si="235"/>
        <v>19412300</v>
      </c>
      <c r="S2659" s="112">
        <v>0</v>
      </c>
    </row>
    <row r="2660" spans="1:19" ht="45">
      <c r="A2660" s="79"/>
      <c r="B2660" s="77" t="s">
        <v>643</v>
      </c>
      <c r="C2660" s="76" t="s">
        <v>644</v>
      </c>
      <c r="D2660" s="143">
        <v>10</v>
      </c>
      <c r="E2660" s="77"/>
      <c r="F2660" s="334">
        <v>10</v>
      </c>
      <c r="G2660" s="112" t="s">
        <v>921</v>
      </c>
      <c r="H2660" s="120" t="s">
        <v>938</v>
      </c>
      <c r="I2660" s="120" t="s">
        <v>824</v>
      </c>
      <c r="J2660" s="120" t="s">
        <v>769</v>
      </c>
      <c r="K2660" s="110">
        <v>6649500</v>
      </c>
      <c r="L2660" s="110"/>
      <c r="M2660" s="110">
        <v>898700</v>
      </c>
      <c r="N2660" s="110"/>
      <c r="O2660" s="110"/>
      <c r="P2660" s="110">
        <f t="shared" si="233"/>
        <v>7548200</v>
      </c>
      <c r="Q2660" s="110">
        <f t="shared" si="234"/>
        <v>75482000</v>
      </c>
      <c r="R2660" s="110">
        <f t="shared" si="235"/>
        <v>75482000</v>
      </c>
      <c r="S2660" s="112">
        <v>0</v>
      </c>
    </row>
    <row r="2661" spans="1:19" ht="45">
      <c r="A2661" s="79"/>
      <c r="B2661" s="77" t="s">
        <v>1183</v>
      </c>
      <c r="C2661" s="76" t="s">
        <v>644</v>
      </c>
      <c r="D2661" s="143">
        <v>1</v>
      </c>
      <c r="E2661" s="77"/>
      <c r="F2661" s="334">
        <v>1</v>
      </c>
      <c r="G2661" s="112" t="s">
        <v>923</v>
      </c>
      <c r="H2661" s="120" t="s">
        <v>939</v>
      </c>
      <c r="I2661" s="120" t="s">
        <v>824</v>
      </c>
      <c r="J2661" s="120" t="s">
        <v>769</v>
      </c>
      <c r="K2661" s="110">
        <v>6546600</v>
      </c>
      <c r="L2661" s="110"/>
      <c r="M2661" s="110">
        <v>898700</v>
      </c>
      <c r="N2661" s="110"/>
      <c r="O2661" s="110"/>
      <c r="P2661" s="110">
        <f t="shared" si="233"/>
        <v>7445300</v>
      </c>
      <c r="Q2661" s="110">
        <f t="shared" si="234"/>
        <v>7445300</v>
      </c>
      <c r="R2661" s="110">
        <f t="shared" si="235"/>
        <v>7445300</v>
      </c>
      <c r="S2661" s="112">
        <v>0</v>
      </c>
    </row>
    <row r="2662" spans="1:19" ht="45">
      <c r="A2662" s="79"/>
      <c r="B2662" s="77" t="s">
        <v>1187</v>
      </c>
      <c r="C2662" s="76" t="s">
        <v>4</v>
      </c>
      <c r="D2662" s="143">
        <v>1</v>
      </c>
      <c r="E2662" s="77"/>
      <c r="F2662" s="334">
        <v>1</v>
      </c>
      <c r="G2662" s="112" t="s">
        <v>940</v>
      </c>
      <c r="H2662" s="120" t="s">
        <v>941</v>
      </c>
      <c r="I2662" s="120" t="s">
        <v>824</v>
      </c>
      <c r="J2662" s="120" t="s">
        <v>769</v>
      </c>
      <c r="K2662" s="110">
        <v>1005700</v>
      </c>
      <c r="L2662" s="110"/>
      <c r="M2662" s="110">
        <v>780900</v>
      </c>
      <c r="N2662" s="110"/>
      <c r="O2662" s="110"/>
      <c r="P2662" s="110">
        <f t="shared" si="233"/>
        <v>1786600</v>
      </c>
      <c r="Q2662" s="110">
        <f t="shared" si="234"/>
        <v>1786600</v>
      </c>
      <c r="R2662" s="110">
        <f t="shared" si="235"/>
        <v>1786600</v>
      </c>
      <c r="S2662" s="112">
        <v>0</v>
      </c>
    </row>
    <row r="2663" spans="1:19" ht="30">
      <c r="A2663" s="79"/>
      <c r="B2663" s="77" t="s">
        <v>1184</v>
      </c>
      <c r="C2663" s="76" t="s">
        <v>4</v>
      </c>
      <c r="D2663" s="143">
        <v>10</v>
      </c>
      <c r="E2663" s="77"/>
      <c r="F2663" s="334">
        <v>10</v>
      </c>
      <c r="G2663" s="112" t="s">
        <v>926</v>
      </c>
      <c r="H2663" s="120" t="s">
        <v>942</v>
      </c>
      <c r="I2663" s="120" t="s">
        <v>824</v>
      </c>
      <c r="J2663" s="120" t="s">
        <v>769</v>
      </c>
      <c r="K2663" s="110">
        <v>304300</v>
      </c>
      <c r="L2663" s="110"/>
      <c r="M2663" s="110">
        <v>581400</v>
      </c>
      <c r="N2663" s="110"/>
      <c r="O2663" s="110"/>
      <c r="P2663" s="110">
        <f t="shared" si="233"/>
        <v>885700</v>
      </c>
      <c r="Q2663" s="110">
        <f t="shared" si="234"/>
        <v>8857000</v>
      </c>
      <c r="R2663" s="110">
        <f t="shared" si="235"/>
        <v>8857000</v>
      </c>
      <c r="S2663" s="112">
        <v>0</v>
      </c>
    </row>
    <row r="2664" spans="1:19" ht="30">
      <c r="A2664" s="79"/>
      <c r="B2664" s="77" t="s">
        <v>1188</v>
      </c>
      <c r="C2664" s="76" t="s">
        <v>4</v>
      </c>
      <c r="D2664" s="143">
        <v>22</v>
      </c>
      <c r="E2664" s="77"/>
      <c r="F2664" s="334">
        <v>22</v>
      </c>
      <c r="G2664" s="112" t="s">
        <v>943</v>
      </c>
      <c r="H2664" s="120" t="s">
        <v>825</v>
      </c>
      <c r="I2664" s="120" t="s">
        <v>824</v>
      </c>
      <c r="J2664" s="120" t="s">
        <v>769</v>
      </c>
      <c r="K2664" s="110">
        <v>628900</v>
      </c>
      <c r="L2664" s="110"/>
      <c r="M2664" s="110">
        <v>520900</v>
      </c>
      <c r="N2664" s="110"/>
      <c r="O2664" s="110"/>
      <c r="P2664" s="110">
        <f t="shared" si="233"/>
        <v>1149800</v>
      </c>
      <c r="Q2664" s="110">
        <f t="shared" si="234"/>
        <v>25295600</v>
      </c>
      <c r="R2664" s="110">
        <f t="shared" si="235"/>
        <v>25295600</v>
      </c>
      <c r="S2664" s="112">
        <v>0</v>
      </c>
    </row>
    <row r="2665" spans="1:19" ht="45">
      <c r="A2665" s="79"/>
      <c r="B2665" s="77" t="s">
        <v>1189</v>
      </c>
      <c r="C2665" s="76" t="s">
        <v>4</v>
      </c>
      <c r="D2665" s="143">
        <v>17</v>
      </c>
      <c r="E2665" s="77"/>
      <c r="F2665" s="334">
        <v>17</v>
      </c>
      <c r="G2665" s="112" t="s">
        <v>944</v>
      </c>
      <c r="H2665" s="120" t="s">
        <v>945</v>
      </c>
      <c r="I2665" s="120" t="s">
        <v>824</v>
      </c>
      <c r="J2665" s="120" t="s">
        <v>769</v>
      </c>
      <c r="K2665" s="110">
        <v>12256100</v>
      </c>
      <c r="L2665" s="110"/>
      <c r="M2665" s="110">
        <v>898700</v>
      </c>
      <c r="N2665" s="110"/>
      <c r="O2665" s="110"/>
      <c r="P2665" s="110">
        <f t="shared" si="233"/>
        <v>13154800</v>
      </c>
      <c r="Q2665" s="110">
        <f t="shared" si="234"/>
        <v>223631600</v>
      </c>
      <c r="R2665" s="110">
        <f t="shared" si="235"/>
        <v>223631600</v>
      </c>
      <c r="S2665" s="112">
        <v>0</v>
      </c>
    </row>
    <row r="2666" spans="1:19">
      <c r="A2666" s="79" t="s">
        <v>718</v>
      </c>
      <c r="B2666" s="80" t="s">
        <v>1063</v>
      </c>
      <c r="C2666" s="79"/>
      <c r="D2666" s="143">
        <v>0</v>
      </c>
      <c r="E2666" s="77"/>
      <c r="F2666" s="76"/>
      <c r="G2666" s="112">
        <v>0</v>
      </c>
      <c r="H2666" s="120">
        <v>0</v>
      </c>
      <c r="I2666" s="120">
        <v>0</v>
      </c>
      <c r="J2666" s="120">
        <v>0</v>
      </c>
      <c r="K2666" s="110">
        <v>0</v>
      </c>
      <c r="L2666" s="110"/>
      <c r="M2666" s="110">
        <v>0</v>
      </c>
      <c r="N2666" s="110"/>
      <c r="O2666" s="110"/>
      <c r="P2666" s="110">
        <f t="shared" ref="P2666:P2681" si="236">+K2666+L2666+M2666+N2666+O2666</f>
        <v>0</v>
      </c>
      <c r="Q2666" s="110">
        <f t="shared" ref="Q2666:Q2681" si="237">+P2666*D2666</f>
        <v>0</v>
      </c>
      <c r="R2666" s="110">
        <f t="shared" ref="R2666:R2681" si="238">P2666*F2666</f>
        <v>0</v>
      </c>
      <c r="S2666" s="112">
        <v>0</v>
      </c>
    </row>
    <row r="2667" spans="1:19" ht="60">
      <c r="A2667" s="79">
        <v>1</v>
      </c>
      <c r="B2667" s="77" t="s">
        <v>649</v>
      </c>
      <c r="C2667" s="76" t="s">
        <v>4</v>
      </c>
      <c r="D2667" s="143">
        <v>1</v>
      </c>
      <c r="E2667" s="77"/>
      <c r="F2667" s="334">
        <v>1</v>
      </c>
      <c r="G2667" s="112" t="s">
        <v>1101</v>
      </c>
      <c r="H2667" s="120" t="s">
        <v>1102</v>
      </c>
      <c r="I2667" s="120" t="s">
        <v>1103</v>
      </c>
      <c r="J2667" s="120" t="s">
        <v>1104</v>
      </c>
      <c r="K2667" s="110">
        <v>24070000</v>
      </c>
      <c r="L2667" s="110"/>
      <c r="M2667" s="110">
        <v>1479100</v>
      </c>
      <c r="N2667" s="110"/>
      <c r="O2667" s="110"/>
      <c r="P2667" s="110">
        <f t="shared" si="236"/>
        <v>25549100</v>
      </c>
      <c r="Q2667" s="110">
        <f t="shared" si="237"/>
        <v>25549100</v>
      </c>
      <c r="R2667" s="110">
        <f t="shared" si="238"/>
        <v>25549100</v>
      </c>
      <c r="S2667" s="112">
        <v>0</v>
      </c>
    </row>
    <row r="2668" spans="1:19" ht="195">
      <c r="A2668" s="79">
        <v>2</v>
      </c>
      <c r="B2668" s="77" t="s">
        <v>650</v>
      </c>
      <c r="C2668" s="76" t="s">
        <v>17</v>
      </c>
      <c r="D2668" s="143">
        <v>1</v>
      </c>
      <c r="E2668" s="77"/>
      <c r="F2668" s="334">
        <v>1</v>
      </c>
      <c r="G2668" s="112" t="s">
        <v>990</v>
      </c>
      <c r="H2668" s="120">
        <v>0</v>
      </c>
      <c r="I2668" s="120">
        <v>0</v>
      </c>
      <c r="J2668" s="120" t="s">
        <v>772</v>
      </c>
      <c r="K2668" s="110">
        <v>10065200</v>
      </c>
      <c r="L2668" s="110"/>
      <c r="M2668" s="110">
        <v>2388800</v>
      </c>
      <c r="N2668" s="110"/>
      <c r="O2668" s="110"/>
      <c r="P2668" s="110">
        <f t="shared" si="236"/>
        <v>12454000</v>
      </c>
      <c r="Q2668" s="110">
        <f t="shared" si="237"/>
        <v>12454000</v>
      </c>
      <c r="R2668" s="110">
        <f t="shared" si="238"/>
        <v>12454000</v>
      </c>
      <c r="S2668" s="112">
        <v>0</v>
      </c>
    </row>
    <row r="2669" spans="1:19">
      <c r="A2669" s="79">
        <v>3</v>
      </c>
      <c r="B2669" s="77" t="s">
        <v>651</v>
      </c>
      <c r="C2669" s="76" t="s">
        <v>7</v>
      </c>
      <c r="D2669" s="143">
        <v>519</v>
      </c>
      <c r="E2669" s="77"/>
      <c r="F2669" s="334">
        <v>519</v>
      </c>
      <c r="G2669" s="112">
        <v>0</v>
      </c>
      <c r="H2669" s="120" t="s">
        <v>774</v>
      </c>
      <c r="I2669" s="120" t="s">
        <v>771</v>
      </c>
      <c r="J2669" s="120" t="s">
        <v>770</v>
      </c>
      <c r="K2669" s="110">
        <v>296600</v>
      </c>
      <c r="L2669" s="110"/>
      <c r="M2669" s="110">
        <v>42400</v>
      </c>
      <c r="N2669" s="110"/>
      <c r="O2669" s="110"/>
      <c r="P2669" s="110">
        <f t="shared" si="236"/>
        <v>339000</v>
      </c>
      <c r="Q2669" s="110">
        <f t="shared" si="237"/>
        <v>175941000</v>
      </c>
      <c r="R2669" s="110">
        <f t="shared" si="238"/>
        <v>175941000</v>
      </c>
      <c r="S2669" s="112">
        <v>0</v>
      </c>
    </row>
    <row r="2670" spans="1:19">
      <c r="A2670" s="79">
        <v>4</v>
      </c>
      <c r="B2670" s="77" t="s">
        <v>652</v>
      </c>
      <c r="C2670" s="76" t="s">
        <v>7</v>
      </c>
      <c r="D2670" s="143">
        <v>1310</v>
      </c>
      <c r="E2670" s="77"/>
      <c r="F2670" s="334">
        <v>1310</v>
      </c>
      <c r="G2670" s="112" t="s">
        <v>805</v>
      </c>
      <c r="H2670" s="120" t="s">
        <v>804</v>
      </c>
      <c r="I2670" s="120" t="s">
        <v>800</v>
      </c>
      <c r="J2670" s="120" t="s">
        <v>772</v>
      </c>
      <c r="K2670" s="110">
        <v>280600</v>
      </c>
      <c r="L2670" s="110"/>
      <c r="M2670" s="110">
        <v>61500</v>
      </c>
      <c r="N2670" s="110"/>
      <c r="O2670" s="110"/>
      <c r="P2670" s="110">
        <f t="shared" si="236"/>
        <v>342100</v>
      </c>
      <c r="Q2670" s="110">
        <f t="shared" si="237"/>
        <v>448151000</v>
      </c>
      <c r="R2670" s="110">
        <f t="shared" si="238"/>
        <v>448151000</v>
      </c>
      <c r="S2670" s="112">
        <v>0</v>
      </c>
    </row>
    <row r="2671" spans="1:19">
      <c r="A2671" s="79">
        <v>5</v>
      </c>
      <c r="B2671" s="77" t="s">
        <v>653</v>
      </c>
      <c r="C2671" s="76" t="s">
        <v>7</v>
      </c>
      <c r="D2671" s="143">
        <v>0</v>
      </c>
      <c r="E2671" s="77"/>
      <c r="F2671" s="334">
        <v>0</v>
      </c>
      <c r="G2671" s="112">
        <v>0</v>
      </c>
      <c r="H2671" s="120" t="s">
        <v>774</v>
      </c>
      <c r="I2671" s="120" t="s">
        <v>771</v>
      </c>
      <c r="J2671" s="120" t="s">
        <v>770</v>
      </c>
      <c r="K2671" s="110">
        <v>296600</v>
      </c>
      <c r="L2671" s="110"/>
      <c r="M2671" s="110">
        <v>42400</v>
      </c>
      <c r="N2671" s="110"/>
      <c r="O2671" s="110"/>
      <c r="P2671" s="110">
        <f t="shared" si="236"/>
        <v>339000</v>
      </c>
      <c r="Q2671" s="110">
        <f t="shared" si="237"/>
        <v>0</v>
      </c>
      <c r="R2671" s="110">
        <f t="shared" si="238"/>
        <v>0</v>
      </c>
      <c r="S2671" s="112">
        <v>0</v>
      </c>
    </row>
    <row r="2672" spans="1:19">
      <c r="A2672" s="79">
        <v>6</v>
      </c>
      <c r="B2672" s="77" t="s">
        <v>654</v>
      </c>
      <c r="C2672" s="76" t="s">
        <v>7</v>
      </c>
      <c r="D2672" s="143">
        <v>36</v>
      </c>
      <c r="E2672" s="77"/>
      <c r="F2672" s="334">
        <v>36</v>
      </c>
      <c r="G2672" s="112">
        <v>0</v>
      </c>
      <c r="H2672" s="120" t="s">
        <v>773</v>
      </c>
      <c r="I2672" s="120" t="s">
        <v>771</v>
      </c>
      <c r="J2672" s="120" t="s">
        <v>770</v>
      </c>
      <c r="K2672" s="110">
        <v>68400</v>
      </c>
      <c r="L2672" s="110"/>
      <c r="M2672" s="110">
        <v>23200</v>
      </c>
      <c r="N2672" s="110"/>
      <c r="O2672" s="110"/>
      <c r="P2672" s="110">
        <f t="shared" si="236"/>
        <v>91600</v>
      </c>
      <c r="Q2672" s="110">
        <f t="shared" si="237"/>
        <v>3297600</v>
      </c>
      <c r="R2672" s="110">
        <f t="shared" si="238"/>
        <v>3297600</v>
      </c>
      <c r="S2672" s="112">
        <v>0</v>
      </c>
    </row>
    <row r="2673" spans="1:19">
      <c r="A2673" s="79">
        <v>7</v>
      </c>
      <c r="B2673" s="77" t="s">
        <v>655</v>
      </c>
      <c r="C2673" s="76" t="s">
        <v>7</v>
      </c>
      <c r="D2673" s="143">
        <v>30</v>
      </c>
      <c r="E2673" s="77"/>
      <c r="F2673" s="334">
        <v>30</v>
      </c>
      <c r="G2673" s="112">
        <v>0</v>
      </c>
      <c r="H2673" s="120" t="s">
        <v>775</v>
      </c>
      <c r="I2673" s="120" t="s">
        <v>771</v>
      </c>
      <c r="J2673" s="120" t="s">
        <v>770</v>
      </c>
      <c r="K2673" s="110">
        <v>517900</v>
      </c>
      <c r="L2673" s="110"/>
      <c r="M2673" s="110">
        <v>53400</v>
      </c>
      <c r="N2673" s="110"/>
      <c r="O2673" s="110"/>
      <c r="P2673" s="110">
        <f t="shared" si="236"/>
        <v>571300</v>
      </c>
      <c r="Q2673" s="110">
        <f t="shared" si="237"/>
        <v>17139000</v>
      </c>
      <c r="R2673" s="110">
        <f t="shared" si="238"/>
        <v>17139000</v>
      </c>
      <c r="S2673" s="112">
        <v>0</v>
      </c>
    </row>
    <row r="2674" spans="1:19">
      <c r="A2674" s="79">
        <v>8</v>
      </c>
      <c r="B2674" s="77" t="s">
        <v>656</v>
      </c>
      <c r="C2674" s="76" t="s">
        <v>7</v>
      </c>
      <c r="D2674" s="143">
        <v>79</v>
      </c>
      <c r="E2674" s="77"/>
      <c r="F2674" s="334">
        <v>79</v>
      </c>
      <c r="G2674" s="112">
        <v>0</v>
      </c>
      <c r="H2674" s="120" t="s">
        <v>1157</v>
      </c>
      <c r="I2674" s="120" t="s">
        <v>771</v>
      </c>
      <c r="J2674" s="120" t="s">
        <v>772</v>
      </c>
      <c r="K2674" s="110">
        <v>1006300</v>
      </c>
      <c r="L2674" s="110"/>
      <c r="M2674" s="110">
        <v>71600</v>
      </c>
      <c r="N2674" s="110"/>
      <c r="O2674" s="110"/>
      <c r="P2674" s="110">
        <f t="shared" si="236"/>
        <v>1077900</v>
      </c>
      <c r="Q2674" s="110">
        <f t="shared" si="237"/>
        <v>85154100</v>
      </c>
      <c r="R2674" s="110">
        <f t="shared" si="238"/>
        <v>85154100</v>
      </c>
      <c r="S2674" s="112">
        <v>0</v>
      </c>
    </row>
    <row r="2675" spans="1:19">
      <c r="A2675" s="79">
        <v>9</v>
      </c>
      <c r="B2675" s="77" t="s">
        <v>657</v>
      </c>
      <c r="C2675" s="76" t="s">
        <v>7</v>
      </c>
      <c r="D2675" s="143">
        <v>642</v>
      </c>
      <c r="E2675" s="77"/>
      <c r="F2675" s="334">
        <v>642</v>
      </c>
      <c r="G2675" s="112">
        <v>0</v>
      </c>
      <c r="H2675" s="120" t="s">
        <v>775</v>
      </c>
      <c r="I2675" s="120" t="s">
        <v>771</v>
      </c>
      <c r="J2675" s="120" t="s">
        <v>770</v>
      </c>
      <c r="K2675" s="110">
        <v>517900</v>
      </c>
      <c r="L2675" s="110"/>
      <c r="M2675" s="110">
        <v>53400</v>
      </c>
      <c r="N2675" s="110"/>
      <c r="O2675" s="110"/>
      <c r="P2675" s="110">
        <f t="shared" si="236"/>
        <v>571300</v>
      </c>
      <c r="Q2675" s="110">
        <f t="shared" si="237"/>
        <v>366774600</v>
      </c>
      <c r="R2675" s="110">
        <f t="shared" si="238"/>
        <v>366774600</v>
      </c>
      <c r="S2675" s="112">
        <v>0</v>
      </c>
    </row>
    <row r="2676" spans="1:19">
      <c r="A2676" s="79">
        <v>10</v>
      </c>
      <c r="B2676" s="77" t="s">
        <v>658</v>
      </c>
      <c r="C2676" s="76" t="s">
        <v>7</v>
      </c>
      <c r="D2676" s="143">
        <v>168</v>
      </c>
      <c r="E2676" s="77"/>
      <c r="F2676" s="334">
        <v>168</v>
      </c>
      <c r="G2676" s="112">
        <v>0</v>
      </c>
      <c r="H2676" s="120" t="s">
        <v>773</v>
      </c>
      <c r="I2676" s="120" t="s">
        <v>771</v>
      </c>
      <c r="J2676" s="120" t="s">
        <v>770</v>
      </c>
      <c r="K2676" s="110">
        <v>68400</v>
      </c>
      <c r="L2676" s="110"/>
      <c r="M2676" s="110">
        <v>23200</v>
      </c>
      <c r="N2676" s="110"/>
      <c r="O2676" s="110"/>
      <c r="P2676" s="110">
        <f t="shared" si="236"/>
        <v>91600</v>
      </c>
      <c r="Q2676" s="110">
        <f t="shared" si="237"/>
        <v>15388800</v>
      </c>
      <c r="R2676" s="110">
        <f t="shared" si="238"/>
        <v>15388800</v>
      </c>
      <c r="S2676" s="112">
        <v>0</v>
      </c>
    </row>
    <row r="2677" spans="1:19" ht="75">
      <c r="A2677" s="79">
        <v>11</v>
      </c>
      <c r="B2677" s="77" t="s">
        <v>659</v>
      </c>
      <c r="C2677" s="76" t="s">
        <v>4</v>
      </c>
      <c r="D2677" s="143">
        <v>54</v>
      </c>
      <c r="E2677" s="77"/>
      <c r="F2677" s="334">
        <v>54</v>
      </c>
      <c r="G2677" s="112" t="s">
        <v>989</v>
      </c>
      <c r="H2677" s="120">
        <v>0</v>
      </c>
      <c r="I2677" s="120">
        <v>0</v>
      </c>
      <c r="J2677" s="120" t="s">
        <v>772</v>
      </c>
      <c r="K2677" s="110">
        <v>898200</v>
      </c>
      <c r="L2677" s="110"/>
      <c r="M2677" s="110">
        <v>335500</v>
      </c>
      <c r="N2677" s="110"/>
      <c r="O2677" s="110"/>
      <c r="P2677" s="110">
        <f t="shared" si="236"/>
        <v>1233700</v>
      </c>
      <c r="Q2677" s="110">
        <f t="shared" si="237"/>
        <v>66619800</v>
      </c>
      <c r="R2677" s="110">
        <f t="shared" si="238"/>
        <v>66619800</v>
      </c>
      <c r="S2677" s="112">
        <v>0</v>
      </c>
    </row>
    <row r="2678" spans="1:19" ht="150">
      <c r="A2678" s="79">
        <v>12</v>
      </c>
      <c r="B2678" s="77" t="s">
        <v>660</v>
      </c>
      <c r="C2678" s="76" t="s">
        <v>4</v>
      </c>
      <c r="D2678" s="143">
        <v>8</v>
      </c>
      <c r="E2678" s="87" t="s">
        <v>1064</v>
      </c>
      <c r="F2678" s="334">
        <v>8</v>
      </c>
      <c r="G2678" s="112" t="s">
        <v>803</v>
      </c>
      <c r="H2678" s="120" t="s">
        <v>802</v>
      </c>
      <c r="I2678" s="120" t="s">
        <v>800</v>
      </c>
      <c r="J2678" s="120" t="s">
        <v>772</v>
      </c>
      <c r="K2678" s="110">
        <v>509400</v>
      </c>
      <c r="L2678" s="110"/>
      <c r="M2678" s="110">
        <v>170300</v>
      </c>
      <c r="N2678" s="110"/>
      <c r="O2678" s="110"/>
      <c r="P2678" s="110">
        <f t="shared" si="236"/>
        <v>679700</v>
      </c>
      <c r="Q2678" s="110">
        <f t="shared" si="237"/>
        <v>5437600</v>
      </c>
      <c r="R2678" s="110">
        <f t="shared" si="238"/>
        <v>5437600</v>
      </c>
      <c r="S2678" s="112">
        <v>0</v>
      </c>
    </row>
    <row r="2679" spans="1:19">
      <c r="A2679" s="79">
        <v>13</v>
      </c>
      <c r="B2679" s="77" t="s">
        <v>661</v>
      </c>
      <c r="C2679" s="76" t="s">
        <v>8</v>
      </c>
      <c r="D2679" s="143">
        <v>6</v>
      </c>
      <c r="E2679" s="77"/>
      <c r="F2679" s="334">
        <v>6</v>
      </c>
      <c r="G2679" s="112" t="s">
        <v>801</v>
      </c>
      <c r="H2679" s="120">
        <v>0</v>
      </c>
      <c r="I2679" s="120">
        <v>0</v>
      </c>
      <c r="J2679" s="120" t="s">
        <v>772</v>
      </c>
      <c r="K2679" s="110">
        <v>1404900</v>
      </c>
      <c r="L2679" s="110"/>
      <c r="M2679" s="110">
        <v>387900</v>
      </c>
      <c r="N2679" s="110"/>
      <c r="O2679" s="110"/>
      <c r="P2679" s="110">
        <f t="shared" si="236"/>
        <v>1792800</v>
      </c>
      <c r="Q2679" s="110">
        <f t="shared" si="237"/>
        <v>10756800</v>
      </c>
      <c r="R2679" s="110">
        <f t="shared" si="238"/>
        <v>10756800</v>
      </c>
      <c r="S2679" s="112">
        <v>0</v>
      </c>
    </row>
    <row r="2680" spans="1:19" ht="60">
      <c r="A2680" s="79">
        <v>14</v>
      </c>
      <c r="B2680" s="77" t="s">
        <v>662</v>
      </c>
      <c r="C2680" s="76" t="s">
        <v>20</v>
      </c>
      <c r="D2680" s="143">
        <v>1</v>
      </c>
      <c r="E2680" s="87" t="s">
        <v>1065</v>
      </c>
      <c r="F2680" s="334">
        <v>1</v>
      </c>
      <c r="G2680" s="112">
        <v>0</v>
      </c>
      <c r="H2680" s="120">
        <v>0</v>
      </c>
      <c r="I2680" s="120">
        <v>0</v>
      </c>
      <c r="J2680" s="120" t="s">
        <v>772</v>
      </c>
      <c r="K2680" s="110">
        <v>102106400</v>
      </c>
      <c r="L2680" s="110"/>
      <c r="M2680" s="110">
        <v>116878100</v>
      </c>
      <c r="N2680" s="110"/>
      <c r="O2680" s="110"/>
      <c r="P2680" s="110">
        <f t="shared" si="236"/>
        <v>218984500</v>
      </c>
      <c r="Q2680" s="110">
        <f t="shared" si="237"/>
        <v>218984500</v>
      </c>
      <c r="R2680" s="110">
        <f t="shared" si="238"/>
        <v>218984500</v>
      </c>
      <c r="S2680" s="112" t="s">
        <v>1107</v>
      </c>
    </row>
    <row r="2681" spans="1:19" ht="45">
      <c r="A2681" s="79">
        <v>15</v>
      </c>
      <c r="B2681" s="77" t="s">
        <v>663</v>
      </c>
      <c r="C2681" s="76" t="s">
        <v>7</v>
      </c>
      <c r="D2681" s="143">
        <v>513</v>
      </c>
      <c r="E2681" s="77"/>
      <c r="F2681" s="334">
        <v>513</v>
      </c>
      <c r="G2681" s="112" t="s">
        <v>974</v>
      </c>
      <c r="H2681" s="120" t="s">
        <v>975</v>
      </c>
      <c r="I2681" s="120" t="s">
        <v>723</v>
      </c>
      <c r="J2681" s="120" t="s">
        <v>772</v>
      </c>
      <c r="K2681" s="110">
        <v>28700</v>
      </c>
      <c r="L2681" s="110"/>
      <c r="M2681" s="110">
        <v>39300</v>
      </c>
      <c r="N2681" s="110"/>
      <c r="O2681" s="110"/>
      <c r="P2681" s="110">
        <f t="shared" si="236"/>
        <v>68000</v>
      </c>
      <c r="Q2681" s="110">
        <f t="shared" si="237"/>
        <v>34884000</v>
      </c>
      <c r="R2681" s="110">
        <f t="shared" si="238"/>
        <v>34884000</v>
      </c>
      <c r="S2681" s="112">
        <v>0</v>
      </c>
    </row>
    <row r="2682" spans="1:19">
      <c r="A2682" s="385" t="s">
        <v>19</v>
      </c>
      <c r="B2682" s="383" t="s">
        <v>1191</v>
      </c>
      <c r="C2682" s="244"/>
      <c r="D2682" s="276"/>
      <c r="E2682" s="399"/>
      <c r="F2682" s="398"/>
      <c r="G2682" s="429"/>
      <c r="H2682" s="430"/>
      <c r="I2682" s="430"/>
      <c r="J2682" s="430"/>
      <c r="K2682" s="538"/>
      <c r="L2682" s="538"/>
      <c r="M2682" s="538"/>
      <c r="N2682" s="538"/>
      <c r="O2682" s="538"/>
      <c r="P2682" s="538"/>
      <c r="Q2682" s="538"/>
      <c r="R2682" s="538"/>
      <c r="S2682" s="112">
        <v>0</v>
      </c>
    </row>
    <row r="2683" spans="1:19">
      <c r="A2683" s="116" t="s">
        <v>5</v>
      </c>
      <c r="B2683" s="116" t="s">
        <v>1048</v>
      </c>
      <c r="C2683" s="121">
        <v>0</v>
      </c>
      <c r="D2683" s="170"/>
      <c r="E2683" s="80"/>
      <c r="F2683" s="335">
        <v>0</v>
      </c>
      <c r="G2683" s="116">
        <v>0</v>
      </c>
      <c r="H2683" s="121">
        <v>0</v>
      </c>
      <c r="I2683" s="121">
        <v>0</v>
      </c>
      <c r="J2683" s="121">
        <v>0</v>
      </c>
      <c r="K2683" s="108">
        <v>0</v>
      </c>
      <c r="L2683" s="108"/>
      <c r="M2683" s="108">
        <v>0</v>
      </c>
      <c r="N2683" s="108"/>
      <c r="O2683" s="108"/>
      <c r="P2683" s="108">
        <f t="shared" ref="P2683" si="239">+K2683+L2683+M2683+N2683+O2683</f>
        <v>0</v>
      </c>
      <c r="Q2683" s="108">
        <f t="shared" ref="Q2683" si="240">+P2683*D2683</f>
        <v>0</v>
      </c>
      <c r="R2683" s="108">
        <f t="shared" ref="R2683" si="241">P2683*F2683</f>
        <v>0</v>
      </c>
      <c r="S2683" s="112">
        <v>0</v>
      </c>
    </row>
    <row r="2684" spans="1:19" s="505" customFormat="1">
      <c r="A2684" s="500">
        <v>0</v>
      </c>
      <c r="B2684" s="500" t="s">
        <v>108</v>
      </c>
      <c r="C2684" s="501">
        <v>0</v>
      </c>
      <c r="D2684" s="502"/>
      <c r="E2684" s="503"/>
      <c r="F2684" s="504">
        <v>0</v>
      </c>
      <c r="G2684" s="500">
        <v>0</v>
      </c>
      <c r="H2684" s="501">
        <v>0</v>
      </c>
      <c r="I2684" s="501">
        <v>0</v>
      </c>
      <c r="J2684" s="501">
        <v>0</v>
      </c>
      <c r="K2684" s="549">
        <v>0</v>
      </c>
      <c r="L2684" s="549"/>
      <c r="M2684" s="549">
        <v>0</v>
      </c>
      <c r="N2684" s="549"/>
      <c r="O2684" s="549"/>
      <c r="P2684" s="549">
        <f t="shared" ref="P2684:P2729" si="242">+K2684+L2684+M2684+N2684+O2684</f>
        <v>0</v>
      </c>
      <c r="Q2684" s="549">
        <f t="shared" ref="Q2684:Q2729" si="243">+P2684*D2684</f>
        <v>0</v>
      </c>
      <c r="R2684" s="549">
        <f t="shared" ref="R2684:R2729" si="244">P2684*F2684</f>
        <v>0</v>
      </c>
      <c r="S2684" s="500">
        <v>0</v>
      </c>
    </row>
    <row r="2685" spans="1:19" ht="45">
      <c r="A2685" s="112">
        <v>0</v>
      </c>
      <c r="B2685" s="112" t="s">
        <v>878</v>
      </c>
      <c r="C2685" s="120" t="s">
        <v>7</v>
      </c>
      <c r="D2685" s="143"/>
      <c r="E2685" s="77"/>
      <c r="F2685" s="334">
        <v>0</v>
      </c>
      <c r="G2685" s="112">
        <v>0</v>
      </c>
      <c r="H2685" s="120" t="s">
        <v>1125</v>
      </c>
      <c r="I2685" s="120" t="s">
        <v>771</v>
      </c>
      <c r="J2685" s="120" t="s">
        <v>772</v>
      </c>
      <c r="K2685" s="110">
        <v>3672600</v>
      </c>
      <c r="L2685" s="110"/>
      <c r="M2685" s="110">
        <v>151200</v>
      </c>
      <c r="N2685" s="110"/>
      <c r="O2685" s="110"/>
      <c r="P2685" s="110">
        <f t="shared" si="242"/>
        <v>3823800</v>
      </c>
      <c r="Q2685" s="110">
        <f t="shared" si="243"/>
        <v>0</v>
      </c>
      <c r="R2685" s="110">
        <f t="shared" si="244"/>
        <v>0</v>
      </c>
      <c r="S2685" s="112">
        <v>0</v>
      </c>
    </row>
    <row r="2686" spans="1:19" ht="30">
      <c r="A2686" s="112">
        <v>0</v>
      </c>
      <c r="B2686" s="112" t="s">
        <v>879</v>
      </c>
      <c r="C2686" s="120" t="s">
        <v>7</v>
      </c>
      <c r="D2686" s="143"/>
      <c r="E2686" s="77"/>
      <c r="F2686" s="334">
        <v>0</v>
      </c>
      <c r="G2686" s="112">
        <v>0</v>
      </c>
      <c r="H2686" s="120" t="s">
        <v>1110</v>
      </c>
      <c r="I2686" s="120" t="s">
        <v>771</v>
      </c>
      <c r="J2686" s="120" t="s">
        <v>772</v>
      </c>
      <c r="K2686" s="110">
        <v>570400</v>
      </c>
      <c r="L2686" s="110"/>
      <c r="M2686" s="110">
        <v>61500</v>
      </c>
      <c r="N2686" s="110"/>
      <c r="O2686" s="110"/>
      <c r="P2686" s="110">
        <f t="shared" si="242"/>
        <v>631900</v>
      </c>
      <c r="Q2686" s="110">
        <f t="shared" si="243"/>
        <v>0</v>
      </c>
      <c r="R2686" s="110">
        <f t="shared" si="244"/>
        <v>0</v>
      </c>
      <c r="S2686" s="112">
        <v>0</v>
      </c>
    </row>
    <row r="2687" spans="1:19" s="505" customFormat="1" ht="28.5">
      <c r="A2687" s="500">
        <v>0</v>
      </c>
      <c r="B2687" s="500" t="s">
        <v>121</v>
      </c>
      <c r="C2687" s="501">
        <v>0</v>
      </c>
      <c r="D2687" s="502"/>
      <c r="E2687" s="503"/>
      <c r="F2687" s="504">
        <v>0</v>
      </c>
      <c r="G2687" s="500">
        <v>0</v>
      </c>
      <c r="H2687" s="501">
        <v>0</v>
      </c>
      <c r="I2687" s="501">
        <v>0</v>
      </c>
      <c r="J2687" s="501">
        <v>0</v>
      </c>
      <c r="K2687" s="549">
        <v>0</v>
      </c>
      <c r="L2687" s="549"/>
      <c r="M2687" s="549">
        <v>0</v>
      </c>
      <c r="N2687" s="549"/>
      <c r="O2687" s="549"/>
      <c r="P2687" s="549">
        <f t="shared" si="242"/>
        <v>0</v>
      </c>
      <c r="Q2687" s="549">
        <f t="shared" si="243"/>
        <v>0</v>
      </c>
      <c r="R2687" s="549">
        <f t="shared" si="244"/>
        <v>0</v>
      </c>
      <c r="S2687" s="500">
        <v>0</v>
      </c>
    </row>
    <row r="2688" spans="1:19" ht="45">
      <c r="A2688" s="112">
        <v>0</v>
      </c>
      <c r="B2688" s="112" t="s">
        <v>880</v>
      </c>
      <c r="C2688" s="120" t="s">
        <v>7</v>
      </c>
      <c r="D2688" s="143"/>
      <c r="E2688" s="77"/>
      <c r="F2688" s="334">
        <v>0</v>
      </c>
      <c r="G2688" s="112">
        <v>0</v>
      </c>
      <c r="H2688" s="120" t="s">
        <v>4034</v>
      </c>
      <c r="I2688" s="120" t="s">
        <v>771</v>
      </c>
      <c r="J2688" s="120" t="s">
        <v>772</v>
      </c>
      <c r="K2688" s="110">
        <v>2632600</v>
      </c>
      <c r="L2688" s="110"/>
      <c r="M2688" s="110">
        <v>272100</v>
      </c>
      <c r="N2688" s="110"/>
      <c r="O2688" s="110"/>
      <c r="P2688" s="110">
        <f t="shared" si="242"/>
        <v>2904700</v>
      </c>
      <c r="Q2688" s="110">
        <f t="shared" si="243"/>
        <v>0</v>
      </c>
      <c r="R2688" s="110">
        <f t="shared" si="244"/>
        <v>0</v>
      </c>
      <c r="S2688" s="112">
        <v>0</v>
      </c>
    </row>
    <row r="2689" spans="1:19" s="505" customFormat="1">
      <c r="A2689" s="500">
        <v>0</v>
      </c>
      <c r="B2689" s="500" t="s">
        <v>136</v>
      </c>
      <c r="C2689" s="501">
        <v>0</v>
      </c>
      <c r="D2689" s="502"/>
      <c r="E2689" s="503"/>
      <c r="F2689" s="504">
        <v>0</v>
      </c>
      <c r="G2689" s="500">
        <v>0</v>
      </c>
      <c r="H2689" s="501">
        <v>0</v>
      </c>
      <c r="I2689" s="501">
        <v>0</v>
      </c>
      <c r="J2689" s="501">
        <v>0</v>
      </c>
      <c r="K2689" s="549">
        <v>0</v>
      </c>
      <c r="L2689" s="549"/>
      <c r="M2689" s="549">
        <v>0</v>
      </c>
      <c r="N2689" s="549"/>
      <c r="O2689" s="549"/>
      <c r="P2689" s="549">
        <f t="shared" si="242"/>
        <v>0</v>
      </c>
      <c r="Q2689" s="549">
        <f t="shared" si="243"/>
        <v>0</v>
      </c>
      <c r="R2689" s="549">
        <f t="shared" si="244"/>
        <v>0</v>
      </c>
      <c r="S2689" s="500">
        <v>0</v>
      </c>
    </row>
    <row r="2690" spans="1:19" ht="30">
      <c r="A2690" s="112">
        <v>0</v>
      </c>
      <c r="B2690" s="112" t="s">
        <v>881</v>
      </c>
      <c r="C2690" s="120" t="s">
        <v>7</v>
      </c>
      <c r="D2690" s="143"/>
      <c r="E2690" s="77"/>
      <c r="F2690" s="334">
        <v>0</v>
      </c>
      <c r="G2690" s="112" t="s">
        <v>918</v>
      </c>
      <c r="H2690" s="120">
        <v>0</v>
      </c>
      <c r="I2690" s="120">
        <v>0</v>
      </c>
      <c r="J2690" s="120">
        <v>0</v>
      </c>
      <c r="K2690" s="110">
        <v>0</v>
      </c>
      <c r="L2690" s="110"/>
      <c r="M2690" s="110">
        <v>0</v>
      </c>
      <c r="N2690" s="110"/>
      <c r="O2690" s="110"/>
      <c r="P2690" s="110">
        <f t="shared" si="242"/>
        <v>0</v>
      </c>
      <c r="Q2690" s="110">
        <f t="shared" si="243"/>
        <v>0</v>
      </c>
      <c r="R2690" s="110">
        <f t="shared" si="244"/>
        <v>0</v>
      </c>
      <c r="S2690" s="112" t="s">
        <v>1041</v>
      </c>
    </row>
    <row r="2691" spans="1:19" ht="30">
      <c r="A2691" s="112">
        <v>0</v>
      </c>
      <c r="B2691" s="112" t="s">
        <v>882</v>
      </c>
      <c r="C2691" s="120" t="s">
        <v>7</v>
      </c>
      <c r="D2691" s="143"/>
      <c r="E2691" s="77"/>
      <c r="F2691" s="334">
        <v>0</v>
      </c>
      <c r="G2691" s="112" t="s">
        <v>918</v>
      </c>
      <c r="H2691" s="120">
        <v>0</v>
      </c>
      <c r="I2691" s="120">
        <v>0</v>
      </c>
      <c r="J2691" s="120">
        <v>0</v>
      </c>
      <c r="K2691" s="110">
        <v>0</v>
      </c>
      <c r="L2691" s="110"/>
      <c r="M2691" s="110">
        <v>0</v>
      </c>
      <c r="N2691" s="110"/>
      <c r="O2691" s="110"/>
      <c r="P2691" s="110">
        <f t="shared" si="242"/>
        <v>0</v>
      </c>
      <c r="Q2691" s="110">
        <f t="shared" si="243"/>
        <v>0</v>
      </c>
      <c r="R2691" s="110">
        <f t="shared" si="244"/>
        <v>0</v>
      </c>
      <c r="S2691" s="112" t="s">
        <v>1041</v>
      </c>
    </row>
    <row r="2692" spans="1:19" ht="30">
      <c r="A2692" s="112">
        <v>0</v>
      </c>
      <c r="B2692" s="112" t="s">
        <v>883</v>
      </c>
      <c r="C2692" s="120" t="s">
        <v>7</v>
      </c>
      <c r="D2692" s="143"/>
      <c r="E2692" s="77"/>
      <c r="F2692" s="334">
        <v>0</v>
      </c>
      <c r="G2692" s="112" t="s">
        <v>917</v>
      </c>
      <c r="H2692" s="120" t="s">
        <v>991</v>
      </c>
      <c r="I2692" s="120" t="s">
        <v>808</v>
      </c>
      <c r="J2692" s="120" t="s">
        <v>772</v>
      </c>
      <c r="K2692" s="110">
        <v>111800</v>
      </c>
      <c r="L2692" s="110"/>
      <c r="M2692" s="110">
        <v>110900</v>
      </c>
      <c r="N2692" s="110"/>
      <c r="O2692" s="110"/>
      <c r="P2692" s="110">
        <f t="shared" si="242"/>
        <v>222700</v>
      </c>
      <c r="Q2692" s="110">
        <f t="shared" si="243"/>
        <v>0</v>
      </c>
      <c r="R2692" s="110">
        <f t="shared" si="244"/>
        <v>0</v>
      </c>
      <c r="S2692" s="112">
        <v>0</v>
      </c>
    </row>
    <row r="2693" spans="1:19">
      <c r="A2693" s="116" t="s">
        <v>9</v>
      </c>
      <c r="B2693" s="116" t="s">
        <v>1050</v>
      </c>
      <c r="C2693" s="121">
        <v>0</v>
      </c>
      <c r="D2693" s="170"/>
      <c r="E2693" s="80"/>
      <c r="F2693" s="335">
        <v>0</v>
      </c>
      <c r="G2693" s="116">
        <v>0</v>
      </c>
      <c r="H2693" s="121">
        <v>0</v>
      </c>
      <c r="I2693" s="121">
        <v>0</v>
      </c>
      <c r="J2693" s="121">
        <v>0</v>
      </c>
      <c r="K2693" s="108">
        <v>0</v>
      </c>
      <c r="L2693" s="108"/>
      <c r="M2693" s="108">
        <v>0</v>
      </c>
      <c r="N2693" s="108"/>
      <c r="O2693" s="108"/>
      <c r="P2693" s="108">
        <f t="shared" si="242"/>
        <v>0</v>
      </c>
      <c r="Q2693" s="108">
        <f t="shared" si="243"/>
        <v>0</v>
      </c>
      <c r="R2693" s="108">
        <f t="shared" si="244"/>
        <v>0</v>
      </c>
      <c r="S2693" s="112">
        <v>0</v>
      </c>
    </row>
    <row r="2694" spans="1:19" ht="135">
      <c r="A2694" s="112">
        <v>0</v>
      </c>
      <c r="B2694" s="112" t="s">
        <v>1017</v>
      </c>
      <c r="C2694" s="120" t="s">
        <v>1007</v>
      </c>
      <c r="D2694" s="143"/>
      <c r="E2694" s="77"/>
      <c r="F2694" s="334">
        <v>0</v>
      </c>
      <c r="G2694" s="112">
        <v>0</v>
      </c>
      <c r="H2694" s="120">
        <v>0</v>
      </c>
      <c r="I2694" s="120">
        <v>0</v>
      </c>
      <c r="J2694" s="120">
        <v>0</v>
      </c>
      <c r="K2694" s="110">
        <v>0</v>
      </c>
      <c r="L2694" s="110"/>
      <c r="M2694" s="110">
        <v>0</v>
      </c>
      <c r="N2694" s="110"/>
      <c r="O2694" s="110"/>
      <c r="P2694" s="110">
        <f t="shared" si="242"/>
        <v>0</v>
      </c>
      <c r="Q2694" s="110">
        <f t="shared" si="243"/>
        <v>0</v>
      </c>
      <c r="R2694" s="110">
        <f t="shared" si="244"/>
        <v>0</v>
      </c>
      <c r="S2694" s="112" t="s">
        <v>2687</v>
      </c>
    </row>
    <row r="2695" spans="1:19">
      <c r="A2695" s="116" t="s">
        <v>10</v>
      </c>
      <c r="B2695" s="116" t="s">
        <v>1052</v>
      </c>
      <c r="C2695" s="121">
        <v>0</v>
      </c>
      <c r="D2695" s="170"/>
      <c r="E2695" s="80"/>
      <c r="F2695" s="335">
        <v>0</v>
      </c>
      <c r="G2695" s="116">
        <v>0</v>
      </c>
      <c r="H2695" s="121">
        <v>0</v>
      </c>
      <c r="I2695" s="121">
        <v>0</v>
      </c>
      <c r="J2695" s="121">
        <v>0</v>
      </c>
      <c r="K2695" s="108">
        <v>0</v>
      </c>
      <c r="L2695" s="108"/>
      <c r="M2695" s="108">
        <v>0</v>
      </c>
      <c r="N2695" s="108"/>
      <c r="O2695" s="108"/>
      <c r="P2695" s="108">
        <f t="shared" si="242"/>
        <v>0</v>
      </c>
      <c r="Q2695" s="108">
        <f t="shared" si="243"/>
        <v>0</v>
      </c>
      <c r="R2695" s="108">
        <f t="shared" si="244"/>
        <v>0</v>
      </c>
      <c r="S2695" s="112">
        <v>0</v>
      </c>
    </row>
    <row r="2696" spans="1:19">
      <c r="A2696" s="116">
        <v>0</v>
      </c>
      <c r="B2696" s="116" t="s">
        <v>108</v>
      </c>
      <c r="C2696" s="121">
        <v>0</v>
      </c>
      <c r="D2696" s="170"/>
      <c r="E2696" s="80"/>
      <c r="F2696" s="335">
        <v>0</v>
      </c>
      <c r="G2696" s="116">
        <v>0</v>
      </c>
      <c r="H2696" s="121">
        <v>0</v>
      </c>
      <c r="I2696" s="121">
        <v>0</v>
      </c>
      <c r="J2696" s="121">
        <v>0</v>
      </c>
      <c r="K2696" s="108">
        <v>0</v>
      </c>
      <c r="L2696" s="108"/>
      <c r="M2696" s="108">
        <v>0</v>
      </c>
      <c r="N2696" s="108"/>
      <c r="O2696" s="108"/>
      <c r="P2696" s="108">
        <f t="shared" si="242"/>
        <v>0</v>
      </c>
      <c r="Q2696" s="108">
        <f t="shared" si="243"/>
        <v>0</v>
      </c>
      <c r="R2696" s="108">
        <f t="shared" si="244"/>
        <v>0</v>
      </c>
      <c r="S2696" s="112">
        <v>0</v>
      </c>
    </row>
    <row r="2697" spans="1:19" ht="30">
      <c r="A2697" s="112">
        <v>0</v>
      </c>
      <c r="B2697" s="112" t="s">
        <v>887</v>
      </c>
      <c r="C2697" s="120" t="s">
        <v>7</v>
      </c>
      <c r="D2697" s="143"/>
      <c r="E2697" s="77"/>
      <c r="F2697" s="334">
        <v>0</v>
      </c>
      <c r="G2697" s="112">
        <v>0</v>
      </c>
      <c r="H2697" s="120" t="s">
        <v>1113</v>
      </c>
      <c r="I2697" s="120" t="s">
        <v>771</v>
      </c>
      <c r="J2697" s="120" t="s">
        <v>772</v>
      </c>
      <c r="K2697" s="110">
        <v>13900</v>
      </c>
      <c r="L2697" s="110"/>
      <c r="M2697" s="110">
        <v>7100</v>
      </c>
      <c r="N2697" s="110"/>
      <c r="O2697" s="110"/>
      <c r="P2697" s="110">
        <f t="shared" si="242"/>
        <v>21000</v>
      </c>
      <c r="Q2697" s="110">
        <f t="shared" si="243"/>
        <v>0</v>
      </c>
      <c r="R2697" s="110">
        <f t="shared" si="244"/>
        <v>0</v>
      </c>
      <c r="S2697" s="112">
        <v>0</v>
      </c>
    </row>
    <row r="2698" spans="1:19" ht="28.5">
      <c r="A2698" s="116">
        <v>0</v>
      </c>
      <c r="B2698" s="116" t="s">
        <v>121</v>
      </c>
      <c r="C2698" s="121">
        <v>0</v>
      </c>
      <c r="D2698" s="170"/>
      <c r="E2698" s="80"/>
      <c r="F2698" s="335">
        <v>0</v>
      </c>
      <c r="G2698" s="116">
        <v>0</v>
      </c>
      <c r="H2698" s="121">
        <v>0</v>
      </c>
      <c r="I2698" s="121">
        <v>0</v>
      </c>
      <c r="J2698" s="121">
        <v>0</v>
      </c>
      <c r="K2698" s="108">
        <v>0</v>
      </c>
      <c r="L2698" s="108"/>
      <c r="M2698" s="108">
        <v>0</v>
      </c>
      <c r="N2698" s="108"/>
      <c r="O2698" s="108"/>
      <c r="P2698" s="108">
        <f t="shared" si="242"/>
        <v>0</v>
      </c>
      <c r="Q2698" s="108">
        <f t="shared" si="243"/>
        <v>0</v>
      </c>
      <c r="R2698" s="108">
        <f t="shared" si="244"/>
        <v>0</v>
      </c>
      <c r="S2698" s="112">
        <v>0</v>
      </c>
    </row>
    <row r="2699" spans="1:19" ht="30">
      <c r="A2699" s="112">
        <v>0</v>
      </c>
      <c r="B2699" s="112" t="s">
        <v>888</v>
      </c>
      <c r="C2699" s="120" t="s">
        <v>7</v>
      </c>
      <c r="D2699" s="143"/>
      <c r="E2699" s="77"/>
      <c r="F2699" s="334">
        <v>0</v>
      </c>
      <c r="G2699" s="112">
        <v>0</v>
      </c>
      <c r="H2699" s="120" t="s">
        <v>1138</v>
      </c>
      <c r="I2699" s="120" t="s">
        <v>771</v>
      </c>
      <c r="J2699" s="120" t="s">
        <v>772</v>
      </c>
      <c r="K2699" s="110">
        <v>71800</v>
      </c>
      <c r="L2699" s="110"/>
      <c r="M2699" s="110">
        <v>22200</v>
      </c>
      <c r="N2699" s="110"/>
      <c r="O2699" s="110"/>
      <c r="P2699" s="110">
        <f t="shared" si="242"/>
        <v>94000</v>
      </c>
      <c r="Q2699" s="110">
        <f t="shared" si="243"/>
        <v>0</v>
      </c>
      <c r="R2699" s="110">
        <f t="shared" si="244"/>
        <v>0</v>
      </c>
      <c r="S2699" s="112">
        <v>0</v>
      </c>
    </row>
    <row r="2700" spans="1:19">
      <c r="A2700" s="116">
        <v>0</v>
      </c>
      <c r="B2700" s="116" t="s">
        <v>136</v>
      </c>
      <c r="C2700" s="121">
        <v>0</v>
      </c>
      <c r="D2700" s="170"/>
      <c r="E2700" s="80"/>
      <c r="F2700" s="335">
        <v>0</v>
      </c>
      <c r="G2700" s="116">
        <v>0</v>
      </c>
      <c r="H2700" s="121">
        <v>0</v>
      </c>
      <c r="I2700" s="121">
        <v>0</v>
      </c>
      <c r="J2700" s="121">
        <v>0</v>
      </c>
      <c r="K2700" s="108">
        <v>0</v>
      </c>
      <c r="L2700" s="108"/>
      <c r="M2700" s="108">
        <v>0</v>
      </c>
      <c r="N2700" s="108"/>
      <c r="O2700" s="108"/>
      <c r="P2700" s="108">
        <f t="shared" si="242"/>
        <v>0</v>
      </c>
      <c r="Q2700" s="108">
        <f t="shared" si="243"/>
        <v>0</v>
      </c>
      <c r="R2700" s="108">
        <f t="shared" si="244"/>
        <v>0</v>
      </c>
      <c r="S2700" s="112">
        <v>0</v>
      </c>
    </row>
    <row r="2701" spans="1:19" ht="45">
      <c r="A2701" s="112">
        <v>0</v>
      </c>
      <c r="B2701" s="112" t="s">
        <v>889</v>
      </c>
      <c r="C2701" s="120" t="s">
        <v>7</v>
      </c>
      <c r="D2701" s="143"/>
      <c r="E2701" s="77"/>
      <c r="F2701" s="334">
        <v>0</v>
      </c>
      <c r="G2701" s="112">
        <v>0</v>
      </c>
      <c r="H2701" s="120" t="s">
        <v>776</v>
      </c>
      <c r="I2701" s="120" t="s">
        <v>771</v>
      </c>
      <c r="J2701" s="120" t="s">
        <v>772</v>
      </c>
      <c r="K2701" s="110">
        <v>8700</v>
      </c>
      <c r="L2701" s="110"/>
      <c r="M2701" s="110">
        <v>6100</v>
      </c>
      <c r="N2701" s="110"/>
      <c r="O2701" s="110"/>
      <c r="P2701" s="110">
        <f t="shared" si="242"/>
        <v>14800</v>
      </c>
      <c r="Q2701" s="110">
        <f t="shared" si="243"/>
        <v>0</v>
      </c>
      <c r="R2701" s="110">
        <f t="shared" si="244"/>
        <v>0</v>
      </c>
      <c r="S2701" s="112">
        <v>0</v>
      </c>
    </row>
    <row r="2702" spans="1:19">
      <c r="A2702" s="116">
        <v>0</v>
      </c>
      <c r="B2702" s="116" t="s">
        <v>753</v>
      </c>
      <c r="C2702" s="121">
        <v>0</v>
      </c>
      <c r="D2702" s="170"/>
      <c r="E2702" s="80"/>
      <c r="F2702" s="335">
        <v>0</v>
      </c>
      <c r="G2702" s="116">
        <v>0</v>
      </c>
      <c r="H2702" s="121">
        <v>0</v>
      </c>
      <c r="I2702" s="121">
        <v>0</v>
      </c>
      <c r="J2702" s="121">
        <v>0</v>
      </c>
      <c r="K2702" s="108">
        <v>0</v>
      </c>
      <c r="L2702" s="108"/>
      <c r="M2702" s="108">
        <v>0</v>
      </c>
      <c r="N2702" s="108"/>
      <c r="O2702" s="108"/>
      <c r="P2702" s="108">
        <f t="shared" si="242"/>
        <v>0</v>
      </c>
      <c r="Q2702" s="108">
        <f t="shared" si="243"/>
        <v>0</v>
      </c>
      <c r="R2702" s="108">
        <f t="shared" si="244"/>
        <v>0</v>
      </c>
      <c r="S2702" s="112">
        <v>0</v>
      </c>
    </row>
    <row r="2703" spans="1:19" ht="60">
      <c r="A2703" s="112">
        <v>0</v>
      </c>
      <c r="B2703" s="112" t="s">
        <v>891</v>
      </c>
      <c r="C2703" s="120" t="s">
        <v>7</v>
      </c>
      <c r="D2703" s="143"/>
      <c r="E2703" s="77"/>
      <c r="F2703" s="334">
        <v>0</v>
      </c>
      <c r="G2703" s="112" t="s">
        <v>822</v>
      </c>
      <c r="H2703" s="120" t="s">
        <v>821</v>
      </c>
      <c r="I2703" s="120" t="s">
        <v>723</v>
      </c>
      <c r="J2703" s="120" t="s">
        <v>772</v>
      </c>
      <c r="K2703" s="110">
        <v>25800</v>
      </c>
      <c r="L2703" s="110"/>
      <c r="M2703" s="110">
        <v>30300</v>
      </c>
      <c r="N2703" s="110"/>
      <c r="O2703" s="110"/>
      <c r="P2703" s="110">
        <f t="shared" si="242"/>
        <v>56100</v>
      </c>
      <c r="Q2703" s="110">
        <f t="shared" si="243"/>
        <v>0</v>
      </c>
      <c r="R2703" s="110">
        <f t="shared" si="244"/>
        <v>0</v>
      </c>
      <c r="S2703" s="112" t="s">
        <v>1197</v>
      </c>
    </row>
    <row r="2704" spans="1:19">
      <c r="A2704" s="112">
        <v>0</v>
      </c>
      <c r="B2704" s="112" t="s">
        <v>892</v>
      </c>
      <c r="C2704" s="120" t="s">
        <v>826</v>
      </c>
      <c r="D2704" s="143"/>
      <c r="E2704" s="77"/>
      <c r="F2704" s="334">
        <v>0</v>
      </c>
      <c r="G2704" s="112">
        <v>0</v>
      </c>
      <c r="H2704" s="120">
        <v>0</v>
      </c>
      <c r="I2704" s="120">
        <v>0</v>
      </c>
      <c r="J2704" s="120">
        <v>0</v>
      </c>
      <c r="K2704" s="110">
        <v>0</v>
      </c>
      <c r="L2704" s="110"/>
      <c r="M2704" s="110">
        <v>246900</v>
      </c>
      <c r="N2704" s="110"/>
      <c r="O2704" s="110"/>
      <c r="P2704" s="110">
        <f t="shared" si="242"/>
        <v>246900</v>
      </c>
      <c r="Q2704" s="110">
        <f t="shared" si="243"/>
        <v>0</v>
      </c>
      <c r="R2704" s="110">
        <f t="shared" si="244"/>
        <v>0</v>
      </c>
      <c r="S2704" s="112">
        <v>0</v>
      </c>
    </row>
    <row r="2705" spans="1:19" ht="30">
      <c r="A2705" s="112">
        <v>0</v>
      </c>
      <c r="B2705" s="112" t="s">
        <v>890</v>
      </c>
      <c r="C2705" s="120" t="s">
        <v>7</v>
      </c>
      <c r="D2705" s="143"/>
      <c r="E2705" s="77"/>
      <c r="F2705" s="334">
        <v>0</v>
      </c>
      <c r="G2705" s="112" t="s">
        <v>1005</v>
      </c>
      <c r="H2705" s="120" t="s">
        <v>1006</v>
      </c>
      <c r="I2705" s="120" t="s">
        <v>808</v>
      </c>
      <c r="J2705" s="120" t="s">
        <v>772</v>
      </c>
      <c r="K2705" s="110">
        <v>0</v>
      </c>
      <c r="L2705" s="110"/>
      <c r="M2705" s="110">
        <v>52400</v>
      </c>
      <c r="N2705" s="110"/>
      <c r="O2705" s="110"/>
      <c r="P2705" s="110">
        <f t="shared" si="242"/>
        <v>52400</v>
      </c>
      <c r="Q2705" s="110">
        <f t="shared" si="243"/>
        <v>0</v>
      </c>
      <c r="R2705" s="110">
        <f t="shared" si="244"/>
        <v>0</v>
      </c>
      <c r="S2705" s="112">
        <v>0</v>
      </c>
    </row>
    <row r="2706" spans="1:19">
      <c r="A2706" s="116">
        <v>0</v>
      </c>
      <c r="B2706" s="116" t="s">
        <v>1058</v>
      </c>
      <c r="C2706" s="121">
        <v>0</v>
      </c>
      <c r="D2706" s="170"/>
      <c r="E2706" s="80"/>
      <c r="F2706" s="335">
        <v>0</v>
      </c>
      <c r="G2706" s="116">
        <v>0</v>
      </c>
      <c r="H2706" s="121">
        <v>0</v>
      </c>
      <c r="I2706" s="121">
        <v>0</v>
      </c>
      <c r="J2706" s="121">
        <v>0</v>
      </c>
      <c r="K2706" s="108">
        <v>0</v>
      </c>
      <c r="L2706" s="108"/>
      <c r="M2706" s="108">
        <v>0</v>
      </c>
      <c r="N2706" s="108"/>
      <c r="O2706" s="108"/>
      <c r="P2706" s="108">
        <f t="shared" ref="P2706:P2709" si="245">+K2706+L2706+M2706+N2706+O2706</f>
        <v>0</v>
      </c>
      <c r="Q2706" s="108">
        <f t="shared" ref="Q2706:Q2709" si="246">+P2706*D2706</f>
        <v>0</v>
      </c>
      <c r="R2706" s="108">
        <f t="shared" ref="R2706:R2709" si="247">P2706*F2706</f>
        <v>0</v>
      </c>
      <c r="S2706" s="112">
        <v>0</v>
      </c>
    </row>
    <row r="2707" spans="1:19" ht="60">
      <c r="A2707" s="112">
        <v>0</v>
      </c>
      <c r="B2707" s="112" t="s">
        <v>3761</v>
      </c>
      <c r="C2707" s="120" t="s">
        <v>7</v>
      </c>
      <c r="D2707" s="143"/>
      <c r="E2707" s="77"/>
      <c r="F2707" s="334">
        <v>0</v>
      </c>
      <c r="G2707" s="112" t="s">
        <v>3755</v>
      </c>
      <c r="H2707" s="120" t="s">
        <v>3759</v>
      </c>
      <c r="I2707" s="120" t="s">
        <v>723</v>
      </c>
      <c r="J2707" s="120" t="s">
        <v>772</v>
      </c>
      <c r="K2707" s="110">
        <v>16300</v>
      </c>
      <c r="L2707" s="110"/>
      <c r="M2707" s="110">
        <v>43700</v>
      </c>
      <c r="N2707" s="110"/>
      <c r="O2707" s="110"/>
      <c r="P2707" s="110">
        <f t="shared" si="245"/>
        <v>60000</v>
      </c>
      <c r="Q2707" s="110">
        <f t="shared" si="246"/>
        <v>0</v>
      </c>
      <c r="R2707" s="110">
        <f t="shared" si="247"/>
        <v>0</v>
      </c>
      <c r="S2707" s="112" t="s">
        <v>1018</v>
      </c>
    </row>
    <row r="2708" spans="1:19" ht="60">
      <c r="A2708" s="112">
        <v>0</v>
      </c>
      <c r="B2708" s="112" t="s">
        <v>3763</v>
      </c>
      <c r="C2708" s="120" t="s">
        <v>7</v>
      </c>
      <c r="D2708" s="143"/>
      <c r="E2708" s="77"/>
      <c r="F2708" s="334">
        <v>0</v>
      </c>
      <c r="G2708" s="112" t="s">
        <v>3756</v>
      </c>
      <c r="H2708" s="120" t="s">
        <v>3760</v>
      </c>
      <c r="I2708" s="120" t="s">
        <v>723</v>
      </c>
      <c r="J2708" s="120" t="s">
        <v>772</v>
      </c>
      <c r="K2708" s="110">
        <v>30700</v>
      </c>
      <c r="L2708" s="110"/>
      <c r="M2708" s="110">
        <v>46400</v>
      </c>
      <c r="N2708" s="110"/>
      <c r="O2708" s="110"/>
      <c r="P2708" s="110">
        <f t="shared" si="245"/>
        <v>77100</v>
      </c>
      <c r="Q2708" s="110">
        <f t="shared" si="246"/>
        <v>0</v>
      </c>
      <c r="R2708" s="110">
        <f t="shared" si="247"/>
        <v>0</v>
      </c>
      <c r="S2708" s="112" t="s">
        <v>1018</v>
      </c>
    </row>
    <row r="2709" spans="1:19" ht="60">
      <c r="A2709" s="112">
        <v>0</v>
      </c>
      <c r="B2709" s="112" t="s">
        <v>3762</v>
      </c>
      <c r="C2709" s="120" t="s">
        <v>7</v>
      </c>
      <c r="D2709" s="143"/>
      <c r="E2709" s="77"/>
      <c r="F2709" s="334">
        <v>0</v>
      </c>
      <c r="G2709" s="112" t="s">
        <v>3757</v>
      </c>
      <c r="H2709" s="120" t="s">
        <v>3758</v>
      </c>
      <c r="I2709" s="120" t="s">
        <v>723</v>
      </c>
      <c r="J2709" s="120" t="s">
        <v>772</v>
      </c>
      <c r="K2709" s="110">
        <v>39600</v>
      </c>
      <c r="L2709" s="110"/>
      <c r="M2709" s="110">
        <v>47700</v>
      </c>
      <c r="N2709" s="110"/>
      <c r="O2709" s="110"/>
      <c r="P2709" s="110">
        <f t="shared" si="245"/>
        <v>87300</v>
      </c>
      <c r="Q2709" s="110">
        <f t="shared" si="246"/>
        <v>0</v>
      </c>
      <c r="R2709" s="110">
        <f t="shared" si="247"/>
        <v>0</v>
      </c>
      <c r="S2709" s="112" t="s">
        <v>1018</v>
      </c>
    </row>
    <row r="2710" spans="1:19">
      <c r="A2710" s="116">
        <v>0</v>
      </c>
      <c r="B2710" s="116" t="s">
        <v>480</v>
      </c>
      <c r="C2710" s="121">
        <v>0</v>
      </c>
      <c r="D2710" s="170"/>
      <c r="E2710" s="80"/>
      <c r="F2710" s="335">
        <v>0</v>
      </c>
      <c r="G2710" s="116">
        <v>0</v>
      </c>
      <c r="H2710" s="121">
        <v>0</v>
      </c>
      <c r="I2710" s="121">
        <v>0</v>
      </c>
      <c r="J2710" s="121">
        <v>0</v>
      </c>
      <c r="K2710" s="108">
        <v>0</v>
      </c>
      <c r="L2710" s="108"/>
      <c r="M2710" s="108">
        <v>0</v>
      </c>
      <c r="N2710" s="108"/>
      <c r="O2710" s="108"/>
      <c r="P2710" s="108">
        <f t="shared" si="242"/>
        <v>0</v>
      </c>
      <c r="Q2710" s="108">
        <f t="shared" si="243"/>
        <v>0</v>
      </c>
      <c r="R2710" s="108">
        <f t="shared" si="244"/>
        <v>0</v>
      </c>
      <c r="S2710" s="112">
        <v>0</v>
      </c>
    </row>
    <row r="2711" spans="1:19" ht="45">
      <c r="A2711" s="112">
        <v>0</v>
      </c>
      <c r="B2711" s="112" t="s">
        <v>708</v>
      </c>
      <c r="C2711" s="120" t="s">
        <v>7</v>
      </c>
      <c r="D2711" s="143"/>
      <c r="E2711" s="77"/>
      <c r="F2711" s="334">
        <v>0</v>
      </c>
      <c r="G2711" s="112" t="s">
        <v>820</v>
      </c>
      <c r="H2711" s="120" t="s">
        <v>819</v>
      </c>
      <c r="I2711" s="120" t="s">
        <v>723</v>
      </c>
      <c r="J2711" s="120" t="s">
        <v>772</v>
      </c>
      <c r="K2711" s="110">
        <v>4100</v>
      </c>
      <c r="L2711" s="110"/>
      <c r="M2711" s="110">
        <v>15200</v>
      </c>
      <c r="N2711" s="110"/>
      <c r="O2711" s="110"/>
      <c r="P2711" s="110">
        <f t="shared" si="242"/>
        <v>19300</v>
      </c>
      <c r="Q2711" s="110">
        <f t="shared" si="243"/>
        <v>0</v>
      </c>
      <c r="R2711" s="110">
        <f t="shared" si="244"/>
        <v>0</v>
      </c>
      <c r="S2711" s="112">
        <v>0</v>
      </c>
    </row>
    <row r="2712" spans="1:19" ht="45">
      <c r="A2712" s="112">
        <v>0</v>
      </c>
      <c r="B2712" s="112" t="s">
        <v>707</v>
      </c>
      <c r="C2712" s="120" t="s">
        <v>7</v>
      </c>
      <c r="D2712" s="143"/>
      <c r="E2712" s="77"/>
      <c r="F2712" s="334">
        <v>0</v>
      </c>
      <c r="G2712" s="112" t="s">
        <v>976</v>
      </c>
      <c r="H2712" s="120" t="s">
        <v>977</v>
      </c>
      <c r="I2712" s="120" t="s">
        <v>723</v>
      </c>
      <c r="J2712" s="120" t="s">
        <v>772</v>
      </c>
      <c r="K2712" s="110">
        <v>9600</v>
      </c>
      <c r="L2712" s="110"/>
      <c r="M2712" s="110">
        <v>18200</v>
      </c>
      <c r="N2712" s="110"/>
      <c r="O2712" s="110"/>
      <c r="P2712" s="110">
        <f t="shared" si="242"/>
        <v>27800</v>
      </c>
      <c r="Q2712" s="110">
        <f t="shared" si="243"/>
        <v>0</v>
      </c>
      <c r="R2712" s="110">
        <f t="shared" si="244"/>
        <v>0</v>
      </c>
      <c r="S2712" s="112">
        <v>0</v>
      </c>
    </row>
    <row r="2713" spans="1:19">
      <c r="A2713" s="116" t="s">
        <v>717</v>
      </c>
      <c r="B2713" s="116" t="s">
        <v>1062</v>
      </c>
      <c r="C2713" s="121">
        <v>0</v>
      </c>
      <c r="D2713" s="170"/>
      <c r="E2713" s="80"/>
      <c r="F2713" s="335">
        <v>0</v>
      </c>
      <c r="G2713" s="116">
        <v>0</v>
      </c>
      <c r="H2713" s="121">
        <v>0</v>
      </c>
      <c r="I2713" s="121">
        <v>0</v>
      </c>
      <c r="J2713" s="121">
        <v>0</v>
      </c>
      <c r="K2713" s="108">
        <v>0</v>
      </c>
      <c r="L2713" s="108"/>
      <c r="M2713" s="108">
        <v>0</v>
      </c>
      <c r="N2713" s="108"/>
      <c r="O2713" s="108"/>
      <c r="P2713" s="108">
        <f t="shared" si="242"/>
        <v>0</v>
      </c>
      <c r="Q2713" s="108">
        <f t="shared" si="243"/>
        <v>0</v>
      </c>
      <c r="R2713" s="108">
        <f t="shared" si="244"/>
        <v>0</v>
      </c>
      <c r="S2713" s="112">
        <v>0</v>
      </c>
    </row>
    <row r="2714" spans="1:19" ht="60">
      <c r="A2714" s="112">
        <v>0</v>
      </c>
      <c r="B2714" s="112" t="s">
        <v>899</v>
      </c>
      <c r="C2714" s="120" t="s">
        <v>7</v>
      </c>
      <c r="D2714" s="143"/>
      <c r="E2714" s="77"/>
      <c r="F2714" s="334">
        <v>0</v>
      </c>
      <c r="G2714" s="112" t="s">
        <v>1026</v>
      </c>
      <c r="H2714" s="120" t="s">
        <v>1032</v>
      </c>
      <c r="I2714" s="120" t="s">
        <v>807</v>
      </c>
      <c r="J2714" s="120" t="s">
        <v>772</v>
      </c>
      <c r="K2714" s="110">
        <v>169700</v>
      </c>
      <c r="L2714" s="110"/>
      <c r="M2714" s="110">
        <v>102800</v>
      </c>
      <c r="N2714" s="110"/>
      <c r="O2714" s="110"/>
      <c r="P2714" s="110">
        <f t="shared" si="242"/>
        <v>272500</v>
      </c>
      <c r="Q2714" s="110">
        <f t="shared" si="243"/>
        <v>0</v>
      </c>
      <c r="R2714" s="110">
        <f t="shared" si="244"/>
        <v>0</v>
      </c>
      <c r="S2714" s="112" t="s">
        <v>1039</v>
      </c>
    </row>
    <row r="2715" spans="1:19" ht="45">
      <c r="A2715" s="112">
        <v>0</v>
      </c>
      <c r="B2715" s="112" t="s">
        <v>900</v>
      </c>
      <c r="C2715" s="120" t="s">
        <v>4</v>
      </c>
      <c r="D2715" s="143"/>
      <c r="E2715" s="77"/>
      <c r="F2715" s="334">
        <v>0</v>
      </c>
      <c r="G2715" s="112" t="s">
        <v>900</v>
      </c>
      <c r="H2715" s="120" t="s">
        <v>1027</v>
      </c>
      <c r="I2715" s="120" t="s">
        <v>807</v>
      </c>
      <c r="J2715" s="120" t="s">
        <v>772</v>
      </c>
      <c r="K2715" s="110">
        <v>165800</v>
      </c>
      <c r="L2715" s="110"/>
      <c r="M2715" s="110">
        <v>102800</v>
      </c>
      <c r="N2715" s="110"/>
      <c r="O2715" s="110"/>
      <c r="P2715" s="110">
        <f t="shared" si="242"/>
        <v>268600</v>
      </c>
      <c r="Q2715" s="110">
        <f t="shared" si="243"/>
        <v>0</v>
      </c>
      <c r="R2715" s="110">
        <f t="shared" si="244"/>
        <v>0</v>
      </c>
      <c r="S2715" s="112">
        <v>0</v>
      </c>
    </row>
    <row r="2716" spans="1:19" ht="45">
      <c r="A2716" s="112">
        <v>0</v>
      </c>
      <c r="B2716" s="112" t="s">
        <v>901</v>
      </c>
      <c r="C2716" s="120" t="s">
        <v>4</v>
      </c>
      <c r="D2716" s="143"/>
      <c r="E2716" s="77"/>
      <c r="F2716" s="334">
        <v>0</v>
      </c>
      <c r="G2716" s="112" t="s">
        <v>901</v>
      </c>
      <c r="H2716" s="120" t="s">
        <v>1027</v>
      </c>
      <c r="I2716" s="120" t="s">
        <v>807</v>
      </c>
      <c r="J2716" s="120" t="s">
        <v>772</v>
      </c>
      <c r="K2716" s="110">
        <v>165800</v>
      </c>
      <c r="L2716" s="110"/>
      <c r="M2716" s="110">
        <v>102800</v>
      </c>
      <c r="N2716" s="110"/>
      <c r="O2716" s="110"/>
      <c r="P2716" s="110">
        <f t="shared" si="242"/>
        <v>268600</v>
      </c>
      <c r="Q2716" s="110">
        <f t="shared" si="243"/>
        <v>0</v>
      </c>
      <c r="R2716" s="110">
        <f t="shared" si="244"/>
        <v>0</v>
      </c>
      <c r="S2716" s="112">
        <v>0</v>
      </c>
    </row>
    <row r="2717" spans="1:19" ht="60">
      <c r="A2717" s="112">
        <v>0</v>
      </c>
      <c r="B2717" s="112" t="s">
        <v>902</v>
      </c>
      <c r="C2717" s="120" t="s">
        <v>7</v>
      </c>
      <c r="D2717" s="143"/>
      <c r="E2717" s="77"/>
      <c r="F2717" s="334">
        <v>0</v>
      </c>
      <c r="G2717" s="112" t="s">
        <v>1028</v>
      </c>
      <c r="H2717" s="120" t="s">
        <v>1022</v>
      </c>
      <c r="I2717" s="120" t="s">
        <v>807</v>
      </c>
      <c r="J2717" s="120" t="s">
        <v>772</v>
      </c>
      <c r="K2717" s="110">
        <v>705300</v>
      </c>
      <c r="L2717" s="110"/>
      <c r="M2717" s="110">
        <v>158200</v>
      </c>
      <c r="N2717" s="110"/>
      <c r="O2717" s="110"/>
      <c r="P2717" s="110">
        <f t="shared" si="242"/>
        <v>863500</v>
      </c>
      <c r="Q2717" s="110">
        <f t="shared" si="243"/>
        <v>0</v>
      </c>
      <c r="R2717" s="110">
        <f t="shared" si="244"/>
        <v>0</v>
      </c>
      <c r="S2717" s="112" t="s">
        <v>1039</v>
      </c>
    </row>
    <row r="2718" spans="1:19" ht="45">
      <c r="A2718" s="112">
        <v>0</v>
      </c>
      <c r="B2718" s="112" t="s">
        <v>903</v>
      </c>
      <c r="C2718" s="120" t="s">
        <v>4</v>
      </c>
      <c r="D2718" s="143"/>
      <c r="E2718" s="77"/>
      <c r="F2718" s="334">
        <v>0</v>
      </c>
      <c r="G2718" s="112" t="s">
        <v>903</v>
      </c>
      <c r="H2718" s="120" t="s">
        <v>1027</v>
      </c>
      <c r="I2718" s="120" t="s">
        <v>807</v>
      </c>
      <c r="J2718" s="120" t="s">
        <v>772</v>
      </c>
      <c r="K2718" s="110">
        <v>689000</v>
      </c>
      <c r="L2718" s="110"/>
      <c r="M2718" s="110">
        <v>158200</v>
      </c>
      <c r="N2718" s="110"/>
      <c r="O2718" s="110"/>
      <c r="P2718" s="110">
        <f t="shared" si="242"/>
        <v>847200</v>
      </c>
      <c r="Q2718" s="110">
        <f t="shared" si="243"/>
        <v>0</v>
      </c>
      <c r="R2718" s="110">
        <f t="shared" si="244"/>
        <v>0</v>
      </c>
      <c r="S2718" s="112">
        <v>0</v>
      </c>
    </row>
    <row r="2719" spans="1:19" ht="30">
      <c r="A2719" s="112">
        <v>0</v>
      </c>
      <c r="B2719" s="112" t="s">
        <v>904</v>
      </c>
      <c r="C2719" s="120" t="s">
        <v>4</v>
      </c>
      <c r="D2719" s="143"/>
      <c r="E2719" s="77"/>
      <c r="F2719" s="334">
        <v>0</v>
      </c>
      <c r="G2719" s="112" t="s">
        <v>904</v>
      </c>
      <c r="H2719" s="120" t="s">
        <v>1027</v>
      </c>
      <c r="I2719" s="120" t="s">
        <v>807</v>
      </c>
      <c r="J2719" s="120" t="s">
        <v>772</v>
      </c>
      <c r="K2719" s="110">
        <v>861200</v>
      </c>
      <c r="L2719" s="110"/>
      <c r="M2719" s="110">
        <v>167300</v>
      </c>
      <c r="N2719" s="110"/>
      <c r="O2719" s="110"/>
      <c r="P2719" s="110">
        <f t="shared" si="242"/>
        <v>1028500</v>
      </c>
      <c r="Q2719" s="110">
        <f t="shared" si="243"/>
        <v>0</v>
      </c>
      <c r="R2719" s="110">
        <f t="shared" si="244"/>
        <v>0</v>
      </c>
      <c r="S2719" s="112">
        <v>0</v>
      </c>
    </row>
    <row r="2720" spans="1:19" ht="30">
      <c r="A2720" s="112">
        <v>0</v>
      </c>
      <c r="B2720" s="112" t="s">
        <v>905</v>
      </c>
      <c r="C2720" s="120" t="s">
        <v>4</v>
      </c>
      <c r="D2720" s="143"/>
      <c r="E2720" s="77"/>
      <c r="F2720" s="334">
        <v>0</v>
      </c>
      <c r="G2720" s="112" t="s">
        <v>905</v>
      </c>
      <c r="H2720" s="120" t="s">
        <v>1027</v>
      </c>
      <c r="I2720" s="120" t="s">
        <v>807</v>
      </c>
      <c r="J2720" s="120" t="s">
        <v>772</v>
      </c>
      <c r="K2720" s="110">
        <v>689000</v>
      </c>
      <c r="L2720" s="110"/>
      <c r="M2720" s="110">
        <v>158200</v>
      </c>
      <c r="N2720" s="110"/>
      <c r="O2720" s="110"/>
      <c r="P2720" s="110">
        <f t="shared" si="242"/>
        <v>847200</v>
      </c>
      <c r="Q2720" s="110">
        <f t="shared" si="243"/>
        <v>0</v>
      </c>
      <c r="R2720" s="110">
        <f t="shared" si="244"/>
        <v>0</v>
      </c>
      <c r="S2720" s="112">
        <v>0</v>
      </c>
    </row>
    <row r="2721" spans="1:19" ht="75">
      <c r="A2721" s="112">
        <v>0</v>
      </c>
      <c r="B2721" s="112" t="s">
        <v>906</v>
      </c>
      <c r="C2721" s="120" t="s">
        <v>7</v>
      </c>
      <c r="D2721" s="143"/>
      <c r="E2721" s="77"/>
      <c r="F2721" s="334">
        <v>0</v>
      </c>
      <c r="G2721" s="112" t="s">
        <v>906</v>
      </c>
      <c r="H2721" s="120" t="s">
        <v>1030</v>
      </c>
      <c r="I2721" s="120" t="s">
        <v>807</v>
      </c>
      <c r="J2721" s="120" t="s">
        <v>772</v>
      </c>
      <c r="K2721" s="110">
        <v>631200</v>
      </c>
      <c r="L2721" s="110"/>
      <c r="M2721" s="110">
        <v>139100</v>
      </c>
      <c r="N2721" s="110"/>
      <c r="O2721" s="110"/>
      <c r="P2721" s="110">
        <f t="shared" si="242"/>
        <v>770300</v>
      </c>
      <c r="Q2721" s="110">
        <f t="shared" si="243"/>
        <v>0</v>
      </c>
      <c r="R2721" s="110">
        <f t="shared" si="244"/>
        <v>0</v>
      </c>
      <c r="S2721" s="112" t="s">
        <v>1039</v>
      </c>
    </row>
    <row r="2722" spans="1:19" ht="45">
      <c r="A2722" s="112">
        <v>0</v>
      </c>
      <c r="B2722" s="112" t="s">
        <v>630</v>
      </c>
      <c r="C2722" s="120" t="s">
        <v>4</v>
      </c>
      <c r="D2722" s="143"/>
      <c r="E2722" s="77"/>
      <c r="F2722" s="334">
        <v>0</v>
      </c>
      <c r="G2722" s="112" t="s">
        <v>630</v>
      </c>
      <c r="H2722" s="120" t="s">
        <v>1031</v>
      </c>
      <c r="I2722" s="120" t="s">
        <v>807</v>
      </c>
      <c r="J2722" s="120" t="s">
        <v>772</v>
      </c>
      <c r="K2722" s="110">
        <v>616600</v>
      </c>
      <c r="L2722" s="110"/>
      <c r="M2722" s="110">
        <v>139100</v>
      </c>
      <c r="N2722" s="110"/>
      <c r="O2722" s="110"/>
      <c r="P2722" s="110">
        <f t="shared" si="242"/>
        <v>755700</v>
      </c>
      <c r="Q2722" s="110">
        <f t="shared" si="243"/>
        <v>0</v>
      </c>
      <c r="R2722" s="110">
        <f t="shared" si="244"/>
        <v>0</v>
      </c>
      <c r="S2722" s="112">
        <v>0</v>
      </c>
    </row>
    <row r="2723" spans="1:19" ht="45">
      <c r="A2723" s="112">
        <v>0</v>
      </c>
      <c r="B2723" s="112" t="s">
        <v>631</v>
      </c>
      <c r="C2723" s="120" t="s">
        <v>4</v>
      </c>
      <c r="D2723" s="143"/>
      <c r="E2723" s="77"/>
      <c r="F2723" s="334">
        <v>0</v>
      </c>
      <c r="G2723" s="112" t="s">
        <v>631</v>
      </c>
      <c r="H2723" s="120" t="s">
        <v>1031</v>
      </c>
      <c r="I2723" s="120" t="s">
        <v>807</v>
      </c>
      <c r="J2723" s="120" t="s">
        <v>772</v>
      </c>
      <c r="K2723" s="110">
        <v>616600</v>
      </c>
      <c r="L2723" s="110"/>
      <c r="M2723" s="110">
        <v>139100</v>
      </c>
      <c r="N2723" s="110"/>
      <c r="O2723" s="110"/>
      <c r="P2723" s="110">
        <f t="shared" si="242"/>
        <v>755700</v>
      </c>
      <c r="Q2723" s="110">
        <f t="shared" si="243"/>
        <v>0</v>
      </c>
      <c r="R2723" s="110">
        <f t="shared" si="244"/>
        <v>0</v>
      </c>
      <c r="S2723" s="112">
        <v>0</v>
      </c>
    </row>
    <row r="2724" spans="1:19" ht="75">
      <c r="A2724" s="112">
        <v>0</v>
      </c>
      <c r="B2724" s="112" t="s">
        <v>907</v>
      </c>
      <c r="C2724" s="120" t="s">
        <v>7</v>
      </c>
      <c r="D2724" s="143"/>
      <c r="E2724" s="77"/>
      <c r="F2724" s="334">
        <v>0</v>
      </c>
      <c r="G2724" s="112" t="s">
        <v>907</v>
      </c>
      <c r="H2724" s="120" t="s">
        <v>1030</v>
      </c>
      <c r="I2724" s="120" t="s">
        <v>807</v>
      </c>
      <c r="J2724" s="120" t="s">
        <v>772</v>
      </c>
      <c r="K2724" s="110">
        <v>716500</v>
      </c>
      <c r="L2724" s="110"/>
      <c r="M2724" s="110">
        <v>139100</v>
      </c>
      <c r="N2724" s="110"/>
      <c r="O2724" s="110"/>
      <c r="P2724" s="110">
        <f t="shared" si="242"/>
        <v>855600</v>
      </c>
      <c r="Q2724" s="110">
        <f t="shared" si="243"/>
        <v>0</v>
      </c>
      <c r="R2724" s="110">
        <f t="shared" si="244"/>
        <v>0</v>
      </c>
      <c r="S2724" s="112" t="s">
        <v>1039</v>
      </c>
    </row>
    <row r="2725" spans="1:19" ht="45">
      <c r="A2725" s="112">
        <v>0</v>
      </c>
      <c r="B2725" s="112" t="s">
        <v>617</v>
      </c>
      <c r="C2725" s="120" t="s">
        <v>4</v>
      </c>
      <c r="D2725" s="143"/>
      <c r="E2725" s="77"/>
      <c r="F2725" s="334">
        <v>0</v>
      </c>
      <c r="G2725" s="112" t="s">
        <v>617</v>
      </c>
      <c r="H2725" s="120" t="s">
        <v>1031</v>
      </c>
      <c r="I2725" s="120" t="s">
        <v>807</v>
      </c>
      <c r="J2725" s="120" t="s">
        <v>772</v>
      </c>
      <c r="K2725" s="110">
        <v>700000</v>
      </c>
      <c r="L2725" s="110"/>
      <c r="M2725" s="110">
        <v>139100</v>
      </c>
      <c r="N2725" s="110"/>
      <c r="O2725" s="110"/>
      <c r="P2725" s="110">
        <f t="shared" si="242"/>
        <v>839100</v>
      </c>
      <c r="Q2725" s="110">
        <f t="shared" si="243"/>
        <v>0</v>
      </c>
      <c r="R2725" s="110">
        <f t="shared" si="244"/>
        <v>0</v>
      </c>
      <c r="S2725" s="112">
        <v>0</v>
      </c>
    </row>
    <row r="2726" spans="1:19" ht="45">
      <c r="A2726" s="112">
        <v>0</v>
      </c>
      <c r="B2726" s="112" t="s">
        <v>618</v>
      </c>
      <c r="C2726" s="120" t="s">
        <v>4</v>
      </c>
      <c r="D2726" s="143"/>
      <c r="E2726" s="77"/>
      <c r="F2726" s="334">
        <v>0</v>
      </c>
      <c r="G2726" s="112" t="s">
        <v>618</v>
      </c>
      <c r="H2726" s="120" t="s">
        <v>1031</v>
      </c>
      <c r="I2726" s="120" t="s">
        <v>807</v>
      </c>
      <c r="J2726" s="120" t="s">
        <v>772</v>
      </c>
      <c r="K2726" s="110">
        <v>700000</v>
      </c>
      <c r="L2726" s="110"/>
      <c r="M2726" s="110">
        <v>139100</v>
      </c>
      <c r="N2726" s="110"/>
      <c r="O2726" s="110"/>
      <c r="P2726" s="110">
        <f t="shared" si="242"/>
        <v>839100</v>
      </c>
      <c r="Q2726" s="110">
        <f t="shared" si="243"/>
        <v>0</v>
      </c>
      <c r="R2726" s="110">
        <f t="shared" si="244"/>
        <v>0</v>
      </c>
      <c r="S2726" s="112">
        <v>0</v>
      </c>
    </row>
    <row r="2727" spans="1:19" ht="30">
      <c r="A2727" s="112">
        <v>0</v>
      </c>
      <c r="B2727" s="112" t="s">
        <v>627</v>
      </c>
      <c r="C2727" s="120" t="s">
        <v>4</v>
      </c>
      <c r="D2727" s="143"/>
      <c r="E2727" s="77"/>
      <c r="F2727" s="334">
        <v>0</v>
      </c>
      <c r="G2727" s="112" t="s">
        <v>627</v>
      </c>
      <c r="H2727" s="120" t="s">
        <v>1031</v>
      </c>
      <c r="I2727" s="120" t="s">
        <v>807</v>
      </c>
      <c r="J2727" s="120" t="s">
        <v>772</v>
      </c>
      <c r="K2727" s="110">
        <v>875000</v>
      </c>
      <c r="L2727" s="110"/>
      <c r="M2727" s="110">
        <v>130000</v>
      </c>
      <c r="N2727" s="110"/>
      <c r="O2727" s="110"/>
      <c r="P2727" s="110">
        <f t="shared" si="242"/>
        <v>1005000</v>
      </c>
      <c r="Q2727" s="110">
        <f t="shared" si="243"/>
        <v>0</v>
      </c>
      <c r="R2727" s="110">
        <f t="shared" si="244"/>
        <v>0</v>
      </c>
      <c r="S2727" s="112">
        <v>0</v>
      </c>
    </row>
    <row r="2728" spans="1:19">
      <c r="A2728" s="116" t="s">
        <v>718</v>
      </c>
      <c r="B2728" s="116" t="s">
        <v>1063</v>
      </c>
      <c r="C2728" s="121">
        <v>0</v>
      </c>
      <c r="D2728" s="170"/>
      <c r="E2728" s="80"/>
      <c r="F2728" s="335">
        <v>0</v>
      </c>
      <c r="G2728" s="116">
        <v>0</v>
      </c>
      <c r="H2728" s="121">
        <v>0</v>
      </c>
      <c r="I2728" s="121">
        <v>0</v>
      </c>
      <c r="J2728" s="121">
        <v>0</v>
      </c>
      <c r="K2728" s="108">
        <v>0</v>
      </c>
      <c r="L2728" s="108"/>
      <c r="M2728" s="108">
        <v>0</v>
      </c>
      <c r="N2728" s="108"/>
      <c r="O2728" s="108"/>
      <c r="P2728" s="108">
        <f t="shared" si="242"/>
        <v>0</v>
      </c>
      <c r="Q2728" s="108">
        <f t="shared" si="243"/>
        <v>0</v>
      </c>
      <c r="R2728" s="108">
        <f t="shared" si="244"/>
        <v>0</v>
      </c>
      <c r="S2728" s="112">
        <v>0</v>
      </c>
    </row>
    <row r="2729" spans="1:19" ht="30">
      <c r="A2729" s="112">
        <v>0</v>
      </c>
      <c r="B2729" s="112" t="s">
        <v>988</v>
      </c>
      <c r="C2729" s="120" t="s">
        <v>823</v>
      </c>
      <c r="D2729" s="143"/>
      <c r="E2729" s="77"/>
      <c r="F2729" s="334">
        <v>0</v>
      </c>
      <c r="G2729" s="112" t="s">
        <v>1105</v>
      </c>
      <c r="H2729" s="120" t="s">
        <v>1106</v>
      </c>
      <c r="I2729" s="120" t="s">
        <v>1103</v>
      </c>
      <c r="J2729" s="120" t="s">
        <v>1104</v>
      </c>
      <c r="K2729" s="110">
        <v>7484400</v>
      </c>
      <c r="L2729" s="110"/>
      <c r="M2729" s="110">
        <v>1326900</v>
      </c>
      <c r="N2729" s="110"/>
      <c r="O2729" s="110"/>
      <c r="P2729" s="110">
        <f t="shared" si="242"/>
        <v>8811300</v>
      </c>
      <c r="Q2729" s="110">
        <f t="shared" si="243"/>
        <v>0</v>
      </c>
      <c r="R2729" s="110">
        <f t="shared" si="244"/>
        <v>0</v>
      </c>
      <c r="S2729" s="112">
        <v>0</v>
      </c>
    </row>
    <row r="2730" spans="1:19">
      <c r="A2730" s="79"/>
      <c r="B2730" s="87" t="s">
        <v>1192</v>
      </c>
      <c r="C2730" s="76"/>
      <c r="D2730" s="143"/>
      <c r="E2730" s="77"/>
      <c r="F2730" s="76"/>
      <c r="G2730" s="112"/>
      <c r="H2730" s="120"/>
      <c r="I2730" s="120"/>
      <c r="J2730" s="120"/>
      <c r="K2730" s="118"/>
      <c r="L2730" s="118"/>
      <c r="M2730" s="118"/>
      <c r="N2730" s="118"/>
      <c r="O2730" s="118"/>
      <c r="P2730" s="118"/>
      <c r="Q2730" s="118"/>
      <c r="R2730" s="118"/>
      <c r="S2730" s="112">
        <v>0</v>
      </c>
    </row>
    <row r="2731" spans="1:19">
      <c r="A2731" s="389" t="s">
        <v>21</v>
      </c>
      <c r="B2731" s="390" t="s">
        <v>1193</v>
      </c>
      <c r="C2731" s="401"/>
      <c r="D2731" s="440"/>
      <c r="E2731" s="403"/>
      <c r="F2731" s="402"/>
      <c r="G2731" s="431"/>
      <c r="H2731" s="432"/>
      <c r="I2731" s="432"/>
      <c r="J2731" s="432"/>
      <c r="K2731" s="550"/>
      <c r="L2731" s="550"/>
      <c r="M2731" s="550"/>
      <c r="N2731" s="550"/>
      <c r="O2731" s="550"/>
      <c r="P2731" s="550"/>
      <c r="Q2731" s="404">
        <f>SUBTOTAL(9,Q10:Q2730)</f>
        <v>86074206430.200012</v>
      </c>
      <c r="R2731" s="404">
        <f>SUBTOTAL(9,R10:R2730)</f>
        <v>86074206430.200012</v>
      </c>
      <c r="S2731" s="431">
        <v>0</v>
      </c>
    </row>
  </sheetData>
  <autoFilter ref="A8:S2730" xr:uid="{733EDD28-47B0-49FB-B6F7-0E1129B91A82}"/>
  <mergeCells count="16">
    <mergeCell ref="A302:A307"/>
    <mergeCell ref="A5:E5"/>
    <mergeCell ref="F5:S5"/>
    <mergeCell ref="A6:A7"/>
    <mergeCell ref="B6:B7"/>
    <mergeCell ref="C6:C7"/>
    <mergeCell ref="D6:D7"/>
    <mergeCell ref="E6:E7"/>
    <mergeCell ref="F6:F7"/>
    <mergeCell ref="G6:J6"/>
    <mergeCell ref="K6:P6"/>
    <mergeCell ref="Q6:R6"/>
    <mergeCell ref="S6:S7"/>
    <mergeCell ref="A135:A141"/>
    <mergeCell ref="A164:A170"/>
    <mergeCell ref="A270:A276"/>
  </mergeCells>
  <pageMargins left="0.70866141732283472" right="0.70866141732283472" top="0.74803149606299213" bottom="0.74803149606299213" header="0.31496062992125984" footer="0.31496062992125984"/>
  <pageSetup paperSize="9" scale="44" fitToHeight="0" orientation="landscape" r:id="rId1"/>
  <headerFooter>
    <oddFooter>&amp;L&amp;A&amp;CSEAREFICO&amp;RTrang &amp;P/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DA19-9299-4858-8CC6-F1AEC4006995}">
  <sheetPr codeName="Sheet4">
    <tabColor theme="8" tint="0.79998168889431442"/>
    <outlinePr summaryBelow="0"/>
    <pageSetUpPr fitToPage="1"/>
  </sheetPr>
  <dimension ref="A1:S61"/>
  <sheetViews>
    <sheetView zoomScaleNormal="100" zoomScaleSheetLayoutView="55" workbookViewId="0">
      <pane xSplit="6" ySplit="9" topLeftCell="I45" activePane="bottomRight" state="frozen"/>
      <selection pane="topRight" activeCell="G1" sqref="G1"/>
      <selection pane="bottomLeft" activeCell="A10" sqref="A10"/>
      <selection pane="bottomRight" activeCell="Q53" sqref="Q53"/>
    </sheetView>
  </sheetViews>
  <sheetFormatPr defaultColWidth="8.7109375" defaultRowHeight="15"/>
  <cols>
    <col min="1" max="1" width="6.7109375" style="98" customWidth="1"/>
    <col min="2" max="2" width="42.7109375" style="97" customWidth="1"/>
    <col min="3" max="3" width="9.28515625" style="98" customWidth="1"/>
    <col min="4" max="4" width="8.42578125" style="331" bestFit="1" customWidth="1"/>
    <col min="5" max="5" width="13.7109375" style="97" customWidth="1"/>
    <col min="6" max="6" width="9.85546875" style="343" customWidth="1"/>
    <col min="7" max="7" width="39.28515625" style="119" customWidth="1"/>
    <col min="8" max="8" width="21.140625" style="297" customWidth="1"/>
    <col min="9" max="9" width="18.7109375" style="297" customWidth="1"/>
    <col min="10" max="10" width="13.140625" style="297" bestFit="1" customWidth="1"/>
    <col min="11" max="11" width="14.5703125" style="357" bestFit="1" customWidth="1"/>
    <col min="12" max="12" width="6.85546875" style="357" customWidth="1"/>
    <col min="13" max="13" width="14.5703125" style="357" bestFit="1" customWidth="1"/>
    <col min="14" max="15" width="8" style="357" customWidth="1"/>
    <col min="16" max="16" width="22.140625" style="357" customWidth="1"/>
    <col min="17" max="18" width="18.28515625" style="357" customWidth="1"/>
    <col min="19" max="19" width="30.7109375" style="357" customWidth="1"/>
    <col min="20" max="16384" width="8.7109375" style="366"/>
  </cols>
  <sheetData>
    <row r="1" spans="1:19" s="314" customFormat="1" ht="15.75" thickTop="1">
      <c r="A1" s="122" t="s">
        <v>672</v>
      </c>
      <c r="B1" s="93"/>
      <c r="C1" s="94"/>
      <c r="D1" s="320"/>
      <c r="E1" s="93"/>
      <c r="F1" s="321"/>
      <c r="G1" s="300"/>
      <c r="H1" s="330"/>
      <c r="I1" s="330"/>
      <c r="J1" s="330"/>
      <c r="K1" s="128"/>
      <c r="L1" s="128"/>
      <c r="M1" s="128"/>
      <c r="N1" s="128"/>
      <c r="O1" s="128"/>
      <c r="P1" s="128"/>
      <c r="Q1" s="128"/>
      <c r="R1" s="128"/>
      <c r="S1" s="128"/>
    </row>
    <row r="2" spans="1:19" s="314" customFormat="1">
      <c r="A2" s="122" t="s">
        <v>670</v>
      </c>
      <c r="B2" s="95"/>
      <c r="C2" s="96"/>
      <c r="D2" s="320"/>
      <c r="E2" s="95"/>
      <c r="F2" s="321"/>
      <c r="G2" s="300"/>
      <c r="H2" s="330"/>
      <c r="I2" s="330"/>
      <c r="J2" s="330"/>
      <c r="K2" s="128"/>
      <c r="L2" s="128"/>
      <c r="M2" s="128"/>
      <c r="N2" s="128"/>
      <c r="O2" s="128"/>
      <c r="P2" s="128"/>
      <c r="Q2" s="128"/>
      <c r="R2" s="128"/>
      <c r="S2" s="128"/>
    </row>
    <row r="3" spans="1:19" s="314" customFormat="1">
      <c r="A3" s="122" t="s">
        <v>684</v>
      </c>
      <c r="B3" s="95"/>
      <c r="C3" s="96"/>
      <c r="D3" s="320"/>
      <c r="E3" s="95"/>
      <c r="F3" s="321"/>
      <c r="G3" s="300"/>
      <c r="H3" s="330"/>
      <c r="I3" s="330"/>
      <c r="J3" s="330"/>
      <c r="K3" s="128"/>
      <c r="L3" s="128"/>
      <c r="M3" s="128"/>
      <c r="N3" s="128"/>
      <c r="O3" s="128"/>
      <c r="P3" s="128"/>
      <c r="Q3" s="128"/>
      <c r="R3" s="128"/>
      <c r="S3" s="128"/>
    </row>
    <row r="4" spans="1:19">
      <c r="A4" s="123"/>
      <c r="F4" s="322"/>
      <c r="K4" s="35"/>
      <c r="L4" s="35"/>
      <c r="M4" s="35"/>
      <c r="N4" s="35"/>
      <c r="O4" s="35"/>
      <c r="P4" s="35"/>
      <c r="Q4" s="35"/>
      <c r="R4" s="35"/>
      <c r="S4" s="35"/>
    </row>
    <row r="5" spans="1:19" s="498" customFormat="1">
      <c r="A5" s="579" t="s">
        <v>1166</v>
      </c>
      <c r="B5" s="579"/>
      <c r="C5" s="579"/>
      <c r="D5" s="579"/>
      <c r="E5" s="579"/>
      <c r="F5" s="580" t="s">
        <v>4093</v>
      </c>
      <c r="G5" s="580"/>
      <c r="H5" s="580"/>
      <c r="I5" s="580"/>
      <c r="J5" s="580"/>
      <c r="K5" s="580"/>
      <c r="L5" s="580"/>
      <c r="M5" s="580"/>
      <c r="N5" s="580"/>
      <c r="O5" s="580"/>
      <c r="P5" s="580"/>
      <c r="Q5" s="580"/>
      <c r="R5" s="580"/>
      <c r="S5" s="580"/>
    </row>
    <row r="6" spans="1:19" s="498" customFormat="1" ht="30" customHeight="1">
      <c r="A6" s="581" t="s">
        <v>685</v>
      </c>
      <c r="B6" s="582" t="s">
        <v>1</v>
      </c>
      <c r="C6" s="581" t="s">
        <v>481</v>
      </c>
      <c r="D6" s="583" t="s">
        <v>1165</v>
      </c>
      <c r="E6" s="581" t="s">
        <v>543</v>
      </c>
      <c r="F6" s="584" t="s">
        <v>1167</v>
      </c>
      <c r="G6" s="583" t="s">
        <v>1168</v>
      </c>
      <c r="H6" s="583"/>
      <c r="I6" s="583"/>
      <c r="J6" s="583"/>
      <c r="K6" s="583" t="s">
        <v>1169</v>
      </c>
      <c r="L6" s="583"/>
      <c r="M6" s="583"/>
      <c r="N6" s="583"/>
      <c r="O6" s="583"/>
      <c r="P6" s="583"/>
      <c r="Q6" s="576" t="s">
        <v>1170</v>
      </c>
      <c r="R6" s="577"/>
      <c r="S6" s="578" t="s">
        <v>543</v>
      </c>
    </row>
    <row r="7" spans="1:19" s="498" customFormat="1" ht="30" customHeight="1">
      <c r="A7" s="581"/>
      <c r="B7" s="582"/>
      <c r="C7" s="581"/>
      <c r="D7" s="583"/>
      <c r="E7" s="581"/>
      <c r="F7" s="584"/>
      <c r="G7" s="475" t="s">
        <v>1171</v>
      </c>
      <c r="H7" s="475" t="s">
        <v>799</v>
      </c>
      <c r="I7" s="475" t="s">
        <v>1008</v>
      </c>
      <c r="J7" s="475" t="s">
        <v>721</v>
      </c>
      <c r="K7" s="475" t="s">
        <v>765</v>
      </c>
      <c r="L7" s="475" t="s">
        <v>1172</v>
      </c>
      <c r="M7" s="475" t="s">
        <v>1173</v>
      </c>
      <c r="N7" s="475" t="s">
        <v>1174</v>
      </c>
      <c r="O7" s="475" t="s">
        <v>766</v>
      </c>
      <c r="P7" s="475" t="s">
        <v>1175</v>
      </c>
      <c r="Q7" s="475" t="s">
        <v>1176</v>
      </c>
      <c r="R7" s="475" t="s">
        <v>1177</v>
      </c>
      <c r="S7" s="578"/>
    </row>
    <row r="8" spans="1:19" s="498" customFormat="1">
      <c r="A8" s="476">
        <v>1</v>
      </c>
      <c r="B8" s="477">
        <v>2</v>
      </c>
      <c r="C8" s="476">
        <v>3</v>
      </c>
      <c r="D8" s="478">
        <v>4</v>
      </c>
      <c r="E8" s="476">
        <v>5</v>
      </c>
      <c r="F8" s="479">
        <v>6</v>
      </c>
      <c r="G8" s="478">
        <v>7</v>
      </c>
      <c r="H8" s="478">
        <v>8</v>
      </c>
      <c r="I8" s="478">
        <v>9</v>
      </c>
      <c r="J8" s="478">
        <v>10</v>
      </c>
      <c r="K8" s="479">
        <v>11</v>
      </c>
      <c r="L8" s="479">
        <v>12</v>
      </c>
      <c r="M8" s="479">
        <v>13</v>
      </c>
      <c r="N8" s="479">
        <v>14</v>
      </c>
      <c r="O8" s="479">
        <v>15</v>
      </c>
      <c r="P8" s="479" t="s">
        <v>1178</v>
      </c>
      <c r="Q8" s="479" t="s">
        <v>1179</v>
      </c>
      <c r="R8" s="479" t="s">
        <v>1180</v>
      </c>
      <c r="S8" s="479">
        <v>19</v>
      </c>
    </row>
    <row r="9" spans="1:19">
      <c r="A9" s="382" t="s">
        <v>2</v>
      </c>
      <c r="B9" s="383" t="s">
        <v>1010</v>
      </c>
      <c r="C9" s="428"/>
      <c r="D9" s="248"/>
      <c r="E9" s="428"/>
      <c r="F9" s="398"/>
      <c r="G9" s="429"/>
      <c r="H9" s="430"/>
      <c r="I9" s="430"/>
      <c r="J9" s="430"/>
      <c r="K9" s="399"/>
      <c r="L9" s="399"/>
      <c r="M9" s="399"/>
      <c r="N9" s="399"/>
      <c r="O9" s="399"/>
      <c r="P9" s="399"/>
      <c r="Q9" s="399"/>
      <c r="R9" s="399"/>
      <c r="S9" s="399"/>
    </row>
    <row r="10" spans="1:19">
      <c r="A10" s="23" t="s">
        <v>3</v>
      </c>
      <c r="B10" s="100" t="s">
        <v>1066</v>
      </c>
      <c r="C10" s="101"/>
      <c r="D10" s="102"/>
      <c r="E10" s="103"/>
      <c r="F10" s="76"/>
      <c r="G10" s="112"/>
      <c r="H10" s="120"/>
      <c r="I10" s="120"/>
      <c r="J10" s="120"/>
      <c r="K10" s="77"/>
      <c r="L10" s="77"/>
      <c r="M10" s="77"/>
      <c r="N10" s="77"/>
      <c r="O10" s="77"/>
      <c r="P10" s="77"/>
      <c r="Q10" s="77"/>
      <c r="R10" s="77"/>
      <c r="S10" s="77"/>
    </row>
    <row r="11" spans="1:19" ht="45">
      <c r="A11" s="27" t="s">
        <v>689</v>
      </c>
      <c r="B11" s="105" t="s">
        <v>690</v>
      </c>
      <c r="C11" s="25" t="s">
        <v>4</v>
      </c>
      <c r="D11" s="26">
        <v>10</v>
      </c>
      <c r="E11" s="106" t="s">
        <v>692</v>
      </c>
      <c r="F11" s="334">
        <v>10</v>
      </c>
      <c r="G11" s="112">
        <v>0</v>
      </c>
      <c r="H11" s="120">
        <v>0</v>
      </c>
      <c r="I11" s="120">
        <v>0</v>
      </c>
      <c r="J11" s="120">
        <v>0</v>
      </c>
      <c r="K11" s="110">
        <v>7600</v>
      </c>
      <c r="L11" s="110"/>
      <c r="M11" s="110">
        <v>38300</v>
      </c>
      <c r="N11" s="77"/>
      <c r="O11" s="77"/>
      <c r="P11" s="110">
        <f>+K11+L11+M11+N11+O11</f>
        <v>45900</v>
      </c>
      <c r="Q11" s="118">
        <f>+P11*D11</f>
        <v>459000</v>
      </c>
      <c r="R11" s="118">
        <f>+P11*D11</f>
        <v>459000</v>
      </c>
      <c r="S11" s="112" t="s">
        <v>692</v>
      </c>
    </row>
    <row r="12" spans="1:19" ht="45">
      <c r="A12" s="27" t="s">
        <v>693</v>
      </c>
      <c r="B12" s="105" t="s">
        <v>694</v>
      </c>
      <c r="C12" s="25" t="s">
        <v>7</v>
      </c>
      <c r="D12" s="26">
        <v>100</v>
      </c>
      <c r="E12" s="106"/>
      <c r="F12" s="334">
        <v>100</v>
      </c>
      <c r="G12" s="112" t="s">
        <v>970</v>
      </c>
      <c r="H12" s="120" t="s">
        <v>971</v>
      </c>
      <c r="I12" s="120" t="s">
        <v>723</v>
      </c>
      <c r="J12" s="120" t="s">
        <v>772</v>
      </c>
      <c r="K12" s="110">
        <v>9000</v>
      </c>
      <c r="L12" s="110"/>
      <c r="M12" s="110">
        <v>23200</v>
      </c>
      <c r="N12" s="77"/>
      <c r="O12" s="77"/>
      <c r="P12" s="110">
        <f>+K12+L12+M12+N12+O12</f>
        <v>32200</v>
      </c>
      <c r="Q12" s="118">
        <f>+P12*D12</f>
        <v>3220000</v>
      </c>
      <c r="R12" s="118">
        <f>+P12*D12</f>
        <v>3220000</v>
      </c>
      <c r="S12" s="112" t="s">
        <v>1197</v>
      </c>
    </row>
    <row r="13" spans="1:19" ht="28.5">
      <c r="A13" s="23" t="s">
        <v>5</v>
      </c>
      <c r="B13" s="100" t="s">
        <v>695</v>
      </c>
      <c r="C13" s="25"/>
      <c r="D13" s="26">
        <v>0</v>
      </c>
      <c r="E13" s="106"/>
      <c r="F13" s="76"/>
      <c r="G13" s="112"/>
      <c r="H13" s="120"/>
      <c r="I13" s="120"/>
      <c r="J13" s="120"/>
      <c r="K13" s="77"/>
      <c r="L13" s="77"/>
      <c r="M13" s="77"/>
      <c r="N13" s="77"/>
      <c r="O13" s="77"/>
      <c r="P13" s="77"/>
      <c r="Q13" s="77"/>
      <c r="R13" s="77"/>
      <c r="S13" s="77"/>
    </row>
    <row r="14" spans="1:19" ht="45">
      <c r="A14" s="27">
        <v>1</v>
      </c>
      <c r="B14" s="105" t="s">
        <v>696</v>
      </c>
      <c r="C14" s="25" t="s">
        <v>4</v>
      </c>
      <c r="D14" s="26">
        <v>1109</v>
      </c>
      <c r="E14" s="106" t="s">
        <v>692</v>
      </c>
      <c r="F14" s="334">
        <v>1109</v>
      </c>
      <c r="G14" s="112">
        <v>0</v>
      </c>
      <c r="H14" s="120">
        <v>0</v>
      </c>
      <c r="I14" s="120">
        <v>0</v>
      </c>
      <c r="J14" s="120">
        <v>0</v>
      </c>
      <c r="K14" s="110">
        <v>7600</v>
      </c>
      <c r="L14" s="110"/>
      <c r="M14" s="110">
        <v>38300</v>
      </c>
      <c r="N14" s="77"/>
      <c r="O14" s="77"/>
      <c r="P14" s="110">
        <f>+K14+L14+M14+N14+O14</f>
        <v>45900</v>
      </c>
      <c r="Q14" s="118">
        <f>+P14*D14</f>
        <v>50903100</v>
      </c>
      <c r="R14" s="118">
        <f>+P14*D14</f>
        <v>50903100</v>
      </c>
      <c r="S14" s="112" t="s">
        <v>692</v>
      </c>
    </row>
    <row r="15" spans="1:19" ht="45">
      <c r="A15" s="27">
        <v>2</v>
      </c>
      <c r="B15" s="105" t="s">
        <v>697</v>
      </c>
      <c r="C15" s="25" t="s">
        <v>4</v>
      </c>
      <c r="D15" s="26">
        <v>1109</v>
      </c>
      <c r="E15" s="106" t="s">
        <v>692</v>
      </c>
      <c r="F15" s="334">
        <v>1109</v>
      </c>
      <c r="G15" s="112">
        <v>0</v>
      </c>
      <c r="H15" s="120">
        <v>0</v>
      </c>
      <c r="I15" s="120">
        <v>0</v>
      </c>
      <c r="J15" s="120">
        <v>0</v>
      </c>
      <c r="K15" s="110">
        <v>7600</v>
      </c>
      <c r="L15" s="110"/>
      <c r="M15" s="110">
        <v>38300</v>
      </c>
      <c r="N15" s="77"/>
      <c r="O15" s="77"/>
      <c r="P15" s="110">
        <f>+K15+L15+M15+N15+O15</f>
        <v>45900</v>
      </c>
      <c r="Q15" s="118">
        <f>+P15*D15</f>
        <v>50903100</v>
      </c>
      <c r="R15" s="118">
        <f>+P15*D15</f>
        <v>50903100</v>
      </c>
      <c r="S15" s="112" t="s">
        <v>692</v>
      </c>
    </row>
    <row r="16" spans="1:19" ht="45">
      <c r="A16" s="27">
        <v>3</v>
      </c>
      <c r="B16" s="105" t="s">
        <v>694</v>
      </c>
      <c r="C16" s="25" t="s">
        <v>7</v>
      </c>
      <c r="D16" s="26">
        <v>15826</v>
      </c>
      <c r="E16" s="106"/>
      <c r="F16" s="334">
        <v>15826</v>
      </c>
      <c r="G16" s="112" t="s">
        <v>970</v>
      </c>
      <c r="H16" s="120" t="s">
        <v>971</v>
      </c>
      <c r="I16" s="120" t="s">
        <v>723</v>
      </c>
      <c r="J16" s="120" t="s">
        <v>772</v>
      </c>
      <c r="K16" s="110">
        <v>9000</v>
      </c>
      <c r="L16" s="110"/>
      <c r="M16" s="110">
        <v>23200</v>
      </c>
      <c r="N16" s="77"/>
      <c r="O16" s="77"/>
      <c r="P16" s="110">
        <f>+K16+L16+M16+N16+O16</f>
        <v>32200</v>
      </c>
      <c r="Q16" s="118">
        <f>+P16*D16</f>
        <v>509597200</v>
      </c>
      <c r="R16" s="118">
        <f>+P16*D16</f>
        <v>509597200</v>
      </c>
      <c r="S16" s="112" t="s">
        <v>1197</v>
      </c>
    </row>
    <row r="17" spans="1:19">
      <c r="A17" s="27">
        <v>4</v>
      </c>
      <c r="B17" s="105" t="s">
        <v>698</v>
      </c>
      <c r="C17" s="25" t="s">
        <v>17</v>
      </c>
      <c r="D17" s="26">
        <v>1</v>
      </c>
      <c r="E17" s="106"/>
      <c r="F17" s="334">
        <v>1</v>
      </c>
      <c r="G17" s="112">
        <v>0</v>
      </c>
      <c r="H17" s="120">
        <v>0</v>
      </c>
      <c r="I17" s="120">
        <v>0</v>
      </c>
      <c r="J17" s="120" t="s">
        <v>772</v>
      </c>
      <c r="K17" s="110">
        <v>0</v>
      </c>
      <c r="L17" s="110"/>
      <c r="M17" s="110">
        <v>0</v>
      </c>
      <c r="N17" s="77"/>
      <c r="O17" s="77"/>
      <c r="P17" s="110">
        <f t="shared" ref="P17" si="0">+K17+L17+M17+N17+O17</f>
        <v>0</v>
      </c>
      <c r="Q17" s="118">
        <f>+P17*D17</f>
        <v>0</v>
      </c>
      <c r="R17" s="118">
        <f>+P17*D17</f>
        <v>0</v>
      </c>
      <c r="S17" s="112" t="s">
        <v>806</v>
      </c>
    </row>
    <row r="18" spans="1:19">
      <c r="A18" s="23" t="s">
        <v>9</v>
      </c>
      <c r="B18" s="24" t="s">
        <v>1062</v>
      </c>
      <c r="C18" s="101"/>
      <c r="D18" s="26">
        <v>0</v>
      </c>
      <c r="E18" s="101"/>
      <c r="F18" s="76"/>
      <c r="G18" s="112"/>
      <c r="H18" s="120"/>
      <c r="I18" s="120"/>
      <c r="J18" s="120"/>
      <c r="K18" s="77"/>
      <c r="L18" s="77"/>
      <c r="M18" s="77"/>
      <c r="N18" s="77"/>
      <c r="O18" s="77"/>
      <c r="P18" s="77"/>
      <c r="Q18" s="77"/>
      <c r="R18" s="77"/>
      <c r="S18" s="77"/>
    </row>
    <row r="19" spans="1:19" ht="30">
      <c r="A19" s="23">
        <v>1</v>
      </c>
      <c r="B19" s="24" t="s">
        <v>699</v>
      </c>
      <c r="C19" s="25" t="s">
        <v>7</v>
      </c>
      <c r="D19" s="26">
        <v>209.3</v>
      </c>
      <c r="E19" s="25"/>
      <c r="F19" s="334">
        <v>209.3</v>
      </c>
      <c r="G19" s="112" t="s">
        <v>699</v>
      </c>
      <c r="H19" s="120" t="s">
        <v>1034</v>
      </c>
      <c r="I19" s="120" t="s">
        <v>807</v>
      </c>
      <c r="J19" s="120" t="s">
        <v>772</v>
      </c>
      <c r="K19" s="110">
        <v>271200</v>
      </c>
      <c r="L19" s="110"/>
      <c r="M19" s="110">
        <v>155200</v>
      </c>
      <c r="N19" s="77"/>
      <c r="O19" s="77"/>
      <c r="P19" s="110">
        <f t="shared" ref="P19:P45" si="1">+K19+L19+M19+N19+O19</f>
        <v>426400</v>
      </c>
      <c r="Q19" s="118">
        <f t="shared" ref="Q19:Q49" si="2">+P19*D19</f>
        <v>89245520</v>
      </c>
      <c r="R19" s="118">
        <f t="shared" ref="R19:R49" si="3">+P19*D19</f>
        <v>89245520</v>
      </c>
      <c r="S19" s="112">
        <v>0</v>
      </c>
    </row>
    <row r="20" spans="1:19">
      <c r="A20" s="27"/>
      <c r="B20" s="28" t="s">
        <v>1067</v>
      </c>
      <c r="C20" s="25" t="s">
        <v>4</v>
      </c>
      <c r="D20" s="26">
        <v>2</v>
      </c>
      <c r="E20" s="25"/>
      <c r="F20" s="334">
        <v>2</v>
      </c>
      <c r="G20" s="112" t="s">
        <v>909</v>
      </c>
      <c r="H20" s="120" t="s">
        <v>1027</v>
      </c>
      <c r="I20" s="120" t="s">
        <v>807</v>
      </c>
      <c r="J20" s="120" t="s">
        <v>772</v>
      </c>
      <c r="K20" s="110">
        <v>331200</v>
      </c>
      <c r="L20" s="110"/>
      <c r="M20" s="110">
        <v>172300</v>
      </c>
      <c r="N20" s="77"/>
      <c r="O20" s="77"/>
      <c r="P20" s="110">
        <f t="shared" si="1"/>
        <v>503500</v>
      </c>
      <c r="Q20" s="118">
        <f t="shared" si="2"/>
        <v>1007000</v>
      </c>
      <c r="R20" s="118">
        <f t="shared" si="3"/>
        <v>1007000</v>
      </c>
      <c r="S20" s="112">
        <v>0</v>
      </c>
    </row>
    <row r="21" spans="1:19" ht="30">
      <c r="A21" s="27"/>
      <c r="B21" s="28" t="s">
        <v>908</v>
      </c>
      <c r="C21" s="25" t="s">
        <v>4</v>
      </c>
      <c r="D21" s="26">
        <v>8</v>
      </c>
      <c r="E21" s="25"/>
      <c r="F21" s="334">
        <v>8</v>
      </c>
      <c r="G21" s="112" t="s">
        <v>908</v>
      </c>
      <c r="H21" s="120" t="s">
        <v>1027</v>
      </c>
      <c r="I21" s="120" t="s">
        <v>807</v>
      </c>
      <c r="J21" s="120" t="s">
        <v>772</v>
      </c>
      <c r="K21" s="110">
        <v>265000</v>
      </c>
      <c r="L21" s="110"/>
      <c r="M21" s="110">
        <v>155200</v>
      </c>
      <c r="N21" s="77"/>
      <c r="O21" s="77"/>
      <c r="P21" s="110">
        <f t="shared" si="1"/>
        <v>420200</v>
      </c>
      <c r="Q21" s="118">
        <f t="shared" si="2"/>
        <v>3361600</v>
      </c>
      <c r="R21" s="118">
        <f t="shared" si="3"/>
        <v>3361600</v>
      </c>
      <c r="S21" s="112">
        <v>0</v>
      </c>
    </row>
    <row r="22" spans="1:19" ht="30">
      <c r="A22" s="27"/>
      <c r="B22" s="28" t="s">
        <v>1068</v>
      </c>
      <c r="C22" s="25" t="s">
        <v>4</v>
      </c>
      <c r="D22" s="26">
        <v>4</v>
      </c>
      <c r="E22" s="25"/>
      <c r="F22" s="334">
        <v>4</v>
      </c>
      <c r="G22" s="112" t="s">
        <v>908</v>
      </c>
      <c r="H22" s="120" t="s">
        <v>1027</v>
      </c>
      <c r="I22" s="120" t="s">
        <v>807</v>
      </c>
      <c r="J22" s="120" t="s">
        <v>772</v>
      </c>
      <c r="K22" s="110">
        <v>265000</v>
      </c>
      <c r="L22" s="110"/>
      <c r="M22" s="110">
        <v>155200</v>
      </c>
      <c r="N22" s="77"/>
      <c r="O22" s="77"/>
      <c r="P22" s="110">
        <f t="shared" si="1"/>
        <v>420200</v>
      </c>
      <c r="Q22" s="118">
        <f t="shared" si="2"/>
        <v>1680800</v>
      </c>
      <c r="R22" s="118">
        <f t="shared" si="3"/>
        <v>1680800</v>
      </c>
      <c r="S22" s="112">
        <v>0</v>
      </c>
    </row>
    <row r="23" spans="1:19" ht="30">
      <c r="A23" s="23">
        <v>2</v>
      </c>
      <c r="B23" s="24" t="s">
        <v>700</v>
      </c>
      <c r="C23" s="25" t="s">
        <v>7</v>
      </c>
      <c r="D23" s="26">
        <v>48.8</v>
      </c>
      <c r="E23" s="25"/>
      <c r="F23" s="334">
        <v>48.8</v>
      </c>
      <c r="G23" s="112" t="s">
        <v>700</v>
      </c>
      <c r="H23" s="120" t="s">
        <v>1034</v>
      </c>
      <c r="I23" s="120" t="s">
        <v>807</v>
      </c>
      <c r="J23" s="120" t="s">
        <v>772</v>
      </c>
      <c r="K23" s="110">
        <v>257300</v>
      </c>
      <c r="L23" s="110"/>
      <c r="M23" s="110">
        <v>124000</v>
      </c>
      <c r="N23" s="77"/>
      <c r="O23" s="77"/>
      <c r="P23" s="110">
        <f t="shared" si="1"/>
        <v>381300</v>
      </c>
      <c r="Q23" s="118">
        <f t="shared" si="2"/>
        <v>18607440</v>
      </c>
      <c r="R23" s="118">
        <f t="shared" si="3"/>
        <v>18607440</v>
      </c>
      <c r="S23" s="112">
        <v>0</v>
      </c>
    </row>
    <row r="24" spans="1:19">
      <c r="A24" s="27"/>
      <c r="B24" s="28" t="s">
        <v>610</v>
      </c>
      <c r="C24" s="25" t="s">
        <v>4</v>
      </c>
      <c r="D24" s="26">
        <v>0</v>
      </c>
      <c r="E24" s="25"/>
      <c r="F24" s="334">
        <v>0</v>
      </c>
      <c r="G24" s="112" t="s">
        <v>1199</v>
      </c>
      <c r="H24" s="120" t="s">
        <v>1027</v>
      </c>
      <c r="I24" s="120" t="s">
        <v>807</v>
      </c>
      <c r="J24" s="120" t="s">
        <v>772</v>
      </c>
      <c r="K24" s="110">
        <v>330000</v>
      </c>
      <c r="L24" s="110"/>
      <c r="M24" s="110">
        <v>155200</v>
      </c>
      <c r="N24" s="77"/>
      <c r="O24" s="77"/>
      <c r="P24" s="110">
        <f t="shared" si="1"/>
        <v>485200</v>
      </c>
      <c r="Q24" s="118">
        <f t="shared" si="2"/>
        <v>0</v>
      </c>
      <c r="R24" s="118">
        <f t="shared" si="3"/>
        <v>0</v>
      </c>
      <c r="S24" s="112">
        <v>0</v>
      </c>
    </row>
    <row r="25" spans="1:19" ht="30">
      <c r="A25" s="27"/>
      <c r="B25" s="28" t="s">
        <v>608</v>
      </c>
      <c r="C25" s="25" t="s">
        <v>4</v>
      </c>
      <c r="D25" s="26">
        <v>0</v>
      </c>
      <c r="E25" s="25"/>
      <c r="F25" s="334">
        <v>0</v>
      </c>
      <c r="G25" s="112" t="s">
        <v>608</v>
      </c>
      <c r="H25" s="120" t="s">
        <v>1027</v>
      </c>
      <c r="I25" s="120" t="s">
        <v>807</v>
      </c>
      <c r="J25" s="120" t="s">
        <v>772</v>
      </c>
      <c r="K25" s="110">
        <v>762500</v>
      </c>
      <c r="L25" s="110"/>
      <c r="M25" s="110">
        <v>158200</v>
      </c>
      <c r="N25" s="77"/>
      <c r="O25" s="77"/>
      <c r="P25" s="110">
        <f t="shared" si="1"/>
        <v>920700</v>
      </c>
      <c r="Q25" s="118">
        <f t="shared" si="2"/>
        <v>0</v>
      </c>
      <c r="R25" s="118">
        <f t="shared" si="3"/>
        <v>0</v>
      </c>
      <c r="S25" s="112">
        <v>0</v>
      </c>
    </row>
    <row r="26" spans="1:19">
      <c r="A26" s="27"/>
      <c r="B26" s="28" t="s">
        <v>1069</v>
      </c>
      <c r="C26" s="25" t="s">
        <v>4</v>
      </c>
      <c r="D26" s="26">
        <v>1</v>
      </c>
      <c r="E26" s="25"/>
      <c r="F26" s="334">
        <v>1</v>
      </c>
      <c r="G26" s="112" t="s">
        <v>1198</v>
      </c>
      <c r="H26" s="120" t="s">
        <v>1027</v>
      </c>
      <c r="I26" s="120" t="s">
        <v>807</v>
      </c>
      <c r="J26" s="120" t="s">
        <v>772</v>
      </c>
      <c r="K26" s="110">
        <v>395800</v>
      </c>
      <c r="L26" s="110"/>
      <c r="M26" s="110">
        <v>193500</v>
      </c>
      <c r="N26" s="77"/>
      <c r="O26" s="77"/>
      <c r="P26" s="110">
        <f t="shared" si="1"/>
        <v>589300</v>
      </c>
      <c r="Q26" s="118">
        <f t="shared" si="2"/>
        <v>589300</v>
      </c>
      <c r="R26" s="118">
        <f t="shared" si="3"/>
        <v>589300</v>
      </c>
      <c r="S26" s="112">
        <v>0</v>
      </c>
    </row>
    <row r="27" spans="1:19" ht="30">
      <c r="A27" s="27"/>
      <c r="B27" s="28" t="s">
        <v>1070</v>
      </c>
      <c r="C27" s="25" t="s">
        <v>4</v>
      </c>
      <c r="D27" s="26">
        <v>5</v>
      </c>
      <c r="E27" s="25"/>
      <c r="F27" s="334">
        <v>5</v>
      </c>
      <c r="G27" s="112" t="s">
        <v>1200</v>
      </c>
      <c r="H27" s="120" t="s">
        <v>1027</v>
      </c>
      <c r="I27" s="120" t="s">
        <v>807</v>
      </c>
      <c r="J27" s="120" t="s">
        <v>772</v>
      </c>
      <c r="K27" s="110">
        <v>194500</v>
      </c>
      <c r="L27" s="110"/>
      <c r="M27" s="110">
        <v>124000</v>
      </c>
      <c r="N27" s="77"/>
      <c r="O27" s="77"/>
      <c r="P27" s="110">
        <f t="shared" si="1"/>
        <v>318500</v>
      </c>
      <c r="Q27" s="118">
        <f t="shared" si="2"/>
        <v>1592500</v>
      </c>
      <c r="R27" s="118">
        <f t="shared" si="3"/>
        <v>1592500</v>
      </c>
      <c r="S27" s="112">
        <v>0</v>
      </c>
    </row>
    <row r="28" spans="1:19" ht="30">
      <c r="A28" s="27"/>
      <c r="B28" s="28" t="s">
        <v>1071</v>
      </c>
      <c r="C28" s="25" t="s">
        <v>4</v>
      </c>
      <c r="D28" s="26">
        <v>1</v>
      </c>
      <c r="E28" s="25"/>
      <c r="F28" s="334">
        <v>1</v>
      </c>
      <c r="G28" s="112" t="s">
        <v>1200</v>
      </c>
      <c r="H28" s="120" t="s">
        <v>1027</v>
      </c>
      <c r="I28" s="120" t="s">
        <v>807</v>
      </c>
      <c r="J28" s="120" t="s">
        <v>772</v>
      </c>
      <c r="K28" s="110">
        <v>194500</v>
      </c>
      <c r="L28" s="110"/>
      <c r="M28" s="110">
        <v>124000</v>
      </c>
      <c r="N28" s="77"/>
      <c r="O28" s="77"/>
      <c r="P28" s="110">
        <f t="shared" si="1"/>
        <v>318500</v>
      </c>
      <c r="Q28" s="118">
        <f t="shared" si="2"/>
        <v>318500</v>
      </c>
      <c r="R28" s="118">
        <f t="shared" si="3"/>
        <v>318500</v>
      </c>
      <c r="S28" s="112">
        <v>0</v>
      </c>
    </row>
    <row r="29" spans="1:19" ht="30">
      <c r="A29" s="23">
        <v>3</v>
      </c>
      <c r="B29" s="24" t="s">
        <v>701</v>
      </c>
      <c r="C29" s="25" t="s">
        <v>7</v>
      </c>
      <c r="D29" s="26">
        <v>0</v>
      </c>
      <c r="E29" s="25"/>
      <c r="F29" s="334">
        <v>0</v>
      </c>
      <c r="G29" s="112" t="s">
        <v>1023</v>
      </c>
      <c r="H29" s="120" t="s">
        <v>1033</v>
      </c>
      <c r="I29" s="120" t="s">
        <v>807</v>
      </c>
      <c r="J29" s="120" t="s">
        <v>772</v>
      </c>
      <c r="K29" s="110">
        <v>344200</v>
      </c>
      <c r="L29" s="110"/>
      <c r="M29" s="110">
        <v>120900</v>
      </c>
      <c r="N29" s="77"/>
      <c r="O29" s="77"/>
      <c r="P29" s="110">
        <f t="shared" si="1"/>
        <v>465100</v>
      </c>
      <c r="Q29" s="118">
        <f t="shared" si="2"/>
        <v>0</v>
      </c>
      <c r="R29" s="118">
        <f t="shared" si="3"/>
        <v>0</v>
      </c>
      <c r="S29" s="112">
        <v>0</v>
      </c>
    </row>
    <row r="30" spans="1:19" ht="30">
      <c r="A30" s="27"/>
      <c r="B30" s="28" t="s">
        <v>625</v>
      </c>
      <c r="C30" s="25" t="s">
        <v>4</v>
      </c>
      <c r="D30" s="26">
        <v>0</v>
      </c>
      <c r="E30" s="25"/>
      <c r="F30" s="334">
        <v>0</v>
      </c>
      <c r="G30" s="112" t="s">
        <v>625</v>
      </c>
      <c r="H30" s="120" t="s">
        <v>1027</v>
      </c>
      <c r="I30" s="120" t="s">
        <v>807</v>
      </c>
      <c r="J30" s="120" t="s">
        <v>772</v>
      </c>
      <c r="K30" s="110">
        <v>336300</v>
      </c>
      <c r="L30" s="110"/>
      <c r="M30" s="110">
        <v>120900</v>
      </c>
      <c r="N30" s="77"/>
      <c r="O30" s="77"/>
      <c r="P30" s="110">
        <f t="shared" si="1"/>
        <v>457200</v>
      </c>
      <c r="Q30" s="118">
        <f t="shared" si="2"/>
        <v>0</v>
      </c>
      <c r="R30" s="118">
        <f t="shared" si="3"/>
        <v>0</v>
      </c>
      <c r="S30" s="112">
        <v>0</v>
      </c>
    </row>
    <row r="31" spans="1:19">
      <c r="A31" s="27"/>
      <c r="B31" s="28" t="s">
        <v>627</v>
      </c>
      <c r="C31" s="25" t="s">
        <v>4</v>
      </c>
      <c r="D31" s="26">
        <v>0</v>
      </c>
      <c r="E31" s="25"/>
      <c r="F31" s="334">
        <v>0</v>
      </c>
      <c r="G31" s="112" t="s">
        <v>627</v>
      </c>
      <c r="H31" s="120" t="s">
        <v>1027</v>
      </c>
      <c r="I31" s="120" t="s">
        <v>807</v>
      </c>
      <c r="J31" s="120" t="s">
        <v>772</v>
      </c>
      <c r="K31" s="110">
        <v>420200</v>
      </c>
      <c r="L31" s="110"/>
      <c r="M31" s="110">
        <v>130000</v>
      </c>
      <c r="N31" s="77"/>
      <c r="O31" s="77"/>
      <c r="P31" s="110">
        <f t="shared" si="1"/>
        <v>550200</v>
      </c>
      <c r="Q31" s="118">
        <f t="shared" si="2"/>
        <v>0</v>
      </c>
      <c r="R31" s="118">
        <f t="shared" si="3"/>
        <v>0</v>
      </c>
      <c r="S31" s="112">
        <v>0</v>
      </c>
    </row>
    <row r="32" spans="1:19" ht="30">
      <c r="A32" s="23">
        <v>4</v>
      </c>
      <c r="B32" s="24" t="s">
        <v>702</v>
      </c>
      <c r="C32" s="25" t="s">
        <v>7</v>
      </c>
      <c r="D32" s="26">
        <v>871.99000000000012</v>
      </c>
      <c r="E32" s="25"/>
      <c r="F32" s="334">
        <v>871.99000000000012</v>
      </c>
      <c r="G32" s="112" t="s">
        <v>1025</v>
      </c>
      <c r="H32" s="120" t="s">
        <v>1024</v>
      </c>
      <c r="I32" s="120" t="s">
        <v>807</v>
      </c>
      <c r="J32" s="120" t="s">
        <v>772</v>
      </c>
      <c r="K32" s="110">
        <v>290500</v>
      </c>
      <c r="L32" s="110"/>
      <c r="M32" s="110">
        <v>120900</v>
      </c>
      <c r="N32" s="77"/>
      <c r="O32" s="77"/>
      <c r="P32" s="110">
        <f t="shared" si="1"/>
        <v>411400</v>
      </c>
      <c r="Q32" s="118">
        <f t="shared" si="2"/>
        <v>358736686.00000006</v>
      </c>
      <c r="R32" s="118">
        <f t="shared" si="3"/>
        <v>358736686.00000006</v>
      </c>
      <c r="S32" s="112">
        <v>0</v>
      </c>
    </row>
    <row r="33" spans="1:19" ht="30">
      <c r="A33" s="27"/>
      <c r="B33" s="28" t="s">
        <v>635</v>
      </c>
      <c r="C33" s="25" t="s">
        <v>4</v>
      </c>
      <c r="D33" s="26">
        <v>40</v>
      </c>
      <c r="E33" s="25"/>
      <c r="F33" s="334">
        <v>40</v>
      </c>
      <c r="G33" s="112" t="s">
        <v>635</v>
      </c>
      <c r="H33" s="120" t="s">
        <v>1027</v>
      </c>
      <c r="I33" s="120" t="s">
        <v>807</v>
      </c>
      <c r="J33" s="120" t="s">
        <v>772</v>
      </c>
      <c r="K33" s="110">
        <v>283800</v>
      </c>
      <c r="L33" s="110"/>
      <c r="M33" s="110">
        <v>120900</v>
      </c>
      <c r="N33" s="77"/>
      <c r="O33" s="77"/>
      <c r="P33" s="110">
        <f t="shared" si="1"/>
        <v>404700</v>
      </c>
      <c r="Q33" s="118">
        <f t="shared" si="2"/>
        <v>16188000</v>
      </c>
      <c r="R33" s="118">
        <f t="shared" si="3"/>
        <v>16188000</v>
      </c>
      <c r="S33" s="112">
        <v>0</v>
      </c>
    </row>
    <row r="34" spans="1:19" ht="30">
      <c r="A34" s="27"/>
      <c r="B34" s="28" t="s">
        <v>636</v>
      </c>
      <c r="C34" s="25" t="s">
        <v>4</v>
      </c>
      <c r="D34" s="26">
        <v>5</v>
      </c>
      <c r="E34" s="25"/>
      <c r="F34" s="334">
        <v>5</v>
      </c>
      <c r="G34" s="112" t="s">
        <v>635</v>
      </c>
      <c r="H34" s="120" t="s">
        <v>1027</v>
      </c>
      <c r="I34" s="120" t="s">
        <v>807</v>
      </c>
      <c r="J34" s="120" t="s">
        <v>772</v>
      </c>
      <c r="K34" s="110">
        <v>283800</v>
      </c>
      <c r="L34" s="110"/>
      <c r="M34" s="110">
        <v>120900</v>
      </c>
      <c r="N34" s="77"/>
      <c r="O34" s="77"/>
      <c r="P34" s="110">
        <f t="shared" si="1"/>
        <v>404700</v>
      </c>
      <c r="Q34" s="118">
        <f t="shared" si="2"/>
        <v>2023500</v>
      </c>
      <c r="R34" s="118">
        <f t="shared" si="3"/>
        <v>2023500</v>
      </c>
      <c r="S34" s="112">
        <v>0</v>
      </c>
    </row>
    <row r="35" spans="1:19">
      <c r="A35" s="27"/>
      <c r="B35" s="28" t="s">
        <v>637</v>
      </c>
      <c r="C35" s="25" t="s">
        <v>4</v>
      </c>
      <c r="D35" s="26">
        <v>26</v>
      </c>
      <c r="E35" s="25"/>
      <c r="F35" s="334">
        <v>26</v>
      </c>
      <c r="G35" s="112" t="s">
        <v>637</v>
      </c>
      <c r="H35" s="120" t="s">
        <v>1027</v>
      </c>
      <c r="I35" s="120" t="s">
        <v>807</v>
      </c>
      <c r="J35" s="120" t="s">
        <v>772</v>
      </c>
      <c r="K35" s="110">
        <v>363300</v>
      </c>
      <c r="L35" s="110"/>
      <c r="M35" s="110">
        <v>130000</v>
      </c>
      <c r="N35" s="77"/>
      <c r="O35" s="77"/>
      <c r="P35" s="110">
        <f t="shared" si="1"/>
        <v>493300</v>
      </c>
      <c r="Q35" s="118">
        <f t="shared" si="2"/>
        <v>12825800</v>
      </c>
      <c r="R35" s="118">
        <f t="shared" si="3"/>
        <v>12825800</v>
      </c>
      <c r="S35" s="112">
        <v>0</v>
      </c>
    </row>
    <row r="36" spans="1:19" ht="30">
      <c r="A36" s="23">
        <v>5</v>
      </c>
      <c r="B36" s="24" t="s">
        <v>703</v>
      </c>
      <c r="C36" s="25" t="s">
        <v>7</v>
      </c>
      <c r="D36" s="26">
        <v>1724.4899999999998</v>
      </c>
      <c r="E36" s="25"/>
      <c r="F36" s="334">
        <v>1724.4899999999998</v>
      </c>
      <c r="G36" s="112" t="s">
        <v>703</v>
      </c>
      <c r="H36" s="120" t="s">
        <v>1032</v>
      </c>
      <c r="I36" s="120" t="s">
        <v>807</v>
      </c>
      <c r="J36" s="120" t="s">
        <v>772</v>
      </c>
      <c r="K36" s="110">
        <v>218700</v>
      </c>
      <c r="L36" s="110"/>
      <c r="M36" s="110">
        <v>111900</v>
      </c>
      <c r="N36" s="77"/>
      <c r="O36" s="77"/>
      <c r="P36" s="110">
        <f t="shared" si="1"/>
        <v>330600</v>
      </c>
      <c r="Q36" s="118">
        <f t="shared" si="2"/>
        <v>570116393.99999988</v>
      </c>
      <c r="R36" s="118">
        <f t="shared" si="3"/>
        <v>570116393.99999988</v>
      </c>
      <c r="S36" s="112">
        <v>0</v>
      </c>
    </row>
    <row r="37" spans="1:19">
      <c r="A37" s="27"/>
      <c r="B37" s="28" t="s">
        <v>704</v>
      </c>
      <c r="C37" s="25" t="s">
        <v>4</v>
      </c>
      <c r="D37" s="26">
        <v>20</v>
      </c>
      <c r="E37" s="25"/>
      <c r="F37" s="334">
        <v>20</v>
      </c>
      <c r="G37" s="112" t="s">
        <v>704</v>
      </c>
      <c r="H37" s="120" t="s">
        <v>1027</v>
      </c>
      <c r="I37" s="120" t="s">
        <v>807</v>
      </c>
      <c r="J37" s="120" t="s">
        <v>772</v>
      </c>
      <c r="K37" s="110">
        <v>267000</v>
      </c>
      <c r="L37" s="110"/>
      <c r="M37" s="110">
        <v>120900</v>
      </c>
      <c r="N37" s="77"/>
      <c r="O37" s="77"/>
      <c r="P37" s="110">
        <f t="shared" si="1"/>
        <v>387900</v>
      </c>
      <c r="Q37" s="118">
        <f t="shared" si="2"/>
        <v>7758000</v>
      </c>
      <c r="R37" s="118">
        <f t="shared" si="3"/>
        <v>7758000</v>
      </c>
      <c r="S37" s="112">
        <v>0</v>
      </c>
    </row>
    <row r="38" spans="1:19" ht="30">
      <c r="A38" s="27"/>
      <c r="B38" s="28" t="s">
        <v>705</v>
      </c>
      <c r="C38" s="25" t="s">
        <v>4</v>
      </c>
      <c r="D38" s="26">
        <v>89</v>
      </c>
      <c r="E38" s="25"/>
      <c r="F38" s="334">
        <v>89</v>
      </c>
      <c r="G38" s="112" t="s">
        <v>705</v>
      </c>
      <c r="H38" s="120" t="s">
        <v>1027</v>
      </c>
      <c r="I38" s="120" t="s">
        <v>807</v>
      </c>
      <c r="J38" s="120" t="s">
        <v>772</v>
      </c>
      <c r="K38" s="110">
        <v>213600</v>
      </c>
      <c r="L38" s="110"/>
      <c r="M38" s="110">
        <v>111900</v>
      </c>
      <c r="N38" s="77"/>
      <c r="O38" s="77"/>
      <c r="P38" s="110">
        <f t="shared" si="1"/>
        <v>325500</v>
      </c>
      <c r="Q38" s="118">
        <f t="shared" si="2"/>
        <v>28969500</v>
      </c>
      <c r="R38" s="118">
        <f t="shared" si="3"/>
        <v>28969500</v>
      </c>
      <c r="S38" s="112">
        <v>0</v>
      </c>
    </row>
    <row r="39" spans="1:19" ht="30">
      <c r="A39" s="27"/>
      <c r="B39" s="28" t="s">
        <v>1072</v>
      </c>
      <c r="C39" s="25" t="s">
        <v>4</v>
      </c>
      <c r="D39" s="26">
        <v>19</v>
      </c>
      <c r="E39" s="25"/>
      <c r="F39" s="334">
        <v>19</v>
      </c>
      <c r="G39" s="112" t="s">
        <v>705</v>
      </c>
      <c r="H39" s="120" t="s">
        <v>1027</v>
      </c>
      <c r="I39" s="120" t="s">
        <v>807</v>
      </c>
      <c r="J39" s="120" t="s">
        <v>772</v>
      </c>
      <c r="K39" s="110">
        <v>213600</v>
      </c>
      <c r="L39" s="110"/>
      <c r="M39" s="110">
        <v>111900</v>
      </c>
      <c r="N39" s="77"/>
      <c r="O39" s="77"/>
      <c r="P39" s="110">
        <f t="shared" si="1"/>
        <v>325500</v>
      </c>
      <c r="Q39" s="118">
        <f t="shared" si="2"/>
        <v>6184500</v>
      </c>
      <c r="R39" s="118">
        <f t="shared" si="3"/>
        <v>6184500</v>
      </c>
      <c r="S39" s="112">
        <v>0</v>
      </c>
    </row>
    <row r="40" spans="1:19">
      <c r="A40" s="27"/>
      <c r="B40" s="28" t="s">
        <v>1194</v>
      </c>
      <c r="C40" s="25" t="s">
        <v>7</v>
      </c>
      <c r="D40" s="26">
        <v>66</v>
      </c>
      <c r="E40" s="25"/>
      <c r="F40" s="334">
        <v>66</v>
      </c>
      <c r="G40" s="112" t="s">
        <v>911</v>
      </c>
      <c r="H40" s="120" t="s">
        <v>1029</v>
      </c>
      <c r="I40" s="120" t="s">
        <v>807</v>
      </c>
      <c r="J40" s="120" t="s">
        <v>772</v>
      </c>
      <c r="K40" s="110">
        <v>181000</v>
      </c>
      <c r="L40" s="110"/>
      <c r="M40" s="110">
        <v>124000</v>
      </c>
      <c r="N40" s="77"/>
      <c r="O40" s="77"/>
      <c r="P40" s="110">
        <f t="shared" si="1"/>
        <v>305000</v>
      </c>
      <c r="Q40" s="118">
        <f t="shared" si="2"/>
        <v>20130000</v>
      </c>
      <c r="R40" s="118">
        <f t="shared" si="3"/>
        <v>20130000</v>
      </c>
      <c r="S40" s="112">
        <v>0</v>
      </c>
    </row>
    <row r="41" spans="1:19" ht="30">
      <c r="A41" s="27"/>
      <c r="B41" s="28" t="s">
        <v>912</v>
      </c>
      <c r="C41" s="25" t="s">
        <v>4</v>
      </c>
      <c r="D41" s="26">
        <v>4</v>
      </c>
      <c r="E41" s="25"/>
      <c r="F41" s="334">
        <v>4</v>
      </c>
      <c r="G41" s="112" t="s">
        <v>912</v>
      </c>
      <c r="H41" s="120" t="s">
        <v>1027</v>
      </c>
      <c r="I41" s="120" t="s">
        <v>807</v>
      </c>
      <c r="J41" s="120" t="s">
        <v>772</v>
      </c>
      <c r="K41" s="110">
        <v>176800</v>
      </c>
      <c r="L41" s="110"/>
      <c r="M41" s="110">
        <v>124000</v>
      </c>
      <c r="N41" s="77"/>
      <c r="O41" s="77"/>
      <c r="P41" s="110">
        <f t="shared" si="1"/>
        <v>300800</v>
      </c>
      <c r="Q41" s="118">
        <f t="shared" si="2"/>
        <v>1203200</v>
      </c>
      <c r="R41" s="118">
        <f t="shared" si="3"/>
        <v>1203200</v>
      </c>
      <c r="S41" s="112">
        <v>0</v>
      </c>
    </row>
    <row r="42" spans="1:19" ht="30">
      <c r="A42" s="27"/>
      <c r="B42" s="28" t="s">
        <v>1073</v>
      </c>
      <c r="C42" s="25" t="s">
        <v>4</v>
      </c>
      <c r="D42" s="26">
        <v>1</v>
      </c>
      <c r="E42" s="25"/>
      <c r="F42" s="334">
        <v>1</v>
      </c>
      <c r="G42" s="112" t="s">
        <v>913</v>
      </c>
      <c r="H42" s="120" t="s">
        <v>1027</v>
      </c>
      <c r="I42" s="120" t="s">
        <v>807</v>
      </c>
      <c r="J42" s="120" t="s">
        <v>772</v>
      </c>
      <c r="K42" s="110">
        <v>176800</v>
      </c>
      <c r="L42" s="110"/>
      <c r="M42" s="110">
        <v>124000</v>
      </c>
      <c r="N42" s="77"/>
      <c r="O42" s="77"/>
      <c r="P42" s="110">
        <f t="shared" si="1"/>
        <v>300800</v>
      </c>
      <c r="Q42" s="118">
        <f t="shared" si="2"/>
        <v>300800</v>
      </c>
      <c r="R42" s="118">
        <f t="shared" si="3"/>
        <v>300800</v>
      </c>
      <c r="S42" s="112">
        <v>0</v>
      </c>
    </row>
    <row r="43" spans="1:19">
      <c r="A43" s="27"/>
      <c r="B43" s="28" t="s">
        <v>1074</v>
      </c>
      <c r="C43" s="25" t="s">
        <v>4</v>
      </c>
      <c r="D43" s="26">
        <v>3</v>
      </c>
      <c r="E43" s="25"/>
      <c r="F43" s="334">
        <v>3</v>
      </c>
      <c r="G43" s="112" t="s">
        <v>1199</v>
      </c>
      <c r="H43" s="120" t="s">
        <v>1027</v>
      </c>
      <c r="I43" s="120" t="s">
        <v>807</v>
      </c>
      <c r="J43" s="120" t="s">
        <v>772</v>
      </c>
      <c r="K43" s="110">
        <v>330000</v>
      </c>
      <c r="L43" s="110"/>
      <c r="M43" s="110">
        <v>155200</v>
      </c>
      <c r="N43" s="77"/>
      <c r="O43" s="77"/>
      <c r="P43" s="110">
        <f t="shared" si="1"/>
        <v>485200</v>
      </c>
      <c r="Q43" s="118">
        <f t="shared" si="2"/>
        <v>1455600</v>
      </c>
      <c r="R43" s="118">
        <f t="shared" si="3"/>
        <v>1455600</v>
      </c>
      <c r="S43" s="112">
        <v>0</v>
      </c>
    </row>
    <row r="44" spans="1:19">
      <c r="A44" s="27">
        <v>6</v>
      </c>
      <c r="B44" s="28" t="s">
        <v>639</v>
      </c>
      <c r="C44" s="25" t="s">
        <v>7</v>
      </c>
      <c r="D44" s="26">
        <v>578.6462499999999</v>
      </c>
      <c r="E44" s="25"/>
      <c r="F44" s="334">
        <v>578.6462499999999</v>
      </c>
      <c r="G44" s="112">
        <v>0</v>
      </c>
      <c r="H44" s="120">
        <v>0</v>
      </c>
      <c r="I44" s="120">
        <v>0</v>
      </c>
      <c r="J44" s="120" t="s">
        <v>772</v>
      </c>
      <c r="K44" s="110">
        <v>0</v>
      </c>
      <c r="L44" s="110"/>
      <c r="M44" s="110">
        <v>0</v>
      </c>
      <c r="N44" s="77"/>
      <c r="O44" s="77"/>
      <c r="P44" s="110">
        <f t="shared" si="1"/>
        <v>0</v>
      </c>
      <c r="Q44" s="118">
        <f t="shared" si="2"/>
        <v>0</v>
      </c>
      <c r="R44" s="118">
        <f t="shared" si="3"/>
        <v>0</v>
      </c>
      <c r="S44" s="112" t="s">
        <v>806</v>
      </c>
    </row>
    <row r="45" spans="1:19">
      <c r="A45" s="27">
        <v>7</v>
      </c>
      <c r="B45" s="28" t="s">
        <v>640</v>
      </c>
      <c r="C45" s="25" t="s">
        <v>7</v>
      </c>
      <c r="D45" s="26">
        <v>2614</v>
      </c>
      <c r="E45" s="25"/>
      <c r="F45" s="334">
        <v>2614</v>
      </c>
      <c r="G45" s="112">
        <v>0</v>
      </c>
      <c r="H45" s="120">
        <v>0</v>
      </c>
      <c r="I45" s="120">
        <v>0</v>
      </c>
      <c r="J45" s="120" t="s">
        <v>772</v>
      </c>
      <c r="K45" s="110">
        <v>0</v>
      </c>
      <c r="L45" s="110"/>
      <c r="M45" s="110">
        <v>0</v>
      </c>
      <c r="N45" s="77"/>
      <c r="O45" s="77"/>
      <c r="P45" s="110">
        <f t="shared" si="1"/>
        <v>0</v>
      </c>
      <c r="Q45" s="118">
        <f t="shared" si="2"/>
        <v>0</v>
      </c>
      <c r="R45" s="118">
        <f t="shared" si="3"/>
        <v>0</v>
      </c>
      <c r="S45" s="112" t="s">
        <v>806</v>
      </c>
    </row>
    <row r="46" spans="1:19">
      <c r="A46" s="27">
        <v>8</v>
      </c>
      <c r="B46" s="28" t="s">
        <v>698</v>
      </c>
      <c r="C46" s="25" t="s">
        <v>17</v>
      </c>
      <c r="D46" s="26">
        <v>1</v>
      </c>
      <c r="E46" s="25"/>
      <c r="F46" s="334">
        <v>1</v>
      </c>
      <c r="G46" s="112">
        <v>0</v>
      </c>
      <c r="H46" s="120">
        <v>0</v>
      </c>
      <c r="I46" s="120">
        <v>0</v>
      </c>
      <c r="J46" s="120" t="s">
        <v>772</v>
      </c>
      <c r="K46" s="110">
        <v>0</v>
      </c>
      <c r="L46" s="110"/>
      <c r="M46" s="110">
        <v>0</v>
      </c>
      <c r="N46" s="77"/>
      <c r="O46" s="77"/>
      <c r="P46" s="110">
        <f t="shared" ref="P46:P47" si="4">+K46+L46+M46+N46+O46</f>
        <v>0</v>
      </c>
      <c r="Q46" s="118">
        <f t="shared" si="2"/>
        <v>0</v>
      </c>
      <c r="R46" s="118">
        <f t="shared" si="3"/>
        <v>0</v>
      </c>
      <c r="S46" s="112" t="s">
        <v>806</v>
      </c>
    </row>
    <row r="47" spans="1:19">
      <c r="A47" s="23" t="s">
        <v>10</v>
      </c>
      <c r="B47" s="24" t="s">
        <v>1195</v>
      </c>
      <c r="C47" s="101"/>
      <c r="D47" s="26">
        <v>0</v>
      </c>
      <c r="E47" s="101"/>
      <c r="F47" s="334">
        <v>0</v>
      </c>
      <c r="G47" s="112">
        <v>0</v>
      </c>
      <c r="H47" s="120">
        <v>0</v>
      </c>
      <c r="I47" s="120">
        <v>0</v>
      </c>
      <c r="J47" s="120">
        <v>0</v>
      </c>
      <c r="K47" s="110">
        <v>0</v>
      </c>
      <c r="L47" s="110"/>
      <c r="M47" s="110">
        <v>0</v>
      </c>
      <c r="N47" s="77"/>
      <c r="O47" s="77"/>
      <c r="P47" s="110">
        <f t="shared" si="4"/>
        <v>0</v>
      </c>
      <c r="Q47" s="118">
        <f t="shared" si="2"/>
        <v>0</v>
      </c>
      <c r="R47" s="118">
        <f t="shared" si="3"/>
        <v>0</v>
      </c>
      <c r="S47" s="112">
        <v>0</v>
      </c>
    </row>
    <row r="48" spans="1:19" ht="30">
      <c r="A48" s="27">
        <v>1</v>
      </c>
      <c r="B48" s="107" t="s">
        <v>659</v>
      </c>
      <c r="C48" s="25" t="s">
        <v>706</v>
      </c>
      <c r="D48" s="26">
        <v>19</v>
      </c>
      <c r="E48" s="25"/>
      <c r="F48" s="334">
        <v>19</v>
      </c>
      <c r="G48" s="112" t="s">
        <v>989</v>
      </c>
      <c r="H48" s="120">
        <v>0</v>
      </c>
      <c r="I48" s="120">
        <v>0</v>
      </c>
      <c r="J48" s="120" t="s">
        <v>772</v>
      </c>
      <c r="K48" s="110">
        <v>898200</v>
      </c>
      <c r="L48" s="110"/>
      <c r="M48" s="110">
        <v>335500</v>
      </c>
      <c r="N48" s="77"/>
      <c r="O48" s="77"/>
      <c r="P48" s="110">
        <f>+K48+L48+M48+N48+O48</f>
        <v>1233700</v>
      </c>
      <c r="Q48" s="118">
        <f t="shared" si="2"/>
        <v>23440300</v>
      </c>
      <c r="R48" s="118">
        <f t="shared" si="3"/>
        <v>23440300</v>
      </c>
      <c r="S48" s="112">
        <v>0</v>
      </c>
    </row>
    <row r="49" spans="1:19">
      <c r="A49" s="27">
        <v>2</v>
      </c>
      <c r="B49" s="107" t="s">
        <v>658</v>
      </c>
      <c r="C49" s="25" t="s">
        <v>7</v>
      </c>
      <c r="D49" s="26">
        <v>284</v>
      </c>
      <c r="E49" s="25"/>
      <c r="F49" s="334">
        <v>284</v>
      </c>
      <c r="G49" s="112">
        <v>0</v>
      </c>
      <c r="H49" s="120" t="s">
        <v>773</v>
      </c>
      <c r="I49" s="120" t="s">
        <v>771</v>
      </c>
      <c r="J49" s="120" t="s">
        <v>770</v>
      </c>
      <c r="K49" s="110">
        <v>68400</v>
      </c>
      <c r="L49" s="110"/>
      <c r="M49" s="110">
        <v>23200</v>
      </c>
      <c r="N49" s="77"/>
      <c r="O49" s="77"/>
      <c r="P49" s="110">
        <f>+K49+L49+M49+N49+O49</f>
        <v>91600</v>
      </c>
      <c r="Q49" s="118">
        <f t="shared" si="2"/>
        <v>26014400</v>
      </c>
      <c r="R49" s="118">
        <f t="shared" si="3"/>
        <v>26014400</v>
      </c>
      <c r="S49" s="112">
        <v>0</v>
      </c>
    </row>
    <row r="50" spans="1:19">
      <c r="A50" s="385" t="s">
        <v>19</v>
      </c>
      <c r="B50" s="383" t="s">
        <v>1191</v>
      </c>
      <c r="C50" s="244"/>
      <c r="D50" s="398"/>
      <c r="E50" s="399"/>
      <c r="F50" s="398"/>
      <c r="G50" s="429"/>
      <c r="H50" s="430"/>
      <c r="I50" s="430"/>
      <c r="J50" s="430"/>
      <c r="K50" s="399"/>
      <c r="L50" s="399"/>
      <c r="M50" s="399"/>
      <c r="N50" s="399"/>
      <c r="O50" s="399"/>
      <c r="P50" s="399"/>
      <c r="Q50" s="399"/>
      <c r="R50" s="426"/>
      <c r="S50" s="426"/>
    </row>
    <row r="51" spans="1:19">
      <c r="A51" s="121" t="s">
        <v>3</v>
      </c>
      <c r="B51" s="116" t="s">
        <v>1066</v>
      </c>
      <c r="C51" s="25"/>
      <c r="D51" s="26"/>
      <c r="E51" s="25"/>
      <c r="F51" s="334">
        <v>0</v>
      </c>
      <c r="G51" s="112">
        <v>0</v>
      </c>
      <c r="H51" s="120">
        <v>0</v>
      </c>
      <c r="I51" s="120">
        <v>0</v>
      </c>
      <c r="J51" s="120">
        <v>0</v>
      </c>
      <c r="K51" s="110">
        <v>0</v>
      </c>
      <c r="L51" s="110"/>
      <c r="M51" s="110">
        <v>0</v>
      </c>
      <c r="N51" s="77"/>
      <c r="O51" s="77"/>
      <c r="P51" s="110">
        <f t="shared" ref="P51:P53" si="5">+K51+L51+M51+N51+O51</f>
        <v>0</v>
      </c>
      <c r="Q51" s="118">
        <f t="shared" ref="Q51:Q59" si="6">+P51*D51</f>
        <v>0</v>
      </c>
      <c r="R51" s="118">
        <f t="shared" ref="R51:R59" si="7">+P51*D51</f>
        <v>0</v>
      </c>
      <c r="S51" s="112">
        <v>0</v>
      </c>
    </row>
    <row r="52" spans="1:19" ht="45">
      <c r="A52" s="120">
        <v>0</v>
      </c>
      <c r="B52" s="112" t="s">
        <v>916</v>
      </c>
      <c r="C52" s="25"/>
      <c r="D52" s="26"/>
      <c r="E52" s="25"/>
      <c r="F52" s="334">
        <v>0</v>
      </c>
      <c r="G52" s="112" t="s">
        <v>970</v>
      </c>
      <c r="H52" s="120" t="s">
        <v>971</v>
      </c>
      <c r="I52" s="120" t="s">
        <v>723</v>
      </c>
      <c r="J52" s="120" t="s">
        <v>772</v>
      </c>
      <c r="K52" s="110">
        <v>9000</v>
      </c>
      <c r="L52" s="110"/>
      <c r="M52" s="110">
        <v>41700</v>
      </c>
      <c r="N52" s="77"/>
      <c r="O52" s="77"/>
      <c r="P52" s="110">
        <f>+K52+L52+M52+N52+O52</f>
        <v>50700</v>
      </c>
      <c r="Q52" s="118">
        <f t="shared" si="6"/>
        <v>0</v>
      </c>
      <c r="R52" s="118">
        <f t="shared" si="7"/>
        <v>0</v>
      </c>
      <c r="S52" s="112" t="s">
        <v>1018</v>
      </c>
    </row>
    <row r="53" spans="1:19" ht="28.5">
      <c r="A53" s="121" t="s">
        <v>5</v>
      </c>
      <c r="B53" s="116" t="s">
        <v>695</v>
      </c>
      <c r="C53" s="25"/>
      <c r="D53" s="26"/>
      <c r="E53" s="25"/>
      <c r="F53" s="334">
        <v>0</v>
      </c>
      <c r="G53" s="112">
        <v>0</v>
      </c>
      <c r="H53" s="120">
        <v>0</v>
      </c>
      <c r="I53" s="120">
        <v>0</v>
      </c>
      <c r="J53" s="120">
        <v>0</v>
      </c>
      <c r="K53" s="110">
        <v>0</v>
      </c>
      <c r="L53" s="110"/>
      <c r="M53" s="110">
        <v>0</v>
      </c>
      <c r="N53" s="77"/>
      <c r="O53" s="77"/>
      <c r="P53" s="110">
        <f t="shared" si="5"/>
        <v>0</v>
      </c>
      <c r="Q53" s="118">
        <f t="shared" si="6"/>
        <v>0</v>
      </c>
      <c r="R53" s="118">
        <f t="shared" si="7"/>
        <v>0</v>
      </c>
      <c r="S53" s="112">
        <v>0</v>
      </c>
    </row>
    <row r="54" spans="1:19" ht="45">
      <c r="A54" s="120">
        <v>0</v>
      </c>
      <c r="B54" s="112" t="s">
        <v>916</v>
      </c>
      <c r="C54" s="25"/>
      <c r="D54" s="26"/>
      <c r="E54" s="25"/>
      <c r="F54" s="334">
        <v>0</v>
      </c>
      <c r="G54" s="112" t="s">
        <v>970</v>
      </c>
      <c r="H54" s="120" t="s">
        <v>971</v>
      </c>
      <c r="I54" s="120" t="s">
        <v>723</v>
      </c>
      <c r="J54" s="120" t="s">
        <v>772</v>
      </c>
      <c r="K54" s="110">
        <v>9000</v>
      </c>
      <c r="L54" s="110"/>
      <c r="M54" s="110">
        <v>41700</v>
      </c>
      <c r="N54" s="77"/>
      <c r="O54" s="77"/>
      <c r="P54" s="110">
        <f>+K54+L54+M54+N54+O54</f>
        <v>50700</v>
      </c>
      <c r="Q54" s="118">
        <f t="shared" si="6"/>
        <v>0</v>
      </c>
      <c r="R54" s="118">
        <f t="shared" si="7"/>
        <v>0</v>
      </c>
      <c r="S54" s="112" t="s">
        <v>1018</v>
      </c>
    </row>
    <row r="55" spans="1:19">
      <c r="A55" s="121" t="s">
        <v>9</v>
      </c>
      <c r="B55" s="116" t="s">
        <v>1062</v>
      </c>
      <c r="C55" s="101"/>
      <c r="D55" s="102"/>
      <c r="E55" s="101"/>
      <c r="F55" s="335">
        <v>0</v>
      </c>
      <c r="G55" s="116">
        <v>0</v>
      </c>
      <c r="H55" s="121">
        <v>0</v>
      </c>
      <c r="I55" s="121">
        <v>0</v>
      </c>
      <c r="J55" s="121">
        <v>0</v>
      </c>
      <c r="K55" s="108">
        <v>0</v>
      </c>
      <c r="L55" s="108"/>
      <c r="M55" s="108">
        <v>0</v>
      </c>
      <c r="N55" s="80"/>
      <c r="O55" s="80"/>
      <c r="P55" s="108">
        <f t="shared" ref="P55:P58" si="8">+K55+L55+M55+N55+O55</f>
        <v>0</v>
      </c>
      <c r="Q55" s="124">
        <f t="shared" si="6"/>
        <v>0</v>
      </c>
      <c r="R55" s="124">
        <f t="shared" si="7"/>
        <v>0</v>
      </c>
      <c r="S55" s="112">
        <v>0</v>
      </c>
    </row>
    <row r="56" spans="1:19" ht="30">
      <c r="A56" s="120">
        <v>0</v>
      </c>
      <c r="B56" s="112" t="s">
        <v>910</v>
      </c>
      <c r="C56" s="25"/>
      <c r="D56" s="26"/>
      <c r="E56" s="25"/>
      <c r="F56" s="334">
        <v>0</v>
      </c>
      <c r="G56" s="112" t="s">
        <v>910</v>
      </c>
      <c r="H56" s="120" t="s">
        <v>1027</v>
      </c>
      <c r="I56" s="120" t="s">
        <v>807</v>
      </c>
      <c r="J56" s="120" t="s">
        <v>772</v>
      </c>
      <c r="K56" s="110">
        <v>265000</v>
      </c>
      <c r="L56" s="110"/>
      <c r="M56" s="110">
        <v>155200</v>
      </c>
      <c r="N56" s="77"/>
      <c r="O56" s="77"/>
      <c r="P56" s="110">
        <f>+K56+L56+M56+N56+O56</f>
        <v>420200</v>
      </c>
      <c r="Q56" s="118">
        <f t="shared" si="6"/>
        <v>0</v>
      </c>
      <c r="R56" s="118">
        <f t="shared" si="7"/>
        <v>0</v>
      </c>
      <c r="S56" s="112">
        <v>0</v>
      </c>
    </row>
    <row r="57" spans="1:19" ht="30">
      <c r="A57" s="120">
        <v>0</v>
      </c>
      <c r="B57" s="112" t="s">
        <v>914</v>
      </c>
      <c r="C57" s="25"/>
      <c r="D57" s="26"/>
      <c r="E57" s="25"/>
      <c r="F57" s="334">
        <v>0</v>
      </c>
      <c r="G57" s="112" t="s">
        <v>914</v>
      </c>
      <c r="H57" s="120" t="s">
        <v>1027</v>
      </c>
      <c r="I57" s="120" t="s">
        <v>807</v>
      </c>
      <c r="J57" s="120" t="s">
        <v>772</v>
      </c>
      <c r="K57" s="110">
        <v>267000</v>
      </c>
      <c r="L57" s="110"/>
      <c r="M57" s="110">
        <v>124000</v>
      </c>
      <c r="N57" s="77"/>
      <c r="O57" s="77"/>
      <c r="P57" s="110">
        <f>+K57+L57+M57+N57+O57</f>
        <v>391000</v>
      </c>
      <c r="Q57" s="118">
        <f t="shared" si="6"/>
        <v>0</v>
      </c>
      <c r="R57" s="118">
        <f t="shared" si="7"/>
        <v>0</v>
      </c>
      <c r="S57" s="112">
        <v>0</v>
      </c>
    </row>
    <row r="58" spans="1:19">
      <c r="A58" s="121" t="s">
        <v>10</v>
      </c>
      <c r="B58" s="116" t="s">
        <v>1195</v>
      </c>
      <c r="C58" s="101"/>
      <c r="D58" s="102"/>
      <c r="E58" s="101"/>
      <c r="F58" s="335">
        <v>0</v>
      </c>
      <c r="G58" s="116">
        <v>0</v>
      </c>
      <c r="H58" s="121">
        <v>0</v>
      </c>
      <c r="I58" s="121">
        <v>0</v>
      </c>
      <c r="J58" s="121">
        <v>0</v>
      </c>
      <c r="K58" s="108">
        <v>0</v>
      </c>
      <c r="L58" s="108"/>
      <c r="M58" s="108">
        <v>0</v>
      </c>
      <c r="N58" s="80"/>
      <c r="O58" s="80"/>
      <c r="P58" s="108">
        <f t="shared" si="8"/>
        <v>0</v>
      </c>
      <c r="Q58" s="124">
        <f t="shared" si="6"/>
        <v>0</v>
      </c>
      <c r="R58" s="124">
        <f t="shared" si="7"/>
        <v>0</v>
      </c>
      <c r="S58" s="112">
        <v>0</v>
      </c>
    </row>
    <row r="59" spans="1:19">
      <c r="A59" s="120">
        <v>0</v>
      </c>
      <c r="B59" s="112" t="s">
        <v>915</v>
      </c>
      <c r="C59" s="25"/>
      <c r="D59" s="26"/>
      <c r="E59" s="25"/>
      <c r="F59" s="334">
        <v>0</v>
      </c>
      <c r="G59" s="112" t="s">
        <v>978</v>
      </c>
      <c r="H59" s="120" t="s">
        <v>979</v>
      </c>
      <c r="I59" s="120" t="s">
        <v>723</v>
      </c>
      <c r="J59" s="120" t="s">
        <v>772</v>
      </c>
      <c r="K59" s="110">
        <v>12600</v>
      </c>
      <c r="L59" s="110"/>
      <c r="M59" s="110">
        <v>43400</v>
      </c>
      <c r="N59" s="77"/>
      <c r="O59" s="77"/>
      <c r="P59" s="110">
        <f>+K59+L59+M59+N59+O59</f>
        <v>56000</v>
      </c>
      <c r="Q59" s="118">
        <f t="shared" si="6"/>
        <v>0</v>
      </c>
      <c r="R59" s="118">
        <f t="shared" si="7"/>
        <v>0</v>
      </c>
      <c r="S59" s="112">
        <v>0</v>
      </c>
    </row>
    <row r="60" spans="1:19">
      <c r="A60" s="27"/>
      <c r="B60" s="28" t="s">
        <v>1192</v>
      </c>
      <c r="C60" s="25"/>
      <c r="D60" s="26"/>
      <c r="E60" s="25"/>
      <c r="F60" s="336"/>
      <c r="G60" s="112"/>
      <c r="H60" s="120"/>
      <c r="I60" s="120"/>
      <c r="J60" s="120"/>
      <c r="K60" s="117"/>
      <c r="L60" s="117"/>
      <c r="M60" s="117"/>
      <c r="N60" s="117"/>
      <c r="O60" s="117"/>
      <c r="P60" s="117"/>
      <c r="Q60" s="117"/>
      <c r="R60" s="77"/>
      <c r="S60" s="77"/>
    </row>
    <row r="61" spans="1:19">
      <c r="A61" s="389" t="s">
        <v>21</v>
      </c>
      <c r="B61" s="390" t="s">
        <v>1193</v>
      </c>
      <c r="C61" s="401"/>
      <c r="D61" s="402"/>
      <c r="E61" s="403"/>
      <c r="F61" s="402"/>
      <c r="G61" s="431"/>
      <c r="H61" s="432"/>
      <c r="I61" s="432"/>
      <c r="J61" s="432"/>
      <c r="K61" s="403"/>
      <c r="L61" s="403"/>
      <c r="M61" s="403"/>
      <c r="N61" s="403"/>
      <c r="O61" s="403"/>
      <c r="P61" s="403"/>
      <c r="Q61" s="404">
        <f>SUBTOTAL(9,Q9:Q60)</f>
        <v>1806831740</v>
      </c>
      <c r="R61" s="404">
        <f>SUBTOTAL(9,R9:R60)</f>
        <v>1806831740</v>
      </c>
      <c r="S61" s="405"/>
    </row>
  </sheetData>
  <sheetProtection selectLockedCells="1" selectUnlockedCells="1"/>
  <autoFilter ref="A8:S60" xr:uid="{C12DDA19-9299-4858-8CC6-F1AEC4006995}"/>
  <mergeCells count="12">
    <mergeCell ref="Q6:R6"/>
    <mergeCell ref="S6:S7"/>
    <mergeCell ref="A5:E5"/>
    <mergeCell ref="F5:S5"/>
    <mergeCell ref="A6:A7"/>
    <mergeCell ref="B6:B7"/>
    <mergeCell ref="C6:C7"/>
    <mergeCell ref="D6:D7"/>
    <mergeCell ref="E6:E7"/>
    <mergeCell ref="F6:F7"/>
    <mergeCell ref="G6:J6"/>
    <mergeCell ref="K6:P6"/>
  </mergeCells>
  <pageMargins left="0.70866141732283472" right="0.70866141732283472" top="0.74803149606299213" bottom="0.74803149606299213" header="0.31496062992125984" footer="0.31496062992125984"/>
  <pageSetup paperSize="9" scale="40" fitToHeight="0" orientation="landscape" r:id="rId1"/>
  <headerFooter>
    <oddFooter>&amp;L&amp;A&amp;CSEAREFICO&amp;RTrang &amp;P/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CE1F-890A-4A5B-95C3-6FD141EB4FEB}">
  <sheetPr codeName="Sheet5">
    <tabColor rgb="FF92D050"/>
    <outlinePr summaryBelow="0"/>
    <pageSetUpPr fitToPage="1"/>
  </sheetPr>
  <dimension ref="A1:S905"/>
  <sheetViews>
    <sheetView topLeftCell="E1" zoomScale="115" zoomScaleNormal="115" zoomScaleSheetLayoutView="55" workbookViewId="0">
      <pane ySplit="8" topLeftCell="A901" activePane="bottomLeft" state="frozen"/>
      <selection activeCell="S52" sqref="S52"/>
      <selection pane="bottomLeft" activeCell="F813" sqref="F813"/>
    </sheetView>
  </sheetViews>
  <sheetFormatPr defaultColWidth="9.140625" defaultRowHeight="15"/>
  <cols>
    <col min="1" max="1" width="6.7109375" style="133" customWidth="1"/>
    <col min="2" max="2" width="42.7109375" style="134" customWidth="1"/>
    <col min="3" max="3" width="9.28515625" style="135" customWidth="1"/>
    <col min="4" max="4" width="11.7109375" style="331" bestFit="1" customWidth="1"/>
    <col min="5" max="5" width="13.7109375" style="136" customWidth="1"/>
    <col min="6" max="6" width="10.42578125" style="343" bestFit="1" customWidth="1"/>
    <col min="7" max="7" width="39.28515625" style="119" customWidth="1"/>
    <col min="8" max="8" width="21.140625" style="297" customWidth="1"/>
    <col min="9" max="9" width="18.7109375" style="297" customWidth="1"/>
    <col min="10" max="10" width="15.28515625" style="297" bestFit="1" customWidth="1"/>
    <col min="11" max="11" width="12.85546875" style="357" bestFit="1" customWidth="1"/>
    <col min="12" max="12" width="6.85546875" style="357" customWidth="1"/>
    <col min="13" max="13" width="11.7109375" style="357" bestFit="1" customWidth="1"/>
    <col min="14" max="15" width="8" style="357" customWidth="1"/>
    <col min="16" max="16" width="22.140625" style="357" customWidth="1"/>
    <col min="17" max="18" width="18.28515625" style="357" customWidth="1"/>
    <col min="19" max="19" width="30.7109375" style="119" customWidth="1"/>
    <col min="20" max="16384" width="9.140625" style="366"/>
  </cols>
  <sheetData>
    <row r="1" spans="1:19" s="314" customFormat="1">
      <c r="A1" s="92" t="s">
        <v>672</v>
      </c>
      <c r="B1" s="125"/>
      <c r="C1" s="126"/>
      <c r="D1" s="320"/>
      <c r="E1" s="126"/>
      <c r="F1" s="321"/>
      <c r="G1" s="300"/>
      <c r="H1" s="330"/>
      <c r="I1" s="330"/>
      <c r="J1" s="330"/>
      <c r="K1" s="128"/>
      <c r="L1" s="128"/>
      <c r="M1" s="128"/>
      <c r="N1" s="128"/>
      <c r="O1" s="128"/>
      <c r="P1" s="128"/>
      <c r="Q1" s="128"/>
      <c r="R1" s="128"/>
      <c r="S1" s="300"/>
    </row>
    <row r="2" spans="1:19" s="314" customFormat="1">
      <c r="A2" s="92" t="s">
        <v>670</v>
      </c>
      <c r="B2" s="129"/>
      <c r="C2" s="130"/>
      <c r="D2" s="320"/>
      <c r="E2" s="130"/>
      <c r="F2" s="321"/>
      <c r="G2" s="300"/>
      <c r="H2" s="330"/>
      <c r="I2" s="330"/>
      <c r="J2" s="330"/>
      <c r="K2" s="128"/>
      <c r="L2" s="128"/>
      <c r="M2" s="128"/>
      <c r="N2" s="128"/>
      <c r="O2" s="128"/>
      <c r="P2" s="128"/>
      <c r="Q2" s="128"/>
      <c r="R2" s="128"/>
      <c r="S2" s="300"/>
    </row>
    <row r="3" spans="1:19" s="314" customFormat="1">
      <c r="A3" s="92" t="s">
        <v>1201</v>
      </c>
      <c r="B3" s="131"/>
      <c r="C3" s="132"/>
      <c r="D3" s="320"/>
      <c r="E3" s="132"/>
      <c r="F3" s="321"/>
      <c r="G3" s="300"/>
      <c r="H3" s="330"/>
      <c r="I3" s="330"/>
      <c r="J3" s="330"/>
      <c r="K3" s="128"/>
      <c r="L3" s="128"/>
      <c r="M3" s="128"/>
      <c r="N3" s="128"/>
      <c r="O3" s="128"/>
      <c r="P3" s="128"/>
      <c r="Q3" s="128"/>
      <c r="R3" s="128"/>
      <c r="S3" s="300"/>
    </row>
    <row r="4" spans="1:19">
      <c r="F4" s="322"/>
      <c r="K4" s="35"/>
      <c r="L4" s="35"/>
      <c r="M4" s="35"/>
      <c r="N4" s="35"/>
      <c r="O4" s="35"/>
      <c r="P4" s="35"/>
      <c r="Q4" s="35"/>
      <c r="R4" s="35"/>
    </row>
    <row r="5" spans="1:19" s="498" customFormat="1">
      <c r="A5" s="587" t="s">
        <v>1166</v>
      </c>
      <c r="B5" s="587"/>
      <c r="C5" s="587"/>
      <c r="D5" s="587"/>
      <c r="E5" s="587"/>
      <c r="F5" s="580" t="s">
        <v>4093</v>
      </c>
      <c r="G5" s="588"/>
      <c r="H5" s="588"/>
      <c r="I5" s="588"/>
      <c r="J5" s="588"/>
      <c r="K5" s="580"/>
      <c r="L5" s="580"/>
      <c r="M5" s="580"/>
      <c r="N5" s="580"/>
      <c r="O5" s="580"/>
      <c r="P5" s="580"/>
      <c r="Q5" s="580"/>
      <c r="R5" s="580"/>
      <c r="S5" s="588"/>
    </row>
    <row r="6" spans="1:19" s="498" customFormat="1">
      <c r="A6" s="587" t="s">
        <v>0</v>
      </c>
      <c r="B6" s="582" t="s">
        <v>1</v>
      </c>
      <c r="C6" s="581" t="s">
        <v>481</v>
      </c>
      <c r="D6" s="583" t="s">
        <v>1165</v>
      </c>
      <c r="E6" s="581" t="s">
        <v>543</v>
      </c>
      <c r="F6" s="584" t="s">
        <v>1167</v>
      </c>
      <c r="G6" s="583" t="s">
        <v>1168</v>
      </c>
      <c r="H6" s="583"/>
      <c r="I6" s="583"/>
      <c r="J6" s="583"/>
      <c r="K6" s="583" t="s">
        <v>1169</v>
      </c>
      <c r="L6" s="583"/>
      <c r="M6" s="583"/>
      <c r="N6" s="583"/>
      <c r="O6" s="583"/>
      <c r="P6" s="583"/>
      <c r="Q6" s="576" t="s">
        <v>1170</v>
      </c>
      <c r="R6" s="577"/>
      <c r="S6" s="583" t="s">
        <v>543</v>
      </c>
    </row>
    <row r="7" spans="1:19" s="498" customFormat="1" ht="28.5">
      <c r="A7" s="587"/>
      <c r="B7" s="582"/>
      <c r="C7" s="581"/>
      <c r="D7" s="583"/>
      <c r="E7" s="581"/>
      <c r="F7" s="584"/>
      <c r="G7" s="475" t="s">
        <v>1171</v>
      </c>
      <c r="H7" s="475" t="s">
        <v>799</v>
      </c>
      <c r="I7" s="475" t="s">
        <v>1008</v>
      </c>
      <c r="J7" s="475" t="s">
        <v>721</v>
      </c>
      <c r="K7" s="475" t="s">
        <v>765</v>
      </c>
      <c r="L7" s="475" t="s">
        <v>1172</v>
      </c>
      <c r="M7" s="475" t="s">
        <v>1173</v>
      </c>
      <c r="N7" s="475" t="s">
        <v>1174</v>
      </c>
      <c r="O7" s="475" t="s">
        <v>766</v>
      </c>
      <c r="P7" s="475" t="s">
        <v>1175</v>
      </c>
      <c r="Q7" s="475" t="s">
        <v>1176</v>
      </c>
      <c r="R7" s="475" t="s">
        <v>1177</v>
      </c>
      <c r="S7" s="583"/>
    </row>
    <row r="8" spans="1:19" s="498" customFormat="1" ht="28.5">
      <c r="A8" s="497">
        <v>1</v>
      </c>
      <c r="B8" s="477">
        <v>2</v>
      </c>
      <c r="C8" s="476">
        <v>3</v>
      </c>
      <c r="D8" s="478">
        <v>4</v>
      </c>
      <c r="E8" s="476"/>
      <c r="F8" s="479">
        <v>6</v>
      </c>
      <c r="G8" s="478">
        <v>7</v>
      </c>
      <c r="H8" s="478">
        <v>8</v>
      </c>
      <c r="I8" s="478">
        <v>9</v>
      </c>
      <c r="J8" s="478">
        <v>10</v>
      </c>
      <c r="K8" s="479">
        <v>11</v>
      </c>
      <c r="L8" s="479">
        <v>12</v>
      </c>
      <c r="M8" s="479">
        <v>13</v>
      </c>
      <c r="N8" s="479">
        <v>14</v>
      </c>
      <c r="O8" s="479">
        <v>15</v>
      </c>
      <c r="P8" s="479" t="s">
        <v>1178</v>
      </c>
      <c r="Q8" s="479" t="s">
        <v>1179</v>
      </c>
      <c r="R8" s="479" t="s">
        <v>1180</v>
      </c>
      <c r="S8" s="478">
        <v>19</v>
      </c>
    </row>
    <row r="9" spans="1:19">
      <c r="A9" s="382" t="s">
        <v>2</v>
      </c>
      <c r="B9" s="383" t="s">
        <v>1010</v>
      </c>
      <c r="C9" s="244"/>
      <c r="D9" s="248"/>
      <c r="E9" s="244"/>
      <c r="F9" s="398"/>
      <c r="G9" s="429"/>
      <c r="H9" s="430"/>
      <c r="I9" s="430"/>
      <c r="J9" s="430"/>
      <c r="K9" s="399"/>
      <c r="L9" s="399"/>
      <c r="M9" s="399"/>
      <c r="N9" s="399"/>
      <c r="O9" s="399"/>
      <c r="P9" s="399"/>
      <c r="Q9" s="399"/>
      <c r="R9" s="399"/>
      <c r="S9" s="399"/>
    </row>
    <row r="10" spans="1:19">
      <c r="A10" s="138" t="s">
        <v>3</v>
      </c>
      <c r="B10" s="137" t="s">
        <v>1202</v>
      </c>
      <c r="C10" s="138"/>
      <c r="D10" s="139"/>
      <c r="E10" s="140"/>
      <c r="F10" s="347"/>
      <c r="G10" s="448"/>
      <c r="H10" s="447"/>
      <c r="I10" s="447"/>
      <c r="J10" s="447"/>
      <c r="K10" s="337"/>
      <c r="L10" s="337"/>
      <c r="M10" s="337"/>
      <c r="N10" s="337"/>
      <c r="O10" s="337"/>
      <c r="P10" s="337"/>
      <c r="Q10" s="337"/>
      <c r="R10" s="337"/>
      <c r="S10" s="337"/>
    </row>
    <row r="11" spans="1:19" ht="60">
      <c r="A11" s="142">
        <v>1</v>
      </c>
      <c r="B11" s="141" t="s">
        <v>1203</v>
      </c>
      <c r="C11" s="142" t="s">
        <v>1204</v>
      </c>
      <c r="D11" s="143">
        <v>3</v>
      </c>
      <c r="E11" s="144" t="s">
        <v>1205</v>
      </c>
      <c r="F11" s="334">
        <v>3</v>
      </c>
      <c r="G11" s="112" t="s">
        <v>2844</v>
      </c>
      <c r="H11" s="120" t="s">
        <v>2845</v>
      </c>
      <c r="I11" s="120" t="s">
        <v>1582</v>
      </c>
      <c r="J11" s="120" t="s">
        <v>769</v>
      </c>
      <c r="K11" s="110">
        <v>72682000</v>
      </c>
      <c r="L11" s="110"/>
      <c r="M11" s="110">
        <v>4030000</v>
      </c>
      <c r="N11" s="110"/>
      <c r="O11" s="110"/>
      <c r="P11" s="110">
        <f>K11+L11+M11+N11+O11</f>
        <v>76712000</v>
      </c>
      <c r="Q11" s="110">
        <f>$P11*D11</f>
        <v>230136000</v>
      </c>
      <c r="R11" s="110">
        <f>$P11*F11</f>
        <v>230136000</v>
      </c>
      <c r="S11" s="112" t="s">
        <v>2844</v>
      </c>
    </row>
    <row r="12" spans="1:19" ht="60">
      <c r="A12" s="142">
        <v>2</v>
      </c>
      <c r="B12" s="141" t="s">
        <v>1206</v>
      </c>
      <c r="C12" s="142" t="s">
        <v>1204</v>
      </c>
      <c r="D12" s="143">
        <v>2</v>
      </c>
      <c r="E12" s="144" t="s">
        <v>1205</v>
      </c>
      <c r="F12" s="334">
        <v>2</v>
      </c>
      <c r="G12" s="112" t="s">
        <v>2844</v>
      </c>
      <c r="H12" s="120" t="s">
        <v>2845</v>
      </c>
      <c r="I12" s="120" t="s">
        <v>1582</v>
      </c>
      <c r="J12" s="120" t="s">
        <v>769</v>
      </c>
      <c r="K12" s="110">
        <v>72682000</v>
      </c>
      <c r="L12" s="110"/>
      <c r="M12" s="110">
        <v>4030000</v>
      </c>
      <c r="N12" s="110"/>
      <c r="O12" s="110"/>
      <c r="P12" s="110">
        <f t="shared" ref="P12:P42" si="0">K12+L12+M12+N12+O12</f>
        <v>76712000</v>
      </c>
      <c r="Q12" s="110">
        <f t="shared" ref="Q12:Q42" si="1">$P12*D12</f>
        <v>153424000</v>
      </c>
      <c r="R12" s="110">
        <f t="shared" ref="R12:R42" si="2">$P12*F12</f>
        <v>153424000</v>
      </c>
      <c r="S12" s="112" t="s">
        <v>2844</v>
      </c>
    </row>
    <row r="13" spans="1:19" ht="60">
      <c r="A13" s="142">
        <v>3</v>
      </c>
      <c r="B13" s="141" t="s">
        <v>1207</v>
      </c>
      <c r="C13" s="142" t="s">
        <v>1204</v>
      </c>
      <c r="D13" s="143">
        <v>2</v>
      </c>
      <c r="E13" s="144" t="s">
        <v>1205</v>
      </c>
      <c r="F13" s="334">
        <v>2</v>
      </c>
      <c r="G13" s="112" t="s">
        <v>2844</v>
      </c>
      <c r="H13" s="120" t="s">
        <v>2846</v>
      </c>
      <c r="I13" s="120" t="s">
        <v>1582</v>
      </c>
      <c r="J13" s="120" t="s">
        <v>769</v>
      </c>
      <c r="K13" s="110">
        <v>49834000</v>
      </c>
      <c r="L13" s="110"/>
      <c r="M13" s="110">
        <v>4030000</v>
      </c>
      <c r="N13" s="110"/>
      <c r="O13" s="110"/>
      <c r="P13" s="110">
        <f t="shared" si="0"/>
        <v>53864000</v>
      </c>
      <c r="Q13" s="110">
        <f t="shared" si="1"/>
        <v>107728000</v>
      </c>
      <c r="R13" s="110">
        <f t="shared" si="2"/>
        <v>107728000</v>
      </c>
      <c r="S13" s="112" t="s">
        <v>2844</v>
      </c>
    </row>
    <row r="14" spans="1:19" ht="90">
      <c r="A14" s="142">
        <v>4</v>
      </c>
      <c r="B14" s="141" t="s">
        <v>1208</v>
      </c>
      <c r="C14" s="142" t="s">
        <v>1204</v>
      </c>
      <c r="D14" s="143">
        <v>1</v>
      </c>
      <c r="E14" s="144" t="s">
        <v>1209</v>
      </c>
      <c r="F14" s="334">
        <v>1</v>
      </c>
      <c r="G14" s="112" t="s">
        <v>2847</v>
      </c>
      <c r="H14" s="120" t="s">
        <v>2848</v>
      </c>
      <c r="I14" s="120" t="s">
        <v>1582</v>
      </c>
      <c r="J14" s="120" t="s">
        <v>769</v>
      </c>
      <c r="K14" s="110">
        <v>333200000</v>
      </c>
      <c r="L14" s="110"/>
      <c r="M14" s="110">
        <v>8886200</v>
      </c>
      <c r="N14" s="110"/>
      <c r="O14" s="110"/>
      <c r="P14" s="110">
        <f t="shared" si="0"/>
        <v>342086200</v>
      </c>
      <c r="Q14" s="110">
        <f t="shared" si="1"/>
        <v>342086200</v>
      </c>
      <c r="R14" s="110">
        <f t="shared" si="2"/>
        <v>342086200</v>
      </c>
      <c r="S14" s="112" t="s">
        <v>2847</v>
      </c>
    </row>
    <row r="15" spans="1:19" ht="90">
      <c r="A15" s="142">
        <v>5</v>
      </c>
      <c r="B15" s="141" t="s">
        <v>1210</v>
      </c>
      <c r="C15" s="142" t="s">
        <v>1204</v>
      </c>
      <c r="D15" s="143">
        <v>1</v>
      </c>
      <c r="E15" s="144" t="s">
        <v>1209</v>
      </c>
      <c r="F15" s="334">
        <v>1</v>
      </c>
      <c r="G15" s="112" t="s">
        <v>2847</v>
      </c>
      <c r="H15" s="120" t="s">
        <v>2849</v>
      </c>
      <c r="I15" s="120" t="s">
        <v>1582</v>
      </c>
      <c r="J15" s="120" t="s">
        <v>769</v>
      </c>
      <c r="K15" s="110">
        <v>311780000</v>
      </c>
      <c r="L15" s="110"/>
      <c r="M15" s="110">
        <v>8886200</v>
      </c>
      <c r="N15" s="110"/>
      <c r="O15" s="110"/>
      <c r="P15" s="110">
        <f t="shared" si="0"/>
        <v>320666200</v>
      </c>
      <c r="Q15" s="110">
        <f t="shared" si="1"/>
        <v>320666200</v>
      </c>
      <c r="R15" s="110">
        <f t="shared" si="2"/>
        <v>320666200</v>
      </c>
      <c r="S15" s="112" t="s">
        <v>2847</v>
      </c>
    </row>
    <row r="16" spans="1:19" ht="90">
      <c r="A16" s="142">
        <v>6</v>
      </c>
      <c r="B16" s="141" t="s">
        <v>1211</v>
      </c>
      <c r="C16" s="142" t="s">
        <v>1204</v>
      </c>
      <c r="D16" s="143">
        <v>1</v>
      </c>
      <c r="E16" s="144" t="s">
        <v>1209</v>
      </c>
      <c r="F16" s="334">
        <v>1</v>
      </c>
      <c r="G16" s="112" t="s">
        <v>2850</v>
      </c>
      <c r="H16" s="120" t="s">
        <v>2851</v>
      </c>
      <c r="I16" s="120" t="s">
        <v>2852</v>
      </c>
      <c r="J16" s="120" t="s">
        <v>2853</v>
      </c>
      <c r="K16" s="110">
        <v>351407000</v>
      </c>
      <c r="L16" s="110"/>
      <c r="M16" s="110">
        <v>8886200</v>
      </c>
      <c r="N16" s="110"/>
      <c r="O16" s="110"/>
      <c r="P16" s="110">
        <f t="shared" si="0"/>
        <v>360293200</v>
      </c>
      <c r="Q16" s="110">
        <f t="shared" si="1"/>
        <v>360293200</v>
      </c>
      <c r="R16" s="110">
        <f t="shared" si="2"/>
        <v>360293200</v>
      </c>
      <c r="S16" s="112" t="s">
        <v>2850</v>
      </c>
    </row>
    <row r="17" spans="1:19" ht="105">
      <c r="A17" s="142">
        <v>7</v>
      </c>
      <c r="B17" s="141" t="s">
        <v>1212</v>
      </c>
      <c r="C17" s="142" t="s">
        <v>1204</v>
      </c>
      <c r="D17" s="143">
        <v>1</v>
      </c>
      <c r="E17" s="144" t="s">
        <v>1209</v>
      </c>
      <c r="F17" s="334">
        <v>1</v>
      </c>
      <c r="G17" s="112" t="s">
        <v>2854</v>
      </c>
      <c r="H17" s="120" t="s">
        <v>2855</v>
      </c>
      <c r="I17" s="120" t="s">
        <v>2852</v>
      </c>
      <c r="J17" s="120" t="s">
        <v>2853</v>
      </c>
      <c r="K17" s="110">
        <v>132923000</v>
      </c>
      <c r="L17" s="110"/>
      <c r="M17" s="110">
        <v>8886200</v>
      </c>
      <c r="N17" s="110"/>
      <c r="O17" s="110"/>
      <c r="P17" s="110">
        <f t="shared" si="0"/>
        <v>141809200</v>
      </c>
      <c r="Q17" s="110">
        <f t="shared" si="1"/>
        <v>141809200</v>
      </c>
      <c r="R17" s="110">
        <f t="shared" si="2"/>
        <v>141809200</v>
      </c>
      <c r="S17" s="112" t="s">
        <v>2854</v>
      </c>
    </row>
    <row r="18" spans="1:19" ht="105">
      <c r="A18" s="142">
        <v>8</v>
      </c>
      <c r="B18" s="141" t="s">
        <v>1213</v>
      </c>
      <c r="C18" s="142" t="s">
        <v>1204</v>
      </c>
      <c r="D18" s="143">
        <v>1</v>
      </c>
      <c r="E18" s="144" t="s">
        <v>1209</v>
      </c>
      <c r="F18" s="334">
        <v>1</v>
      </c>
      <c r="G18" s="112" t="s">
        <v>2854</v>
      </c>
      <c r="H18" s="120" t="s">
        <v>2856</v>
      </c>
      <c r="I18" s="120" t="s">
        <v>2852</v>
      </c>
      <c r="J18" s="120" t="s">
        <v>2853</v>
      </c>
      <c r="K18" s="110">
        <v>150773000</v>
      </c>
      <c r="L18" s="110"/>
      <c r="M18" s="110">
        <v>8886200</v>
      </c>
      <c r="N18" s="110"/>
      <c r="O18" s="110"/>
      <c r="P18" s="110">
        <f t="shared" si="0"/>
        <v>159659200</v>
      </c>
      <c r="Q18" s="110">
        <f t="shared" si="1"/>
        <v>159659200</v>
      </c>
      <c r="R18" s="110">
        <f t="shared" si="2"/>
        <v>159659200</v>
      </c>
      <c r="S18" s="112" t="s">
        <v>2854</v>
      </c>
    </row>
    <row r="19" spans="1:19" ht="75">
      <c r="A19" s="146">
        <v>9</v>
      </c>
      <c r="B19" s="145" t="s">
        <v>1214</v>
      </c>
      <c r="C19" s="146" t="s">
        <v>1204</v>
      </c>
      <c r="D19" s="147">
        <v>3</v>
      </c>
      <c r="E19" s="148"/>
      <c r="F19" s="334">
        <v>3</v>
      </c>
      <c r="G19" s="112">
        <v>0</v>
      </c>
      <c r="H19" s="120" t="s">
        <v>2857</v>
      </c>
      <c r="I19" s="120" t="s">
        <v>2858</v>
      </c>
      <c r="J19" s="120" t="s">
        <v>2859</v>
      </c>
      <c r="K19" s="110">
        <v>31037600</v>
      </c>
      <c r="L19" s="110"/>
      <c r="M19" s="110">
        <v>1612000</v>
      </c>
      <c r="N19" s="110"/>
      <c r="O19" s="110"/>
      <c r="P19" s="110">
        <f t="shared" si="0"/>
        <v>32649600</v>
      </c>
      <c r="Q19" s="110">
        <f t="shared" si="1"/>
        <v>97948800</v>
      </c>
      <c r="R19" s="110">
        <f t="shared" si="2"/>
        <v>97948800</v>
      </c>
      <c r="S19" s="112">
        <v>0</v>
      </c>
    </row>
    <row r="20" spans="1:19" ht="105">
      <c r="A20" s="142">
        <v>10</v>
      </c>
      <c r="B20" s="141" t="s">
        <v>1215</v>
      </c>
      <c r="C20" s="142" t="s">
        <v>1204</v>
      </c>
      <c r="D20" s="143">
        <v>1</v>
      </c>
      <c r="E20" s="144"/>
      <c r="F20" s="334">
        <v>1</v>
      </c>
      <c r="G20" s="112" t="s">
        <v>3999</v>
      </c>
      <c r="H20" s="120" t="s">
        <v>4000</v>
      </c>
      <c r="I20" s="120" t="s">
        <v>4001</v>
      </c>
      <c r="J20" s="120" t="s">
        <v>3767</v>
      </c>
      <c r="K20" s="110">
        <v>19055500</v>
      </c>
      <c r="L20" s="110"/>
      <c r="M20" s="110">
        <v>1608000</v>
      </c>
      <c r="N20" s="110"/>
      <c r="O20" s="110"/>
      <c r="P20" s="110">
        <f t="shared" si="0"/>
        <v>20663500</v>
      </c>
      <c r="Q20" s="110">
        <f t="shared" si="1"/>
        <v>20663500</v>
      </c>
      <c r="R20" s="110">
        <f t="shared" si="2"/>
        <v>20663500</v>
      </c>
      <c r="S20" s="112" t="s">
        <v>3999</v>
      </c>
    </row>
    <row r="21" spans="1:19" ht="75">
      <c r="A21" s="146">
        <v>11</v>
      </c>
      <c r="B21" s="150" t="s">
        <v>1216</v>
      </c>
      <c r="C21" s="146" t="s">
        <v>1204</v>
      </c>
      <c r="D21" s="258">
        <v>1</v>
      </c>
      <c r="E21" s="148"/>
      <c r="F21" s="334">
        <v>1</v>
      </c>
      <c r="G21" s="112" t="s">
        <v>4002</v>
      </c>
      <c r="H21" s="120" t="s">
        <v>4003</v>
      </c>
      <c r="I21" s="120" t="s">
        <v>4004</v>
      </c>
      <c r="J21" s="120" t="s">
        <v>3767</v>
      </c>
      <c r="K21" s="110">
        <v>12591200</v>
      </c>
      <c r="L21" s="110"/>
      <c r="M21" s="110">
        <v>915900</v>
      </c>
      <c r="N21" s="110"/>
      <c r="O21" s="110"/>
      <c r="P21" s="110">
        <f t="shared" si="0"/>
        <v>13507100</v>
      </c>
      <c r="Q21" s="110">
        <f t="shared" si="1"/>
        <v>13507100</v>
      </c>
      <c r="R21" s="110">
        <f t="shared" si="2"/>
        <v>13507100</v>
      </c>
      <c r="S21" s="112" t="s">
        <v>4002</v>
      </c>
    </row>
    <row r="22" spans="1:19" ht="75">
      <c r="A22" s="142">
        <v>12</v>
      </c>
      <c r="B22" s="141" t="s">
        <v>1217</v>
      </c>
      <c r="C22" s="142" t="s">
        <v>1204</v>
      </c>
      <c r="D22" s="143">
        <v>2</v>
      </c>
      <c r="E22" s="144"/>
      <c r="F22" s="334">
        <v>2</v>
      </c>
      <c r="G22" s="112" t="s">
        <v>4005</v>
      </c>
      <c r="H22" s="120" t="s">
        <v>4006</v>
      </c>
      <c r="I22" s="120" t="s">
        <v>4004</v>
      </c>
      <c r="J22" s="120" t="s">
        <v>3767</v>
      </c>
      <c r="K22" s="110">
        <v>3906700</v>
      </c>
      <c r="L22" s="110"/>
      <c r="M22" s="110">
        <v>752700</v>
      </c>
      <c r="N22" s="110"/>
      <c r="O22" s="110"/>
      <c r="P22" s="110">
        <f t="shared" si="0"/>
        <v>4659400</v>
      </c>
      <c r="Q22" s="110">
        <f t="shared" si="1"/>
        <v>9318800</v>
      </c>
      <c r="R22" s="110">
        <f t="shared" si="2"/>
        <v>9318800</v>
      </c>
      <c r="S22" s="112" t="s">
        <v>4005</v>
      </c>
    </row>
    <row r="23" spans="1:19" ht="75">
      <c r="A23" s="142">
        <v>13</v>
      </c>
      <c r="B23" s="141" t="s">
        <v>1218</v>
      </c>
      <c r="C23" s="142" t="s">
        <v>1204</v>
      </c>
      <c r="D23" s="143">
        <v>5</v>
      </c>
      <c r="E23" s="144"/>
      <c r="F23" s="334">
        <v>5</v>
      </c>
      <c r="G23" s="112" t="s">
        <v>4007</v>
      </c>
      <c r="H23" s="120" t="s">
        <v>4008</v>
      </c>
      <c r="I23" s="120" t="s">
        <v>4004</v>
      </c>
      <c r="J23" s="120" t="s">
        <v>3767</v>
      </c>
      <c r="K23" s="110">
        <v>2575000</v>
      </c>
      <c r="L23" s="110"/>
      <c r="M23" s="110">
        <v>680100</v>
      </c>
      <c r="N23" s="110"/>
      <c r="O23" s="110"/>
      <c r="P23" s="110">
        <f t="shared" si="0"/>
        <v>3255100</v>
      </c>
      <c r="Q23" s="110">
        <f t="shared" si="1"/>
        <v>16275500</v>
      </c>
      <c r="R23" s="110">
        <f t="shared" si="2"/>
        <v>16275500</v>
      </c>
      <c r="S23" s="112" t="s">
        <v>4007</v>
      </c>
    </row>
    <row r="24" spans="1:19" ht="75">
      <c r="A24" s="142">
        <v>14</v>
      </c>
      <c r="B24" s="141" t="s">
        <v>1219</v>
      </c>
      <c r="C24" s="142" t="s">
        <v>1204</v>
      </c>
      <c r="D24" s="143">
        <v>2</v>
      </c>
      <c r="E24" s="144"/>
      <c r="F24" s="334">
        <v>2</v>
      </c>
      <c r="G24" s="112" t="s">
        <v>4009</v>
      </c>
      <c r="H24" s="120" t="s">
        <v>4008</v>
      </c>
      <c r="I24" s="120" t="s">
        <v>4004</v>
      </c>
      <c r="J24" s="120" t="s">
        <v>3767</v>
      </c>
      <c r="K24" s="110">
        <v>1814000</v>
      </c>
      <c r="L24" s="110"/>
      <c r="M24" s="110">
        <v>616600</v>
      </c>
      <c r="N24" s="110"/>
      <c r="O24" s="110"/>
      <c r="P24" s="110">
        <f t="shared" si="0"/>
        <v>2430600</v>
      </c>
      <c r="Q24" s="110">
        <f t="shared" si="1"/>
        <v>4861200</v>
      </c>
      <c r="R24" s="110">
        <f t="shared" si="2"/>
        <v>4861200</v>
      </c>
      <c r="S24" s="112" t="s">
        <v>4009</v>
      </c>
    </row>
    <row r="25" spans="1:19" ht="75">
      <c r="A25" s="142">
        <v>15</v>
      </c>
      <c r="B25" s="141" t="s">
        <v>1220</v>
      </c>
      <c r="C25" s="142" t="s">
        <v>1204</v>
      </c>
      <c r="D25" s="143">
        <v>6</v>
      </c>
      <c r="E25" s="144"/>
      <c r="F25" s="334">
        <v>6</v>
      </c>
      <c r="G25" s="112" t="s">
        <v>4010</v>
      </c>
      <c r="H25" s="120" t="s">
        <v>4008</v>
      </c>
      <c r="I25" s="120" t="s">
        <v>4004</v>
      </c>
      <c r="J25" s="120" t="s">
        <v>3767</v>
      </c>
      <c r="K25" s="110">
        <v>1499700</v>
      </c>
      <c r="L25" s="110"/>
      <c r="M25" s="110">
        <v>544100</v>
      </c>
      <c r="N25" s="110"/>
      <c r="O25" s="110"/>
      <c r="P25" s="110">
        <f t="shared" si="0"/>
        <v>2043800</v>
      </c>
      <c r="Q25" s="110">
        <f t="shared" si="1"/>
        <v>12262800</v>
      </c>
      <c r="R25" s="110">
        <f t="shared" si="2"/>
        <v>12262800</v>
      </c>
      <c r="S25" s="112" t="s">
        <v>4010</v>
      </c>
    </row>
    <row r="26" spans="1:19" ht="90">
      <c r="A26" s="142">
        <v>16</v>
      </c>
      <c r="B26" s="141" t="s">
        <v>1221</v>
      </c>
      <c r="C26" s="142" t="s">
        <v>1204</v>
      </c>
      <c r="D26" s="143">
        <v>432</v>
      </c>
      <c r="E26" s="144"/>
      <c r="F26" s="334">
        <v>432</v>
      </c>
      <c r="G26" s="112" t="s">
        <v>4011</v>
      </c>
      <c r="H26" s="120" t="s">
        <v>4008</v>
      </c>
      <c r="I26" s="120" t="s">
        <v>4004</v>
      </c>
      <c r="J26" s="120" t="s">
        <v>3767</v>
      </c>
      <c r="K26" s="110">
        <v>1224800</v>
      </c>
      <c r="L26" s="110"/>
      <c r="M26" s="110">
        <v>471600</v>
      </c>
      <c r="N26" s="110"/>
      <c r="O26" s="110"/>
      <c r="P26" s="110">
        <f t="shared" si="0"/>
        <v>1696400</v>
      </c>
      <c r="Q26" s="110">
        <f t="shared" si="1"/>
        <v>732844800</v>
      </c>
      <c r="R26" s="110">
        <f t="shared" si="2"/>
        <v>732844800</v>
      </c>
      <c r="S26" s="112" t="s">
        <v>4011</v>
      </c>
    </row>
    <row r="27" spans="1:19" ht="90">
      <c r="A27" s="142">
        <v>17</v>
      </c>
      <c r="B27" s="141" t="s">
        <v>1222</v>
      </c>
      <c r="C27" s="142" t="s">
        <v>1204</v>
      </c>
      <c r="D27" s="143">
        <v>84</v>
      </c>
      <c r="E27" s="144"/>
      <c r="F27" s="334">
        <v>84</v>
      </c>
      <c r="G27" s="112" t="s">
        <v>4012</v>
      </c>
      <c r="H27" s="120" t="s">
        <v>4013</v>
      </c>
      <c r="I27" s="120" t="s">
        <v>4004</v>
      </c>
      <c r="J27" s="120" t="s">
        <v>3767</v>
      </c>
      <c r="K27" s="110">
        <v>882200</v>
      </c>
      <c r="L27" s="110"/>
      <c r="M27" s="110">
        <v>471600</v>
      </c>
      <c r="N27" s="110"/>
      <c r="O27" s="110"/>
      <c r="P27" s="110">
        <f t="shared" si="0"/>
        <v>1353800</v>
      </c>
      <c r="Q27" s="110">
        <f t="shared" si="1"/>
        <v>113719200</v>
      </c>
      <c r="R27" s="110">
        <f t="shared" si="2"/>
        <v>113719200</v>
      </c>
      <c r="S27" s="112" t="s">
        <v>4012</v>
      </c>
    </row>
    <row r="28" spans="1:19" ht="30">
      <c r="A28" s="142">
        <v>18</v>
      </c>
      <c r="B28" s="141" t="s">
        <v>1223</v>
      </c>
      <c r="C28" s="142" t="s">
        <v>4</v>
      </c>
      <c r="D28" s="143">
        <v>6</v>
      </c>
      <c r="E28" s="144"/>
      <c r="F28" s="334">
        <v>6</v>
      </c>
      <c r="G28" s="112">
        <v>0</v>
      </c>
      <c r="H28" s="120" t="s">
        <v>2936</v>
      </c>
      <c r="I28" s="120" t="s">
        <v>2899</v>
      </c>
      <c r="J28" s="120" t="s">
        <v>2900</v>
      </c>
      <c r="K28" s="110">
        <v>6975200</v>
      </c>
      <c r="L28" s="110"/>
      <c r="M28" s="110">
        <v>302300</v>
      </c>
      <c r="N28" s="110"/>
      <c r="O28" s="110"/>
      <c r="P28" s="110">
        <f t="shared" si="0"/>
        <v>7277500</v>
      </c>
      <c r="Q28" s="110">
        <f t="shared" si="1"/>
        <v>43665000</v>
      </c>
      <c r="R28" s="110">
        <f t="shared" si="2"/>
        <v>43665000</v>
      </c>
      <c r="S28" s="112">
        <v>0</v>
      </c>
    </row>
    <row r="29" spans="1:19">
      <c r="A29" s="142">
        <v>19</v>
      </c>
      <c r="B29" s="141" t="s">
        <v>1224</v>
      </c>
      <c r="C29" s="142" t="s">
        <v>4</v>
      </c>
      <c r="D29" s="143">
        <v>2</v>
      </c>
      <c r="E29" s="144" t="s">
        <v>1225</v>
      </c>
      <c r="F29" s="334">
        <v>2</v>
      </c>
      <c r="G29" s="112" t="s">
        <v>2925</v>
      </c>
      <c r="H29" s="120" t="s">
        <v>2926</v>
      </c>
      <c r="I29" s="120" t="s">
        <v>2921</v>
      </c>
      <c r="J29" s="120" t="s">
        <v>769</v>
      </c>
      <c r="K29" s="110">
        <v>9923200</v>
      </c>
      <c r="L29" s="110"/>
      <c r="M29" s="110">
        <v>244500</v>
      </c>
      <c r="N29" s="110"/>
      <c r="O29" s="110"/>
      <c r="P29" s="110">
        <f t="shared" si="0"/>
        <v>10167700</v>
      </c>
      <c r="Q29" s="110">
        <f t="shared" si="1"/>
        <v>20335400</v>
      </c>
      <c r="R29" s="110">
        <f t="shared" si="2"/>
        <v>20335400</v>
      </c>
      <c r="S29" s="112" t="s">
        <v>2925</v>
      </c>
    </row>
    <row r="30" spans="1:19">
      <c r="A30" s="142">
        <v>20</v>
      </c>
      <c r="B30" s="141" t="s">
        <v>1226</v>
      </c>
      <c r="C30" s="142" t="s">
        <v>4</v>
      </c>
      <c r="D30" s="143">
        <v>2</v>
      </c>
      <c r="E30" s="144" t="s">
        <v>1225</v>
      </c>
      <c r="F30" s="334">
        <v>2</v>
      </c>
      <c r="G30" s="112">
        <v>0</v>
      </c>
      <c r="H30" s="120" t="s">
        <v>2927</v>
      </c>
      <c r="I30" s="120" t="s">
        <v>2921</v>
      </c>
      <c r="J30" s="120" t="s">
        <v>769</v>
      </c>
      <c r="K30" s="110">
        <v>23338000</v>
      </c>
      <c r="L30" s="110"/>
      <c r="M30" s="110">
        <v>244500</v>
      </c>
      <c r="N30" s="110"/>
      <c r="O30" s="110"/>
      <c r="P30" s="110">
        <f t="shared" si="0"/>
        <v>23582500</v>
      </c>
      <c r="Q30" s="110">
        <f t="shared" si="1"/>
        <v>47165000</v>
      </c>
      <c r="R30" s="110">
        <f t="shared" si="2"/>
        <v>47165000</v>
      </c>
      <c r="S30" s="112">
        <v>0</v>
      </c>
    </row>
    <row r="31" spans="1:19">
      <c r="A31" s="142">
        <v>21</v>
      </c>
      <c r="B31" s="141" t="s">
        <v>1227</v>
      </c>
      <c r="C31" s="142" t="s">
        <v>4</v>
      </c>
      <c r="D31" s="143">
        <v>2</v>
      </c>
      <c r="E31" s="144" t="s">
        <v>1228</v>
      </c>
      <c r="F31" s="334">
        <v>2</v>
      </c>
      <c r="G31" s="112" t="s">
        <v>1228</v>
      </c>
      <c r="H31" s="120" t="s">
        <v>2937</v>
      </c>
      <c r="I31" s="120" t="s">
        <v>2921</v>
      </c>
      <c r="J31" s="120" t="s">
        <v>769</v>
      </c>
      <c r="K31" s="110">
        <v>11397200</v>
      </c>
      <c r="L31" s="110"/>
      <c r="M31" s="110">
        <v>310000</v>
      </c>
      <c r="N31" s="110"/>
      <c r="O31" s="110"/>
      <c r="P31" s="110">
        <f t="shared" si="0"/>
        <v>11707200</v>
      </c>
      <c r="Q31" s="110">
        <f t="shared" si="1"/>
        <v>23414400</v>
      </c>
      <c r="R31" s="110">
        <f t="shared" si="2"/>
        <v>23414400</v>
      </c>
      <c r="S31" s="112" t="s">
        <v>1228</v>
      </c>
    </row>
    <row r="32" spans="1:19">
      <c r="A32" s="142">
        <v>22</v>
      </c>
      <c r="B32" s="141" t="s">
        <v>1229</v>
      </c>
      <c r="C32" s="142" t="s">
        <v>4</v>
      </c>
      <c r="D32" s="143">
        <v>9</v>
      </c>
      <c r="E32" s="144"/>
      <c r="F32" s="334">
        <v>9</v>
      </c>
      <c r="G32" s="112" t="s">
        <v>2922</v>
      </c>
      <c r="H32" s="120" t="s">
        <v>2928</v>
      </c>
      <c r="I32" s="120" t="s">
        <v>2919</v>
      </c>
      <c r="J32" s="120" t="s">
        <v>769</v>
      </c>
      <c r="K32" s="110">
        <v>2347700</v>
      </c>
      <c r="L32" s="110"/>
      <c r="M32" s="110">
        <v>85800</v>
      </c>
      <c r="N32" s="110"/>
      <c r="O32" s="110"/>
      <c r="P32" s="110">
        <f t="shared" si="0"/>
        <v>2433500</v>
      </c>
      <c r="Q32" s="110">
        <f t="shared" si="1"/>
        <v>21901500</v>
      </c>
      <c r="R32" s="110">
        <f t="shared" si="2"/>
        <v>21901500</v>
      </c>
      <c r="S32" s="112" t="s">
        <v>2922</v>
      </c>
    </row>
    <row r="33" spans="1:19" ht="30">
      <c r="A33" s="142">
        <v>23</v>
      </c>
      <c r="B33" s="141" t="s">
        <v>1230</v>
      </c>
      <c r="C33" s="142" t="s">
        <v>1204</v>
      </c>
      <c r="D33" s="143">
        <v>1</v>
      </c>
      <c r="E33" s="144" t="s">
        <v>1228</v>
      </c>
      <c r="F33" s="334">
        <v>1</v>
      </c>
      <c r="G33" s="112" t="s">
        <v>1228</v>
      </c>
      <c r="H33" s="120" t="s">
        <v>4014</v>
      </c>
      <c r="I33" s="120" t="s">
        <v>2921</v>
      </c>
      <c r="J33" s="120" t="s">
        <v>769</v>
      </c>
      <c r="K33" s="110">
        <v>30601600</v>
      </c>
      <c r="L33" s="110"/>
      <c r="M33" s="110">
        <v>1860000</v>
      </c>
      <c r="N33" s="110"/>
      <c r="O33" s="110"/>
      <c r="P33" s="110">
        <f t="shared" si="0"/>
        <v>32461600</v>
      </c>
      <c r="Q33" s="110">
        <f t="shared" si="1"/>
        <v>32461600</v>
      </c>
      <c r="R33" s="110">
        <f t="shared" si="2"/>
        <v>32461600</v>
      </c>
      <c r="S33" s="112" t="s">
        <v>1228</v>
      </c>
    </row>
    <row r="34" spans="1:19" ht="30">
      <c r="A34" s="142">
        <v>24</v>
      </c>
      <c r="B34" s="141" t="s">
        <v>1231</v>
      </c>
      <c r="C34" s="142" t="s">
        <v>1204</v>
      </c>
      <c r="D34" s="143">
        <v>5</v>
      </c>
      <c r="E34" s="144" t="s">
        <v>1228</v>
      </c>
      <c r="F34" s="334">
        <v>5</v>
      </c>
      <c r="G34" s="112">
        <v>0</v>
      </c>
      <c r="H34" s="120" t="s">
        <v>4014</v>
      </c>
      <c r="I34" s="120" t="s">
        <v>2921</v>
      </c>
      <c r="J34" s="120" t="s">
        <v>769</v>
      </c>
      <c r="K34" s="110">
        <v>27383100</v>
      </c>
      <c r="L34" s="110"/>
      <c r="M34" s="110">
        <v>1466700</v>
      </c>
      <c r="N34" s="110"/>
      <c r="O34" s="110"/>
      <c r="P34" s="110">
        <f t="shared" si="0"/>
        <v>28849800</v>
      </c>
      <c r="Q34" s="110">
        <f t="shared" si="1"/>
        <v>144249000</v>
      </c>
      <c r="R34" s="110">
        <f t="shared" si="2"/>
        <v>144249000</v>
      </c>
      <c r="S34" s="112">
        <v>0</v>
      </c>
    </row>
    <row r="35" spans="1:19">
      <c r="A35" s="142">
        <v>25</v>
      </c>
      <c r="B35" s="141" t="s">
        <v>1232</v>
      </c>
      <c r="C35" s="142" t="s">
        <v>4</v>
      </c>
      <c r="D35" s="143">
        <v>2</v>
      </c>
      <c r="E35" s="144"/>
      <c r="F35" s="334">
        <v>2</v>
      </c>
      <c r="G35" s="112" t="s">
        <v>2941</v>
      </c>
      <c r="H35" s="120" t="s">
        <v>2942</v>
      </c>
      <c r="I35" s="120" t="s">
        <v>2943</v>
      </c>
      <c r="J35" s="120" t="s">
        <v>1104</v>
      </c>
      <c r="K35" s="110">
        <v>5318200</v>
      </c>
      <c r="L35" s="110"/>
      <c r="M35" s="110">
        <v>302300</v>
      </c>
      <c r="N35" s="110"/>
      <c r="O35" s="110"/>
      <c r="P35" s="110">
        <f t="shared" si="0"/>
        <v>5620500</v>
      </c>
      <c r="Q35" s="110">
        <f t="shared" si="1"/>
        <v>11241000</v>
      </c>
      <c r="R35" s="110">
        <f t="shared" si="2"/>
        <v>11241000</v>
      </c>
      <c r="S35" s="112" t="s">
        <v>2941</v>
      </c>
    </row>
    <row r="36" spans="1:19" ht="45">
      <c r="A36" s="142">
        <v>26</v>
      </c>
      <c r="B36" s="141" t="s">
        <v>1233</v>
      </c>
      <c r="C36" s="142" t="s">
        <v>4</v>
      </c>
      <c r="D36" s="143">
        <v>1</v>
      </c>
      <c r="E36" s="144"/>
      <c r="F36" s="334">
        <v>1</v>
      </c>
      <c r="G36" s="112" t="s">
        <v>2688</v>
      </c>
      <c r="H36" s="120">
        <v>0</v>
      </c>
      <c r="I36" s="120">
        <v>0</v>
      </c>
      <c r="J36" s="120">
        <v>0</v>
      </c>
      <c r="K36" s="110">
        <v>0</v>
      </c>
      <c r="L36" s="110"/>
      <c r="M36" s="110">
        <v>0</v>
      </c>
      <c r="N36" s="110"/>
      <c r="O36" s="110"/>
      <c r="P36" s="110">
        <f t="shared" si="0"/>
        <v>0</v>
      </c>
      <c r="Q36" s="110">
        <f t="shared" si="1"/>
        <v>0</v>
      </c>
      <c r="R36" s="110">
        <f t="shared" si="2"/>
        <v>0</v>
      </c>
      <c r="S36" s="112" t="s">
        <v>2688</v>
      </c>
    </row>
    <row r="37" spans="1:19" ht="45">
      <c r="A37" s="142">
        <v>27</v>
      </c>
      <c r="B37" s="141" t="s">
        <v>1234</v>
      </c>
      <c r="C37" s="142" t="s">
        <v>4</v>
      </c>
      <c r="D37" s="143">
        <v>6</v>
      </c>
      <c r="E37" s="144"/>
      <c r="F37" s="334">
        <v>6</v>
      </c>
      <c r="G37" s="112" t="s">
        <v>2688</v>
      </c>
      <c r="H37" s="120">
        <v>0</v>
      </c>
      <c r="I37" s="120">
        <v>0</v>
      </c>
      <c r="J37" s="120">
        <v>0</v>
      </c>
      <c r="K37" s="110">
        <v>0</v>
      </c>
      <c r="L37" s="110"/>
      <c r="M37" s="110">
        <v>0</v>
      </c>
      <c r="N37" s="110"/>
      <c r="O37" s="110"/>
      <c r="P37" s="110">
        <f t="shared" si="0"/>
        <v>0</v>
      </c>
      <c r="Q37" s="110">
        <f t="shared" si="1"/>
        <v>0</v>
      </c>
      <c r="R37" s="110">
        <f t="shared" si="2"/>
        <v>0</v>
      </c>
      <c r="S37" s="112" t="s">
        <v>2688</v>
      </c>
    </row>
    <row r="38" spans="1:19" ht="45">
      <c r="A38" s="142">
        <v>28</v>
      </c>
      <c r="B38" s="141" t="s">
        <v>1235</v>
      </c>
      <c r="C38" s="142" t="s">
        <v>7</v>
      </c>
      <c r="D38" s="143">
        <v>16</v>
      </c>
      <c r="E38" s="144"/>
      <c r="F38" s="334">
        <v>16</v>
      </c>
      <c r="G38" s="112" t="s">
        <v>2688</v>
      </c>
      <c r="H38" s="120">
        <v>0</v>
      </c>
      <c r="I38" s="120">
        <v>0</v>
      </c>
      <c r="J38" s="120">
        <v>0</v>
      </c>
      <c r="K38" s="110">
        <v>0</v>
      </c>
      <c r="L38" s="110"/>
      <c r="M38" s="110">
        <v>0</v>
      </c>
      <c r="N38" s="110"/>
      <c r="O38" s="110"/>
      <c r="P38" s="110">
        <f t="shared" si="0"/>
        <v>0</v>
      </c>
      <c r="Q38" s="110">
        <f t="shared" si="1"/>
        <v>0</v>
      </c>
      <c r="R38" s="110">
        <f t="shared" si="2"/>
        <v>0</v>
      </c>
      <c r="S38" s="112" t="s">
        <v>2688</v>
      </c>
    </row>
    <row r="39" spans="1:19" ht="240">
      <c r="A39" s="142">
        <v>29</v>
      </c>
      <c r="B39" s="141" t="s">
        <v>1236</v>
      </c>
      <c r="C39" s="142" t="s">
        <v>4</v>
      </c>
      <c r="D39" s="143">
        <v>1</v>
      </c>
      <c r="E39" s="144"/>
      <c r="F39" s="334">
        <v>1</v>
      </c>
      <c r="G39" s="629" t="s">
        <v>2917</v>
      </c>
      <c r="H39" s="120">
        <v>0</v>
      </c>
      <c r="I39" s="120" t="s">
        <v>1630</v>
      </c>
      <c r="J39" s="120" t="s">
        <v>772</v>
      </c>
      <c r="K39" s="110">
        <v>492148300</v>
      </c>
      <c r="L39" s="110"/>
      <c r="M39" s="110">
        <v>12400000</v>
      </c>
      <c r="N39" s="110"/>
      <c r="O39" s="110"/>
      <c r="P39" s="110">
        <f t="shared" si="0"/>
        <v>504548300</v>
      </c>
      <c r="Q39" s="110">
        <f t="shared" si="1"/>
        <v>504548300</v>
      </c>
      <c r="R39" s="110">
        <f t="shared" si="2"/>
        <v>504548300</v>
      </c>
      <c r="S39" s="112" t="s">
        <v>2917</v>
      </c>
    </row>
    <row r="40" spans="1:19" ht="270">
      <c r="A40" s="142">
        <v>30</v>
      </c>
      <c r="B40" s="141" t="s">
        <v>1237</v>
      </c>
      <c r="C40" s="142" t="s">
        <v>4</v>
      </c>
      <c r="D40" s="143">
        <v>1</v>
      </c>
      <c r="E40" s="144"/>
      <c r="F40" s="334">
        <v>1</v>
      </c>
      <c r="G40" s="629" t="s">
        <v>2918</v>
      </c>
      <c r="H40" s="120">
        <v>0</v>
      </c>
      <c r="I40" s="120" t="s">
        <v>1630</v>
      </c>
      <c r="J40" s="120" t="s">
        <v>772</v>
      </c>
      <c r="K40" s="110">
        <v>520383700</v>
      </c>
      <c r="L40" s="110"/>
      <c r="M40" s="110">
        <v>12400000</v>
      </c>
      <c r="N40" s="110"/>
      <c r="O40" s="110"/>
      <c r="P40" s="110">
        <f t="shared" si="0"/>
        <v>532783700</v>
      </c>
      <c r="Q40" s="110">
        <f t="shared" si="1"/>
        <v>532783700</v>
      </c>
      <c r="R40" s="110">
        <f t="shared" si="2"/>
        <v>532783700</v>
      </c>
      <c r="S40" s="112" t="s">
        <v>2918</v>
      </c>
    </row>
    <row r="41" spans="1:19" ht="45">
      <c r="A41" s="142">
        <v>31</v>
      </c>
      <c r="B41" s="141" t="s">
        <v>1238</v>
      </c>
      <c r="C41" s="142" t="s">
        <v>4</v>
      </c>
      <c r="D41" s="143">
        <v>10</v>
      </c>
      <c r="E41" s="144"/>
      <c r="F41" s="334">
        <v>10</v>
      </c>
      <c r="G41" s="112" t="s">
        <v>2688</v>
      </c>
      <c r="H41" s="120">
        <v>0</v>
      </c>
      <c r="I41" s="120">
        <v>0</v>
      </c>
      <c r="J41" s="120">
        <v>0</v>
      </c>
      <c r="K41" s="110">
        <v>0</v>
      </c>
      <c r="L41" s="110"/>
      <c r="M41" s="110">
        <v>0</v>
      </c>
      <c r="N41" s="110"/>
      <c r="O41" s="110"/>
      <c r="P41" s="110">
        <f t="shared" si="0"/>
        <v>0</v>
      </c>
      <c r="Q41" s="110">
        <f t="shared" si="1"/>
        <v>0</v>
      </c>
      <c r="R41" s="110">
        <f t="shared" si="2"/>
        <v>0</v>
      </c>
      <c r="S41" s="112" t="s">
        <v>2688</v>
      </c>
    </row>
    <row r="42" spans="1:19">
      <c r="A42" s="146">
        <v>32</v>
      </c>
      <c r="B42" s="150" t="s">
        <v>1239</v>
      </c>
      <c r="C42" s="146" t="s">
        <v>4</v>
      </c>
      <c r="D42" s="147">
        <v>1</v>
      </c>
      <c r="E42" s="148"/>
      <c r="F42" s="334">
        <v>1</v>
      </c>
      <c r="G42" s="112">
        <v>0</v>
      </c>
      <c r="H42" s="120">
        <v>0</v>
      </c>
      <c r="I42" s="120">
        <v>0</v>
      </c>
      <c r="J42" s="120" t="s">
        <v>772</v>
      </c>
      <c r="K42" s="110">
        <v>7423300</v>
      </c>
      <c r="L42" s="110"/>
      <c r="M42" s="110">
        <v>5701400</v>
      </c>
      <c r="N42" s="110"/>
      <c r="O42" s="110"/>
      <c r="P42" s="110">
        <f t="shared" si="0"/>
        <v>13124700</v>
      </c>
      <c r="Q42" s="110">
        <f t="shared" si="1"/>
        <v>13124700</v>
      </c>
      <c r="R42" s="110">
        <f t="shared" si="2"/>
        <v>13124700</v>
      </c>
      <c r="S42" s="112">
        <v>0</v>
      </c>
    </row>
    <row r="43" spans="1:19">
      <c r="A43" s="138" t="s">
        <v>5</v>
      </c>
      <c r="B43" s="137" t="s">
        <v>1240</v>
      </c>
      <c r="C43" s="138"/>
      <c r="D43" s="151"/>
      <c r="E43" s="140"/>
      <c r="F43" s="359"/>
      <c r="G43" s="449"/>
      <c r="H43" s="438"/>
      <c r="I43" s="438"/>
      <c r="J43" s="438"/>
      <c r="K43" s="338"/>
      <c r="L43" s="338"/>
      <c r="M43" s="338"/>
      <c r="N43" s="338"/>
      <c r="O43" s="338"/>
      <c r="P43" s="338"/>
      <c r="Q43" s="338"/>
      <c r="R43" s="86"/>
      <c r="S43" s="337"/>
    </row>
    <row r="44" spans="1:19">
      <c r="A44" s="142" t="s">
        <v>3</v>
      </c>
      <c r="B44" s="152" t="s">
        <v>1241</v>
      </c>
      <c r="C44" s="142"/>
      <c r="D44" s="143"/>
      <c r="E44" s="144"/>
      <c r="F44" s="360"/>
      <c r="G44" s="116"/>
      <c r="H44" s="121"/>
      <c r="I44" s="121"/>
      <c r="J44" s="121"/>
      <c r="K44" s="339"/>
      <c r="L44" s="339"/>
      <c r="M44" s="339"/>
      <c r="N44" s="339"/>
      <c r="O44" s="339"/>
      <c r="P44" s="339"/>
      <c r="Q44" s="339"/>
      <c r="R44" s="80"/>
      <c r="S44" s="77"/>
    </row>
    <row r="45" spans="1:19">
      <c r="A45" s="142">
        <v>1</v>
      </c>
      <c r="B45" s="152" t="s">
        <v>1242</v>
      </c>
      <c r="C45" s="142"/>
      <c r="D45" s="143"/>
      <c r="E45" s="144"/>
      <c r="F45" s="336"/>
      <c r="G45" s="112"/>
      <c r="H45" s="120"/>
      <c r="I45" s="120"/>
      <c r="J45" s="120"/>
      <c r="K45" s="117"/>
      <c r="L45" s="117"/>
      <c r="M45" s="117"/>
      <c r="N45" s="117"/>
      <c r="O45" s="117"/>
      <c r="P45" s="117"/>
      <c r="Q45" s="117"/>
      <c r="R45" s="77"/>
      <c r="S45" s="77"/>
    </row>
    <row r="46" spans="1:19" ht="45">
      <c r="A46" s="142"/>
      <c r="B46" s="153" t="s">
        <v>1243</v>
      </c>
      <c r="C46" s="142" t="s">
        <v>7</v>
      </c>
      <c r="D46" s="143">
        <v>3</v>
      </c>
      <c r="E46" s="144"/>
      <c r="F46" s="334">
        <v>3</v>
      </c>
      <c r="G46" s="112" t="s">
        <v>2715</v>
      </c>
      <c r="H46" s="120" t="s">
        <v>2746</v>
      </c>
      <c r="I46" s="120" t="s">
        <v>1630</v>
      </c>
      <c r="J46" s="120" t="s">
        <v>772</v>
      </c>
      <c r="K46" s="110">
        <v>2052300</v>
      </c>
      <c r="L46" s="110"/>
      <c r="M46" s="110">
        <v>620000</v>
      </c>
      <c r="N46" s="110"/>
      <c r="O46" s="110"/>
      <c r="P46" s="110">
        <f t="shared" ref="P46:P50" si="3">K46+L46+M46+N46+O46</f>
        <v>2672300</v>
      </c>
      <c r="Q46" s="110">
        <f t="shared" ref="Q46:Q50" si="4">$P46*D46</f>
        <v>8016900</v>
      </c>
      <c r="R46" s="110">
        <f t="shared" ref="R46:R50" si="5">$P46*F46</f>
        <v>8016900</v>
      </c>
      <c r="S46" s="112" t="s">
        <v>2715</v>
      </c>
    </row>
    <row r="47" spans="1:19" ht="45">
      <c r="A47" s="142"/>
      <c r="B47" s="153" t="s">
        <v>1244</v>
      </c>
      <c r="C47" s="142" t="s">
        <v>7</v>
      </c>
      <c r="D47" s="143">
        <v>20</v>
      </c>
      <c r="E47" s="144" t="s">
        <v>1245</v>
      </c>
      <c r="F47" s="334">
        <v>20</v>
      </c>
      <c r="G47" s="112" t="s">
        <v>2715</v>
      </c>
      <c r="H47" s="120" t="s">
        <v>2745</v>
      </c>
      <c r="I47" s="120" t="s">
        <v>1630</v>
      </c>
      <c r="J47" s="120" t="s">
        <v>772</v>
      </c>
      <c r="K47" s="110">
        <v>1381100</v>
      </c>
      <c r="L47" s="110"/>
      <c r="M47" s="110">
        <v>484400</v>
      </c>
      <c r="N47" s="110"/>
      <c r="O47" s="110"/>
      <c r="P47" s="110">
        <f t="shared" si="3"/>
        <v>1865500</v>
      </c>
      <c r="Q47" s="110">
        <f t="shared" si="4"/>
        <v>37310000</v>
      </c>
      <c r="R47" s="110">
        <f t="shared" si="5"/>
        <v>37310000</v>
      </c>
      <c r="S47" s="112" t="s">
        <v>2715</v>
      </c>
    </row>
    <row r="48" spans="1:19" ht="45">
      <c r="A48" s="142"/>
      <c r="B48" s="153" t="s">
        <v>1246</v>
      </c>
      <c r="C48" s="142" t="s">
        <v>7</v>
      </c>
      <c r="D48" s="143">
        <v>8</v>
      </c>
      <c r="E48" s="144" t="s">
        <v>1245</v>
      </c>
      <c r="F48" s="334">
        <v>8</v>
      </c>
      <c r="G48" s="112" t="s">
        <v>2715</v>
      </c>
      <c r="H48" s="120" t="s">
        <v>2744</v>
      </c>
      <c r="I48" s="120" t="s">
        <v>1630</v>
      </c>
      <c r="J48" s="120" t="s">
        <v>772</v>
      </c>
      <c r="K48" s="110">
        <v>1148600</v>
      </c>
      <c r="L48" s="110"/>
      <c r="M48" s="110">
        <v>387500</v>
      </c>
      <c r="N48" s="110"/>
      <c r="O48" s="110"/>
      <c r="P48" s="110">
        <f t="shared" si="3"/>
        <v>1536100</v>
      </c>
      <c r="Q48" s="110">
        <f t="shared" si="4"/>
        <v>12288800</v>
      </c>
      <c r="R48" s="110">
        <f t="shared" si="5"/>
        <v>12288800</v>
      </c>
      <c r="S48" s="112" t="s">
        <v>2715</v>
      </c>
    </row>
    <row r="49" spans="1:19" ht="45">
      <c r="A49" s="142"/>
      <c r="B49" s="153" t="s">
        <v>1247</v>
      </c>
      <c r="C49" s="142" t="s">
        <v>7</v>
      </c>
      <c r="D49" s="143">
        <v>27</v>
      </c>
      <c r="E49" s="144" t="s">
        <v>1245</v>
      </c>
      <c r="F49" s="334">
        <v>27</v>
      </c>
      <c r="G49" s="112" t="s">
        <v>2715</v>
      </c>
      <c r="H49" s="120" t="s">
        <v>2743</v>
      </c>
      <c r="I49" s="120" t="s">
        <v>1630</v>
      </c>
      <c r="J49" s="120" t="s">
        <v>772</v>
      </c>
      <c r="K49" s="110">
        <v>830900</v>
      </c>
      <c r="L49" s="110"/>
      <c r="M49" s="110">
        <v>295700</v>
      </c>
      <c r="N49" s="110"/>
      <c r="O49" s="110"/>
      <c r="P49" s="110">
        <f t="shared" si="3"/>
        <v>1126600</v>
      </c>
      <c r="Q49" s="110">
        <f t="shared" si="4"/>
        <v>30418200</v>
      </c>
      <c r="R49" s="110">
        <f t="shared" si="5"/>
        <v>30418200</v>
      </c>
      <c r="S49" s="112" t="s">
        <v>2715</v>
      </c>
    </row>
    <row r="50" spans="1:19" ht="45">
      <c r="A50" s="142"/>
      <c r="B50" s="153" t="s">
        <v>1248</v>
      </c>
      <c r="C50" s="142" t="s">
        <v>7</v>
      </c>
      <c r="D50" s="143">
        <v>510</v>
      </c>
      <c r="E50" s="144" t="s">
        <v>1245</v>
      </c>
      <c r="F50" s="334">
        <v>510</v>
      </c>
      <c r="G50" s="112" t="s">
        <v>2715</v>
      </c>
      <c r="H50" s="120" t="s">
        <v>2742</v>
      </c>
      <c r="I50" s="120" t="s">
        <v>1630</v>
      </c>
      <c r="J50" s="120" t="s">
        <v>772</v>
      </c>
      <c r="K50" s="110">
        <v>641000</v>
      </c>
      <c r="L50" s="110"/>
      <c r="M50" s="110">
        <v>235300</v>
      </c>
      <c r="N50" s="110"/>
      <c r="O50" s="110"/>
      <c r="P50" s="110">
        <f t="shared" si="3"/>
        <v>876300</v>
      </c>
      <c r="Q50" s="110">
        <f t="shared" si="4"/>
        <v>446913000</v>
      </c>
      <c r="R50" s="110">
        <f t="shared" si="5"/>
        <v>446913000</v>
      </c>
      <c r="S50" s="112" t="s">
        <v>2715</v>
      </c>
    </row>
    <row r="51" spans="1:19">
      <c r="A51" s="142">
        <v>2</v>
      </c>
      <c r="B51" s="152" t="s">
        <v>1249</v>
      </c>
      <c r="C51" s="142"/>
      <c r="D51" s="143"/>
      <c r="E51" s="144"/>
      <c r="F51" s="76"/>
      <c r="G51" s="112"/>
      <c r="H51" s="120"/>
      <c r="I51" s="120"/>
      <c r="J51" s="120"/>
      <c r="K51" s="77"/>
      <c r="L51" s="77"/>
      <c r="M51" s="77"/>
      <c r="N51" s="77"/>
      <c r="O51" s="77"/>
      <c r="P51" s="77"/>
      <c r="Q51" s="77"/>
      <c r="R51" s="77"/>
      <c r="S51" s="77"/>
    </row>
    <row r="52" spans="1:19" ht="60">
      <c r="A52" s="142"/>
      <c r="B52" s="153" t="s">
        <v>1250</v>
      </c>
      <c r="C52" s="142" t="s">
        <v>7</v>
      </c>
      <c r="D52" s="143">
        <v>81.316000000000003</v>
      </c>
      <c r="E52" s="144" t="s">
        <v>1251</v>
      </c>
      <c r="F52" s="334">
        <v>81.316000000000003</v>
      </c>
      <c r="G52" s="112" t="s">
        <v>2829</v>
      </c>
      <c r="H52" s="120" t="s">
        <v>2830</v>
      </c>
      <c r="I52" s="120" t="s">
        <v>2748</v>
      </c>
      <c r="J52" s="120" t="s">
        <v>772</v>
      </c>
      <c r="K52" s="110">
        <v>260400</v>
      </c>
      <c r="L52" s="110"/>
      <c r="M52" s="110">
        <v>130200</v>
      </c>
      <c r="N52" s="110"/>
      <c r="O52" s="110"/>
      <c r="P52" s="110">
        <f t="shared" ref="P52:P59" si="6">K52+L52+M52+N52+O52</f>
        <v>390600</v>
      </c>
      <c r="Q52" s="110">
        <f t="shared" ref="Q52:Q59" si="7">$P52*D52</f>
        <v>31762029.600000001</v>
      </c>
      <c r="R52" s="110">
        <f t="shared" ref="R52:R59" si="8">$P52*F52</f>
        <v>31762029.600000001</v>
      </c>
      <c r="S52" s="112" t="s">
        <v>2829</v>
      </c>
    </row>
    <row r="53" spans="1:19" ht="60">
      <c r="A53" s="142"/>
      <c r="B53" s="153" t="s">
        <v>1252</v>
      </c>
      <c r="C53" s="142" t="s">
        <v>7</v>
      </c>
      <c r="D53" s="143">
        <v>36</v>
      </c>
      <c r="E53" s="144" t="s">
        <v>1251</v>
      </c>
      <c r="F53" s="334">
        <v>36</v>
      </c>
      <c r="G53" s="112" t="s">
        <v>2829</v>
      </c>
      <c r="H53" s="120" t="s">
        <v>2831</v>
      </c>
      <c r="I53" s="120" t="s">
        <v>2748</v>
      </c>
      <c r="J53" s="120" t="s">
        <v>772</v>
      </c>
      <c r="K53" s="110">
        <v>169000</v>
      </c>
      <c r="L53" s="110"/>
      <c r="M53" s="110">
        <v>109900</v>
      </c>
      <c r="N53" s="110"/>
      <c r="O53" s="110"/>
      <c r="P53" s="110">
        <f t="shared" si="6"/>
        <v>278900</v>
      </c>
      <c r="Q53" s="110">
        <f t="shared" si="7"/>
        <v>10040400</v>
      </c>
      <c r="R53" s="110">
        <f t="shared" si="8"/>
        <v>10040400</v>
      </c>
      <c r="S53" s="112" t="s">
        <v>2829</v>
      </c>
    </row>
    <row r="54" spans="1:19" ht="60">
      <c r="A54" s="142"/>
      <c r="B54" s="153" t="s">
        <v>1253</v>
      </c>
      <c r="C54" s="142" t="s">
        <v>7</v>
      </c>
      <c r="D54" s="143">
        <v>238</v>
      </c>
      <c r="E54" s="144" t="s">
        <v>1251</v>
      </c>
      <c r="F54" s="334">
        <v>238</v>
      </c>
      <c r="G54" s="112" t="s">
        <v>2829</v>
      </c>
      <c r="H54" s="120" t="s">
        <v>2832</v>
      </c>
      <c r="I54" s="120" t="s">
        <v>2748</v>
      </c>
      <c r="J54" s="120" t="s">
        <v>772</v>
      </c>
      <c r="K54" s="110">
        <v>83300</v>
      </c>
      <c r="L54" s="110"/>
      <c r="M54" s="110">
        <v>79600</v>
      </c>
      <c r="N54" s="110"/>
      <c r="O54" s="110"/>
      <c r="P54" s="110">
        <f t="shared" si="6"/>
        <v>162900</v>
      </c>
      <c r="Q54" s="110">
        <f t="shared" si="7"/>
        <v>38770200</v>
      </c>
      <c r="R54" s="110">
        <f t="shared" si="8"/>
        <v>38770200</v>
      </c>
      <c r="S54" s="112" t="s">
        <v>2829</v>
      </c>
    </row>
    <row r="55" spans="1:19" ht="60">
      <c r="A55" s="142"/>
      <c r="B55" s="153" t="s">
        <v>1254</v>
      </c>
      <c r="C55" s="142" t="s">
        <v>7</v>
      </c>
      <c r="D55" s="143">
        <v>161</v>
      </c>
      <c r="E55" s="144" t="s">
        <v>1251</v>
      </c>
      <c r="F55" s="334">
        <v>161</v>
      </c>
      <c r="G55" s="112" t="s">
        <v>2829</v>
      </c>
      <c r="H55" s="120" t="s">
        <v>2833</v>
      </c>
      <c r="I55" s="120" t="s">
        <v>2748</v>
      </c>
      <c r="J55" s="120" t="s">
        <v>772</v>
      </c>
      <c r="K55" s="110">
        <v>52400</v>
      </c>
      <c r="L55" s="110"/>
      <c r="M55" s="110">
        <v>70000</v>
      </c>
      <c r="N55" s="110"/>
      <c r="O55" s="110"/>
      <c r="P55" s="110">
        <f t="shared" si="6"/>
        <v>122400</v>
      </c>
      <c r="Q55" s="110">
        <f t="shared" si="7"/>
        <v>19706400</v>
      </c>
      <c r="R55" s="110">
        <f t="shared" si="8"/>
        <v>19706400</v>
      </c>
      <c r="S55" s="112" t="s">
        <v>2829</v>
      </c>
    </row>
    <row r="56" spans="1:19" ht="60">
      <c r="A56" s="142"/>
      <c r="B56" s="153" t="s">
        <v>1255</v>
      </c>
      <c r="C56" s="142" t="s">
        <v>7</v>
      </c>
      <c r="D56" s="143">
        <v>228.82799999999997</v>
      </c>
      <c r="E56" s="144" t="s">
        <v>1251</v>
      </c>
      <c r="F56" s="334">
        <v>228.82799999999997</v>
      </c>
      <c r="G56" s="112" t="s">
        <v>2829</v>
      </c>
      <c r="H56" s="120" t="s">
        <v>2834</v>
      </c>
      <c r="I56" s="120" t="s">
        <v>2748</v>
      </c>
      <c r="J56" s="120" t="s">
        <v>772</v>
      </c>
      <c r="K56" s="110">
        <v>36800</v>
      </c>
      <c r="L56" s="110"/>
      <c r="M56" s="110">
        <v>47500</v>
      </c>
      <c r="N56" s="110"/>
      <c r="O56" s="110"/>
      <c r="P56" s="110">
        <f t="shared" si="6"/>
        <v>84300</v>
      </c>
      <c r="Q56" s="110">
        <f t="shared" si="7"/>
        <v>19290200.399999999</v>
      </c>
      <c r="R56" s="110">
        <f t="shared" si="8"/>
        <v>19290200.399999999</v>
      </c>
      <c r="S56" s="112" t="s">
        <v>2829</v>
      </c>
    </row>
    <row r="57" spans="1:19" ht="60">
      <c r="A57" s="142"/>
      <c r="B57" s="153" t="s">
        <v>707</v>
      </c>
      <c r="C57" s="142" t="s">
        <v>7</v>
      </c>
      <c r="D57" s="143">
        <v>10702</v>
      </c>
      <c r="E57" s="144" t="s">
        <v>1251</v>
      </c>
      <c r="F57" s="334">
        <v>10702</v>
      </c>
      <c r="G57" s="112" t="s">
        <v>2829</v>
      </c>
      <c r="H57" s="120" t="s">
        <v>2835</v>
      </c>
      <c r="I57" s="120" t="s">
        <v>2748</v>
      </c>
      <c r="J57" s="120" t="s">
        <v>772</v>
      </c>
      <c r="K57" s="110">
        <v>27400</v>
      </c>
      <c r="L57" s="110"/>
      <c r="M57" s="110">
        <v>44100</v>
      </c>
      <c r="N57" s="110"/>
      <c r="O57" s="110"/>
      <c r="P57" s="110">
        <f t="shared" si="6"/>
        <v>71500</v>
      </c>
      <c r="Q57" s="110">
        <f t="shared" si="7"/>
        <v>765193000</v>
      </c>
      <c r="R57" s="110">
        <f t="shared" si="8"/>
        <v>765193000</v>
      </c>
      <c r="S57" s="112" t="s">
        <v>2829</v>
      </c>
    </row>
    <row r="58" spans="1:19" ht="60">
      <c r="A58" s="142"/>
      <c r="B58" s="153" t="s">
        <v>708</v>
      </c>
      <c r="C58" s="142" t="s">
        <v>7</v>
      </c>
      <c r="D58" s="143">
        <v>3003</v>
      </c>
      <c r="E58" s="144" t="s">
        <v>1251</v>
      </c>
      <c r="F58" s="334">
        <v>3003</v>
      </c>
      <c r="G58" s="112" t="s">
        <v>2829</v>
      </c>
      <c r="H58" s="120" t="s">
        <v>2836</v>
      </c>
      <c r="I58" s="120" t="s">
        <v>2748</v>
      </c>
      <c r="J58" s="120" t="s">
        <v>772</v>
      </c>
      <c r="K58" s="110">
        <v>21200</v>
      </c>
      <c r="L58" s="110"/>
      <c r="M58" s="110">
        <v>40800</v>
      </c>
      <c r="N58" s="110"/>
      <c r="O58" s="110"/>
      <c r="P58" s="110">
        <f t="shared" si="6"/>
        <v>62000</v>
      </c>
      <c r="Q58" s="110">
        <f t="shared" si="7"/>
        <v>186186000</v>
      </c>
      <c r="R58" s="110">
        <f t="shared" si="8"/>
        <v>186186000</v>
      </c>
      <c r="S58" s="112" t="s">
        <v>2829</v>
      </c>
    </row>
    <row r="59" spans="1:19" ht="60">
      <c r="A59" s="142"/>
      <c r="B59" s="153" t="s">
        <v>479</v>
      </c>
      <c r="C59" s="142" t="s">
        <v>7</v>
      </c>
      <c r="D59" s="143">
        <v>1139.8890000000001</v>
      </c>
      <c r="E59" s="144" t="s">
        <v>1251</v>
      </c>
      <c r="F59" s="334">
        <v>1139.8890000000001</v>
      </c>
      <c r="G59" s="112" t="s">
        <v>2829</v>
      </c>
      <c r="H59" s="120" t="s">
        <v>2837</v>
      </c>
      <c r="I59" s="120" t="s">
        <v>2748</v>
      </c>
      <c r="J59" s="120" t="s">
        <v>772</v>
      </c>
      <c r="K59" s="110">
        <v>11900</v>
      </c>
      <c r="L59" s="110"/>
      <c r="M59" s="110">
        <v>36200</v>
      </c>
      <c r="N59" s="110"/>
      <c r="O59" s="110"/>
      <c r="P59" s="110">
        <f t="shared" si="6"/>
        <v>48100</v>
      </c>
      <c r="Q59" s="110">
        <f t="shared" si="7"/>
        <v>54828660.900000006</v>
      </c>
      <c r="R59" s="110">
        <f t="shared" si="8"/>
        <v>54828660.900000006</v>
      </c>
      <c r="S59" s="112" t="s">
        <v>2829</v>
      </c>
    </row>
    <row r="60" spans="1:19">
      <c r="A60" s="142">
        <v>3</v>
      </c>
      <c r="B60" s="152" t="s">
        <v>1256</v>
      </c>
      <c r="C60" s="142"/>
      <c r="D60" s="143"/>
      <c r="E60" s="144"/>
      <c r="F60" s="76"/>
      <c r="G60" s="112"/>
      <c r="H60" s="120"/>
      <c r="I60" s="120"/>
      <c r="J60" s="120"/>
      <c r="K60" s="77"/>
      <c r="L60" s="77"/>
      <c r="M60" s="77"/>
      <c r="N60" s="77"/>
      <c r="O60" s="77"/>
      <c r="P60" s="77"/>
      <c r="Q60" s="77"/>
      <c r="R60" s="77"/>
      <c r="S60" s="77"/>
    </row>
    <row r="61" spans="1:19" ht="60">
      <c r="A61" s="142"/>
      <c r="B61" s="153" t="s">
        <v>1257</v>
      </c>
      <c r="C61" s="142" t="s">
        <v>7</v>
      </c>
      <c r="D61" s="143">
        <v>32.839999999999996</v>
      </c>
      <c r="E61" s="144" t="s">
        <v>1258</v>
      </c>
      <c r="F61" s="334">
        <v>32.839999999999996</v>
      </c>
      <c r="G61" s="112" t="s">
        <v>2829</v>
      </c>
      <c r="H61" s="120" t="s">
        <v>2838</v>
      </c>
      <c r="I61" s="120" t="s">
        <v>2748</v>
      </c>
      <c r="J61" s="120" t="s">
        <v>772</v>
      </c>
      <c r="K61" s="110">
        <v>479100</v>
      </c>
      <c r="L61" s="110"/>
      <c r="M61" s="110">
        <v>193800</v>
      </c>
      <c r="N61" s="110"/>
      <c r="O61" s="110"/>
      <c r="P61" s="110">
        <f t="shared" ref="P61:P64" si="9">K61+L61+M61+N61+O61</f>
        <v>672900</v>
      </c>
      <c r="Q61" s="110">
        <f t="shared" ref="Q61:Q64" si="10">$P61*D61</f>
        <v>22098035.999999996</v>
      </c>
      <c r="R61" s="110">
        <f t="shared" ref="R61:R64" si="11">$P61*F61</f>
        <v>22098035.999999996</v>
      </c>
      <c r="S61" s="112" t="s">
        <v>2829</v>
      </c>
    </row>
    <row r="62" spans="1:19" ht="60">
      <c r="A62" s="142"/>
      <c r="B62" s="153" t="s">
        <v>1250</v>
      </c>
      <c r="C62" s="142" t="s">
        <v>7</v>
      </c>
      <c r="D62" s="143">
        <v>189.39099999999999</v>
      </c>
      <c r="E62" s="144" t="s">
        <v>1258</v>
      </c>
      <c r="F62" s="334">
        <v>189.39099999999999</v>
      </c>
      <c r="G62" s="112" t="s">
        <v>2829</v>
      </c>
      <c r="H62" s="120" t="s">
        <v>2839</v>
      </c>
      <c r="I62" s="120" t="s">
        <v>2748</v>
      </c>
      <c r="J62" s="120" t="s">
        <v>772</v>
      </c>
      <c r="K62" s="110">
        <v>303600</v>
      </c>
      <c r="L62" s="110"/>
      <c r="M62" s="110">
        <v>130200</v>
      </c>
      <c r="N62" s="110"/>
      <c r="O62" s="110"/>
      <c r="P62" s="110">
        <f t="shared" si="9"/>
        <v>433800</v>
      </c>
      <c r="Q62" s="110">
        <f t="shared" si="10"/>
        <v>82157815.799999997</v>
      </c>
      <c r="R62" s="110">
        <f t="shared" si="11"/>
        <v>82157815.799999997</v>
      </c>
      <c r="S62" s="112" t="s">
        <v>2829</v>
      </c>
    </row>
    <row r="63" spans="1:19" ht="60">
      <c r="A63" s="142"/>
      <c r="B63" s="153" t="s">
        <v>1252</v>
      </c>
      <c r="C63" s="142" t="s">
        <v>7</v>
      </c>
      <c r="D63" s="143">
        <v>173.15699999999998</v>
      </c>
      <c r="E63" s="144" t="s">
        <v>1258</v>
      </c>
      <c r="F63" s="334">
        <v>173.15699999999998</v>
      </c>
      <c r="G63" s="112" t="s">
        <v>2829</v>
      </c>
      <c r="H63" s="120" t="s">
        <v>2840</v>
      </c>
      <c r="I63" s="120" t="s">
        <v>2748</v>
      </c>
      <c r="J63" s="120" t="s">
        <v>772</v>
      </c>
      <c r="K63" s="110">
        <v>207000</v>
      </c>
      <c r="L63" s="110"/>
      <c r="M63" s="110">
        <v>109900</v>
      </c>
      <c r="N63" s="110"/>
      <c r="O63" s="110"/>
      <c r="P63" s="110">
        <f t="shared" si="9"/>
        <v>316900</v>
      </c>
      <c r="Q63" s="110">
        <f t="shared" si="10"/>
        <v>54873453.299999997</v>
      </c>
      <c r="R63" s="110">
        <f t="shared" si="11"/>
        <v>54873453.299999997</v>
      </c>
      <c r="S63" s="112" t="s">
        <v>2829</v>
      </c>
    </row>
    <row r="64" spans="1:19" ht="60">
      <c r="A64" s="142"/>
      <c r="B64" s="153" t="s">
        <v>708</v>
      </c>
      <c r="C64" s="142" t="s">
        <v>7</v>
      </c>
      <c r="D64" s="143">
        <v>28</v>
      </c>
      <c r="E64" s="144" t="s">
        <v>1258</v>
      </c>
      <c r="F64" s="334">
        <v>28</v>
      </c>
      <c r="G64" s="112" t="s">
        <v>2829</v>
      </c>
      <c r="H64" s="120" t="s">
        <v>2841</v>
      </c>
      <c r="I64" s="120" t="s">
        <v>2748</v>
      </c>
      <c r="J64" s="120" t="s">
        <v>772</v>
      </c>
      <c r="K64" s="110">
        <v>24400</v>
      </c>
      <c r="L64" s="110"/>
      <c r="M64" s="110">
        <v>40800</v>
      </c>
      <c r="N64" s="110"/>
      <c r="O64" s="110"/>
      <c r="P64" s="110">
        <f t="shared" si="9"/>
        <v>65200</v>
      </c>
      <c r="Q64" s="110">
        <f t="shared" si="10"/>
        <v>1825600</v>
      </c>
      <c r="R64" s="110">
        <f t="shared" si="11"/>
        <v>1825600</v>
      </c>
      <c r="S64" s="112" t="s">
        <v>2829</v>
      </c>
    </row>
    <row r="65" spans="1:19">
      <c r="A65" s="142">
        <v>4</v>
      </c>
      <c r="B65" s="152" t="s">
        <v>1259</v>
      </c>
      <c r="C65" s="142"/>
      <c r="D65" s="143"/>
      <c r="E65" s="144"/>
      <c r="F65" s="76"/>
      <c r="G65" s="112"/>
      <c r="H65" s="120"/>
      <c r="I65" s="120"/>
      <c r="J65" s="120"/>
      <c r="K65" s="77"/>
      <c r="L65" s="77"/>
      <c r="M65" s="77"/>
      <c r="N65" s="77"/>
      <c r="O65" s="77"/>
      <c r="P65" s="77"/>
      <c r="Q65" s="77"/>
      <c r="R65" s="77"/>
      <c r="S65" s="77"/>
    </row>
    <row r="66" spans="1:19" ht="30">
      <c r="A66" s="142"/>
      <c r="B66" s="153" t="s">
        <v>1250</v>
      </c>
      <c r="C66" s="142" t="s">
        <v>7</v>
      </c>
      <c r="D66" s="143">
        <v>69.522000000000006</v>
      </c>
      <c r="E66" s="144" t="s">
        <v>1260</v>
      </c>
      <c r="F66" s="334">
        <v>69.522000000000006</v>
      </c>
      <c r="G66" s="112">
        <v>0</v>
      </c>
      <c r="H66" s="120" t="s">
        <v>2750</v>
      </c>
      <c r="I66" s="120" t="s">
        <v>2748</v>
      </c>
      <c r="J66" s="120" t="s">
        <v>772</v>
      </c>
      <c r="K66" s="110">
        <v>132600</v>
      </c>
      <c r="L66" s="110"/>
      <c r="M66" s="110">
        <v>149200</v>
      </c>
      <c r="N66" s="110"/>
      <c r="O66" s="110"/>
      <c r="P66" s="110">
        <f>K66+L66+M66+N66+O66</f>
        <v>281800</v>
      </c>
      <c r="Q66" s="110">
        <f>$P66*D66</f>
        <v>19591299.600000001</v>
      </c>
      <c r="R66" s="110">
        <f>$P66*F66</f>
        <v>19591299.600000001</v>
      </c>
      <c r="S66" s="112">
        <v>0</v>
      </c>
    </row>
    <row r="67" spans="1:19">
      <c r="A67" s="142">
        <v>5</v>
      </c>
      <c r="B67" s="152" t="s">
        <v>1261</v>
      </c>
      <c r="C67" s="142"/>
      <c r="D67" s="143"/>
      <c r="E67" s="144"/>
      <c r="F67" s="76"/>
      <c r="G67" s="112"/>
      <c r="H67" s="120"/>
      <c r="I67" s="120"/>
      <c r="J67" s="120"/>
      <c r="K67" s="77"/>
      <c r="L67" s="77"/>
      <c r="M67" s="77"/>
      <c r="N67" s="77"/>
      <c r="O67" s="77"/>
      <c r="P67" s="77"/>
      <c r="Q67" s="77"/>
      <c r="R67" s="77"/>
      <c r="S67" s="77"/>
    </row>
    <row r="68" spans="1:19" ht="60">
      <c r="A68" s="142"/>
      <c r="B68" s="153" t="s">
        <v>1262</v>
      </c>
      <c r="C68" s="142" t="s">
        <v>4</v>
      </c>
      <c r="D68" s="143">
        <v>1</v>
      </c>
      <c r="E68" s="144"/>
      <c r="F68" s="334">
        <v>1</v>
      </c>
      <c r="G68" s="112">
        <v>0</v>
      </c>
      <c r="H68" s="120" t="s">
        <v>2759</v>
      </c>
      <c r="I68" s="120" t="s">
        <v>2748</v>
      </c>
      <c r="J68" s="120" t="s">
        <v>772</v>
      </c>
      <c r="K68" s="110">
        <v>800800</v>
      </c>
      <c r="L68" s="110"/>
      <c r="M68" s="110">
        <v>123000</v>
      </c>
      <c r="N68" s="110"/>
      <c r="O68" s="110"/>
      <c r="P68" s="110">
        <f t="shared" ref="P68:P95" si="12">K68+L68+M68+N68+O68</f>
        <v>923800</v>
      </c>
      <c r="Q68" s="110">
        <f t="shared" ref="Q68:Q95" si="13">$P68*D68</f>
        <v>923800</v>
      </c>
      <c r="R68" s="110">
        <f t="shared" ref="R68:R95" si="14">$P68*F68</f>
        <v>923800</v>
      </c>
      <c r="S68" s="112">
        <v>0</v>
      </c>
    </row>
    <row r="69" spans="1:19">
      <c r="A69" s="142"/>
      <c r="B69" s="153" t="s">
        <v>1250</v>
      </c>
      <c r="C69" s="142" t="s">
        <v>4</v>
      </c>
      <c r="D69" s="143">
        <v>6</v>
      </c>
      <c r="E69" s="144"/>
      <c r="F69" s="334">
        <v>6</v>
      </c>
      <c r="G69" s="112">
        <v>0</v>
      </c>
      <c r="H69" s="120">
        <v>0</v>
      </c>
      <c r="I69" s="120" t="s">
        <v>2748</v>
      </c>
      <c r="J69" s="120" t="s">
        <v>772</v>
      </c>
      <c r="K69" s="110">
        <v>232100</v>
      </c>
      <c r="L69" s="110"/>
      <c r="M69" s="110">
        <v>110900</v>
      </c>
      <c r="N69" s="110"/>
      <c r="O69" s="110"/>
      <c r="P69" s="110">
        <f t="shared" si="12"/>
        <v>343000</v>
      </c>
      <c r="Q69" s="110">
        <f t="shared" si="13"/>
        <v>2058000</v>
      </c>
      <c r="R69" s="110">
        <f t="shared" si="14"/>
        <v>2058000</v>
      </c>
      <c r="S69" s="112">
        <v>0</v>
      </c>
    </row>
    <row r="70" spans="1:19" ht="30">
      <c r="A70" s="142"/>
      <c r="B70" s="153" t="s">
        <v>1263</v>
      </c>
      <c r="C70" s="142" t="s">
        <v>4</v>
      </c>
      <c r="D70" s="143">
        <v>2</v>
      </c>
      <c r="E70" s="144"/>
      <c r="F70" s="334">
        <v>2</v>
      </c>
      <c r="G70" s="112">
        <v>0</v>
      </c>
      <c r="H70" s="120" t="s">
        <v>2760</v>
      </c>
      <c r="I70" s="120" t="s">
        <v>2748</v>
      </c>
      <c r="J70" s="120" t="s">
        <v>772</v>
      </c>
      <c r="K70" s="110">
        <v>222500</v>
      </c>
      <c r="L70" s="110"/>
      <c r="M70" s="110">
        <v>110900</v>
      </c>
      <c r="N70" s="110"/>
      <c r="O70" s="110"/>
      <c r="P70" s="110">
        <f t="shared" si="12"/>
        <v>333400</v>
      </c>
      <c r="Q70" s="110">
        <f t="shared" si="13"/>
        <v>666800</v>
      </c>
      <c r="R70" s="110">
        <f t="shared" si="14"/>
        <v>666800</v>
      </c>
      <c r="S70" s="112">
        <v>0</v>
      </c>
    </row>
    <row r="71" spans="1:19" ht="30">
      <c r="A71" s="142"/>
      <c r="B71" s="153" t="s">
        <v>1264</v>
      </c>
      <c r="C71" s="142" t="s">
        <v>4</v>
      </c>
      <c r="D71" s="143">
        <v>6</v>
      </c>
      <c r="E71" s="144"/>
      <c r="F71" s="334">
        <v>6</v>
      </c>
      <c r="G71" s="112">
        <v>0</v>
      </c>
      <c r="H71" s="120" t="s">
        <v>2761</v>
      </c>
      <c r="I71" s="120" t="s">
        <v>2748</v>
      </c>
      <c r="J71" s="120" t="s">
        <v>772</v>
      </c>
      <c r="K71" s="110">
        <v>222500</v>
      </c>
      <c r="L71" s="110"/>
      <c r="M71" s="110">
        <v>110900</v>
      </c>
      <c r="N71" s="110"/>
      <c r="O71" s="110"/>
      <c r="P71" s="110">
        <f t="shared" si="12"/>
        <v>333400</v>
      </c>
      <c r="Q71" s="110">
        <f t="shared" si="13"/>
        <v>2000400</v>
      </c>
      <c r="R71" s="110">
        <f t="shared" si="14"/>
        <v>2000400</v>
      </c>
      <c r="S71" s="112">
        <v>0</v>
      </c>
    </row>
    <row r="72" spans="1:19" ht="30">
      <c r="A72" s="154"/>
      <c r="B72" s="155" t="s">
        <v>1265</v>
      </c>
      <c r="C72" s="156" t="s">
        <v>4</v>
      </c>
      <c r="D72" s="361">
        <v>1</v>
      </c>
      <c r="E72" s="157"/>
      <c r="F72" s="334">
        <v>1</v>
      </c>
      <c r="G72" s="112">
        <v>0</v>
      </c>
      <c r="H72" s="120" t="s">
        <v>2762</v>
      </c>
      <c r="I72" s="120" t="s">
        <v>2748</v>
      </c>
      <c r="J72" s="120" t="s">
        <v>772</v>
      </c>
      <c r="K72" s="110">
        <v>240200</v>
      </c>
      <c r="L72" s="110"/>
      <c r="M72" s="110">
        <v>110900</v>
      </c>
      <c r="N72" s="110"/>
      <c r="O72" s="110"/>
      <c r="P72" s="110">
        <f t="shared" si="12"/>
        <v>351100</v>
      </c>
      <c r="Q72" s="110">
        <f t="shared" si="13"/>
        <v>351100</v>
      </c>
      <c r="R72" s="110">
        <f t="shared" si="14"/>
        <v>351100</v>
      </c>
      <c r="S72" s="112">
        <v>0</v>
      </c>
    </row>
    <row r="73" spans="1:19" ht="30">
      <c r="A73" s="154"/>
      <c r="B73" s="155" t="s">
        <v>1266</v>
      </c>
      <c r="C73" s="156" t="s">
        <v>4</v>
      </c>
      <c r="D73" s="362">
        <v>1</v>
      </c>
      <c r="E73" s="157"/>
      <c r="F73" s="334">
        <v>1</v>
      </c>
      <c r="G73" s="112">
        <v>0</v>
      </c>
      <c r="H73" s="120" t="s">
        <v>2763</v>
      </c>
      <c r="I73" s="120" t="s">
        <v>2748</v>
      </c>
      <c r="J73" s="120" t="s">
        <v>772</v>
      </c>
      <c r="K73" s="110">
        <v>240200</v>
      </c>
      <c r="L73" s="110"/>
      <c r="M73" s="110">
        <v>110900</v>
      </c>
      <c r="N73" s="110"/>
      <c r="O73" s="110"/>
      <c r="P73" s="110">
        <f t="shared" si="12"/>
        <v>351100</v>
      </c>
      <c r="Q73" s="110">
        <f t="shared" si="13"/>
        <v>351100</v>
      </c>
      <c r="R73" s="110">
        <f t="shared" si="14"/>
        <v>351100</v>
      </c>
      <c r="S73" s="112">
        <v>0</v>
      </c>
    </row>
    <row r="74" spans="1:19">
      <c r="A74" s="142"/>
      <c r="B74" s="153" t="s">
        <v>1252</v>
      </c>
      <c r="C74" s="142" t="s">
        <v>4</v>
      </c>
      <c r="D74" s="143">
        <v>12</v>
      </c>
      <c r="E74" s="144"/>
      <c r="F74" s="334">
        <v>12</v>
      </c>
      <c r="G74" s="112">
        <v>0</v>
      </c>
      <c r="H74" s="120">
        <v>0</v>
      </c>
      <c r="I74" s="120" t="s">
        <v>2748</v>
      </c>
      <c r="J74" s="120" t="s">
        <v>772</v>
      </c>
      <c r="K74" s="110">
        <v>150000</v>
      </c>
      <c r="L74" s="110"/>
      <c r="M74" s="110">
        <v>95800</v>
      </c>
      <c r="N74" s="110"/>
      <c r="O74" s="110"/>
      <c r="P74" s="110">
        <f t="shared" si="12"/>
        <v>245800</v>
      </c>
      <c r="Q74" s="110">
        <f t="shared" si="13"/>
        <v>2949600</v>
      </c>
      <c r="R74" s="110">
        <f t="shared" si="14"/>
        <v>2949600</v>
      </c>
      <c r="S74" s="112">
        <v>0</v>
      </c>
    </row>
    <row r="75" spans="1:19" ht="30">
      <c r="A75" s="142"/>
      <c r="B75" s="153" t="s">
        <v>1267</v>
      </c>
      <c r="C75" s="142" t="s">
        <v>4</v>
      </c>
      <c r="D75" s="143">
        <v>37</v>
      </c>
      <c r="E75" s="144"/>
      <c r="F75" s="334">
        <v>37</v>
      </c>
      <c r="G75" s="112">
        <v>0</v>
      </c>
      <c r="H75" s="120" t="s">
        <v>2764</v>
      </c>
      <c r="I75" s="120" t="s">
        <v>2748</v>
      </c>
      <c r="J75" s="120" t="s">
        <v>772</v>
      </c>
      <c r="K75" s="110">
        <v>140300</v>
      </c>
      <c r="L75" s="110"/>
      <c r="M75" s="110">
        <v>95800</v>
      </c>
      <c r="N75" s="110"/>
      <c r="O75" s="110"/>
      <c r="P75" s="110">
        <f t="shared" si="12"/>
        <v>236100</v>
      </c>
      <c r="Q75" s="110">
        <f t="shared" si="13"/>
        <v>8735700</v>
      </c>
      <c r="R75" s="110">
        <f t="shared" si="14"/>
        <v>8735700</v>
      </c>
      <c r="S75" s="112">
        <v>0</v>
      </c>
    </row>
    <row r="76" spans="1:19">
      <c r="A76" s="142"/>
      <c r="B76" s="153" t="s">
        <v>1253</v>
      </c>
      <c r="C76" s="142" t="s">
        <v>4</v>
      </c>
      <c r="D76" s="143">
        <v>3</v>
      </c>
      <c r="E76" s="144"/>
      <c r="F76" s="334">
        <v>3</v>
      </c>
      <c r="G76" s="112">
        <v>0</v>
      </c>
      <c r="H76" s="120">
        <v>0</v>
      </c>
      <c r="I76" s="120" t="s">
        <v>2748</v>
      </c>
      <c r="J76" s="120" t="s">
        <v>772</v>
      </c>
      <c r="K76" s="110">
        <v>64400</v>
      </c>
      <c r="L76" s="110"/>
      <c r="M76" s="110">
        <v>80800</v>
      </c>
      <c r="N76" s="110"/>
      <c r="O76" s="110"/>
      <c r="P76" s="110">
        <f t="shared" si="12"/>
        <v>145200</v>
      </c>
      <c r="Q76" s="110">
        <f t="shared" si="13"/>
        <v>435600</v>
      </c>
      <c r="R76" s="110">
        <f t="shared" si="14"/>
        <v>435600</v>
      </c>
      <c r="S76" s="112">
        <v>0</v>
      </c>
    </row>
    <row r="77" spans="1:19" ht="30">
      <c r="A77" s="142"/>
      <c r="B77" s="153" t="s">
        <v>1268</v>
      </c>
      <c r="C77" s="142" t="s">
        <v>4</v>
      </c>
      <c r="D77" s="143">
        <v>5</v>
      </c>
      <c r="E77" s="144"/>
      <c r="F77" s="334">
        <v>5</v>
      </c>
      <c r="G77" s="112">
        <v>0</v>
      </c>
      <c r="H77" s="120" t="s">
        <v>2765</v>
      </c>
      <c r="I77" s="120" t="s">
        <v>2748</v>
      </c>
      <c r="J77" s="120" t="s">
        <v>772</v>
      </c>
      <c r="K77" s="110">
        <v>60800</v>
      </c>
      <c r="L77" s="110"/>
      <c r="M77" s="110">
        <v>80800</v>
      </c>
      <c r="N77" s="110"/>
      <c r="O77" s="110"/>
      <c r="P77" s="110">
        <f t="shared" si="12"/>
        <v>141600</v>
      </c>
      <c r="Q77" s="110">
        <f t="shared" si="13"/>
        <v>708000</v>
      </c>
      <c r="R77" s="110">
        <f t="shared" si="14"/>
        <v>708000</v>
      </c>
      <c r="S77" s="112">
        <v>0</v>
      </c>
    </row>
    <row r="78" spans="1:19" ht="30">
      <c r="A78" s="142"/>
      <c r="B78" s="153" t="s">
        <v>1269</v>
      </c>
      <c r="C78" s="142" t="s">
        <v>4</v>
      </c>
      <c r="D78" s="143">
        <v>9</v>
      </c>
      <c r="E78" s="144"/>
      <c r="F78" s="334">
        <v>9</v>
      </c>
      <c r="G78" s="112">
        <v>0</v>
      </c>
      <c r="H78" s="120" t="s">
        <v>2766</v>
      </c>
      <c r="I78" s="120" t="s">
        <v>2748</v>
      </c>
      <c r="J78" s="120" t="s">
        <v>772</v>
      </c>
      <c r="K78" s="110">
        <v>60800</v>
      </c>
      <c r="L78" s="110"/>
      <c r="M78" s="110">
        <v>80800</v>
      </c>
      <c r="N78" s="110"/>
      <c r="O78" s="110"/>
      <c r="P78" s="110">
        <f t="shared" si="12"/>
        <v>141600</v>
      </c>
      <c r="Q78" s="110">
        <f t="shared" si="13"/>
        <v>1274400</v>
      </c>
      <c r="R78" s="110">
        <f t="shared" si="14"/>
        <v>1274400</v>
      </c>
      <c r="S78" s="112">
        <v>0</v>
      </c>
    </row>
    <row r="79" spans="1:19" ht="30">
      <c r="A79" s="142"/>
      <c r="B79" s="153" t="s">
        <v>1270</v>
      </c>
      <c r="C79" s="142" t="s">
        <v>4</v>
      </c>
      <c r="D79" s="143">
        <v>414</v>
      </c>
      <c r="E79" s="144"/>
      <c r="F79" s="334">
        <v>414</v>
      </c>
      <c r="G79" s="112">
        <v>0</v>
      </c>
      <c r="H79" s="120" t="s">
        <v>2767</v>
      </c>
      <c r="I79" s="120" t="s">
        <v>2748</v>
      </c>
      <c r="J79" s="120" t="s">
        <v>772</v>
      </c>
      <c r="K79" s="110">
        <v>60800</v>
      </c>
      <c r="L79" s="110"/>
      <c r="M79" s="110">
        <v>80800</v>
      </c>
      <c r="N79" s="110"/>
      <c r="O79" s="110"/>
      <c r="P79" s="110">
        <f t="shared" si="12"/>
        <v>141600</v>
      </c>
      <c r="Q79" s="110">
        <f t="shared" si="13"/>
        <v>58622400</v>
      </c>
      <c r="R79" s="110">
        <f t="shared" si="14"/>
        <v>58622400</v>
      </c>
      <c r="S79" s="112">
        <v>0</v>
      </c>
    </row>
    <row r="80" spans="1:19" ht="30">
      <c r="A80" s="142"/>
      <c r="B80" s="153" t="s">
        <v>1271</v>
      </c>
      <c r="C80" s="142" t="s">
        <v>4</v>
      </c>
      <c r="D80" s="143">
        <v>114</v>
      </c>
      <c r="E80" s="144"/>
      <c r="F80" s="334">
        <v>114</v>
      </c>
      <c r="G80" s="112">
        <v>0</v>
      </c>
      <c r="H80" s="120" t="s">
        <v>2768</v>
      </c>
      <c r="I80" s="120" t="s">
        <v>2748</v>
      </c>
      <c r="J80" s="120" t="s">
        <v>772</v>
      </c>
      <c r="K80" s="110">
        <v>60800</v>
      </c>
      <c r="L80" s="110"/>
      <c r="M80" s="110">
        <v>80800</v>
      </c>
      <c r="N80" s="110"/>
      <c r="O80" s="110"/>
      <c r="P80" s="110">
        <f t="shared" si="12"/>
        <v>141600</v>
      </c>
      <c r="Q80" s="110">
        <f t="shared" si="13"/>
        <v>16142400</v>
      </c>
      <c r="R80" s="110">
        <f t="shared" si="14"/>
        <v>16142400</v>
      </c>
      <c r="S80" s="112">
        <v>0</v>
      </c>
    </row>
    <row r="81" spans="1:19" ht="60">
      <c r="A81" s="142"/>
      <c r="B81" s="153" t="s">
        <v>1272</v>
      </c>
      <c r="C81" s="142" t="s">
        <v>4</v>
      </c>
      <c r="D81" s="143">
        <v>58</v>
      </c>
      <c r="E81" s="144"/>
      <c r="F81" s="334">
        <v>58</v>
      </c>
      <c r="G81" s="112">
        <v>0</v>
      </c>
      <c r="H81" s="120" t="s">
        <v>2769</v>
      </c>
      <c r="I81" s="120" t="s">
        <v>2748</v>
      </c>
      <c r="J81" s="120" t="s">
        <v>772</v>
      </c>
      <c r="K81" s="110">
        <v>63200</v>
      </c>
      <c r="L81" s="110"/>
      <c r="M81" s="110">
        <v>80800</v>
      </c>
      <c r="N81" s="110"/>
      <c r="O81" s="110"/>
      <c r="P81" s="110">
        <f t="shared" si="12"/>
        <v>144000</v>
      </c>
      <c r="Q81" s="110">
        <f t="shared" si="13"/>
        <v>8352000</v>
      </c>
      <c r="R81" s="110">
        <f t="shared" si="14"/>
        <v>8352000</v>
      </c>
      <c r="S81" s="112">
        <v>0</v>
      </c>
    </row>
    <row r="82" spans="1:19">
      <c r="A82" s="142"/>
      <c r="B82" s="153" t="s">
        <v>1254</v>
      </c>
      <c r="C82" s="142" t="s">
        <v>4</v>
      </c>
      <c r="D82" s="143">
        <v>3</v>
      </c>
      <c r="E82" s="144"/>
      <c r="F82" s="334">
        <v>3</v>
      </c>
      <c r="G82" s="112">
        <v>0</v>
      </c>
      <c r="H82" s="120">
        <v>0</v>
      </c>
      <c r="I82" s="120" t="s">
        <v>2748</v>
      </c>
      <c r="J82" s="120" t="s">
        <v>772</v>
      </c>
      <c r="K82" s="110">
        <v>25700</v>
      </c>
      <c r="L82" s="110"/>
      <c r="M82" s="110">
        <v>73500</v>
      </c>
      <c r="N82" s="110"/>
      <c r="O82" s="110"/>
      <c r="P82" s="110">
        <f t="shared" si="12"/>
        <v>99200</v>
      </c>
      <c r="Q82" s="110">
        <f t="shared" si="13"/>
        <v>297600</v>
      </c>
      <c r="R82" s="110">
        <f t="shared" si="14"/>
        <v>297600</v>
      </c>
      <c r="S82" s="112">
        <v>0</v>
      </c>
    </row>
    <row r="83" spans="1:19" ht="30">
      <c r="A83" s="142"/>
      <c r="B83" s="153" t="s">
        <v>1273</v>
      </c>
      <c r="C83" s="142" t="s">
        <v>4</v>
      </c>
      <c r="D83" s="143">
        <v>6</v>
      </c>
      <c r="E83" s="144"/>
      <c r="F83" s="334">
        <v>6</v>
      </c>
      <c r="G83" s="112">
        <v>0</v>
      </c>
      <c r="H83" s="120" t="s">
        <v>2770</v>
      </c>
      <c r="I83" s="120" t="s">
        <v>2748</v>
      </c>
      <c r="J83" s="120" t="s">
        <v>772</v>
      </c>
      <c r="K83" s="110">
        <v>34700</v>
      </c>
      <c r="L83" s="110"/>
      <c r="M83" s="110">
        <v>73500</v>
      </c>
      <c r="N83" s="110"/>
      <c r="O83" s="110"/>
      <c r="P83" s="110">
        <f t="shared" si="12"/>
        <v>108200</v>
      </c>
      <c r="Q83" s="110">
        <f t="shared" si="13"/>
        <v>649200</v>
      </c>
      <c r="R83" s="110">
        <f t="shared" si="14"/>
        <v>649200</v>
      </c>
      <c r="S83" s="112">
        <v>0</v>
      </c>
    </row>
    <row r="84" spans="1:19" ht="30">
      <c r="A84" s="142"/>
      <c r="B84" s="153" t="s">
        <v>1274</v>
      </c>
      <c r="C84" s="142" t="s">
        <v>4</v>
      </c>
      <c r="D84" s="143">
        <v>3</v>
      </c>
      <c r="E84" s="144"/>
      <c r="F84" s="334">
        <v>3</v>
      </c>
      <c r="G84" s="112">
        <v>0</v>
      </c>
      <c r="H84" s="120" t="s">
        <v>2771</v>
      </c>
      <c r="I84" s="120" t="s">
        <v>2748</v>
      </c>
      <c r="J84" s="120" t="s">
        <v>772</v>
      </c>
      <c r="K84" s="110">
        <v>34700</v>
      </c>
      <c r="L84" s="110"/>
      <c r="M84" s="110">
        <v>73500</v>
      </c>
      <c r="N84" s="110"/>
      <c r="O84" s="110"/>
      <c r="P84" s="110">
        <f t="shared" si="12"/>
        <v>108200</v>
      </c>
      <c r="Q84" s="110">
        <f t="shared" si="13"/>
        <v>324600</v>
      </c>
      <c r="R84" s="110">
        <f t="shared" si="14"/>
        <v>324600</v>
      </c>
      <c r="S84" s="112">
        <v>0</v>
      </c>
    </row>
    <row r="85" spans="1:19" ht="30">
      <c r="A85" s="142"/>
      <c r="B85" s="153" t="s">
        <v>1275</v>
      </c>
      <c r="C85" s="142" t="s">
        <v>4</v>
      </c>
      <c r="D85" s="143">
        <v>2</v>
      </c>
      <c r="E85" s="144"/>
      <c r="F85" s="334">
        <v>2</v>
      </c>
      <c r="G85" s="112">
        <v>0</v>
      </c>
      <c r="H85" s="120" t="s">
        <v>2772</v>
      </c>
      <c r="I85" s="120" t="s">
        <v>2748</v>
      </c>
      <c r="J85" s="120" t="s">
        <v>772</v>
      </c>
      <c r="K85" s="110">
        <v>34700</v>
      </c>
      <c r="L85" s="110"/>
      <c r="M85" s="110">
        <v>73500</v>
      </c>
      <c r="N85" s="110"/>
      <c r="O85" s="110"/>
      <c r="P85" s="110">
        <f t="shared" si="12"/>
        <v>108200</v>
      </c>
      <c r="Q85" s="110">
        <f t="shared" si="13"/>
        <v>216400</v>
      </c>
      <c r="R85" s="110">
        <f t="shared" si="14"/>
        <v>216400</v>
      </c>
      <c r="S85" s="112">
        <v>0</v>
      </c>
    </row>
    <row r="86" spans="1:19" ht="30">
      <c r="A86" s="142"/>
      <c r="B86" s="153" t="s">
        <v>1276</v>
      </c>
      <c r="C86" s="142" t="s">
        <v>4</v>
      </c>
      <c r="D86" s="143">
        <v>3</v>
      </c>
      <c r="E86" s="144"/>
      <c r="F86" s="334">
        <v>3</v>
      </c>
      <c r="G86" s="112">
        <v>0</v>
      </c>
      <c r="H86" s="120" t="s">
        <v>2773</v>
      </c>
      <c r="I86" s="120" t="s">
        <v>2748</v>
      </c>
      <c r="J86" s="120" t="s">
        <v>772</v>
      </c>
      <c r="K86" s="110">
        <v>34700</v>
      </c>
      <c r="L86" s="110"/>
      <c r="M86" s="110">
        <v>73500</v>
      </c>
      <c r="N86" s="110"/>
      <c r="O86" s="110"/>
      <c r="P86" s="110">
        <f t="shared" si="12"/>
        <v>108200</v>
      </c>
      <c r="Q86" s="110">
        <f t="shared" si="13"/>
        <v>324600</v>
      </c>
      <c r="R86" s="110">
        <f t="shared" si="14"/>
        <v>324600</v>
      </c>
      <c r="S86" s="112">
        <v>0</v>
      </c>
    </row>
    <row r="87" spans="1:19">
      <c r="A87" s="142"/>
      <c r="B87" s="153" t="s">
        <v>1255</v>
      </c>
      <c r="C87" s="142" t="s">
        <v>4</v>
      </c>
      <c r="D87" s="143">
        <v>4</v>
      </c>
      <c r="E87" s="144"/>
      <c r="F87" s="334">
        <v>4</v>
      </c>
      <c r="G87" s="112">
        <v>0</v>
      </c>
      <c r="H87" s="120">
        <v>0</v>
      </c>
      <c r="I87" s="120" t="s">
        <v>2748</v>
      </c>
      <c r="J87" s="120" t="s">
        <v>772</v>
      </c>
      <c r="K87" s="110">
        <v>13100</v>
      </c>
      <c r="L87" s="110"/>
      <c r="M87" s="110">
        <v>58800</v>
      </c>
      <c r="N87" s="110"/>
      <c r="O87" s="110"/>
      <c r="P87" s="110">
        <f t="shared" si="12"/>
        <v>71900</v>
      </c>
      <c r="Q87" s="110">
        <f t="shared" si="13"/>
        <v>287600</v>
      </c>
      <c r="R87" s="110">
        <f t="shared" si="14"/>
        <v>287600</v>
      </c>
      <c r="S87" s="112">
        <v>0</v>
      </c>
    </row>
    <row r="88" spans="1:19" ht="30">
      <c r="A88" s="142"/>
      <c r="B88" s="153" t="s">
        <v>1277</v>
      </c>
      <c r="C88" s="142" t="s">
        <v>4</v>
      </c>
      <c r="D88" s="143">
        <v>4</v>
      </c>
      <c r="E88" s="144"/>
      <c r="F88" s="334">
        <v>4</v>
      </c>
      <c r="G88" s="112">
        <v>0</v>
      </c>
      <c r="H88" s="120" t="s">
        <v>2774</v>
      </c>
      <c r="I88" s="120" t="s">
        <v>2748</v>
      </c>
      <c r="J88" s="120" t="s">
        <v>772</v>
      </c>
      <c r="K88" s="110">
        <v>19800</v>
      </c>
      <c r="L88" s="110"/>
      <c r="M88" s="110">
        <v>58800</v>
      </c>
      <c r="N88" s="110"/>
      <c r="O88" s="110"/>
      <c r="P88" s="110">
        <f t="shared" si="12"/>
        <v>78600</v>
      </c>
      <c r="Q88" s="110">
        <f t="shared" si="13"/>
        <v>314400</v>
      </c>
      <c r="R88" s="110">
        <f t="shared" si="14"/>
        <v>314400</v>
      </c>
      <c r="S88" s="112">
        <v>0</v>
      </c>
    </row>
    <row r="89" spans="1:19" ht="30">
      <c r="A89" s="142"/>
      <c r="B89" s="153" t="s">
        <v>1278</v>
      </c>
      <c r="C89" s="142" t="s">
        <v>4</v>
      </c>
      <c r="D89" s="143">
        <v>1</v>
      </c>
      <c r="E89" s="144"/>
      <c r="F89" s="334">
        <v>1</v>
      </c>
      <c r="G89" s="112">
        <v>0</v>
      </c>
      <c r="H89" s="120" t="s">
        <v>2775</v>
      </c>
      <c r="I89" s="120" t="s">
        <v>2748</v>
      </c>
      <c r="J89" s="120" t="s">
        <v>772</v>
      </c>
      <c r="K89" s="110">
        <v>19800</v>
      </c>
      <c r="L89" s="110"/>
      <c r="M89" s="110">
        <v>58800</v>
      </c>
      <c r="N89" s="110"/>
      <c r="O89" s="110"/>
      <c r="P89" s="110">
        <f t="shared" si="12"/>
        <v>78600</v>
      </c>
      <c r="Q89" s="110">
        <f t="shared" si="13"/>
        <v>78600</v>
      </c>
      <c r="R89" s="110">
        <f t="shared" si="14"/>
        <v>78600</v>
      </c>
      <c r="S89" s="112">
        <v>0</v>
      </c>
    </row>
    <row r="90" spans="1:19" ht="30">
      <c r="A90" s="142"/>
      <c r="B90" s="153" t="s">
        <v>1279</v>
      </c>
      <c r="C90" s="142" t="s">
        <v>4</v>
      </c>
      <c r="D90" s="143">
        <v>2</v>
      </c>
      <c r="E90" s="144"/>
      <c r="F90" s="334">
        <v>2</v>
      </c>
      <c r="G90" s="112">
        <v>0</v>
      </c>
      <c r="H90" s="120" t="s">
        <v>2776</v>
      </c>
      <c r="I90" s="120" t="s">
        <v>2748</v>
      </c>
      <c r="J90" s="120" t="s">
        <v>772</v>
      </c>
      <c r="K90" s="110">
        <v>19800</v>
      </c>
      <c r="L90" s="110"/>
      <c r="M90" s="110">
        <v>58800</v>
      </c>
      <c r="N90" s="110"/>
      <c r="O90" s="110"/>
      <c r="P90" s="110">
        <f t="shared" si="12"/>
        <v>78600</v>
      </c>
      <c r="Q90" s="110">
        <f t="shared" si="13"/>
        <v>157200</v>
      </c>
      <c r="R90" s="110">
        <f t="shared" si="14"/>
        <v>157200</v>
      </c>
      <c r="S90" s="112">
        <v>0</v>
      </c>
    </row>
    <row r="91" spans="1:19">
      <c r="A91" s="142"/>
      <c r="B91" s="153" t="s">
        <v>707</v>
      </c>
      <c r="C91" s="142" t="s">
        <v>4</v>
      </c>
      <c r="D91" s="143">
        <v>5</v>
      </c>
      <c r="E91" s="144"/>
      <c r="F91" s="334">
        <v>5</v>
      </c>
      <c r="G91" s="112">
        <v>0</v>
      </c>
      <c r="H91" s="120">
        <v>0</v>
      </c>
      <c r="I91" s="120" t="s">
        <v>2748</v>
      </c>
      <c r="J91" s="120" t="s">
        <v>772</v>
      </c>
      <c r="K91" s="110">
        <v>8400</v>
      </c>
      <c r="L91" s="110"/>
      <c r="M91" s="110">
        <v>51500</v>
      </c>
      <c r="N91" s="110"/>
      <c r="O91" s="110"/>
      <c r="P91" s="110">
        <f t="shared" si="12"/>
        <v>59900</v>
      </c>
      <c r="Q91" s="110">
        <f t="shared" si="13"/>
        <v>299500</v>
      </c>
      <c r="R91" s="110">
        <f t="shared" si="14"/>
        <v>299500</v>
      </c>
      <c r="S91" s="112">
        <v>0</v>
      </c>
    </row>
    <row r="92" spans="1:19" ht="30">
      <c r="A92" s="142"/>
      <c r="B92" s="153" t="s">
        <v>1280</v>
      </c>
      <c r="C92" s="142" t="s">
        <v>4</v>
      </c>
      <c r="D92" s="143">
        <v>3</v>
      </c>
      <c r="E92" s="144"/>
      <c r="F92" s="334">
        <v>3</v>
      </c>
      <c r="G92" s="112">
        <v>0</v>
      </c>
      <c r="H92" s="120" t="s">
        <v>2777</v>
      </c>
      <c r="I92" s="120" t="s">
        <v>2748</v>
      </c>
      <c r="J92" s="120" t="s">
        <v>772</v>
      </c>
      <c r="K92" s="110">
        <v>9000</v>
      </c>
      <c r="L92" s="110"/>
      <c r="M92" s="110">
        <v>51500</v>
      </c>
      <c r="N92" s="110"/>
      <c r="O92" s="110"/>
      <c r="P92" s="110">
        <f t="shared" si="12"/>
        <v>60500</v>
      </c>
      <c r="Q92" s="110">
        <f t="shared" si="13"/>
        <v>181500</v>
      </c>
      <c r="R92" s="110">
        <f t="shared" si="14"/>
        <v>181500</v>
      </c>
      <c r="S92" s="112">
        <v>0</v>
      </c>
    </row>
    <row r="93" spans="1:19" ht="30">
      <c r="A93" s="142"/>
      <c r="B93" s="153" t="s">
        <v>1281</v>
      </c>
      <c r="C93" s="142" t="s">
        <v>4</v>
      </c>
      <c r="D93" s="143">
        <v>2</v>
      </c>
      <c r="E93" s="144"/>
      <c r="F93" s="334">
        <v>2</v>
      </c>
      <c r="G93" s="112">
        <v>0</v>
      </c>
      <c r="H93" s="120" t="s">
        <v>2778</v>
      </c>
      <c r="I93" s="120" t="s">
        <v>2748</v>
      </c>
      <c r="J93" s="120" t="s">
        <v>772</v>
      </c>
      <c r="K93" s="110">
        <v>9000</v>
      </c>
      <c r="L93" s="110"/>
      <c r="M93" s="110">
        <v>51500</v>
      </c>
      <c r="N93" s="110"/>
      <c r="O93" s="110"/>
      <c r="P93" s="110">
        <f t="shared" si="12"/>
        <v>60500</v>
      </c>
      <c r="Q93" s="110">
        <f t="shared" si="13"/>
        <v>121000</v>
      </c>
      <c r="R93" s="110">
        <f t="shared" si="14"/>
        <v>121000</v>
      </c>
      <c r="S93" s="112">
        <v>0</v>
      </c>
    </row>
    <row r="94" spans="1:19">
      <c r="A94" s="142"/>
      <c r="B94" s="153" t="s">
        <v>708</v>
      </c>
      <c r="C94" s="142" t="s">
        <v>4</v>
      </c>
      <c r="D94" s="143">
        <v>4</v>
      </c>
      <c r="E94" s="144"/>
      <c r="F94" s="334">
        <v>4</v>
      </c>
      <c r="G94" s="112">
        <v>0</v>
      </c>
      <c r="H94" s="120">
        <v>0</v>
      </c>
      <c r="I94" s="120" t="s">
        <v>2748</v>
      </c>
      <c r="J94" s="120" t="s">
        <v>772</v>
      </c>
      <c r="K94" s="110">
        <v>5100</v>
      </c>
      <c r="L94" s="110"/>
      <c r="M94" s="110">
        <v>44100</v>
      </c>
      <c r="N94" s="110"/>
      <c r="O94" s="110"/>
      <c r="P94" s="110">
        <f t="shared" si="12"/>
        <v>49200</v>
      </c>
      <c r="Q94" s="110">
        <f t="shared" si="13"/>
        <v>196800</v>
      </c>
      <c r="R94" s="110">
        <f t="shared" si="14"/>
        <v>196800</v>
      </c>
      <c r="S94" s="112">
        <v>0</v>
      </c>
    </row>
    <row r="95" spans="1:19" ht="30">
      <c r="A95" s="142"/>
      <c r="B95" s="153" t="s">
        <v>1282</v>
      </c>
      <c r="C95" s="142" t="s">
        <v>4</v>
      </c>
      <c r="D95" s="143">
        <v>11</v>
      </c>
      <c r="E95" s="144"/>
      <c r="F95" s="334">
        <v>11</v>
      </c>
      <c r="G95" s="112">
        <v>0</v>
      </c>
      <c r="H95" s="120" t="s">
        <v>2779</v>
      </c>
      <c r="I95" s="120" t="s">
        <v>2748</v>
      </c>
      <c r="J95" s="120" t="s">
        <v>772</v>
      </c>
      <c r="K95" s="110">
        <v>5100</v>
      </c>
      <c r="L95" s="110"/>
      <c r="M95" s="110">
        <v>44100</v>
      </c>
      <c r="N95" s="110"/>
      <c r="O95" s="110"/>
      <c r="P95" s="110">
        <f t="shared" si="12"/>
        <v>49200</v>
      </c>
      <c r="Q95" s="110">
        <f t="shared" si="13"/>
        <v>541200</v>
      </c>
      <c r="R95" s="110">
        <f t="shared" si="14"/>
        <v>541200</v>
      </c>
      <c r="S95" s="112">
        <v>0</v>
      </c>
    </row>
    <row r="96" spans="1:19">
      <c r="A96" s="142">
        <v>6</v>
      </c>
      <c r="B96" s="152" t="s">
        <v>1283</v>
      </c>
      <c r="C96" s="142"/>
      <c r="D96" s="143"/>
      <c r="E96" s="144"/>
      <c r="F96" s="323"/>
      <c r="G96" s="112"/>
      <c r="H96" s="120"/>
      <c r="I96" s="120"/>
      <c r="J96" s="120"/>
      <c r="K96" s="62"/>
      <c r="L96" s="62"/>
      <c r="M96" s="62"/>
      <c r="N96" s="62"/>
      <c r="O96" s="62"/>
      <c r="P96" s="62"/>
      <c r="Q96" s="62"/>
      <c r="R96" s="62"/>
      <c r="S96" s="62"/>
    </row>
    <row r="97" spans="1:19">
      <c r="A97" s="142"/>
      <c r="B97" s="153" t="s">
        <v>1257</v>
      </c>
      <c r="C97" s="142" t="s">
        <v>4</v>
      </c>
      <c r="D97" s="143">
        <v>2</v>
      </c>
      <c r="E97" s="144"/>
      <c r="F97" s="334">
        <v>2</v>
      </c>
      <c r="G97" s="112">
        <v>0</v>
      </c>
      <c r="H97" s="120" t="s">
        <v>2780</v>
      </c>
      <c r="I97" s="120" t="s">
        <v>2748</v>
      </c>
      <c r="J97" s="120" t="s">
        <v>772</v>
      </c>
      <c r="K97" s="110">
        <v>506800</v>
      </c>
      <c r="L97" s="110"/>
      <c r="M97" s="110">
        <v>123000</v>
      </c>
      <c r="N97" s="110"/>
      <c r="O97" s="110"/>
      <c r="P97" s="110">
        <f t="shared" ref="P97:P105" si="15">K97+L97+M97+N97+O97</f>
        <v>629800</v>
      </c>
      <c r="Q97" s="110">
        <f t="shared" ref="Q97:Q105" si="16">$P97*D97</f>
        <v>1259600</v>
      </c>
      <c r="R97" s="110">
        <f t="shared" ref="R97:R105" si="17">$P97*F97</f>
        <v>1259600</v>
      </c>
      <c r="S97" s="112">
        <v>0</v>
      </c>
    </row>
    <row r="98" spans="1:19">
      <c r="A98" s="142"/>
      <c r="B98" s="153" t="s">
        <v>1250</v>
      </c>
      <c r="C98" s="142" t="s">
        <v>4</v>
      </c>
      <c r="D98" s="143">
        <v>29</v>
      </c>
      <c r="E98" s="144"/>
      <c r="F98" s="334">
        <v>29</v>
      </c>
      <c r="G98" s="112">
        <v>0</v>
      </c>
      <c r="H98" s="120" t="s">
        <v>2781</v>
      </c>
      <c r="I98" s="120" t="s">
        <v>2748</v>
      </c>
      <c r="J98" s="120" t="s">
        <v>772</v>
      </c>
      <c r="K98" s="110">
        <v>234500</v>
      </c>
      <c r="L98" s="110"/>
      <c r="M98" s="110">
        <v>74900</v>
      </c>
      <c r="N98" s="110"/>
      <c r="O98" s="110"/>
      <c r="P98" s="110">
        <f t="shared" si="15"/>
        <v>309400</v>
      </c>
      <c r="Q98" s="110">
        <f t="shared" si="16"/>
        <v>8972600</v>
      </c>
      <c r="R98" s="110">
        <f t="shared" si="17"/>
        <v>8972600</v>
      </c>
      <c r="S98" s="112">
        <v>0</v>
      </c>
    </row>
    <row r="99" spans="1:19">
      <c r="A99" s="142"/>
      <c r="B99" s="153" t="s">
        <v>1252</v>
      </c>
      <c r="C99" s="142" t="s">
        <v>4</v>
      </c>
      <c r="D99" s="143">
        <v>15</v>
      </c>
      <c r="E99" s="144"/>
      <c r="F99" s="334">
        <v>15</v>
      </c>
      <c r="G99" s="112">
        <v>0</v>
      </c>
      <c r="H99" s="120" t="s">
        <v>2782</v>
      </c>
      <c r="I99" s="120" t="s">
        <v>2748</v>
      </c>
      <c r="J99" s="120" t="s">
        <v>772</v>
      </c>
      <c r="K99" s="110">
        <v>115100</v>
      </c>
      <c r="L99" s="110"/>
      <c r="M99" s="110">
        <v>64700</v>
      </c>
      <c r="N99" s="110"/>
      <c r="O99" s="110"/>
      <c r="P99" s="110">
        <f t="shared" si="15"/>
        <v>179800</v>
      </c>
      <c r="Q99" s="110">
        <f t="shared" si="16"/>
        <v>2697000</v>
      </c>
      <c r="R99" s="110">
        <f t="shared" si="17"/>
        <v>2697000</v>
      </c>
      <c r="S99" s="112">
        <v>0</v>
      </c>
    </row>
    <row r="100" spans="1:19">
      <c r="A100" s="142"/>
      <c r="B100" s="153" t="s">
        <v>1253</v>
      </c>
      <c r="C100" s="142" t="s">
        <v>4</v>
      </c>
      <c r="D100" s="143">
        <v>148</v>
      </c>
      <c r="E100" s="144"/>
      <c r="F100" s="334">
        <v>148</v>
      </c>
      <c r="G100" s="112">
        <v>0</v>
      </c>
      <c r="H100" s="120" t="s">
        <v>2783</v>
      </c>
      <c r="I100" s="120" t="s">
        <v>2748</v>
      </c>
      <c r="J100" s="120" t="s">
        <v>772</v>
      </c>
      <c r="K100" s="110">
        <v>57200</v>
      </c>
      <c r="L100" s="110"/>
      <c r="M100" s="110">
        <v>54500</v>
      </c>
      <c r="N100" s="110"/>
      <c r="O100" s="110"/>
      <c r="P100" s="110">
        <f t="shared" si="15"/>
        <v>111700</v>
      </c>
      <c r="Q100" s="110">
        <f t="shared" si="16"/>
        <v>16531600</v>
      </c>
      <c r="R100" s="110">
        <f t="shared" si="17"/>
        <v>16531600</v>
      </c>
      <c r="S100" s="112">
        <v>0</v>
      </c>
    </row>
    <row r="101" spans="1:19">
      <c r="A101" s="142"/>
      <c r="B101" s="153" t="s">
        <v>1254</v>
      </c>
      <c r="C101" s="142" t="s">
        <v>4</v>
      </c>
      <c r="D101" s="143">
        <v>26</v>
      </c>
      <c r="E101" s="144"/>
      <c r="F101" s="334">
        <v>26</v>
      </c>
      <c r="G101" s="112">
        <v>0</v>
      </c>
      <c r="H101" s="120" t="s">
        <v>2784</v>
      </c>
      <c r="I101" s="120" t="s">
        <v>2748</v>
      </c>
      <c r="J101" s="120" t="s">
        <v>772</v>
      </c>
      <c r="K101" s="110">
        <v>18700</v>
      </c>
      <c r="L101" s="110"/>
      <c r="M101" s="110">
        <v>49500</v>
      </c>
      <c r="N101" s="110"/>
      <c r="O101" s="110"/>
      <c r="P101" s="110">
        <f t="shared" si="15"/>
        <v>68200</v>
      </c>
      <c r="Q101" s="110">
        <f t="shared" si="16"/>
        <v>1773200</v>
      </c>
      <c r="R101" s="110">
        <f t="shared" si="17"/>
        <v>1773200</v>
      </c>
      <c r="S101" s="112">
        <v>0</v>
      </c>
    </row>
    <row r="102" spans="1:19">
      <c r="A102" s="142"/>
      <c r="B102" s="153" t="s">
        <v>1255</v>
      </c>
      <c r="C102" s="142" t="s">
        <v>4</v>
      </c>
      <c r="D102" s="143">
        <v>42</v>
      </c>
      <c r="E102" s="144"/>
      <c r="F102" s="334">
        <v>42</v>
      </c>
      <c r="G102" s="112">
        <v>0</v>
      </c>
      <c r="H102" s="120" t="s">
        <v>2785</v>
      </c>
      <c r="I102" s="120" t="s">
        <v>2748</v>
      </c>
      <c r="J102" s="120" t="s">
        <v>772</v>
      </c>
      <c r="K102" s="110">
        <v>10700</v>
      </c>
      <c r="L102" s="110"/>
      <c r="M102" s="110">
        <v>39700</v>
      </c>
      <c r="N102" s="110"/>
      <c r="O102" s="110"/>
      <c r="P102" s="110">
        <f t="shared" si="15"/>
        <v>50400</v>
      </c>
      <c r="Q102" s="110">
        <f t="shared" si="16"/>
        <v>2116800</v>
      </c>
      <c r="R102" s="110">
        <f t="shared" si="17"/>
        <v>2116800</v>
      </c>
      <c r="S102" s="112">
        <v>0</v>
      </c>
    </row>
    <row r="103" spans="1:19">
      <c r="A103" s="142"/>
      <c r="B103" s="153" t="s">
        <v>707</v>
      </c>
      <c r="C103" s="142" t="s">
        <v>4</v>
      </c>
      <c r="D103" s="143">
        <v>2533</v>
      </c>
      <c r="E103" s="144"/>
      <c r="F103" s="334">
        <v>2533</v>
      </c>
      <c r="G103" s="112">
        <v>0</v>
      </c>
      <c r="H103" s="120" t="s">
        <v>2786</v>
      </c>
      <c r="I103" s="120" t="s">
        <v>2748</v>
      </c>
      <c r="J103" s="120" t="s">
        <v>772</v>
      </c>
      <c r="K103" s="110">
        <v>6600</v>
      </c>
      <c r="L103" s="110"/>
      <c r="M103" s="110">
        <v>34800</v>
      </c>
      <c r="N103" s="110"/>
      <c r="O103" s="110"/>
      <c r="P103" s="110">
        <f t="shared" si="15"/>
        <v>41400</v>
      </c>
      <c r="Q103" s="110">
        <f t="shared" si="16"/>
        <v>104866200</v>
      </c>
      <c r="R103" s="110">
        <f t="shared" si="17"/>
        <v>104866200</v>
      </c>
      <c r="S103" s="112">
        <v>0</v>
      </c>
    </row>
    <row r="104" spans="1:19">
      <c r="A104" s="142"/>
      <c r="B104" s="153" t="s">
        <v>708</v>
      </c>
      <c r="C104" s="142" t="s">
        <v>4</v>
      </c>
      <c r="D104" s="143">
        <v>732</v>
      </c>
      <c r="E104" s="144"/>
      <c r="F104" s="334">
        <v>732</v>
      </c>
      <c r="G104" s="112">
        <v>0</v>
      </c>
      <c r="H104" s="120" t="s">
        <v>2787</v>
      </c>
      <c r="I104" s="120" t="s">
        <v>2748</v>
      </c>
      <c r="J104" s="120" t="s">
        <v>772</v>
      </c>
      <c r="K104" s="110">
        <v>3800</v>
      </c>
      <c r="L104" s="110"/>
      <c r="M104" s="110">
        <v>29800</v>
      </c>
      <c r="N104" s="110"/>
      <c r="O104" s="110"/>
      <c r="P104" s="110">
        <f t="shared" si="15"/>
        <v>33600</v>
      </c>
      <c r="Q104" s="110">
        <f t="shared" si="16"/>
        <v>24595200</v>
      </c>
      <c r="R104" s="110">
        <f t="shared" si="17"/>
        <v>24595200</v>
      </c>
      <c r="S104" s="112">
        <v>0</v>
      </c>
    </row>
    <row r="105" spans="1:19">
      <c r="A105" s="142"/>
      <c r="B105" s="153" t="s">
        <v>479</v>
      </c>
      <c r="C105" s="142" t="s">
        <v>4</v>
      </c>
      <c r="D105" s="143">
        <v>294</v>
      </c>
      <c r="E105" s="144"/>
      <c r="F105" s="334">
        <v>294</v>
      </c>
      <c r="G105" s="112">
        <v>0</v>
      </c>
      <c r="H105" s="120" t="s">
        <v>2788</v>
      </c>
      <c r="I105" s="120" t="s">
        <v>2748</v>
      </c>
      <c r="J105" s="120" t="s">
        <v>772</v>
      </c>
      <c r="K105" s="110">
        <v>2900</v>
      </c>
      <c r="L105" s="110"/>
      <c r="M105" s="110">
        <v>24800</v>
      </c>
      <c r="N105" s="110"/>
      <c r="O105" s="110"/>
      <c r="P105" s="110">
        <f t="shared" si="15"/>
        <v>27700</v>
      </c>
      <c r="Q105" s="110">
        <f t="shared" si="16"/>
        <v>8143800</v>
      </c>
      <c r="R105" s="110">
        <f t="shared" si="17"/>
        <v>8143800</v>
      </c>
      <c r="S105" s="112">
        <v>0</v>
      </c>
    </row>
    <row r="106" spans="1:19">
      <c r="A106" s="142">
        <v>7</v>
      </c>
      <c r="B106" s="152" t="s">
        <v>1284</v>
      </c>
      <c r="C106" s="142"/>
      <c r="D106" s="143"/>
      <c r="E106" s="144"/>
      <c r="F106" s="69"/>
      <c r="G106" s="120"/>
      <c r="H106" s="120"/>
      <c r="I106" s="120"/>
      <c r="J106" s="120"/>
      <c r="K106" s="69"/>
      <c r="L106" s="69"/>
      <c r="M106" s="69"/>
      <c r="N106" s="69"/>
      <c r="O106" s="69"/>
      <c r="P106" s="69"/>
      <c r="Q106" s="69"/>
      <c r="R106" s="69"/>
      <c r="S106" s="69"/>
    </row>
    <row r="107" spans="1:19" ht="30">
      <c r="A107" s="142"/>
      <c r="B107" s="153" t="s">
        <v>1262</v>
      </c>
      <c r="C107" s="142" t="s">
        <v>4</v>
      </c>
      <c r="D107" s="143">
        <v>1</v>
      </c>
      <c r="E107" s="144"/>
      <c r="F107" s="334">
        <v>1</v>
      </c>
      <c r="G107" s="112">
        <v>0</v>
      </c>
      <c r="H107" s="120" t="s">
        <v>2789</v>
      </c>
      <c r="I107" s="120" t="s">
        <v>2748</v>
      </c>
      <c r="J107" s="120" t="s">
        <v>772</v>
      </c>
      <c r="K107" s="110">
        <v>272200</v>
      </c>
      <c r="L107" s="110"/>
      <c r="M107" s="110">
        <v>123000</v>
      </c>
      <c r="N107" s="110"/>
      <c r="O107" s="110"/>
      <c r="P107" s="110">
        <f t="shared" ref="P107:P125" si="18">K107+L107+M107+N107+O107</f>
        <v>395200</v>
      </c>
      <c r="Q107" s="110">
        <f t="shared" ref="Q107:Q125" si="19">$P107*D107</f>
        <v>395200</v>
      </c>
      <c r="R107" s="110">
        <f t="shared" ref="R107:R125" si="20">$P107*F107</f>
        <v>395200</v>
      </c>
      <c r="S107" s="112">
        <v>0</v>
      </c>
    </row>
    <row r="108" spans="1:19" ht="30">
      <c r="A108" s="142"/>
      <c r="B108" s="153" t="s">
        <v>1263</v>
      </c>
      <c r="C108" s="142" t="s">
        <v>4</v>
      </c>
      <c r="D108" s="143">
        <v>2</v>
      </c>
      <c r="E108" s="144"/>
      <c r="F108" s="334">
        <v>2</v>
      </c>
      <c r="G108" s="112">
        <v>0</v>
      </c>
      <c r="H108" s="120" t="s">
        <v>2790</v>
      </c>
      <c r="I108" s="120" t="s">
        <v>2748</v>
      </c>
      <c r="J108" s="120" t="s">
        <v>772</v>
      </c>
      <c r="K108" s="110">
        <v>119600</v>
      </c>
      <c r="L108" s="110"/>
      <c r="M108" s="110">
        <v>74900</v>
      </c>
      <c r="N108" s="110"/>
      <c r="O108" s="110"/>
      <c r="P108" s="110">
        <f t="shared" si="18"/>
        <v>194500</v>
      </c>
      <c r="Q108" s="110">
        <f t="shared" si="19"/>
        <v>389000</v>
      </c>
      <c r="R108" s="110">
        <f t="shared" si="20"/>
        <v>389000</v>
      </c>
      <c r="S108" s="112">
        <v>0</v>
      </c>
    </row>
    <row r="109" spans="1:19" ht="30">
      <c r="A109" s="142"/>
      <c r="B109" s="153" t="s">
        <v>1285</v>
      </c>
      <c r="C109" s="142" t="s">
        <v>4</v>
      </c>
      <c r="D109" s="143">
        <v>1</v>
      </c>
      <c r="E109" s="144"/>
      <c r="F109" s="334">
        <v>1</v>
      </c>
      <c r="G109" s="112">
        <v>0</v>
      </c>
      <c r="H109" s="120" t="s">
        <v>2791</v>
      </c>
      <c r="I109" s="120" t="s">
        <v>2748</v>
      </c>
      <c r="J109" s="120" t="s">
        <v>772</v>
      </c>
      <c r="K109" s="110">
        <v>114300</v>
      </c>
      <c r="L109" s="110"/>
      <c r="M109" s="110">
        <v>74900</v>
      </c>
      <c r="N109" s="110"/>
      <c r="O109" s="110"/>
      <c r="P109" s="110">
        <f t="shared" si="18"/>
        <v>189200</v>
      </c>
      <c r="Q109" s="110">
        <f t="shared" si="19"/>
        <v>189200</v>
      </c>
      <c r="R109" s="110">
        <f t="shared" si="20"/>
        <v>189200</v>
      </c>
      <c r="S109" s="112">
        <v>0</v>
      </c>
    </row>
    <row r="110" spans="1:19" ht="30">
      <c r="A110" s="142"/>
      <c r="B110" s="153" t="s">
        <v>1286</v>
      </c>
      <c r="C110" s="142" t="s">
        <v>4</v>
      </c>
      <c r="D110" s="143">
        <v>12</v>
      </c>
      <c r="E110" s="144"/>
      <c r="F110" s="334">
        <v>12</v>
      </c>
      <c r="G110" s="112">
        <v>0</v>
      </c>
      <c r="H110" s="120" t="s">
        <v>2792</v>
      </c>
      <c r="I110" s="120" t="s">
        <v>2748</v>
      </c>
      <c r="J110" s="120" t="s">
        <v>772</v>
      </c>
      <c r="K110" s="110">
        <v>45800</v>
      </c>
      <c r="L110" s="110"/>
      <c r="M110" s="110">
        <v>64700</v>
      </c>
      <c r="N110" s="110"/>
      <c r="O110" s="110"/>
      <c r="P110" s="110">
        <f t="shared" si="18"/>
        <v>110500</v>
      </c>
      <c r="Q110" s="110">
        <f t="shared" si="19"/>
        <v>1326000</v>
      </c>
      <c r="R110" s="110">
        <f t="shared" si="20"/>
        <v>1326000</v>
      </c>
      <c r="S110" s="112">
        <v>0</v>
      </c>
    </row>
    <row r="111" spans="1:19" ht="60">
      <c r="A111" s="142"/>
      <c r="B111" s="153" t="s">
        <v>1287</v>
      </c>
      <c r="C111" s="142" t="s">
        <v>4</v>
      </c>
      <c r="D111" s="143">
        <v>9</v>
      </c>
      <c r="E111" s="144"/>
      <c r="F111" s="334">
        <v>9</v>
      </c>
      <c r="G111" s="112">
        <v>0</v>
      </c>
      <c r="H111" s="120" t="s">
        <v>2793</v>
      </c>
      <c r="I111" s="120" t="s">
        <v>2748</v>
      </c>
      <c r="J111" s="120" t="s">
        <v>772</v>
      </c>
      <c r="K111" s="110">
        <v>54900</v>
      </c>
      <c r="L111" s="110"/>
      <c r="M111" s="110">
        <v>64700</v>
      </c>
      <c r="N111" s="110"/>
      <c r="O111" s="110"/>
      <c r="P111" s="110">
        <f t="shared" si="18"/>
        <v>119600</v>
      </c>
      <c r="Q111" s="110">
        <f t="shared" si="19"/>
        <v>1076400</v>
      </c>
      <c r="R111" s="110">
        <f t="shared" si="20"/>
        <v>1076400</v>
      </c>
      <c r="S111" s="112">
        <v>0</v>
      </c>
    </row>
    <row r="112" spans="1:19" ht="30">
      <c r="A112" s="142"/>
      <c r="B112" s="153" t="s">
        <v>1288</v>
      </c>
      <c r="C112" s="142" t="s">
        <v>4</v>
      </c>
      <c r="D112" s="143">
        <v>1</v>
      </c>
      <c r="E112" s="144"/>
      <c r="F112" s="334">
        <v>1</v>
      </c>
      <c r="G112" s="112">
        <v>0</v>
      </c>
      <c r="H112" s="120" t="s">
        <v>2794</v>
      </c>
      <c r="I112" s="120" t="s">
        <v>2748</v>
      </c>
      <c r="J112" s="120" t="s">
        <v>772</v>
      </c>
      <c r="K112" s="110">
        <v>36500</v>
      </c>
      <c r="L112" s="110"/>
      <c r="M112" s="110">
        <v>59700</v>
      </c>
      <c r="N112" s="110"/>
      <c r="O112" s="110"/>
      <c r="P112" s="110">
        <f t="shared" si="18"/>
        <v>96200</v>
      </c>
      <c r="Q112" s="110">
        <f t="shared" si="19"/>
        <v>96200</v>
      </c>
      <c r="R112" s="110">
        <f t="shared" si="20"/>
        <v>96200</v>
      </c>
      <c r="S112" s="112">
        <v>0</v>
      </c>
    </row>
    <row r="113" spans="1:19" ht="30">
      <c r="A113" s="142"/>
      <c r="B113" s="153" t="s">
        <v>1268</v>
      </c>
      <c r="C113" s="142" t="s">
        <v>4</v>
      </c>
      <c r="D113" s="143">
        <v>2</v>
      </c>
      <c r="E113" s="144"/>
      <c r="F113" s="334">
        <v>2</v>
      </c>
      <c r="G113" s="112">
        <v>0</v>
      </c>
      <c r="H113" s="120" t="s">
        <v>2795</v>
      </c>
      <c r="I113" s="120" t="s">
        <v>2748</v>
      </c>
      <c r="J113" s="120" t="s">
        <v>772</v>
      </c>
      <c r="K113" s="110">
        <v>17800</v>
      </c>
      <c r="L113" s="110"/>
      <c r="M113" s="110">
        <v>54500</v>
      </c>
      <c r="N113" s="110"/>
      <c r="O113" s="110"/>
      <c r="P113" s="110">
        <f t="shared" si="18"/>
        <v>72300</v>
      </c>
      <c r="Q113" s="110">
        <f t="shared" si="19"/>
        <v>144600</v>
      </c>
      <c r="R113" s="110">
        <f t="shared" si="20"/>
        <v>144600</v>
      </c>
      <c r="S113" s="112">
        <v>0</v>
      </c>
    </row>
    <row r="114" spans="1:19" ht="30">
      <c r="A114" s="142"/>
      <c r="B114" s="153" t="s">
        <v>1269</v>
      </c>
      <c r="C114" s="142" t="s">
        <v>4</v>
      </c>
      <c r="D114" s="143">
        <v>1</v>
      </c>
      <c r="E114" s="144"/>
      <c r="F114" s="334">
        <v>1</v>
      </c>
      <c r="G114" s="112">
        <v>0</v>
      </c>
      <c r="H114" s="120" t="s">
        <v>2796</v>
      </c>
      <c r="I114" s="120" t="s">
        <v>2748</v>
      </c>
      <c r="J114" s="120" t="s">
        <v>772</v>
      </c>
      <c r="K114" s="110">
        <v>17800</v>
      </c>
      <c r="L114" s="110"/>
      <c r="M114" s="110">
        <v>54500</v>
      </c>
      <c r="N114" s="110"/>
      <c r="O114" s="110"/>
      <c r="P114" s="110">
        <f t="shared" si="18"/>
        <v>72300</v>
      </c>
      <c r="Q114" s="110">
        <f t="shared" si="19"/>
        <v>72300</v>
      </c>
      <c r="R114" s="110">
        <f t="shared" si="20"/>
        <v>72300</v>
      </c>
      <c r="S114" s="112">
        <v>0</v>
      </c>
    </row>
    <row r="115" spans="1:19" ht="30">
      <c r="A115" s="142"/>
      <c r="B115" s="153" t="s">
        <v>1270</v>
      </c>
      <c r="C115" s="142" t="s">
        <v>4</v>
      </c>
      <c r="D115" s="143">
        <v>1</v>
      </c>
      <c r="E115" s="144"/>
      <c r="F115" s="334">
        <v>1</v>
      </c>
      <c r="G115" s="112">
        <v>0</v>
      </c>
      <c r="H115" s="120" t="s">
        <v>2797</v>
      </c>
      <c r="I115" s="120" t="s">
        <v>2748</v>
      </c>
      <c r="J115" s="120" t="s">
        <v>772</v>
      </c>
      <c r="K115" s="110">
        <v>17800</v>
      </c>
      <c r="L115" s="110"/>
      <c r="M115" s="110">
        <v>54500</v>
      </c>
      <c r="N115" s="110"/>
      <c r="O115" s="110"/>
      <c r="P115" s="110">
        <f t="shared" si="18"/>
        <v>72300</v>
      </c>
      <c r="Q115" s="110">
        <f t="shared" si="19"/>
        <v>72300</v>
      </c>
      <c r="R115" s="110">
        <f t="shared" si="20"/>
        <v>72300</v>
      </c>
      <c r="S115" s="112">
        <v>0</v>
      </c>
    </row>
    <row r="116" spans="1:19" ht="30">
      <c r="A116" s="142"/>
      <c r="B116" s="153" t="s">
        <v>1271</v>
      </c>
      <c r="C116" s="142" t="s">
        <v>4</v>
      </c>
      <c r="D116" s="143">
        <v>41</v>
      </c>
      <c r="E116" s="144"/>
      <c r="F116" s="334">
        <v>41</v>
      </c>
      <c r="G116" s="112">
        <v>0</v>
      </c>
      <c r="H116" s="120" t="s">
        <v>2798</v>
      </c>
      <c r="I116" s="120" t="s">
        <v>2748</v>
      </c>
      <c r="J116" s="120" t="s">
        <v>772</v>
      </c>
      <c r="K116" s="110">
        <v>17800</v>
      </c>
      <c r="L116" s="110"/>
      <c r="M116" s="110">
        <v>54500</v>
      </c>
      <c r="N116" s="110"/>
      <c r="O116" s="110"/>
      <c r="P116" s="110">
        <f t="shared" si="18"/>
        <v>72300</v>
      </c>
      <c r="Q116" s="110">
        <f t="shared" si="19"/>
        <v>2964300</v>
      </c>
      <c r="R116" s="110">
        <f t="shared" si="20"/>
        <v>2964300</v>
      </c>
      <c r="S116" s="112">
        <v>0</v>
      </c>
    </row>
    <row r="117" spans="1:19" ht="30">
      <c r="A117" s="142"/>
      <c r="B117" s="153" t="s">
        <v>1273</v>
      </c>
      <c r="C117" s="142" t="s">
        <v>4</v>
      </c>
      <c r="D117" s="143">
        <v>2</v>
      </c>
      <c r="E117" s="144"/>
      <c r="F117" s="334">
        <v>2</v>
      </c>
      <c r="G117" s="112">
        <v>0</v>
      </c>
      <c r="H117" s="120" t="s">
        <v>2799</v>
      </c>
      <c r="I117" s="120" t="s">
        <v>2748</v>
      </c>
      <c r="J117" s="120" t="s">
        <v>772</v>
      </c>
      <c r="K117" s="110">
        <v>9200</v>
      </c>
      <c r="L117" s="110"/>
      <c r="M117" s="110">
        <v>49500</v>
      </c>
      <c r="N117" s="110"/>
      <c r="O117" s="110"/>
      <c r="P117" s="110">
        <f t="shared" si="18"/>
        <v>58700</v>
      </c>
      <c r="Q117" s="110">
        <f t="shared" si="19"/>
        <v>117400</v>
      </c>
      <c r="R117" s="110">
        <f t="shared" si="20"/>
        <v>117400</v>
      </c>
      <c r="S117" s="112">
        <v>0</v>
      </c>
    </row>
    <row r="118" spans="1:19" ht="30">
      <c r="A118" s="142"/>
      <c r="B118" s="153" t="s">
        <v>1274</v>
      </c>
      <c r="C118" s="142" t="s">
        <v>4</v>
      </c>
      <c r="D118" s="143">
        <v>1</v>
      </c>
      <c r="E118" s="144"/>
      <c r="F118" s="334">
        <v>1</v>
      </c>
      <c r="G118" s="112">
        <v>0</v>
      </c>
      <c r="H118" s="120" t="s">
        <v>2800</v>
      </c>
      <c r="I118" s="120" t="s">
        <v>2748</v>
      </c>
      <c r="J118" s="120" t="s">
        <v>772</v>
      </c>
      <c r="K118" s="110">
        <v>9200</v>
      </c>
      <c r="L118" s="110"/>
      <c r="M118" s="110">
        <v>49500</v>
      </c>
      <c r="N118" s="110"/>
      <c r="O118" s="110"/>
      <c r="P118" s="110">
        <f t="shared" si="18"/>
        <v>58700</v>
      </c>
      <c r="Q118" s="110">
        <f t="shared" si="19"/>
        <v>58700</v>
      </c>
      <c r="R118" s="110">
        <f t="shared" si="20"/>
        <v>58700</v>
      </c>
      <c r="S118" s="112">
        <v>0</v>
      </c>
    </row>
    <row r="119" spans="1:19" ht="30">
      <c r="A119" s="142"/>
      <c r="B119" s="153" t="s">
        <v>1275</v>
      </c>
      <c r="C119" s="142" t="s">
        <v>4</v>
      </c>
      <c r="D119" s="143">
        <v>20</v>
      </c>
      <c r="E119" s="144"/>
      <c r="F119" s="334">
        <v>20</v>
      </c>
      <c r="G119" s="112">
        <v>0</v>
      </c>
      <c r="H119" s="120" t="s">
        <v>2801</v>
      </c>
      <c r="I119" s="120" t="s">
        <v>2748</v>
      </c>
      <c r="J119" s="120" t="s">
        <v>772</v>
      </c>
      <c r="K119" s="110">
        <v>9200</v>
      </c>
      <c r="L119" s="110"/>
      <c r="M119" s="110">
        <v>49500</v>
      </c>
      <c r="N119" s="110"/>
      <c r="O119" s="110"/>
      <c r="P119" s="110">
        <f t="shared" si="18"/>
        <v>58700</v>
      </c>
      <c r="Q119" s="110">
        <f t="shared" si="19"/>
        <v>1174000</v>
      </c>
      <c r="R119" s="110">
        <f t="shared" si="20"/>
        <v>1174000</v>
      </c>
      <c r="S119" s="112">
        <v>0</v>
      </c>
    </row>
    <row r="120" spans="1:19" ht="30">
      <c r="A120" s="142"/>
      <c r="B120" s="153" t="s">
        <v>1277</v>
      </c>
      <c r="C120" s="142" t="s">
        <v>4</v>
      </c>
      <c r="D120" s="143">
        <v>2</v>
      </c>
      <c r="E120" s="144"/>
      <c r="F120" s="334">
        <v>2</v>
      </c>
      <c r="G120" s="112">
        <v>0</v>
      </c>
      <c r="H120" s="120" t="s">
        <v>2802</v>
      </c>
      <c r="I120" s="120" t="s">
        <v>2748</v>
      </c>
      <c r="J120" s="120" t="s">
        <v>772</v>
      </c>
      <c r="K120" s="110">
        <v>5100</v>
      </c>
      <c r="L120" s="110"/>
      <c r="M120" s="110">
        <v>39700</v>
      </c>
      <c r="N120" s="110"/>
      <c r="O120" s="110"/>
      <c r="P120" s="110">
        <f t="shared" si="18"/>
        <v>44800</v>
      </c>
      <c r="Q120" s="110">
        <f t="shared" si="19"/>
        <v>89600</v>
      </c>
      <c r="R120" s="110">
        <f t="shared" si="20"/>
        <v>89600</v>
      </c>
      <c r="S120" s="112">
        <v>0</v>
      </c>
    </row>
    <row r="121" spans="1:19" ht="30">
      <c r="A121" s="142"/>
      <c r="B121" s="153" t="s">
        <v>1278</v>
      </c>
      <c r="C121" s="142" t="s">
        <v>4</v>
      </c>
      <c r="D121" s="143">
        <v>3</v>
      </c>
      <c r="E121" s="144"/>
      <c r="F121" s="334">
        <v>3</v>
      </c>
      <c r="G121" s="112">
        <v>0</v>
      </c>
      <c r="H121" s="120" t="s">
        <v>2803</v>
      </c>
      <c r="I121" s="120" t="s">
        <v>2748</v>
      </c>
      <c r="J121" s="120" t="s">
        <v>772</v>
      </c>
      <c r="K121" s="110">
        <v>5100</v>
      </c>
      <c r="L121" s="110"/>
      <c r="M121" s="110">
        <v>39700</v>
      </c>
      <c r="N121" s="110"/>
      <c r="O121" s="110"/>
      <c r="P121" s="110">
        <f t="shared" si="18"/>
        <v>44800</v>
      </c>
      <c r="Q121" s="110">
        <f t="shared" si="19"/>
        <v>134400</v>
      </c>
      <c r="R121" s="110">
        <f t="shared" si="20"/>
        <v>134400</v>
      </c>
      <c r="S121" s="112">
        <v>0</v>
      </c>
    </row>
    <row r="122" spans="1:19" ht="30">
      <c r="A122" s="142"/>
      <c r="B122" s="153" t="s">
        <v>1279</v>
      </c>
      <c r="C122" s="142" t="s">
        <v>4</v>
      </c>
      <c r="D122" s="143">
        <v>2</v>
      </c>
      <c r="E122" s="144"/>
      <c r="F122" s="334">
        <v>2</v>
      </c>
      <c r="G122" s="112">
        <v>0</v>
      </c>
      <c r="H122" s="120" t="s">
        <v>2804</v>
      </c>
      <c r="I122" s="120" t="s">
        <v>2748</v>
      </c>
      <c r="J122" s="120" t="s">
        <v>772</v>
      </c>
      <c r="K122" s="110">
        <v>5100</v>
      </c>
      <c r="L122" s="110"/>
      <c r="M122" s="110">
        <v>39700</v>
      </c>
      <c r="N122" s="110"/>
      <c r="O122" s="110"/>
      <c r="P122" s="110">
        <f t="shared" si="18"/>
        <v>44800</v>
      </c>
      <c r="Q122" s="110">
        <f t="shared" si="19"/>
        <v>89600</v>
      </c>
      <c r="R122" s="110">
        <f t="shared" si="20"/>
        <v>89600</v>
      </c>
      <c r="S122" s="112">
        <v>0</v>
      </c>
    </row>
    <row r="123" spans="1:19" ht="30">
      <c r="A123" s="142"/>
      <c r="B123" s="153" t="s">
        <v>1280</v>
      </c>
      <c r="C123" s="142" t="s">
        <v>4</v>
      </c>
      <c r="D123" s="143">
        <v>17</v>
      </c>
      <c r="E123" s="144"/>
      <c r="F123" s="334">
        <v>17</v>
      </c>
      <c r="G123" s="112">
        <v>0</v>
      </c>
      <c r="H123" s="120" t="s">
        <v>2805</v>
      </c>
      <c r="I123" s="120" t="s">
        <v>2748</v>
      </c>
      <c r="J123" s="120" t="s">
        <v>772</v>
      </c>
      <c r="K123" s="110">
        <v>3300</v>
      </c>
      <c r="L123" s="110"/>
      <c r="M123" s="110">
        <v>34800</v>
      </c>
      <c r="N123" s="110"/>
      <c r="O123" s="110"/>
      <c r="P123" s="110">
        <f t="shared" si="18"/>
        <v>38100</v>
      </c>
      <c r="Q123" s="110">
        <f t="shared" si="19"/>
        <v>647700</v>
      </c>
      <c r="R123" s="110">
        <f t="shared" si="20"/>
        <v>647700</v>
      </c>
      <c r="S123" s="112">
        <v>0</v>
      </c>
    </row>
    <row r="124" spans="1:19" ht="30">
      <c r="A124" s="142"/>
      <c r="B124" s="153" t="s">
        <v>1281</v>
      </c>
      <c r="C124" s="142" t="s">
        <v>4</v>
      </c>
      <c r="D124" s="143">
        <v>3</v>
      </c>
      <c r="E124" s="144"/>
      <c r="F124" s="334">
        <v>3</v>
      </c>
      <c r="G124" s="112">
        <v>0</v>
      </c>
      <c r="H124" s="120" t="s">
        <v>2806</v>
      </c>
      <c r="I124" s="120" t="s">
        <v>2748</v>
      </c>
      <c r="J124" s="120" t="s">
        <v>772</v>
      </c>
      <c r="K124" s="110">
        <v>3300</v>
      </c>
      <c r="L124" s="110"/>
      <c r="M124" s="110">
        <v>34800</v>
      </c>
      <c r="N124" s="110"/>
      <c r="O124" s="110"/>
      <c r="P124" s="110">
        <f t="shared" si="18"/>
        <v>38100</v>
      </c>
      <c r="Q124" s="110">
        <f t="shared" si="19"/>
        <v>114300</v>
      </c>
      <c r="R124" s="110">
        <f t="shared" si="20"/>
        <v>114300</v>
      </c>
      <c r="S124" s="112">
        <v>0</v>
      </c>
    </row>
    <row r="125" spans="1:19" ht="30">
      <c r="A125" s="142"/>
      <c r="B125" s="153" t="s">
        <v>1282</v>
      </c>
      <c r="C125" s="142" t="s">
        <v>4</v>
      </c>
      <c r="D125" s="143">
        <v>13</v>
      </c>
      <c r="E125" s="144"/>
      <c r="F125" s="334">
        <v>13</v>
      </c>
      <c r="G125" s="112">
        <v>0</v>
      </c>
      <c r="H125" s="120" t="s">
        <v>2807</v>
      </c>
      <c r="I125" s="120" t="s">
        <v>2748</v>
      </c>
      <c r="J125" s="120" t="s">
        <v>772</v>
      </c>
      <c r="K125" s="110">
        <v>2400</v>
      </c>
      <c r="L125" s="110"/>
      <c r="M125" s="110">
        <v>29800</v>
      </c>
      <c r="N125" s="110"/>
      <c r="O125" s="110"/>
      <c r="P125" s="110">
        <f t="shared" si="18"/>
        <v>32200</v>
      </c>
      <c r="Q125" s="110">
        <f t="shared" si="19"/>
        <v>418600</v>
      </c>
      <c r="R125" s="110">
        <f t="shared" si="20"/>
        <v>418600</v>
      </c>
      <c r="S125" s="112">
        <v>0</v>
      </c>
    </row>
    <row r="126" spans="1:19" ht="28.5">
      <c r="A126" s="142">
        <v>8</v>
      </c>
      <c r="B126" s="152" t="s">
        <v>1289</v>
      </c>
      <c r="C126" s="142"/>
      <c r="D126" s="143">
        <v>0</v>
      </c>
      <c r="E126" s="144"/>
      <c r="F126" s="332"/>
      <c r="G126" s="450"/>
      <c r="H126" s="120"/>
      <c r="I126" s="120"/>
      <c r="J126" s="120"/>
      <c r="K126" s="71"/>
      <c r="L126" s="71"/>
      <c r="M126" s="71"/>
      <c r="N126" s="71"/>
      <c r="O126" s="71"/>
      <c r="P126" s="71"/>
      <c r="Q126" s="71"/>
      <c r="R126" s="71"/>
      <c r="S126" s="71"/>
    </row>
    <row r="127" spans="1:19" ht="30">
      <c r="A127" s="142"/>
      <c r="B127" s="153" t="s">
        <v>1290</v>
      </c>
      <c r="C127" s="142" t="s">
        <v>4</v>
      </c>
      <c r="D127" s="143">
        <v>82</v>
      </c>
      <c r="E127" s="144"/>
      <c r="F127" s="334">
        <v>82</v>
      </c>
      <c r="G127" s="112">
        <v>0</v>
      </c>
      <c r="H127" s="120" t="s">
        <v>2808</v>
      </c>
      <c r="I127" s="120" t="s">
        <v>2748</v>
      </c>
      <c r="J127" s="120" t="s">
        <v>772</v>
      </c>
      <c r="K127" s="110">
        <v>272100</v>
      </c>
      <c r="L127" s="110"/>
      <c r="M127" s="110">
        <v>54500</v>
      </c>
      <c r="N127" s="110"/>
      <c r="O127" s="110"/>
      <c r="P127" s="110">
        <f t="shared" ref="P127:P132" si="21">K127+L127+M127+N127+O127</f>
        <v>326600</v>
      </c>
      <c r="Q127" s="110">
        <f t="shared" ref="Q127:Q132" si="22">$P127*D127</f>
        <v>26781200</v>
      </c>
      <c r="R127" s="110">
        <f t="shared" ref="R127:R132" si="23">$P127*F127</f>
        <v>26781200</v>
      </c>
      <c r="S127" s="112">
        <v>0</v>
      </c>
    </row>
    <row r="128" spans="1:19" ht="30">
      <c r="A128" s="142"/>
      <c r="B128" s="153" t="s">
        <v>1254</v>
      </c>
      <c r="C128" s="142" t="s">
        <v>4</v>
      </c>
      <c r="D128" s="143">
        <v>6</v>
      </c>
      <c r="E128" s="144"/>
      <c r="F128" s="334">
        <v>6</v>
      </c>
      <c r="G128" s="112">
        <v>0</v>
      </c>
      <c r="H128" s="120" t="s">
        <v>2809</v>
      </c>
      <c r="I128" s="120" t="s">
        <v>2748</v>
      </c>
      <c r="J128" s="120" t="s">
        <v>772</v>
      </c>
      <c r="K128" s="110">
        <v>134500</v>
      </c>
      <c r="L128" s="110"/>
      <c r="M128" s="110">
        <v>49500</v>
      </c>
      <c r="N128" s="110"/>
      <c r="O128" s="110"/>
      <c r="P128" s="110">
        <f t="shared" si="21"/>
        <v>184000</v>
      </c>
      <c r="Q128" s="110">
        <f t="shared" si="22"/>
        <v>1104000</v>
      </c>
      <c r="R128" s="110">
        <f t="shared" si="23"/>
        <v>1104000</v>
      </c>
      <c r="S128" s="112">
        <v>0</v>
      </c>
    </row>
    <row r="129" spans="1:19" ht="30">
      <c r="A129" s="142"/>
      <c r="B129" s="153" t="s">
        <v>1255</v>
      </c>
      <c r="C129" s="142" t="s">
        <v>4</v>
      </c>
      <c r="D129" s="143">
        <v>10</v>
      </c>
      <c r="E129" s="144"/>
      <c r="F129" s="334">
        <v>10</v>
      </c>
      <c r="G129" s="112">
        <v>0</v>
      </c>
      <c r="H129" s="120" t="s">
        <v>2810</v>
      </c>
      <c r="I129" s="120" t="s">
        <v>2748</v>
      </c>
      <c r="J129" s="120" t="s">
        <v>772</v>
      </c>
      <c r="K129" s="110">
        <v>101400</v>
      </c>
      <c r="L129" s="110"/>
      <c r="M129" s="110">
        <v>39700</v>
      </c>
      <c r="N129" s="110"/>
      <c r="O129" s="110"/>
      <c r="P129" s="110">
        <f t="shared" si="21"/>
        <v>141100</v>
      </c>
      <c r="Q129" s="110">
        <f t="shared" si="22"/>
        <v>1411000</v>
      </c>
      <c r="R129" s="110">
        <f t="shared" si="23"/>
        <v>1411000</v>
      </c>
      <c r="S129" s="112">
        <v>0</v>
      </c>
    </row>
    <row r="130" spans="1:19" ht="30">
      <c r="A130" s="142"/>
      <c r="B130" s="153" t="s">
        <v>707</v>
      </c>
      <c r="C130" s="142" t="s">
        <v>4</v>
      </c>
      <c r="D130" s="143">
        <v>12</v>
      </c>
      <c r="E130" s="144"/>
      <c r="F130" s="334">
        <v>12</v>
      </c>
      <c r="G130" s="112">
        <v>0</v>
      </c>
      <c r="H130" s="120" t="s">
        <v>2811</v>
      </c>
      <c r="I130" s="120" t="s">
        <v>2748</v>
      </c>
      <c r="J130" s="120" t="s">
        <v>772</v>
      </c>
      <c r="K130" s="110">
        <v>41000</v>
      </c>
      <c r="L130" s="110"/>
      <c r="M130" s="110">
        <v>34800</v>
      </c>
      <c r="N130" s="110"/>
      <c r="O130" s="110"/>
      <c r="P130" s="110">
        <f t="shared" si="21"/>
        <v>75800</v>
      </c>
      <c r="Q130" s="110">
        <f t="shared" si="22"/>
        <v>909600</v>
      </c>
      <c r="R130" s="110">
        <f t="shared" si="23"/>
        <v>909600</v>
      </c>
      <c r="S130" s="112">
        <v>0</v>
      </c>
    </row>
    <row r="131" spans="1:19" ht="30">
      <c r="A131" s="142"/>
      <c r="B131" s="153" t="s">
        <v>708</v>
      </c>
      <c r="C131" s="142" t="s">
        <v>4</v>
      </c>
      <c r="D131" s="143">
        <v>864</v>
      </c>
      <c r="E131" s="144"/>
      <c r="F131" s="334">
        <v>864</v>
      </c>
      <c r="G131" s="112">
        <v>0</v>
      </c>
      <c r="H131" s="120" t="s">
        <v>2812</v>
      </c>
      <c r="I131" s="120" t="s">
        <v>2748</v>
      </c>
      <c r="J131" s="120" t="s">
        <v>772</v>
      </c>
      <c r="K131" s="110">
        <v>25100</v>
      </c>
      <c r="L131" s="110"/>
      <c r="M131" s="110">
        <v>29800</v>
      </c>
      <c r="N131" s="110"/>
      <c r="O131" s="110"/>
      <c r="P131" s="110">
        <f t="shared" si="21"/>
        <v>54900</v>
      </c>
      <c r="Q131" s="110">
        <f t="shared" si="22"/>
        <v>47433600</v>
      </c>
      <c r="R131" s="110">
        <f t="shared" si="23"/>
        <v>47433600</v>
      </c>
      <c r="S131" s="112">
        <v>0</v>
      </c>
    </row>
    <row r="132" spans="1:19" ht="30">
      <c r="A132" s="142"/>
      <c r="B132" s="153" t="s">
        <v>479</v>
      </c>
      <c r="C132" s="142" t="s">
        <v>4</v>
      </c>
      <c r="D132" s="143">
        <v>168</v>
      </c>
      <c r="E132" s="144"/>
      <c r="F132" s="334">
        <v>168</v>
      </c>
      <c r="G132" s="112">
        <v>0</v>
      </c>
      <c r="H132" s="120" t="s">
        <v>2813</v>
      </c>
      <c r="I132" s="120" t="s">
        <v>2748</v>
      </c>
      <c r="J132" s="120" t="s">
        <v>772</v>
      </c>
      <c r="K132" s="110">
        <v>18400</v>
      </c>
      <c r="L132" s="110"/>
      <c r="M132" s="110">
        <v>24800</v>
      </c>
      <c r="N132" s="110"/>
      <c r="O132" s="110"/>
      <c r="P132" s="110">
        <f t="shared" si="21"/>
        <v>43200</v>
      </c>
      <c r="Q132" s="110">
        <f t="shared" si="22"/>
        <v>7257600</v>
      </c>
      <c r="R132" s="110">
        <f t="shared" si="23"/>
        <v>7257600</v>
      </c>
      <c r="S132" s="112">
        <v>0</v>
      </c>
    </row>
    <row r="133" spans="1:19">
      <c r="A133" s="142">
        <v>9</v>
      </c>
      <c r="B133" s="152" t="s">
        <v>1291</v>
      </c>
      <c r="C133" s="142"/>
      <c r="D133" s="143"/>
      <c r="E133" s="144"/>
      <c r="F133" s="324"/>
      <c r="G133" s="112"/>
      <c r="H133" s="120"/>
      <c r="I133" s="120"/>
      <c r="J133" s="120"/>
      <c r="K133" s="66"/>
      <c r="L133" s="66"/>
      <c r="M133" s="66"/>
      <c r="N133" s="66"/>
      <c r="O133" s="66"/>
      <c r="P133" s="66"/>
      <c r="Q133" s="66"/>
      <c r="R133" s="66"/>
      <c r="S133" s="66"/>
    </row>
    <row r="134" spans="1:19">
      <c r="A134" s="142"/>
      <c r="B134" s="153" t="s">
        <v>1257</v>
      </c>
      <c r="C134" s="142" t="s">
        <v>4</v>
      </c>
      <c r="D134" s="143">
        <v>7</v>
      </c>
      <c r="E134" s="144"/>
      <c r="F134" s="334">
        <v>7</v>
      </c>
      <c r="G134" s="112">
        <v>0</v>
      </c>
      <c r="H134" s="120" t="s">
        <v>2814</v>
      </c>
      <c r="I134" s="120" t="s">
        <v>2748</v>
      </c>
      <c r="J134" s="120" t="s">
        <v>772</v>
      </c>
      <c r="K134" s="110">
        <v>281100</v>
      </c>
      <c r="L134" s="110"/>
      <c r="M134" s="110">
        <v>123000</v>
      </c>
      <c r="N134" s="110"/>
      <c r="O134" s="110"/>
      <c r="P134" s="110">
        <f t="shared" ref="P134:P142" si="24">K134+L134+M134+N134+O134</f>
        <v>404100</v>
      </c>
      <c r="Q134" s="110">
        <f t="shared" ref="Q134:Q142" si="25">$P134*D134</f>
        <v>2828700</v>
      </c>
      <c r="R134" s="110">
        <f t="shared" ref="R134:R142" si="26">$P134*F134</f>
        <v>2828700</v>
      </c>
      <c r="S134" s="112">
        <v>0</v>
      </c>
    </row>
    <row r="135" spans="1:19">
      <c r="A135" s="142"/>
      <c r="B135" s="153" t="s">
        <v>1250</v>
      </c>
      <c r="C135" s="142" t="s">
        <v>4</v>
      </c>
      <c r="D135" s="143">
        <v>43</v>
      </c>
      <c r="E135" s="144"/>
      <c r="F135" s="334">
        <v>43</v>
      </c>
      <c r="G135" s="112">
        <v>0</v>
      </c>
      <c r="H135" s="120" t="s">
        <v>2815</v>
      </c>
      <c r="I135" s="120" t="s">
        <v>2748</v>
      </c>
      <c r="J135" s="120" t="s">
        <v>772</v>
      </c>
      <c r="K135" s="110">
        <v>102400</v>
      </c>
      <c r="L135" s="110"/>
      <c r="M135" s="110">
        <v>74900</v>
      </c>
      <c r="N135" s="110"/>
      <c r="O135" s="110"/>
      <c r="P135" s="110">
        <f t="shared" si="24"/>
        <v>177300</v>
      </c>
      <c r="Q135" s="110">
        <f t="shared" si="25"/>
        <v>7623900</v>
      </c>
      <c r="R135" s="110">
        <f t="shared" si="26"/>
        <v>7623900</v>
      </c>
      <c r="S135" s="112">
        <v>0</v>
      </c>
    </row>
    <row r="136" spans="1:19">
      <c r="A136" s="142"/>
      <c r="B136" s="153" t="s">
        <v>1252</v>
      </c>
      <c r="C136" s="142" t="s">
        <v>4</v>
      </c>
      <c r="D136" s="143">
        <v>11</v>
      </c>
      <c r="E136" s="144"/>
      <c r="F136" s="334">
        <v>11</v>
      </c>
      <c r="G136" s="112">
        <v>0</v>
      </c>
      <c r="H136" s="120" t="s">
        <v>2816</v>
      </c>
      <c r="I136" s="120" t="s">
        <v>2748</v>
      </c>
      <c r="J136" s="120" t="s">
        <v>772</v>
      </c>
      <c r="K136" s="110">
        <v>63200</v>
      </c>
      <c r="L136" s="110"/>
      <c r="M136" s="110">
        <v>64700</v>
      </c>
      <c r="N136" s="110"/>
      <c r="O136" s="110"/>
      <c r="P136" s="110">
        <f t="shared" si="24"/>
        <v>127900</v>
      </c>
      <c r="Q136" s="110">
        <f t="shared" si="25"/>
        <v>1406900</v>
      </c>
      <c r="R136" s="110">
        <f t="shared" si="26"/>
        <v>1406900</v>
      </c>
      <c r="S136" s="112">
        <v>0</v>
      </c>
    </row>
    <row r="137" spans="1:19">
      <c r="A137" s="142"/>
      <c r="B137" s="153" t="s">
        <v>1290</v>
      </c>
      <c r="C137" s="142" t="s">
        <v>4</v>
      </c>
      <c r="D137" s="143">
        <v>60</v>
      </c>
      <c r="E137" s="144"/>
      <c r="F137" s="334">
        <v>60</v>
      </c>
      <c r="G137" s="112">
        <v>0</v>
      </c>
      <c r="H137" s="120" t="s">
        <v>2817</v>
      </c>
      <c r="I137" s="120" t="s">
        <v>2748</v>
      </c>
      <c r="J137" s="120" t="s">
        <v>772</v>
      </c>
      <c r="K137" s="110">
        <v>22300</v>
      </c>
      <c r="L137" s="110"/>
      <c r="M137" s="110">
        <v>54500</v>
      </c>
      <c r="N137" s="110"/>
      <c r="O137" s="110"/>
      <c r="P137" s="110">
        <f t="shared" si="24"/>
        <v>76800</v>
      </c>
      <c r="Q137" s="110">
        <f t="shared" si="25"/>
        <v>4608000</v>
      </c>
      <c r="R137" s="110">
        <f t="shared" si="26"/>
        <v>4608000</v>
      </c>
      <c r="S137" s="112">
        <v>0</v>
      </c>
    </row>
    <row r="138" spans="1:19">
      <c r="A138" s="142"/>
      <c r="B138" s="153" t="s">
        <v>1254</v>
      </c>
      <c r="C138" s="142" t="s">
        <v>4</v>
      </c>
      <c r="D138" s="143">
        <v>29</v>
      </c>
      <c r="E138" s="144"/>
      <c r="F138" s="334">
        <v>29</v>
      </c>
      <c r="G138" s="112">
        <v>0</v>
      </c>
      <c r="H138" s="120" t="s">
        <v>2818</v>
      </c>
      <c r="I138" s="120" t="s">
        <v>2748</v>
      </c>
      <c r="J138" s="120" t="s">
        <v>772</v>
      </c>
      <c r="K138" s="110">
        <v>11200</v>
      </c>
      <c r="L138" s="110"/>
      <c r="M138" s="110">
        <v>49500</v>
      </c>
      <c r="N138" s="110"/>
      <c r="O138" s="110"/>
      <c r="P138" s="110">
        <f t="shared" si="24"/>
        <v>60700</v>
      </c>
      <c r="Q138" s="110">
        <f t="shared" si="25"/>
        <v>1760300</v>
      </c>
      <c r="R138" s="110">
        <f t="shared" si="26"/>
        <v>1760300</v>
      </c>
      <c r="S138" s="112">
        <v>0</v>
      </c>
    </row>
    <row r="139" spans="1:19">
      <c r="A139" s="142"/>
      <c r="B139" s="153" t="s">
        <v>1255</v>
      </c>
      <c r="C139" s="142" t="s">
        <v>4</v>
      </c>
      <c r="D139" s="143">
        <v>36</v>
      </c>
      <c r="E139" s="144"/>
      <c r="F139" s="334">
        <v>36</v>
      </c>
      <c r="G139" s="112">
        <v>0</v>
      </c>
      <c r="H139" s="120" t="s">
        <v>2819</v>
      </c>
      <c r="I139" s="120" t="s">
        <v>2748</v>
      </c>
      <c r="J139" s="120" t="s">
        <v>772</v>
      </c>
      <c r="K139" s="110">
        <v>6200</v>
      </c>
      <c r="L139" s="110"/>
      <c r="M139" s="110">
        <v>39700</v>
      </c>
      <c r="N139" s="110"/>
      <c r="O139" s="110"/>
      <c r="P139" s="110">
        <f t="shared" si="24"/>
        <v>45900</v>
      </c>
      <c r="Q139" s="110">
        <f t="shared" si="25"/>
        <v>1652400</v>
      </c>
      <c r="R139" s="110">
        <f t="shared" si="26"/>
        <v>1652400</v>
      </c>
      <c r="S139" s="112">
        <v>0</v>
      </c>
    </row>
    <row r="140" spans="1:19">
      <c r="A140" s="142"/>
      <c r="B140" s="153" t="s">
        <v>707</v>
      </c>
      <c r="C140" s="142" t="s">
        <v>4</v>
      </c>
      <c r="D140" s="143">
        <v>1609</v>
      </c>
      <c r="E140" s="144"/>
      <c r="F140" s="334">
        <v>1609</v>
      </c>
      <c r="G140" s="112">
        <v>0</v>
      </c>
      <c r="H140" s="120" t="s">
        <v>2820</v>
      </c>
      <c r="I140" s="120" t="s">
        <v>2748</v>
      </c>
      <c r="J140" s="120" t="s">
        <v>772</v>
      </c>
      <c r="K140" s="110">
        <v>3900</v>
      </c>
      <c r="L140" s="110"/>
      <c r="M140" s="110">
        <v>34800</v>
      </c>
      <c r="N140" s="110"/>
      <c r="O140" s="110"/>
      <c r="P140" s="110">
        <f t="shared" si="24"/>
        <v>38700</v>
      </c>
      <c r="Q140" s="110">
        <f t="shared" si="25"/>
        <v>62268300</v>
      </c>
      <c r="R140" s="110">
        <f t="shared" si="26"/>
        <v>62268300</v>
      </c>
      <c r="S140" s="112">
        <v>0</v>
      </c>
    </row>
    <row r="141" spans="1:19">
      <c r="A141" s="142"/>
      <c r="B141" s="153" t="s">
        <v>708</v>
      </c>
      <c r="C141" s="142" t="s">
        <v>4</v>
      </c>
      <c r="D141" s="143">
        <v>449</v>
      </c>
      <c r="E141" s="144"/>
      <c r="F141" s="334">
        <v>449</v>
      </c>
      <c r="G141" s="112">
        <v>0</v>
      </c>
      <c r="H141" s="120" t="s">
        <v>2821</v>
      </c>
      <c r="I141" s="120" t="s">
        <v>2748</v>
      </c>
      <c r="J141" s="120" t="s">
        <v>772</v>
      </c>
      <c r="K141" s="110">
        <v>2500</v>
      </c>
      <c r="L141" s="110"/>
      <c r="M141" s="110">
        <v>29800</v>
      </c>
      <c r="N141" s="110"/>
      <c r="O141" s="110"/>
      <c r="P141" s="110">
        <f t="shared" si="24"/>
        <v>32300</v>
      </c>
      <c r="Q141" s="110">
        <f t="shared" si="25"/>
        <v>14502700</v>
      </c>
      <c r="R141" s="110">
        <f t="shared" si="26"/>
        <v>14502700</v>
      </c>
      <c r="S141" s="112">
        <v>0</v>
      </c>
    </row>
    <row r="142" spans="1:19">
      <c r="A142" s="142"/>
      <c r="B142" s="153" t="s">
        <v>479</v>
      </c>
      <c r="C142" s="142" t="s">
        <v>4</v>
      </c>
      <c r="D142" s="143">
        <v>104</v>
      </c>
      <c r="E142" s="144"/>
      <c r="F142" s="334">
        <v>104</v>
      </c>
      <c r="G142" s="112">
        <v>0</v>
      </c>
      <c r="H142" s="120" t="s">
        <v>2822</v>
      </c>
      <c r="I142" s="120" t="s">
        <v>2748</v>
      </c>
      <c r="J142" s="120" t="s">
        <v>772</v>
      </c>
      <c r="K142" s="110">
        <v>1500</v>
      </c>
      <c r="L142" s="110"/>
      <c r="M142" s="110">
        <v>24800</v>
      </c>
      <c r="N142" s="110"/>
      <c r="O142" s="110"/>
      <c r="P142" s="110">
        <f t="shared" si="24"/>
        <v>26300</v>
      </c>
      <c r="Q142" s="110">
        <f t="shared" si="25"/>
        <v>2735200</v>
      </c>
      <c r="R142" s="110">
        <f t="shared" si="26"/>
        <v>2735200</v>
      </c>
      <c r="S142" s="112">
        <v>0</v>
      </c>
    </row>
    <row r="143" spans="1:19">
      <c r="A143" s="142">
        <v>10</v>
      </c>
      <c r="B143" s="158" t="s">
        <v>1292</v>
      </c>
      <c r="C143" s="142"/>
      <c r="D143" s="143"/>
      <c r="E143" s="144"/>
      <c r="F143" s="363"/>
      <c r="G143" s="451"/>
      <c r="H143" s="120"/>
      <c r="I143" s="120"/>
      <c r="J143" s="120"/>
      <c r="K143" s="340"/>
      <c r="L143" s="340"/>
      <c r="M143" s="340"/>
      <c r="N143" s="340"/>
      <c r="O143" s="340"/>
      <c r="P143" s="340"/>
      <c r="Q143" s="340"/>
      <c r="R143" s="340"/>
      <c r="S143" s="340"/>
    </row>
    <row r="144" spans="1:19">
      <c r="A144" s="146"/>
      <c r="B144" s="150" t="s">
        <v>1293</v>
      </c>
      <c r="C144" s="146" t="s">
        <v>4</v>
      </c>
      <c r="D144" s="147">
        <v>1</v>
      </c>
      <c r="E144" s="148"/>
      <c r="F144" s="334">
        <v>1</v>
      </c>
      <c r="G144" s="112">
        <v>0</v>
      </c>
      <c r="H144" s="120">
        <v>0</v>
      </c>
      <c r="I144" s="120" t="s">
        <v>2748</v>
      </c>
      <c r="J144" s="120" t="s">
        <v>772</v>
      </c>
      <c r="K144" s="110">
        <v>1086500</v>
      </c>
      <c r="L144" s="110"/>
      <c r="M144" s="110">
        <v>0</v>
      </c>
      <c r="N144" s="110"/>
      <c r="O144" s="110"/>
      <c r="P144" s="110">
        <f t="shared" ref="P144:P146" si="27">K144+L144+M144+N144+O144</f>
        <v>1086500</v>
      </c>
      <c r="Q144" s="110">
        <f t="shared" ref="Q144:Q146" si="28">$P144*D144</f>
        <v>1086500</v>
      </c>
      <c r="R144" s="110">
        <f t="shared" ref="R144:R146" si="29">$P144*F144</f>
        <v>1086500</v>
      </c>
      <c r="S144" s="112">
        <v>0</v>
      </c>
    </row>
    <row r="145" spans="1:19">
      <c r="A145" s="146"/>
      <c r="B145" s="150" t="s">
        <v>1294</v>
      </c>
      <c r="C145" s="146" t="s">
        <v>4</v>
      </c>
      <c r="D145" s="147">
        <v>23</v>
      </c>
      <c r="E145" s="148"/>
      <c r="F145" s="334">
        <v>23</v>
      </c>
      <c r="G145" s="112">
        <v>0</v>
      </c>
      <c r="H145" s="120">
        <v>0</v>
      </c>
      <c r="I145" s="120" t="s">
        <v>2748</v>
      </c>
      <c r="J145" s="120" t="s">
        <v>772</v>
      </c>
      <c r="K145" s="110">
        <v>856700</v>
      </c>
      <c r="L145" s="110"/>
      <c r="M145" s="110">
        <v>0</v>
      </c>
      <c r="N145" s="110"/>
      <c r="O145" s="110"/>
      <c r="P145" s="110">
        <f t="shared" si="27"/>
        <v>856700</v>
      </c>
      <c r="Q145" s="110">
        <f t="shared" si="28"/>
        <v>19704100</v>
      </c>
      <c r="R145" s="110">
        <f t="shared" si="29"/>
        <v>19704100</v>
      </c>
      <c r="S145" s="112">
        <v>0</v>
      </c>
    </row>
    <row r="146" spans="1:19">
      <c r="A146" s="146"/>
      <c r="B146" s="150" t="s">
        <v>1295</v>
      </c>
      <c r="C146" s="146" t="s">
        <v>4</v>
      </c>
      <c r="D146" s="147">
        <v>73</v>
      </c>
      <c r="E146" s="148"/>
      <c r="F146" s="334">
        <v>73</v>
      </c>
      <c r="G146" s="112">
        <v>0</v>
      </c>
      <c r="H146" s="120">
        <v>0</v>
      </c>
      <c r="I146" s="120" t="s">
        <v>2748</v>
      </c>
      <c r="J146" s="120" t="s">
        <v>772</v>
      </c>
      <c r="K146" s="110">
        <v>754900</v>
      </c>
      <c r="L146" s="110"/>
      <c r="M146" s="110">
        <v>0</v>
      </c>
      <c r="N146" s="110"/>
      <c r="O146" s="110"/>
      <c r="P146" s="110">
        <f t="shared" si="27"/>
        <v>754900</v>
      </c>
      <c r="Q146" s="110">
        <f t="shared" si="28"/>
        <v>55107700</v>
      </c>
      <c r="R146" s="110">
        <f t="shared" si="29"/>
        <v>55107700</v>
      </c>
      <c r="S146" s="112">
        <v>0</v>
      </c>
    </row>
    <row r="147" spans="1:19">
      <c r="A147" s="142">
        <v>11</v>
      </c>
      <c r="B147" s="152" t="s">
        <v>1296</v>
      </c>
      <c r="C147" s="142"/>
      <c r="D147" s="143"/>
      <c r="E147" s="144"/>
      <c r="F147" s="329"/>
      <c r="G147" s="452"/>
      <c r="H147" s="121"/>
      <c r="I147" s="121"/>
      <c r="J147" s="121"/>
      <c r="K147" s="59"/>
      <c r="L147" s="59"/>
      <c r="M147" s="59"/>
      <c r="N147" s="59"/>
      <c r="O147" s="59"/>
      <c r="P147" s="59"/>
      <c r="Q147" s="59"/>
      <c r="R147" s="59"/>
      <c r="S147" s="374"/>
    </row>
    <row r="148" spans="1:19">
      <c r="A148" s="142"/>
      <c r="B148" s="153" t="s">
        <v>1297</v>
      </c>
      <c r="C148" s="142" t="s">
        <v>4</v>
      </c>
      <c r="D148" s="143">
        <v>16</v>
      </c>
      <c r="E148" s="144"/>
      <c r="F148" s="334">
        <v>16</v>
      </c>
      <c r="G148" s="112">
        <v>0</v>
      </c>
      <c r="H148" s="120" t="s">
        <v>2757</v>
      </c>
      <c r="I148" s="120" t="s">
        <v>2748</v>
      </c>
      <c r="J148" s="120" t="s">
        <v>772</v>
      </c>
      <c r="K148" s="110">
        <v>328700</v>
      </c>
      <c r="L148" s="110"/>
      <c r="M148" s="110">
        <v>0</v>
      </c>
      <c r="N148" s="110"/>
      <c r="O148" s="110"/>
      <c r="P148" s="110">
        <f t="shared" ref="P148:P150" si="30">K148+L148+M148+N148+O148</f>
        <v>328700</v>
      </c>
      <c r="Q148" s="110">
        <f t="shared" ref="Q148:Q150" si="31">$P148*D148</f>
        <v>5259200</v>
      </c>
      <c r="R148" s="110">
        <f t="shared" ref="R148:R150" si="32">$P148*F148</f>
        <v>5259200</v>
      </c>
      <c r="S148" s="112">
        <v>0</v>
      </c>
    </row>
    <row r="149" spans="1:19">
      <c r="A149" s="142"/>
      <c r="B149" s="153" t="s">
        <v>1298</v>
      </c>
      <c r="C149" s="142" t="s">
        <v>4</v>
      </c>
      <c r="D149" s="143">
        <v>1</v>
      </c>
      <c r="E149" s="144"/>
      <c r="F149" s="334">
        <v>1</v>
      </c>
      <c r="G149" s="112">
        <v>0</v>
      </c>
      <c r="H149" s="120">
        <v>0</v>
      </c>
      <c r="I149" s="120" t="s">
        <v>2748</v>
      </c>
      <c r="J149" s="120" t="s">
        <v>772</v>
      </c>
      <c r="K149" s="110">
        <v>261900</v>
      </c>
      <c r="L149" s="110"/>
      <c r="M149" s="110">
        <v>0</v>
      </c>
      <c r="N149" s="110"/>
      <c r="O149" s="110"/>
      <c r="P149" s="110">
        <f t="shared" si="30"/>
        <v>261900</v>
      </c>
      <c r="Q149" s="110">
        <f t="shared" si="31"/>
        <v>261900</v>
      </c>
      <c r="R149" s="110">
        <f t="shared" si="32"/>
        <v>261900</v>
      </c>
      <c r="S149" s="112">
        <v>0</v>
      </c>
    </row>
    <row r="150" spans="1:19">
      <c r="A150" s="142"/>
      <c r="B150" s="153" t="s">
        <v>1299</v>
      </c>
      <c r="C150" s="142" t="s">
        <v>4</v>
      </c>
      <c r="D150" s="143">
        <v>8</v>
      </c>
      <c r="E150" s="144"/>
      <c r="F150" s="334">
        <v>8</v>
      </c>
      <c r="G150" s="112">
        <v>0</v>
      </c>
      <c r="H150" s="120">
        <v>0</v>
      </c>
      <c r="I150" s="120" t="s">
        <v>2748</v>
      </c>
      <c r="J150" s="120" t="s">
        <v>772</v>
      </c>
      <c r="K150" s="110">
        <v>736900</v>
      </c>
      <c r="L150" s="110"/>
      <c r="M150" s="110">
        <v>0</v>
      </c>
      <c r="N150" s="110"/>
      <c r="O150" s="110"/>
      <c r="P150" s="110">
        <f t="shared" si="30"/>
        <v>736900</v>
      </c>
      <c r="Q150" s="110">
        <f t="shared" si="31"/>
        <v>5895200</v>
      </c>
      <c r="R150" s="110">
        <f t="shared" si="32"/>
        <v>5895200</v>
      </c>
      <c r="S150" s="112">
        <v>0</v>
      </c>
    </row>
    <row r="151" spans="1:19">
      <c r="A151" s="142">
        <v>12</v>
      </c>
      <c r="B151" s="152" t="s">
        <v>1300</v>
      </c>
      <c r="C151" s="142"/>
      <c r="D151" s="143"/>
      <c r="E151" s="144"/>
      <c r="F151" s="333"/>
      <c r="G151" s="453"/>
      <c r="H151" s="454"/>
      <c r="I151" s="454"/>
      <c r="J151" s="454"/>
      <c r="K151" s="72"/>
      <c r="L151" s="72"/>
      <c r="M151" s="72"/>
      <c r="N151" s="72"/>
      <c r="O151" s="72"/>
      <c r="P151" s="72"/>
      <c r="Q151" s="72"/>
      <c r="R151" s="72"/>
      <c r="S151" s="72"/>
    </row>
    <row r="152" spans="1:19" ht="45">
      <c r="A152" s="142"/>
      <c r="B152" s="153" t="s">
        <v>1301</v>
      </c>
      <c r="C152" s="142" t="s">
        <v>4</v>
      </c>
      <c r="D152" s="143">
        <v>4</v>
      </c>
      <c r="E152" s="144" t="s">
        <v>1245</v>
      </c>
      <c r="F152" s="334">
        <v>4</v>
      </c>
      <c r="G152" s="112" t="s">
        <v>2715</v>
      </c>
      <c r="H152" s="120" t="s">
        <v>2720</v>
      </c>
      <c r="I152" s="120" t="s">
        <v>2717</v>
      </c>
      <c r="J152" s="120" t="s">
        <v>772</v>
      </c>
      <c r="K152" s="110">
        <v>1046800</v>
      </c>
      <c r="L152" s="110"/>
      <c r="M152" s="110">
        <v>511500</v>
      </c>
      <c r="N152" s="110"/>
      <c r="O152" s="110"/>
      <c r="P152" s="110">
        <f t="shared" ref="P152:P158" si="33">K152+L152+M152+N152+O152</f>
        <v>1558300</v>
      </c>
      <c r="Q152" s="110">
        <f t="shared" ref="Q152:Q158" si="34">$P152*D152</f>
        <v>6233200</v>
      </c>
      <c r="R152" s="110">
        <f t="shared" ref="R152:R158" si="35">$P152*F152</f>
        <v>6233200</v>
      </c>
      <c r="S152" s="112" t="s">
        <v>2715</v>
      </c>
    </row>
    <row r="153" spans="1:19" ht="45">
      <c r="A153" s="142"/>
      <c r="B153" s="153" t="s">
        <v>1302</v>
      </c>
      <c r="C153" s="142" t="s">
        <v>4</v>
      </c>
      <c r="D153" s="143">
        <v>4</v>
      </c>
      <c r="E153" s="144" t="s">
        <v>1245</v>
      </c>
      <c r="F153" s="334">
        <v>4</v>
      </c>
      <c r="G153" s="112" t="s">
        <v>2715</v>
      </c>
      <c r="H153" s="120" t="s">
        <v>2719</v>
      </c>
      <c r="I153" s="120" t="s">
        <v>2717</v>
      </c>
      <c r="J153" s="120" t="s">
        <v>772</v>
      </c>
      <c r="K153" s="110">
        <v>415500</v>
      </c>
      <c r="L153" s="110"/>
      <c r="M153" s="110">
        <v>341000</v>
      </c>
      <c r="N153" s="110"/>
      <c r="O153" s="110"/>
      <c r="P153" s="110">
        <f t="shared" si="33"/>
        <v>756500</v>
      </c>
      <c r="Q153" s="110">
        <f t="shared" si="34"/>
        <v>3026000</v>
      </c>
      <c r="R153" s="110">
        <f t="shared" si="35"/>
        <v>3026000</v>
      </c>
      <c r="S153" s="112" t="s">
        <v>2715</v>
      </c>
    </row>
    <row r="154" spans="1:19" ht="30">
      <c r="A154" s="142"/>
      <c r="B154" s="153" t="s">
        <v>1303</v>
      </c>
      <c r="C154" s="142" t="s">
        <v>4</v>
      </c>
      <c r="D154" s="143">
        <v>83</v>
      </c>
      <c r="E154" s="144" t="s">
        <v>1245</v>
      </c>
      <c r="F154" s="334">
        <v>83</v>
      </c>
      <c r="G154" s="112" t="s">
        <v>2715</v>
      </c>
      <c r="H154" s="120" t="s">
        <v>2718</v>
      </c>
      <c r="I154" s="120" t="s">
        <v>2717</v>
      </c>
      <c r="J154" s="120" t="s">
        <v>772</v>
      </c>
      <c r="K154" s="110">
        <v>276500</v>
      </c>
      <c r="L154" s="110"/>
      <c r="M154" s="110">
        <v>272800</v>
      </c>
      <c r="N154" s="110"/>
      <c r="O154" s="110"/>
      <c r="P154" s="110">
        <f t="shared" si="33"/>
        <v>549300</v>
      </c>
      <c r="Q154" s="110">
        <f t="shared" si="34"/>
        <v>45591900</v>
      </c>
      <c r="R154" s="110">
        <f t="shared" si="35"/>
        <v>45591900</v>
      </c>
      <c r="S154" s="112" t="s">
        <v>2715</v>
      </c>
    </row>
    <row r="155" spans="1:19" ht="30">
      <c r="A155" s="142"/>
      <c r="B155" s="153" t="s">
        <v>1304</v>
      </c>
      <c r="C155" s="142" t="s">
        <v>4</v>
      </c>
      <c r="D155" s="143">
        <v>2</v>
      </c>
      <c r="E155" s="144" t="s">
        <v>1245</v>
      </c>
      <c r="F155" s="334">
        <v>2</v>
      </c>
      <c r="G155" s="112" t="s">
        <v>2715</v>
      </c>
      <c r="H155" s="120" t="s">
        <v>2725</v>
      </c>
      <c r="I155" s="120" t="s">
        <v>2717</v>
      </c>
      <c r="J155" s="120" t="s">
        <v>772</v>
      </c>
      <c r="K155" s="110">
        <v>1495200</v>
      </c>
      <c r="L155" s="110"/>
      <c r="M155" s="110">
        <v>511500</v>
      </c>
      <c r="N155" s="110"/>
      <c r="O155" s="110"/>
      <c r="P155" s="110">
        <f t="shared" si="33"/>
        <v>2006700</v>
      </c>
      <c r="Q155" s="110">
        <f t="shared" si="34"/>
        <v>4013400</v>
      </c>
      <c r="R155" s="110">
        <f t="shared" si="35"/>
        <v>4013400</v>
      </c>
      <c r="S155" s="112" t="s">
        <v>2715</v>
      </c>
    </row>
    <row r="156" spans="1:19" ht="45">
      <c r="A156" s="142"/>
      <c r="B156" s="153" t="s">
        <v>1305</v>
      </c>
      <c r="C156" s="142" t="s">
        <v>4</v>
      </c>
      <c r="D156" s="143">
        <v>3</v>
      </c>
      <c r="E156" s="144" t="s">
        <v>1245</v>
      </c>
      <c r="F156" s="334">
        <v>3</v>
      </c>
      <c r="G156" s="112" t="s">
        <v>2715</v>
      </c>
      <c r="H156" s="120" t="s">
        <v>2729</v>
      </c>
      <c r="I156" s="120" t="s">
        <v>2717</v>
      </c>
      <c r="J156" s="120" t="s">
        <v>772</v>
      </c>
      <c r="K156" s="110">
        <v>1288900</v>
      </c>
      <c r="L156" s="110"/>
      <c r="M156" s="110">
        <v>511500</v>
      </c>
      <c r="N156" s="110"/>
      <c r="O156" s="110"/>
      <c r="P156" s="110">
        <f t="shared" si="33"/>
        <v>1800400</v>
      </c>
      <c r="Q156" s="110">
        <f t="shared" si="34"/>
        <v>5401200</v>
      </c>
      <c r="R156" s="110">
        <f t="shared" si="35"/>
        <v>5401200</v>
      </c>
      <c r="S156" s="112" t="s">
        <v>2715</v>
      </c>
    </row>
    <row r="157" spans="1:19" ht="45">
      <c r="A157" s="142"/>
      <c r="B157" s="153" t="s">
        <v>1306</v>
      </c>
      <c r="C157" s="142" t="s">
        <v>4</v>
      </c>
      <c r="D157" s="143">
        <v>1</v>
      </c>
      <c r="E157" s="144" t="s">
        <v>1245</v>
      </c>
      <c r="F157" s="334">
        <v>1</v>
      </c>
      <c r="G157" s="112" t="s">
        <v>2715</v>
      </c>
      <c r="H157" s="120" t="s">
        <v>2728</v>
      </c>
      <c r="I157" s="120" t="s">
        <v>2717</v>
      </c>
      <c r="J157" s="120" t="s">
        <v>772</v>
      </c>
      <c r="K157" s="110">
        <v>1469100</v>
      </c>
      <c r="L157" s="110"/>
      <c r="M157" s="110">
        <v>511500</v>
      </c>
      <c r="N157" s="110"/>
      <c r="O157" s="110"/>
      <c r="P157" s="110">
        <f t="shared" si="33"/>
        <v>1980600</v>
      </c>
      <c r="Q157" s="110">
        <f t="shared" si="34"/>
        <v>1980600</v>
      </c>
      <c r="R157" s="110">
        <f t="shared" si="35"/>
        <v>1980600</v>
      </c>
      <c r="S157" s="112" t="s">
        <v>2715</v>
      </c>
    </row>
    <row r="158" spans="1:19" ht="30">
      <c r="A158" s="142"/>
      <c r="B158" s="153" t="s">
        <v>1307</v>
      </c>
      <c r="C158" s="142" t="s">
        <v>4</v>
      </c>
      <c r="D158" s="143">
        <v>8</v>
      </c>
      <c r="E158" s="144" t="s">
        <v>1245</v>
      </c>
      <c r="F158" s="334">
        <v>8</v>
      </c>
      <c r="G158" s="112" t="s">
        <v>2715</v>
      </c>
      <c r="H158" s="120" t="s">
        <v>2723</v>
      </c>
      <c r="I158" s="120" t="s">
        <v>2717</v>
      </c>
      <c r="J158" s="120" t="s">
        <v>772</v>
      </c>
      <c r="K158" s="110">
        <v>387900</v>
      </c>
      <c r="L158" s="110"/>
      <c r="M158" s="110">
        <v>272800</v>
      </c>
      <c r="N158" s="110"/>
      <c r="O158" s="110"/>
      <c r="P158" s="110">
        <f t="shared" si="33"/>
        <v>660700</v>
      </c>
      <c r="Q158" s="110">
        <f t="shared" si="34"/>
        <v>5285600</v>
      </c>
      <c r="R158" s="110">
        <f t="shared" si="35"/>
        <v>5285600</v>
      </c>
      <c r="S158" s="112" t="s">
        <v>2715</v>
      </c>
    </row>
    <row r="159" spans="1:19">
      <c r="A159" s="142">
        <v>13</v>
      </c>
      <c r="B159" s="152" t="s">
        <v>1308</v>
      </c>
      <c r="C159" s="142"/>
      <c r="D159" s="143"/>
      <c r="E159" s="144"/>
      <c r="F159" s="333"/>
      <c r="G159" s="453"/>
      <c r="H159" s="454"/>
      <c r="I159" s="454"/>
      <c r="J159" s="454"/>
      <c r="K159" s="72"/>
      <c r="L159" s="72"/>
      <c r="M159" s="72"/>
      <c r="N159" s="72"/>
      <c r="O159" s="72"/>
      <c r="P159" s="72"/>
      <c r="Q159" s="72"/>
      <c r="R159" s="72"/>
      <c r="S159" s="72"/>
    </row>
    <row r="160" spans="1:19">
      <c r="A160" s="142"/>
      <c r="B160" s="153" t="s">
        <v>1244</v>
      </c>
      <c r="C160" s="142" t="s">
        <v>4</v>
      </c>
      <c r="D160" s="143">
        <v>6</v>
      </c>
      <c r="E160" s="144"/>
      <c r="F160" s="334">
        <v>6</v>
      </c>
      <c r="G160" s="112" t="s">
        <v>1228</v>
      </c>
      <c r="H160" s="120" t="s">
        <v>2929</v>
      </c>
      <c r="I160" s="120" t="s">
        <v>2921</v>
      </c>
      <c r="J160" s="120" t="s">
        <v>769</v>
      </c>
      <c r="K160" s="110">
        <v>3967200</v>
      </c>
      <c r="L160" s="110"/>
      <c r="M160" s="110">
        <v>419600</v>
      </c>
      <c r="N160" s="110"/>
      <c r="O160" s="110"/>
      <c r="P160" s="110">
        <f t="shared" ref="P160:P168" si="36">K160+L160+M160+N160+O160</f>
        <v>4386800</v>
      </c>
      <c r="Q160" s="110">
        <f t="shared" ref="Q160:Q168" si="37">$P160*D160</f>
        <v>26320800</v>
      </c>
      <c r="R160" s="110">
        <f t="shared" ref="R160:R168" si="38">$P160*F160</f>
        <v>26320800</v>
      </c>
      <c r="S160" s="112" t="s">
        <v>1228</v>
      </c>
    </row>
    <row r="161" spans="1:19">
      <c r="A161" s="142"/>
      <c r="B161" s="153" t="s">
        <v>1246</v>
      </c>
      <c r="C161" s="142" t="s">
        <v>4</v>
      </c>
      <c r="D161" s="143">
        <v>1</v>
      </c>
      <c r="E161" s="144"/>
      <c r="F161" s="334">
        <v>1</v>
      </c>
      <c r="G161" s="112" t="s">
        <v>1228</v>
      </c>
      <c r="H161" s="120" t="s">
        <v>2929</v>
      </c>
      <c r="I161" s="120" t="s">
        <v>2921</v>
      </c>
      <c r="J161" s="120" t="s">
        <v>769</v>
      </c>
      <c r="K161" s="110">
        <v>3194400</v>
      </c>
      <c r="L161" s="110"/>
      <c r="M161" s="110">
        <v>348800</v>
      </c>
      <c r="N161" s="110"/>
      <c r="O161" s="110"/>
      <c r="P161" s="110">
        <f t="shared" si="36"/>
        <v>3543200</v>
      </c>
      <c r="Q161" s="110">
        <f t="shared" si="37"/>
        <v>3543200</v>
      </c>
      <c r="R161" s="110">
        <f t="shared" si="38"/>
        <v>3543200</v>
      </c>
      <c r="S161" s="112" t="s">
        <v>1228</v>
      </c>
    </row>
    <row r="162" spans="1:19">
      <c r="A162" s="142"/>
      <c r="B162" s="153" t="s">
        <v>1247</v>
      </c>
      <c r="C162" s="142" t="s">
        <v>4</v>
      </c>
      <c r="D162" s="143">
        <v>5</v>
      </c>
      <c r="E162" s="144"/>
      <c r="F162" s="334">
        <v>5</v>
      </c>
      <c r="G162" s="112" t="s">
        <v>1228</v>
      </c>
      <c r="H162" s="120" t="s">
        <v>2929</v>
      </c>
      <c r="I162" s="120" t="s">
        <v>2921</v>
      </c>
      <c r="J162" s="120" t="s">
        <v>769</v>
      </c>
      <c r="K162" s="110">
        <v>2320700</v>
      </c>
      <c r="L162" s="110"/>
      <c r="M162" s="110">
        <v>310000</v>
      </c>
      <c r="N162" s="110"/>
      <c r="O162" s="110"/>
      <c r="P162" s="110">
        <f t="shared" si="36"/>
        <v>2630700</v>
      </c>
      <c r="Q162" s="110">
        <f t="shared" si="37"/>
        <v>13153500</v>
      </c>
      <c r="R162" s="110">
        <f t="shared" si="38"/>
        <v>13153500</v>
      </c>
      <c r="S162" s="112" t="s">
        <v>1228</v>
      </c>
    </row>
    <row r="163" spans="1:19">
      <c r="A163" s="142"/>
      <c r="B163" s="153" t="s">
        <v>1248</v>
      </c>
      <c r="C163" s="142" t="s">
        <v>4</v>
      </c>
      <c r="D163" s="143">
        <v>9</v>
      </c>
      <c r="E163" s="144"/>
      <c r="F163" s="334">
        <v>9</v>
      </c>
      <c r="G163" s="112" t="s">
        <v>1228</v>
      </c>
      <c r="H163" s="120" t="s">
        <v>2929</v>
      </c>
      <c r="I163" s="120" t="s">
        <v>2921</v>
      </c>
      <c r="J163" s="120" t="s">
        <v>769</v>
      </c>
      <c r="K163" s="110">
        <v>1863600</v>
      </c>
      <c r="L163" s="110"/>
      <c r="M163" s="110">
        <v>244500</v>
      </c>
      <c r="N163" s="110"/>
      <c r="O163" s="110"/>
      <c r="P163" s="110">
        <f t="shared" si="36"/>
        <v>2108100</v>
      </c>
      <c r="Q163" s="110">
        <f t="shared" si="37"/>
        <v>18972900</v>
      </c>
      <c r="R163" s="110">
        <f t="shared" si="38"/>
        <v>18972900</v>
      </c>
      <c r="S163" s="112" t="s">
        <v>1228</v>
      </c>
    </row>
    <row r="164" spans="1:19">
      <c r="A164" s="142"/>
      <c r="B164" s="153" t="s">
        <v>1309</v>
      </c>
      <c r="C164" s="142" t="s">
        <v>4</v>
      </c>
      <c r="D164" s="143">
        <v>41</v>
      </c>
      <c r="E164" s="144"/>
      <c r="F164" s="334">
        <v>41</v>
      </c>
      <c r="G164" s="112" t="s">
        <v>1228</v>
      </c>
      <c r="H164" s="120" t="s">
        <v>2930</v>
      </c>
      <c r="I164" s="120" t="s">
        <v>2921</v>
      </c>
      <c r="J164" s="120" t="s">
        <v>769</v>
      </c>
      <c r="K164" s="110">
        <v>817800</v>
      </c>
      <c r="L164" s="110"/>
      <c r="M164" s="110">
        <v>140200</v>
      </c>
      <c r="N164" s="110"/>
      <c r="O164" s="110"/>
      <c r="P164" s="110">
        <f t="shared" si="36"/>
        <v>958000</v>
      </c>
      <c r="Q164" s="110">
        <f t="shared" si="37"/>
        <v>39278000</v>
      </c>
      <c r="R164" s="110">
        <f t="shared" si="38"/>
        <v>39278000</v>
      </c>
      <c r="S164" s="112" t="s">
        <v>1228</v>
      </c>
    </row>
    <row r="165" spans="1:19">
      <c r="A165" s="142"/>
      <c r="B165" s="153" t="s">
        <v>1310</v>
      </c>
      <c r="C165" s="142" t="s">
        <v>4</v>
      </c>
      <c r="D165" s="143">
        <v>1</v>
      </c>
      <c r="E165" s="144"/>
      <c r="F165" s="334">
        <v>1</v>
      </c>
      <c r="G165" s="112" t="s">
        <v>1228</v>
      </c>
      <c r="H165" s="120" t="s">
        <v>2930</v>
      </c>
      <c r="I165" s="120" t="s">
        <v>2921</v>
      </c>
      <c r="J165" s="120" t="s">
        <v>769</v>
      </c>
      <c r="K165" s="110">
        <v>398000</v>
      </c>
      <c r="L165" s="110"/>
      <c r="M165" s="110">
        <v>96000</v>
      </c>
      <c r="N165" s="110"/>
      <c r="O165" s="110"/>
      <c r="P165" s="110">
        <f t="shared" si="36"/>
        <v>494000</v>
      </c>
      <c r="Q165" s="110">
        <f t="shared" si="37"/>
        <v>494000</v>
      </c>
      <c r="R165" s="110">
        <f t="shared" si="38"/>
        <v>494000</v>
      </c>
      <c r="S165" s="112" t="s">
        <v>1228</v>
      </c>
    </row>
    <row r="166" spans="1:19">
      <c r="A166" s="142"/>
      <c r="B166" s="153" t="s">
        <v>1311</v>
      </c>
      <c r="C166" s="142" t="s">
        <v>4</v>
      </c>
      <c r="D166" s="143">
        <v>2</v>
      </c>
      <c r="E166" s="144"/>
      <c r="F166" s="334">
        <v>2</v>
      </c>
      <c r="G166" s="112" t="s">
        <v>1228</v>
      </c>
      <c r="H166" s="120" t="s">
        <v>2930</v>
      </c>
      <c r="I166" s="120" t="s">
        <v>2921</v>
      </c>
      <c r="J166" s="120" t="s">
        <v>769</v>
      </c>
      <c r="K166" s="110">
        <v>326700</v>
      </c>
      <c r="L166" s="110"/>
      <c r="M166" s="110">
        <v>85800</v>
      </c>
      <c r="N166" s="110"/>
      <c r="O166" s="110"/>
      <c r="P166" s="110">
        <f t="shared" si="36"/>
        <v>412500</v>
      </c>
      <c r="Q166" s="110">
        <f t="shared" si="37"/>
        <v>825000</v>
      </c>
      <c r="R166" s="110">
        <f t="shared" si="38"/>
        <v>825000</v>
      </c>
      <c r="S166" s="112" t="s">
        <v>1228</v>
      </c>
    </row>
    <row r="167" spans="1:19">
      <c r="A167" s="142"/>
      <c r="B167" s="153" t="s">
        <v>1312</v>
      </c>
      <c r="C167" s="142" t="s">
        <v>4</v>
      </c>
      <c r="D167" s="143">
        <v>122</v>
      </c>
      <c r="E167" s="144"/>
      <c r="F167" s="334">
        <v>122</v>
      </c>
      <c r="G167" s="112" t="s">
        <v>1228</v>
      </c>
      <c r="H167" s="120" t="s">
        <v>2930</v>
      </c>
      <c r="I167" s="120" t="s">
        <v>2921</v>
      </c>
      <c r="J167" s="120" t="s">
        <v>769</v>
      </c>
      <c r="K167" s="110">
        <v>201800</v>
      </c>
      <c r="L167" s="110"/>
      <c r="M167" s="110">
        <v>75200</v>
      </c>
      <c r="N167" s="110"/>
      <c r="O167" s="110"/>
      <c r="P167" s="110">
        <f t="shared" si="36"/>
        <v>277000</v>
      </c>
      <c r="Q167" s="110">
        <f t="shared" si="37"/>
        <v>33794000</v>
      </c>
      <c r="R167" s="110">
        <f t="shared" si="38"/>
        <v>33794000</v>
      </c>
      <c r="S167" s="112" t="s">
        <v>1228</v>
      </c>
    </row>
    <row r="168" spans="1:19">
      <c r="A168" s="142"/>
      <c r="B168" s="153" t="s">
        <v>1313</v>
      </c>
      <c r="C168" s="142" t="s">
        <v>4</v>
      </c>
      <c r="D168" s="143">
        <v>49</v>
      </c>
      <c r="E168" s="144"/>
      <c r="F168" s="334">
        <v>49</v>
      </c>
      <c r="G168" s="112" t="s">
        <v>1228</v>
      </c>
      <c r="H168" s="120" t="s">
        <v>2930</v>
      </c>
      <c r="I168" s="120" t="s">
        <v>2921</v>
      </c>
      <c r="J168" s="120" t="s">
        <v>769</v>
      </c>
      <c r="K168" s="110">
        <v>152400</v>
      </c>
      <c r="L168" s="110"/>
      <c r="M168" s="110">
        <v>75200</v>
      </c>
      <c r="N168" s="110"/>
      <c r="O168" s="110"/>
      <c r="P168" s="110">
        <f t="shared" si="36"/>
        <v>227600</v>
      </c>
      <c r="Q168" s="110">
        <f t="shared" si="37"/>
        <v>11152400</v>
      </c>
      <c r="R168" s="110">
        <f t="shared" si="38"/>
        <v>11152400</v>
      </c>
      <c r="S168" s="112" t="s">
        <v>1228</v>
      </c>
    </row>
    <row r="169" spans="1:19">
      <c r="A169" s="142">
        <v>14</v>
      </c>
      <c r="B169" s="152" t="s">
        <v>1314</v>
      </c>
      <c r="C169" s="142"/>
      <c r="D169" s="143"/>
      <c r="E169" s="144"/>
      <c r="F169" s="76"/>
      <c r="G169" s="112"/>
      <c r="H169" s="120"/>
      <c r="I169" s="120"/>
      <c r="J169" s="120"/>
      <c r="K169" s="77"/>
      <c r="L169" s="77"/>
      <c r="M169" s="77"/>
      <c r="N169" s="77"/>
      <c r="O169" s="77"/>
      <c r="P169" s="77"/>
      <c r="Q169" s="77"/>
      <c r="R169" s="77"/>
      <c r="S169" s="77"/>
    </row>
    <row r="170" spans="1:19">
      <c r="A170" s="142"/>
      <c r="B170" s="153" t="s">
        <v>1315</v>
      </c>
      <c r="C170" s="142" t="s">
        <v>4</v>
      </c>
      <c r="D170" s="143">
        <v>3</v>
      </c>
      <c r="E170" s="144"/>
      <c r="F170" s="334">
        <v>3</v>
      </c>
      <c r="G170" s="112" t="s">
        <v>1228</v>
      </c>
      <c r="H170" s="120" t="s">
        <v>2940</v>
      </c>
      <c r="I170" s="120" t="s">
        <v>2921</v>
      </c>
      <c r="J170" s="120" t="s">
        <v>769</v>
      </c>
      <c r="K170" s="110">
        <v>2630900</v>
      </c>
      <c r="L170" s="110"/>
      <c r="M170" s="110">
        <v>113800</v>
      </c>
      <c r="N170" s="110"/>
      <c r="O170" s="110"/>
      <c r="P170" s="110">
        <f t="shared" ref="P170:P173" si="39">K170+L170+M170+N170+O170</f>
        <v>2744700</v>
      </c>
      <c r="Q170" s="110">
        <f t="shared" ref="Q170:Q173" si="40">$P170*D170</f>
        <v>8234100</v>
      </c>
      <c r="R170" s="110">
        <f t="shared" ref="R170:R173" si="41">$P170*F170</f>
        <v>8234100</v>
      </c>
      <c r="S170" s="112" t="s">
        <v>1228</v>
      </c>
    </row>
    <row r="171" spans="1:19">
      <c r="A171" s="142"/>
      <c r="B171" s="153" t="s">
        <v>1310</v>
      </c>
      <c r="C171" s="142" t="s">
        <v>4</v>
      </c>
      <c r="D171" s="143">
        <v>2</v>
      </c>
      <c r="E171" s="144"/>
      <c r="F171" s="334">
        <v>2</v>
      </c>
      <c r="G171" s="112" t="s">
        <v>1228</v>
      </c>
      <c r="H171" s="120" t="s">
        <v>2940</v>
      </c>
      <c r="I171" s="120" t="s">
        <v>2921</v>
      </c>
      <c r="J171" s="120" t="s">
        <v>769</v>
      </c>
      <c r="K171" s="110">
        <v>1315500</v>
      </c>
      <c r="L171" s="110"/>
      <c r="M171" s="110">
        <v>96000</v>
      </c>
      <c r="N171" s="110"/>
      <c r="O171" s="110"/>
      <c r="P171" s="110">
        <f t="shared" si="39"/>
        <v>1411500</v>
      </c>
      <c r="Q171" s="110">
        <f t="shared" si="40"/>
        <v>2823000</v>
      </c>
      <c r="R171" s="110">
        <f t="shared" si="41"/>
        <v>2823000</v>
      </c>
      <c r="S171" s="112" t="s">
        <v>1228</v>
      </c>
    </row>
    <row r="172" spans="1:19">
      <c r="A172" s="142"/>
      <c r="B172" s="153" t="s">
        <v>1311</v>
      </c>
      <c r="C172" s="142" t="s">
        <v>4</v>
      </c>
      <c r="D172" s="143">
        <v>1</v>
      </c>
      <c r="E172" s="144"/>
      <c r="F172" s="334">
        <v>1</v>
      </c>
      <c r="G172" s="112" t="s">
        <v>1228</v>
      </c>
      <c r="H172" s="120" t="s">
        <v>2940</v>
      </c>
      <c r="I172" s="120" t="s">
        <v>2921</v>
      </c>
      <c r="J172" s="120" t="s">
        <v>769</v>
      </c>
      <c r="K172" s="110">
        <v>1167500</v>
      </c>
      <c r="L172" s="110"/>
      <c r="M172" s="110">
        <v>85800</v>
      </c>
      <c r="N172" s="110"/>
      <c r="O172" s="110"/>
      <c r="P172" s="110">
        <f t="shared" si="39"/>
        <v>1253300</v>
      </c>
      <c r="Q172" s="110">
        <f t="shared" si="40"/>
        <v>1253300</v>
      </c>
      <c r="R172" s="110">
        <f t="shared" si="41"/>
        <v>1253300</v>
      </c>
      <c r="S172" s="112" t="s">
        <v>1228</v>
      </c>
    </row>
    <row r="173" spans="1:19">
      <c r="A173" s="142"/>
      <c r="B173" s="153" t="s">
        <v>1312</v>
      </c>
      <c r="C173" s="142" t="s">
        <v>4</v>
      </c>
      <c r="D173" s="143">
        <v>18</v>
      </c>
      <c r="E173" s="144"/>
      <c r="F173" s="334">
        <v>18</v>
      </c>
      <c r="G173" s="112" t="s">
        <v>1228</v>
      </c>
      <c r="H173" s="120" t="s">
        <v>2940</v>
      </c>
      <c r="I173" s="120" t="s">
        <v>2921</v>
      </c>
      <c r="J173" s="120" t="s">
        <v>769</v>
      </c>
      <c r="K173" s="110">
        <v>866000</v>
      </c>
      <c r="L173" s="110"/>
      <c r="M173" s="110">
        <v>75200</v>
      </c>
      <c r="N173" s="110"/>
      <c r="O173" s="110"/>
      <c r="P173" s="110">
        <f t="shared" si="39"/>
        <v>941200</v>
      </c>
      <c r="Q173" s="110">
        <f t="shared" si="40"/>
        <v>16941600</v>
      </c>
      <c r="R173" s="110">
        <f t="shared" si="41"/>
        <v>16941600</v>
      </c>
      <c r="S173" s="112" t="s">
        <v>1228</v>
      </c>
    </row>
    <row r="174" spans="1:19">
      <c r="A174" s="142">
        <v>15</v>
      </c>
      <c r="B174" s="152" t="s">
        <v>1316</v>
      </c>
      <c r="C174" s="142"/>
      <c r="D174" s="143"/>
      <c r="E174" s="144"/>
      <c r="F174" s="76"/>
      <c r="G174" s="112"/>
      <c r="H174" s="120"/>
      <c r="I174" s="120"/>
      <c r="J174" s="120"/>
      <c r="K174" s="77"/>
      <c r="L174" s="77"/>
      <c r="M174" s="77"/>
      <c r="N174" s="77"/>
      <c r="O174" s="77"/>
      <c r="P174" s="77"/>
      <c r="Q174" s="77"/>
      <c r="R174" s="77"/>
      <c r="S174" s="77"/>
    </row>
    <row r="175" spans="1:19">
      <c r="A175" s="142"/>
      <c r="B175" s="153" t="s">
        <v>1247</v>
      </c>
      <c r="C175" s="142" t="s">
        <v>4</v>
      </c>
      <c r="D175" s="143">
        <v>1</v>
      </c>
      <c r="E175" s="144"/>
      <c r="F175" s="334">
        <v>1</v>
      </c>
      <c r="G175" s="112" t="s">
        <v>1228</v>
      </c>
      <c r="H175" s="120" t="s">
        <v>2932</v>
      </c>
      <c r="I175" s="120" t="s">
        <v>2921</v>
      </c>
      <c r="J175" s="120" t="s">
        <v>769</v>
      </c>
      <c r="K175" s="110">
        <v>987700</v>
      </c>
      <c r="L175" s="110"/>
      <c r="M175" s="110">
        <v>310000</v>
      </c>
      <c r="N175" s="110"/>
      <c r="O175" s="110"/>
      <c r="P175" s="110">
        <f>K175+L175+M175+N175+O175</f>
        <v>1297700</v>
      </c>
      <c r="Q175" s="110">
        <f>$P175*D175</f>
        <v>1297700</v>
      </c>
      <c r="R175" s="110">
        <f>$P175*F175</f>
        <v>1297700</v>
      </c>
      <c r="S175" s="112" t="s">
        <v>1228</v>
      </c>
    </row>
    <row r="176" spans="1:19">
      <c r="A176" s="142">
        <v>16</v>
      </c>
      <c r="B176" s="152" t="s">
        <v>1317</v>
      </c>
      <c r="C176" s="142"/>
      <c r="D176" s="143"/>
      <c r="E176" s="144"/>
      <c r="F176" s="76"/>
      <c r="G176" s="112"/>
      <c r="H176" s="120"/>
      <c r="I176" s="120"/>
      <c r="J176" s="120"/>
      <c r="K176" s="77"/>
      <c r="L176" s="77"/>
      <c r="M176" s="77"/>
      <c r="N176" s="77"/>
      <c r="O176" s="77"/>
      <c r="P176" s="77"/>
      <c r="Q176" s="77"/>
      <c r="R176" s="77"/>
      <c r="S176" s="77"/>
    </row>
    <row r="177" spans="1:19">
      <c r="A177" s="142"/>
      <c r="B177" s="153" t="s">
        <v>1318</v>
      </c>
      <c r="C177" s="142" t="s">
        <v>4</v>
      </c>
      <c r="D177" s="143">
        <v>59</v>
      </c>
      <c r="E177" s="144"/>
      <c r="F177" s="334">
        <v>59</v>
      </c>
      <c r="G177" s="112">
        <v>0</v>
      </c>
      <c r="H177" s="120">
        <v>0</v>
      </c>
      <c r="I177" s="120">
        <v>0</v>
      </c>
      <c r="J177" s="120" t="s">
        <v>772</v>
      </c>
      <c r="K177" s="110">
        <v>460300</v>
      </c>
      <c r="L177" s="110"/>
      <c r="M177" s="110">
        <v>75200</v>
      </c>
      <c r="N177" s="110"/>
      <c r="O177" s="110"/>
      <c r="P177" s="110">
        <f>K177+L177+M177+N177+O177</f>
        <v>535500</v>
      </c>
      <c r="Q177" s="110">
        <f>$P177*D177</f>
        <v>31594500</v>
      </c>
      <c r="R177" s="110">
        <f>$P177*F177</f>
        <v>31594500</v>
      </c>
      <c r="S177" s="112">
        <v>0</v>
      </c>
    </row>
    <row r="178" spans="1:19">
      <c r="A178" s="146">
        <v>17</v>
      </c>
      <c r="B178" s="152" t="s">
        <v>1319</v>
      </c>
      <c r="C178" s="146"/>
      <c r="D178" s="143"/>
      <c r="E178" s="148"/>
      <c r="F178" s="82"/>
      <c r="G178" s="121"/>
      <c r="H178" s="121"/>
      <c r="I178" s="121"/>
      <c r="J178" s="121"/>
      <c r="K178" s="82"/>
      <c r="L178" s="82"/>
      <c r="M178" s="82"/>
      <c r="N178" s="82"/>
      <c r="O178" s="82"/>
      <c r="P178" s="82"/>
      <c r="Q178" s="82"/>
      <c r="R178" s="82"/>
      <c r="S178" s="375"/>
    </row>
    <row r="179" spans="1:19" ht="30">
      <c r="A179" s="146"/>
      <c r="B179" s="150" t="s">
        <v>1257</v>
      </c>
      <c r="C179" s="146" t="s">
        <v>4</v>
      </c>
      <c r="D179" s="147">
        <v>1</v>
      </c>
      <c r="E179" s="148" t="s">
        <v>1320</v>
      </c>
      <c r="F179" s="334">
        <v>1</v>
      </c>
      <c r="G179" s="112" t="s">
        <v>1225</v>
      </c>
      <c r="H179" s="120" t="s">
        <v>2924</v>
      </c>
      <c r="I179" s="120" t="s">
        <v>2921</v>
      </c>
      <c r="J179" s="120" t="s">
        <v>769</v>
      </c>
      <c r="K179" s="110">
        <v>8277300</v>
      </c>
      <c r="L179" s="110"/>
      <c r="M179" s="110">
        <v>348800</v>
      </c>
      <c r="N179" s="110"/>
      <c r="O179" s="110"/>
      <c r="P179" s="110">
        <f t="shared" ref="P179:P183" si="42">K179+L179+M179+N179+O179</f>
        <v>8626100</v>
      </c>
      <c r="Q179" s="110">
        <f t="shared" ref="Q179:Q183" si="43">$P179*D179</f>
        <v>8626100</v>
      </c>
      <c r="R179" s="110">
        <f t="shared" ref="R179:R183" si="44">$P179*F179</f>
        <v>8626100</v>
      </c>
      <c r="S179" s="112" t="s">
        <v>1225</v>
      </c>
    </row>
    <row r="180" spans="1:19" ht="30">
      <c r="A180" s="146"/>
      <c r="B180" s="150" t="s">
        <v>1250</v>
      </c>
      <c r="C180" s="146" t="s">
        <v>4</v>
      </c>
      <c r="D180" s="147">
        <v>3</v>
      </c>
      <c r="E180" s="148" t="s">
        <v>1320</v>
      </c>
      <c r="F180" s="334">
        <v>3</v>
      </c>
      <c r="G180" s="112" t="s">
        <v>1225</v>
      </c>
      <c r="H180" s="120" t="s">
        <v>2924</v>
      </c>
      <c r="I180" s="120" t="s">
        <v>2921</v>
      </c>
      <c r="J180" s="120" t="s">
        <v>769</v>
      </c>
      <c r="K180" s="110">
        <v>4686300</v>
      </c>
      <c r="L180" s="110"/>
      <c r="M180" s="110">
        <v>310000</v>
      </c>
      <c r="N180" s="110"/>
      <c r="O180" s="110"/>
      <c r="P180" s="110">
        <f t="shared" si="42"/>
        <v>4996300</v>
      </c>
      <c r="Q180" s="110">
        <f t="shared" si="43"/>
        <v>14988900</v>
      </c>
      <c r="R180" s="110">
        <f t="shared" si="44"/>
        <v>14988900</v>
      </c>
      <c r="S180" s="112" t="s">
        <v>1225</v>
      </c>
    </row>
    <row r="181" spans="1:19" ht="30">
      <c r="A181" s="146"/>
      <c r="B181" s="150" t="s">
        <v>1252</v>
      </c>
      <c r="C181" s="146" t="s">
        <v>4</v>
      </c>
      <c r="D181" s="147">
        <v>3</v>
      </c>
      <c r="E181" s="148" t="s">
        <v>1320</v>
      </c>
      <c r="F181" s="334">
        <v>3</v>
      </c>
      <c r="G181" s="112" t="s">
        <v>1225</v>
      </c>
      <c r="H181" s="120" t="s">
        <v>2924</v>
      </c>
      <c r="I181" s="120" t="s">
        <v>2921</v>
      </c>
      <c r="J181" s="120" t="s">
        <v>769</v>
      </c>
      <c r="K181" s="110">
        <v>4039900</v>
      </c>
      <c r="L181" s="110"/>
      <c r="M181" s="110">
        <v>244500</v>
      </c>
      <c r="N181" s="110"/>
      <c r="O181" s="110"/>
      <c r="P181" s="110">
        <f t="shared" si="42"/>
        <v>4284400</v>
      </c>
      <c r="Q181" s="110">
        <f t="shared" si="43"/>
        <v>12853200</v>
      </c>
      <c r="R181" s="110">
        <f t="shared" si="44"/>
        <v>12853200</v>
      </c>
      <c r="S181" s="112" t="s">
        <v>1225</v>
      </c>
    </row>
    <row r="182" spans="1:19" ht="45">
      <c r="A182" s="146"/>
      <c r="B182" s="150" t="s">
        <v>1321</v>
      </c>
      <c r="C182" s="146" t="s">
        <v>4</v>
      </c>
      <c r="D182" s="147">
        <v>3</v>
      </c>
      <c r="E182" s="148"/>
      <c r="F182" s="334">
        <v>3</v>
      </c>
      <c r="G182" s="112" t="s">
        <v>2715</v>
      </c>
      <c r="H182" s="120" t="s">
        <v>2735</v>
      </c>
      <c r="I182" s="120" t="s">
        <v>2717</v>
      </c>
      <c r="J182" s="120" t="s">
        <v>772</v>
      </c>
      <c r="K182" s="110">
        <v>1016500</v>
      </c>
      <c r="L182" s="110"/>
      <c r="M182" s="110">
        <v>426300</v>
      </c>
      <c r="N182" s="110"/>
      <c r="O182" s="110"/>
      <c r="P182" s="110">
        <f t="shared" si="42"/>
        <v>1442800</v>
      </c>
      <c r="Q182" s="110">
        <f t="shared" si="43"/>
        <v>4328400</v>
      </c>
      <c r="R182" s="110">
        <f t="shared" si="44"/>
        <v>4328400</v>
      </c>
      <c r="S182" s="112" t="s">
        <v>2715</v>
      </c>
    </row>
    <row r="183" spans="1:19" ht="30">
      <c r="A183" s="142">
        <v>18</v>
      </c>
      <c r="B183" s="153" t="s">
        <v>1322</v>
      </c>
      <c r="C183" s="142" t="s">
        <v>17</v>
      </c>
      <c r="D183" s="143">
        <v>1</v>
      </c>
      <c r="E183" s="144"/>
      <c r="F183" s="334">
        <v>1</v>
      </c>
      <c r="G183" s="112">
        <v>0</v>
      </c>
      <c r="H183" s="120">
        <v>0</v>
      </c>
      <c r="I183" s="120">
        <v>0</v>
      </c>
      <c r="J183" s="120">
        <v>0</v>
      </c>
      <c r="K183" s="110">
        <v>148298600</v>
      </c>
      <c r="L183" s="110"/>
      <c r="M183" s="110">
        <v>0</v>
      </c>
      <c r="N183" s="110"/>
      <c r="O183" s="110"/>
      <c r="P183" s="110">
        <f t="shared" si="42"/>
        <v>148298600</v>
      </c>
      <c r="Q183" s="110">
        <f t="shared" si="43"/>
        <v>148298600</v>
      </c>
      <c r="R183" s="110">
        <f t="shared" si="44"/>
        <v>148298600</v>
      </c>
      <c r="S183" s="112">
        <v>0</v>
      </c>
    </row>
    <row r="184" spans="1:19" ht="28.5">
      <c r="A184" s="138" t="s">
        <v>9</v>
      </c>
      <c r="B184" s="137" t="s">
        <v>1323</v>
      </c>
      <c r="C184" s="138"/>
      <c r="D184" s="151"/>
      <c r="E184" s="140"/>
      <c r="F184" s="85"/>
      <c r="G184" s="449"/>
      <c r="H184" s="438"/>
      <c r="I184" s="438"/>
      <c r="J184" s="438"/>
      <c r="K184" s="86"/>
      <c r="L184" s="86"/>
      <c r="M184" s="86"/>
      <c r="N184" s="86"/>
      <c r="O184" s="86"/>
      <c r="P184" s="86"/>
      <c r="Q184" s="86"/>
      <c r="R184" s="86"/>
      <c r="S184" s="337"/>
    </row>
    <row r="185" spans="1:19">
      <c r="A185" s="142">
        <v>1</v>
      </c>
      <c r="B185" s="153" t="s">
        <v>1242</v>
      </c>
      <c r="C185" s="142"/>
      <c r="D185" s="143"/>
      <c r="E185" s="144"/>
      <c r="F185" s="76"/>
      <c r="G185" s="112"/>
      <c r="H185" s="120"/>
      <c r="I185" s="120"/>
      <c r="J185" s="120"/>
      <c r="K185" s="77"/>
      <c r="L185" s="77"/>
      <c r="M185" s="77"/>
      <c r="N185" s="77"/>
      <c r="O185" s="77"/>
      <c r="P185" s="77"/>
      <c r="Q185" s="77"/>
      <c r="R185" s="77"/>
      <c r="S185" s="77"/>
    </row>
    <row r="186" spans="1:19" ht="45">
      <c r="A186" s="142"/>
      <c r="B186" s="153" t="s">
        <v>1243</v>
      </c>
      <c r="C186" s="142" t="s">
        <v>7</v>
      </c>
      <c r="D186" s="143">
        <v>27.6</v>
      </c>
      <c r="E186" s="144" t="s">
        <v>1245</v>
      </c>
      <c r="F186" s="334">
        <v>27.6</v>
      </c>
      <c r="G186" s="112" t="s">
        <v>2715</v>
      </c>
      <c r="H186" s="120" t="s">
        <v>2746</v>
      </c>
      <c r="I186" s="120" t="s">
        <v>1630</v>
      </c>
      <c r="J186" s="120" t="s">
        <v>772</v>
      </c>
      <c r="K186" s="110">
        <v>2052300</v>
      </c>
      <c r="L186" s="110"/>
      <c r="M186" s="110">
        <v>620000</v>
      </c>
      <c r="N186" s="110"/>
      <c r="O186" s="110"/>
      <c r="P186" s="110">
        <f t="shared" ref="P186:P189" si="45">K186+L186+M186+N186+O186</f>
        <v>2672300</v>
      </c>
      <c r="Q186" s="110">
        <f t="shared" ref="Q186:Q189" si="46">$P186*D186</f>
        <v>73755480</v>
      </c>
      <c r="R186" s="110">
        <f t="shared" ref="R186:R189" si="47">$P186*F186</f>
        <v>73755480</v>
      </c>
      <c r="S186" s="112" t="s">
        <v>2715</v>
      </c>
    </row>
    <row r="187" spans="1:19" ht="45">
      <c r="A187" s="142"/>
      <c r="B187" s="153" t="s">
        <v>1247</v>
      </c>
      <c r="C187" s="142" t="s">
        <v>7</v>
      </c>
      <c r="D187" s="143">
        <v>29.016999999999999</v>
      </c>
      <c r="E187" s="144" t="s">
        <v>1245</v>
      </c>
      <c r="F187" s="334">
        <v>29.016999999999999</v>
      </c>
      <c r="G187" s="112" t="s">
        <v>2715</v>
      </c>
      <c r="H187" s="120" t="s">
        <v>2743</v>
      </c>
      <c r="I187" s="120" t="s">
        <v>1630</v>
      </c>
      <c r="J187" s="120" t="s">
        <v>772</v>
      </c>
      <c r="K187" s="110">
        <v>830900</v>
      </c>
      <c r="L187" s="110"/>
      <c r="M187" s="110">
        <v>295700</v>
      </c>
      <c r="N187" s="110"/>
      <c r="O187" s="110"/>
      <c r="P187" s="110">
        <f t="shared" si="45"/>
        <v>1126600</v>
      </c>
      <c r="Q187" s="110">
        <f t="shared" si="46"/>
        <v>32690552.199999999</v>
      </c>
      <c r="R187" s="110">
        <f t="shared" si="47"/>
        <v>32690552.199999999</v>
      </c>
      <c r="S187" s="112" t="s">
        <v>2715</v>
      </c>
    </row>
    <row r="188" spans="1:19" ht="45">
      <c r="A188" s="142"/>
      <c r="B188" s="153" t="s">
        <v>1248</v>
      </c>
      <c r="C188" s="142" t="s">
        <v>7</v>
      </c>
      <c r="D188" s="143">
        <v>144.12900000000002</v>
      </c>
      <c r="E188" s="144" t="s">
        <v>1245</v>
      </c>
      <c r="F188" s="334">
        <v>144.12900000000002</v>
      </c>
      <c r="G188" s="112" t="s">
        <v>2715</v>
      </c>
      <c r="H188" s="120" t="s">
        <v>2742</v>
      </c>
      <c r="I188" s="120" t="s">
        <v>1630</v>
      </c>
      <c r="J188" s="120" t="s">
        <v>772</v>
      </c>
      <c r="K188" s="110">
        <v>641000</v>
      </c>
      <c r="L188" s="110"/>
      <c r="M188" s="110">
        <v>235300</v>
      </c>
      <c r="N188" s="110"/>
      <c r="O188" s="110"/>
      <c r="P188" s="110">
        <f t="shared" si="45"/>
        <v>876300</v>
      </c>
      <c r="Q188" s="110">
        <f t="shared" si="46"/>
        <v>126300242.70000002</v>
      </c>
      <c r="R188" s="110">
        <f t="shared" si="47"/>
        <v>126300242.70000002</v>
      </c>
      <c r="S188" s="112" t="s">
        <v>2715</v>
      </c>
    </row>
    <row r="189" spans="1:19" ht="45">
      <c r="A189" s="142"/>
      <c r="B189" s="153" t="s">
        <v>1310</v>
      </c>
      <c r="C189" s="142" t="s">
        <v>7</v>
      </c>
      <c r="D189" s="143">
        <v>6.7030000000000012</v>
      </c>
      <c r="E189" s="144" t="s">
        <v>1245</v>
      </c>
      <c r="F189" s="334">
        <v>6.7030000000000012</v>
      </c>
      <c r="G189" s="112" t="s">
        <v>2715</v>
      </c>
      <c r="H189" s="120" t="s">
        <v>2740</v>
      </c>
      <c r="I189" s="120" t="s">
        <v>1630</v>
      </c>
      <c r="J189" s="120" t="s">
        <v>772</v>
      </c>
      <c r="K189" s="110">
        <v>263600</v>
      </c>
      <c r="L189" s="110"/>
      <c r="M189" s="110">
        <v>110900</v>
      </c>
      <c r="N189" s="110"/>
      <c r="O189" s="110"/>
      <c r="P189" s="110">
        <f t="shared" si="45"/>
        <v>374500</v>
      </c>
      <c r="Q189" s="110">
        <f t="shared" si="46"/>
        <v>2510273.5000000005</v>
      </c>
      <c r="R189" s="110">
        <f t="shared" si="47"/>
        <v>2510273.5000000005</v>
      </c>
      <c r="S189" s="112" t="s">
        <v>2715</v>
      </c>
    </row>
    <row r="190" spans="1:19">
      <c r="A190" s="142">
        <v>2</v>
      </c>
      <c r="B190" s="153" t="s">
        <v>1324</v>
      </c>
      <c r="C190" s="142"/>
      <c r="D190" s="143"/>
      <c r="E190" s="144"/>
      <c r="F190" s="329"/>
      <c r="G190" s="452"/>
      <c r="H190" s="121"/>
      <c r="I190" s="121"/>
      <c r="J190" s="121"/>
      <c r="K190" s="59"/>
      <c r="L190" s="59"/>
      <c r="M190" s="59"/>
      <c r="N190" s="59"/>
      <c r="O190" s="59"/>
      <c r="P190" s="59"/>
      <c r="Q190" s="59"/>
      <c r="R190" s="59"/>
      <c r="S190" s="374"/>
    </row>
    <row r="191" spans="1:19" ht="45">
      <c r="A191" s="142"/>
      <c r="B191" s="153" t="s">
        <v>1325</v>
      </c>
      <c r="C191" s="142" t="s">
        <v>4</v>
      </c>
      <c r="D191" s="143">
        <v>8</v>
      </c>
      <c r="E191" s="144" t="s">
        <v>1245</v>
      </c>
      <c r="F191" s="334">
        <v>8</v>
      </c>
      <c r="G191" s="112" t="s">
        <v>2715</v>
      </c>
      <c r="H191" s="120" t="s">
        <v>2721</v>
      </c>
      <c r="I191" s="120" t="s">
        <v>2717</v>
      </c>
      <c r="J191" s="120" t="s">
        <v>772</v>
      </c>
      <c r="K191" s="110">
        <v>1680900</v>
      </c>
      <c r="L191" s="110"/>
      <c r="M191" s="110">
        <v>682000</v>
      </c>
      <c r="N191" s="110"/>
      <c r="O191" s="110"/>
      <c r="P191" s="110">
        <f t="shared" ref="P191:P194" si="48">K191+L191+M191+N191+O191</f>
        <v>2362900</v>
      </c>
      <c r="Q191" s="110">
        <f t="shared" ref="Q191:Q194" si="49">$P191*D191</f>
        <v>18903200</v>
      </c>
      <c r="R191" s="110">
        <f t="shared" ref="R191:R194" si="50">$P191*F191</f>
        <v>18903200</v>
      </c>
      <c r="S191" s="112" t="s">
        <v>2715</v>
      </c>
    </row>
    <row r="192" spans="1:19" ht="45">
      <c r="A192" s="142"/>
      <c r="B192" s="153" t="s">
        <v>1302</v>
      </c>
      <c r="C192" s="142" t="s">
        <v>4</v>
      </c>
      <c r="D192" s="143">
        <v>6</v>
      </c>
      <c r="E192" s="144" t="s">
        <v>1245</v>
      </c>
      <c r="F192" s="334">
        <v>6</v>
      </c>
      <c r="G192" s="112" t="s">
        <v>2715</v>
      </c>
      <c r="H192" s="120" t="s">
        <v>2719</v>
      </c>
      <c r="I192" s="120" t="s">
        <v>2717</v>
      </c>
      <c r="J192" s="120" t="s">
        <v>772</v>
      </c>
      <c r="K192" s="110">
        <v>415500</v>
      </c>
      <c r="L192" s="110"/>
      <c r="M192" s="110">
        <v>341000</v>
      </c>
      <c r="N192" s="110"/>
      <c r="O192" s="110"/>
      <c r="P192" s="110">
        <f t="shared" si="48"/>
        <v>756500</v>
      </c>
      <c r="Q192" s="110">
        <f t="shared" si="49"/>
        <v>4539000</v>
      </c>
      <c r="R192" s="110">
        <f t="shared" si="50"/>
        <v>4539000</v>
      </c>
      <c r="S192" s="112" t="s">
        <v>2715</v>
      </c>
    </row>
    <row r="193" spans="1:19" ht="30">
      <c r="A193" s="142"/>
      <c r="B193" s="153" t="s">
        <v>1303</v>
      </c>
      <c r="C193" s="142" t="s">
        <v>4</v>
      </c>
      <c r="D193" s="143">
        <v>69</v>
      </c>
      <c r="E193" s="144" t="s">
        <v>1245</v>
      </c>
      <c r="F193" s="334">
        <v>69</v>
      </c>
      <c r="G193" s="112" t="s">
        <v>2715</v>
      </c>
      <c r="H193" s="120" t="s">
        <v>2718</v>
      </c>
      <c r="I193" s="120" t="s">
        <v>2717</v>
      </c>
      <c r="J193" s="120" t="s">
        <v>772</v>
      </c>
      <c r="K193" s="110">
        <v>276500</v>
      </c>
      <c r="L193" s="110"/>
      <c r="M193" s="110">
        <v>272800</v>
      </c>
      <c r="N193" s="110"/>
      <c r="O193" s="110"/>
      <c r="P193" s="110">
        <f t="shared" si="48"/>
        <v>549300</v>
      </c>
      <c r="Q193" s="110">
        <f t="shared" si="49"/>
        <v>37901700</v>
      </c>
      <c r="R193" s="110">
        <f t="shared" si="50"/>
        <v>37901700</v>
      </c>
      <c r="S193" s="112" t="s">
        <v>2715</v>
      </c>
    </row>
    <row r="194" spans="1:19" ht="30">
      <c r="A194" s="142"/>
      <c r="B194" s="153" t="s">
        <v>1326</v>
      </c>
      <c r="C194" s="142" t="s">
        <v>4</v>
      </c>
      <c r="D194" s="143">
        <v>8</v>
      </c>
      <c r="E194" s="144" t="s">
        <v>1245</v>
      </c>
      <c r="F194" s="334">
        <v>8</v>
      </c>
      <c r="G194" s="112" t="s">
        <v>2715</v>
      </c>
      <c r="H194" s="120" t="s">
        <v>2716</v>
      </c>
      <c r="I194" s="120" t="s">
        <v>2717</v>
      </c>
      <c r="J194" s="120" t="s">
        <v>772</v>
      </c>
      <c r="K194" s="110">
        <v>75700</v>
      </c>
      <c r="L194" s="110"/>
      <c r="M194" s="110">
        <v>109200</v>
      </c>
      <c r="N194" s="110"/>
      <c r="O194" s="110"/>
      <c r="P194" s="110">
        <f t="shared" si="48"/>
        <v>184900</v>
      </c>
      <c r="Q194" s="110">
        <f t="shared" si="49"/>
        <v>1479200</v>
      </c>
      <c r="R194" s="110">
        <f t="shared" si="50"/>
        <v>1479200</v>
      </c>
      <c r="S194" s="112" t="s">
        <v>2715</v>
      </c>
    </row>
    <row r="195" spans="1:19">
      <c r="A195" s="142">
        <v>3</v>
      </c>
      <c r="B195" s="153" t="s">
        <v>1327</v>
      </c>
      <c r="C195" s="142"/>
      <c r="D195" s="143"/>
      <c r="E195" s="144"/>
      <c r="F195" s="50"/>
      <c r="G195" s="120"/>
      <c r="H195" s="120"/>
      <c r="I195" s="120"/>
      <c r="J195" s="120"/>
      <c r="K195" s="50"/>
      <c r="L195" s="50"/>
      <c r="M195" s="50"/>
      <c r="N195" s="50"/>
      <c r="O195" s="50"/>
      <c r="P195" s="50"/>
      <c r="Q195" s="50"/>
      <c r="R195" s="50"/>
      <c r="S195" s="50"/>
    </row>
    <row r="196" spans="1:19" ht="30">
      <c r="A196" s="142"/>
      <c r="B196" s="153" t="s">
        <v>1328</v>
      </c>
      <c r="C196" s="142" t="s">
        <v>4</v>
      </c>
      <c r="D196" s="143">
        <v>2</v>
      </c>
      <c r="E196" s="144" t="s">
        <v>1245</v>
      </c>
      <c r="F196" s="334">
        <v>2</v>
      </c>
      <c r="G196" s="112" t="s">
        <v>2715</v>
      </c>
      <c r="H196" s="120" t="s">
        <v>2726</v>
      </c>
      <c r="I196" s="120" t="s">
        <v>2717</v>
      </c>
      <c r="J196" s="120" t="s">
        <v>772</v>
      </c>
      <c r="K196" s="110">
        <v>2715300</v>
      </c>
      <c r="L196" s="110"/>
      <c r="M196" s="110">
        <v>682000</v>
      </c>
      <c r="N196" s="110"/>
      <c r="O196" s="110"/>
      <c r="P196" s="110">
        <f t="shared" ref="P196:P201" si="51">K196+L196+M196+N196+O196</f>
        <v>3397300</v>
      </c>
      <c r="Q196" s="110">
        <f t="shared" ref="Q196:Q201" si="52">$P196*D196</f>
        <v>6794600</v>
      </c>
      <c r="R196" s="110">
        <f t="shared" ref="R196:R201" si="53">$P196*F196</f>
        <v>6794600</v>
      </c>
      <c r="S196" s="112" t="s">
        <v>2715</v>
      </c>
    </row>
    <row r="197" spans="1:19" ht="45">
      <c r="A197" s="142"/>
      <c r="B197" s="153" t="s">
        <v>1329</v>
      </c>
      <c r="C197" s="142" t="s">
        <v>4</v>
      </c>
      <c r="D197" s="143">
        <v>4</v>
      </c>
      <c r="E197" s="144" t="s">
        <v>1245</v>
      </c>
      <c r="F197" s="334">
        <v>4</v>
      </c>
      <c r="G197" s="112" t="s">
        <v>2715</v>
      </c>
      <c r="H197" s="120" t="s">
        <v>2730</v>
      </c>
      <c r="I197" s="120" t="s">
        <v>2717</v>
      </c>
      <c r="J197" s="120" t="s">
        <v>772</v>
      </c>
      <c r="K197" s="110">
        <v>2390700</v>
      </c>
      <c r="L197" s="110"/>
      <c r="M197" s="110">
        <v>682000</v>
      </c>
      <c r="N197" s="110"/>
      <c r="O197" s="110"/>
      <c r="P197" s="110">
        <f t="shared" si="51"/>
        <v>3072700</v>
      </c>
      <c r="Q197" s="110">
        <f t="shared" si="52"/>
        <v>12290800</v>
      </c>
      <c r="R197" s="110">
        <f t="shared" si="53"/>
        <v>12290800</v>
      </c>
      <c r="S197" s="112" t="s">
        <v>2715</v>
      </c>
    </row>
    <row r="198" spans="1:19" ht="30">
      <c r="A198" s="142"/>
      <c r="B198" s="153" t="s">
        <v>1330</v>
      </c>
      <c r="C198" s="142" t="s">
        <v>4</v>
      </c>
      <c r="D198" s="143">
        <v>2</v>
      </c>
      <c r="E198" s="144" t="s">
        <v>1245</v>
      </c>
      <c r="F198" s="334">
        <v>2</v>
      </c>
      <c r="G198" s="112" t="s">
        <v>2715</v>
      </c>
      <c r="H198" s="120" t="s">
        <v>2724</v>
      </c>
      <c r="I198" s="120" t="s">
        <v>2717</v>
      </c>
      <c r="J198" s="120" t="s">
        <v>772</v>
      </c>
      <c r="K198" s="110">
        <v>603900</v>
      </c>
      <c r="L198" s="110"/>
      <c r="M198" s="110">
        <v>341000</v>
      </c>
      <c r="N198" s="110"/>
      <c r="O198" s="110"/>
      <c r="P198" s="110">
        <f t="shared" si="51"/>
        <v>944900</v>
      </c>
      <c r="Q198" s="110">
        <f t="shared" si="52"/>
        <v>1889800</v>
      </c>
      <c r="R198" s="110">
        <f t="shared" si="53"/>
        <v>1889800</v>
      </c>
      <c r="S198" s="112" t="s">
        <v>2715</v>
      </c>
    </row>
    <row r="199" spans="1:19" ht="30">
      <c r="A199" s="142"/>
      <c r="B199" s="153" t="s">
        <v>1307</v>
      </c>
      <c r="C199" s="142" t="s">
        <v>4</v>
      </c>
      <c r="D199" s="143">
        <v>26</v>
      </c>
      <c r="E199" s="144" t="s">
        <v>1245</v>
      </c>
      <c r="F199" s="334">
        <v>26</v>
      </c>
      <c r="G199" s="112" t="s">
        <v>2715</v>
      </c>
      <c r="H199" s="120" t="s">
        <v>2723</v>
      </c>
      <c r="I199" s="120" t="s">
        <v>2717</v>
      </c>
      <c r="J199" s="120" t="s">
        <v>772</v>
      </c>
      <c r="K199" s="110">
        <v>387900</v>
      </c>
      <c r="L199" s="110"/>
      <c r="M199" s="110">
        <v>272800</v>
      </c>
      <c r="N199" s="110"/>
      <c r="O199" s="110"/>
      <c r="P199" s="110">
        <f t="shared" si="51"/>
        <v>660700</v>
      </c>
      <c r="Q199" s="110">
        <f t="shared" si="52"/>
        <v>17178200</v>
      </c>
      <c r="R199" s="110">
        <f t="shared" si="53"/>
        <v>17178200</v>
      </c>
      <c r="S199" s="112" t="s">
        <v>2715</v>
      </c>
    </row>
    <row r="200" spans="1:19" ht="45">
      <c r="A200" s="146"/>
      <c r="B200" s="150" t="s">
        <v>1331</v>
      </c>
      <c r="C200" s="146" t="s">
        <v>4</v>
      </c>
      <c r="D200" s="147">
        <v>1</v>
      </c>
      <c r="E200" s="144" t="s">
        <v>1245</v>
      </c>
      <c r="F200" s="334">
        <v>1</v>
      </c>
      <c r="G200" s="112" t="s">
        <v>2715</v>
      </c>
      <c r="H200" s="120" t="s">
        <v>2729</v>
      </c>
      <c r="I200" s="120" t="s">
        <v>2717</v>
      </c>
      <c r="J200" s="120" t="s">
        <v>772</v>
      </c>
      <c r="K200" s="110">
        <v>1288900</v>
      </c>
      <c r="L200" s="110"/>
      <c r="M200" s="110">
        <v>511500</v>
      </c>
      <c r="N200" s="110"/>
      <c r="O200" s="110"/>
      <c r="P200" s="110">
        <f t="shared" si="51"/>
        <v>1800400</v>
      </c>
      <c r="Q200" s="110">
        <f t="shared" si="52"/>
        <v>1800400</v>
      </c>
      <c r="R200" s="110">
        <f t="shared" si="53"/>
        <v>1800400</v>
      </c>
      <c r="S200" s="112" t="s">
        <v>2715</v>
      </c>
    </row>
    <row r="201" spans="1:19" ht="45">
      <c r="A201" s="146"/>
      <c r="B201" s="150" t="s">
        <v>1332</v>
      </c>
      <c r="C201" s="146" t="s">
        <v>4</v>
      </c>
      <c r="D201" s="147">
        <v>3</v>
      </c>
      <c r="E201" s="144" t="s">
        <v>1245</v>
      </c>
      <c r="F201" s="334">
        <v>3</v>
      </c>
      <c r="G201" s="112" t="s">
        <v>2715</v>
      </c>
      <c r="H201" s="120" t="s">
        <v>2727</v>
      </c>
      <c r="I201" s="120" t="s">
        <v>2717</v>
      </c>
      <c r="J201" s="120" t="s">
        <v>772</v>
      </c>
      <c r="K201" s="110">
        <v>531000</v>
      </c>
      <c r="L201" s="110"/>
      <c r="M201" s="110">
        <v>341000</v>
      </c>
      <c r="N201" s="110"/>
      <c r="O201" s="110"/>
      <c r="P201" s="110">
        <f t="shared" si="51"/>
        <v>872000</v>
      </c>
      <c r="Q201" s="110">
        <f t="shared" si="52"/>
        <v>2616000</v>
      </c>
      <c r="R201" s="110">
        <f t="shared" si="53"/>
        <v>2616000</v>
      </c>
      <c r="S201" s="112" t="s">
        <v>2715</v>
      </c>
    </row>
    <row r="202" spans="1:19">
      <c r="A202" s="142">
        <v>4</v>
      </c>
      <c r="B202" s="153" t="s">
        <v>1308</v>
      </c>
      <c r="C202" s="142"/>
      <c r="D202" s="143"/>
      <c r="E202" s="144"/>
      <c r="F202" s="74"/>
      <c r="G202" s="120"/>
      <c r="H202" s="120"/>
      <c r="I202" s="120"/>
      <c r="J202" s="120"/>
      <c r="K202" s="74"/>
      <c r="L202" s="74"/>
      <c r="M202" s="74"/>
      <c r="N202" s="74"/>
      <c r="O202" s="74"/>
      <c r="P202" s="74"/>
      <c r="Q202" s="74"/>
      <c r="R202" s="74"/>
      <c r="S202" s="74"/>
    </row>
    <row r="203" spans="1:19">
      <c r="A203" s="142"/>
      <c r="B203" s="153" t="s">
        <v>1243</v>
      </c>
      <c r="C203" s="142" t="s">
        <v>4</v>
      </c>
      <c r="D203" s="143">
        <v>3</v>
      </c>
      <c r="E203" s="144"/>
      <c r="F203" s="334">
        <v>3</v>
      </c>
      <c r="G203" s="112" t="s">
        <v>1228</v>
      </c>
      <c r="H203" s="120" t="s">
        <v>2929</v>
      </c>
      <c r="I203" s="120" t="s">
        <v>2921</v>
      </c>
      <c r="J203" s="120" t="s">
        <v>769</v>
      </c>
      <c r="K203" s="110">
        <v>5858100</v>
      </c>
      <c r="L203" s="110"/>
      <c r="M203" s="110">
        <v>465000</v>
      </c>
      <c r="N203" s="110"/>
      <c r="O203" s="110"/>
      <c r="P203" s="110">
        <f t="shared" ref="P203:P207" si="54">K203+L203+M203+N203+O203</f>
        <v>6323100</v>
      </c>
      <c r="Q203" s="110">
        <f t="shared" ref="Q203:Q207" si="55">$P203*D203</f>
        <v>18969300</v>
      </c>
      <c r="R203" s="110">
        <f t="shared" ref="R203:R207" si="56">$P203*F203</f>
        <v>18969300</v>
      </c>
      <c r="S203" s="112" t="s">
        <v>1228</v>
      </c>
    </row>
    <row r="204" spans="1:19">
      <c r="A204" s="142"/>
      <c r="B204" s="153" t="s">
        <v>1247</v>
      </c>
      <c r="C204" s="142" t="s">
        <v>4</v>
      </c>
      <c r="D204" s="143">
        <v>8</v>
      </c>
      <c r="E204" s="144"/>
      <c r="F204" s="334">
        <v>8</v>
      </c>
      <c r="G204" s="112" t="s">
        <v>1228</v>
      </c>
      <c r="H204" s="120" t="s">
        <v>2929</v>
      </c>
      <c r="I204" s="120" t="s">
        <v>2921</v>
      </c>
      <c r="J204" s="120" t="s">
        <v>769</v>
      </c>
      <c r="K204" s="110">
        <v>2320700</v>
      </c>
      <c r="L204" s="110"/>
      <c r="M204" s="110">
        <v>310000</v>
      </c>
      <c r="N204" s="110"/>
      <c r="O204" s="110"/>
      <c r="P204" s="110">
        <f t="shared" si="54"/>
        <v>2630700</v>
      </c>
      <c r="Q204" s="110">
        <f t="shared" si="55"/>
        <v>21045600</v>
      </c>
      <c r="R204" s="110">
        <f t="shared" si="56"/>
        <v>21045600</v>
      </c>
      <c r="S204" s="112" t="s">
        <v>1228</v>
      </c>
    </row>
    <row r="205" spans="1:19">
      <c r="A205" s="142"/>
      <c r="B205" s="153" t="s">
        <v>1248</v>
      </c>
      <c r="C205" s="142" t="s">
        <v>4</v>
      </c>
      <c r="D205" s="143">
        <v>20</v>
      </c>
      <c r="E205" s="144"/>
      <c r="F205" s="334">
        <v>20</v>
      </c>
      <c r="G205" s="112" t="s">
        <v>1228</v>
      </c>
      <c r="H205" s="120" t="s">
        <v>2929</v>
      </c>
      <c r="I205" s="120" t="s">
        <v>2921</v>
      </c>
      <c r="J205" s="120" t="s">
        <v>769</v>
      </c>
      <c r="K205" s="110">
        <v>1863600</v>
      </c>
      <c r="L205" s="110"/>
      <c r="M205" s="110">
        <v>244500</v>
      </c>
      <c r="N205" s="110"/>
      <c r="O205" s="110"/>
      <c r="P205" s="110">
        <f t="shared" si="54"/>
        <v>2108100</v>
      </c>
      <c r="Q205" s="110">
        <f t="shared" si="55"/>
        <v>42162000</v>
      </c>
      <c r="R205" s="110">
        <f t="shared" si="56"/>
        <v>42162000</v>
      </c>
      <c r="S205" s="112" t="s">
        <v>1228</v>
      </c>
    </row>
    <row r="206" spans="1:19">
      <c r="A206" s="142"/>
      <c r="B206" s="153" t="s">
        <v>1310</v>
      </c>
      <c r="C206" s="142" t="s">
        <v>4</v>
      </c>
      <c r="D206" s="143">
        <v>3</v>
      </c>
      <c r="E206" s="144"/>
      <c r="F206" s="334">
        <v>3</v>
      </c>
      <c r="G206" s="112" t="s">
        <v>1228</v>
      </c>
      <c r="H206" s="120" t="s">
        <v>2930</v>
      </c>
      <c r="I206" s="120" t="s">
        <v>2921</v>
      </c>
      <c r="J206" s="120" t="s">
        <v>769</v>
      </c>
      <c r="K206" s="110">
        <v>398000</v>
      </c>
      <c r="L206" s="110"/>
      <c r="M206" s="110">
        <v>96000</v>
      </c>
      <c r="N206" s="110"/>
      <c r="O206" s="110"/>
      <c r="P206" s="110">
        <f t="shared" si="54"/>
        <v>494000</v>
      </c>
      <c r="Q206" s="110">
        <f t="shared" si="55"/>
        <v>1482000</v>
      </c>
      <c r="R206" s="110">
        <f t="shared" si="56"/>
        <v>1482000</v>
      </c>
      <c r="S206" s="112" t="s">
        <v>1228</v>
      </c>
    </row>
    <row r="207" spans="1:19">
      <c r="A207" s="146"/>
      <c r="B207" s="150" t="s">
        <v>1313</v>
      </c>
      <c r="C207" s="146" t="s">
        <v>4</v>
      </c>
      <c r="D207" s="147">
        <v>10</v>
      </c>
      <c r="E207" s="148"/>
      <c r="F207" s="334">
        <v>10</v>
      </c>
      <c r="G207" s="112" t="s">
        <v>1228</v>
      </c>
      <c r="H207" s="120" t="s">
        <v>2930</v>
      </c>
      <c r="I207" s="120" t="s">
        <v>2921</v>
      </c>
      <c r="J207" s="120" t="s">
        <v>769</v>
      </c>
      <c r="K207" s="110">
        <v>152400</v>
      </c>
      <c r="L207" s="110"/>
      <c r="M207" s="110">
        <v>75200</v>
      </c>
      <c r="N207" s="110"/>
      <c r="O207" s="110"/>
      <c r="P207" s="110">
        <f t="shared" si="54"/>
        <v>227600</v>
      </c>
      <c r="Q207" s="110">
        <f t="shared" si="55"/>
        <v>2276000</v>
      </c>
      <c r="R207" s="110">
        <f t="shared" si="56"/>
        <v>2276000</v>
      </c>
      <c r="S207" s="112" t="s">
        <v>1228</v>
      </c>
    </row>
    <row r="208" spans="1:19">
      <c r="A208" s="142">
        <v>5</v>
      </c>
      <c r="B208" s="153" t="s">
        <v>1333</v>
      </c>
      <c r="C208" s="142"/>
      <c r="D208" s="143"/>
      <c r="E208" s="144"/>
      <c r="F208" s="74"/>
      <c r="G208" s="120"/>
      <c r="H208" s="120"/>
      <c r="I208" s="120"/>
      <c r="J208" s="120"/>
      <c r="K208" s="74"/>
      <c r="L208" s="74"/>
      <c r="M208" s="74"/>
      <c r="N208" s="74"/>
      <c r="O208" s="74"/>
      <c r="P208" s="74"/>
      <c r="Q208" s="74"/>
      <c r="R208" s="74"/>
      <c r="S208" s="74"/>
    </row>
    <row r="209" spans="1:19">
      <c r="A209" s="142"/>
      <c r="B209" s="153" t="s">
        <v>1247</v>
      </c>
      <c r="C209" s="142" t="s">
        <v>4</v>
      </c>
      <c r="D209" s="143">
        <v>6</v>
      </c>
      <c r="E209" s="144"/>
      <c r="F209" s="334">
        <v>6</v>
      </c>
      <c r="G209" s="112" t="s">
        <v>1228</v>
      </c>
      <c r="H209" s="120" t="s">
        <v>2931</v>
      </c>
      <c r="I209" s="120" t="s">
        <v>2921</v>
      </c>
      <c r="J209" s="120" t="s">
        <v>769</v>
      </c>
      <c r="K209" s="110">
        <v>2424300</v>
      </c>
      <c r="L209" s="110"/>
      <c r="M209" s="110">
        <v>310000</v>
      </c>
      <c r="N209" s="110"/>
      <c r="O209" s="110"/>
      <c r="P209" s="110">
        <f t="shared" ref="P209:P210" si="57">K209+L209+M209+N209+O209</f>
        <v>2734300</v>
      </c>
      <c r="Q209" s="110">
        <f t="shared" ref="Q209:Q210" si="58">$P209*D209</f>
        <v>16405800</v>
      </c>
      <c r="R209" s="110">
        <f t="shared" ref="R209:R210" si="59">$P209*F209</f>
        <v>16405800</v>
      </c>
      <c r="S209" s="112" t="s">
        <v>1228</v>
      </c>
    </row>
    <row r="210" spans="1:19">
      <c r="A210" s="142"/>
      <c r="B210" s="153" t="s">
        <v>1248</v>
      </c>
      <c r="C210" s="142" t="s">
        <v>4</v>
      </c>
      <c r="D210" s="143">
        <v>4</v>
      </c>
      <c r="E210" s="144"/>
      <c r="F210" s="334">
        <v>4</v>
      </c>
      <c r="G210" s="112" t="s">
        <v>1228</v>
      </c>
      <c r="H210" s="120" t="s">
        <v>2931</v>
      </c>
      <c r="I210" s="120" t="s">
        <v>2921</v>
      </c>
      <c r="J210" s="120" t="s">
        <v>769</v>
      </c>
      <c r="K210" s="110">
        <v>1650600</v>
      </c>
      <c r="L210" s="110"/>
      <c r="M210" s="110">
        <v>244500</v>
      </c>
      <c r="N210" s="110"/>
      <c r="O210" s="110"/>
      <c r="P210" s="110">
        <f t="shared" si="57"/>
        <v>1895100</v>
      </c>
      <c r="Q210" s="110">
        <f t="shared" si="58"/>
        <v>7580400</v>
      </c>
      <c r="R210" s="110">
        <f t="shared" si="59"/>
        <v>7580400</v>
      </c>
      <c r="S210" s="112" t="s">
        <v>1228</v>
      </c>
    </row>
    <row r="211" spans="1:19">
      <c r="A211" s="142">
        <v>6</v>
      </c>
      <c r="B211" s="153" t="s">
        <v>1316</v>
      </c>
      <c r="C211" s="142"/>
      <c r="D211" s="143"/>
      <c r="E211" s="144"/>
      <c r="F211" s="75"/>
      <c r="G211" s="121"/>
      <c r="H211" s="121"/>
      <c r="I211" s="121"/>
      <c r="J211" s="121"/>
      <c r="K211" s="75"/>
      <c r="L211" s="75"/>
      <c r="M211" s="75"/>
      <c r="N211" s="75"/>
      <c r="O211" s="75"/>
      <c r="P211" s="75"/>
      <c r="Q211" s="75"/>
      <c r="R211" s="75"/>
      <c r="S211" s="376"/>
    </row>
    <row r="212" spans="1:19" ht="60">
      <c r="A212" s="142"/>
      <c r="B212" s="153" t="s">
        <v>1248</v>
      </c>
      <c r="C212" s="142" t="s">
        <v>4</v>
      </c>
      <c r="D212" s="143">
        <v>12</v>
      </c>
      <c r="E212" s="144" t="s">
        <v>1334</v>
      </c>
      <c r="F212" s="334">
        <v>12</v>
      </c>
      <c r="G212" s="112" t="s">
        <v>1225</v>
      </c>
      <c r="H212" s="120" t="s">
        <v>2923</v>
      </c>
      <c r="I212" s="120" t="s">
        <v>2921</v>
      </c>
      <c r="J212" s="120" t="s">
        <v>769</v>
      </c>
      <c r="K212" s="110">
        <v>2774700</v>
      </c>
      <c r="L212" s="110"/>
      <c r="M212" s="110">
        <v>244500</v>
      </c>
      <c r="N212" s="110"/>
      <c r="O212" s="110"/>
      <c r="P212" s="110">
        <f>K212+L212+M212+N212+O212</f>
        <v>3019200</v>
      </c>
      <c r="Q212" s="110">
        <f>$P212*D212</f>
        <v>36230400</v>
      </c>
      <c r="R212" s="110">
        <f>$P212*F212</f>
        <v>36230400</v>
      </c>
      <c r="S212" s="112" t="s">
        <v>1225</v>
      </c>
    </row>
    <row r="213" spans="1:19">
      <c r="A213" s="142">
        <v>7</v>
      </c>
      <c r="B213" s="153" t="s">
        <v>1335</v>
      </c>
      <c r="C213" s="142"/>
      <c r="D213" s="143"/>
      <c r="E213" s="144"/>
      <c r="F213" s="50"/>
      <c r="G213" s="120"/>
      <c r="H213" s="120"/>
      <c r="I213" s="120"/>
      <c r="J213" s="120"/>
      <c r="K213" s="50"/>
      <c r="L213" s="50"/>
      <c r="M213" s="50"/>
      <c r="N213" s="50"/>
      <c r="O213" s="50"/>
      <c r="P213" s="50"/>
      <c r="Q213" s="50"/>
      <c r="R213" s="50"/>
      <c r="S213" s="50"/>
    </row>
    <row r="214" spans="1:19" ht="30">
      <c r="A214" s="142"/>
      <c r="B214" s="153" t="s">
        <v>1247</v>
      </c>
      <c r="C214" s="142" t="s">
        <v>4</v>
      </c>
      <c r="D214" s="143">
        <v>8</v>
      </c>
      <c r="E214" s="144" t="s">
        <v>1320</v>
      </c>
      <c r="F214" s="334">
        <v>8</v>
      </c>
      <c r="G214" s="112" t="s">
        <v>1225</v>
      </c>
      <c r="H214" s="120" t="s">
        <v>2924</v>
      </c>
      <c r="I214" s="120" t="s">
        <v>2921</v>
      </c>
      <c r="J214" s="120" t="s">
        <v>769</v>
      </c>
      <c r="K214" s="110">
        <v>4686300</v>
      </c>
      <c r="L214" s="110"/>
      <c r="M214" s="110">
        <v>310000</v>
      </c>
      <c r="N214" s="110"/>
      <c r="O214" s="110"/>
      <c r="P214" s="110">
        <f t="shared" ref="P214:P215" si="60">K214+L214+M214+N214+O214</f>
        <v>4996300</v>
      </c>
      <c r="Q214" s="110">
        <f t="shared" ref="Q214:Q215" si="61">$P214*D214</f>
        <v>39970400</v>
      </c>
      <c r="R214" s="110">
        <f t="shared" ref="R214:R215" si="62">$P214*F214</f>
        <v>39970400</v>
      </c>
      <c r="S214" s="112" t="s">
        <v>1225</v>
      </c>
    </row>
    <row r="215" spans="1:19" ht="30">
      <c r="A215" s="142"/>
      <c r="B215" s="153" t="s">
        <v>1248</v>
      </c>
      <c r="C215" s="142" t="s">
        <v>4</v>
      </c>
      <c r="D215" s="143">
        <v>14</v>
      </c>
      <c r="E215" s="144" t="s">
        <v>1320</v>
      </c>
      <c r="F215" s="334">
        <v>14</v>
      </c>
      <c r="G215" s="112" t="s">
        <v>1225</v>
      </c>
      <c r="H215" s="120" t="s">
        <v>2924</v>
      </c>
      <c r="I215" s="120" t="s">
        <v>2921</v>
      </c>
      <c r="J215" s="120" t="s">
        <v>769</v>
      </c>
      <c r="K215" s="110">
        <v>4039900</v>
      </c>
      <c r="L215" s="110"/>
      <c r="M215" s="110">
        <v>244500</v>
      </c>
      <c r="N215" s="110"/>
      <c r="O215" s="110"/>
      <c r="P215" s="110">
        <f t="shared" si="60"/>
        <v>4284400</v>
      </c>
      <c r="Q215" s="110">
        <f t="shared" si="61"/>
        <v>59981600</v>
      </c>
      <c r="R215" s="110">
        <f t="shared" si="62"/>
        <v>59981600</v>
      </c>
      <c r="S215" s="112" t="s">
        <v>1225</v>
      </c>
    </row>
    <row r="216" spans="1:19">
      <c r="A216" s="142">
        <v>8</v>
      </c>
      <c r="B216" s="153" t="s">
        <v>1336</v>
      </c>
      <c r="C216" s="142"/>
      <c r="D216" s="143"/>
      <c r="E216" s="144"/>
      <c r="F216" s="50"/>
      <c r="G216" s="120"/>
      <c r="H216" s="120"/>
      <c r="I216" s="120"/>
      <c r="J216" s="120"/>
      <c r="K216" s="50"/>
      <c r="L216" s="50"/>
      <c r="M216" s="50"/>
      <c r="N216" s="50"/>
      <c r="O216" s="50"/>
      <c r="P216" s="50"/>
      <c r="Q216" s="50"/>
      <c r="R216" s="50"/>
      <c r="S216" s="50"/>
    </row>
    <row r="217" spans="1:19" ht="45">
      <c r="A217" s="142"/>
      <c r="B217" s="153" t="s">
        <v>1243</v>
      </c>
      <c r="C217" s="142" t="s">
        <v>4</v>
      </c>
      <c r="D217" s="143">
        <v>2</v>
      </c>
      <c r="E217" s="144"/>
      <c r="F217" s="334">
        <v>2</v>
      </c>
      <c r="G217" s="112" t="s">
        <v>2715</v>
      </c>
      <c r="H217" s="120" t="s">
        <v>2732</v>
      </c>
      <c r="I217" s="120" t="s">
        <v>2717</v>
      </c>
      <c r="J217" s="120" t="s">
        <v>772</v>
      </c>
      <c r="K217" s="110">
        <v>2482800</v>
      </c>
      <c r="L217" s="110"/>
      <c r="M217" s="110">
        <v>682000</v>
      </c>
      <c r="N217" s="110"/>
      <c r="O217" s="110"/>
      <c r="P217" s="110">
        <f t="shared" ref="P217:P219" si="63">K217+L217+M217+N217+O217</f>
        <v>3164800</v>
      </c>
      <c r="Q217" s="110">
        <f t="shared" ref="Q217:Q219" si="64">$P217*D217</f>
        <v>6329600</v>
      </c>
      <c r="R217" s="110">
        <f t="shared" ref="R217:R219" si="65">$P217*F217</f>
        <v>6329600</v>
      </c>
      <c r="S217" s="112" t="s">
        <v>2715</v>
      </c>
    </row>
    <row r="218" spans="1:19" ht="45">
      <c r="A218" s="159"/>
      <c r="B218" s="160" t="s">
        <v>1337</v>
      </c>
      <c r="C218" s="159" t="s">
        <v>4</v>
      </c>
      <c r="D218" s="364">
        <v>2</v>
      </c>
      <c r="E218" s="161"/>
      <c r="F218" s="334">
        <v>2</v>
      </c>
      <c r="G218" s="112" t="s">
        <v>2715</v>
      </c>
      <c r="H218" s="120" t="s">
        <v>2732</v>
      </c>
      <c r="I218" s="120" t="s">
        <v>2717</v>
      </c>
      <c r="J218" s="120" t="s">
        <v>772</v>
      </c>
      <c r="K218" s="110">
        <v>2482800</v>
      </c>
      <c r="L218" s="110"/>
      <c r="M218" s="110">
        <v>682000</v>
      </c>
      <c r="N218" s="110"/>
      <c r="O218" s="110"/>
      <c r="P218" s="110">
        <f t="shared" si="63"/>
        <v>3164800</v>
      </c>
      <c r="Q218" s="110">
        <f t="shared" si="64"/>
        <v>6329600</v>
      </c>
      <c r="R218" s="110">
        <f t="shared" si="65"/>
        <v>6329600</v>
      </c>
      <c r="S218" s="112" t="s">
        <v>2715</v>
      </c>
    </row>
    <row r="219" spans="1:19" ht="45">
      <c r="A219" s="142"/>
      <c r="B219" s="153" t="s">
        <v>1248</v>
      </c>
      <c r="C219" s="142" t="s">
        <v>4</v>
      </c>
      <c r="D219" s="143">
        <v>4</v>
      </c>
      <c r="E219" s="144"/>
      <c r="F219" s="334">
        <v>4</v>
      </c>
      <c r="G219" s="112" t="s">
        <v>2715</v>
      </c>
      <c r="H219" s="120" t="s">
        <v>2731</v>
      </c>
      <c r="I219" s="120" t="s">
        <v>2717</v>
      </c>
      <c r="J219" s="120" t="s">
        <v>772</v>
      </c>
      <c r="K219" s="110">
        <v>653400</v>
      </c>
      <c r="L219" s="110"/>
      <c r="M219" s="110">
        <v>272800</v>
      </c>
      <c r="N219" s="110"/>
      <c r="O219" s="110"/>
      <c r="P219" s="110">
        <f t="shared" si="63"/>
        <v>926200</v>
      </c>
      <c r="Q219" s="110">
        <f t="shared" si="64"/>
        <v>3704800</v>
      </c>
      <c r="R219" s="110">
        <f t="shared" si="65"/>
        <v>3704800</v>
      </c>
      <c r="S219" s="112" t="s">
        <v>2715</v>
      </c>
    </row>
    <row r="220" spans="1:19">
      <c r="A220" s="142">
        <v>9</v>
      </c>
      <c r="B220" s="153" t="s">
        <v>1338</v>
      </c>
      <c r="C220" s="142"/>
      <c r="D220" s="143"/>
      <c r="E220" s="144"/>
      <c r="F220" s="74"/>
      <c r="G220" s="120"/>
      <c r="H220" s="120"/>
      <c r="I220" s="120"/>
      <c r="J220" s="120"/>
      <c r="K220" s="74"/>
      <c r="L220" s="74"/>
      <c r="M220" s="74"/>
      <c r="N220" s="74"/>
      <c r="O220" s="74"/>
      <c r="P220" s="74"/>
      <c r="Q220" s="74"/>
      <c r="R220" s="74"/>
      <c r="S220" s="74"/>
    </row>
    <row r="221" spans="1:19" ht="45">
      <c r="A221" s="142"/>
      <c r="B221" s="153" t="s">
        <v>1243</v>
      </c>
      <c r="C221" s="142" t="s">
        <v>4</v>
      </c>
      <c r="D221" s="143">
        <v>14</v>
      </c>
      <c r="E221" s="144"/>
      <c r="F221" s="334">
        <v>14</v>
      </c>
      <c r="G221" s="112" t="s">
        <v>2715</v>
      </c>
      <c r="H221" s="120" t="s">
        <v>2737</v>
      </c>
      <c r="I221" s="120" t="s">
        <v>2717</v>
      </c>
      <c r="J221" s="120" t="s">
        <v>772</v>
      </c>
      <c r="K221" s="110">
        <v>1511700</v>
      </c>
      <c r="L221" s="110"/>
      <c r="M221" s="110">
        <v>682000</v>
      </c>
      <c r="N221" s="110"/>
      <c r="O221" s="110"/>
      <c r="P221" s="110">
        <f t="shared" ref="P221:P224" si="66">K221+L221+M221+N221+O221</f>
        <v>2193700</v>
      </c>
      <c r="Q221" s="110">
        <f t="shared" ref="Q221:Q224" si="67">$P221*D221</f>
        <v>30711800</v>
      </c>
      <c r="R221" s="110">
        <f t="shared" ref="R221:R224" si="68">$P221*F221</f>
        <v>30711800</v>
      </c>
      <c r="S221" s="112" t="s">
        <v>2715</v>
      </c>
    </row>
    <row r="222" spans="1:19" ht="45">
      <c r="A222" s="146"/>
      <c r="B222" s="150" t="s">
        <v>1339</v>
      </c>
      <c r="C222" s="146" t="s">
        <v>4</v>
      </c>
      <c r="D222" s="147">
        <v>12</v>
      </c>
      <c r="E222" s="148"/>
      <c r="F222" s="334">
        <v>12</v>
      </c>
      <c r="G222" s="112" t="s">
        <v>2715</v>
      </c>
      <c r="H222" s="120" t="s">
        <v>2736</v>
      </c>
      <c r="I222" s="120" t="s">
        <v>2717</v>
      </c>
      <c r="J222" s="120" t="s">
        <v>772</v>
      </c>
      <c r="K222" s="110">
        <v>1236600</v>
      </c>
      <c r="L222" s="110"/>
      <c r="M222" s="110">
        <v>511500</v>
      </c>
      <c r="N222" s="110"/>
      <c r="O222" s="110"/>
      <c r="P222" s="110">
        <f t="shared" si="66"/>
        <v>1748100</v>
      </c>
      <c r="Q222" s="110">
        <f t="shared" si="67"/>
        <v>20977200</v>
      </c>
      <c r="R222" s="110">
        <f t="shared" si="68"/>
        <v>20977200</v>
      </c>
      <c r="S222" s="112" t="s">
        <v>2715</v>
      </c>
    </row>
    <row r="223" spans="1:19" ht="45">
      <c r="A223" s="142"/>
      <c r="B223" s="153" t="s">
        <v>1247</v>
      </c>
      <c r="C223" s="142" t="s">
        <v>4</v>
      </c>
      <c r="D223" s="143">
        <v>59</v>
      </c>
      <c r="E223" s="144"/>
      <c r="F223" s="334">
        <v>59</v>
      </c>
      <c r="G223" s="112" t="s">
        <v>2715</v>
      </c>
      <c r="H223" s="120" t="s">
        <v>2734</v>
      </c>
      <c r="I223" s="120" t="s">
        <v>2717</v>
      </c>
      <c r="J223" s="120" t="s">
        <v>772</v>
      </c>
      <c r="K223" s="110">
        <v>592900</v>
      </c>
      <c r="L223" s="110"/>
      <c r="M223" s="110">
        <v>341000</v>
      </c>
      <c r="N223" s="110"/>
      <c r="O223" s="110"/>
      <c r="P223" s="110">
        <f t="shared" si="66"/>
        <v>933900</v>
      </c>
      <c r="Q223" s="110">
        <f t="shared" si="67"/>
        <v>55100100</v>
      </c>
      <c r="R223" s="110">
        <f t="shared" si="68"/>
        <v>55100100</v>
      </c>
      <c r="S223" s="112" t="s">
        <v>2715</v>
      </c>
    </row>
    <row r="224" spans="1:19" ht="45">
      <c r="A224" s="142"/>
      <c r="B224" s="153" t="s">
        <v>1248</v>
      </c>
      <c r="C224" s="142" t="s">
        <v>4</v>
      </c>
      <c r="D224" s="143">
        <v>138</v>
      </c>
      <c r="E224" s="144"/>
      <c r="F224" s="334">
        <v>138</v>
      </c>
      <c r="G224" s="112" t="s">
        <v>2715</v>
      </c>
      <c r="H224" s="120" t="s">
        <v>2733</v>
      </c>
      <c r="I224" s="120" t="s">
        <v>2717</v>
      </c>
      <c r="J224" s="120" t="s">
        <v>772</v>
      </c>
      <c r="K224" s="110">
        <v>467700</v>
      </c>
      <c r="L224" s="110"/>
      <c r="M224" s="110">
        <v>272800</v>
      </c>
      <c r="N224" s="110"/>
      <c r="O224" s="110"/>
      <c r="P224" s="110">
        <f t="shared" si="66"/>
        <v>740500</v>
      </c>
      <c r="Q224" s="110">
        <f t="shared" si="67"/>
        <v>102189000</v>
      </c>
      <c r="R224" s="110">
        <f t="shared" si="68"/>
        <v>102189000</v>
      </c>
      <c r="S224" s="112" t="s">
        <v>2715</v>
      </c>
    </row>
    <row r="225" spans="1:19">
      <c r="A225" s="142">
        <v>10</v>
      </c>
      <c r="B225" s="153" t="s">
        <v>1340</v>
      </c>
      <c r="C225" s="142"/>
      <c r="D225" s="143"/>
      <c r="E225" s="144"/>
      <c r="F225" s="73"/>
      <c r="G225" s="121"/>
      <c r="H225" s="121"/>
      <c r="I225" s="121"/>
      <c r="J225" s="121"/>
      <c r="K225" s="73"/>
      <c r="L225" s="73"/>
      <c r="M225" s="73"/>
      <c r="N225" s="73"/>
      <c r="O225" s="73"/>
      <c r="P225" s="73"/>
      <c r="Q225" s="73"/>
      <c r="R225" s="73"/>
      <c r="S225" s="74"/>
    </row>
    <row r="226" spans="1:19">
      <c r="A226" s="142"/>
      <c r="B226" s="153" t="s">
        <v>1313</v>
      </c>
      <c r="C226" s="142" t="s">
        <v>4</v>
      </c>
      <c r="D226" s="143">
        <v>6</v>
      </c>
      <c r="E226" s="144"/>
      <c r="F226" s="334">
        <v>6</v>
      </c>
      <c r="G226" s="112">
        <v>0</v>
      </c>
      <c r="H226" s="120" t="s">
        <v>2944</v>
      </c>
      <c r="I226" s="120" t="s">
        <v>2921</v>
      </c>
      <c r="J226" s="120" t="s">
        <v>769</v>
      </c>
      <c r="K226" s="110">
        <v>1038200</v>
      </c>
      <c r="L226" s="110"/>
      <c r="M226" s="110">
        <v>75200</v>
      </c>
      <c r="N226" s="110"/>
      <c r="O226" s="110"/>
      <c r="P226" s="110">
        <f>K226+L226+M226+N226+O226</f>
        <v>1113400</v>
      </c>
      <c r="Q226" s="110">
        <f>$P226*D226</f>
        <v>6680400</v>
      </c>
      <c r="R226" s="110">
        <f>$P226*F226</f>
        <v>6680400</v>
      </c>
      <c r="S226" s="112">
        <v>0</v>
      </c>
    </row>
    <row r="227" spans="1:19">
      <c r="A227" s="142">
        <v>11</v>
      </c>
      <c r="B227" s="153" t="s">
        <v>1341</v>
      </c>
      <c r="C227" s="142"/>
      <c r="D227" s="143"/>
      <c r="E227" s="144"/>
      <c r="F227" s="74"/>
      <c r="G227" s="120"/>
      <c r="H227" s="120"/>
      <c r="I227" s="120"/>
      <c r="J227" s="120"/>
      <c r="K227" s="74"/>
      <c r="L227" s="74"/>
      <c r="M227" s="74"/>
      <c r="N227" s="74"/>
      <c r="O227" s="74"/>
      <c r="P227" s="74"/>
      <c r="Q227" s="74"/>
      <c r="R227" s="74"/>
      <c r="S227" s="74"/>
    </row>
    <row r="228" spans="1:19">
      <c r="A228" s="142"/>
      <c r="B228" s="153" t="s">
        <v>1243</v>
      </c>
      <c r="C228" s="142" t="s">
        <v>4</v>
      </c>
      <c r="D228" s="143">
        <v>2</v>
      </c>
      <c r="E228" s="144"/>
      <c r="F228" s="334">
        <v>2</v>
      </c>
      <c r="G228" s="112" t="s">
        <v>1228</v>
      </c>
      <c r="H228" s="120" t="s">
        <v>2938</v>
      </c>
      <c r="I228" s="120" t="s">
        <v>2939</v>
      </c>
      <c r="J228" s="120" t="s">
        <v>769</v>
      </c>
      <c r="K228" s="110">
        <v>32145000</v>
      </c>
      <c r="L228" s="110"/>
      <c r="M228" s="110">
        <v>465000</v>
      </c>
      <c r="N228" s="110"/>
      <c r="O228" s="110"/>
      <c r="P228" s="110">
        <f t="shared" ref="P228:P231" si="69">K228+L228+M228+N228+O228</f>
        <v>32610000</v>
      </c>
      <c r="Q228" s="110">
        <f t="shared" ref="Q228:Q231" si="70">$P228*D228</f>
        <v>65220000</v>
      </c>
      <c r="R228" s="110">
        <f t="shared" ref="R228:R231" si="71">$P228*F228</f>
        <v>65220000</v>
      </c>
      <c r="S228" s="112" t="s">
        <v>1228</v>
      </c>
    </row>
    <row r="229" spans="1:19">
      <c r="A229" s="146"/>
      <c r="B229" s="150" t="s">
        <v>1247</v>
      </c>
      <c r="C229" s="146" t="s">
        <v>4</v>
      </c>
      <c r="D229" s="147">
        <v>2</v>
      </c>
      <c r="E229" s="148"/>
      <c r="F229" s="334">
        <v>2</v>
      </c>
      <c r="G229" s="112" t="s">
        <v>1228</v>
      </c>
      <c r="H229" s="120" t="s">
        <v>2938</v>
      </c>
      <c r="I229" s="120" t="s">
        <v>2939</v>
      </c>
      <c r="J229" s="120" t="s">
        <v>769</v>
      </c>
      <c r="K229" s="110">
        <v>3134100</v>
      </c>
      <c r="L229" s="110"/>
      <c r="M229" s="110">
        <v>310000</v>
      </c>
      <c r="N229" s="110"/>
      <c r="O229" s="110"/>
      <c r="P229" s="110">
        <f t="shared" si="69"/>
        <v>3444100</v>
      </c>
      <c r="Q229" s="110">
        <f t="shared" si="70"/>
        <v>6888200</v>
      </c>
      <c r="R229" s="110">
        <f t="shared" si="71"/>
        <v>6888200</v>
      </c>
      <c r="S229" s="112" t="s">
        <v>1228</v>
      </c>
    </row>
    <row r="230" spans="1:19">
      <c r="A230" s="146">
        <v>12</v>
      </c>
      <c r="B230" s="150" t="s">
        <v>1342</v>
      </c>
      <c r="C230" s="146">
        <v>0</v>
      </c>
      <c r="D230" s="147"/>
      <c r="E230" s="148"/>
      <c r="F230" s="334">
        <v>0</v>
      </c>
      <c r="G230" s="112">
        <v>0</v>
      </c>
      <c r="H230" s="120">
        <v>0</v>
      </c>
      <c r="I230" s="120">
        <v>0</v>
      </c>
      <c r="J230" s="120">
        <v>0</v>
      </c>
      <c r="K230" s="110">
        <v>0</v>
      </c>
      <c r="L230" s="110"/>
      <c r="M230" s="110">
        <v>0</v>
      </c>
      <c r="N230" s="110"/>
      <c r="O230" s="110"/>
      <c r="P230" s="110">
        <f t="shared" si="69"/>
        <v>0</v>
      </c>
      <c r="Q230" s="110">
        <f t="shared" si="70"/>
        <v>0</v>
      </c>
      <c r="R230" s="110">
        <f t="shared" si="71"/>
        <v>0</v>
      </c>
      <c r="S230" s="112">
        <v>0</v>
      </c>
    </row>
    <row r="231" spans="1:19">
      <c r="A231" s="146"/>
      <c r="B231" s="150" t="s">
        <v>1248</v>
      </c>
      <c r="C231" s="146" t="s">
        <v>4</v>
      </c>
      <c r="D231" s="147">
        <v>2</v>
      </c>
      <c r="E231" s="148"/>
      <c r="F231" s="334">
        <v>2</v>
      </c>
      <c r="G231" s="112" t="s">
        <v>1228</v>
      </c>
      <c r="H231" s="120" t="s">
        <v>2937</v>
      </c>
      <c r="I231" s="120" t="s">
        <v>2921</v>
      </c>
      <c r="J231" s="120" t="s">
        <v>769</v>
      </c>
      <c r="K231" s="110">
        <v>11397200</v>
      </c>
      <c r="L231" s="110"/>
      <c r="M231" s="110">
        <v>244500</v>
      </c>
      <c r="N231" s="110"/>
      <c r="O231" s="110"/>
      <c r="P231" s="110">
        <f t="shared" si="69"/>
        <v>11641700</v>
      </c>
      <c r="Q231" s="110">
        <f t="shared" si="70"/>
        <v>23283400</v>
      </c>
      <c r="R231" s="110">
        <f t="shared" si="71"/>
        <v>23283400</v>
      </c>
      <c r="S231" s="112" t="s">
        <v>1228</v>
      </c>
    </row>
    <row r="232" spans="1:19">
      <c r="A232" s="146">
        <v>13</v>
      </c>
      <c r="B232" s="150" t="s">
        <v>1343</v>
      </c>
      <c r="C232" s="146"/>
      <c r="D232" s="147"/>
      <c r="E232" s="148"/>
      <c r="F232" s="88"/>
      <c r="G232" s="453"/>
      <c r="H232" s="454"/>
      <c r="I232" s="454"/>
      <c r="J232" s="454"/>
      <c r="K232" s="87"/>
      <c r="L232" s="87"/>
      <c r="M232" s="87"/>
      <c r="N232" s="87"/>
      <c r="O232" s="87"/>
      <c r="P232" s="87"/>
      <c r="Q232" s="87"/>
      <c r="R232" s="87"/>
      <c r="S232" s="87"/>
    </row>
    <row r="233" spans="1:19">
      <c r="A233" s="146"/>
      <c r="B233" s="150" t="s">
        <v>1344</v>
      </c>
      <c r="C233" s="146" t="s">
        <v>4</v>
      </c>
      <c r="D233" s="147">
        <v>12</v>
      </c>
      <c r="E233" s="148"/>
      <c r="F233" s="334">
        <v>12</v>
      </c>
      <c r="G233" s="112">
        <v>0</v>
      </c>
      <c r="H233" s="120">
        <v>0</v>
      </c>
      <c r="I233" s="120">
        <v>0</v>
      </c>
      <c r="J233" s="120" t="s">
        <v>772</v>
      </c>
      <c r="K233" s="110">
        <v>6368800</v>
      </c>
      <c r="L233" s="110"/>
      <c r="M233" s="110">
        <v>151200</v>
      </c>
      <c r="N233" s="110"/>
      <c r="O233" s="110"/>
      <c r="P233" s="110">
        <f t="shared" ref="P233:P238" si="72">K233+L233+M233+N233+O233</f>
        <v>6520000</v>
      </c>
      <c r="Q233" s="110">
        <f t="shared" ref="Q233:Q238" si="73">$P233*D233</f>
        <v>78240000</v>
      </c>
      <c r="R233" s="110">
        <f t="shared" ref="R233:R238" si="74">$P233*F233</f>
        <v>78240000</v>
      </c>
      <c r="S233" s="112">
        <v>0</v>
      </c>
    </row>
    <row r="234" spans="1:19">
      <c r="A234" s="146"/>
      <c r="B234" s="150" t="s">
        <v>1345</v>
      </c>
      <c r="C234" s="146" t="s">
        <v>4</v>
      </c>
      <c r="D234" s="147">
        <v>10</v>
      </c>
      <c r="E234" s="148"/>
      <c r="F234" s="334">
        <v>10</v>
      </c>
      <c r="G234" s="112">
        <v>0</v>
      </c>
      <c r="H234" s="120">
        <v>0</v>
      </c>
      <c r="I234" s="120">
        <v>0</v>
      </c>
      <c r="J234" s="120" t="s">
        <v>772</v>
      </c>
      <c r="K234" s="110">
        <v>2988400</v>
      </c>
      <c r="L234" s="110"/>
      <c r="M234" s="110">
        <v>120900</v>
      </c>
      <c r="N234" s="110"/>
      <c r="O234" s="110"/>
      <c r="P234" s="110">
        <f t="shared" si="72"/>
        <v>3109300</v>
      </c>
      <c r="Q234" s="110">
        <f t="shared" si="73"/>
        <v>31093000</v>
      </c>
      <c r="R234" s="110">
        <f t="shared" si="74"/>
        <v>31093000</v>
      </c>
      <c r="S234" s="112">
        <v>0</v>
      </c>
    </row>
    <row r="235" spans="1:19">
      <c r="A235" s="146"/>
      <c r="B235" s="150" t="s">
        <v>1346</v>
      </c>
      <c r="C235" s="146" t="s">
        <v>4</v>
      </c>
      <c r="D235" s="147">
        <v>6</v>
      </c>
      <c r="E235" s="148"/>
      <c r="F235" s="334">
        <v>6</v>
      </c>
      <c r="G235" s="112">
        <v>0</v>
      </c>
      <c r="H235" s="120">
        <v>0</v>
      </c>
      <c r="I235" s="120">
        <v>0</v>
      </c>
      <c r="J235" s="120" t="s">
        <v>772</v>
      </c>
      <c r="K235" s="110">
        <v>2502000</v>
      </c>
      <c r="L235" s="110"/>
      <c r="M235" s="110">
        <v>120900</v>
      </c>
      <c r="N235" s="110"/>
      <c r="O235" s="110"/>
      <c r="P235" s="110">
        <f t="shared" si="72"/>
        <v>2622900</v>
      </c>
      <c r="Q235" s="110">
        <f t="shared" si="73"/>
        <v>15737400</v>
      </c>
      <c r="R235" s="110">
        <f t="shared" si="74"/>
        <v>15737400</v>
      </c>
      <c r="S235" s="112">
        <v>0</v>
      </c>
    </row>
    <row r="236" spans="1:19" ht="30">
      <c r="A236" s="146"/>
      <c r="B236" s="150" t="s">
        <v>1347</v>
      </c>
      <c r="C236" s="146" t="s">
        <v>4</v>
      </c>
      <c r="D236" s="147">
        <v>6</v>
      </c>
      <c r="E236" s="148"/>
      <c r="F236" s="334">
        <v>6</v>
      </c>
      <c r="G236" s="112" t="s">
        <v>2715</v>
      </c>
      <c r="H236" s="120" t="s">
        <v>2738</v>
      </c>
      <c r="I236" s="120" t="s">
        <v>2717</v>
      </c>
      <c r="J236" s="120" t="s">
        <v>772</v>
      </c>
      <c r="K236" s="110">
        <v>227000</v>
      </c>
      <c r="L236" s="110"/>
      <c r="M236" s="110">
        <v>341000</v>
      </c>
      <c r="N236" s="110"/>
      <c r="O236" s="110"/>
      <c r="P236" s="110">
        <f t="shared" si="72"/>
        <v>568000</v>
      </c>
      <c r="Q236" s="110">
        <f t="shared" si="73"/>
        <v>3408000</v>
      </c>
      <c r="R236" s="110">
        <f t="shared" si="74"/>
        <v>3408000</v>
      </c>
      <c r="S236" s="112" t="s">
        <v>2715</v>
      </c>
    </row>
    <row r="237" spans="1:19" ht="30">
      <c r="A237" s="146"/>
      <c r="B237" s="150" t="s">
        <v>1348</v>
      </c>
      <c r="C237" s="146" t="s">
        <v>4</v>
      </c>
      <c r="D237" s="147">
        <v>4</v>
      </c>
      <c r="E237" s="148"/>
      <c r="F237" s="334">
        <v>4</v>
      </c>
      <c r="G237" s="112" t="s">
        <v>2715</v>
      </c>
      <c r="H237" s="120" t="s">
        <v>2739</v>
      </c>
      <c r="I237" s="120" t="s">
        <v>2717</v>
      </c>
      <c r="J237" s="120" t="s">
        <v>772</v>
      </c>
      <c r="K237" s="110">
        <v>167900</v>
      </c>
      <c r="L237" s="110"/>
      <c r="M237" s="110">
        <v>341000</v>
      </c>
      <c r="N237" s="110"/>
      <c r="O237" s="110"/>
      <c r="P237" s="110">
        <f t="shared" si="72"/>
        <v>508900</v>
      </c>
      <c r="Q237" s="110">
        <f t="shared" si="73"/>
        <v>2035600</v>
      </c>
      <c r="R237" s="110">
        <f t="shared" si="74"/>
        <v>2035600</v>
      </c>
      <c r="S237" s="112" t="s">
        <v>2715</v>
      </c>
    </row>
    <row r="238" spans="1:19" ht="30">
      <c r="A238" s="142">
        <v>14</v>
      </c>
      <c r="B238" s="153" t="s">
        <v>1322</v>
      </c>
      <c r="C238" s="142" t="s">
        <v>17</v>
      </c>
      <c r="D238" s="143">
        <v>1</v>
      </c>
      <c r="E238" s="144"/>
      <c r="F238" s="334">
        <v>1</v>
      </c>
      <c r="G238" s="112">
        <v>0</v>
      </c>
      <c r="H238" s="120">
        <v>0</v>
      </c>
      <c r="I238" s="120">
        <v>0</v>
      </c>
      <c r="J238" s="120">
        <v>0</v>
      </c>
      <c r="K238" s="110">
        <v>28991100</v>
      </c>
      <c r="L238" s="110"/>
      <c r="M238" s="110">
        <v>0</v>
      </c>
      <c r="N238" s="110"/>
      <c r="O238" s="110"/>
      <c r="P238" s="110">
        <f t="shared" si="72"/>
        <v>28991100</v>
      </c>
      <c r="Q238" s="110">
        <f t="shared" si="73"/>
        <v>28991100</v>
      </c>
      <c r="R238" s="110">
        <f t="shared" si="74"/>
        <v>28991100</v>
      </c>
      <c r="S238" s="112">
        <v>0</v>
      </c>
    </row>
    <row r="239" spans="1:19" ht="57">
      <c r="A239" s="163" t="s">
        <v>10</v>
      </c>
      <c r="B239" s="162" t="s">
        <v>1349</v>
      </c>
      <c r="C239" s="163"/>
      <c r="D239" s="164">
        <v>0</v>
      </c>
      <c r="E239" s="165"/>
      <c r="F239" s="166"/>
      <c r="G239" s="455"/>
      <c r="H239" s="455"/>
      <c r="I239" s="455"/>
      <c r="J239" s="455"/>
      <c r="K239" s="166"/>
      <c r="L239" s="166"/>
      <c r="M239" s="166"/>
      <c r="N239" s="166"/>
      <c r="O239" s="166"/>
      <c r="P239" s="166"/>
      <c r="Q239" s="166"/>
      <c r="R239" s="166"/>
      <c r="S239" s="377"/>
    </row>
    <row r="240" spans="1:19">
      <c r="A240" s="142">
        <v>1</v>
      </c>
      <c r="B240" s="153" t="s">
        <v>1350</v>
      </c>
      <c r="C240" s="142"/>
      <c r="D240" s="143"/>
      <c r="E240" s="144"/>
      <c r="F240" s="74"/>
      <c r="G240" s="120"/>
      <c r="H240" s="120"/>
      <c r="I240" s="120"/>
      <c r="J240" s="120"/>
      <c r="K240" s="74"/>
      <c r="L240" s="74"/>
      <c r="M240" s="74"/>
      <c r="N240" s="74"/>
      <c r="O240" s="74"/>
      <c r="P240" s="74"/>
      <c r="Q240" s="74"/>
      <c r="R240" s="74"/>
      <c r="S240" s="74"/>
    </row>
    <row r="241" spans="1:19" ht="45">
      <c r="A241" s="142"/>
      <c r="B241" s="153" t="s">
        <v>1351</v>
      </c>
      <c r="C241" s="142" t="s">
        <v>7</v>
      </c>
      <c r="D241" s="143">
        <v>67.460999999999999</v>
      </c>
      <c r="E241" s="144" t="s">
        <v>1352</v>
      </c>
      <c r="F241" s="334">
        <v>67.460999999999999</v>
      </c>
      <c r="G241" s="112" t="s">
        <v>2945</v>
      </c>
      <c r="H241" s="120" t="s">
        <v>2946</v>
      </c>
      <c r="I241" s="120" t="s">
        <v>2748</v>
      </c>
      <c r="J241" s="120" t="s">
        <v>772</v>
      </c>
      <c r="K241" s="110">
        <v>1011600</v>
      </c>
      <c r="L241" s="110"/>
      <c r="M241" s="110">
        <v>260100</v>
      </c>
      <c r="N241" s="110"/>
      <c r="O241" s="110"/>
      <c r="P241" s="110">
        <f t="shared" ref="P241:P252" si="75">K241+L241+M241+N241+O241</f>
        <v>1271700</v>
      </c>
      <c r="Q241" s="110">
        <f t="shared" ref="Q241:Q252" si="76">$P241*D241</f>
        <v>85790153.700000003</v>
      </c>
      <c r="R241" s="110">
        <f t="shared" ref="R241:R252" si="77">$P241*F241</f>
        <v>85790153.700000003</v>
      </c>
      <c r="S241" s="112" t="s">
        <v>2945</v>
      </c>
    </row>
    <row r="242" spans="1:19" ht="45">
      <c r="A242" s="142"/>
      <c r="B242" s="153" t="s">
        <v>1353</v>
      </c>
      <c r="C242" s="142" t="s">
        <v>7</v>
      </c>
      <c r="D242" s="143">
        <v>55.771000000000001</v>
      </c>
      <c r="E242" s="144" t="s">
        <v>1352</v>
      </c>
      <c r="F242" s="334">
        <v>55.771000000000001</v>
      </c>
      <c r="G242" s="112" t="s">
        <v>2947</v>
      </c>
      <c r="H242" s="120" t="s">
        <v>2948</v>
      </c>
      <c r="I242" s="120" t="s">
        <v>2748</v>
      </c>
      <c r="J242" s="120" t="s">
        <v>772</v>
      </c>
      <c r="K242" s="110">
        <v>781400</v>
      </c>
      <c r="L242" s="110"/>
      <c r="M242" s="110">
        <v>213200</v>
      </c>
      <c r="N242" s="110"/>
      <c r="O242" s="110"/>
      <c r="P242" s="110">
        <f t="shared" si="75"/>
        <v>994600</v>
      </c>
      <c r="Q242" s="110">
        <f t="shared" si="76"/>
        <v>55469836.600000001</v>
      </c>
      <c r="R242" s="110">
        <f t="shared" si="77"/>
        <v>55469836.600000001</v>
      </c>
      <c r="S242" s="112" t="s">
        <v>2947</v>
      </c>
    </row>
    <row r="243" spans="1:19" ht="45">
      <c r="A243" s="142"/>
      <c r="B243" s="153" t="s">
        <v>1354</v>
      </c>
      <c r="C243" s="142" t="s">
        <v>7</v>
      </c>
      <c r="D243" s="143">
        <v>129.63800000000001</v>
      </c>
      <c r="E243" s="144" t="s">
        <v>1352</v>
      </c>
      <c r="F243" s="334">
        <v>129.63800000000001</v>
      </c>
      <c r="G243" s="112" t="s">
        <v>2949</v>
      </c>
      <c r="H243" s="120" t="s">
        <v>2950</v>
      </c>
      <c r="I243" s="120" t="s">
        <v>2748</v>
      </c>
      <c r="J243" s="120" t="s">
        <v>772</v>
      </c>
      <c r="K243" s="110">
        <v>486000</v>
      </c>
      <c r="L243" s="110"/>
      <c r="M243" s="110">
        <v>225700</v>
      </c>
      <c r="N243" s="110"/>
      <c r="O243" s="110"/>
      <c r="P243" s="110">
        <f t="shared" si="75"/>
        <v>711700</v>
      </c>
      <c r="Q243" s="110">
        <f t="shared" si="76"/>
        <v>92263364.600000009</v>
      </c>
      <c r="R243" s="110">
        <f t="shared" si="77"/>
        <v>92263364.600000009</v>
      </c>
      <c r="S243" s="112" t="s">
        <v>2949</v>
      </c>
    </row>
    <row r="244" spans="1:19" ht="45">
      <c r="A244" s="142"/>
      <c r="B244" s="153" t="s">
        <v>1355</v>
      </c>
      <c r="C244" s="142" t="s">
        <v>7</v>
      </c>
      <c r="D244" s="143">
        <v>134.87199999999999</v>
      </c>
      <c r="E244" s="144" t="s">
        <v>1352</v>
      </c>
      <c r="F244" s="334">
        <v>134.87199999999999</v>
      </c>
      <c r="G244" s="112" t="s">
        <v>2951</v>
      </c>
      <c r="H244" s="120" t="s">
        <v>2952</v>
      </c>
      <c r="I244" s="120" t="s">
        <v>2748</v>
      </c>
      <c r="J244" s="120" t="s">
        <v>772</v>
      </c>
      <c r="K244" s="110">
        <v>391300</v>
      </c>
      <c r="L244" s="110"/>
      <c r="M244" s="110">
        <v>225700</v>
      </c>
      <c r="N244" s="110"/>
      <c r="O244" s="110"/>
      <c r="P244" s="110">
        <f t="shared" si="75"/>
        <v>617000</v>
      </c>
      <c r="Q244" s="110">
        <f t="shared" si="76"/>
        <v>83216023.999999985</v>
      </c>
      <c r="R244" s="110">
        <f t="shared" si="77"/>
        <v>83216023.999999985</v>
      </c>
      <c r="S244" s="112" t="s">
        <v>2951</v>
      </c>
    </row>
    <row r="245" spans="1:19" ht="45">
      <c r="A245" s="142"/>
      <c r="B245" s="153" t="s">
        <v>1356</v>
      </c>
      <c r="C245" s="142" t="s">
        <v>7</v>
      </c>
      <c r="D245" s="143">
        <v>117.238</v>
      </c>
      <c r="E245" s="144" t="s">
        <v>1352</v>
      </c>
      <c r="F245" s="334">
        <v>117.238</v>
      </c>
      <c r="G245" s="112" t="s">
        <v>2953</v>
      </c>
      <c r="H245" s="120" t="s">
        <v>2954</v>
      </c>
      <c r="I245" s="120" t="s">
        <v>2748</v>
      </c>
      <c r="J245" s="120" t="s">
        <v>772</v>
      </c>
      <c r="K245" s="110">
        <v>310900</v>
      </c>
      <c r="L245" s="110"/>
      <c r="M245" s="110">
        <v>171300</v>
      </c>
      <c r="N245" s="110"/>
      <c r="O245" s="110"/>
      <c r="P245" s="110">
        <f t="shared" si="75"/>
        <v>482200</v>
      </c>
      <c r="Q245" s="110">
        <f t="shared" si="76"/>
        <v>56532163.600000001</v>
      </c>
      <c r="R245" s="110">
        <f t="shared" si="77"/>
        <v>56532163.600000001</v>
      </c>
      <c r="S245" s="112" t="s">
        <v>2953</v>
      </c>
    </row>
    <row r="246" spans="1:19" ht="45">
      <c r="A246" s="142"/>
      <c r="B246" s="153" t="s">
        <v>1357</v>
      </c>
      <c r="C246" s="142" t="s">
        <v>7</v>
      </c>
      <c r="D246" s="143">
        <v>178.69200000000001</v>
      </c>
      <c r="E246" s="144" t="s">
        <v>1352</v>
      </c>
      <c r="F246" s="334">
        <v>178.69200000000001</v>
      </c>
      <c r="G246" s="112" t="s">
        <v>2955</v>
      </c>
      <c r="H246" s="120" t="s">
        <v>2956</v>
      </c>
      <c r="I246" s="120" t="s">
        <v>2748</v>
      </c>
      <c r="J246" s="120" t="s">
        <v>772</v>
      </c>
      <c r="K246" s="110">
        <v>239500</v>
      </c>
      <c r="L246" s="110"/>
      <c r="M246" s="110">
        <v>171300</v>
      </c>
      <c r="N246" s="110"/>
      <c r="O246" s="110"/>
      <c r="P246" s="110">
        <f t="shared" si="75"/>
        <v>410800</v>
      </c>
      <c r="Q246" s="110">
        <f t="shared" si="76"/>
        <v>73406673.600000009</v>
      </c>
      <c r="R246" s="110">
        <f t="shared" si="77"/>
        <v>73406673.600000009</v>
      </c>
      <c r="S246" s="112" t="s">
        <v>2955</v>
      </c>
    </row>
    <row r="247" spans="1:19" ht="45">
      <c r="A247" s="142"/>
      <c r="B247" s="153" t="s">
        <v>1358</v>
      </c>
      <c r="C247" s="142" t="s">
        <v>7</v>
      </c>
      <c r="D247" s="143">
        <v>1311.0500000000002</v>
      </c>
      <c r="E247" s="144" t="s">
        <v>1352</v>
      </c>
      <c r="F247" s="334">
        <v>1311.0500000000002</v>
      </c>
      <c r="G247" s="112" t="s">
        <v>2957</v>
      </c>
      <c r="H247" s="120" t="s">
        <v>2958</v>
      </c>
      <c r="I247" s="120" t="s">
        <v>2748</v>
      </c>
      <c r="J247" s="120" t="s">
        <v>772</v>
      </c>
      <c r="K247" s="110">
        <v>188000</v>
      </c>
      <c r="L247" s="110"/>
      <c r="M247" s="110">
        <v>139500</v>
      </c>
      <c r="N247" s="110"/>
      <c r="O247" s="110"/>
      <c r="P247" s="110">
        <f t="shared" si="75"/>
        <v>327500</v>
      </c>
      <c r="Q247" s="110">
        <f t="shared" si="76"/>
        <v>429368875.00000006</v>
      </c>
      <c r="R247" s="110">
        <f t="shared" si="77"/>
        <v>429368875.00000006</v>
      </c>
      <c r="S247" s="112" t="s">
        <v>2957</v>
      </c>
    </row>
    <row r="248" spans="1:19" ht="45">
      <c r="A248" s="142"/>
      <c r="B248" s="153" t="s">
        <v>1358</v>
      </c>
      <c r="C248" s="142" t="s">
        <v>7</v>
      </c>
      <c r="D248" s="143">
        <v>176</v>
      </c>
      <c r="E248" s="144" t="s">
        <v>1359</v>
      </c>
      <c r="F248" s="334">
        <v>176</v>
      </c>
      <c r="G248" s="112" t="s">
        <v>2969</v>
      </c>
      <c r="H248" s="120" t="s">
        <v>2970</v>
      </c>
      <c r="I248" s="120" t="s">
        <v>2748</v>
      </c>
      <c r="J248" s="120" t="s">
        <v>772</v>
      </c>
      <c r="K248" s="110">
        <v>149300</v>
      </c>
      <c r="L248" s="110"/>
      <c r="M248" s="110">
        <v>139500</v>
      </c>
      <c r="N248" s="110"/>
      <c r="O248" s="110"/>
      <c r="P248" s="110">
        <f t="shared" si="75"/>
        <v>288800</v>
      </c>
      <c r="Q248" s="110">
        <f t="shared" si="76"/>
        <v>50828800</v>
      </c>
      <c r="R248" s="110">
        <f t="shared" si="77"/>
        <v>50828800</v>
      </c>
      <c r="S248" s="112" t="s">
        <v>2969</v>
      </c>
    </row>
    <row r="249" spans="1:19" ht="45">
      <c r="A249" s="142"/>
      <c r="B249" s="153" t="s">
        <v>1360</v>
      </c>
      <c r="C249" s="142" t="s">
        <v>7</v>
      </c>
      <c r="D249" s="143">
        <v>3163.2510000000002</v>
      </c>
      <c r="E249" s="144" t="s">
        <v>1352</v>
      </c>
      <c r="F249" s="334">
        <v>3163.2510000000002</v>
      </c>
      <c r="G249" s="112" t="s">
        <v>2959</v>
      </c>
      <c r="H249" s="120" t="s">
        <v>2960</v>
      </c>
      <c r="I249" s="120" t="s">
        <v>2748</v>
      </c>
      <c r="J249" s="120" t="s">
        <v>772</v>
      </c>
      <c r="K249" s="110">
        <v>159200</v>
      </c>
      <c r="L249" s="110"/>
      <c r="M249" s="110">
        <v>108700</v>
      </c>
      <c r="N249" s="110"/>
      <c r="O249" s="110"/>
      <c r="P249" s="110">
        <f t="shared" si="75"/>
        <v>267900</v>
      </c>
      <c r="Q249" s="110">
        <f t="shared" si="76"/>
        <v>847434942.9000001</v>
      </c>
      <c r="R249" s="110">
        <f t="shared" si="77"/>
        <v>847434942.9000001</v>
      </c>
      <c r="S249" s="112" t="s">
        <v>2959</v>
      </c>
    </row>
    <row r="250" spans="1:19" ht="45">
      <c r="A250" s="142"/>
      <c r="B250" s="153" t="s">
        <v>1360</v>
      </c>
      <c r="C250" s="142" t="s">
        <v>7</v>
      </c>
      <c r="D250" s="143">
        <v>6.6419999999999995</v>
      </c>
      <c r="E250" s="144" t="s">
        <v>1359</v>
      </c>
      <c r="F250" s="334">
        <v>6.6419999999999995</v>
      </c>
      <c r="G250" s="112" t="s">
        <v>2971</v>
      </c>
      <c r="H250" s="120" t="s">
        <v>2972</v>
      </c>
      <c r="I250" s="120" t="s">
        <v>2748</v>
      </c>
      <c r="J250" s="120" t="s">
        <v>772</v>
      </c>
      <c r="K250" s="110">
        <v>133000</v>
      </c>
      <c r="L250" s="110"/>
      <c r="M250" s="110">
        <v>108700</v>
      </c>
      <c r="N250" s="110"/>
      <c r="O250" s="110"/>
      <c r="P250" s="110">
        <f t="shared" si="75"/>
        <v>241700</v>
      </c>
      <c r="Q250" s="110">
        <f t="shared" si="76"/>
        <v>1605371.4</v>
      </c>
      <c r="R250" s="110">
        <f t="shared" si="77"/>
        <v>1605371.4</v>
      </c>
      <c r="S250" s="112" t="s">
        <v>2971</v>
      </c>
    </row>
    <row r="251" spans="1:19" ht="45">
      <c r="A251" s="142"/>
      <c r="B251" s="153" t="s">
        <v>1361</v>
      </c>
      <c r="C251" s="142" t="s">
        <v>7</v>
      </c>
      <c r="D251" s="147">
        <v>223</v>
      </c>
      <c r="E251" s="148" t="s">
        <v>1352</v>
      </c>
      <c r="F251" s="334">
        <v>223</v>
      </c>
      <c r="G251" s="112" t="s">
        <v>2961</v>
      </c>
      <c r="H251" s="120" t="s">
        <v>2962</v>
      </c>
      <c r="I251" s="120" t="s">
        <v>2748</v>
      </c>
      <c r="J251" s="120" t="s">
        <v>772</v>
      </c>
      <c r="K251" s="110">
        <v>105500</v>
      </c>
      <c r="L251" s="110"/>
      <c r="M251" s="110">
        <v>96900</v>
      </c>
      <c r="N251" s="110"/>
      <c r="O251" s="110"/>
      <c r="P251" s="110">
        <f t="shared" si="75"/>
        <v>202400</v>
      </c>
      <c r="Q251" s="110">
        <f t="shared" si="76"/>
        <v>45135200</v>
      </c>
      <c r="R251" s="110">
        <f t="shared" si="77"/>
        <v>45135200</v>
      </c>
      <c r="S251" s="112" t="s">
        <v>2961</v>
      </c>
    </row>
    <row r="252" spans="1:19" ht="45">
      <c r="A252" s="142"/>
      <c r="B252" s="153" t="s">
        <v>1361</v>
      </c>
      <c r="C252" s="142" t="s">
        <v>7</v>
      </c>
      <c r="D252" s="143">
        <v>182</v>
      </c>
      <c r="E252" s="144" t="s">
        <v>1359</v>
      </c>
      <c r="F252" s="334">
        <v>182</v>
      </c>
      <c r="G252" s="112" t="s">
        <v>2973</v>
      </c>
      <c r="H252" s="120" t="s">
        <v>2974</v>
      </c>
      <c r="I252" s="120" t="s">
        <v>2748</v>
      </c>
      <c r="J252" s="120" t="s">
        <v>772</v>
      </c>
      <c r="K252" s="110">
        <v>85000</v>
      </c>
      <c r="L252" s="110"/>
      <c r="M252" s="110">
        <v>96900</v>
      </c>
      <c r="N252" s="110"/>
      <c r="O252" s="110"/>
      <c r="P252" s="110">
        <f t="shared" si="75"/>
        <v>181900</v>
      </c>
      <c r="Q252" s="110">
        <f t="shared" si="76"/>
        <v>33105800</v>
      </c>
      <c r="R252" s="110">
        <f t="shared" si="77"/>
        <v>33105800</v>
      </c>
      <c r="S252" s="112" t="s">
        <v>2973</v>
      </c>
    </row>
    <row r="253" spans="1:19">
      <c r="A253" s="142">
        <v>2</v>
      </c>
      <c r="B253" s="153" t="s">
        <v>1362</v>
      </c>
      <c r="C253" s="142"/>
      <c r="D253" s="143">
        <v>0</v>
      </c>
      <c r="E253" s="144"/>
      <c r="F253" s="75"/>
      <c r="G253" s="121"/>
      <c r="H253" s="121"/>
      <c r="I253" s="121"/>
      <c r="J253" s="121"/>
      <c r="K253" s="75"/>
      <c r="L253" s="75"/>
      <c r="M253" s="75"/>
      <c r="N253" s="75"/>
      <c r="O253" s="75"/>
      <c r="P253" s="75"/>
      <c r="Q253" s="75"/>
      <c r="R253" s="75"/>
      <c r="S253" s="376"/>
    </row>
    <row r="254" spans="1:19" ht="30">
      <c r="A254" s="142"/>
      <c r="B254" s="153" t="s">
        <v>1353</v>
      </c>
      <c r="C254" s="142" t="s">
        <v>7</v>
      </c>
      <c r="D254" s="143">
        <v>133.46600000000001</v>
      </c>
      <c r="E254" s="144" t="s">
        <v>1363</v>
      </c>
      <c r="F254" s="334">
        <v>133.46600000000001</v>
      </c>
      <c r="G254" s="112" t="s">
        <v>2983</v>
      </c>
      <c r="H254" s="120" t="s">
        <v>2984</v>
      </c>
      <c r="I254" s="120" t="s">
        <v>2748</v>
      </c>
      <c r="J254" s="120" t="s">
        <v>772</v>
      </c>
      <c r="K254" s="110">
        <v>478200</v>
      </c>
      <c r="L254" s="110"/>
      <c r="M254" s="110">
        <v>213200</v>
      </c>
      <c r="N254" s="110"/>
      <c r="O254" s="110"/>
      <c r="P254" s="110">
        <f t="shared" ref="P254:P259" si="78">K254+L254+M254+N254+O254</f>
        <v>691400</v>
      </c>
      <c r="Q254" s="110">
        <f t="shared" ref="Q254:Q259" si="79">$P254*D254</f>
        <v>92278392.400000006</v>
      </c>
      <c r="R254" s="110">
        <f t="shared" ref="R254:R259" si="80">$P254*F254</f>
        <v>92278392.400000006</v>
      </c>
      <c r="S254" s="112" t="s">
        <v>2983</v>
      </c>
    </row>
    <row r="255" spans="1:19" ht="30">
      <c r="A255" s="142"/>
      <c r="B255" s="153" t="s">
        <v>1357</v>
      </c>
      <c r="C255" s="142" t="s">
        <v>7</v>
      </c>
      <c r="D255" s="143">
        <v>432.88099999999997</v>
      </c>
      <c r="E255" s="144" t="s">
        <v>1363</v>
      </c>
      <c r="F255" s="334">
        <v>432.88099999999997</v>
      </c>
      <c r="G255" s="112" t="s">
        <v>2983</v>
      </c>
      <c r="H255" s="120" t="s">
        <v>2985</v>
      </c>
      <c r="I255" s="120" t="s">
        <v>2748</v>
      </c>
      <c r="J255" s="120" t="s">
        <v>772</v>
      </c>
      <c r="K255" s="110">
        <v>146300</v>
      </c>
      <c r="L255" s="110"/>
      <c r="M255" s="110">
        <v>171300</v>
      </c>
      <c r="N255" s="110"/>
      <c r="O255" s="110"/>
      <c r="P255" s="110">
        <f t="shared" si="78"/>
        <v>317600</v>
      </c>
      <c r="Q255" s="110">
        <f t="shared" si="79"/>
        <v>137483005.59999999</v>
      </c>
      <c r="R255" s="110">
        <f t="shared" si="80"/>
        <v>137483005.59999999</v>
      </c>
      <c r="S255" s="112" t="s">
        <v>2983</v>
      </c>
    </row>
    <row r="256" spans="1:19" ht="30">
      <c r="A256" s="142"/>
      <c r="B256" s="153" t="s">
        <v>1360</v>
      </c>
      <c r="C256" s="142" t="s">
        <v>7</v>
      </c>
      <c r="D256" s="143">
        <v>258.096</v>
      </c>
      <c r="E256" s="144" t="s">
        <v>1363</v>
      </c>
      <c r="F256" s="334">
        <v>258.096</v>
      </c>
      <c r="G256" s="112" t="s">
        <v>2983</v>
      </c>
      <c r="H256" s="120" t="s">
        <v>2986</v>
      </c>
      <c r="I256" s="120" t="s">
        <v>2748</v>
      </c>
      <c r="J256" s="120" t="s">
        <v>772</v>
      </c>
      <c r="K256" s="110">
        <v>95000</v>
      </c>
      <c r="L256" s="110"/>
      <c r="M256" s="110">
        <v>108700</v>
      </c>
      <c r="N256" s="110"/>
      <c r="O256" s="110"/>
      <c r="P256" s="110">
        <f t="shared" si="78"/>
        <v>203700</v>
      </c>
      <c r="Q256" s="110">
        <f t="shared" si="79"/>
        <v>52574155.200000003</v>
      </c>
      <c r="R256" s="110">
        <f t="shared" si="80"/>
        <v>52574155.200000003</v>
      </c>
      <c r="S256" s="112" t="s">
        <v>2983</v>
      </c>
    </row>
    <row r="257" spans="1:19" ht="30">
      <c r="A257" s="142"/>
      <c r="B257" s="153" t="s">
        <v>1361</v>
      </c>
      <c r="C257" s="142" t="s">
        <v>7</v>
      </c>
      <c r="D257" s="143">
        <v>3093.6290000000004</v>
      </c>
      <c r="E257" s="144" t="s">
        <v>1363</v>
      </c>
      <c r="F257" s="334">
        <v>3093.6290000000004</v>
      </c>
      <c r="G257" s="112" t="s">
        <v>2983</v>
      </c>
      <c r="H257" s="120" t="s">
        <v>2987</v>
      </c>
      <c r="I257" s="120" t="s">
        <v>2748</v>
      </c>
      <c r="J257" s="120" t="s">
        <v>772</v>
      </c>
      <c r="K257" s="110">
        <v>64800</v>
      </c>
      <c r="L257" s="110"/>
      <c r="M257" s="110">
        <v>96900</v>
      </c>
      <c r="N257" s="110"/>
      <c r="O257" s="110"/>
      <c r="P257" s="110">
        <f t="shared" si="78"/>
        <v>161700</v>
      </c>
      <c r="Q257" s="110">
        <f t="shared" si="79"/>
        <v>500239809.30000007</v>
      </c>
      <c r="R257" s="110">
        <f t="shared" si="80"/>
        <v>500239809.30000007</v>
      </c>
      <c r="S257" s="112" t="s">
        <v>2983</v>
      </c>
    </row>
    <row r="258" spans="1:19" ht="30">
      <c r="A258" s="142"/>
      <c r="B258" s="153" t="s">
        <v>1364</v>
      </c>
      <c r="C258" s="142" t="s">
        <v>7</v>
      </c>
      <c r="D258" s="143">
        <v>12</v>
      </c>
      <c r="E258" s="144" t="s">
        <v>1363</v>
      </c>
      <c r="F258" s="334">
        <v>12</v>
      </c>
      <c r="G258" s="112" t="s">
        <v>2983</v>
      </c>
      <c r="H258" s="120" t="s">
        <v>2988</v>
      </c>
      <c r="I258" s="120" t="s">
        <v>2748</v>
      </c>
      <c r="J258" s="120" t="s">
        <v>772</v>
      </c>
      <c r="K258" s="110">
        <v>34000</v>
      </c>
      <c r="L258" s="110"/>
      <c r="M258" s="110">
        <v>85000</v>
      </c>
      <c r="N258" s="110"/>
      <c r="O258" s="110"/>
      <c r="P258" s="110">
        <f t="shared" si="78"/>
        <v>119000</v>
      </c>
      <c r="Q258" s="110">
        <f t="shared" si="79"/>
        <v>1428000</v>
      </c>
      <c r="R258" s="110">
        <f t="shared" si="80"/>
        <v>1428000</v>
      </c>
      <c r="S258" s="112" t="s">
        <v>2983</v>
      </c>
    </row>
    <row r="259" spans="1:19" ht="30">
      <c r="A259" s="142"/>
      <c r="B259" s="153" t="s">
        <v>1365</v>
      </c>
      <c r="C259" s="142" t="s">
        <v>7</v>
      </c>
      <c r="D259" s="143">
        <v>106</v>
      </c>
      <c r="E259" s="144" t="s">
        <v>1363</v>
      </c>
      <c r="F259" s="334">
        <v>106</v>
      </c>
      <c r="G259" s="112" t="s">
        <v>2983</v>
      </c>
      <c r="H259" s="120" t="s">
        <v>2989</v>
      </c>
      <c r="I259" s="120" t="s">
        <v>2748</v>
      </c>
      <c r="J259" s="120" t="s">
        <v>772</v>
      </c>
      <c r="K259" s="110">
        <v>22100</v>
      </c>
      <c r="L259" s="110"/>
      <c r="M259" s="110">
        <v>53400</v>
      </c>
      <c r="N259" s="110"/>
      <c r="O259" s="110"/>
      <c r="P259" s="110">
        <f t="shared" si="78"/>
        <v>75500</v>
      </c>
      <c r="Q259" s="110">
        <f t="shared" si="79"/>
        <v>8003000</v>
      </c>
      <c r="R259" s="110">
        <f t="shared" si="80"/>
        <v>8003000</v>
      </c>
      <c r="S259" s="112" t="s">
        <v>2983</v>
      </c>
    </row>
    <row r="260" spans="1:19">
      <c r="A260" s="142">
        <v>3</v>
      </c>
      <c r="B260" s="153" t="s">
        <v>1366</v>
      </c>
      <c r="C260" s="142"/>
      <c r="D260" s="143"/>
      <c r="E260" s="144"/>
      <c r="F260" s="73"/>
      <c r="G260" s="121"/>
      <c r="H260" s="121"/>
      <c r="I260" s="121"/>
      <c r="J260" s="121"/>
      <c r="K260" s="73"/>
      <c r="L260" s="73"/>
      <c r="M260" s="73"/>
      <c r="N260" s="73"/>
      <c r="O260" s="73"/>
      <c r="P260" s="73"/>
      <c r="Q260" s="73"/>
      <c r="R260" s="73"/>
      <c r="S260" s="74"/>
    </row>
    <row r="261" spans="1:19" ht="30">
      <c r="A261" s="146"/>
      <c r="B261" s="150" t="s">
        <v>1351</v>
      </c>
      <c r="C261" s="146" t="s">
        <v>7</v>
      </c>
      <c r="D261" s="147">
        <v>12</v>
      </c>
      <c r="E261" s="148" t="s">
        <v>1367</v>
      </c>
      <c r="F261" s="334">
        <v>12</v>
      </c>
      <c r="G261" s="112">
        <v>0</v>
      </c>
      <c r="H261" s="120" t="s">
        <v>2754</v>
      </c>
      <c r="I261" s="120" t="s">
        <v>2748</v>
      </c>
      <c r="J261" s="120" t="s">
        <v>772</v>
      </c>
      <c r="K261" s="110">
        <v>1007400</v>
      </c>
      <c r="L261" s="110"/>
      <c r="M261" s="110">
        <v>875200</v>
      </c>
      <c r="N261" s="110"/>
      <c r="O261" s="110"/>
      <c r="P261" s="110">
        <f t="shared" ref="P261:P264" si="81">K261+L261+M261+N261+O261</f>
        <v>1882600</v>
      </c>
      <c r="Q261" s="110">
        <f t="shared" ref="Q261:Q264" si="82">$P261*D261</f>
        <v>22591200</v>
      </c>
      <c r="R261" s="110">
        <f t="shared" ref="R261:R264" si="83">$P261*F261</f>
        <v>22591200</v>
      </c>
      <c r="S261" s="112">
        <v>0</v>
      </c>
    </row>
    <row r="262" spans="1:19" ht="30">
      <c r="A262" s="146"/>
      <c r="B262" s="150" t="s">
        <v>1354</v>
      </c>
      <c r="C262" s="146" t="s">
        <v>7</v>
      </c>
      <c r="D262" s="147">
        <v>12</v>
      </c>
      <c r="E262" s="148" t="s">
        <v>1367</v>
      </c>
      <c r="F262" s="334">
        <v>12</v>
      </c>
      <c r="G262" s="112">
        <v>0</v>
      </c>
      <c r="H262" s="120" t="s">
        <v>2752</v>
      </c>
      <c r="I262" s="120" t="s">
        <v>2748</v>
      </c>
      <c r="J262" s="120" t="s">
        <v>772</v>
      </c>
      <c r="K262" s="110">
        <v>525800</v>
      </c>
      <c r="L262" s="110"/>
      <c r="M262" s="110">
        <v>282100</v>
      </c>
      <c r="N262" s="110"/>
      <c r="O262" s="110"/>
      <c r="P262" s="110">
        <f t="shared" si="81"/>
        <v>807900</v>
      </c>
      <c r="Q262" s="110">
        <f t="shared" si="82"/>
        <v>9694800</v>
      </c>
      <c r="R262" s="110">
        <f t="shared" si="83"/>
        <v>9694800</v>
      </c>
      <c r="S262" s="112">
        <v>0</v>
      </c>
    </row>
    <row r="263" spans="1:19" ht="30">
      <c r="A263" s="142"/>
      <c r="B263" s="153" t="s">
        <v>1357</v>
      </c>
      <c r="C263" s="142" t="s">
        <v>7</v>
      </c>
      <c r="D263" s="143">
        <v>36</v>
      </c>
      <c r="E263" s="144" t="s">
        <v>1367</v>
      </c>
      <c r="F263" s="334">
        <v>36</v>
      </c>
      <c r="G263" s="112">
        <v>0</v>
      </c>
      <c r="H263" s="120" t="s">
        <v>2751</v>
      </c>
      <c r="I263" s="120" t="s">
        <v>2748</v>
      </c>
      <c r="J263" s="120" t="s">
        <v>772</v>
      </c>
      <c r="K263" s="110">
        <v>254700</v>
      </c>
      <c r="L263" s="110"/>
      <c r="M263" s="110">
        <v>200600</v>
      </c>
      <c r="N263" s="110"/>
      <c r="O263" s="110"/>
      <c r="P263" s="110">
        <f t="shared" si="81"/>
        <v>455300</v>
      </c>
      <c r="Q263" s="110">
        <f t="shared" si="82"/>
        <v>16390800</v>
      </c>
      <c r="R263" s="110">
        <f t="shared" si="83"/>
        <v>16390800</v>
      </c>
      <c r="S263" s="112">
        <v>0</v>
      </c>
    </row>
    <row r="264" spans="1:19" ht="30">
      <c r="A264" s="142"/>
      <c r="B264" s="153" t="s">
        <v>1364</v>
      </c>
      <c r="C264" s="142" t="s">
        <v>7</v>
      </c>
      <c r="D264" s="143">
        <v>131.69999999999999</v>
      </c>
      <c r="E264" s="144" t="s">
        <v>1367</v>
      </c>
      <c r="F264" s="334">
        <v>131.69999999999999</v>
      </c>
      <c r="G264" s="112">
        <v>0</v>
      </c>
      <c r="H264" s="120" t="s">
        <v>2749</v>
      </c>
      <c r="I264" s="120" t="s">
        <v>2748</v>
      </c>
      <c r="J264" s="120" t="s">
        <v>772</v>
      </c>
      <c r="K264" s="110">
        <v>64100</v>
      </c>
      <c r="L264" s="110"/>
      <c r="M264" s="110">
        <v>131000</v>
      </c>
      <c r="N264" s="110"/>
      <c r="O264" s="110"/>
      <c r="P264" s="110">
        <f t="shared" si="81"/>
        <v>195100</v>
      </c>
      <c r="Q264" s="110">
        <f t="shared" si="82"/>
        <v>25694669.999999996</v>
      </c>
      <c r="R264" s="110">
        <f t="shared" si="83"/>
        <v>25694669.999999996</v>
      </c>
      <c r="S264" s="112">
        <v>0</v>
      </c>
    </row>
    <row r="265" spans="1:19">
      <c r="A265" s="142">
        <v>4</v>
      </c>
      <c r="B265" s="153" t="s">
        <v>1368</v>
      </c>
      <c r="C265" s="142"/>
      <c r="D265" s="143"/>
      <c r="E265" s="144"/>
      <c r="F265" s="74"/>
      <c r="G265" s="120"/>
      <c r="H265" s="120"/>
      <c r="I265" s="120"/>
      <c r="J265" s="120"/>
      <c r="K265" s="74"/>
      <c r="L265" s="74"/>
      <c r="M265" s="74"/>
      <c r="N265" s="74"/>
      <c r="O265" s="74"/>
      <c r="P265" s="74"/>
      <c r="Q265" s="74"/>
      <c r="R265" s="74"/>
      <c r="S265" s="74"/>
    </row>
    <row r="266" spans="1:19" ht="45">
      <c r="A266" s="142"/>
      <c r="B266" s="153" t="s">
        <v>1369</v>
      </c>
      <c r="C266" s="142" t="s">
        <v>7</v>
      </c>
      <c r="D266" s="143">
        <v>26</v>
      </c>
      <c r="E266" s="144"/>
      <c r="F266" s="334">
        <v>26</v>
      </c>
      <c r="G266" s="112" t="s">
        <v>2715</v>
      </c>
      <c r="H266" s="120" t="s">
        <v>2743</v>
      </c>
      <c r="I266" s="120" t="s">
        <v>1630</v>
      </c>
      <c r="J266" s="120" t="s">
        <v>772</v>
      </c>
      <c r="K266" s="110">
        <v>830900</v>
      </c>
      <c r="L266" s="110"/>
      <c r="M266" s="110">
        <v>295700</v>
      </c>
      <c r="N266" s="110"/>
      <c r="O266" s="110"/>
      <c r="P266" s="110">
        <f>K266+L266+M266+N266+O266</f>
        <v>1126600</v>
      </c>
      <c r="Q266" s="110">
        <f>$P266*D266</f>
        <v>29291600</v>
      </c>
      <c r="R266" s="110">
        <f>$P266*F266</f>
        <v>29291600</v>
      </c>
      <c r="S266" s="112" t="s">
        <v>2715</v>
      </c>
    </row>
    <row r="267" spans="1:19">
      <c r="A267" s="142">
        <v>6</v>
      </c>
      <c r="B267" s="153" t="s">
        <v>1370</v>
      </c>
      <c r="C267" s="142"/>
      <c r="D267" s="143"/>
      <c r="E267" s="144"/>
      <c r="F267" s="50"/>
      <c r="G267" s="120"/>
      <c r="H267" s="120"/>
      <c r="I267" s="120"/>
      <c r="J267" s="120"/>
      <c r="K267" s="50"/>
      <c r="L267" s="50"/>
      <c r="M267" s="50"/>
      <c r="N267" s="50"/>
      <c r="O267" s="50"/>
      <c r="P267" s="50"/>
      <c r="Q267" s="50"/>
      <c r="R267" s="50"/>
      <c r="S267" s="50"/>
    </row>
    <row r="268" spans="1:19" ht="30">
      <c r="A268" s="142"/>
      <c r="B268" s="153" t="s">
        <v>1371</v>
      </c>
      <c r="C268" s="142" t="s">
        <v>4</v>
      </c>
      <c r="D268" s="143">
        <v>9</v>
      </c>
      <c r="E268" s="144"/>
      <c r="F268" s="334">
        <v>9</v>
      </c>
      <c r="G268" s="112" t="s">
        <v>2990</v>
      </c>
      <c r="H268" s="120" t="s">
        <v>2991</v>
      </c>
      <c r="I268" s="120" t="s">
        <v>2748</v>
      </c>
      <c r="J268" s="120" t="s">
        <v>772</v>
      </c>
      <c r="K268" s="110">
        <v>2266400</v>
      </c>
      <c r="L268" s="110"/>
      <c r="M268" s="110">
        <v>155000</v>
      </c>
      <c r="N268" s="110"/>
      <c r="O268" s="110"/>
      <c r="P268" s="110">
        <f t="shared" ref="P268:P294" si="84">K268+L268+M268+N268+O268</f>
        <v>2421400</v>
      </c>
      <c r="Q268" s="110">
        <f t="shared" ref="Q268:Q294" si="85">$P268*D268</f>
        <v>21792600</v>
      </c>
      <c r="R268" s="110">
        <f t="shared" ref="R268:R294" si="86">$P268*F268</f>
        <v>21792600</v>
      </c>
      <c r="S268" s="112" t="s">
        <v>2990</v>
      </c>
    </row>
    <row r="269" spans="1:19" ht="60">
      <c r="A269" s="142"/>
      <c r="B269" s="153" t="s">
        <v>1372</v>
      </c>
      <c r="C269" s="142" t="s">
        <v>4</v>
      </c>
      <c r="D269" s="143">
        <v>4</v>
      </c>
      <c r="E269" s="144"/>
      <c r="F269" s="334">
        <v>4</v>
      </c>
      <c r="G269" s="112" t="s">
        <v>2990</v>
      </c>
      <c r="H269" s="120" t="s">
        <v>2992</v>
      </c>
      <c r="I269" s="120" t="s">
        <v>2748</v>
      </c>
      <c r="J269" s="120" t="s">
        <v>772</v>
      </c>
      <c r="K269" s="110">
        <v>2611900</v>
      </c>
      <c r="L269" s="110"/>
      <c r="M269" s="110">
        <v>155000</v>
      </c>
      <c r="N269" s="110"/>
      <c r="O269" s="110"/>
      <c r="P269" s="110">
        <f t="shared" si="84"/>
        <v>2766900</v>
      </c>
      <c r="Q269" s="110">
        <f t="shared" si="85"/>
        <v>11067600</v>
      </c>
      <c r="R269" s="110">
        <f t="shared" si="86"/>
        <v>11067600</v>
      </c>
      <c r="S269" s="112" t="s">
        <v>2990</v>
      </c>
    </row>
    <row r="270" spans="1:19" ht="30">
      <c r="A270" s="142"/>
      <c r="B270" s="153" t="s">
        <v>1373</v>
      </c>
      <c r="C270" s="142" t="s">
        <v>4</v>
      </c>
      <c r="D270" s="143">
        <v>2</v>
      </c>
      <c r="E270" s="144"/>
      <c r="F270" s="334">
        <v>2</v>
      </c>
      <c r="G270" s="112" t="s">
        <v>2990</v>
      </c>
      <c r="H270" s="120" t="s">
        <v>2993</v>
      </c>
      <c r="I270" s="120" t="s">
        <v>2748</v>
      </c>
      <c r="J270" s="120" t="s">
        <v>772</v>
      </c>
      <c r="K270" s="110">
        <v>2000300</v>
      </c>
      <c r="L270" s="110"/>
      <c r="M270" s="110">
        <v>155000</v>
      </c>
      <c r="N270" s="110"/>
      <c r="O270" s="110"/>
      <c r="P270" s="110">
        <f t="shared" si="84"/>
        <v>2155300</v>
      </c>
      <c r="Q270" s="110">
        <f t="shared" si="85"/>
        <v>4310600</v>
      </c>
      <c r="R270" s="110">
        <f t="shared" si="86"/>
        <v>4310600</v>
      </c>
      <c r="S270" s="112" t="s">
        <v>2990</v>
      </c>
    </row>
    <row r="271" spans="1:19" ht="45">
      <c r="A271" s="142"/>
      <c r="B271" s="153" t="s">
        <v>1374</v>
      </c>
      <c r="C271" s="142" t="s">
        <v>4</v>
      </c>
      <c r="D271" s="143">
        <v>2</v>
      </c>
      <c r="E271" s="144"/>
      <c r="F271" s="334">
        <v>2</v>
      </c>
      <c r="G271" s="112" t="s">
        <v>2990</v>
      </c>
      <c r="H271" s="120" t="s">
        <v>2994</v>
      </c>
      <c r="I271" s="120" t="s">
        <v>2748</v>
      </c>
      <c r="J271" s="120" t="s">
        <v>772</v>
      </c>
      <c r="K271" s="110">
        <v>859100</v>
      </c>
      <c r="L271" s="110"/>
      <c r="M271" s="110">
        <v>155000</v>
      </c>
      <c r="N271" s="110"/>
      <c r="O271" s="110"/>
      <c r="P271" s="110">
        <f t="shared" si="84"/>
        <v>1014100</v>
      </c>
      <c r="Q271" s="110">
        <f t="shared" si="85"/>
        <v>2028200</v>
      </c>
      <c r="R271" s="110">
        <f t="shared" si="86"/>
        <v>2028200</v>
      </c>
      <c r="S271" s="112" t="s">
        <v>2990</v>
      </c>
    </row>
    <row r="272" spans="1:19" ht="45">
      <c r="A272" s="142"/>
      <c r="B272" s="153" t="s">
        <v>1375</v>
      </c>
      <c r="C272" s="142" t="s">
        <v>4</v>
      </c>
      <c r="D272" s="143">
        <v>11</v>
      </c>
      <c r="E272" s="144"/>
      <c r="F272" s="334">
        <v>11</v>
      </c>
      <c r="G272" s="112" t="s">
        <v>2990</v>
      </c>
      <c r="H272" s="120" t="s">
        <v>2995</v>
      </c>
      <c r="I272" s="120" t="s">
        <v>2748</v>
      </c>
      <c r="J272" s="120" t="s">
        <v>772</v>
      </c>
      <c r="K272" s="110">
        <v>859100</v>
      </c>
      <c r="L272" s="110"/>
      <c r="M272" s="110">
        <v>155000</v>
      </c>
      <c r="N272" s="110"/>
      <c r="O272" s="110"/>
      <c r="P272" s="110">
        <f t="shared" si="84"/>
        <v>1014100</v>
      </c>
      <c r="Q272" s="110">
        <f t="shared" si="85"/>
        <v>11155100</v>
      </c>
      <c r="R272" s="110">
        <f t="shared" si="86"/>
        <v>11155100</v>
      </c>
      <c r="S272" s="112" t="s">
        <v>2990</v>
      </c>
    </row>
    <row r="273" spans="1:19" ht="30">
      <c r="A273" s="142"/>
      <c r="B273" s="153" t="s">
        <v>1376</v>
      </c>
      <c r="C273" s="142" t="s">
        <v>4</v>
      </c>
      <c r="D273" s="143">
        <v>15</v>
      </c>
      <c r="E273" s="144"/>
      <c r="F273" s="334">
        <v>15</v>
      </c>
      <c r="G273" s="112" t="s">
        <v>2996</v>
      </c>
      <c r="H273" s="120" t="s">
        <v>2997</v>
      </c>
      <c r="I273" s="120" t="s">
        <v>2748</v>
      </c>
      <c r="J273" s="120" t="s">
        <v>772</v>
      </c>
      <c r="K273" s="110">
        <v>936000</v>
      </c>
      <c r="L273" s="110"/>
      <c r="M273" s="110">
        <v>124000</v>
      </c>
      <c r="N273" s="110"/>
      <c r="O273" s="110"/>
      <c r="P273" s="110">
        <f t="shared" si="84"/>
        <v>1060000</v>
      </c>
      <c r="Q273" s="110">
        <f t="shared" si="85"/>
        <v>15900000</v>
      </c>
      <c r="R273" s="110">
        <f t="shared" si="86"/>
        <v>15900000</v>
      </c>
      <c r="S273" s="112" t="s">
        <v>2996</v>
      </c>
    </row>
    <row r="274" spans="1:19" ht="60">
      <c r="A274" s="142"/>
      <c r="B274" s="153" t="s">
        <v>1377</v>
      </c>
      <c r="C274" s="142" t="s">
        <v>4</v>
      </c>
      <c r="D274" s="143">
        <v>4</v>
      </c>
      <c r="E274" s="144"/>
      <c r="F274" s="334">
        <v>4</v>
      </c>
      <c r="G274" s="112" t="s">
        <v>2990</v>
      </c>
      <c r="H274" s="120" t="s">
        <v>2998</v>
      </c>
      <c r="I274" s="120" t="s">
        <v>2748</v>
      </c>
      <c r="J274" s="120" t="s">
        <v>772</v>
      </c>
      <c r="K274" s="110">
        <v>1039500</v>
      </c>
      <c r="L274" s="110"/>
      <c r="M274" s="110">
        <v>124000</v>
      </c>
      <c r="N274" s="110"/>
      <c r="O274" s="110"/>
      <c r="P274" s="110">
        <f t="shared" si="84"/>
        <v>1163500</v>
      </c>
      <c r="Q274" s="110">
        <f t="shared" si="85"/>
        <v>4654000</v>
      </c>
      <c r="R274" s="110">
        <f t="shared" si="86"/>
        <v>4654000</v>
      </c>
      <c r="S274" s="112" t="s">
        <v>2990</v>
      </c>
    </row>
    <row r="275" spans="1:19" ht="45">
      <c r="A275" s="142"/>
      <c r="B275" s="153" t="s">
        <v>1378</v>
      </c>
      <c r="C275" s="142" t="s">
        <v>4</v>
      </c>
      <c r="D275" s="143">
        <v>5</v>
      </c>
      <c r="E275" s="144"/>
      <c r="F275" s="334">
        <v>5</v>
      </c>
      <c r="G275" s="112" t="s">
        <v>2990</v>
      </c>
      <c r="H275" s="120" t="s">
        <v>2999</v>
      </c>
      <c r="I275" s="120" t="s">
        <v>2748</v>
      </c>
      <c r="J275" s="120" t="s">
        <v>772</v>
      </c>
      <c r="K275" s="110">
        <v>435700</v>
      </c>
      <c r="L275" s="110"/>
      <c r="M275" s="110">
        <v>124000</v>
      </c>
      <c r="N275" s="110"/>
      <c r="O275" s="110"/>
      <c r="P275" s="110">
        <f t="shared" si="84"/>
        <v>559700</v>
      </c>
      <c r="Q275" s="110">
        <f t="shared" si="85"/>
        <v>2798500</v>
      </c>
      <c r="R275" s="110">
        <f t="shared" si="86"/>
        <v>2798500</v>
      </c>
      <c r="S275" s="112" t="s">
        <v>2990</v>
      </c>
    </row>
    <row r="276" spans="1:19" ht="30">
      <c r="A276" s="142"/>
      <c r="B276" s="153" t="s">
        <v>1379</v>
      </c>
      <c r="C276" s="142" t="s">
        <v>4</v>
      </c>
      <c r="D276" s="143">
        <v>29</v>
      </c>
      <c r="E276" s="144"/>
      <c r="F276" s="334">
        <v>29</v>
      </c>
      <c r="G276" s="112" t="s">
        <v>2990</v>
      </c>
      <c r="H276" s="120" t="s">
        <v>3003</v>
      </c>
      <c r="I276" s="120" t="s">
        <v>2748</v>
      </c>
      <c r="J276" s="120" t="s">
        <v>772</v>
      </c>
      <c r="K276" s="110">
        <v>490200</v>
      </c>
      <c r="L276" s="110"/>
      <c r="M276" s="110">
        <v>93000</v>
      </c>
      <c r="N276" s="110"/>
      <c r="O276" s="110"/>
      <c r="P276" s="110">
        <f t="shared" si="84"/>
        <v>583200</v>
      </c>
      <c r="Q276" s="110">
        <f t="shared" si="85"/>
        <v>16912800</v>
      </c>
      <c r="R276" s="110">
        <f t="shared" si="86"/>
        <v>16912800</v>
      </c>
      <c r="S276" s="112" t="s">
        <v>2990</v>
      </c>
    </row>
    <row r="277" spans="1:19" ht="60">
      <c r="A277" s="142"/>
      <c r="B277" s="153" t="s">
        <v>1380</v>
      </c>
      <c r="C277" s="142" t="s">
        <v>4</v>
      </c>
      <c r="D277" s="143">
        <v>4</v>
      </c>
      <c r="E277" s="144"/>
      <c r="F277" s="334">
        <v>4</v>
      </c>
      <c r="G277" s="112" t="s">
        <v>2990</v>
      </c>
      <c r="H277" s="120" t="s">
        <v>3004</v>
      </c>
      <c r="I277" s="120" t="s">
        <v>2748</v>
      </c>
      <c r="J277" s="120" t="s">
        <v>772</v>
      </c>
      <c r="K277" s="110">
        <v>595000</v>
      </c>
      <c r="L277" s="110"/>
      <c r="M277" s="110">
        <v>93000</v>
      </c>
      <c r="N277" s="110"/>
      <c r="O277" s="110"/>
      <c r="P277" s="110">
        <f t="shared" si="84"/>
        <v>688000</v>
      </c>
      <c r="Q277" s="110">
        <f t="shared" si="85"/>
        <v>2752000</v>
      </c>
      <c r="R277" s="110">
        <f t="shared" si="86"/>
        <v>2752000</v>
      </c>
      <c r="S277" s="112" t="s">
        <v>2990</v>
      </c>
    </row>
    <row r="278" spans="1:19" ht="60">
      <c r="A278" s="142"/>
      <c r="B278" s="153" t="s">
        <v>1381</v>
      </c>
      <c r="C278" s="142" t="s">
        <v>4</v>
      </c>
      <c r="D278" s="143">
        <v>2</v>
      </c>
      <c r="E278" s="144"/>
      <c r="F278" s="334">
        <v>2</v>
      </c>
      <c r="G278" s="112" t="s">
        <v>2990</v>
      </c>
      <c r="H278" s="120" t="s">
        <v>3005</v>
      </c>
      <c r="I278" s="120" t="s">
        <v>2748</v>
      </c>
      <c r="J278" s="120" t="s">
        <v>772</v>
      </c>
      <c r="K278" s="110">
        <v>595000</v>
      </c>
      <c r="L278" s="110"/>
      <c r="M278" s="110">
        <v>93000</v>
      </c>
      <c r="N278" s="110"/>
      <c r="O278" s="110"/>
      <c r="P278" s="110">
        <f t="shared" si="84"/>
        <v>688000</v>
      </c>
      <c r="Q278" s="110">
        <f t="shared" si="85"/>
        <v>1376000</v>
      </c>
      <c r="R278" s="110">
        <f t="shared" si="86"/>
        <v>1376000</v>
      </c>
      <c r="S278" s="112" t="s">
        <v>2990</v>
      </c>
    </row>
    <row r="279" spans="1:19" ht="30">
      <c r="A279" s="142"/>
      <c r="B279" s="153" t="s">
        <v>1382</v>
      </c>
      <c r="C279" s="142" t="s">
        <v>4</v>
      </c>
      <c r="D279" s="143">
        <v>7</v>
      </c>
      <c r="E279" s="144"/>
      <c r="F279" s="334">
        <v>7</v>
      </c>
      <c r="G279" s="112" t="s">
        <v>2996</v>
      </c>
      <c r="H279" s="120" t="s">
        <v>3006</v>
      </c>
      <c r="I279" s="120" t="s">
        <v>2748</v>
      </c>
      <c r="J279" s="120" t="s">
        <v>772</v>
      </c>
      <c r="K279" s="110">
        <v>494700</v>
      </c>
      <c r="L279" s="110"/>
      <c r="M279" s="110">
        <v>93000</v>
      </c>
      <c r="N279" s="110"/>
      <c r="O279" s="110"/>
      <c r="P279" s="110">
        <f t="shared" si="84"/>
        <v>587700</v>
      </c>
      <c r="Q279" s="110">
        <f t="shared" si="85"/>
        <v>4113900</v>
      </c>
      <c r="R279" s="110">
        <f t="shared" si="86"/>
        <v>4113900</v>
      </c>
      <c r="S279" s="112" t="s">
        <v>2996</v>
      </c>
    </row>
    <row r="280" spans="1:19" ht="60">
      <c r="A280" s="142"/>
      <c r="B280" s="153" t="s">
        <v>1383</v>
      </c>
      <c r="C280" s="142" t="s">
        <v>4</v>
      </c>
      <c r="D280" s="143">
        <v>12</v>
      </c>
      <c r="E280" s="144"/>
      <c r="F280" s="334">
        <v>12</v>
      </c>
      <c r="G280" s="112" t="s">
        <v>2990</v>
      </c>
      <c r="H280" s="120" t="s">
        <v>3008</v>
      </c>
      <c r="I280" s="120" t="s">
        <v>2748</v>
      </c>
      <c r="J280" s="120" t="s">
        <v>772</v>
      </c>
      <c r="K280" s="110">
        <v>580400</v>
      </c>
      <c r="L280" s="110"/>
      <c r="M280" s="110">
        <v>93000</v>
      </c>
      <c r="N280" s="110"/>
      <c r="O280" s="110"/>
      <c r="P280" s="110">
        <f t="shared" si="84"/>
        <v>673400</v>
      </c>
      <c r="Q280" s="110">
        <f t="shared" si="85"/>
        <v>8080800</v>
      </c>
      <c r="R280" s="110">
        <f t="shared" si="86"/>
        <v>8080800</v>
      </c>
      <c r="S280" s="112" t="s">
        <v>2990</v>
      </c>
    </row>
    <row r="281" spans="1:19" ht="45">
      <c r="A281" s="142"/>
      <c r="B281" s="153" t="s">
        <v>1384</v>
      </c>
      <c r="C281" s="142" t="s">
        <v>4</v>
      </c>
      <c r="D281" s="143">
        <v>16</v>
      </c>
      <c r="E281" s="144"/>
      <c r="F281" s="334">
        <v>16</v>
      </c>
      <c r="G281" s="112" t="s">
        <v>2996</v>
      </c>
      <c r="H281" s="120" t="s">
        <v>3009</v>
      </c>
      <c r="I281" s="120" t="s">
        <v>2748</v>
      </c>
      <c r="J281" s="120" t="s">
        <v>772</v>
      </c>
      <c r="K281" s="110">
        <v>326500</v>
      </c>
      <c r="L281" s="110"/>
      <c r="M281" s="110">
        <v>93000</v>
      </c>
      <c r="N281" s="110"/>
      <c r="O281" s="110"/>
      <c r="P281" s="110">
        <f t="shared" si="84"/>
        <v>419500</v>
      </c>
      <c r="Q281" s="110">
        <f t="shared" si="85"/>
        <v>6712000</v>
      </c>
      <c r="R281" s="110">
        <f t="shared" si="86"/>
        <v>6712000</v>
      </c>
      <c r="S281" s="112" t="s">
        <v>2996</v>
      </c>
    </row>
    <row r="282" spans="1:19" ht="45">
      <c r="A282" s="142"/>
      <c r="B282" s="153" t="s">
        <v>1385</v>
      </c>
      <c r="C282" s="142" t="s">
        <v>4</v>
      </c>
      <c r="D282" s="143">
        <v>6</v>
      </c>
      <c r="E282" s="144"/>
      <c r="F282" s="334">
        <v>6</v>
      </c>
      <c r="G282" s="112" t="s">
        <v>2990</v>
      </c>
      <c r="H282" s="120" t="s">
        <v>3010</v>
      </c>
      <c r="I282" s="120" t="s">
        <v>2748</v>
      </c>
      <c r="J282" s="120" t="s">
        <v>772</v>
      </c>
      <c r="K282" s="110">
        <v>163300</v>
      </c>
      <c r="L282" s="110"/>
      <c r="M282" s="110">
        <v>93000</v>
      </c>
      <c r="N282" s="110"/>
      <c r="O282" s="110"/>
      <c r="P282" s="110">
        <f t="shared" si="84"/>
        <v>256300</v>
      </c>
      <c r="Q282" s="110">
        <f t="shared" si="85"/>
        <v>1537800</v>
      </c>
      <c r="R282" s="110">
        <f t="shared" si="86"/>
        <v>1537800</v>
      </c>
      <c r="S282" s="112" t="s">
        <v>2990</v>
      </c>
    </row>
    <row r="283" spans="1:19" ht="30">
      <c r="A283" s="142"/>
      <c r="B283" s="153" t="s">
        <v>1257</v>
      </c>
      <c r="C283" s="142" t="s">
        <v>4</v>
      </c>
      <c r="D283" s="143">
        <v>6</v>
      </c>
      <c r="E283" s="144"/>
      <c r="F283" s="334">
        <v>6</v>
      </c>
      <c r="G283" s="112" t="s">
        <v>2996</v>
      </c>
      <c r="H283" s="120" t="s">
        <v>3011</v>
      </c>
      <c r="I283" s="120" t="s">
        <v>2748</v>
      </c>
      <c r="J283" s="120" t="s">
        <v>772</v>
      </c>
      <c r="K283" s="110">
        <v>351200</v>
      </c>
      <c r="L283" s="110"/>
      <c r="M283" s="110">
        <v>77500</v>
      </c>
      <c r="N283" s="110"/>
      <c r="O283" s="110"/>
      <c r="P283" s="110">
        <f t="shared" si="84"/>
        <v>428700</v>
      </c>
      <c r="Q283" s="110">
        <f t="shared" si="85"/>
        <v>2572200</v>
      </c>
      <c r="R283" s="110">
        <f t="shared" si="86"/>
        <v>2572200</v>
      </c>
      <c r="S283" s="112" t="s">
        <v>2996</v>
      </c>
    </row>
    <row r="284" spans="1:19" ht="60">
      <c r="A284" s="142"/>
      <c r="B284" s="153" t="s">
        <v>1386</v>
      </c>
      <c r="C284" s="142" t="s">
        <v>4</v>
      </c>
      <c r="D284" s="143">
        <v>12</v>
      </c>
      <c r="E284" s="144"/>
      <c r="F284" s="334">
        <v>12</v>
      </c>
      <c r="G284" s="112" t="s">
        <v>2990</v>
      </c>
      <c r="H284" s="120" t="s">
        <v>3012</v>
      </c>
      <c r="I284" s="120" t="s">
        <v>2748</v>
      </c>
      <c r="J284" s="120" t="s">
        <v>772</v>
      </c>
      <c r="K284" s="110">
        <v>403300</v>
      </c>
      <c r="L284" s="110"/>
      <c r="M284" s="110">
        <v>77500</v>
      </c>
      <c r="N284" s="110"/>
      <c r="O284" s="110"/>
      <c r="P284" s="110">
        <f t="shared" si="84"/>
        <v>480800</v>
      </c>
      <c r="Q284" s="110">
        <f t="shared" si="85"/>
        <v>5769600</v>
      </c>
      <c r="R284" s="110">
        <f t="shared" si="86"/>
        <v>5769600</v>
      </c>
      <c r="S284" s="112" t="s">
        <v>2990</v>
      </c>
    </row>
    <row r="285" spans="1:19" ht="45">
      <c r="A285" s="142"/>
      <c r="B285" s="153" t="s">
        <v>1387</v>
      </c>
      <c r="C285" s="142" t="s">
        <v>4</v>
      </c>
      <c r="D285" s="143">
        <v>25</v>
      </c>
      <c r="E285" s="144"/>
      <c r="F285" s="334">
        <v>25</v>
      </c>
      <c r="G285" s="112" t="s">
        <v>2996</v>
      </c>
      <c r="H285" s="120" t="s">
        <v>3013</v>
      </c>
      <c r="I285" s="120" t="s">
        <v>2748</v>
      </c>
      <c r="J285" s="120" t="s">
        <v>772</v>
      </c>
      <c r="K285" s="110">
        <v>248500</v>
      </c>
      <c r="L285" s="110"/>
      <c r="M285" s="110">
        <v>77500</v>
      </c>
      <c r="N285" s="110"/>
      <c r="O285" s="110"/>
      <c r="P285" s="110">
        <f t="shared" si="84"/>
        <v>326000</v>
      </c>
      <c r="Q285" s="110">
        <f t="shared" si="85"/>
        <v>8150000</v>
      </c>
      <c r="R285" s="110">
        <f t="shared" si="86"/>
        <v>8150000</v>
      </c>
      <c r="S285" s="112" t="s">
        <v>2996</v>
      </c>
    </row>
    <row r="286" spans="1:19" ht="45">
      <c r="A286" s="142"/>
      <c r="B286" s="153" t="s">
        <v>1262</v>
      </c>
      <c r="C286" s="142" t="s">
        <v>4</v>
      </c>
      <c r="D286" s="143">
        <v>19</v>
      </c>
      <c r="E286" s="144"/>
      <c r="F286" s="334">
        <v>19</v>
      </c>
      <c r="G286" s="112" t="s">
        <v>2996</v>
      </c>
      <c r="H286" s="120" t="s">
        <v>3014</v>
      </c>
      <c r="I286" s="120" t="s">
        <v>2748</v>
      </c>
      <c r="J286" s="120" t="s">
        <v>772</v>
      </c>
      <c r="K286" s="110">
        <v>218500</v>
      </c>
      <c r="L286" s="110"/>
      <c r="M286" s="110">
        <v>77500</v>
      </c>
      <c r="N286" s="110"/>
      <c r="O286" s="110"/>
      <c r="P286" s="110">
        <f t="shared" si="84"/>
        <v>296000</v>
      </c>
      <c r="Q286" s="110">
        <f t="shared" si="85"/>
        <v>5624000</v>
      </c>
      <c r="R286" s="110">
        <f t="shared" si="86"/>
        <v>5624000</v>
      </c>
      <c r="S286" s="112" t="s">
        <v>2996</v>
      </c>
    </row>
    <row r="287" spans="1:19" ht="30">
      <c r="A287" s="142"/>
      <c r="B287" s="153" t="s">
        <v>1388</v>
      </c>
      <c r="C287" s="142" t="s">
        <v>4</v>
      </c>
      <c r="D287" s="143">
        <v>146</v>
      </c>
      <c r="E287" s="144"/>
      <c r="F287" s="334">
        <v>146</v>
      </c>
      <c r="G287" s="112" t="s">
        <v>2996</v>
      </c>
      <c r="H287" s="120" t="s">
        <v>3011</v>
      </c>
      <c r="I287" s="120" t="s">
        <v>2748</v>
      </c>
      <c r="J287" s="120" t="s">
        <v>772</v>
      </c>
      <c r="K287" s="110">
        <v>222900</v>
      </c>
      <c r="L287" s="110"/>
      <c r="M287" s="110">
        <v>77500</v>
      </c>
      <c r="N287" s="110"/>
      <c r="O287" s="110"/>
      <c r="P287" s="110">
        <f t="shared" si="84"/>
        <v>300400</v>
      </c>
      <c r="Q287" s="110">
        <f t="shared" si="85"/>
        <v>43858400</v>
      </c>
      <c r="R287" s="110">
        <f t="shared" si="86"/>
        <v>43858400</v>
      </c>
      <c r="S287" s="112" t="s">
        <v>2996</v>
      </c>
    </row>
    <row r="288" spans="1:19" ht="45">
      <c r="A288" s="142"/>
      <c r="B288" s="153" t="s">
        <v>1389</v>
      </c>
      <c r="C288" s="142" t="s">
        <v>4</v>
      </c>
      <c r="D288" s="143">
        <v>439</v>
      </c>
      <c r="E288" s="144"/>
      <c r="F288" s="334">
        <v>439</v>
      </c>
      <c r="G288" s="112" t="s">
        <v>2996</v>
      </c>
      <c r="H288" s="120" t="s">
        <v>3015</v>
      </c>
      <c r="I288" s="120" t="s">
        <v>2748</v>
      </c>
      <c r="J288" s="120" t="s">
        <v>772</v>
      </c>
      <c r="K288" s="110">
        <v>189600</v>
      </c>
      <c r="L288" s="110"/>
      <c r="M288" s="110">
        <v>77500</v>
      </c>
      <c r="N288" s="110"/>
      <c r="O288" s="110"/>
      <c r="P288" s="110">
        <f t="shared" si="84"/>
        <v>267100</v>
      </c>
      <c r="Q288" s="110">
        <f t="shared" si="85"/>
        <v>117256900</v>
      </c>
      <c r="R288" s="110">
        <f t="shared" si="86"/>
        <v>117256900</v>
      </c>
      <c r="S288" s="112" t="s">
        <v>2996</v>
      </c>
    </row>
    <row r="289" spans="1:19" ht="45">
      <c r="A289" s="142"/>
      <c r="B289" s="153" t="s">
        <v>1390</v>
      </c>
      <c r="C289" s="142" t="s">
        <v>4</v>
      </c>
      <c r="D289" s="143">
        <v>145</v>
      </c>
      <c r="E289" s="144"/>
      <c r="F289" s="334">
        <v>145</v>
      </c>
      <c r="G289" s="112" t="s">
        <v>2990</v>
      </c>
      <c r="H289" s="120" t="s">
        <v>3016</v>
      </c>
      <c r="I289" s="120" t="s">
        <v>2748</v>
      </c>
      <c r="J289" s="120" t="s">
        <v>772</v>
      </c>
      <c r="K289" s="110">
        <v>100600</v>
      </c>
      <c r="L289" s="110"/>
      <c r="M289" s="110">
        <v>77500</v>
      </c>
      <c r="N289" s="110"/>
      <c r="O289" s="110"/>
      <c r="P289" s="110">
        <f t="shared" si="84"/>
        <v>178100</v>
      </c>
      <c r="Q289" s="110">
        <f t="shared" si="85"/>
        <v>25824500</v>
      </c>
      <c r="R289" s="110">
        <f t="shared" si="86"/>
        <v>25824500</v>
      </c>
      <c r="S289" s="112" t="s">
        <v>2990</v>
      </c>
    </row>
    <row r="290" spans="1:19" ht="30">
      <c r="A290" s="142"/>
      <c r="B290" s="153" t="s">
        <v>1250</v>
      </c>
      <c r="C290" s="142" t="s">
        <v>4</v>
      </c>
      <c r="D290" s="143">
        <v>337</v>
      </c>
      <c r="E290" s="144"/>
      <c r="F290" s="334">
        <v>337</v>
      </c>
      <c r="G290" s="112" t="s">
        <v>2996</v>
      </c>
      <c r="H290" s="120" t="s">
        <v>3017</v>
      </c>
      <c r="I290" s="120" t="s">
        <v>2748</v>
      </c>
      <c r="J290" s="120" t="s">
        <v>772</v>
      </c>
      <c r="K290" s="110">
        <v>109200</v>
      </c>
      <c r="L290" s="110"/>
      <c r="M290" s="110">
        <v>62000</v>
      </c>
      <c r="N290" s="110"/>
      <c r="O290" s="110"/>
      <c r="P290" s="110">
        <f t="shared" si="84"/>
        <v>171200</v>
      </c>
      <c r="Q290" s="110">
        <f t="shared" si="85"/>
        <v>57694400</v>
      </c>
      <c r="R290" s="110">
        <f t="shared" si="86"/>
        <v>57694400</v>
      </c>
      <c r="S290" s="112" t="s">
        <v>2996</v>
      </c>
    </row>
    <row r="291" spans="1:19" ht="45">
      <c r="A291" s="142"/>
      <c r="B291" s="153" t="s">
        <v>1263</v>
      </c>
      <c r="C291" s="142" t="s">
        <v>4</v>
      </c>
      <c r="D291" s="143">
        <v>202</v>
      </c>
      <c r="E291" s="144"/>
      <c r="F291" s="334">
        <v>202</v>
      </c>
      <c r="G291" s="112" t="s">
        <v>2990</v>
      </c>
      <c r="H291" s="120" t="s">
        <v>3018</v>
      </c>
      <c r="I291" s="120" t="s">
        <v>2748</v>
      </c>
      <c r="J291" s="120" t="s">
        <v>772</v>
      </c>
      <c r="K291" s="110">
        <v>68600</v>
      </c>
      <c r="L291" s="110"/>
      <c r="M291" s="110">
        <v>62000</v>
      </c>
      <c r="N291" s="110"/>
      <c r="O291" s="110"/>
      <c r="P291" s="110">
        <f t="shared" si="84"/>
        <v>130600</v>
      </c>
      <c r="Q291" s="110">
        <f t="shared" si="85"/>
        <v>26381200</v>
      </c>
      <c r="R291" s="110">
        <f t="shared" si="86"/>
        <v>26381200</v>
      </c>
      <c r="S291" s="112" t="s">
        <v>2990</v>
      </c>
    </row>
    <row r="292" spans="1:19" ht="45">
      <c r="A292" s="142"/>
      <c r="B292" s="153" t="s">
        <v>1285</v>
      </c>
      <c r="C292" s="142" t="s">
        <v>4</v>
      </c>
      <c r="D292" s="143">
        <v>932</v>
      </c>
      <c r="E292" s="144"/>
      <c r="F292" s="334">
        <v>932</v>
      </c>
      <c r="G292" s="112" t="s">
        <v>2990</v>
      </c>
      <c r="H292" s="120" t="s">
        <v>3019</v>
      </c>
      <c r="I292" s="120" t="s">
        <v>2748</v>
      </c>
      <c r="J292" s="120" t="s">
        <v>772</v>
      </c>
      <c r="K292" s="110">
        <v>64700</v>
      </c>
      <c r="L292" s="110"/>
      <c r="M292" s="110">
        <v>62000</v>
      </c>
      <c r="N292" s="110"/>
      <c r="O292" s="110"/>
      <c r="P292" s="110">
        <f t="shared" si="84"/>
        <v>126700</v>
      </c>
      <c r="Q292" s="110">
        <f t="shared" si="85"/>
        <v>118084400</v>
      </c>
      <c r="R292" s="110">
        <f t="shared" si="86"/>
        <v>118084400</v>
      </c>
      <c r="S292" s="112" t="s">
        <v>2990</v>
      </c>
    </row>
    <row r="293" spans="1:19" ht="30">
      <c r="A293" s="142"/>
      <c r="B293" s="153" t="s">
        <v>1252</v>
      </c>
      <c r="C293" s="142" t="s">
        <v>4</v>
      </c>
      <c r="D293" s="143">
        <v>313</v>
      </c>
      <c r="E293" s="144"/>
      <c r="F293" s="334">
        <v>313</v>
      </c>
      <c r="G293" s="112" t="s">
        <v>2996</v>
      </c>
      <c r="H293" s="120" t="s">
        <v>3021</v>
      </c>
      <c r="I293" s="120" t="s">
        <v>2748</v>
      </c>
      <c r="J293" s="120" t="s">
        <v>772</v>
      </c>
      <c r="K293" s="110">
        <v>71300</v>
      </c>
      <c r="L293" s="110"/>
      <c r="M293" s="110">
        <v>49600</v>
      </c>
      <c r="N293" s="110"/>
      <c r="O293" s="110"/>
      <c r="P293" s="110">
        <f t="shared" si="84"/>
        <v>120900</v>
      </c>
      <c r="Q293" s="110">
        <f t="shared" si="85"/>
        <v>37841700</v>
      </c>
      <c r="R293" s="110">
        <f t="shared" si="86"/>
        <v>37841700</v>
      </c>
      <c r="S293" s="112" t="s">
        <v>2996</v>
      </c>
    </row>
    <row r="294" spans="1:19">
      <c r="A294" s="142"/>
      <c r="B294" s="153" t="s">
        <v>1391</v>
      </c>
      <c r="C294" s="142" t="s">
        <v>4</v>
      </c>
      <c r="D294" s="143">
        <v>2</v>
      </c>
      <c r="E294" s="144"/>
      <c r="F294" s="334">
        <v>2</v>
      </c>
      <c r="G294" s="112">
        <v>0</v>
      </c>
      <c r="H294" s="120">
        <v>0</v>
      </c>
      <c r="I294" s="120" t="s">
        <v>2748</v>
      </c>
      <c r="J294" s="120" t="s">
        <v>772</v>
      </c>
      <c r="K294" s="110">
        <v>592000</v>
      </c>
      <c r="L294" s="110"/>
      <c r="M294" s="110">
        <v>0</v>
      </c>
      <c r="N294" s="110"/>
      <c r="O294" s="110"/>
      <c r="P294" s="110">
        <f t="shared" si="84"/>
        <v>592000</v>
      </c>
      <c r="Q294" s="110">
        <f t="shared" si="85"/>
        <v>1184000</v>
      </c>
      <c r="R294" s="110">
        <f t="shared" si="86"/>
        <v>1184000</v>
      </c>
      <c r="S294" s="112">
        <v>0</v>
      </c>
    </row>
    <row r="295" spans="1:19">
      <c r="A295" s="142">
        <v>7</v>
      </c>
      <c r="B295" s="153" t="s">
        <v>1392</v>
      </c>
      <c r="C295" s="142"/>
      <c r="D295" s="143"/>
      <c r="E295" s="144"/>
      <c r="F295" s="74"/>
      <c r="G295" s="120"/>
      <c r="H295" s="120"/>
      <c r="I295" s="120"/>
      <c r="J295" s="120"/>
      <c r="K295" s="74"/>
      <c r="L295" s="74"/>
      <c r="M295" s="74"/>
      <c r="N295" s="74"/>
      <c r="O295" s="74"/>
      <c r="P295" s="74"/>
      <c r="Q295" s="74"/>
      <c r="R295" s="74"/>
      <c r="S295" s="74"/>
    </row>
    <row r="296" spans="1:19" ht="30">
      <c r="A296" s="142"/>
      <c r="B296" s="153" t="s">
        <v>1371</v>
      </c>
      <c r="C296" s="142" t="s">
        <v>4</v>
      </c>
      <c r="D296" s="143">
        <v>21</v>
      </c>
      <c r="E296" s="144"/>
      <c r="F296" s="334">
        <v>21</v>
      </c>
      <c r="G296" s="112" t="s">
        <v>2990</v>
      </c>
      <c r="H296" s="120" t="s">
        <v>3029</v>
      </c>
      <c r="I296" s="120" t="s">
        <v>2748</v>
      </c>
      <c r="J296" s="120" t="s">
        <v>772</v>
      </c>
      <c r="K296" s="110">
        <v>866600</v>
      </c>
      <c r="L296" s="110"/>
      <c r="M296" s="110">
        <v>155000</v>
      </c>
      <c r="N296" s="110"/>
      <c r="O296" s="110"/>
      <c r="P296" s="110">
        <f t="shared" ref="P296:P305" si="87">K296+L296+M296+N296+O296</f>
        <v>1021600</v>
      </c>
      <c r="Q296" s="110">
        <f t="shared" ref="Q296:Q305" si="88">$P296*D296</f>
        <v>21453600</v>
      </c>
      <c r="R296" s="110">
        <f t="shared" ref="R296:R305" si="89">$P296*F296</f>
        <v>21453600</v>
      </c>
      <c r="S296" s="112" t="s">
        <v>2990</v>
      </c>
    </row>
    <row r="297" spans="1:19" ht="30">
      <c r="A297" s="142"/>
      <c r="B297" s="153" t="s">
        <v>1373</v>
      </c>
      <c r="C297" s="142" t="s">
        <v>4</v>
      </c>
      <c r="D297" s="143">
        <v>6</v>
      </c>
      <c r="E297" s="144"/>
      <c r="F297" s="334">
        <v>6</v>
      </c>
      <c r="G297" s="112" t="s">
        <v>2990</v>
      </c>
      <c r="H297" s="120" t="s">
        <v>3030</v>
      </c>
      <c r="I297" s="120" t="s">
        <v>2748</v>
      </c>
      <c r="J297" s="120" t="s">
        <v>772</v>
      </c>
      <c r="K297" s="110">
        <v>655300</v>
      </c>
      <c r="L297" s="110"/>
      <c r="M297" s="110">
        <v>155000</v>
      </c>
      <c r="N297" s="110"/>
      <c r="O297" s="110"/>
      <c r="P297" s="110">
        <f t="shared" si="87"/>
        <v>810300</v>
      </c>
      <c r="Q297" s="110">
        <f t="shared" si="88"/>
        <v>4861800</v>
      </c>
      <c r="R297" s="110">
        <f t="shared" si="89"/>
        <v>4861800</v>
      </c>
      <c r="S297" s="112" t="s">
        <v>2990</v>
      </c>
    </row>
    <row r="298" spans="1:19" ht="30">
      <c r="A298" s="142"/>
      <c r="B298" s="153" t="s">
        <v>1376</v>
      </c>
      <c r="C298" s="142" t="s">
        <v>4</v>
      </c>
      <c r="D298" s="143">
        <v>34</v>
      </c>
      <c r="E298" s="144"/>
      <c r="F298" s="334">
        <v>34</v>
      </c>
      <c r="G298" s="112" t="s">
        <v>3031</v>
      </c>
      <c r="H298" s="120" t="s">
        <v>3032</v>
      </c>
      <c r="I298" s="120" t="s">
        <v>2748</v>
      </c>
      <c r="J298" s="120" t="s">
        <v>772</v>
      </c>
      <c r="K298" s="110">
        <v>410200</v>
      </c>
      <c r="L298" s="110"/>
      <c r="M298" s="110">
        <v>124000</v>
      </c>
      <c r="N298" s="110"/>
      <c r="O298" s="110"/>
      <c r="P298" s="110">
        <f t="shared" si="87"/>
        <v>534200</v>
      </c>
      <c r="Q298" s="110">
        <f t="shared" si="88"/>
        <v>18162800</v>
      </c>
      <c r="R298" s="110">
        <f t="shared" si="89"/>
        <v>18162800</v>
      </c>
      <c r="S298" s="112" t="s">
        <v>3031</v>
      </c>
    </row>
    <row r="299" spans="1:19" ht="30">
      <c r="A299" s="142"/>
      <c r="B299" s="153" t="s">
        <v>1379</v>
      </c>
      <c r="C299" s="142" t="s">
        <v>4</v>
      </c>
      <c r="D299" s="143">
        <v>36</v>
      </c>
      <c r="E299" s="144"/>
      <c r="F299" s="334">
        <v>36</v>
      </c>
      <c r="G299" s="112" t="s">
        <v>2990</v>
      </c>
      <c r="H299" s="120" t="s">
        <v>3033</v>
      </c>
      <c r="I299" s="120" t="s">
        <v>2748</v>
      </c>
      <c r="J299" s="120" t="s">
        <v>772</v>
      </c>
      <c r="K299" s="110">
        <v>295400</v>
      </c>
      <c r="L299" s="110"/>
      <c r="M299" s="110">
        <v>93000</v>
      </c>
      <c r="N299" s="110"/>
      <c r="O299" s="110"/>
      <c r="P299" s="110">
        <f t="shared" si="87"/>
        <v>388400</v>
      </c>
      <c r="Q299" s="110">
        <f t="shared" si="88"/>
        <v>13982400</v>
      </c>
      <c r="R299" s="110">
        <f t="shared" si="89"/>
        <v>13982400</v>
      </c>
      <c r="S299" s="112" t="s">
        <v>2990</v>
      </c>
    </row>
    <row r="300" spans="1:19" ht="30">
      <c r="A300" s="142"/>
      <c r="B300" s="153" t="s">
        <v>1382</v>
      </c>
      <c r="C300" s="142" t="s">
        <v>4</v>
      </c>
      <c r="D300" s="143">
        <v>17</v>
      </c>
      <c r="E300" s="144"/>
      <c r="F300" s="334">
        <v>17</v>
      </c>
      <c r="G300" s="112" t="s">
        <v>3031</v>
      </c>
      <c r="H300" s="120" t="s">
        <v>3034</v>
      </c>
      <c r="I300" s="120" t="s">
        <v>2748</v>
      </c>
      <c r="J300" s="120" t="s">
        <v>772</v>
      </c>
      <c r="K300" s="110">
        <v>160400</v>
      </c>
      <c r="L300" s="110"/>
      <c r="M300" s="110">
        <v>93000</v>
      </c>
      <c r="N300" s="110"/>
      <c r="O300" s="110"/>
      <c r="P300" s="110">
        <f t="shared" si="87"/>
        <v>253400</v>
      </c>
      <c r="Q300" s="110">
        <f t="shared" si="88"/>
        <v>4307800</v>
      </c>
      <c r="R300" s="110">
        <f t="shared" si="89"/>
        <v>4307800</v>
      </c>
      <c r="S300" s="112" t="s">
        <v>3031</v>
      </c>
    </row>
    <row r="301" spans="1:19" ht="30">
      <c r="A301" s="142"/>
      <c r="B301" s="153" t="s">
        <v>1257</v>
      </c>
      <c r="C301" s="142" t="s">
        <v>4</v>
      </c>
      <c r="D301" s="143">
        <v>44</v>
      </c>
      <c r="E301" s="144"/>
      <c r="F301" s="334">
        <v>44</v>
      </c>
      <c r="G301" s="112" t="s">
        <v>3031</v>
      </c>
      <c r="H301" s="120" t="s">
        <v>3035</v>
      </c>
      <c r="I301" s="120" t="s">
        <v>2748</v>
      </c>
      <c r="J301" s="120" t="s">
        <v>772</v>
      </c>
      <c r="K301" s="110">
        <v>107100</v>
      </c>
      <c r="L301" s="110"/>
      <c r="M301" s="110">
        <v>77500</v>
      </c>
      <c r="N301" s="110"/>
      <c r="O301" s="110"/>
      <c r="P301" s="110">
        <f t="shared" si="87"/>
        <v>184600</v>
      </c>
      <c r="Q301" s="110">
        <f t="shared" si="88"/>
        <v>8122400</v>
      </c>
      <c r="R301" s="110">
        <f t="shared" si="89"/>
        <v>8122400</v>
      </c>
      <c r="S301" s="112" t="s">
        <v>3031</v>
      </c>
    </row>
    <row r="302" spans="1:19" ht="30">
      <c r="A302" s="142"/>
      <c r="B302" s="153" t="s">
        <v>1388</v>
      </c>
      <c r="C302" s="142" t="s">
        <v>4</v>
      </c>
      <c r="D302" s="143">
        <v>100</v>
      </c>
      <c r="E302" s="144"/>
      <c r="F302" s="334">
        <v>100</v>
      </c>
      <c r="G302" s="112" t="s">
        <v>3031</v>
      </c>
      <c r="H302" s="120" t="s">
        <v>3036</v>
      </c>
      <c r="I302" s="120" t="s">
        <v>2748</v>
      </c>
      <c r="J302" s="120" t="s">
        <v>772</v>
      </c>
      <c r="K302" s="110">
        <v>87000</v>
      </c>
      <c r="L302" s="110"/>
      <c r="M302" s="110">
        <v>77500</v>
      </c>
      <c r="N302" s="110"/>
      <c r="O302" s="110"/>
      <c r="P302" s="110">
        <f t="shared" si="87"/>
        <v>164500</v>
      </c>
      <c r="Q302" s="110">
        <f t="shared" si="88"/>
        <v>16450000</v>
      </c>
      <c r="R302" s="110">
        <f t="shared" si="89"/>
        <v>16450000</v>
      </c>
      <c r="S302" s="112" t="s">
        <v>3031</v>
      </c>
    </row>
    <row r="303" spans="1:19" ht="30">
      <c r="A303" s="142"/>
      <c r="B303" s="153" t="s">
        <v>1250</v>
      </c>
      <c r="C303" s="142" t="s">
        <v>4</v>
      </c>
      <c r="D303" s="143">
        <v>163</v>
      </c>
      <c r="E303" s="144"/>
      <c r="F303" s="334">
        <v>163</v>
      </c>
      <c r="G303" s="112" t="s">
        <v>3031</v>
      </c>
      <c r="H303" s="120" t="s">
        <v>3037</v>
      </c>
      <c r="I303" s="120" t="s">
        <v>2748</v>
      </c>
      <c r="J303" s="120" t="s">
        <v>772</v>
      </c>
      <c r="K303" s="110">
        <v>67000</v>
      </c>
      <c r="L303" s="110"/>
      <c r="M303" s="110">
        <v>62000</v>
      </c>
      <c r="N303" s="110"/>
      <c r="O303" s="110"/>
      <c r="P303" s="110">
        <f t="shared" si="87"/>
        <v>129000</v>
      </c>
      <c r="Q303" s="110">
        <f t="shared" si="88"/>
        <v>21027000</v>
      </c>
      <c r="R303" s="110">
        <f t="shared" si="89"/>
        <v>21027000</v>
      </c>
      <c r="S303" s="112" t="s">
        <v>3031</v>
      </c>
    </row>
    <row r="304" spans="1:19" ht="30">
      <c r="A304" s="142"/>
      <c r="B304" s="153" t="s">
        <v>1252</v>
      </c>
      <c r="C304" s="142" t="s">
        <v>4</v>
      </c>
      <c r="D304" s="143">
        <v>180</v>
      </c>
      <c r="E304" s="144"/>
      <c r="F304" s="334">
        <v>180</v>
      </c>
      <c r="G304" s="112" t="s">
        <v>3031</v>
      </c>
      <c r="H304" s="120" t="s">
        <v>3038</v>
      </c>
      <c r="I304" s="120" t="s">
        <v>2748</v>
      </c>
      <c r="J304" s="120" t="s">
        <v>772</v>
      </c>
      <c r="K304" s="110">
        <v>35700</v>
      </c>
      <c r="L304" s="110"/>
      <c r="M304" s="110">
        <v>49600</v>
      </c>
      <c r="N304" s="110"/>
      <c r="O304" s="110"/>
      <c r="P304" s="110">
        <f t="shared" si="87"/>
        <v>85300</v>
      </c>
      <c r="Q304" s="110">
        <f t="shared" si="88"/>
        <v>15354000</v>
      </c>
      <c r="R304" s="110">
        <f t="shared" si="89"/>
        <v>15354000</v>
      </c>
      <c r="S304" s="112" t="s">
        <v>3031</v>
      </c>
    </row>
    <row r="305" spans="1:19">
      <c r="A305" s="142"/>
      <c r="B305" s="153" t="s">
        <v>1393</v>
      </c>
      <c r="C305" s="142" t="s">
        <v>4</v>
      </c>
      <c r="D305" s="143">
        <v>10</v>
      </c>
      <c r="E305" s="144"/>
      <c r="F305" s="334">
        <v>10</v>
      </c>
      <c r="G305" s="112">
        <v>0</v>
      </c>
      <c r="H305" s="120" t="s">
        <v>2758</v>
      </c>
      <c r="I305" s="120" t="s">
        <v>2748</v>
      </c>
      <c r="J305" s="120" t="s">
        <v>772</v>
      </c>
      <c r="K305" s="110">
        <v>328700</v>
      </c>
      <c r="L305" s="110"/>
      <c r="M305" s="110">
        <v>0</v>
      </c>
      <c r="N305" s="110"/>
      <c r="O305" s="110"/>
      <c r="P305" s="110">
        <f t="shared" si="87"/>
        <v>328700</v>
      </c>
      <c r="Q305" s="110">
        <f t="shared" si="88"/>
        <v>3287000</v>
      </c>
      <c r="R305" s="110">
        <f t="shared" si="89"/>
        <v>3287000</v>
      </c>
      <c r="S305" s="112">
        <v>0</v>
      </c>
    </row>
    <row r="306" spans="1:19">
      <c r="A306" s="142">
        <v>8</v>
      </c>
      <c r="B306" s="153" t="s">
        <v>1394</v>
      </c>
      <c r="C306" s="142"/>
      <c r="D306" s="143"/>
      <c r="E306" s="144"/>
      <c r="F306" s="74"/>
      <c r="G306" s="120"/>
      <c r="H306" s="120"/>
      <c r="I306" s="120"/>
      <c r="J306" s="120"/>
      <c r="K306" s="74"/>
      <c r="L306" s="74"/>
      <c r="M306" s="74"/>
      <c r="N306" s="74"/>
      <c r="O306" s="74"/>
      <c r="P306" s="74"/>
      <c r="Q306" s="74"/>
      <c r="R306" s="74"/>
      <c r="S306" s="74"/>
    </row>
    <row r="307" spans="1:19" ht="30">
      <c r="A307" s="142"/>
      <c r="B307" s="153" t="s">
        <v>1395</v>
      </c>
      <c r="C307" s="142" t="s">
        <v>4</v>
      </c>
      <c r="D307" s="143">
        <v>7</v>
      </c>
      <c r="E307" s="144"/>
      <c r="F307" s="334">
        <v>7</v>
      </c>
      <c r="G307" s="112" t="s">
        <v>3043</v>
      </c>
      <c r="H307" s="120" t="s">
        <v>3044</v>
      </c>
      <c r="I307" s="120" t="s">
        <v>2748</v>
      </c>
      <c r="J307" s="120" t="s">
        <v>772</v>
      </c>
      <c r="K307" s="110">
        <v>668600</v>
      </c>
      <c r="L307" s="110"/>
      <c r="M307" s="110">
        <v>155000</v>
      </c>
      <c r="N307" s="110"/>
      <c r="O307" s="110"/>
      <c r="P307" s="110">
        <f t="shared" ref="P307:P313" si="90">K307+L307+M307+N307+O307</f>
        <v>823600</v>
      </c>
      <c r="Q307" s="110">
        <f t="shared" ref="Q307:Q313" si="91">$P307*D307</f>
        <v>5765200</v>
      </c>
      <c r="R307" s="110">
        <f t="shared" ref="R307:R313" si="92">$P307*F307</f>
        <v>5765200</v>
      </c>
      <c r="S307" s="112" t="s">
        <v>3043</v>
      </c>
    </row>
    <row r="308" spans="1:19" ht="30">
      <c r="A308" s="142"/>
      <c r="B308" s="153" t="s">
        <v>1396</v>
      </c>
      <c r="C308" s="142" t="s">
        <v>4</v>
      </c>
      <c r="D308" s="143">
        <v>4</v>
      </c>
      <c r="E308" s="144"/>
      <c r="F308" s="334">
        <v>4</v>
      </c>
      <c r="G308" s="112" t="s">
        <v>2990</v>
      </c>
      <c r="H308" s="120" t="s">
        <v>3045</v>
      </c>
      <c r="I308" s="120" t="s">
        <v>2748</v>
      </c>
      <c r="J308" s="120" t="s">
        <v>772</v>
      </c>
      <c r="K308" s="110">
        <v>392300</v>
      </c>
      <c r="L308" s="110"/>
      <c r="M308" s="110">
        <v>124000</v>
      </c>
      <c r="N308" s="110"/>
      <c r="O308" s="110"/>
      <c r="P308" s="110">
        <f t="shared" si="90"/>
        <v>516300</v>
      </c>
      <c r="Q308" s="110">
        <f t="shared" si="91"/>
        <v>2065200</v>
      </c>
      <c r="R308" s="110">
        <f t="shared" si="92"/>
        <v>2065200</v>
      </c>
      <c r="S308" s="112" t="s">
        <v>2990</v>
      </c>
    </row>
    <row r="309" spans="1:19" ht="30">
      <c r="A309" s="142"/>
      <c r="B309" s="153" t="s">
        <v>1397</v>
      </c>
      <c r="C309" s="142" t="s">
        <v>4</v>
      </c>
      <c r="D309" s="143">
        <v>49</v>
      </c>
      <c r="E309" s="144"/>
      <c r="F309" s="334">
        <v>49</v>
      </c>
      <c r="G309" s="112" t="s">
        <v>3047</v>
      </c>
      <c r="H309" s="120" t="s">
        <v>3048</v>
      </c>
      <c r="I309" s="120" t="s">
        <v>2748</v>
      </c>
      <c r="J309" s="120" t="s">
        <v>772</v>
      </c>
      <c r="K309" s="110">
        <v>245200</v>
      </c>
      <c r="L309" s="110"/>
      <c r="M309" s="110">
        <v>77500</v>
      </c>
      <c r="N309" s="110"/>
      <c r="O309" s="110"/>
      <c r="P309" s="110">
        <f t="shared" si="90"/>
        <v>322700</v>
      </c>
      <c r="Q309" s="110">
        <f t="shared" si="91"/>
        <v>15812300</v>
      </c>
      <c r="R309" s="110">
        <f t="shared" si="92"/>
        <v>15812300</v>
      </c>
      <c r="S309" s="112" t="s">
        <v>3047</v>
      </c>
    </row>
    <row r="310" spans="1:19" ht="30">
      <c r="A310" s="142"/>
      <c r="B310" s="153" t="s">
        <v>1398</v>
      </c>
      <c r="C310" s="142" t="s">
        <v>4</v>
      </c>
      <c r="D310" s="143">
        <v>67</v>
      </c>
      <c r="E310" s="144"/>
      <c r="F310" s="334">
        <v>67</v>
      </c>
      <c r="G310" s="112" t="s">
        <v>3049</v>
      </c>
      <c r="H310" s="120" t="s">
        <v>3050</v>
      </c>
      <c r="I310" s="120" t="s">
        <v>2748</v>
      </c>
      <c r="J310" s="120" t="s">
        <v>772</v>
      </c>
      <c r="K310" s="110">
        <v>72500</v>
      </c>
      <c r="L310" s="110"/>
      <c r="M310" s="110">
        <v>62000</v>
      </c>
      <c r="N310" s="110"/>
      <c r="O310" s="110"/>
      <c r="P310" s="110">
        <f t="shared" si="90"/>
        <v>134500</v>
      </c>
      <c r="Q310" s="110">
        <f t="shared" si="91"/>
        <v>9011500</v>
      </c>
      <c r="R310" s="110">
        <f t="shared" si="92"/>
        <v>9011500</v>
      </c>
      <c r="S310" s="112" t="s">
        <v>3049</v>
      </c>
    </row>
    <row r="311" spans="1:19" ht="30">
      <c r="A311" s="142"/>
      <c r="B311" s="153" t="s">
        <v>1399</v>
      </c>
      <c r="C311" s="142" t="s">
        <v>4</v>
      </c>
      <c r="D311" s="143">
        <v>89</v>
      </c>
      <c r="E311" s="144"/>
      <c r="F311" s="334">
        <v>89</v>
      </c>
      <c r="G311" s="112" t="s">
        <v>2990</v>
      </c>
      <c r="H311" s="120" t="s">
        <v>3051</v>
      </c>
      <c r="I311" s="120" t="s">
        <v>2748</v>
      </c>
      <c r="J311" s="120" t="s">
        <v>772</v>
      </c>
      <c r="K311" s="110">
        <v>46800</v>
      </c>
      <c r="L311" s="110"/>
      <c r="M311" s="110">
        <v>49600</v>
      </c>
      <c r="N311" s="110"/>
      <c r="O311" s="110"/>
      <c r="P311" s="110">
        <f t="shared" si="90"/>
        <v>96400</v>
      </c>
      <c r="Q311" s="110">
        <f t="shared" si="91"/>
        <v>8579600</v>
      </c>
      <c r="R311" s="110">
        <f t="shared" si="92"/>
        <v>8579600</v>
      </c>
      <c r="S311" s="112" t="s">
        <v>2990</v>
      </c>
    </row>
    <row r="312" spans="1:19" ht="30">
      <c r="A312" s="142"/>
      <c r="B312" s="153" t="s">
        <v>1400</v>
      </c>
      <c r="C312" s="142" t="s">
        <v>4</v>
      </c>
      <c r="D312" s="143">
        <v>62</v>
      </c>
      <c r="E312" s="144"/>
      <c r="F312" s="334">
        <v>62</v>
      </c>
      <c r="G312" s="112" t="s">
        <v>2990</v>
      </c>
      <c r="H312" s="120" t="s">
        <v>3053</v>
      </c>
      <c r="I312" s="120" t="s">
        <v>2748</v>
      </c>
      <c r="J312" s="120" t="s">
        <v>772</v>
      </c>
      <c r="K312" s="110">
        <v>8400</v>
      </c>
      <c r="L312" s="110"/>
      <c r="M312" s="110">
        <v>24800</v>
      </c>
      <c r="N312" s="110"/>
      <c r="O312" s="110"/>
      <c r="P312" s="110">
        <f t="shared" si="90"/>
        <v>33200</v>
      </c>
      <c r="Q312" s="110">
        <f t="shared" si="91"/>
        <v>2058400</v>
      </c>
      <c r="R312" s="110">
        <f t="shared" si="92"/>
        <v>2058400</v>
      </c>
      <c r="S312" s="112" t="s">
        <v>2990</v>
      </c>
    </row>
    <row r="313" spans="1:19">
      <c r="A313" s="142"/>
      <c r="B313" s="153" t="s">
        <v>1401</v>
      </c>
      <c r="C313" s="142" t="s">
        <v>4</v>
      </c>
      <c r="D313" s="143">
        <v>44</v>
      </c>
      <c r="E313" s="144"/>
      <c r="F313" s="334">
        <v>44</v>
      </c>
      <c r="G313" s="112">
        <v>0</v>
      </c>
      <c r="H313" s="120" t="s">
        <v>2755</v>
      </c>
      <c r="I313" s="120" t="s">
        <v>2748</v>
      </c>
      <c r="J313" s="120" t="s">
        <v>772</v>
      </c>
      <c r="K313" s="110">
        <v>141400</v>
      </c>
      <c r="L313" s="110"/>
      <c r="M313" s="110">
        <v>0</v>
      </c>
      <c r="N313" s="110"/>
      <c r="O313" s="110"/>
      <c r="P313" s="110">
        <f t="shared" si="90"/>
        <v>141400</v>
      </c>
      <c r="Q313" s="110">
        <f t="shared" si="91"/>
        <v>6221600</v>
      </c>
      <c r="R313" s="110">
        <f t="shared" si="92"/>
        <v>6221600</v>
      </c>
      <c r="S313" s="112">
        <v>0</v>
      </c>
    </row>
    <row r="314" spans="1:19">
      <c r="A314" s="142">
        <v>9</v>
      </c>
      <c r="B314" s="153" t="s">
        <v>1402</v>
      </c>
      <c r="C314" s="142"/>
      <c r="D314" s="143"/>
      <c r="E314" s="144"/>
      <c r="F314" s="74"/>
      <c r="G314" s="120"/>
      <c r="H314" s="120"/>
      <c r="I314" s="120"/>
      <c r="J314" s="120"/>
      <c r="K314" s="74"/>
      <c r="L314" s="74"/>
      <c r="M314" s="74"/>
      <c r="N314" s="74"/>
      <c r="O314" s="74"/>
      <c r="P314" s="74"/>
      <c r="Q314" s="74"/>
      <c r="R314" s="74"/>
      <c r="S314" s="74"/>
    </row>
    <row r="315" spans="1:19" ht="75">
      <c r="A315" s="142"/>
      <c r="B315" s="153" t="s">
        <v>1403</v>
      </c>
      <c r="C315" s="142" t="s">
        <v>4</v>
      </c>
      <c r="D315" s="143">
        <v>2</v>
      </c>
      <c r="E315" s="144"/>
      <c r="F315" s="334">
        <v>2</v>
      </c>
      <c r="G315" s="112" t="s">
        <v>3043</v>
      </c>
      <c r="H315" s="120" t="s">
        <v>3055</v>
      </c>
      <c r="I315" s="120" t="s">
        <v>2748</v>
      </c>
      <c r="J315" s="120" t="s">
        <v>772</v>
      </c>
      <c r="K315" s="110">
        <v>1585100</v>
      </c>
      <c r="L315" s="110"/>
      <c r="M315" s="110">
        <v>232500</v>
      </c>
      <c r="N315" s="110"/>
      <c r="O315" s="110"/>
      <c r="P315" s="110">
        <f t="shared" ref="P315:P328" si="93">K315+L315+M315+N315+O315</f>
        <v>1817600</v>
      </c>
      <c r="Q315" s="110">
        <f t="shared" ref="Q315:Q328" si="94">$P315*D315</f>
        <v>3635200</v>
      </c>
      <c r="R315" s="110">
        <f t="shared" ref="R315:R328" si="95">$P315*F315</f>
        <v>3635200</v>
      </c>
      <c r="S315" s="112" t="s">
        <v>3043</v>
      </c>
    </row>
    <row r="316" spans="1:19" ht="60">
      <c r="A316" s="142"/>
      <c r="B316" s="153" t="s">
        <v>1404</v>
      </c>
      <c r="C316" s="142" t="s">
        <v>4</v>
      </c>
      <c r="D316" s="143">
        <v>3</v>
      </c>
      <c r="E316" s="144"/>
      <c r="F316" s="334">
        <v>3</v>
      </c>
      <c r="G316" s="112" t="s">
        <v>3043</v>
      </c>
      <c r="H316" s="120" t="s">
        <v>3056</v>
      </c>
      <c r="I316" s="120" t="s">
        <v>2748</v>
      </c>
      <c r="J316" s="120" t="s">
        <v>772</v>
      </c>
      <c r="K316" s="110">
        <v>530600</v>
      </c>
      <c r="L316" s="110"/>
      <c r="M316" s="110">
        <v>186000</v>
      </c>
      <c r="N316" s="110"/>
      <c r="O316" s="110"/>
      <c r="P316" s="110">
        <f t="shared" si="93"/>
        <v>716600</v>
      </c>
      <c r="Q316" s="110">
        <f t="shared" si="94"/>
        <v>2149800</v>
      </c>
      <c r="R316" s="110">
        <f t="shared" si="95"/>
        <v>2149800</v>
      </c>
      <c r="S316" s="112" t="s">
        <v>3043</v>
      </c>
    </row>
    <row r="317" spans="1:19" ht="30">
      <c r="A317" s="142"/>
      <c r="B317" s="153" t="s">
        <v>1397</v>
      </c>
      <c r="C317" s="142" t="s">
        <v>4</v>
      </c>
      <c r="D317" s="143">
        <v>5</v>
      </c>
      <c r="E317" s="144"/>
      <c r="F317" s="334">
        <v>5</v>
      </c>
      <c r="G317" s="112" t="s">
        <v>2990</v>
      </c>
      <c r="H317" s="120" t="s">
        <v>3057</v>
      </c>
      <c r="I317" s="120" t="s">
        <v>2748</v>
      </c>
      <c r="J317" s="120" t="s">
        <v>772</v>
      </c>
      <c r="K317" s="110">
        <v>203900</v>
      </c>
      <c r="L317" s="110"/>
      <c r="M317" s="110">
        <v>116300</v>
      </c>
      <c r="N317" s="110"/>
      <c r="O317" s="110"/>
      <c r="P317" s="110">
        <f t="shared" si="93"/>
        <v>320200</v>
      </c>
      <c r="Q317" s="110">
        <f t="shared" si="94"/>
        <v>1601000</v>
      </c>
      <c r="R317" s="110">
        <f t="shared" si="95"/>
        <v>1601000</v>
      </c>
      <c r="S317" s="112" t="s">
        <v>2990</v>
      </c>
    </row>
    <row r="318" spans="1:19" ht="30">
      <c r="A318" s="142"/>
      <c r="B318" s="153" t="s">
        <v>1405</v>
      </c>
      <c r="C318" s="142" t="s">
        <v>4</v>
      </c>
      <c r="D318" s="143">
        <v>18</v>
      </c>
      <c r="E318" s="144"/>
      <c r="F318" s="334">
        <v>18</v>
      </c>
      <c r="G318" s="112" t="s">
        <v>3043</v>
      </c>
      <c r="H318" s="120" t="s">
        <v>3058</v>
      </c>
      <c r="I318" s="120" t="s">
        <v>2748</v>
      </c>
      <c r="J318" s="120" t="s">
        <v>772</v>
      </c>
      <c r="K318" s="110">
        <v>120400</v>
      </c>
      <c r="L318" s="110"/>
      <c r="M318" s="110">
        <v>116300</v>
      </c>
      <c r="N318" s="110"/>
      <c r="O318" s="110"/>
      <c r="P318" s="110">
        <f t="shared" si="93"/>
        <v>236700</v>
      </c>
      <c r="Q318" s="110">
        <f t="shared" si="94"/>
        <v>4260600</v>
      </c>
      <c r="R318" s="110">
        <f t="shared" si="95"/>
        <v>4260600</v>
      </c>
      <c r="S318" s="112" t="s">
        <v>3043</v>
      </c>
    </row>
    <row r="319" spans="1:19" ht="30">
      <c r="A319" s="142"/>
      <c r="B319" s="153" t="s">
        <v>1406</v>
      </c>
      <c r="C319" s="142" t="s">
        <v>4</v>
      </c>
      <c r="D319" s="143">
        <v>35</v>
      </c>
      <c r="E319" s="144"/>
      <c r="F319" s="334">
        <v>35</v>
      </c>
      <c r="G319" s="112" t="s">
        <v>3043</v>
      </c>
      <c r="H319" s="120" t="s">
        <v>3059</v>
      </c>
      <c r="I319" s="120" t="s">
        <v>2748</v>
      </c>
      <c r="J319" s="120" t="s">
        <v>772</v>
      </c>
      <c r="K319" s="110">
        <v>109800</v>
      </c>
      <c r="L319" s="110"/>
      <c r="M319" s="110">
        <v>116300</v>
      </c>
      <c r="N319" s="110"/>
      <c r="O319" s="110"/>
      <c r="P319" s="110">
        <f t="shared" si="93"/>
        <v>226100</v>
      </c>
      <c r="Q319" s="110">
        <f t="shared" si="94"/>
        <v>7913500</v>
      </c>
      <c r="R319" s="110">
        <f t="shared" si="95"/>
        <v>7913500</v>
      </c>
      <c r="S319" s="112" t="s">
        <v>3043</v>
      </c>
    </row>
    <row r="320" spans="1:19" ht="30">
      <c r="A320" s="146"/>
      <c r="B320" s="150" t="s">
        <v>1407</v>
      </c>
      <c r="C320" s="146" t="s">
        <v>4</v>
      </c>
      <c r="D320" s="147">
        <v>3</v>
      </c>
      <c r="E320" s="148"/>
      <c r="F320" s="334">
        <v>3</v>
      </c>
      <c r="G320" s="112" t="s">
        <v>3043</v>
      </c>
      <c r="H320" s="120" t="s">
        <v>3060</v>
      </c>
      <c r="I320" s="120" t="s">
        <v>2748</v>
      </c>
      <c r="J320" s="120" t="s">
        <v>772</v>
      </c>
      <c r="K320" s="110">
        <v>301000</v>
      </c>
      <c r="L320" s="110"/>
      <c r="M320" s="110">
        <v>139500</v>
      </c>
      <c r="N320" s="110"/>
      <c r="O320" s="110"/>
      <c r="P320" s="110">
        <f t="shared" si="93"/>
        <v>440500</v>
      </c>
      <c r="Q320" s="110">
        <f t="shared" si="94"/>
        <v>1321500</v>
      </c>
      <c r="R320" s="110">
        <f t="shared" si="95"/>
        <v>1321500</v>
      </c>
      <c r="S320" s="112" t="s">
        <v>3043</v>
      </c>
    </row>
    <row r="321" spans="1:19" ht="30">
      <c r="A321" s="146"/>
      <c r="B321" s="150" t="s">
        <v>1408</v>
      </c>
      <c r="C321" s="146" t="s">
        <v>4</v>
      </c>
      <c r="D321" s="147">
        <v>3</v>
      </c>
      <c r="E321" s="148"/>
      <c r="F321" s="334">
        <v>3</v>
      </c>
      <c r="G321" s="112" t="s">
        <v>3043</v>
      </c>
      <c r="H321" s="120" t="s">
        <v>3061</v>
      </c>
      <c r="I321" s="120" t="s">
        <v>2748</v>
      </c>
      <c r="J321" s="120" t="s">
        <v>772</v>
      </c>
      <c r="K321" s="110">
        <v>150600</v>
      </c>
      <c r="L321" s="110"/>
      <c r="M321" s="110">
        <v>139500</v>
      </c>
      <c r="N321" s="110"/>
      <c r="O321" s="110"/>
      <c r="P321" s="110">
        <f t="shared" si="93"/>
        <v>290100</v>
      </c>
      <c r="Q321" s="110">
        <f t="shared" si="94"/>
        <v>870300</v>
      </c>
      <c r="R321" s="110">
        <f t="shared" si="95"/>
        <v>870300</v>
      </c>
      <c r="S321" s="112" t="s">
        <v>3043</v>
      </c>
    </row>
    <row r="322" spans="1:19" ht="30">
      <c r="A322" s="146"/>
      <c r="B322" s="150" t="s">
        <v>1409</v>
      </c>
      <c r="C322" s="146" t="s">
        <v>4</v>
      </c>
      <c r="D322" s="147">
        <v>2</v>
      </c>
      <c r="E322" s="148"/>
      <c r="F322" s="334">
        <v>2</v>
      </c>
      <c r="G322" s="112" t="s">
        <v>3043</v>
      </c>
      <c r="H322" s="120" t="s">
        <v>3059</v>
      </c>
      <c r="I322" s="120" t="s">
        <v>2748</v>
      </c>
      <c r="J322" s="120" t="s">
        <v>772</v>
      </c>
      <c r="K322" s="110">
        <v>109800</v>
      </c>
      <c r="L322" s="110"/>
      <c r="M322" s="110">
        <v>116300</v>
      </c>
      <c r="N322" s="110"/>
      <c r="O322" s="110"/>
      <c r="P322" s="110">
        <f t="shared" si="93"/>
        <v>226100</v>
      </c>
      <c r="Q322" s="110">
        <f t="shared" si="94"/>
        <v>452200</v>
      </c>
      <c r="R322" s="110">
        <f t="shared" si="95"/>
        <v>452200</v>
      </c>
      <c r="S322" s="112" t="s">
        <v>3043</v>
      </c>
    </row>
    <row r="323" spans="1:19" ht="30">
      <c r="A323" s="142"/>
      <c r="B323" s="153" t="s">
        <v>1398</v>
      </c>
      <c r="C323" s="142" t="s">
        <v>4</v>
      </c>
      <c r="D323" s="143">
        <v>6</v>
      </c>
      <c r="E323" s="144"/>
      <c r="F323" s="334">
        <v>6</v>
      </c>
      <c r="G323" s="112" t="s">
        <v>2990</v>
      </c>
      <c r="H323" s="120" t="s">
        <v>3062</v>
      </c>
      <c r="I323" s="120" t="s">
        <v>2748</v>
      </c>
      <c r="J323" s="120" t="s">
        <v>772</v>
      </c>
      <c r="K323" s="110">
        <v>91400</v>
      </c>
      <c r="L323" s="110"/>
      <c r="M323" s="110">
        <v>93000</v>
      </c>
      <c r="N323" s="110"/>
      <c r="O323" s="110"/>
      <c r="P323" s="110">
        <f t="shared" si="93"/>
        <v>184400</v>
      </c>
      <c r="Q323" s="110">
        <f t="shared" si="94"/>
        <v>1106400</v>
      </c>
      <c r="R323" s="110">
        <f t="shared" si="95"/>
        <v>1106400</v>
      </c>
      <c r="S323" s="112" t="s">
        <v>2990</v>
      </c>
    </row>
    <row r="324" spans="1:19" ht="30">
      <c r="A324" s="142"/>
      <c r="B324" s="153" t="s">
        <v>1410</v>
      </c>
      <c r="C324" s="142" t="s">
        <v>4</v>
      </c>
      <c r="D324" s="143">
        <v>13</v>
      </c>
      <c r="E324" s="144"/>
      <c r="F324" s="334">
        <v>13</v>
      </c>
      <c r="G324" s="112" t="s">
        <v>3043</v>
      </c>
      <c r="H324" s="120" t="s">
        <v>3063</v>
      </c>
      <c r="I324" s="120" t="s">
        <v>2748</v>
      </c>
      <c r="J324" s="120" t="s">
        <v>772</v>
      </c>
      <c r="K324" s="110">
        <v>56000</v>
      </c>
      <c r="L324" s="110"/>
      <c r="M324" s="110">
        <v>93000</v>
      </c>
      <c r="N324" s="110"/>
      <c r="O324" s="110"/>
      <c r="P324" s="110">
        <f t="shared" si="93"/>
        <v>149000</v>
      </c>
      <c r="Q324" s="110">
        <f t="shared" si="94"/>
        <v>1937000</v>
      </c>
      <c r="R324" s="110">
        <f t="shared" si="95"/>
        <v>1937000</v>
      </c>
      <c r="S324" s="112" t="s">
        <v>3043</v>
      </c>
    </row>
    <row r="325" spans="1:19" ht="30">
      <c r="A325" s="142"/>
      <c r="B325" s="153" t="s">
        <v>1399</v>
      </c>
      <c r="C325" s="142" t="s">
        <v>4</v>
      </c>
      <c r="D325" s="143">
        <v>20</v>
      </c>
      <c r="E325" s="144"/>
      <c r="F325" s="334">
        <v>20</v>
      </c>
      <c r="G325" s="112" t="s">
        <v>2990</v>
      </c>
      <c r="H325" s="120" t="s">
        <v>3064</v>
      </c>
      <c r="I325" s="120" t="s">
        <v>2748</v>
      </c>
      <c r="J325" s="120" t="s">
        <v>772</v>
      </c>
      <c r="K325" s="110">
        <v>67000</v>
      </c>
      <c r="L325" s="110"/>
      <c r="M325" s="110">
        <v>49600</v>
      </c>
      <c r="N325" s="110"/>
      <c r="O325" s="110"/>
      <c r="P325" s="110">
        <f t="shared" si="93"/>
        <v>116600</v>
      </c>
      <c r="Q325" s="110">
        <f t="shared" si="94"/>
        <v>2332000</v>
      </c>
      <c r="R325" s="110">
        <f t="shared" si="95"/>
        <v>2332000</v>
      </c>
      <c r="S325" s="112" t="s">
        <v>2990</v>
      </c>
    </row>
    <row r="326" spans="1:19" ht="30">
      <c r="A326" s="142"/>
      <c r="B326" s="153" t="s">
        <v>1411</v>
      </c>
      <c r="C326" s="142" t="s">
        <v>4</v>
      </c>
      <c r="D326" s="143">
        <v>5</v>
      </c>
      <c r="E326" s="144"/>
      <c r="F326" s="334">
        <v>5</v>
      </c>
      <c r="G326" s="112" t="s">
        <v>2990</v>
      </c>
      <c r="H326" s="120" t="s">
        <v>3065</v>
      </c>
      <c r="I326" s="120" t="s">
        <v>2748</v>
      </c>
      <c r="J326" s="120" t="s">
        <v>772</v>
      </c>
      <c r="K326" s="110">
        <v>53900</v>
      </c>
      <c r="L326" s="110"/>
      <c r="M326" s="110">
        <v>49600</v>
      </c>
      <c r="N326" s="110"/>
      <c r="O326" s="110"/>
      <c r="P326" s="110">
        <f t="shared" si="93"/>
        <v>103500</v>
      </c>
      <c r="Q326" s="110">
        <f t="shared" si="94"/>
        <v>517500</v>
      </c>
      <c r="R326" s="110">
        <f t="shared" si="95"/>
        <v>517500</v>
      </c>
      <c r="S326" s="112" t="s">
        <v>2990</v>
      </c>
    </row>
    <row r="327" spans="1:19" ht="30">
      <c r="A327" s="142"/>
      <c r="B327" s="153" t="s">
        <v>1412</v>
      </c>
      <c r="C327" s="142" t="s">
        <v>4</v>
      </c>
      <c r="D327" s="143">
        <v>814</v>
      </c>
      <c r="E327" s="144"/>
      <c r="F327" s="334">
        <v>814</v>
      </c>
      <c r="G327" s="112" t="s">
        <v>2990</v>
      </c>
      <c r="H327" s="120" t="s">
        <v>3066</v>
      </c>
      <c r="I327" s="120" t="s">
        <v>2748</v>
      </c>
      <c r="J327" s="120" t="s">
        <v>772</v>
      </c>
      <c r="K327" s="110">
        <v>40000</v>
      </c>
      <c r="L327" s="110"/>
      <c r="M327" s="110">
        <v>49600</v>
      </c>
      <c r="N327" s="110"/>
      <c r="O327" s="110"/>
      <c r="P327" s="110">
        <f t="shared" si="93"/>
        <v>89600</v>
      </c>
      <c r="Q327" s="110">
        <f t="shared" si="94"/>
        <v>72934400</v>
      </c>
      <c r="R327" s="110">
        <f t="shared" si="95"/>
        <v>72934400</v>
      </c>
      <c r="S327" s="112" t="s">
        <v>2990</v>
      </c>
    </row>
    <row r="328" spans="1:19">
      <c r="A328" s="142"/>
      <c r="B328" s="153" t="s">
        <v>1413</v>
      </c>
      <c r="C328" s="142" t="s">
        <v>4</v>
      </c>
      <c r="D328" s="143">
        <v>4</v>
      </c>
      <c r="E328" s="144"/>
      <c r="F328" s="334">
        <v>4</v>
      </c>
      <c r="G328" s="112">
        <v>0</v>
      </c>
      <c r="H328" s="120">
        <v>0</v>
      </c>
      <c r="I328" s="120" t="s">
        <v>2748</v>
      </c>
      <c r="J328" s="120" t="s">
        <v>772</v>
      </c>
      <c r="K328" s="110">
        <v>141500</v>
      </c>
      <c r="L328" s="110"/>
      <c r="M328" s="110">
        <v>0</v>
      </c>
      <c r="N328" s="110"/>
      <c r="O328" s="110"/>
      <c r="P328" s="110">
        <f t="shared" si="93"/>
        <v>141500</v>
      </c>
      <c r="Q328" s="110">
        <f t="shared" si="94"/>
        <v>566000</v>
      </c>
      <c r="R328" s="110">
        <f t="shared" si="95"/>
        <v>566000</v>
      </c>
      <c r="S328" s="112">
        <v>0</v>
      </c>
    </row>
    <row r="329" spans="1:19">
      <c r="A329" s="142">
        <v>10</v>
      </c>
      <c r="B329" s="153" t="s">
        <v>1414</v>
      </c>
      <c r="C329" s="142"/>
      <c r="D329" s="143"/>
      <c r="E329" s="144"/>
      <c r="F329" s="74"/>
      <c r="G329" s="120"/>
      <c r="H329" s="120"/>
      <c r="I329" s="120"/>
      <c r="J329" s="120"/>
      <c r="K329" s="74"/>
      <c r="L329" s="74"/>
      <c r="M329" s="74"/>
      <c r="N329" s="74"/>
      <c r="O329" s="74"/>
      <c r="P329" s="74"/>
      <c r="Q329" s="74"/>
      <c r="R329" s="74"/>
      <c r="S329" s="74"/>
    </row>
    <row r="330" spans="1:19" ht="30">
      <c r="A330" s="142"/>
      <c r="B330" s="153" t="s">
        <v>1351</v>
      </c>
      <c r="C330" s="142" t="s">
        <v>4</v>
      </c>
      <c r="D330" s="143">
        <v>14</v>
      </c>
      <c r="E330" s="144"/>
      <c r="F330" s="334">
        <v>14</v>
      </c>
      <c r="G330" s="112" t="s">
        <v>3043</v>
      </c>
      <c r="H330" s="120" t="s">
        <v>3078</v>
      </c>
      <c r="I330" s="120" t="s">
        <v>2748</v>
      </c>
      <c r="J330" s="120" t="s">
        <v>772</v>
      </c>
      <c r="K330" s="110">
        <v>657500</v>
      </c>
      <c r="L330" s="110"/>
      <c r="M330" s="110">
        <v>155000</v>
      </c>
      <c r="N330" s="110"/>
      <c r="O330" s="110"/>
      <c r="P330" s="110">
        <f t="shared" ref="P330:P338" si="96">K330+L330+M330+N330+O330</f>
        <v>812500</v>
      </c>
      <c r="Q330" s="110">
        <f t="shared" ref="Q330:Q338" si="97">$P330*D330</f>
        <v>11375000</v>
      </c>
      <c r="R330" s="110">
        <f t="shared" ref="R330:R338" si="98">$P330*F330</f>
        <v>11375000</v>
      </c>
      <c r="S330" s="112" t="s">
        <v>3043</v>
      </c>
    </row>
    <row r="331" spans="1:19" ht="30">
      <c r="A331" s="142"/>
      <c r="B331" s="153" t="s">
        <v>1353</v>
      </c>
      <c r="C331" s="142" t="s">
        <v>4</v>
      </c>
      <c r="D331" s="143">
        <v>15</v>
      </c>
      <c r="E331" s="144"/>
      <c r="F331" s="334">
        <v>15</v>
      </c>
      <c r="G331" s="112" t="s">
        <v>2990</v>
      </c>
      <c r="H331" s="120" t="s">
        <v>3079</v>
      </c>
      <c r="I331" s="120" t="s">
        <v>2748</v>
      </c>
      <c r="J331" s="120" t="s">
        <v>772</v>
      </c>
      <c r="K331" s="110">
        <v>655300</v>
      </c>
      <c r="L331" s="110"/>
      <c r="M331" s="110">
        <v>155000</v>
      </c>
      <c r="N331" s="110"/>
      <c r="O331" s="110"/>
      <c r="P331" s="110">
        <f t="shared" si="96"/>
        <v>810300</v>
      </c>
      <c r="Q331" s="110">
        <f t="shared" si="97"/>
        <v>12154500</v>
      </c>
      <c r="R331" s="110">
        <f t="shared" si="98"/>
        <v>12154500</v>
      </c>
      <c r="S331" s="112" t="s">
        <v>2990</v>
      </c>
    </row>
    <row r="332" spans="1:19" ht="30">
      <c r="A332" s="142"/>
      <c r="B332" s="153" t="s">
        <v>1354</v>
      </c>
      <c r="C332" s="142" t="s">
        <v>4</v>
      </c>
      <c r="D332" s="143">
        <v>20</v>
      </c>
      <c r="E332" s="144"/>
      <c r="F332" s="334">
        <v>20</v>
      </c>
      <c r="G332" s="112" t="s">
        <v>2990</v>
      </c>
      <c r="H332" s="120" t="s">
        <v>3080</v>
      </c>
      <c r="I332" s="120" t="s">
        <v>2748</v>
      </c>
      <c r="J332" s="120" t="s">
        <v>772</v>
      </c>
      <c r="K332" s="110">
        <v>206700</v>
      </c>
      <c r="L332" s="110"/>
      <c r="M332" s="110">
        <v>124000</v>
      </c>
      <c r="N332" s="110"/>
      <c r="O332" s="110"/>
      <c r="P332" s="110">
        <f t="shared" si="96"/>
        <v>330700</v>
      </c>
      <c r="Q332" s="110">
        <f t="shared" si="97"/>
        <v>6614000</v>
      </c>
      <c r="R332" s="110">
        <f t="shared" si="98"/>
        <v>6614000</v>
      </c>
      <c r="S332" s="112" t="s">
        <v>2990</v>
      </c>
    </row>
    <row r="333" spans="1:19" ht="30">
      <c r="A333" s="142"/>
      <c r="B333" s="153" t="s">
        <v>1355</v>
      </c>
      <c r="C333" s="142" t="s">
        <v>4</v>
      </c>
      <c r="D333" s="143">
        <v>15</v>
      </c>
      <c r="E333" s="144"/>
      <c r="F333" s="334">
        <v>15</v>
      </c>
      <c r="G333" s="112" t="s">
        <v>2990</v>
      </c>
      <c r="H333" s="120" t="s">
        <v>3080</v>
      </c>
      <c r="I333" s="120" t="s">
        <v>2748</v>
      </c>
      <c r="J333" s="120" t="s">
        <v>772</v>
      </c>
      <c r="K333" s="110">
        <v>206700</v>
      </c>
      <c r="L333" s="110"/>
      <c r="M333" s="110">
        <v>93000</v>
      </c>
      <c r="N333" s="110"/>
      <c r="O333" s="110"/>
      <c r="P333" s="110">
        <f t="shared" si="96"/>
        <v>299700</v>
      </c>
      <c r="Q333" s="110">
        <f t="shared" si="97"/>
        <v>4495500</v>
      </c>
      <c r="R333" s="110">
        <f t="shared" si="98"/>
        <v>4495500</v>
      </c>
      <c r="S333" s="112" t="s">
        <v>2990</v>
      </c>
    </row>
    <row r="334" spans="1:19" ht="30">
      <c r="A334" s="142"/>
      <c r="B334" s="153" t="s">
        <v>1356</v>
      </c>
      <c r="C334" s="142" t="s">
        <v>4</v>
      </c>
      <c r="D334" s="143">
        <v>10</v>
      </c>
      <c r="E334" s="144"/>
      <c r="F334" s="334">
        <v>10</v>
      </c>
      <c r="G334" s="112" t="s">
        <v>2990</v>
      </c>
      <c r="H334" s="120" t="s">
        <v>3081</v>
      </c>
      <c r="I334" s="120" t="s">
        <v>2748</v>
      </c>
      <c r="J334" s="120" t="s">
        <v>772</v>
      </c>
      <c r="K334" s="110">
        <v>123400</v>
      </c>
      <c r="L334" s="110"/>
      <c r="M334" s="110">
        <v>93000</v>
      </c>
      <c r="N334" s="110"/>
      <c r="O334" s="110"/>
      <c r="P334" s="110">
        <f t="shared" si="96"/>
        <v>216400</v>
      </c>
      <c r="Q334" s="110">
        <f t="shared" si="97"/>
        <v>2164000</v>
      </c>
      <c r="R334" s="110">
        <f t="shared" si="98"/>
        <v>2164000</v>
      </c>
      <c r="S334" s="112" t="s">
        <v>2990</v>
      </c>
    </row>
    <row r="335" spans="1:19" ht="30">
      <c r="A335" s="142"/>
      <c r="B335" s="153" t="s">
        <v>1357</v>
      </c>
      <c r="C335" s="142" t="s">
        <v>4</v>
      </c>
      <c r="D335" s="143">
        <v>36</v>
      </c>
      <c r="E335" s="144"/>
      <c r="F335" s="334">
        <v>36</v>
      </c>
      <c r="G335" s="112" t="s">
        <v>2996</v>
      </c>
      <c r="H335" s="120" t="s">
        <v>3082</v>
      </c>
      <c r="I335" s="120" t="s">
        <v>2748</v>
      </c>
      <c r="J335" s="120" t="s">
        <v>772</v>
      </c>
      <c r="K335" s="110">
        <v>108100</v>
      </c>
      <c r="L335" s="110"/>
      <c r="M335" s="110">
        <v>77500</v>
      </c>
      <c r="N335" s="110"/>
      <c r="O335" s="110"/>
      <c r="P335" s="110">
        <f t="shared" si="96"/>
        <v>185600</v>
      </c>
      <c r="Q335" s="110">
        <f t="shared" si="97"/>
        <v>6681600</v>
      </c>
      <c r="R335" s="110">
        <f t="shared" si="98"/>
        <v>6681600</v>
      </c>
      <c r="S335" s="112" t="s">
        <v>2996</v>
      </c>
    </row>
    <row r="336" spans="1:19" ht="30">
      <c r="A336" s="142"/>
      <c r="B336" s="153" t="s">
        <v>1358</v>
      </c>
      <c r="C336" s="142" t="s">
        <v>4</v>
      </c>
      <c r="D336" s="143">
        <v>206</v>
      </c>
      <c r="E336" s="144"/>
      <c r="F336" s="334">
        <v>206</v>
      </c>
      <c r="G336" s="112" t="s">
        <v>2996</v>
      </c>
      <c r="H336" s="120" t="s">
        <v>3083</v>
      </c>
      <c r="I336" s="120" t="s">
        <v>2748</v>
      </c>
      <c r="J336" s="120" t="s">
        <v>772</v>
      </c>
      <c r="K336" s="110">
        <v>82500</v>
      </c>
      <c r="L336" s="110"/>
      <c r="M336" s="110">
        <v>77500</v>
      </c>
      <c r="N336" s="110"/>
      <c r="O336" s="110"/>
      <c r="P336" s="110">
        <f t="shared" si="96"/>
        <v>160000</v>
      </c>
      <c r="Q336" s="110">
        <f t="shared" si="97"/>
        <v>32960000</v>
      </c>
      <c r="R336" s="110">
        <f t="shared" si="98"/>
        <v>32960000</v>
      </c>
      <c r="S336" s="112" t="s">
        <v>2996</v>
      </c>
    </row>
    <row r="337" spans="1:19" ht="30">
      <c r="A337" s="142"/>
      <c r="B337" s="153" t="s">
        <v>1360</v>
      </c>
      <c r="C337" s="142" t="s">
        <v>4</v>
      </c>
      <c r="D337" s="143">
        <v>339</v>
      </c>
      <c r="E337" s="144"/>
      <c r="F337" s="334">
        <v>339</v>
      </c>
      <c r="G337" s="112" t="s">
        <v>2996</v>
      </c>
      <c r="H337" s="120" t="s">
        <v>3084</v>
      </c>
      <c r="I337" s="120" t="s">
        <v>2748</v>
      </c>
      <c r="J337" s="120" t="s">
        <v>772</v>
      </c>
      <c r="K337" s="110">
        <v>52000</v>
      </c>
      <c r="L337" s="110"/>
      <c r="M337" s="110">
        <v>62000</v>
      </c>
      <c r="N337" s="110"/>
      <c r="O337" s="110"/>
      <c r="P337" s="110">
        <f t="shared" si="96"/>
        <v>114000</v>
      </c>
      <c r="Q337" s="110">
        <f t="shared" si="97"/>
        <v>38646000</v>
      </c>
      <c r="R337" s="110">
        <f t="shared" si="98"/>
        <v>38646000</v>
      </c>
      <c r="S337" s="112" t="s">
        <v>2996</v>
      </c>
    </row>
    <row r="338" spans="1:19" ht="30">
      <c r="A338" s="142"/>
      <c r="B338" s="153" t="s">
        <v>1361</v>
      </c>
      <c r="C338" s="142" t="s">
        <v>4</v>
      </c>
      <c r="D338" s="143">
        <v>320</v>
      </c>
      <c r="E338" s="144"/>
      <c r="F338" s="334">
        <v>320</v>
      </c>
      <c r="G338" s="112" t="s">
        <v>2996</v>
      </c>
      <c r="H338" s="120" t="s">
        <v>3085</v>
      </c>
      <c r="I338" s="120" t="s">
        <v>2748</v>
      </c>
      <c r="J338" s="120" t="s">
        <v>772</v>
      </c>
      <c r="K338" s="110">
        <v>35300</v>
      </c>
      <c r="L338" s="110"/>
      <c r="M338" s="110">
        <v>49600</v>
      </c>
      <c r="N338" s="110"/>
      <c r="O338" s="110"/>
      <c r="P338" s="110">
        <f t="shared" si="96"/>
        <v>84900</v>
      </c>
      <c r="Q338" s="110">
        <f t="shared" si="97"/>
        <v>27168000</v>
      </c>
      <c r="R338" s="110">
        <f t="shared" si="98"/>
        <v>27168000</v>
      </c>
      <c r="S338" s="112" t="s">
        <v>2996</v>
      </c>
    </row>
    <row r="339" spans="1:19">
      <c r="A339" s="142">
        <v>11</v>
      </c>
      <c r="B339" s="153" t="s">
        <v>1415</v>
      </c>
      <c r="C339" s="142"/>
      <c r="D339" s="143"/>
      <c r="E339" s="144"/>
      <c r="F339" s="50"/>
      <c r="G339" s="120"/>
      <c r="H339" s="120"/>
      <c r="I339" s="120"/>
      <c r="J339" s="120"/>
      <c r="K339" s="50"/>
      <c r="L339" s="50"/>
      <c r="M339" s="50"/>
      <c r="N339" s="50"/>
      <c r="O339" s="50"/>
      <c r="P339" s="50"/>
      <c r="Q339" s="50"/>
      <c r="R339" s="50"/>
      <c r="S339" s="50"/>
    </row>
    <row r="340" spans="1:19" ht="60">
      <c r="A340" s="142"/>
      <c r="B340" s="153" t="s">
        <v>1416</v>
      </c>
      <c r="C340" s="142" t="s">
        <v>4</v>
      </c>
      <c r="D340" s="143">
        <v>1</v>
      </c>
      <c r="E340" s="144"/>
      <c r="F340" s="334">
        <v>1</v>
      </c>
      <c r="G340" s="112" t="s">
        <v>3043</v>
      </c>
      <c r="H340" s="120" t="s">
        <v>3090</v>
      </c>
      <c r="I340" s="120" t="s">
        <v>2748</v>
      </c>
      <c r="J340" s="120" t="s">
        <v>772</v>
      </c>
      <c r="K340" s="110">
        <v>465800</v>
      </c>
      <c r="L340" s="110"/>
      <c r="M340" s="110">
        <v>155000</v>
      </c>
      <c r="N340" s="110"/>
      <c r="O340" s="110"/>
      <c r="P340" s="110">
        <f t="shared" ref="P340:P345" si="99">K340+L340+M340+N340+O340</f>
        <v>620800</v>
      </c>
      <c r="Q340" s="110">
        <f t="shared" ref="Q340:Q345" si="100">$P340*D340</f>
        <v>620800</v>
      </c>
      <c r="R340" s="110">
        <f t="shared" ref="R340:R345" si="101">$P340*F340</f>
        <v>620800</v>
      </c>
      <c r="S340" s="112" t="s">
        <v>3043</v>
      </c>
    </row>
    <row r="341" spans="1:19" ht="60">
      <c r="A341" s="142"/>
      <c r="B341" s="153" t="s">
        <v>1417</v>
      </c>
      <c r="C341" s="142" t="s">
        <v>4</v>
      </c>
      <c r="D341" s="143">
        <v>10</v>
      </c>
      <c r="E341" s="144"/>
      <c r="F341" s="334">
        <v>10</v>
      </c>
      <c r="G341" s="112" t="s">
        <v>3043</v>
      </c>
      <c r="H341" s="120" t="s">
        <v>3091</v>
      </c>
      <c r="I341" s="120" t="s">
        <v>2748</v>
      </c>
      <c r="J341" s="120" t="s">
        <v>772</v>
      </c>
      <c r="K341" s="110">
        <v>396700</v>
      </c>
      <c r="L341" s="110"/>
      <c r="M341" s="110">
        <v>155000</v>
      </c>
      <c r="N341" s="110"/>
      <c r="O341" s="110"/>
      <c r="P341" s="110">
        <f t="shared" si="99"/>
        <v>551700</v>
      </c>
      <c r="Q341" s="110">
        <f t="shared" si="100"/>
        <v>5517000</v>
      </c>
      <c r="R341" s="110">
        <f t="shared" si="101"/>
        <v>5517000</v>
      </c>
      <c r="S341" s="112" t="s">
        <v>3043</v>
      </c>
    </row>
    <row r="342" spans="1:19" ht="30">
      <c r="A342" s="142"/>
      <c r="B342" s="153" t="s">
        <v>1378</v>
      </c>
      <c r="C342" s="142" t="s">
        <v>4</v>
      </c>
      <c r="D342" s="143">
        <v>22</v>
      </c>
      <c r="E342" s="144"/>
      <c r="F342" s="334">
        <v>22</v>
      </c>
      <c r="G342" s="112" t="s">
        <v>3043</v>
      </c>
      <c r="H342" s="120" t="s">
        <v>3092</v>
      </c>
      <c r="I342" s="120" t="s">
        <v>2748</v>
      </c>
      <c r="J342" s="120" t="s">
        <v>772</v>
      </c>
      <c r="K342" s="110">
        <v>142600</v>
      </c>
      <c r="L342" s="110"/>
      <c r="M342" s="110">
        <v>124000</v>
      </c>
      <c r="N342" s="110"/>
      <c r="O342" s="110"/>
      <c r="P342" s="110">
        <f t="shared" si="99"/>
        <v>266600</v>
      </c>
      <c r="Q342" s="110">
        <f t="shared" si="100"/>
        <v>5865200</v>
      </c>
      <c r="R342" s="110">
        <f t="shared" si="101"/>
        <v>5865200</v>
      </c>
      <c r="S342" s="112" t="s">
        <v>3043</v>
      </c>
    </row>
    <row r="343" spans="1:19" ht="30">
      <c r="A343" s="142"/>
      <c r="B343" s="153" t="s">
        <v>1418</v>
      </c>
      <c r="C343" s="142" t="s">
        <v>4</v>
      </c>
      <c r="D343" s="143">
        <v>2</v>
      </c>
      <c r="E343" s="144"/>
      <c r="F343" s="334">
        <v>2</v>
      </c>
      <c r="G343" s="112" t="s">
        <v>2990</v>
      </c>
      <c r="H343" s="120" t="s">
        <v>3093</v>
      </c>
      <c r="I343" s="120" t="s">
        <v>2748</v>
      </c>
      <c r="J343" s="120" t="s">
        <v>772</v>
      </c>
      <c r="K343" s="110">
        <v>158400</v>
      </c>
      <c r="L343" s="110"/>
      <c r="M343" s="110">
        <v>93000</v>
      </c>
      <c r="N343" s="110"/>
      <c r="O343" s="110"/>
      <c r="P343" s="110">
        <f t="shared" si="99"/>
        <v>251400</v>
      </c>
      <c r="Q343" s="110">
        <f t="shared" si="100"/>
        <v>502800</v>
      </c>
      <c r="R343" s="110">
        <f t="shared" si="101"/>
        <v>502800</v>
      </c>
      <c r="S343" s="112" t="s">
        <v>2990</v>
      </c>
    </row>
    <row r="344" spans="1:19" ht="30">
      <c r="A344" s="142"/>
      <c r="B344" s="153" t="s">
        <v>1387</v>
      </c>
      <c r="C344" s="142" t="s">
        <v>4</v>
      </c>
      <c r="D344" s="143">
        <v>2</v>
      </c>
      <c r="E344" s="144"/>
      <c r="F344" s="334">
        <v>2</v>
      </c>
      <c r="G344" s="112" t="s">
        <v>2990</v>
      </c>
      <c r="H344" s="120" t="s">
        <v>3094</v>
      </c>
      <c r="I344" s="120" t="s">
        <v>2748</v>
      </c>
      <c r="J344" s="120" t="s">
        <v>772</v>
      </c>
      <c r="K344" s="110">
        <v>105700</v>
      </c>
      <c r="L344" s="110"/>
      <c r="M344" s="110">
        <v>77500</v>
      </c>
      <c r="N344" s="110"/>
      <c r="O344" s="110"/>
      <c r="P344" s="110">
        <f t="shared" si="99"/>
        <v>183200</v>
      </c>
      <c r="Q344" s="110">
        <f t="shared" si="100"/>
        <v>366400</v>
      </c>
      <c r="R344" s="110">
        <f t="shared" si="101"/>
        <v>366400</v>
      </c>
      <c r="S344" s="112" t="s">
        <v>2990</v>
      </c>
    </row>
    <row r="345" spans="1:19" ht="30">
      <c r="A345" s="142"/>
      <c r="B345" s="153" t="s">
        <v>1263</v>
      </c>
      <c r="C345" s="142" t="s">
        <v>4</v>
      </c>
      <c r="D345" s="143">
        <v>1</v>
      </c>
      <c r="E345" s="144"/>
      <c r="F345" s="334">
        <v>1</v>
      </c>
      <c r="G345" s="112" t="s">
        <v>2990</v>
      </c>
      <c r="H345" s="120" t="s">
        <v>2790</v>
      </c>
      <c r="I345" s="120" t="s">
        <v>2748</v>
      </c>
      <c r="J345" s="120" t="s">
        <v>772</v>
      </c>
      <c r="K345" s="110">
        <v>36200</v>
      </c>
      <c r="L345" s="110"/>
      <c r="M345" s="110">
        <v>62000</v>
      </c>
      <c r="N345" s="110"/>
      <c r="O345" s="110"/>
      <c r="P345" s="110">
        <f t="shared" si="99"/>
        <v>98200</v>
      </c>
      <c r="Q345" s="110">
        <f t="shared" si="100"/>
        <v>98200</v>
      </c>
      <c r="R345" s="110">
        <f t="shared" si="101"/>
        <v>98200</v>
      </c>
      <c r="S345" s="112" t="s">
        <v>2990</v>
      </c>
    </row>
    <row r="346" spans="1:19">
      <c r="A346" s="142">
        <v>12</v>
      </c>
      <c r="B346" s="153" t="s">
        <v>1419</v>
      </c>
      <c r="C346" s="142"/>
      <c r="D346" s="143"/>
      <c r="E346" s="144"/>
      <c r="F346" s="50"/>
      <c r="G346" s="120"/>
      <c r="H346" s="120"/>
      <c r="I346" s="120"/>
      <c r="J346" s="120"/>
      <c r="K346" s="50"/>
      <c r="L346" s="50"/>
      <c r="M346" s="50"/>
      <c r="N346" s="50"/>
      <c r="O346" s="50"/>
      <c r="P346" s="50"/>
      <c r="Q346" s="50"/>
      <c r="R346" s="50"/>
      <c r="S346" s="50"/>
    </row>
    <row r="347" spans="1:19" ht="30">
      <c r="A347" s="142"/>
      <c r="B347" s="153" t="s">
        <v>1371</v>
      </c>
      <c r="C347" s="142" t="s">
        <v>4</v>
      </c>
      <c r="D347" s="143">
        <v>2</v>
      </c>
      <c r="E347" s="144"/>
      <c r="F347" s="334">
        <v>2</v>
      </c>
      <c r="G347" s="112" t="s">
        <v>3101</v>
      </c>
      <c r="H347" s="120" t="s">
        <v>3102</v>
      </c>
      <c r="I347" s="120" t="s">
        <v>2748</v>
      </c>
      <c r="J347" s="120" t="s">
        <v>772</v>
      </c>
      <c r="K347" s="110">
        <v>1008600</v>
      </c>
      <c r="L347" s="110"/>
      <c r="M347" s="110">
        <v>155000</v>
      </c>
      <c r="N347" s="110"/>
      <c r="O347" s="110"/>
      <c r="P347" s="110">
        <f t="shared" ref="P347:P354" si="102">K347+L347+M347+N347+O347</f>
        <v>1163600</v>
      </c>
      <c r="Q347" s="110">
        <f t="shared" ref="Q347:Q354" si="103">$P347*D347</f>
        <v>2327200</v>
      </c>
      <c r="R347" s="110">
        <f t="shared" ref="R347:R354" si="104">$P347*F347</f>
        <v>2327200</v>
      </c>
      <c r="S347" s="112" t="s">
        <v>3101</v>
      </c>
    </row>
    <row r="348" spans="1:19" ht="30">
      <c r="A348" s="142"/>
      <c r="B348" s="153" t="s">
        <v>1373</v>
      </c>
      <c r="C348" s="142" t="s">
        <v>4</v>
      </c>
      <c r="D348" s="143">
        <v>2</v>
      </c>
      <c r="E348" s="144"/>
      <c r="F348" s="334">
        <v>2</v>
      </c>
      <c r="G348" s="112" t="s">
        <v>3101</v>
      </c>
      <c r="H348" s="120" t="s">
        <v>3103</v>
      </c>
      <c r="I348" s="120" t="s">
        <v>2748</v>
      </c>
      <c r="J348" s="120" t="s">
        <v>772</v>
      </c>
      <c r="K348" s="110">
        <v>914800</v>
      </c>
      <c r="L348" s="110"/>
      <c r="M348" s="110">
        <v>155000</v>
      </c>
      <c r="N348" s="110"/>
      <c r="O348" s="110"/>
      <c r="P348" s="110">
        <f t="shared" si="102"/>
        <v>1069800</v>
      </c>
      <c r="Q348" s="110">
        <f t="shared" si="103"/>
        <v>2139600</v>
      </c>
      <c r="R348" s="110">
        <f t="shared" si="104"/>
        <v>2139600</v>
      </c>
      <c r="S348" s="112" t="s">
        <v>3101</v>
      </c>
    </row>
    <row r="349" spans="1:19" ht="30">
      <c r="A349" s="142"/>
      <c r="B349" s="153" t="s">
        <v>1376</v>
      </c>
      <c r="C349" s="142" t="s">
        <v>4</v>
      </c>
      <c r="D349" s="143">
        <v>2</v>
      </c>
      <c r="E349" s="144"/>
      <c r="F349" s="334">
        <v>2</v>
      </c>
      <c r="G349" s="112" t="s">
        <v>3101</v>
      </c>
      <c r="H349" s="120" t="s">
        <v>3104</v>
      </c>
      <c r="I349" s="120" t="s">
        <v>2748</v>
      </c>
      <c r="J349" s="120" t="s">
        <v>772</v>
      </c>
      <c r="K349" s="110">
        <v>277900</v>
      </c>
      <c r="L349" s="110"/>
      <c r="M349" s="110">
        <v>124000</v>
      </c>
      <c r="N349" s="110"/>
      <c r="O349" s="110"/>
      <c r="P349" s="110">
        <f t="shared" si="102"/>
        <v>401900</v>
      </c>
      <c r="Q349" s="110">
        <f t="shared" si="103"/>
        <v>803800</v>
      </c>
      <c r="R349" s="110">
        <f t="shared" si="104"/>
        <v>803800</v>
      </c>
      <c r="S349" s="112" t="s">
        <v>3101</v>
      </c>
    </row>
    <row r="350" spans="1:19" ht="30">
      <c r="A350" s="142"/>
      <c r="B350" s="153" t="s">
        <v>1382</v>
      </c>
      <c r="C350" s="142" t="s">
        <v>4</v>
      </c>
      <c r="D350" s="143">
        <v>4</v>
      </c>
      <c r="E350" s="144"/>
      <c r="F350" s="334">
        <v>4</v>
      </c>
      <c r="G350" s="112" t="s">
        <v>3101</v>
      </c>
      <c r="H350" s="120" t="s">
        <v>3105</v>
      </c>
      <c r="I350" s="120" t="s">
        <v>2748</v>
      </c>
      <c r="J350" s="120" t="s">
        <v>772</v>
      </c>
      <c r="K350" s="110">
        <v>99200</v>
      </c>
      <c r="L350" s="110"/>
      <c r="M350" s="110">
        <v>93000</v>
      </c>
      <c r="N350" s="110"/>
      <c r="O350" s="110"/>
      <c r="P350" s="110">
        <f t="shared" si="102"/>
        <v>192200</v>
      </c>
      <c r="Q350" s="110">
        <f t="shared" si="103"/>
        <v>768800</v>
      </c>
      <c r="R350" s="110">
        <f t="shared" si="104"/>
        <v>768800</v>
      </c>
      <c r="S350" s="112" t="s">
        <v>3101</v>
      </c>
    </row>
    <row r="351" spans="1:19" ht="30">
      <c r="A351" s="142"/>
      <c r="B351" s="153" t="s">
        <v>1257</v>
      </c>
      <c r="C351" s="142" t="s">
        <v>4</v>
      </c>
      <c r="D351" s="143">
        <v>15</v>
      </c>
      <c r="E351" s="144"/>
      <c r="F351" s="334">
        <v>15</v>
      </c>
      <c r="G351" s="112" t="s">
        <v>3101</v>
      </c>
      <c r="H351" s="120" t="s">
        <v>3106</v>
      </c>
      <c r="I351" s="120" t="s">
        <v>2748</v>
      </c>
      <c r="J351" s="120" t="s">
        <v>772</v>
      </c>
      <c r="K351" s="110">
        <v>62700</v>
      </c>
      <c r="L351" s="110"/>
      <c r="M351" s="110">
        <v>77500</v>
      </c>
      <c r="N351" s="110"/>
      <c r="O351" s="110"/>
      <c r="P351" s="110">
        <f t="shared" si="102"/>
        <v>140200</v>
      </c>
      <c r="Q351" s="110">
        <f t="shared" si="103"/>
        <v>2103000</v>
      </c>
      <c r="R351" s="110">
        <f t="shared" si="104"/>
        <v>2103000</v>
      </c>
      <c r="S351" s="112" t="s">
        <v>3101</v>
      </c>
    </row>
    <row r="352" spans="1:19" ht="30">
      <c r="A352" s="142"/>
      <c r="B352" s="153" t="s">
        <v>1388</v>
      </c>
      <c r="C352" s="142" t="s">
        <v>4</v>
      </c>
      <c r="D352" s="143">
        <v>34</v>
      </c>
      <c r="E352" s="144"/>
      <c r="F352" s="334">
        <v>34</v>
      </c>
      <c r="G352" s="112" t="s">
        <v>3101</v>
      </c>
      <c r="H352" s="120" t="s">
        <v>3107</v>
      </c>
      <c r="I352" s="120" t="s">
        <v>2748</v>
      </c>
      <c r="J352" s="120" t="s">
        <v>772</v>
      </c>
      <c r="K352" s="110">
        <v>44700</v>
      </c>
      <c r="L352" s="110"/>
      <c r="M352" s="110">
        <v>77500</v>
      </c>
      <c r="N352" s="110"/>
      <c r="O352" s="110"/>
      <c r="P352" s="110">
        <f t="shared" si="102"/>
        <v>122200</v>
      </c>
      <c r="Q352" s="110">
        <f t="shared" si="103"/>
        <v>4154800</v>
      </c>
      <c r="R352" s="110">
        <f t="shared" si="104"/>
        <v>4154800</v>
      </c>
      <c r="S352" s="112" t="s">
        <v>3101</v>
      </c>
    </row>
    <row r="353" spans="1:19" ht="30">
      <c r="A353" s="142"/>
      <c r="B353" s="153" t="s">
        <v>1250</v>
      </c>
      <c r="C353" s="142" t="s">
        <v>4</v>
      </c>
      <c r="D353" s="143">
        <v>24</v>
      </c>
      <c r="E353" s="144"/>
      <c r="F353" s="334">
        <v>24</v>
      </c>
      <c r="G353" s="112" t="s">
        <v>3101</v>
      </c>
      <c r="H353" s="120" t="s">
        <v>3108</v>
      </c>
      <c r="I353" s="120" t="s">
        <v>2748</v>
      </c>
      <c r="J353" s="120" t="s">
        <v>772</v>
      </c>
      <c r="K353" s="110">
        <v>35900</v>
      </c>
      <c r="L353" s="110"/>
      <c r="M353" s="110">
        <v>62000</v>
      </c>
      <c r="N353" s="110"/>
      <c r="O353" s="110"/>
      <c r="P353" s="110">
        <f t="shared" si="102"/>
        <v>97900</v>
      </c>
      <c r="Q353" s="110">
        <f t="shared" si="103"/>
        <v>2349600</v>
      </c>
      <c r="R353" s="110">
        <f t="shared" si="104"/>
        <v>2349600</v>
      </c>
      <c r="S353" s="112" t="s">
        <v>3101</v>
      </c>
    </row>
    <row r="354" spans="1:19" ht="30">
      <c r="A354" s="142"/>
      <c r="B354" s="153" t="s">
        <v>1252</v>
      </c>
      <c r="C354" s="142" t="s">
        <v>4</v>
      </c>
      <c r="D354" s="143">
        <v>48</v>
      </c>
      <c r="E354" s="144"/>
      <c r="F354" s="334">
        <v>48</v>
      </c>
      <c r="G354" s="112" t="s">
        <v>3101</v>
      </c>
      <c r="H354" s="120" t="s">
        <v>3109</v>
      </c>
      <c r="I354" s="120" t="s">
        <v>2748</v>
      </c>
      <c r="J354" s="120" t="s">
        <v>772</v>
      </c>
      <c r="K354" s="110">
        <v>24300</v>
      </c>
      <c r="L354" s="110"/>
      <c r="M354" s="110">
        <v>49600</v>
      </c>
      <c r="N354" s="110"/>
      <c r="O354" s="110"/>
      <c r="P354" s="110">
        <f t="shared" si="102"/>
        <v>73900</v>
      </c>
      <c r="Q354" s="110">
        <f t="shared" si="103"/>
        <v>3547200</v>
      </c>
      <c r="R354" s="110">
        <f t="shared" si="104"/>
        <v>3547200</v>
      </c>
      <c r="S354" s="112" t="s">
        <v>3101</v>
      </c>
    </row>
    <row r="355" spans="1:19">
      <c r="A355" s="142">
        <v>13</v>
      </c>
      <c r="B355" s="153" t="s">
        <v>1420</v>
      </c>
      <c r="C355" s="142"/>
      <c r="D355" s="143"/>
      <c r="E355" s="144"/>
      <c r="F355" s="74"/>
      <c r="G355" s="120"/>
      <c r="H355" s="120"/>
      <c r="I355" s="120"/>
      <c r="J355" s="120"/>
      <c r="K355" s="74"/>
      <c r="L355" s="74"/>
      <c r="M355" s="74"/>
      <c r="N355" s="74"/>
      <c r="O355" s="74"/>
      <c r="P355" s="74"/>
      <c r="Q355" s="74"/>
      <c r="R355" s="74"/>
      <c r="S355" s="74"/>
    </row>
    <row r="356" spans="1:19" ht="45">
      <c r="A356" s="142"/>
      <c r="B356" s="153" t="s">
        <v>1371</v>
      </c>
      <c r="C356" s="142" t="s">
        <v>4</v>
      </c>
      <c r="D356" s="143">
        <v>8</v>
      </c>
      <c r="E356" s="144"/>
      <c r="F356" s="334">
        <v>8</v>
      </c>
      <c r="G356" s="112" t="s">
        <v>3114</v>
      </c>
      <c r="H356" s="120" t="s">
        <v>3115</v>
      </c>
      <c r="I356" s="120" t="s">
        <v>2748</v>
      </c>
      <c r="J356" s="120" t="s">
        <v>772</v>
      </c>
      <c r="K356" s="110">
        <v>2122900</v>
      </c>
      <c r="L356" s="110"/>
      <c r="M356" s="110">
        <v>232500</v>
      </c>
      <c r="N356" s="110"/>
      <c r="O356" s="110"/>
      <c r="P356" s="110">
        <f t="shared" ref="P356:P364" si="105">K356+L356+M356+N356+O356</f>
        <v>2355400</v>
      </c>
      <c r="Q356" s="110">
        <f t="shared" ref="Q356:Q364" si="106">$P356*D356</f>
        <v>18843200</v>
      </c>
      <c r="R356" s="110">
        <f t="shared" ref="R356:R364" si="107">$P356*F356</f>
        <v>18843200</v>
      </c>
      <c r="S356" s="112" t="s">
        <v>3114</v>
      </c>
    </row>
    <row r="357" spans="1:19" ht="45">
      <c r="A357" s="142"/>
      <c r="B357" s="153" t="s">
        <v>1373</v>
      </c>
      <c r="C357" s="142" t="s">
        <v>4</v>
      </c>
      <c r="D357" s="143">
        <v>3</v>
      </c>
      <c r="E357" s="144"/>
      <c r="F357" s="334">
        <v>3</v>
      </c>
      <c r="G357" s="112" t="s">
        <v>3114</v>
      </c>
      <c r="H357" s="120" t="s">
        <v>3116</v>
      </c>
      <c r="I357" s="120" t="s">
        <v>2748</v>
      </c>
      <c r="J357" s="120" t="s">
        <v>772</v>
      </c>
      <c r="K357" s="110">
        <v>1753800</v>
      </c>
      <c r="L357" s="110"/>
      <c r="M357" s="110">
        <v>232500</v>
      </c>
      <c r="N357" s="110"/>
      <c r="O357" s="110"/>
      <c r="P357" s="110">
        <f t="shared" si="105"/>
        <v>1986300</v>
      </c>
      <c r="Q357" s="110">
        <f t="shared" si="106"/>
        <v>5958900</v>
      </c>
      <c r="R357" s="110">
        <f t="shared" si="107"/>
        <v>5958900</v>
      </c>
      <c r="S357" s="112" t="s">
        <v>3114</v>
      </c>
    </row>
    <row r="358" spans="1:19" ht="45">
      <c r="A358" s="142"/>
      <c r="B358" s="153" t="s">
        <v>1376</v>
      </c>
      <c r="C358" s="142" t="s">
        <v>4</v>
      </c>
      <c r="D358" s="143">
        <v>11</v>
      </c>
      <c r="E358" s="144"/>
      <c r="F358" s="334">
        <v>11</v>
      </c>
      <c r="G358" s="112" t="s">
        <v>3114</v>
      </c>
      <c r="H358" s="120" t="s">
        <v>3117</v>
      </c>
      <c r="I358" s="120" t="s">
        <v>2748</v>
      </c>
      <c r="J358" s="120" t="s">
        <v>772</v>
      </c>
      <c r="K358" s="110">
        <v>965500</v>
      </c>
      <c r="L358" s="110"/>
      <c r="M358" s="110">
        <v>186000</v>
      </c>
      <c r="N358" s="110"/>
      <c r="O358" s="110"/>
      <c r="P358" s="110">
        <f t="shared" si="105"/>
        <v>1151500</v>
      </c>
      <c r="Q358" s="110">
        <f t="shared" si="106"/>
        <v>12666500</v>
      </c>
      <c r="R358" s="110">
        <f t="shared" si="107"/>
        <v>12666500</v>
      </c>
      <c r="S358" s="112" t="s">
        <v>3114</v>
      </c>
    </row>
    <row r="359" spans="1:19" ht="45">
      <c r="A359" s="142"/>
      <c r="B359" s="153" t="s">
        <v>1379</v>
      </c>
      <c r="C359" s="142" t="s">
        <v>4</v>
      </c>
      <c r="D359" s="143">
        <v>7</v>
      </c>
      <c r="E359" s="144"/>
      <c r="F359" s="334">
        <v>7</v>
      </c>
      <c r="G359" s="112" t="s">
        <v>3114</v>
      </c>
      <c r="H359" s="120" t="s">
        <v>3118</v>
      </c>
      <c r="I359" s="120" t="s">
        <v>2748</v>
      </c>
      <c r="J359" s="120" t="s">
        <v>772</v>
      </c>
      <c r="K359" s="110">
        <v>430200</v>
      </c>
      <c r="L359" s="110"/>
      <c r="M359" s="110">
        <v>139500</v>
      </c>
      <c r="N359" s="110"/>
      <c r="O359" s="110"/>
      <c r="P359" s="110">
        <f t="shared" si="105"/>
        <v>569700</v>
      </c>
      <c r="Q359" s="110">
        <f t="shared" si="106"/>
        <v>3987900</v>
      </c>
      <c r="R359" s="110">
        <f t="shared" si="107"/>
        <v>3987900</v>
      </c>
      <c r="S359" s="112" t="s">
        <v>3114</v>
      </c>
    </row>
    <row r="360" spans="1:19" ht="45">
      <c r="A360" s="142"/>
      <c r="B360" s="153" t="s">
        <v>1382</v>
      </c>
      <c r="C360" s="142" t="s">
        <v>4</v>
      </c>
      <c r="D360" s="143">
        <v>6</v>
      </c>
      <c r="E360" s="144"/>
      <c r="F360" s="334">
        <v>6</v>
      </c>
      <c r="G360" s="112" t="s">
        <v>3114</v>
      </c>
      <c r="H360" s="120" t="s">
        <v>3119</v>
      </c>
      <c r="I360" s="120" t="s">
        <v>2748</v>
      </c>
      <c r="J360" s="120" t="s">
        <v>772</v>
      </c>
      <c r="K360" s="110">
        <v>380400</v>
      </c>
      <c r="L360" s="110"/>
      <c r="M360" s="110">
        <v>139500</v>
      </c>
      <c r="N360" s="110"/>
      <c r="O360" s="110"/>
      <c r="P360" s="110">
        <f t="shared" si="105"/>
        <v>519900</v>
      </c>
      <c r="Q360" s="110">
        <f t="shared" si="106"/>
        <v>3119400</v>
      </c>
      <c r="R360" s="110">
        <f t="shared" si="107"/>
        <v>3119400</v>
      </c>
      <c r="S360" s="112" t="s">
        <v>3114</v>
      </c>
    </row>
    <row r="361" spans="1:19" ht="45">
      <c r="A361" s="142"/>
      <c r="B361" s="153" t="s">
        <v>1257</v>
      </c>
      <c r="C361" s="142" t="s">
        <v>4</v>
      </c>
      <c r="D361" s="143">
        <v>15</v>
      </c>
      <c r="E361" s="144"/>
      <c r="F361" s="334">
        <v>15</v>
      </c>
      <c r="G361" s="112" t="s">
        <v>3114</v>
      </c>
      <c r="H361" s="120" t="s">
        <v>3120</v>
      </c>
      <c r="I361" s="120" t="s">
        <v>2748</v>
      </c>
      <c r="J361" s="120" t="s">
        <v>772</v>
      </c>
      <c r="K361" s="110">
        <v>263000</v>
      </c>
      <c r="L361" s="110"/>
      <c r="M361" s="110">
        <v>116300</v>
      </c>
      <c r="N361" s="110"/>
      <c r="O361" s="110"/>
      <c r="P361" s="110">
        <f t="shared" si="105"/>
        <v>379300</v>
      </c>
      <c r="Q361" s="110">
        <f t="shared" si="106"/>
        <v>5689500</v>
      </c>
      <c r="R361" s="110">
        <f t="shared" si="107"/>
        <v>5689500</v>
      </c>
      <c r="S361" s="112" t="s">
        <v>3114</v>
      </c>
    </row>
    <row r="362" spans="1:19" ht="45">
      <c r="A362" s="142"/>
      <c r="B362" s="153" t="s">
        <v>1388</v>
      </c>
      <c r="C362" s="142" t="s">
        <v>4</v>
      </c>
      <c r="D362" s="143">
        <v>168</v>
      </c>
      <c r="E362" s="144"/>
      <c r="F362" s="334">
        <v>168</v>
      </c>
      <c r="G362" s="112" t="s">
        <v>3114</v>
      </c>
      <c r="H362" s="120" t="s">
        <v>3121</v>
      </c>
      <c r="I362" s="120" t="s">
        <v>2748</v>
      </c>
      <c r="J362" s="120" t="s">
        <v>772</v>
      </c>
      <c r="K362" s="110">
        <v>181700</v>
      </c>
      <c r="L362" s="110"/>
      <c r="M362" s="110">
        <v>116300</v>
      </c>
      <c r="N362" s="110"/>
      <c r="O362" s="110"/>
      <c r="P362" s="110">
        <f t="shared" si="105"/>
        <v>298000</v>
      </c>
      <c r="Q362" s="110">
        <f t="shared" si="106"/>
        <v>50064000</v>
      </c>
      <c r="R362" s="110">
        <f t="shared" si="107"/>
        <v>50064000</v>
      </c>
      <c r="S362" s="112" t="s">
        <v>3114</v>
      </c>
    </row>
    <row r="363" spans="1:19" ht="45">
      <c r="A363" s="142"/>
      <c r="B363" s="153" t="s">
        <v>1250</v>
      </c>
      <c r="C363" s="142" t="s">
        <v>4</v>
      </c>
      <c r="D363" s="143">
        <v>176</v>
      </c>
      <c r="E363" s="144"/>
      <c r="F363" s="334">
        <v>176</v>
      </c>
      <c r="G363" s="112" t="s">
        <v>3114</v>
      </c>
      <c r="H363" s="120" t="s">
        <v>3122</v>
      </c>
      <c r="I363" s="120" t="s">
        <v>2748</v>
      </c>
      <c r="J363" s="120" t="s">
        <v>772</v>
      </c>
      <c r="K363" s="110">
        <v>101700</v>
      </c>
      <c r="L363" s="110"/>
      <c r="M363" s="110">
        <v>93000</v>
      </c>
      <c r="N363" s="110"/>
      <c r="O363" s="110"/>
      <c r="P363" s="110">
        <f t="shared" si="105"/>
        <v>194700</v>
      </c>
      <c r="Q363" s="110">
        <f t="shared" si="106"/>
        <v>34267200</v>
      </c>
      <c r="R363" s="110">
        <f t="shared" si="107"/>
        <v>34267200</v>
      </c>
      <c r="S363" s="112" t="s">
        <v>3114</v>
      </c>
    </row>
    <row r="364" spans="1:19" ht="45">
      <c r="A364" s="142"/>
      <c r="B364" s="153" t="s">
        <v>1252</v>
      </c>
      <c r="C364" s="142" t="s">
        <v>4</v>
      </c>
      <c r="D364" s="143">
        <v>3</v>
      </c>
      <c r="E364" s="144"/>
      <c r="F364" s="334">
        <v>3</v>
      </c>
      <c r="G364" s="112" t="s">
        <v>3114</v>
      </c>
      <c r="H364" s="120" t="s">
        <v>3123</v>
      </c>
      <c r="I364" s="120" t="s">
        <v>2748</v>
      </c>
      <c r="J364" s="120" t="s">
        <v>772</v>
      </c>
      <c r="K364" s="110">
        <v>94800</v>
      </c>
      <c r="L364" s="110"/>
      <c r="M364" s="110">
        <v>49600</v>
      </c>
      <c r="N364" s="110"/>
      <c r="O364" s="110"/>
      <c r="P364" s="110">
        <f t="shared" si="105"/>
        <v>144400</v>
      </c>
      <c r="Q364" s="110">
        <f t="shared" si="106"/>
        <v>433200</v>
      </c>
      <c r="R364" s="110">
        <f t="shared" si="107"/>
        <v>433200</v>
      </c>
      <c r="S364" s="112" t="s">
        <v>3114</v>
      </c>
    </row>
    <row r="365" spans="1:19">
      <c r="A365" s="142">
        <v>14</v>
      </c>
      <c r="B365" s="153" t="s">
        <v>1421</v>
      </c>
      <c r="C365" s="142"/>
      <c r="D365" s="143"/>
      <c r="E365" s="144"/>
      <c r="F365" s="82"/>
      <c r="G365" s="121"/>
      <c r="H365" s="121"/>
      <c r="I365" s="121"/>
      <c r="J365" s="121"/>
      <c r="K365" s="82"/>
      <c r="L365" s="82"/>
      <c r="M365" s="82"/>
      <c r="N365" s="82"/>
      <c r="O365" s="82"/>
      <c r="P365" s="82"/>
      <c r="Q365" s="82"/>
      <c r="R365" s="82"/>
      <c r="S365" s="375"/>
    </row>
    <row r="366" spans="1:19" ht="45">
      <c r="A366" s="142"/>
      <c r="B366" s="153" t="s">
        <v>1250</v>
      </c>
      <c r="C366" s="142" t="s">
        <v>4</v>
      </c>
      <c r="D366" s="143">
        <v>10</v>
      </c>
      <c r="E366" s="144"/>
      <c r="F366" s="334">
        <v>10</v>
      </c>
      <c r="G366" s="112" t="s">
        <v>2690</v>
      </c>
      <c r="H366" s="120" t="s">
        <v>2691</v>
      </c>
      <c r="I366" s="120" t="s">
        <v>2689</v>
      </c>
      <c r="J366" s="120" t="s">
        <v>772</v>
      </c>
      <c r="K366" s="110">
        <v>296100</v>
      </c>
      <c r="L366" s="110"/>
      <c r="M366" s="110">
        <v>180900</v>
      </c>
      <c r="N366" s="110"/>
      <c r="O366" s="110"/>
      <c r="P366" s="110">
        <f t="shared" ref="P366:P367" si="108">K366+L366+M366+N366+O366</f>
        <v>477000</v>
      </c>
      <c r="Q366" s="110">
        <f t="shared" ref="Q366:Q367" si="109">$P366*D366</f>
        <v>4770000</v>
      </c>
      <c r="R366" s="110">
        <f t="shared" ref="R366:R367" si="110">$P366*F366</f>
        <v>4770000</v>
      </c>
      <c r="S366" s="112" t="s">
        <v>2690</v>
      </c>
    </row>
    <row r="367" spans="1:19" ht="45">
      <c r="A367" s="142"/>
      <c r="B367" s="153" t="s">
        <v>1252</v>
      </c>
      <c r="C367" s="142" t="s">
        <v>4</v>
      </c>
      <c r="D367" s="143">
        <v>49</v>
      </c>
      <c r="E367" s="144"/>
      <c r="F367" s="334">
        <v>49</v>
      </c>
      <c r="G367" s="112" t="s">
        <v>2692</v>
      </c>
      <c r="H367" s="120" t="s">
        <v>2693</v>
      </c>
      <c r="I367" s="120" t="s">
        <v>2689</v>
      </c>
      <c r="J367" s="120" t="s">
        <v>772</v>
      </c>
      <c r="K367" s="110">
        <v>233100</v>
      </c>
      <c r="L367" s="110"/>
      <c r="M367" s="110">
        <v>144000</v>
      </c>
      <c r="N367" s="110"/>
      <c r="O367" s="110"/>
      <c r="P367" s="110">
        <f t="shared" si="108"/>
        <v>377100</v>
      </c>
      <c r="Q367" s="110">
        <f t="shared" si="109"/>
        <v>18477900</v>
      </c>
      <c r="R367" s="110">
        <f t="shared" si="110"/>
        <v>18477900</v>
      </c>
      <c r="S367" s="112" t="s">
        <v>2692</v>
      </c>
    </row>
    <row r="368" spans="1:19">
      <c r="A368" s="142">
        <v>15</v>
      </c>
      <c r="B368" s="153" t="s">
        <v>1422</v>
      </c>
      <c r="C368" s="142"/>
      <c r="D368" s="143"/>
      <c r="E368" s="144"/>
      <c r="F368" s="50"/>
      <c r="G368" s="120"/>
      <c r="H368" s="120"/>
      <c r="I368" s="120"/>
      <c r="J368" s="120"/>
      <c r="K368" s="50"/>
      <c r="L368" s="50"/>
      <c r="M368" s="50"/>
      <c r="N368" s="50"/>
      <c r="O368" s="50"/>
      <c r="P368" s="50"/>
      <c r="Q368" s="50"/>
      <c r="R368" s="50"/>
      <c r="S368" s="50"/>
    </row>
    <row r="369" spans="1:19">
      <c r="A369" s="142"/>
      <c r="B369" s="153" t="s">
        <v>1423</v>
      </c>
      <c r="C369" s="142" t="s">
        <v>4</v>
      </c>
      <c r="D369" s="143">
        <v>4</v>
      </c>
      <c r="E369" s="144"/>
      <c r="F369" s="334">
        <v>4</v>
      </c>
      <c r="G369" s="112" t="s">
        <v>1228</v>
      </c>
      <c r="H369" s="120" t="s">
        <v>2929</v>
      </c>
      <c r="I369" s="120" t="s">
        <v>2921</v>
      </c>
      <c r="J369" s="120" t="s">
        <v>769</v>
      </c>
      <c r="K369" s="110">
        <v>1504000</v>
      </c>
      <c r="L369" s="110"/>
      <c r="M369" s="110">
        <v>179500</v>
      </c>
      <c r="N369" s="110"/>
      <c r="O369" s="110"/>
      <c r="P369" s="110">
        <f>K369+L369+M369+N369+O369</f>
        <v>1683500</v>
      </c>
      <c r="Q369" s="110">
        <f>$P369*D369</f>
        <v>6734000</v>
      </c>
      <c r="R369" s="110">
        <f>$P369*F369</f>
        <v>6734000</v>
      </c>
      <c r="S369" s="112" t="s">
        <v>1228</v>
      </c>
    </row>
    <row r="370" spans="1:19">
      <c r="A370" s="142">
        <v>16</v>
      </c>
      <c r="B370" s="153" t="s">
        <v>1316</v>
      </c>
      <c r="C370" s="142"/>
      <c r="D370" s="143"/>
      <c r="E370" s="144"/>
      <c r="F370" s="76"/>
      <c r="G370" s="120"/>
      <c r="H370" s="120"/>
      <c r="I370" s="120"/>
      <c r="J370" s="120"/>
      <c r="K370" s="76"/>
      <c r="L370" s="76"/>
      <c r="M370" s="76"/>
      <c r="N370" s="76"/>
      <c r="O370" s="76"/>
      <c r="P370" s="76"/>
      <c r="Q370" s="76"/>
      <c r="R370" s="76"/>
      <c r="S370" s="76"/>
    </row>
    <row r="371" spans="1:19">
      <c r="A371" s="142"/>
      <c r="B371" s="153" t="s">
        <v>1423</v>
      </c>
      <c r="C371" s="142" t="s">
        <v>4</v>
      </c>
      <c r="D371" s="143">
        <v>4</v>
      </c>
      <c r="E371" s="144"/>
      <c r="F371" s="334">
        <v>4</v>
      </c>
      <c r="G371" s="112" t="s">
        <v>1228</v>
      </c>
      <c r="H371" s="120" t="s">
        <v>2932</v>
      </c>
      <c r="I371" s="120" t="s">
        <v>2921</v>
      </c>
      <c r="J371" s="120" t="s">
        <v>769</v>
      </c>
      <c r="K371" s="110">
        <v>560200</v>
      </c>
      <c r="L371" s="110"/>
      <c r="M371" s="110">
        <v>179500</v>
      </c>
      <c r="N371" s="110"/>
      <c r="O371" s="110"/>
      <c r="P371" s="110">
        <f>K371+L371+M371+N371+O371</f>
        <v>739700</v>
      </c>
      <c r="Q371" s="110">
        <f>$P371*D371</f>
        <v>2958800</v>
      </c>
      <c r="R371" s="110">
        <f>$P371*F371</f>
        <v>2958800</v>
      </c>
      <c r="S371" s="112" t="s">
        <v>1228</v>
      </c>
    </row>
    <row r="372" spans="1:19">
      <c r="A372" s="146">
        <v>17</v>
      </c>
      <c r="B372" s="153" t="s">
        <v>1335</v>
      </c>
      <c r="C372" s="146"/>
      <c r="D372" s="143"/>
      <c r="E372" s="148"/>
      <c r="F372" s="345"/>
      <c r="G372" s="112"/>
      <c r="H372" s="120"/>
      <c r="I372" s="120"/>
      <c r="J372" s="120"/>
      <c r="K372" s="341"/>
      <c r="L372" s="341"/>
      <c r="M372" s="341"/>
      <c r="N372" s="341"/>
      <c r="O372" s="341"/>
      <c r="P372" s="341"/>
      <c r="Q372" s="341"/>
      <c r="R372" s="341"/>
      <c r="S372" s="341"/>
    </row>
    <row r="373" spans="1:19">
      <c r="A373" s="146"/>
      <c r="B373" s="150" t="s">
        <v>1424</v>
      </c>
      <c r="C373" s="146" t="s">
        <v>4</v>
      </c>
      <c r="D373" s="147">
        <v>2</v>
      </c>
      <c r="E373" s="148" t="s">
        <v>1225</v>
      </c>
      <c r="F373" s="334">
        <v>2</v>
      </c>
      <c r="G373" s="112" t="s">
        <v>1225</v>
      </c>
      <c r="H373" s="120" t="s">
        <v>2923</v>
      </c>
      <c r="I373" s="120" t="s">
        <v>2921</v>
      </c>
      <c r="J373" s="120" t="s">
        <v>769</v>
      </c>
      <c r="K373" s="110">
        <v>2353400</v>
      </c>
      <c r="L373" s="110"/>
      <c r="M373" s="110">
        <v>179500</v>
      </c>
      <c r="N373" s="110"/>
      <c r="O373" s="110"/>
      <c r="P373" s="110">
        <f>K373+L373+M373+N373+O373</f>
        <v>2532900</v>
      </c>
      <c r="Q373" s="110">
        <f>$P373*D373</f>
        <v>5065800</v>
      </c>
      <c r="R373" s="110">
        <f>$P373*F373</f>
        <v>5065800</v>
      </c>
      <c r="S373" s="112" t="s">
        <v>1225</v>
      </c>
    </row>
    <row r="374" spans="1:19">
      <c r="A374" s="146">
        <v>18</v>
      </c>
      <c r="B374" s="150" t="s">
        <v>1425</v>
      </c>
      <c r="C374" s="146"/>
      <c r="D374" s="147"/>
      <c r="E374" s="148"/>
      <c r="F374" s="365"/>
      <c r="G374" s="453"/>
      <c r="H374" s="454"/>
      <c r="I374" s="454"/>
      <c r="J374" s="454"/>
      <c r="K374" s="342"/>
      <c r="L374" s="342"/>
      <c r="M374" s="342"/>
      <c r="N374" s="342"/>
      <c r="O374" s="342"/>
      <c r="P374" s="342"/>
      <c r="Q374" s="342"/>
      <c r="R374" s="342"/>
      <c r="S374" s="342"/>
    </row>
    <row r="375" spans="1:19">
      <c r="A375" s="146"/>
      <c r="B375" s="150" t="s">
        <v>1426</v>
      </c>
      <c r="C375" s="146" t="s">
        <v>4</v>
      </c>
      <c r="D375" s="147">
        <v>1</v>
      </c>
      <c r="E375" s="148"/>
      <c r="F375" s="334">
        <v>1</v>
      </c>
      <c r="G375" s="112">
        <v>0</v>
      </c>
      <c r="H375" s="120">
        <v>0</v>
      </c>
      <c r="I375" s="120" t="s">
        <v>2748</v>
      </c>
      <c r="J375" s="120" t="s">
        <v>772</v>
      </c>
      <c r="K375" s="110">
        <v>1515000</v>
      </c>
      <c r="L375" s="110"/>
      <c r="M375" s="110">
        <v>0</v>
      </c>
      <c r="N375" s="110"/>
      <c r="O375" s="110"/>
      <c r="P375" s="110">
        <f t="shared" ref="P375:P380" si="111">K375+L375+M375+N375+O375</f>
        <v>1515000</v>
      </c>
      <c r="Q375" s="110">
        <f t="shared" ref="Q375:Q380" si="112">$P375*D375</f>
        <v>1515000</v>
      </c>
      <c r="R375" s="110">
        <f t="shared" ref="R375:R380" si="113">$P375*F375</f>
        <v>1515000</v>
      </c>
      <c r="S375" s="112">
        <v>0</v>
      </c>
    </row>
    <row r="376" spans="1:19">
      <c r="A376" s="146"/>
      <c r="B376" s="150" t="s">
        <v>1427</v>
      </c>
      <c r="C376" s="146" t="s">
        <v>4</v>
      </c>
      <c r="D376" s="147">
        <v>1</v>
      </c>
      <c r="E376" s="148"/>
      <c r="F376" s="334">
        <v>1</v>
      </c>
      <c r="G376" s="112">
        <v>0</v>
      </c>
      <c r="H376" s="120">
        <v>0</v>
      </c>
      <c r="I376" s="120" t="s">
        <v>2748</v>
      </c>
      <c r="J376" s="120" t="s">
        <v>772</v>
      </c>
      <c r="K376" s="110">
        <v>888900</v>
      </c>
      <c r="L376" s="110"/>
      <c r="M376" s="110">
        <v>0</v>
      </c>
      <c r="N376" s="110"/>
      <c r="O376" s="110"/>
      <c r="P376" s="110">
        <f t="shared" si="111"/>
        <v>888900</v>
      </c>
      <c r="Q376" s="110">
        <f t="shared" si="112"/>
        <v>888900</v>
      </c>
      <c r="R376" s="110">
        <f t="shared" si="113"/>
        <v>888900</v>
      </c>
      <c r="S376" s="112">
        <v>0</v>
      </c>
    </row>
    <row r="377" spans="1:19" ht="30">
      <c r="A377" s="146"/>
      <c r="B377" s="150" t="s">
        <v>1428</v>
      </c>
      <c r="C377" s="146" t="s">
        <v>4</v>
      </c>
      <c r="D377" s="147">
        <v>1</v>
      </c>
      <c r="E377" s="148"/>
      <c r="F377" s="334">
        <v>1</v>
      </c>
      <c r="G377" s="112" t="s">
        <v>3000</v>
      </c>
      <c r="H377" s="120" t="s">
        <v>1428</v>
      </c>
      <c r="I377" s="120" t="s">
        <v>2748</v>
      </c>
      <c r="J377" s="120" t="s">
        <v>772</v>
      </c>
      <c r="K377" s="110">
        <v>1709500</v>
      </c>
      <c r="L377" s="110"/>
      <c r="M377" s="110">
        <v>155000</v>
      </c>
      <c r="N377" s="110"/>
      <c r="O377" s="110"/>
      <c r="P377" s="110">
        <f t="shared" si="111"/>
        <v>1864500</v>
      </c>
      <c r="Q377" s="110">
        <f t="shared" si="112"/>
        <v>1864500</v>
      </c>
      <c r="R377" s="110">
        <f t="shared" si="113"/>
        <v>1864500</v>
      </c>
      <c r="S377" s="112" t="s">
        <v>3000</v>
      </c>
    </row>
    <row r="378" spans="1:19" ht="30">
      <c r="A378" s="146"/>
      <c r="B378" s="150" t="s">
        <v>1429</v>
      </c>
      <c r="C378" s="146" t="s">
        <v>4</v>
      </c>
      <c r="D378" s="147">
        <v>1</v>
      </c>
      <c r="E378" s="148"/>
      <c r="F378" s="334">
        <v>1</v>
      </c>
      <c r="G378" s="112" t="s">
        <v>3000</v>
      </c>
      <c r="H378" s="120" t="s">
        <v>1429</v>
      </c>
      <c r="I378" s="120" t="s">
        <v>2748</v>
      </c>
      <c r="J378" s="120" t="s">
        <v>772</v>
      </c>
      <c r="K378" s="110">
        <v>868700</v>
      </c>
      <c r="L378" s="110"/>
      <c r="M378" s="110">
        <v>124000</v>
      </c>
      <c r="N378" s="110"/>
      <c r="O378" s="110"/>
      <c r="P378" s="110">
        <f t="shared" si="111"/>
        <v>992700</v>
      </c>
      <c r="Q378" s="110">
        <f t="shared" si="112"/>
        <v>992700</v>
      </c>
      <c r="R378" s="110">
        <f t="shared" si="113"/>
        <v>992700</v>
      </c>
      <c r="S378" s="112" t="s">
        <v>3000</v>
      </c>
    </row>
    <row r="379" spans="1:19" ht="30">
      <c r="A379" s="146">
        <v>19</v>
      </c>
      <c r="B379" s="150" t="s">
        <v>1430</v>
      </c>
      <c r="C379" s="146" t="s">
        <v>826</v>
      </c>
      <c r="D379" s="147">
        <v>17.760000000000002</v>
      </c>
      <c r="E379" s="148"/>
      <c r="F379" s="334">
        <v>17.760000000000002</v>
      </c>
      <c r="G379" s="112" t="s">
        <v>3135</v>
      </c>
      <c r="H379" s="120">
        <v>0</v>
      </c>
      <c r="I379" s="120">
        <v>0</v>
      </c>
      <c r="J379" s="120" t="s">
        <v>772</v>
      </c>
      <c r="K379" s="110">
        <v>0</v>
      </c>
      <c r="L379" s="110"/>
      <c r="M379" s="110">
        <v>62800</v>
      </c>
      <c r="N379" s="110"/>
      <c r="O379" s="110"/>
      <c r="P379" s="110">
        <f t="shared" si="111"/>
        <v>62800</v>
      </c>
      <c r="Q379" s="110">
        <f t="shared" si="112"/>
        <v>1115328</v>
      </c>
      <c r="R379" s="110">
        <f t="shared" si="113"/>
        <v>1115328</v>
      </c>
      <c r="S379" s="112" t="s">
        <v>3135</v>
      </c>
    </row>
    <row r="380" spans="1:19">
      <c r="A380" s="142">
        <v>20</v>
      </c>
      <c r="B380" s="153" t="s">
        <v>709</v>
      </c>
      <c r="C380" s="142" t="s">
        <v>17</v>
      </c>
      <c r="D380" s="143">
        <v>1</v>
      </c>
      <c r="E380" s="144"/>
      <c r="F380" s="334">
        <v>1</v>
      </c>
      <c r="G380" s="112">
        <v>0</v>
      </c>
      <c r="H380" s="120">
        <v>0</v>
      </c>
      <c r="I380" s="120">
        <v>0</v>
      </c>
      <c r="J380" s="120">
        <v>0</v>
      </c>
      <c r="K380" s="110">
        <v>211939600</v>
      </c>
      <c r="L380" s="110"/>
      <c r="M380" s="110">
        <v>0</v>
      </c>
      <c r="N380" s="110"/>
      <c r="O380" s="110"/>
      <c r="P380" s="110">
        <f t="shared" si="111"/>
        <v>211939600</v>
      </c>
      <c r="Q380" s="110">
        <f t="shared" si="112"/>
        <v>211939600</v>
      </c>
      <c r="R380" s="110">
        <f t="shared" si="113"/>
        <v>211939600</v>
      </c>
      <c r="S380" s="112">
        <v>0</v>
      </c>
    </row>
    <row r="381" spans="1:19">
      <c r="A381" s="163" t="s">
        <v>477</v>
      </c>
      <c r="B381" s="162" t="s">
        <v>1431</v>
      </c>
      <c r="C381" s="163"/>
      <c r="D381" s="164">
        <v>0</v>
      </c>
      <c r="E381" s="165"/>
      <c r="F381" s="167"/>
      <c r="G381" s="455"/>
      <c r="H381" s="455"/>
      <c r="I381" s="455"/>
      <c r="J381" s="455"/>
      <c r="K381" s="167"/>
      <c r="L381" s="167"/>
      <c r="M381" s="167"/>
      <c r="N381" s="167"/>
      <c r="O381" s="167"/>
      <c r="P381" s="167"/>
      <c r="Q381" s="167"/>
      <c r="R381" s="167"/>
      <c r="S381" s="378"/>
    </row>
    <row r="382" spans="1:19">
      <c r="A382" s="142">
        <v>1</v>
      </c>
      <c r="B382" s="153" t="s">
        <v>1350</v>
      </c>
      <c r="C382" s="142"/>
      <c r="D382" s="143">
        <v>0</v>
      </c>
      <c r="E382" s="144"/>
      <c r="F382" s="74"/>
      <c r="G382" s="120"/>
      <c r="H382" s="120"/>
      <c r="I382" s="120"/>
      <c r="J382" s="120"/>
      <c r="K382" s="74"/>
      <c r="L382" s="74"/>
      <c r="M382" s="74"/>
      <c r="N382" s="74"/>
      <c r="O382" s="74"/>
      <c r="P382" s="74"/>
      <c r="Q382" s="74"/>
      <c r="R382" s="74"/>
      <c r="S382" s="74"/>
    </row>
    <row r="383" spans="1:19" ht="45">
      <c r="A383" s="142"/>
      <c r="B383" s="153" t="s">
        <v>1353</v>
      </c>
      <c r="C383" s="142" t="s">
        <v>7</v>
      </c>
      <c r="D383" s="143">
        <v>49.058999999999997</v>
      </c>
      <c r="E383" s="144" t="s">
        <v>1352</v>
      </c>
      <c r="F383" s="334">
        <v>49.058999999999997</v>
      </c>
      <c r="G383" s="112" t="s">
        <v>2947</v>
      </c>
      <c r="H383" s="120" t="s">
        <v>2948</v>
      </c>
      <c r="I383" s="120" t="s">
        <v>2748</v>
      </c>
      <c r="J383" s="120" t="s">
        <v>772</v>
      </c>
      <c r="K383" s="110">
        <v>781400</v>
      </c>
      <c r="L383" s="110"/>
      <c r="M383" s="110">
        <v>213200</v>
      </c>
      <c r="N383" s="110"/>
      <c r="O383" s="110"/>
      <c r="P383" s="110">
        <f t="shared" ref="P383:P392" si="114">K383+L383+M383+N383+O383</f>
        <v>994600</v>
      </c>
      <c r="Q383" s="110">
        <f t="shared" ref="Q383:Q392" si="115">$P383*D383</f>
        <v>48794081.399999999</v>
      </c>
      <c r="R383" s="110">
        <f t="shared" ref="R383:R392" si="116">$P383*F383</f>
        <v>48794081.399999999</v>
      </c>
      <c r="S383" s="112" t="s">
        <v>2947</v>
      </c>
    </row>
    <row r="384" spans="1:19" ht="45">
      <c r="A384" s="142"/>
      <c r="B384" s="153" t="s">
        <v>1354</v>
      </c>
      <c r="C384" s="142" t="s">
        <v>7</v>
      </c>
      <c r="D384" s="143">
        <v>448.54800000000006</v>
      </c>
      <c r="E384" s="144" t="s">
        <v>1352</v>
      </c>
      <c r="F384" s="334">
        <v>448.54800000000006</v>
      </c>
      <c r="G384" s="112" t="s">
        <v>2949</v>
      </c>
      <c r="H384" s="120" t="s">
        <v>2950</v>
      </c>
      <c r="I384" s="120" t="s">
        <v>2748</v>
      </c>
      <c r="J384" s="120" t="s">
        <v>772</v>
      </c>
      <c r="K384" s="110">
        <v>486000</v>
      </c>
      <c r="L384" s="110"/>
      <c r="M384" s="110">
        <v>225700</v>
      </c>
      <c r="N384" s="110"/>
      <c r="O384" s="110"/>
      <c r="P384" s="110">
        <f t="shared" si="114"/>
        <v>711700</v>
      </c>
      <c r="Q384" s="110">
        <f t="shared" si="115"/>
        <v>319231611.60000002</v>
      </c>
      <c r="R384" s="110">
        <f t="shared" si="116"/>
        <v>319231611.60000002</v>
      </c>
      <c r="S384" s="112" t="s">
        <v>2949</v>
      </c>
    </row>
    <row r="385" spans="1:19" ht="45">
      <c r="A385" s="142"/>
      <c r="B385" s="153" t="s">
        <v>1356</v>
      </c>
      <c r="C385" s="142" t="s">
        <v>7</v>
      </c>
      <c r="D385" s="143">
        <v>201.90600000000001</v>
      </c>
      <c r="E385" s="144" t="s">
        <v>1352</v>
      </c>
      <c r="F385" s="334">
        <v>201.90600000000001</v>
      </c>
      <c r="G385" s="112" t="s">
        <v>2953</v>
      </c>
      <c r="H385" s="120" t="s">
        <v>2954</v>
      </c>
      <c r="I385" s="120" t="s">
        <v>2748</v>
      </c>
      <c r="J385" s="120" t="s">
        <v>772</v>
      </c>
      <c r="K385" s="110">
        <v>310900</v>
      </c>
      <c r="L385" s="110"/>
      <c r="M385" s="110">
        <v>171300</v>
      </c>
      <c r="N385" s="110"/>
      <c r="O385" s="110"/>
      <c r="P385" s="110">
        <f t="shared" si="114"/>
        <v>482200</v>
      </c>
      <c r="Q385" s="110">
        <f t="shared" si="115"/>
        <v>97359073.200000003</v>
      </c>
      <c r="R385" s="110">
        <f t="shared" si="116"/>
        <v>97359073.200000003</v>
      </c>
      <c r="S385" s="112" t="s">
        <v>2953</v>
      </c>
    </row>
    <row r="386" spans="1:19" ht="45">
      <c r="A386" s="142"/>
      <c r="B386" s="153" t="s">
        <v>1357</v>
      </c>
      <c r="C386" s="142" t="s">
        <v>7</v>
      </c>
      <c r="D386" s="143">
        <v>162.70600000000002</v>
      </c>
      <c r="E386" s="144" t="s">
        <v>1352</v>
      </c>
      <c r="F386" s="334">
        <v>162.70600000000002</v>
      </c>
      <c r="G386" s="112" t="s">
        <v>2955</v>
      </c>
      <c r="H386" s="120" t="s">
        <v>2956</v>
      </c>
      <c r="I386" s="120" t="s">
        <v>2748</v>
      </c>
      <c r="J386" s="120" t="s">
        <v>772</v>
      </c>
      <c r="K386" s="110">
        <v>239500</v>
      </c>
      <c r="L386" s="110"/>
      <c r="M386" s="110">
        <v>171300</v>
      </c>
      <c r="N386" s="110"/>
      <c r="O386" s="110"/>
      <c r="P386" s="110">
        <f t="shared" si="114"/>
        <v>410800</v>
      </c>
      <c r="Q386" s="110">
        <f t="shared" si="115"/>
        <v>66839624.800000004</v>
      </c>
      <c r="R386" s="110">
        <f t="shared" si="116"/>
        <v>66839624.800000004</v>
      </c>
      <c r="S386" s="112" t="s">
        <v>2955</v>
      </c>
    </row>
    <row r="387" spans="1:19" ht="45">
      <c r="A387" s="142"/>
      <c r="B387" s="153" t="s">
        <v>1358</v>
      </c>
      <c r="C387" s="142" t="s">
        <v>7</v>
      </c>
      <c r="D387" s="143">
        <v>24.849</v>
      </c>
      <c r="E387" s="144" t="s">
        <v>1352</v>
      </c>
      <c r="F387" s="334">
        <v>24.849</v>
      </c>
      <c r="G387" s="112" t="s">
        <v>2957</v>
      </c>
      <c r="H387" s="120" t="s">
        <v>2958</v>
      </c>
      <c r="I387" s="120" t="s">
        <v>2748</v>
      </c>
      <c r="J387" s="120" t="s">
        <v>772</v>
      </c>
      <c r="K387" s="110">
        <v>188000</v>
      </c>
      <c r="L387" s="110"/>
      <c r="M387" s="110">
        <v>139500</v>
      </c>
      <c r="N387" s="110"/>
      <c r="O387" s="110"/>
      <c r="P387" s="110">
        <f t="shared" si="114"/>
        <v>327500</v>
      </c>
      <c r="Q387" s="110">
        <f t="shared" si="115"/>
        <v>8138047.5</v>
      </c>
      <c r="R387" s="110">
        <f t="shared" si="116"/>
        <v>8138047.5</v>
      </c>
      <c r="S387" s="112" t="s">
        <v>2957</v>
      </c>
    </row>
    <row r="388" spans="1:19" ht="45">
      <c r="A388" s="142"/>
      <c r="B388" s="153" t="s">
        <v>1360</v>
      </c>
      <c r="C388" s="142" t="s">
        <v>7</v>
      </c>
      <c r="D388" s="143">
        <v>1268.6199999999999</v>
      </c>
      <c r="E388" s="144" t="s">
        <v>1352</v>
      </c>
      <c r="F388" s="334">
        <v>1268.6199999999999</v>
      </c>
      <c r="G388" s="112" t="s">
        <v>2959</v>
      </c>
      <c r="H388" s="120" t="s">
        <v>2960</v>
      </c>
      <c r="I388" s="120" t="s">
        <v>2748</v>
      </c>
      <c r="J388" s="120" t="s">
        <v>772</v>
      </c>
      <c r="K388" s="110">
        <v>159200</v>
      </c>
      <c r="L388" s="110"/>
      <c r="M388" s="110">
        <v>108700</v>
      </c>
      <c r="N388" s="110"/>
      <c r="O388" s="110"/>
      <c r="P388" s="110">
        <f t="shared" si="114"/>
        <v>267900</v>
      </c>
      <c r="Q388" s="110">
        <f t="shared" si="115"/>
        <v>339863298</v>
      </c>
      <c r="R388" s="110">
        <f t="shared" si="116"/>
        <v>339863298</v>
      </c>
      <c r="S388" s="112" t="s">
        <v>2959</v>
      </c>
    </row>
    <row r="389" spans="1:19" ht="45">
      <c r="A389" s="142"/>
      <c r="B389" s="153" t="s">
        <v>1360</v>
      </c>
      <c r="C389" s="142" t="s">
        <v>7</v>
      </c>
      <c r="D389" s="143">
        <v>418.56000000000006</v>
      </c>
      <c r="E389" s="144" t="s">
        <v>1359</v>
      </c>
      <c r="F389" s="334">
        <v>418.56000000000006</v>
      </c>
      <c r="G389" s="112" t="s">
        <v>2971</v>
      </c>
      <c r="H389" s="120" t="s">
        <v>2972</v>
      </c>
      <c r="I389" s="120" t="s">
        <v>2748</v>
      </c>
      <c r="J389" s="120" t="s">
        <v>772</v>
      </c>
      <c r="K389" s="110">
        <v>133000</v>
      </c>
      <c r="L389" s="110"/>
      <c r="M389" s="110">
        <v>108700</v>
      </c>
      <c r="N389" s="110"/>
      <c r="O389" s="110"/>
      <c r="P389" s="110">
        <f t="shared" si="114"/>
        <v>241700</v>
      </c>
      <c r="Q389" s="110">
        <f t="shared" si="115"/>
        <v>101165952.00000001</v>
      </c>
      <c r="R389" s="110">
        <f t="shared" si="116"/>
        <v>101165952.00000001</v>
      </c>
      <c r="S389" s="112" t="s">
        <v>2971</v>
      </c>
    </row>
    <row r="390" spans="1:19" ht="45">
      <c r="A390" s="142"/>
      <c r="B390" s="153" t="s">
        <v>1361</v>
      </c>
      <c r="C390" s="142" t="s">
        <v>7</v>
      </c>
      <c r="D390" s="143">
        <v>223</v>
      </c>
      <c r="E390" s="144" t="s">
        <v>1359</v>
      </c>
      <c r="F390" s="334">
        <v>223</v>
      </c>
      <c r="G390" s="112" t="s">
        <v>2973</v>
      </c>
      <c r="H390" s="120" t="s">
        <v>2974</v>
      </c>
      <c r="I390" s="120" t="s">
        <v>2748</v>
      </c>
      <c r="J390" s="120" t="s">
        <v>772</v>
      </c>
      <c r="K390" s="110">
        <v>85000</v>
      </c>
      <c r="L390" s="110"/>
      <c r="M390" s="110">
        <v>96900</v>
      </c>
      <c r="N390" s="110"/>
      <c r="O390" s="110"/>
      <c r="P390" s="110">
        <f t="shared" si="114"/>
        <v>181900</v>
      </c>
      <c r="Q390" s="110">
        <f t="shared" si="115"/>
        <v>40563700</v>
      </c>
      <c r="R390" s="110">
        <f t="shared" si="116"/>
        <v>40563700</v>
      </c>
      <c r="S390" s="112" t="s">
        <v>2973</v>
      </c>
    </row>
    <row r="391" spans="1:19" ht="45">
      <c r="A391" s="142"/>
      <c r="B391" s="153" t="s">
        <v>1364</v>
      </c>
      <c r="C391" s="142" t="s">
        <v>7</v>
      </c>
      <c r="D391" s="143">
        <v>26</v>
      </c>
      <c r="E391" s="144" t="s">
        <v>1359</v>
      </c>
      <c r="F391" s="334">
        <v>26</v>
      </c>
      <c r="G391" s="112" t="s">
        <v>2975</v>
      </c>
      <c r="H391" s="120" t="s">
        <v>2976</v>
      </c>
      <c r="I391" s="120" t="s">
        <v>2748</v>
      </c>
      <c r="J391" s="120" t="s">
        <v>772</v>
      </c>
      <c r="K391" s="110">
        <v>59200</v>
      </c>
      <c r="L391" s="110"/>
      <c r="M391" s="110">
        <v>85000</v>
      </c>
      <c r="N391" s="110"/>
      <c r="O391" s="110"/>
      <c r="P391" s="110">
        <f t="shared" si="114"/>
        <v>144200</v>
      </c>
      <c r="Q391" s="110">
        <f t="shared" si="115"/>
        <v>3749200</v>
      </c>
      <c r="R391" s="110">
        <f t="shared" si="116"/>
        <v>3749200</v>
      </c>
      <c r="S391" s="112" t="s">
        <v>2975</v>
      </c>
    </row>
    <row r="392" spans="1:19" ht="45">
      <c r="A392" s="142"/>
      <c r="B392" s="153" t="s">
        <v>1432</v>
      </c>
      <c r="C392" s="142" t="s">
        <v>7</v>
      </c>
      <c r="D392" s="143">
        <v>49</v>
      </c>
      <c r="E392" s="144" t="s">
        <v>1359</v>
      </c>
      <c r="F392" s="334">
        <v>49</v>
      </c>
      <c r="G392" s="112" t="s">
        <v>2977</v>
      </c>
      <c r="H392" s="120" t="s">
        <v>2978</v>
      </c>
      <c r="I392" s="120" t="s">
        <v>2748</v>
      </c>
      <c r="J392" s="120" t="s">
        <v>772</v>
      </c>
      <c r="K392" s="110">
        <v>42300</v>
      </c>
      <c r="L392" s="110"/>
      <c r="M392" s="110">
        <v>69200</v>
      </c>
      <c r="N392" s="110"/>
      <c r="O392" s="110"/>
      <c r="P392" s="110">
        <f t="shared" si="114"/>
        <v>111500</v>
      </c>
      <c r="Q392" s="110">
        <f t="shared" si="115"/>
        <v>5463500</v>
      </c>
      <c r="R392" s="110">
        <f t="shared" si="116"/>
        <v>5463500</v>
      </c>
      <c r="S392" s="112" t="s">
        <v>2977</v>
      </c>
    </row>
    <row r="393" spans="1:19">
      <c r="A393" s="142">
        <v>2</v>
      </c>
      <c r="B393" s="153" t="s">
        <v>1366</v>
      </c>
      <c r="C393" s="142"/>
      <c r="D393" s="143"/>
      <c r="E393" s="144"/>
      <c r="F393" s="76"/>
      <c r="G393" s="112"/>
      <c r="H393" s="120"/>
      <c r="I393" s="120"/>
      <c r="J393" s="120"/>
      <c r="K393" s="77"/>
      <c r="L393" s="77"/>
      <c r="M393" s="77"/>
      <c r="N393" s="77"/>
      <c r="O393" s="77"/>
      <c r="P393" s="77"/>
      <c r="Q393" s="77"/>
      <c r="R393" s="77"/>
      <c r="S393" s="77"/>
    </row>
    <row r="394" spans="1:19" ht="30">
      <c r="A394" s="146"/>
      <c r="B394" s="150" t="s">
        <v>1353</v>
      </c>
      <c r="C394" s="146" t="s">
        <v>7</v>
      </c>
      <c r="D394" s="147">
        <v>8</v>
      </c>
      <c r="E394" s="144" t="s">
        <v>1367</v>
      </c>
      <c r="F394" s="334">
        <v>8</v>
      </c>
      <c r="G394" s="112">
        <v>0</v>
      </c>
      <c r="H394" s="120" t="s">
        <v>2753</v>
      </c>
      <c r="I394" s="120" t="s">
        <v>2748</v>
      </c>
      <c r="J394" s="120" t="s">
        <v>772</v>
      </c>
      <c r="K394" s="110">
        <v>803100</v>
      </c>
      <c r="L394" s="110"/>
      <c r="M394" s="110">
        <v>723900</v>
      </c>
      <c r="N394" s="110"/>
      <c r="O394" s="110"/>
      <c r="P394" s="110">
        <f t="shared" ref="P394:P398" si="117">K394+L394+M394+N394+O394</f>
        <v>1527000</v>
      </c>
      <c r="Q394" s="110">
        <f t="shared" ref="Q394:Q398" si="118">$P394*D394</f>
        <v>12216000</v>
      </c>
      <c r="R394" s="110">
        <f t="shared" ref="R394:R398" si="119">$P394*F394</f>
        <v>12216000</v>
      </c>
      <c r="S394" s="112">
        <v>0</v>
      </c>
    </row>
    <row r="395" spans="1:19" ht="30">
      <c r="A395" s="146"/>
      <c r="B395" s="150" t="s">
        <v>1354</v>
      </c>
      <c r="C395" s="146" t="s">
        <v>7</v>
      </c>
      <c r="D395" s="147">
        <v>40</v>
      </c>
      <c r="E395" s="144" t="s">
        <v>1367</v>
      </c>
      <c r="F395" s="334">
        <v>40</v>
      </c>
      <c r="G395" s="112">
        <v>0</v>
      </c>
      <c r="H395" s="120" t="s">
        <v>2752</v>
      </c>
      <c r="I395" s="120" t="s">
        <v>2748</v>
      </c>
      <c r="J395" s="120" t="s">
        <v>772</v>
      </c>
      <c r="K395" s="110">
        <v>525800</v>
      </c>
      <c r="L395" s="110"/>
      <c r="M395" s="110">
        <v>282100</v>
      </c>
      <c r="N395" s="110"/>
      <c r="O395" s="110"/>
      <c r="P395" s="110">
        <f t="shared" si="117"/>
        <v>807900</v>
      </c>
      <c r="Q395" s="110">
        <f t="shared" si="118"/>
        <v>32316000</v>
      </c>
      <c r="R395" s="110">
        <f t="shared" si="119"/>
        <v>32316000</v>
      </c>
      <c r="S395" s="112">
        <v>0</v>
      </c>
    </row>
    <row r="396" spans="1:19" ht="30">
      <c r="A396" s="142"/>
      <c r="B396" s="153" t="s">
        <v>1357</v>
      </c>
      <c r="C396" s="142" t="s">
        <v>7</v>
      </c>
      <c r="D396" s="143">
        <v>156</v>
      </c>
      <c r="E396" s="144" t="s">
        <v>1367</v>
      </c>
      <c r="F396" s="334">
        <v>156</v>
      </c>
      <c r="G396" s="112">
        <v>0</v>
      </c>
      <c r="H396" s="120" t="s">
        <v>2751</v>
      </c>
      <c r="I396" s="120" t="s">
        <v>2748</v>
      </c>
      <c r="J396" s="120" t="s">
        <v>772</v>
      </c>
      <c r="K396" s="110">
        <v>254700</v>
      </c>
      <c r="L396" s="110"/>
      <c r="M396" s="110">
        <v>200600</v>
      </c>
      <c r="N396" s="110"/>
      <c r="O396" s="110"/>
      <c r="P396" s="110">
        <f t="shared" si="117"/>
        <v>455300</v>
      </c>
      <c r="Q396" s="110">
        <f t="shared" si="118"/>
        <v>71026800</v>
      </c>
      <c r="R396" s="110">
        <f t="shared" si="119"/>
        <v>71026800</v>
      </c>
      <c r="S396" s="112">
        <v>0</v>
      </c>
    </row>
    <row r="397" spans="1:19" ht="30">
      <c r="A397" s="142"/>
      <c r="B397" s="153" t="s">
        <v>1364</v>
      </c>
      <c r="C397" s="142" t="s">
        <v>7</v>
      </c>
      <c r="D397" s="143">
        <v>95.035000000000025</v>
      </c>
      <c r="E397" s="144" t="s">
        <v>1367</v>
      </c>
      <c r="F397" s="334">
        <v>95.035000000000025</v>
      </c>
      <c r="G397" s="112">
        <v>0</v>
      </c>
      <c r="H397" s="120" t="s">
        <v>2749</v>
      </c>
      <c r="I397" s="120" t="s">
        <v>2748</v>
      </c>
      <c r="J397" s="120" t="s">
        <v>772</v>
      </c>
      <c r="K397" s="110">
        <v>64100</v>
      </c>
      <c r="L397" s="110"/>
      <c r="M397" s="110">
        <v>131000</v>
      </c>
      <c r="N397" s="110"/>
      <c r="O397" s="110"/>
      <c r="P397" s="110">
        <f t="shared" si="117"/>
        <v>195100</v>
      </c>
      <c r="Q397" s="110">
        <f t="shared" si="118"/>
        <v>18541328.500000004</v>
      </c>
      <c r="R397" s="110">
        <f t="shared" si="119"/>
        <v>18541328.500000004</v>
      </c>
      <c r="S397" s="112">
        <v>0</v>
      </c>
    </row>
    <row r="398" spans="1:19" ht="30">
      <c r="A398" s="142"/>
      <c r="B398" s="153" t="s">
        <v>1433</v>
      </c>
      <c r="C398" s="142" t="s">
        <v>7</v>
      </c>
      <c r="D398" s="143">
        <v>66</v>
      </c>
      <c r="E398" s="144" t="s">
        <v>1367</v>
      </c>
      <c r="F398" s="334">
        <v>66</v>
      </c>
      <c r="G398" s="112">
        <v>0</v>
      </c>
      <c r="H398" s="120" t="s">
        <v>2747</v>
      </c>
      <c r="I398" s="120" t="s">
        <v>2748</v>
      </c>
      <c r="J398" s="120" t="s">
        <v>772</v>
      </c>
      <c r="K398" s="110">
        <v>28100</v>
      </c>
      <c r="L398" s="110"/>
      <c r="M398" s="110">
        <v>113500</v>
      </c>
      <c r="N398" s="110"/>
      <c r="O398" s="110"/>
      <c r="P398" s="110">
        <f t="shared" si="117"/>
        <v>141600</v>
      </c>
      <c r="Q398" s="110">
        <f t="shared" si="118"/>
        <v>9345600</v>
      </c>
      <c r="R398" s="110">
        <f t="shared" si="119"/>
        <v>9345600</v>
      </c>
      <c r="S398" s="112">
        <v>0</v>
      </c>
    </row>
    <row r="399" spans="1:19">
      <c r="A399" s="142">
        <v>3</v>
      </c>
      <c r="B399" s="153" t="s">
        <v>1368</v>
      </c>
      <c r="C399" s="142"/>
      <c r="D399" s="143"/>
      <c r="E399" s="144"/>
      <c r="F399" s="76"/>
      <c r="G399" s="112"/>
      <c r="H399" s="120"/>
      <c r="I399" s="120"/>
      <c r="J399" s="120"/>
      <c r="K399" s="77"/>
      <c r="L399" s="77"/>
      <c r="M399" s="77"/>
      <c r="N399" s="77"/>
      <c r="O399" s="77"/>
      <c r="P399" s="77"/>
      <c r="Q399" s="77"/>
      <c r="R399" s="77"/>
      <c r="S399" s="77"/>
    </row>
    <row r="400" spans="1:19" ht="45">
      <c r="A400" s="142"/>
      <c r="B400" s="153" t="s">
        <v>1369</v>
      </c>
      <c r="C400" s="142" t="s">
        <v>7</v>
      </c>
      <c r="D400" s="143">
        <v>172.03399999999999</v>
      </c>
      <c r="E400" s="144"/>
      <c r="F400" s="334">
        <v>172.03399999999999</v>
      </c>
      <c r="G400" s="112" t="s">
        <v>2715</v>
      </c>
      <c r="H400" s="120" t="s">
        <v>2743</v>
      </c>
      <c r="I400" s="120" t="s">
        <v>1630</v>
      </c>
      <c r="J400" s="120" t="s">
        <v>772</v>
      </c>
      <c r="K400" s="110">
        <v>830900</v>
      </c>
      <c r="L400" s="110"/>
      <c r="M400" s="110">
        <v>295700</v>
      </c>
      <c r="N400" s="110"/>
      <c r="O400" s="110"/>
      <c r="P400" s="110">
        <f t="shared" ref="P400:P401" si="120">K400+L400+M400+N400+O400</f>
        <v>1126600</v>
      </c>
      <c r="Q400" s="110">
        <f t="shared" ref="Q400:Q401" si="121">$P400*D400</f>
        <v>193813504.39999998</v>
      </c>
      <c r="R400" s="110">
        <f t="shared" ref="R400:R401" si="122">$P400*F400</f>
        <v>193813504.39999998</v>
      </c>
      <c r="S400" s="112" t="s">
        <v>2715</v>
      </c>
    </row>
    <row r="401" spans="1:19" ht="45">
      <c r="A401" s="142"/>
      <c r="B401" s="153" t="s">
        <v>1434</v>
      </c>
      <c r="C401" s="142" t="s">
        <v>7</v>
      </c>
      <c r="D401" s="143">
        <v>69.823999999999998</v>
      </c>
      <c r="E401" s="144"/>
      <c r="F401" s="334">
        <v>69.823999999999998</v>
      </c>
      <c r="G401" s="112" t="s">
        <v>2715</v>
      </c>
      <c r="H401" s="120" t="s">
        <v>2741</v>
      </c>
      <c r="I401" s="120" t="s">
        <v>1630</v>
      </c>
      <c r="J401" s="120" t="s">
        <v>772</v>
      </c>
      <c r="K401" s="110">
        <v>381100</v>
      </c>
      <c r="L401" s="110"/>
      <c r="M401" s="110">
        <v>150100</v>
      </c>
      <c r="N401" s="110"/>
      <c r="O401" s="110"/>
      <c r="P401" s="110">
        <f t="shared" si="120"/>
        <v>531200</v>
      </c>
      <c r="Q401" s="110">
        <f t="shared" si="121"/>
        <v>37090508.799999997</v>
      </c>
      <c r="R401" s="110">
        <f t="shared" si="122"/>
        <v>37090508.799999997</v>
      </c>
      <c r="S401" s="112" t="s">
        <v>2715</v>
      </c>
    </row>
    <row r="402" spans="1:19">
      <c r="A402" s="142">
        <v>4</v>
      </c>
      <c r="B402" s="153" t="s">
        <v>1370</v>
      </c>
      <c r="C402" s="142"/>
      <c r="D402" s="143"/>
      <c r="E402" s="144"/>
      <c r="F402" s="76"/>
      <c r="G402" s="112"/>
      <c r="H402" s="120"/>
      <c r="I402" s="120"/>
      <c r="J402" s="120"/>
      <c r="K402" s="77"/>
      <c r="L402" s="77"/>
      <c r="M402" s="77"/>
      <c r="N402" s="77"/>
      <c r="O402" s="77"/>
      <c r="P402" s="77"/>
      <c r="Q402" s="77"/>
      <c r="R402" s="77"/>
      <c r="S402" s="77"/>
    </row>
    <row r="403" spans="1:19" ht="30">
      <c r="A403" s="142"/>
      <c r="B403" s="153" t="s">
        <v>1373</v>
      </c>
      <c r="C403" s="142" t="s">
        <v>4</v>
      </c>
      <c r="D403" s="143">
        <v>3</v>
      </c>
      <c r="E403" s="144"/>
      <c r="F403" s="334">
        <v>3</v>
      </c>
      <c r="G403" s="112" t="s">
        <v>2990</v>
      </c>
      <c r="H403" s="120" t="s">
        <v>2993</v>
      </c>
      <c r="I403" s="120" t="s">
        <v>2748</v>
      </c>
      <c r="J403" s="120" t="s">
        <v>772</v>
      </c>
      <c r="K403" s="110">
        <v>2000300</v>
      </c>
      <c r="L403" s="110"/>
      <c r="M403" s="110">
        <v>155000</v>
      </c>
      <c r="N403" s="110"/>
      <c r="O403" s="110"/>
      <c r="P403" s="110">
        <f t="shared" ref="P403:P419" si="123">K403+L403+M403+N403+O403</f>
        <v>2155300</v>
      </c>
      <c r="Q403" s="110">
        <f t="shared" ref="Q403:Q419" si="124">$P403*D403</f>
        <v>6465900</v>
      </c>
      <c r="R403" s="110">
        <f t="shared" ref="R403:R419" si="125">$P403*F403</f>
        <v>6465900</v>
      </c>
      <c r="S403" s="112" t="s">
        <v>2990</v>
      </c>
    </row>
    <row r="404" spans="1:19" ht="45">
      <c r="A404" s="142"/>
      <c r="B404" s="153" t="s">
        <v>1374</v>
      </c>
      <c r="C404" s="142" t="s">
        <v>4</v>
      </c>
      <c r="D404" s="143">
        <v>4</v>
      </c>
      <c r="E404" s="144"/>
      <c r="F404" s="334">
        <v>4</v>
      </c>
      <c r="G404" s="112" t="s">
        <v>2990</v>
      </c>
      <c r="H404" s="120" t="s">
        <v>2994</v>
      </c>
      <c r="I404" s="120" t="s">
        <v>2748</v>
      </c>
      <c r="J404" s="120" t="s">
        <v>772</v>
      </c>
      <c r="K404" s="110">
        <v>859100</v>
      </c>
      <c r="L404" s="110"/>
      <c r="M404" s="110">
        <v>155000</v>
      </c>
      <c r="N404" s="110"/>
      <c r="O404" s="110"/>
      <c r="P404" s="110">
        <f t="shared" si="123"/>
        <v>1014100</v>
      </c>
      <c r="Q404" s="110">
        <f t="shared" si="124"/>
        <v>4056400</v>
      </c>
      <c r="R404" s="110">
        <f t="shared" si="125"/>
        <v>4056400</v>
      </c>
      <c r="S404" s="112" t="s">
        <v>2990</v>
      </c>
    </row>
    <row r="405" spans="1:19" ht="30">
      <c r="A405" s="142"/>
      <c r="B405" s="153" t="s">
        <v>1376</v>
      </c>
      <c r="C405" s="142" t="s">
        <v>4</v>
      </c>
      <c r="D405" s="143">
        <v>21</v>
      </c>
      <c r="E405" s="144"/>
      <c r="F405" s="334">
        <v>21</v>
      </c>
      <c r="G405" s="112" t="s">
        <v>2996</v>
      </c>
      <c r="H405" s="120" t="s">
        <v>2997</v>
      </c>
      <c r="I405" s="120" t="s">
        <v>2748</v>
      </c>
      <c r="J405" s="120" t="s">
        <v>772</v>
      </c>
      <c r="K405" s="110">
        <v>936000</v>
      </c>
      <c r="L405" s="110"/>
      <c r="M405" s="110">
        <v>124000</v>
      </c>
      <c r="N405" s="110"/>
      <c r="O405" s="110"/>
      <c r="P405" s="110">
        <f t="shared" si="123"/>
        <v>1060000</v>
      </c>
      <c r="Q405" s="110">
        <f t="shared" si="124"/>
        <v>22260000</v>
      </c>
      <c r="R405" s="110">
        <f t="shared" si="125"/>
        <v>22260000</v>
      </c>
      <c r="S405" s="112" t="s">
        <v>2996</v>
      </c>
    </row>
    <row r="406" spans="1:19" ht="45">
      <c r="A406" s="142"/>
      <c r="B406" s="153" t="s">
        <v>1435</v>
      </c>
      <c r="C406" s="142" t="s">
        <v>4</v>
      </c>
      <c r="D406" s="143">
        <v>5</v>
      </c>
      <c r="E406" s="144"/>
      <c r="F406" s="334">
        <v>5</v>
      </c>
      <c r="G406" s="112" t="s">
        <v>3000</v>
      </c>
      <c r="H406" s="120" t="s">
        <v>3001</v>
      </c>
      <c r="I406" s="120" t="s">
        <v>2748</v>
      </c>
      <c r="J406" s="120" t="s">
        <v>772</v>
      </c>
      <c r="K406" s="110">
        <v>484800</v>
      </c>
      <c r="L406" s="110"/>
      <c r="M406" s="110">
        <v>124000</v>
      </c>
      <c r="N406" s="110"/>
      <c r="O406" s="110"/>
      <c r="P406" s="110">
        <f t="shared" si="123"/>
        <v>608800</v>
      </c>
      <c r="Q406" s="110">
        <f t="shared" si="124"/>
        <v>3044000</v>
      </c>
      <c r="R406" s="110">
        <f t="shared" si="125"/>
        <v>3044000</v>
      </c>
      <c r="S406" s="112" t="s">
        <v>3000</v>
      </c>
    </row>
    <row r="407" spans="1:19" ht="45">
      <c r="A407" s="142"/>
      <c r="B407" s="153" t="s">
        <v>1436</v>
      </c>
      <c r="C407" s="142" t="s">
        <v>4</v>
      </c>
      <c r="D407" s="143">
        <v>5</v>
      </c>
      <c r="E407" s="144"/>
      <c r="F407" s="334">
        <v>5</v>
      </c>
      <c r="G407" s="112" t="s">
        <v>3000</v>
      </c>
      <c r="H407" s="120" t="s">
        <v>3002</v>
      </c>
      <c r="I407" s="120" t="s">
        <v>2748</v>
      </c>
      <c r="J407" s="120" t="s">
        <v>772</v>
      </c>
      <c r="K407" s="110">
        <v>461400</v>
      </c>
      <c r="L407" s="110"/>
      <c r="M407" s="110">
        <v>124000</v>
      </c>
      <c r="N407" s="110"/>
      <c r="O407" s="110"/>
      <c r="P407" s="110">
        <f t="shared" si="123"/>
        <v>585400</v>
      </c>
      <c r="Q407" s="110">
        <f t="shared" si="124"/>
        <v>2927000</v>
      </c>
      <c r="R407" s="110">
        <f t="shared" si="125"/>
        <v>2927000</v>
      </c>
      <c r="S407" s="112" t="s">
        <v>3000</v>
      </c>
    </row>
    <row r="408" spans="1:19" ht="45">
      <c r="A408" s="142"/>
      <c r="B408" s="153" t="s">
        <v>1378</v>
      </c>
      <c r="C408" s="142" t="s">
        <v>4</v>
      </c>
      <c r="D408" s="143">
        <v>1</v>
      </c>
      <c r="E408" s="144"/>
      <c r="F408" s="334">
        <v>1</v>
      </c>
      <c r="G408" s="112" t="s">
        <v>2990</v>
      </c>
      <c r="H408" s="120" t="s">
        <v>2999</v>
      </c>
      <c r="I408" s="120" t="s">
        <v>2748</v>
      </c>
      <c r="J408" s="120" t="s">
        <v>772</v>
      </c>
      <c r="K408" s="110">
        <v>435700</v>
      </c>
      <c r="L408" s="110"/>
      <c r="M408" s="110">
        <v>124000</v>
      </c>
      <c r="N408" s="110"/>
      <c r="O408" s="110"/>
      <c r="P408" s="110">
        <f t="shared" si="123"/>
        <v>559700</v>
      </c>
      <c r="Q408" s="110">
        <f t="shared" si="124"/>
        <v>559700</v>
      </c>
      <c r="R408" s="110">
        <f t="shared" si="125"/>
        <v>559700</v>
      </c>
      <c r="S408" s="112" t="s">
        <v>2990</v>
      </c>
    </row>
    <row r="409" spans="1:19" ht="30">
      <c r="A409" s="142"/>
      <c r="B409" s="153" t="s">
        <v>1382</v>
      </c>
      <c r="C409" s="142" t="s">
        <v>4</v>
      </c>
      <c r="D409" s="143">
        <v>17</v>
      </c>
      <c r="E409" s="144"/>
      <c r="F409" s="334">
        <v>17</v>
      </c>
      <c r="G409" s="112" t="s">
        <v>2996</v>
      </c>
      <c r="H409" s="120" t="s">
        <v>3006</v>
      </c>
      <c r="I409" s="120" t="s">
        <v>2748</v>
      </c>
      <c r="J409" s="120" t="s">
        <v>772</v>
      </c>
      <c r="K409" s="110">
        <v>494700</v>
      </c>
      <c r="L409" s="110"/>
      <c r="M409" s="110">
        <v>93000</v>
      </c>
      <c r="N409" s="110"/>
      <c r="O409" s="110"/>
      <c r="P409" s="110">
        <f t="shared" si="123"/>
        <v>587700</v>
      </c>
      <c r="Q409" s="110">
        <f t="shared" si="124"/>
        <v>9990900</v>
      </c>
      <c r="R409" s="110">
        <f t="shared" si="125"/>
        <v>9990900</v>
      </c>
      <c r="S409" s="112" t="s">
        <v>2996</v>
      </c>
    </row>
    <row r="410" spans="1:19" ht="60">
      <c r="A410" s="142"/>
      <c r="B410" s="153" t="s">
        <v>1418</v>
      </c>
      <c r="C410" s="142" t="s">
        <v>4</v>
      </c>
      <c r="D410" s="143">
        <v>10</v>
      </c>
      <c r="E410" s="144"/>
      <c r="F410" s="334">
        <v>10</v>
      </c>
      <c r="G410" s="112" t="s">
        <v>3000</v>
      </c>
      <c r="H410" s="120" t="s">
        <v>3007</v>
      </c>
      <c r="I410" s="120" t="s">
        <v>2748</v>
      </c>
      <c r="J410" s="120" t="s">
        <v>772</v>
      </c>
      <c r="K410" s="110">
        <v>580400</v>
      </c>
      <c r="L410" s="110"/>
      <c r="M410" s="110">
        <v>93000</v>
      </c>
      <c r="N410" s="110"/>
      <c r="O410" s="110"/>
      <c r="P410" s="110">
        <f t="shared" si="123"/>
        <v>673400</v>
      </c>
      <c r="Q410" s="110">
        <f t="shared" si="124"/>
        <v>6734000</v>
      </c>
      <c r="R410" s="110">
        <f t="shared" si="125"/>
        <v>6734000</v>
      </c>
      <c r="S410" s="112" t="s">
        <v>3000</v>
      </c>
    </row>
    <row r="411" spans="1:19" ht="45">
      <c r="A411" s="142"/>
      <c r="B411" s="153" t="s">
        <v>1384</v>
      </c>
      <c r="C411" s="142" t="s">
        <v>4</v>
      </c>
      <c r="D411" s="143">
        <v>21</v>
      </c>
      <c r="E411" s="144"/>
      <c r="F411" s="334">
        <v>21</v>
      </c>
      <c r="G411" s="112" t="s">
        <v>2996</v>
      </c>
      <c r="H411" s="120" t="s">
        <v>3009</v>
      </c>
      <c r="I411" s="120" t="s">
        <v>2748</v>
      </c>
      <c r="J411" s="120" t="s">
        <v>772</v>
      </c>
      <c r="K411" s="110">
        <v>326500</v>
      </c>
      <c r="L411" s="110"/>
      <c r="M411" s="110">
        <v>93000</v>
      </c>
      <c r="N411" s="110"/>
      <c r="O411" s="110"/>
      <c r="P411" s="110">
        <f t="shared" si="123"/>
        <v>419500</v>
      </c>
      <c r="Q411" s="110">
        <f t="shared" si="124"/>
        <v>8809500</v>
      </c>
      <c r="R411" s="110">
        <f t="shared" si="125"/>
        <v>8809500</v>
      </c>
      <c r="S411" s="112" t="s">
        <v>2996</v>
      </c>
    </row>
    <row r="412" spans="1:19" ht="30">
      <c r="A412" s="142"/>
      <c r="B412" s="153" t="s">
        <v>1257</v>
      </c>
      <c r="C412" s="142" t="s">
        <v>4</v>
      </c>
      <c r="D412" s="143">
        <v>9</v>
      </c>
      <c r="E412" s="144"/>
      <c r="F412" s="334">
        <v>9</v>
      </c>
      <c r="G412" s="112" t="s">
        <v>2996</v>
      </c>
      <c r="H412" s="120" t="s">
        <v>3011</v>
      </c>
      <c r="I412" s="120" t="s">
        <v>2748</v>
      </c>
      <c r="J412" s="120" t="s">
        <v>772</v>
      </c>
      <c r="K412" s="110">
        <v>351200</v>
      </c>
      <c r="L412" s="110"/>
      <c r="M412" s="110">
        <v>77500</v>
      </c>
      <c r="N412" s="110"/>
      <c r="O412" s="110"/>
      <c r="P412" s="110">
        <f t="shared" si="123"/>
        <v>428700</v>
      </c>
      <c r="Q412" s="110">
        <f t="shared" si="124"/>
        <v>3858300</v>
      </c>
      <c r="R412" s="110">
        <f t="shared" si="125"/>
        <v>3858300</v>
      </c>
      <c r="S412" s="112" t="s">
        <v>2996</v>
      </c>
    </row>
    <row r="413" spans="1:19" ht="45">
      <c r="A413" s="142"/>
      <c r="B413" s="153" t="s">
        <v>1387</v>
      </c>
      <c r="C413" s="142" t="s">
        <v>4</v>
      </c>
      <c r="D413" s="143">
        <v>20</v>
      </c>
      <c r="E413" s="144"/>
      <c r="F413" s="334">
        <v>20</v>
      </c>
      <c r="G413" s="112" t="s">
        <v>2996</v>
      </c>
      <c r="H413" s="120" t="s">
        <v>3013</v>
      </c>
      <c r="I413" s="120" t="s">
        <v>2748</v>
      </c>
      <c r="J413" s="120" t="s">
        <v>772</v>
      </c>
      <c r="K413" s="110">
        <v>248500</v>
      </c>
      <c r="L413" s="110"/>
      <c r="M413" s="110">
        <v>77500</v>
      </c>
      <c r="N413" s="110"/>
      <c r="O413" s="110"/>
      <c r="P413" s="110">
        <f t="shared" si="123"/>
        <v>326000</v>
      </c>
      <c r="Q413" s="110">
        <f t="shared" si="124"/>
        <v>6520000</v>
      </c>
      <c r="R413" s="110">
        <f t="shared" si="125"/>
        <v>6520000</v>
      </c>
      <c r="S413" s="112" t="s">
        <v>2996</v>
      </c>
    </row>
    <row r="414" spans="1:19" ht="30">
      <c r="A414" s="142"/>
      <c r="B414" s="153" t="s">
        <v>1388</v>
      </c>
      <c r="C414" s="142" t="s">
        <v>4</v>
      </c>
      <c r="D414" s="143">
        <v>1</v>
      </c>
      <c r="E414" s="144"/>
      <c r="F414" s="334">
        <v>1</v>
      </c>
      <c r="G414" s="112" t="s">
        <v>2996</v>
      </c>
      <c r="H414" s="120" t="s">
        <v>3011</v>
      </c>
      <c r="I414" s="120" t="s">
        <v>2748</v>
      </c>
      <c r="J414" s="120" t="s">
        <v>772</v>
      </c>
      <c r="K414" s="110">
        <v>222900</v>
      </c>
      <c r="L414" s="110"/>
      <c r="M414" s="110">
        <v>77500</v>
      </c>
      <c r="N414" s="110"/>
      <c r="O414" s="110"/>
      <c r="P414" s="110">
        <f t="shared" si="123"/>
        <v>300400</v>
      </c>
      <c r="Q414" s="110">
        <f t="shared" si="124"/>
        <v>300400</v>
      </c>
      <c r="R414" s="110">
        <f t="shared" si="125"/>
        <v>300400</v>
      </c>
      <c r="S414" s="112" t="s">
        <v>2996</v>
      </c>
    </row>
    <row r="415" spans="1:19" ht="45">
      <c r="A415" s="142"/>
      <c r="B415" s="153" t="s">
        <v>1389</v>
      </c>
      <c r="C415" s="142" t="s">
        <v>4</v>
      </c>
      <c r="D415" s="143">
        <v>1</v>
      </c>
      <c r="E415" s="144"/>
      <c r="F415" s="334">
        <v>1</v>
      </c>
      <c r="G415" s="112" t="s">
        <v>2996</v>
      </c>
      <c r="H415" s="120" t="s">
        <v>3015</v>
      </c>
      <c r="I415" s="120" t="s">
        <v>2748</v>
      </c>
      <c r="J415" s="120" t="s">
        <v>772</v>
      </c>
      <c r="K415" s="110">
        <v>189600</v>
      </c>
      <c r="L415" s="110"/>
      <c r="M415" s="110">
        <v>77500</v>
      </c>
      <c r="N415" s="110"/>
      <c r="O415" s="110"/>
      <c r="P415" s="110">
        <f t="shared" si="123"/>
        <v>267100</v>
      </c>
      <c r="Q415" s="110">
        <f t="shared" si="124"/>
        <v>267100</v>
      </c>
      <c r="R415" s="110">
        <f t="shared" si="125"/>
        <v>267100</v>
      </c>
      <c r="S415" s="112" t="s">
        <v>2996</v>
      </c>
    </row>
    <row r="416" spans="1:19" ht="30">
      <c r="A416" s="142"/>
      <c r="B416" s="153" t="s">
        <v>1250</v>
      </c>
      <c r="C416" s="142" t="s">
        <v>4</v>
      </c>
      <c r="D416" s="143">
        <v>182</v>
      </c>
      <c r="E416" s="144"/>
      <c r="F416" s="334">
        <v>182</v>
      </c>
      <c r="G416" s="112" t="s">
        <v>2996</v>
      </c>
      <c r="H416" s="120" t="s">
        <v>3017</v>
      </c>
      <c r="I416" s="120" t="s">
        <v>2748</v>
      </c>
      <c r="J416" s="120" t="s">
        <v>772</v>
      </c>
      <c r="K416" s="110">
        <v>109200</v>
      </c>
      <c r="L416" s="110"/>
      <c r="M416" s="110">
        <v>62000</v>
      </c>
      <c r="N416" s="110"/>
      <c r="O416" s="110"/>
      <c r="P416" s="110">
        <f t="shared" si="123"/>
        <v>171200</v>
      </c>
      <c r="Q416" s="110">
        <f t="shared" si="124"/>
        <v>31158400</v>
      </c>
      <c r="R416" s="110">
        <f t="shared" si="125"/>
        <v>31158400</v>
      </c>
      <c r="S416" s="112" t="s">
        <v>2996</v>
      </c>
    </row>
    <row r="417" spans="1:19" ht="30">
      <c r="A417" s="142"/>
      <c r="B417" s="153" t="s">
        <v>1252</v>
      </c>
      <c r="C417" s="142" t="s">
        <v>4</v>
      </c>
      <c r="D417" s="143">
        <v>55</v>
      </c>
      <c r="E417" s="144"/>
      <c r="F417" s="334">
        <v>55</v>
      </c>
      <c r="G417" s="112" t="s">
        <v>2996</v>
      </c>
      <c r="H417" s="120" t="s">
        <v>3021</v>
      </c>
      <c r="I417" s="120" t="s">
        <v>2748</v>
      </c>
      <c r="J417" s="120" t="s">
        <v>772</v>
      </c>
      <c r="K417" s="110">
        <v>71300</v>
      </c>
      <c r="L417" s="110"/>
      <c r="M417" s="110">
        <v>49600</v>
      </c>
      <c r="N417" s="110"/>
      <c r="O417" s="110"/>
      <c r="P417" s="110">
        <f t="shared" si="123"/>
        <v>120900</v>
      </c>
      <c r="Q417" s="110">
        <f t="shared" si="124"/>
        <v>6649500</v>
      </c>
      <c r="R417" s="110">
        <f t="shared" si="125"/>
        <v>6649500</v>
      </c>
      <c r="S417" s="112" t="s">
        <v>2996</v>
      </c>
    </row>
    <row r="418" spans="1:19" ht="30">
      <c r="A418" s="146"/>
      <c r="B418" s="150" t="s">
        <v>1424</v>
      </c>
      <c r="C418" s="146" t="s">
        <v>4</v>
      </c>
      <c r="D418" s="147">
        <v>5</v>
      </c>
      <c r="E418" s="148"/>
      <c r="F418" s="334">
        <v>5</v>
      </c>
      <c r="G418" s="112" t="s">
        <v>2996</v>
      </c>
      <c r="H418" s="120" t="s">
        <v>3023</v>
      </c>
      <c r="I418" s="120" t="s">
        <v>2748</v>
      </c>
      <c r="J418" s="120" t="s">
        <v>772</v>
      </c>
      <c r="K418" s="110">
        <v>49200</v>
      </c>
      <c r="L418" s="110"/>
      <c r="M418" s="110">
        <v>40300</v>
      </c>
      <c r="N418" s="110"/>
      <c r="O418" s="110"/>
      <c r="P418" s="110">
        <f t="shared" si="123"/>
        <v>89500</v>
      </c>
      <c r="Q418" s="110">
        <f t="shared" si="124"/>
        <v>447500</v>
      </c>
      <c r="R418" s="110">
        <f t="shared" si="125"/>
        <v>447500</v>
      </c>
      <c r="S418" s="112" t="s">
        <v>2996</v>
      </c>
    </row>
    <row r="419" spans="1:19" ht="75">
      <c r="A419" s="146"/>
      <c r="B419" s="150" t="s">
        <v>1437</v>
      </c>
      <c r="C419" s="146" t="s">
        <v>4</v>
      </c>
      <c r="D419" s="147">
        <v>2</v>
      </c>
      <c r="E419" s="148"/>
      <c r="F419" s="334">
        <v>2</v>
      </c>
      <c r="G419" s="112" t="s">
        <v>2990</v>
      </c>
      <c r="H419" s="120" t="s">
        <v>3028</v>
      </c>
      <c r="I419" s="120" t="s">
        <v>2748</v>
      </c>
      <c r="J419" s="120" t="s">
        <v>772</v>
      </c>
      <c r="K419" s="110">
        <v>37100</v>
      </c>
      <c r="L419" s="110"/>
      <c r="M419" s="110">
        <v>40300</v>
      </c>
      <c r="N419" s="110"/>
      <c r="O419" s="110"/>
      <c r="P419" s="110">
        <f t="shared" si="123"/>
        <v>77400</v>
      </c>
      <c r="Q419" s="110">
        <f t="shared" si="124"/>
        <v>154800</v>
      </c>
      <c r="R419" s="110">
        <f t="shared" si="125"/>
        <v>154800</v>
      </c>
      <c r="S419" s="112" t="s">
        <v>2990</v>
      </c>
    </row>
    <row r="420" spans="1:19">
      <c r="A420" s="142">
        <v>5</v>
      </c>
      <c r="B420" s="153" t="s">
        <v>1392</v>
      </c>
      <c r="C420" s="142"/>
      <c r="D420" s="143"/>
      <c r="E420" s="144"/>
      <c r="F420" s="76"/>
      <c r="G420" s="112"/>
      <c r="H420" s="120"/>
      <c r="I420" s="120"/>
      <c r="J420" s="120"/>
      <c r="K420" s="77"/>
      <c r="L420" s="77"/>
      <c r="M420" s="77"/>
      <c r="N420" s="77"/>
      <c r="O420" s="77"/>
      <c r="P420" s="77"/>
      <c r="Q420" s="77"/>
      <c r="R420" s="77"/>
      <c r="S420" s="77"/>
    </row>
    <row r="421" spans="1:19" ht="30">
      <c r="A421" s="142"/>
      <c r="B421" s="153" t="s">
        <v>1373</v>
      </c>
      <c r="C421" s="142" t="s">
        <v>4</v>
      </c>
      <c r="D421" s="143">
        <v>15</v>
      </c>
      <c r="E421" s="144"/>
      <c r="F421" s="334">
        <v>15</v>
      </c>
      <c r="G421" s="112" t="s">
        <v>2990</v>
      </c>
      <c r="H421" s="120" t="s">
        <v>3030</v>
      </c>
      <c r="I421" s="120" t="s">
        <v>2748</v>
      </c>
      <c r="J421" s="120" t="s">
        <v>772</v>
      </c>
      <c r="K421" s="110">
        <v>655300</v>
      </c>
      <c r="L421" s="110"/>
      <c r="M421" s="110">
        <v>155000</v>
      </c>
      <c r="N421" s="110"/>
      <c r="O421" s="110"/>
      <c r="P421" s="110">
        <f t="shared" ref="P421:P430" si="126">K421+L421+M421+N421+O421</f>
        <v>810300</v>
      </c>
      <c r="Q421" s="110">
        <f t="shared" ref="Q421:Q430" si="127">$P421*D421</f>
        <v>12154500</v>
      </c>
      <c r="R421" s="110">
        <f t="shared" ref="R421:R430" si="128">$P421*F421</f>
        <v>12154500</v>
      </c>
      <c r="S421" s="112" t="s">
        <v>2990</v>
      </c>
    </row>
    <row r="422" spans="1:19" ht="30">
      <c r="A422" s="142"/>
      <c r="B422" s="153" t="s">
        <v>1376</v>
      </c>
      <c r="C422" s="142" t="s">
        <v>4</v>
      </c>
      <c r="D422" s="143">
        <v>127</v>
      </c>
      <c r="E422" s="144"/>
      <c r="F422" s="334">
        <v>127</v>
      </c>
      <c r="G422" s="112" t="s">
        <v>3031</v>
      </c>
      <c r="H422" s="120" t="s">
        <v>3032</v>
      </c>
      <c r="I422" s="120" t="s">
        <v>2748</v>
      </c>
      <c r="J422" s="120" t="s">
        <v>772</v>
      </c>
      <c r="K422" s="110">
        <v>410200</v>
      </c>
      <c r="L422" s="110"/>
      <c r="M422" s="110">
        <v>124000</v>
      </c>
      <c r="N422" s="110"/>
      <c r="O422" s="110"/>
      <c r="P422" s="110">
        <f t="shared" si="126"/>
        <v>534200</v>
      </c>
      <c r="Q422" s="110">
        <f t="shared" si="127"/>
        <v>67843400</v>
      </c>
      <c r="R422" s="110">
        <f t="shared" si="128"/>
        <v>67843400</v>
      </c>
      <c r="S422" s="112" t="s">
        <v>3031</v>
      </c>
    </row>
    <row r="423" spans="1:19" ht="30">
      <c r="A423" s="142"/>
      <c r="B423" s="153" t="s">
        <v>1382</v>
      </c>
      <c r="C423" s="142" t="s">
        <v>4</v>
      </c>
      <c r="D423" s="143">
        <v>52</v>
      </c>
      <c r="E423" s="144"/>
      <c r="F423" s="334">
        <v>52</v>
      </c>
      <c r="G423" s="112" t="s">
        <v>3031</v>
      </c>
      <c r="H423" s="120" t="s">
        <v>3034</v>
      </c>
      <c r="I423" s="120" t="s">
        <v>2748</v>
      </c>
      <c r="J423" s="120" t="s">
        <v>772</v>
      </c>
      <c r="K423" s="110">
        <v>160400</v>
      </c>
      <c r="L423" s="110"/>
      <c r="M423" s="110">
        <v>93000</v>
      </c>
      <c r="N423" s="110"/>
      <c r="O423" s="110"/>
      <c r="P423" s="110">
        <f t="shared" si="126"/>
        <v>253400</v>
      </c>
      <c r="Q423" s="110">
        <f t="shared" si="127"/>
        <v>13176800</v>
      </c>
      <c r="R423" s="110">
        <f t="shared" si="128"/>
        <v>13176800</v>
      </c>
      <c r="S423" s="112" t="s">
        <v>3031</v>
      </c>
    </row>
    <row r="424" spans="1:19" ht="30">
      <c r="A424" s="142"/>
      <c r="B424" s="153" t="s">
        <v>1257</v>
      </c>
      <c r="C424" s="142" t="s">
        <v>4</v>
      </c>
      <c r="D424" s="143">
        <v>48</v>
      </c>
      <c r="E424" s="144"/>
      <c r="F424" s="334">
        <v>48</v>
      </c>
      <c r="G424" s="112" t="s">
        <v>3031</v>
      </c>
      <c r="H424" s="120" t="s">
        <v>3035</v>
      </c>
      <c r="I424" s="120" t="s">
        <v>2748</v>
      </c>
      <c r="J424" s="120" t="s">
        <v>772</v>
      </c>
      <c r="K424" s="110">
        <v>107100</v>
      </c>
      <c r="L424" s="110"/>
      <c r="M424" s="110">
        <v>77500</v>
      </c>
      <c r="N424" s="110"/>
      <c r="O424" s="110"/>
      <c r="P424" s="110">
        <f t="shared" si="126"/>
        <v>184600</v>
      </c>
      <c r="Q424" s="110">
        <f t="shared" si="127"/>
        <v>8860800</v>
      </c>
      <c r="R424" s="110">
        <f t="shared" si="128"/>
        <v>8860800</v>
      </c>
      <c r="S424" s="112" t="s">
        <v>3031</v>
      </c>
    </row>
    <row r="425" spans="1:19" ht="30">
      <c r="A425" s="142"/>
      <c r="B425" s="153" t="s">
        <v>1388</v>
      </c>
      <c r="C425" s="142" t="s">
        <v>4</v>
      </c>
      <c r="D425" s="143">
        <v>10</v>
      </c>
      <c r="E425" s="144"/>
      <c r="F425" s="334">
        <v>10</v>
      </c>
      <c r="G425" s="112" t="s">
        <v>3031</v>
      </c>
      <c r="H425" s="120" t="s">
        <v>3036</v>
      </c>
      <c r="I425" s="120" t="s">
        <v>2748</v>
      </c>
      <c r="J425" s="120" t="s">
        <v>772</v>
      </c>
      <c r="K425" s="110">
        <v>87000</v>
      </c>
      <c r="L425" s="110"/>
      <c r="M425" s="110">
        <v>77500</v>
      </c>
      <c r="N425" s="110"/>
      <c r="O425" s="110"/>
      <c r="P425" s="110">
        <f t="shared" si="126"/>
        <v>164500</v>
      </c>
      <c r="Q425" s="110">
        <f t="shared" si="127"/>
        <v>1645000</v>
      </c>
      <c r="R425" s="110">
        <f t="shared" si="128"/>
        <v>1645000</v>
      </c>
      <c r="S425" s="112" t="s">
        <v>3031</v>
      </c>
    </row>
    <row r="426" spans="1:19" ht="30">
      <c r="A426" s="142"/>
      <c r="B426" s="153" t="s">
        <v>1250</v>
      </c>
      <c r="C426" s="142" t="s">
        <v>4</v>
      </c>
      <c r="D426" s="143">
        <v>487</v>
      </c>
      <c r="E426" s="144"/>
      <c r="F426" s="334">
        <v>487</v>
      </c>
      <c r="G426" s="112" t="s">
        <v>3031</v>
      </c>
      <c r="H426" s="120" t="s">
        <v>3037</v>
      </c>
      <c r="I426" s="120" t="s">
        <v>2748</v>
      </c>
      <c r="J426" s="120" t="s">
        <v>772</v>
      </c>
      <c r="K426" s="110">
        <v>67000</v>
      </c>
      <c r="L426" s="110"/>
      <c r="M426" s="110">
        <v>62000</v>
      </c>
      <c r="N426" s="110"/>
      <c r="O426" s="110"/>
      <c r="P426" s="110">
        <f t="shared" si="126"/>
        <v>129000</v>
      </c>
      <c r="Q426" s="110">
        <f t="shared" si="127"/>
        <v>62823000</v>
      </c>
      <c r="R426" s="110">
        <f t="shared" si="128"/>
        <v>62823000</v>
      </c>
      <c r="S426" s="112" t="s">
        <v>3031</v>
      </c>
    </row>
    <row r="427" spans="1:19" ht="30">
      <c r="A427" s="142"/>
      <c r="B427" s="153" t="s">
        <v>1252</v>
      </c>
      <c r="C427" s="142" t="s">
        <v>4</v>
      </c>
      <c r="D427" s="143">
        <v>82</v>
      </c>
      <c r="E427" s="144"/>
      <c r="F427" s="334">
        <v>82</v>
      </c>
      <c r="G427" s="112" t="s">
        <v>3031</v>
      </c>
      <c r="H427" s="120" t="s">
        <v>3038</v>
      </c>
      <c r="I427" s="120" t="s">
        <v>2748</v>
      </c>
      <c r="J427" s="120" t="s">
        <v>772</v>
      </c>
      <c r="K427" s="110">
        <v>35700</v>
      </c>
      <c r="L427" s="110"/>
      <c r="M427" s="110">
        <v>49600</v>
      </c>
      <c r="N427" s="110"/>
      <c r="O427" s="110"/>
      <c r="P427" s="110">
        <f t="shared" si="126"/>
        <v>85300</v>
      </c>
      <c r="Q427" s="110">
        <f t="shared" si="127"/>
        <v>6994600</v>
      </c>
      <c r="R427" s="110">
        <f t="shared" si="128"/>
        <v>6994600</v>
      </c>
      <c r="S427" s="112" t="s">
        <v>3031</v>
      </c>
    </row>
    <row r="428" spans="1:19" ht="30">
      <c r="A428" s="142"/>
      <c r="B428" s="153" t="s">
        <v>1424</v>
      </c>
      <c r="C428" s="142" t="s">
        <v>4</v>
      </c>
      <c r="D428" s="143">
        <v>10</v>
      </c>
      <c r="E428" s="144"/>
      <c r="F428" s="334">
        <v>10</v>
      </c>
      <c r="G428" s="112" t="s">
        <v>2990</v>
      </c>
      <c r="H428" s="120" t="s">
        <v>3041</v>
      </c>
      <c r="I428" s="120" t="s">
        <v>2748</v>
      </c>
      <c r="J428" s="120" t="s">
        <v>772</v>
      </c>
      <c r="K428" s="110">
        <v>24300</v>
      </c>
      <c r="L428" s="110"/>
      <c r="M428" s="110">
        <v>40300</v>
      </c>
      <c r="N428" s="110"/>
      <c r="O428" s="110"/>
      <c r="P428" s="110">
        <f t="shared" si="126"/>
        <v>64600</v>
      </c>
      <c r="Q428" s="110">
        <f t="shared" si="127"/>
        <v>646000</v>
      </c>
      <c r="R428" s="110">
        <f t="shared" si="128"/>
        <v>646000</v>
      </c>
      <c r="S428" s="112" t="s">
        <v>2990</v>
      </c>
    </row>
    <row r="429" spans="1:19" ht="30">
      <c r="A429" s="142"/>
      <c r="B429" s="153" t="s">
        <v>1438</v>
      </c>
      <c r="C429" s="142" t="s">
        <v>4</v>
      </c>
      <c r="D429" s="143">
        <v>10</v>
      </c>
      <c r="E429" s="144"/>
      <c r="F429" s="334">
        <v>10</v>
      </c>
      <c r="G429" s="112" t="s">
        <v>2990</v>
      </c>
      <c r="H429" s="120" t="s">
        <v>3039</v>
      </c>
      <c r="I429" s="120" t="s">
        <v>2748</v>
      </c>
      <c r="J429" s="120" t="s">
        <v>772</v>
      </c>
      <c r="K429" s="110">
        <v>14900</v>
      </c>
      <c r="L429" s="110"/>
      <c r="M429" s="110">
        <v>31000</v>
      </c>
      <c r="N429" s="110"/>
      <c r="O429" s="110"/>
      <c r="P429" s="110">
        <f t="shared" si="126"/>
        <v>45900</v>
      </c>
      <c r="Q429" s="110">
        <f t="shared" si="127"/>
        <v>459000</v>
      </c>
      <c r="R429" s="110">
        <f t="shared" si="128"/>
        <v>459000</v>
      </c>
      <c r="S429" s="112" t="s">
        <v>2990</v>
      </c>
    </row>
    <row r="430" spans="1:19">
      <c r="A430" s="142"/>
      <c r="B430" s="153" t="s">
        <v>1401</v>
      </c>
      <c r="C430" s="142" t="s">
        <v>4</v>
      </c>
      <c r="D430" s="143">
        <v>10</v>
      </c>
      <c r="E430" s="144"/>
      <c r="F430" s="334">
        <v>10</v>
      </c>
      <c r="G430" s="112">
        <v>0</v>
      </c>
      <c r="H430" s="120" t="s">
        <v>2755</v>
      </c>
      <c r="I430" s="120" t="s">
        <v>2748</v>
      </c>
      <c r="J430" s="120" t="s">
        <v>772</v>
      </c>
      <c r="K430" s="110">
        <v>141400</v>
      </c>
      <c r="L430" s="110"/>
      <c r="M430" s="110">
        <v>0</v>
      </c>
      <c r="N430" s="110"/>
      <c r="O430" s="110"/>
      <c r="P430" s="110">
        <f t="shared" si="126"/>
        <v>141400</v>
      </c>
      <c r="Q430" s="110">
        <f t="shared" si="127"/>
        <v>1414000</v>
      </c>
      <c r="R430" s="110">
        <f t="shared" si="128"/>
        <v>1414000</v>
      </c>
      <c r="S430" s="112">
        <v>0</v>
      </c>
    </row>
    <row r="431" spans="1:19">
      <c r="A431" s="142">
        <v>6</v>
      </c>
      <c r="B431" s="153" t="s">
        <v>1394</v>
      </c>
      <c r="C431" s="142"/>
      <c r="D431" s="143"/>
      <c r="E431" s="144"/>
      <c r="F431" s="76"/>
      <c r="G431" s="112"/>
      <c r="H431" s="120"/>
      <c r="I431" s="120"/>
      <c r="J431" s="120"/>
      <c r="K431" s="77"/>
      <c r="L431" s="77"/>
      <c r="M431" s="77"/>
      <c r="N431" s="77"/>
      <c r="O431" s="77"/>
      <c r="P431" s="77"/>
      <c r="Q431" s="77"/>
      <c r="R431" s="77"/>
      <c r="S431" s="77"/>
    </row>
    <row r="432" spans="1:19">
      <c r="A432" s="142"/>
      <c r="B432" s="153" t="s">
        <v>1393</v>
      </c>
      <c r="C432" s="142" t="s">
        <v>4</v>
      </c>
      <c r="D432" s="143">
        <v>1</v>
      </c>
      <c r="E432" s="144"/>
      <c r="F432" s="334">
        <v>1</v>
      </c>
      <c r="G432" s="112">
        <v>0</v>
      </c>
      <c r="H432" s="120" t="s">
        <v>2758</v>
      </c>
      <c r="I432" s="120" t="s">
        <v>2748</v>
      </c>
      <c r="J432" s="120" t="s">
        <v>772</v>
      </c>
      <c r="K432" s="110">
        <v>328700</v>
      </c>
      <c r="L432" s="110"/>
      <c r="M432" s="110">
        <v>0</v>
      </c>
      <c r="N432" s="110"/>
      <c r="O432" s="110"/>
      <c r="P432" s="110">
        <f t="shared" ref="P432:P434" si="129">K432+L432+M432+N432+O432</f>
        <v>328700</v>
      </c>
      <c r="Q432" s="110">
        <f t="shared" ref="Q432:Q434" si="130">$P432*D432</f>
        <v>328700</v>
      </c>
      <c r="R432" s="110">
        <f t="shared" ref="R432:R434" si="131">$P432*F432</f>
        <v>328700</v>
      </c>
      <c r="S432" s="112">
        <v>0</v>
      </c>
    </row>
    <row r="433" spans="1:19">
      <c r="A433" s="142"/>
      <c r="B433" s="153" t="s">
        <v>1401</v>
      </c>
      <c r="C433" s="142" t="s">
        <v>4</v>
      </c>
      <c r="D433" s="143">
        <v>18</v>
      </c>
      <c r="E433" s="144"/>
      <c r="F433" s="334">
        <v>18</v>
      </c>
      <c r="G433" s="112">
        <v>0</v>
      </c>
      <c r="H433" s="120" t="s">
        <v>2755</v>
      </c>
      <c r="I433" s="120" t="s">
        <v>2748</v>
      </c>
      <c r="J433" s="120" t="s">
        <v>772</v>
      </c>
      <c r="K433" s="110">
        <v>141400</v>
      </c>
      <c r="L433" s="110"/>
      <c r="M433" s="110">
        <v>0</v>
      </c>
      <c r="N433" s="110"/>
      <c r="O433" s="110"/>
      <c r="P433" s="110">
        <f t="shared" si="129"/>
        <v>141400</v>
      </c>
      <c r="Q433" s="110">
        <f t="shared" si="130"/>
        <v>2545200</v>
      </c>
      <c r="R433" s="110">
        <f t="shared" si="131"/>
        <v>2545200</v>
      </c>
      <c r="S433" s="112">
        <v>0</v>
      </c>
    </row>
    <row r="434" spans="1:19">
      <c r="A434" s="142"/>
      <c r="B434" s="153" t="s">
        <v>1309</v>
      </c>
      <c r="C434" s="142" t="s">
        <v>4</v>
      </c>
      <c r="D434" s="143">
        <v>21</v>
      </c>
      <c r="E434" s="144"/>
      <c r="F434" s="334">
        <v>21</v>
      </c>
      <c r="G434" s="112">
        <v>0</v>
      </c>
      <c r="H434" s="120" t="s">
        <v>2756</v>
      </c>
      <c r="I434" s="120" t="s">
        <v>2748</v>
      </c>
      <c r="J434" s="120" t="s">
        <v>772</v>
      </c>
      <c r="K434" s="110">
        <v>61000</v>
      </c>
      <c r="L434" s="110"/>
      <c r="M434" s="110">
        <v>0</v>
      </c>
      <c r="N434" s="110"/>
      <c r="O434" s="110"/>
      <c r="P434" s="110">
        <f t="shared" si="129"/>
        <v>61000</v>
      </c>
      <c r="Q434" s="110">
        <f t="shared" si="130"/>
        <v>1281000</v>
      </c>
      <c r="R434" s="110">
        <f t="shared" si="131"/>
        <v>1281000</v>
      </c>
      <c r="S434" s="112">
        <v>0</v>
      </c>
    </row>
    <row r="435" spans="1:19">
      <c r="A435" s="142">
        <v>7</v>
      </c>
      <c r="B435" s="153" t="s">
        <v>1402</v>
      </c>
      <c r="C435" s="142"/>
      <c r="D435" s="143"/>
      <c r="E435" s="144"/>
      <c r="F435" s="76"/>
      <c r="G435" s="112"/>
      <c r="H435" s="120"/>
      <c r="I435" s="120"/>
      <c r="J435" s="120"/>
      <c r="K435" s="77"/>
      <c r="L435" s="77"/>
      <c r="M435" s="77"/>
      <c r="N435" s="77"/>
      <c r="O435" s="77"/>
      <c r="P435" s="77"/>
      <c r="Q435" s="77"/>
      <c r="R435" s="77"/>
      <c r="S435" s="77"/>
    </row>
    <row r="436" spans="1:19">
      <c r="A436" s="142"/>
      <c r="B436" s="153" t="s">
        <v>1413</v>
      </c>
      <c r="C436" s="142" t="s">
        <v>4</v>
      </c>
      <c r="D436" s="143">
        <v>6</v>
      </c>
      <c r="E436" s="144"/>
      <c r="F436" s="334">
        <v>6</v>
      </c>
      <c r="G436" s="112">
        <v>0</v>
      </c>
      <c r="H436" s="120" t="s">
        <v>2755</v>
      </c>
      <c r="I436" s="120" t="s">
        <v>2748</v>
      </c>
      <c r="J436" s="120" t="s">
        <v>772</v>
      </c>
      <c r="K436" s="110">
        <v>141400</v>
      </c>
      <c r="L436" s="110"/>
      <c r="M436" s="110">
        <v>0</v>
      </c>
      <c r="N436" s="110"/>
      <c r="O436" s="110"/>
      <c r="P436" s="110">
        <f t="shared" ref="P436:P437" si="132">K436+L436+M436+N436+O436</f>
        <v>141400</v>
      </c>
      <c r="Q436" s="110">
        <f t="shared" ref="Q436:Q437" si="133">$P436*D436</f>
        <v>848400</v>
      </c>
      <c r="R436" s="110">
        <f t="shared" ref="R436:R437" si="134">$P436*F436</f>
        <v>848400</v>
      </c>
      <c r="S436" s="112">
        <v>0</v>
      </c>
    </row>
    <row r="437" spans="1:19" ht="30">
      <c r="A437" s="142"/>
      <c r="B437" s="153" t="s">
        <v>1439</v>
      </c>
      <c r="C437" s="142" t="s">
        <v>4</v>
      </c>
      <c r="D437" s="143">
        <v>2</v>
      </c>
      <c r="E437" s="144"/>
      <c r="F437" s="334">
        <v>2</v>
      </c>
      <c r="G437" s="112" t="s">
        <v>2715</v>
      </c>
      <c r="H437" s="120" t="s">
        <v>2722</v>
      </c>
      <c r="I437" s="120" t="s">
        <v>2717</v>
      </c>
      <c r="J437" s="120" t="s">
        <v>772</v>
      </c>
      <c r="K437" s="110">
        <v>220100</v>
      </c>
      <c r="L437" s="110"/>
      <c r="M437" s="110">
        <v>170500</v>
      </c>
      <c r="N437" s="110"/>
      <c r="O437" s="110"/>
      <c r="P437" s="110">
        <f t="shared" si="132"/>
        <v>390600</v>
      </c>
      <c r="Q437" s="110">
        <f t="shared" si="133"/>
        <v>781200</v>
      </c>
      <c r="R437" s="110">
        <f t="shared" si="134"/>
        <v>781200</v>
      </c>
      <c r="S437" s="112" t="s">
        <v>2715</v>
      </c>
    </row>
    <row r="438" spans="1:19">
      <c r="A438" s="142">
        <v>8</v>
      </c>
      <c r="B438" s="153" t="s">
        <v>1414</v>
      </c>
      <c r="C438" s="142"/>
      <c r="D438" s="143"/>
      <c r="E438" s="144"/>
      <c r="F438" s="76"/>
      <c r="G438" s="112"/>
      <c r="H438" s="120"/>
      <c r="I438" s="120"/>
      <c r="J438" s="120"/>
      <c r="K438" s="77"/>
      <c r="L438" s="77"/>
      <c r="M438" s="77"/>
      <c r="N438" s="77"/>
      <c r="O438" s="77"/>
      <c r="P438" s="77"/>
      <c r="Q438" s="77"/>
      <c r="R438" s="77"/>
      <c r="S438" s="77"/>
    </row>
    <row r="439" spans="1:19" ht="30">
      <c r="A439" s="142"/>
      <c r="B439" s="153" t="s">
        <v>1353</v>
      </c>
      <c r="C439" s="142" t="s">
        <v>4</v>
      </c>
      <c r="D439" s="143">
        <v>4</v>
      </c>
      <c r="E439" s="144"/>
      <c r="F439" s="334">
        <v>4</v>
      </c>
      <c r="G439" s="112" t="s">
        <v>2990</v>
      </c>
      <c r="H439" s="120" t="s">
        <v>3079</v>
      </c>
      <c r="I439" s="120" t="s">
        <v>2748</v>
      </c>
      <c r="J439" s="120" t="s">
        <v>772</v>
      </c>
      <c r="K439" s="110">
        <v>655300</v>
      </c>
      <c r="L439" s="110"/>
      <c r="M439" s="110">
        <v>155000</v>
      </c>
      <c r="N439" s="110"/>
      <c r="O439" s="110"/>
      <c r="P439" s="110">
        <f t="shared" ref="P439:P445" si="135">K439+L439+M439+N439+O439</f>
        <v>810300</v>
      </c>
      <c r="Q439" s="110">
        <f t="shared" ref="Q439:Q445" si="136">$P439*D439</f>
        <v>3241200</v>
      </c>
      <c r="R439" s="110">
        <f t="shared" ref="R439:R445" si="137">$P439*F439</f>
        <v>3241200</v>
      </c>
      <c r="S439" s="112" t="s">
        <v>2990</v>
      </c>
    </row>
    <row r="440" spans="1:19" ht="30">
      <c r="A440" s="142"/>
      <c r="B440" s="153" t="s">
        <v>1354</v>
      </c>
      <c r="C440" s="142" t="s">
        <v>4</v>
      </c>
      <c r="D440" s="143">
        <v>52</v>
      </c>
      <c r="E440" s="144"/>
      <c r="F440" s="334">
        <v>52</v>
      </c>
      <c r="G440" s="112" t="s">
        <v>2990</v>
      </c>
      <c r="H440" s="120" t="s">
        <v>3080</v>
      </c>
      <c r="I440" s="120" t="s">
        <v>2748</v>
      </c>
      <c r="J440" s="120" t="s">
        <v>772</v>
      </c>
      <c r="K440" s="110">
        <v>206700</v>
      </c>
      <c r="L440" s="110"/>
      <c r="M440" s="110">
        <v>124000</v>
      </c>
      <c r="N440" s="110"/>
      <c r="O440" s="110"/>
      <c r="P440" s="110">
        <f t="shared" si="135"/>
        <v>330700</v>
      </c>
      <c r="Q440" s="110">
        <f t="shared" si="136"/>
        <v>17196400</v>
      </c>
      <c r="R440" s="110">
        <f t="shared" si="137"/>
        <v>17196400</v>
      </c>
      <c r="S440" s="112" t="s">
        <v>2990</v>
      </c>
    </row>
    <row r="441" spans="1:19" ht="30">
      <c r="A441" s="142"/>
      <c r="B441" s="153" t="s">
        <v>1356</v>
      </c>
      <c r="C441" s="142" t="s">
        <v>4</v>
      </c>
      <c r="D441" s="143">
        <v>20</v>
      </c>
      <c r="E441" s="144"/>
      <c r="F441" s="334">
        <v>20</v>
      </c>
      <c r="G441" s="112" t="s">
        <v>2990</v>
      </c>
      <c r="H441" s="120" t="s">
        <v>3081</v>
      </c>
      <c r="I441" s="120" t="s">
        <v>2748</v>
      </c>
      <c r="J441" s="120" t="s">
        <v>772</v>
      </c>
      <c r="K441" s="110">
        <v>123400</v>
      </c>
      <c r="L441" s="110"/>
      <c r="M441" s="110">
        <v>93000</v>
      </c>
      <c r="N441" s="110"/>
      <c r="O441" s="110"/>
      <c r="P441" s="110">
        <f t="shared" si="135"/>
        <v>216400</v>
      </c>
      <c r="Q441" s="110">
        <f t="shared" si="136"/>
        <v>4328000</v>
      </c>
      <c r="R441" s="110">
        <f t="shared" si="137"/>
        <v>4328000</v>
      </c>
      <c r="S441" s="112" t="s">
        <v>2990</v>
      </c>
    </row>
    <row r="442" spans="1:19" ht="30">
      <c r="A442" s="142"/>
      <c r="B442" s="153" t="s">
        <v>1357</v>
      </c>
      <c r="C442" s="142" t="s">
        <v>4</v>
      </c>
      <c r="D442" s="143">
        <v>26</v>
      </c>
      <c r="E442" s="144"/>
      <c r="F442" s="334">
        <v>26</v>
      </c>
      <c r="G442" s="112" t="s">
        <v>2996</v>
      </c>
      <c r="H442" s="120" t="s">
        <v>3082</v>
      </c>
      <c r="I442" s="120" t="s">
        <v>2748</v>
      </c>
      <c r="J442" s="120" t="s">
        <v>772</v>
      </c>
      <c r="K442" s="110">
        <v>108100</v>
      </c>
      <c r="L442" s="110"/>
      <c r="M442" s="110">
        <v>77500</v>
      </c>
      <c r="N442" s="110"/>
      <c r="O442" s="110"/>
      <c r="P442" s="110">
        <f t="shared" si="135"/>
        <v>185600</v>
      </c>
      <c r="Q442" s="110">
        <f t="shared" si="136"/>
        <v>4825600</v>
      </c>
      <c r="R442" s="110">
        <f t="shared" si="137"/>
        <v>4825600</v>
      </c>
      <c r="S442" s="112" t="s">
        <v>2996</v>
      </c>
    </row>
    <row r="443" spans="1:19" ht="30">
      <c r="A443" s="142"/>
      <c r="B443" s="153" t="s">
        <v>1358</v>
      </c>
      <c r="C443" s="142" t="s">
        <v>4</v>
      </c>
      <c r="D443" s="143">
        <v>4</v>
      </c>
      <c r="E443" s="144"/>
      <c r="F443" s="334">
        <v>4</v>
      </c>
      <c r="G443" s="112" t="s">
        <v>2996</v>
      </c>
      <c r="H443" s="120" t="s">
        <v>3083</v>
      </c>
      <c r="I443" s="120" t="s">
        <v>2748</v>
      </c>
      <c r="J443" s="120" t="s">
        <v>772</v>
      </c>
      <c r="K443" s="110">
        <v>82500</v>
      </c>
      <c r="L443" s="110"/>
      <c r="M443" s="110">
        <v>77500</v>
      </c>
      <c r="N443" s="110"/>
      <c r="O443" s="110"/>
      <c r="P443" s="110">
        <f t="shared" si="135"/>
        <v>160000</v>
      </c>
      <c r="Q443" s="110">
        <f t="shared" si="136"/>
        <v>640000</v>
      </c>
      <c r="R443" s="110">
        <f t="shared" si="137"/>
        <v>640000</v>
      </c>
      <c r="S443" s="112" t="s">
        <v>2996</v>
      </c>
    </row>
    <row r="444" spans="1:19" ht="30">
      <c r="A444" s="142"/>
      <c r="B444" s="153" t="s">
        <v>1360</v>
      </c>
      <c r="C444" s="142" t="s">
        <v>4</v>
      </c>
      <c r="D444" s="143">
        <v>237</v>
      </c>
      <c r="E444" s="144"/>
      <c r="F444" s="334">
        <v>237</v>
      </c>
      <c r="G444" s="112" t="s">
        <v>2996</v>
      </c>
      <c r="H444" s="120" t="s">
        <v>3084</v>
      </c>
      <c r="I444" s="120" t="s">
        <v>2748</v>
      </c>
      <c r="J444" s="120" t="s">
        <v>772</v>
      </c>
      <c r="K444" s="110">
        <v>52000</v>
      </c>
      <c r="L444" s="110"/>
      <c r="M444" s="110">
        <v>62000</v>
      </c>
      <c r="N444" s="110"/>
      <c r="O444" s="110"/>
      <c r="P444" s="110">
        <f t="shared" si="135"/>
        <v>114000</v>
      </c>
      <c r="Q444" s="110">
        <f t="shared" si="136"/>
        <v>27018000</v>
      </c>
      <c r="R444" s="110">
        <f t="shared" si="137"/>
        <v>27018000</v>
      </c>
      <c r="S444" s="112" t="s">
        <v>2996</v>
      </c>
    </row>
    <row r="445" spans="1:19" ht="30">
      <c r="A445" s="142"/>
      <c r="B445" s="153" t="s">
        <v>1361</v>
      </c>
      <c r="C445" s="142" t="s">
        <v>4</v>
      </c>
      <c r="D445" s="143">
        <v>14</v>
      </c>
      <c r="E445" s="144"/>
      <c r="F445" s="334">
        <v>14</v>
      </c>
      <c r="G445" s="112" t="s">
        <v>2996</v>
      </c>
      <c r="H445" s="120" t="s">
        <v>3085</v>
      </c>
      <c r="I445" s="120" t="s">
        <v>2748</v>
      </c>
      <c r="J445" s="120" t="s">
        <v>772</v>
      </c>
      <c r="K445" s="110">
        <v>35300</v>
      </c>
      <c r="L445" s="110"/>
      <c r="M445" s="110">
        <v>49600</v>
      </c>
      <c r="N445" s="110"/>
      <c r="O445" s="110"/>
      <c r="P445" s="110">
        <f t="shared" si="135"/>
        <v>84900</v>
      </c>
      <c r="Q445" s="110">
        <f t="shared" si="136"/>
        <v>1188600</v>
      </c>
      <c r="R445" s="110">
        <f t="shared" si="137"/>
        <v>1188600</v>
      </c>
      <c r="S445" s="112" t="s">
        <v>2996</v>
      </c>
    </row>
    <row r="446" spans="1:19">
      <c r="A446" s="142">
        <v>9</v>
      </c>
      <c r="B446" s="153" t="s">
        <v>1419</v>
      </c>
      <c r="C446" s="142"/>
      <c r="D446" s="143"/>
      <c r="E446" s="144"/>
      <c r="F446" s="76"/>
      <c r="G446" s="112"/>
      <c r="H446" s="120"/>
      <c r="I446" s="120"/>
      <c r="J446" s="120"/>
      <c r="K446" s="77"/>
      <c r="L446" s="77"/>
      <c r="M446" s="77"/>
      <c r="N446" s="77"/>
      <c r="O446" s="77"/>
      <c r="P446" s="77"/>
      <c r="Q446" s="77"/>
      <c r="R446" s="77"/>
      <c r="S446" s="77"/>
    </row>
    <row r="447" spans="1:19" ht="30">
      <c r="A447" s="142"/>
      <c r="B447" s="153" t="s">
        <v>1373</v>
      </c>
      <c r="C447" s="142" t="s">
        <v>4</v>
      </c>
      <c r="D447" s="143">
        <v>3</v>
      </c>
      <c r="E447" s="144"/>
      <c r="F447" s="334">
        <v>3</v>
      </c>
      <c r="G447" s="112" t="s">
        <v>3101</v>
      </c>
      <c r="H447" s="120" t="s">
        <v>3103</v>
      </c>
      <c r="I447" s="120" t="s">
        <v>2748</v>
      </c>
      <c r="J447" s="120" t="s">
        <v>772</v>
      </c>
      <c r="K447" s="110">
        <v>914800</v>
      </c>
      <c r="L447" s="110"/>
      <c r="M447" s="110">
        <v>155000</v>
      </c>
      <c r="N447" s="110"/>
      <c r="O447" s="110"/>
      <c r="P447" s="110">
        <f t="shared" ref="P447:P453" si="138">K447+L447+M447+N447+O447</f>
        <v>1069800</v>
      </c>
      <c r="Q447" s="110">
        <f t="shared" ref="Q447:Q453" si="139">$P447*D447</f>
        <v>3209400</v>
      </c>
      <c r="R447" s="110">
        <f t="shared" ref="R447:R453" si="140">$P447*F447</f>
        <v>3209400</v>
      </c>
      <c r="S447" s="112" t="s">
        <v>3101</v>
      </c>
    </row>
    <row r="448" spans="1:19" ht="30">
      <c r="A448" s="142"/>
      <c r="B448" s="153" t="s">
        <v>1376</v>
      </c>
      <c r="C448" s="142" t="s">
        <v>4</v>
      </c>
      <c r="D448" s="143">
        <v>26</v>
      </c>
      <c r="E448" s="144"/>
      <c r="F448" s="334">
        <v>26</v>
      </c>
      <c r="G448" s="112" t="s">
        <v>3101</v>
      </c>
      <c r="H448" s="120" t="s">
        <v>3104</v>
      </c>
      <c r="I448" s="120" t="s">
        <v>2748</v>
      </c>
      <c r="J448" s="120" t="s">
        <v>772</v>
      </c>
      <c r="K448" s="110">
        <v>277900</v>
      </c>
      <c r="L448" s="110"/>
      <c r="M448" s="110">
        <v>124000</v>
      </c>
      <c r="N448" s="110"/>
      <c r="O448" s="110"/>
      <c r="P448" s="110">
        <f t="shared" si="138"/>
        <v>401900</v>
      </c>
      <c r="Q448" s="110">
        <f t="shared" si="139"/>
        <v>10449400</v>
      </c>
      <c r="R448" s="110">
        <f t="shared" si="140"/>
        <v>10449400</v>
      </c>
      <c r="S448" s="112" t="s">
        <v>3101</v>
      </c>
    </row>
    <row r="449" spans="1:19" ht="30">
      <c r="A449" s="142"/>
      <c r="B449" s="153" t="s">
        <v>1382</v>
      </c>
      <c r="C449" s="142" t="s">
        <v>4</v>
      </c>
      <c r="D449" s="143">
        <v>14</v>
      </c>
      <c r="E449" s="144"/>
      <c r="F449" s="334">
        <v>14</v>
      </c>
      <c r="G449" s="112" t="s">
        <v>3101</v>
      </c>
      <c r="H449" s="120" t="s">
        <v>3105</v>
      </c>
      <c r="I449" s="120" t="s">
        <v>2748</v>
      </c>
      <c r="J449" s="120" t="s">
        <v>772</v>
      </c>
      <c r="K449" s="110">
        <v>99200</v>
      </c>
      <c r="L449" s="110"/>
      <c r="M449" s="110">
        <v>93000</v>
      </c>
      <c r="N449" s="110"/>
      <c r="O449" s="110"/>
      <c r="P449" s="110">
        <f t="shared" si="138"/>
        <v>192200</v>
      </c>
      <c r="Q449" s="110">
        <f t="shared" si="139"/>
        <v>2690800</v>
      </c>
      <c r="R449" s="110">
        <f t="shared" si="140"/>
        <v>2690800</v>
      </c>
      <c r="S449" s="112" t="s">
        <v>3101</v>
      </c>
    </row>
    <row r="450" spans="1:19" ht="30">
      <c r="A450" s="142"/>
      <c r="B450" s="153" t="s">
        <v>1257</v>
      </c>
      <c r="C450" s="142" t="s">
        <v>4</v>
      </c>
      <c r="D450" s="143">
        <v>24</v>
      </c>
      <c r="E450" s="144"/>
      <c r="F450" s="334">
        <v>24</v>
      </c>
      <c r="G450" s="112" t="s">
        <v>3101</v>
      </c>
      <c r="H450" s="120" t="s">
        <v>3106</v>
      </c>
      <c r="I450" s="120" t="s">
        <v>2748</v>
      </c>
      <c r="J450" s="120" t="s">
        <v>772</v>
      </c>
      <c r="K450" s="110">
        <v>62700</v>
      </c>
      <c r="L450" s="110"/>
      <c r="M450" s="110">
        <v>77500</v>
      </c>
      <c r="N450" s="110"/>
      <c r="O450" s="110"/>
      <c r="P450" s="110">
        <f t="shared" si="138"/>
        <v>140200</v>
      </c>
      <c r="Q450" s="110">
        <f t="shared" si="139"/>
        <v>3364800</v>
      </c>
      <c r="R450" s="110">
        <f t="shared" si="140"/>
        <v>3364800</v>
      </c>
      <c r="S450" s="112" t="s">
        <v>3101</v>
      </c>
    </row>
    <row r="451" spans="1:19" ht="30">
      <c r="A451" s="142"/>
      <c r="B451" s="153" t="s">
        <v>1388</v>
      </c>
      <c r="C451" s="142" t="s">
        <v>4</v>
      </c>
      <c r="D451" s="143">
        <v>1</v>
      </c>
      <c r="E451" s="144"/>
      <c r="F451" s="334">
        <v>1</v>
      </c>
      <c r="G451" s="112" t="s">
        <v>3101</v>
      </c>
      <c r="H451" s="120" t="s">
        <v>3107</v>
      </c>
      <c r="I451" s="120" t="s">
        <v>2748</v>
      </c>
      <c r="J451" s="120" t="s">
        <v>772</v>
      </c>
      <c r="K451" s="110">
        <v>44700</v>
      </c>
      <c r="L451" s="110"/>
      <c r="M451" s="110">
        <v>77500</v>
      </c>
      <c r="N451" s="110"/>
      <c r="O451" s="110"/>
      <c r="P451" s="110">
        <f t="shared" si="138"/>
        <v>122200</v>
      </c>
      <c r="Q451" s="110">
        <f t="shared" si="139"/>
        <v>122200</v>
      </c>
      <c r="R451" s="110">
        <f t="shared" si="140"/>
        <v>122200</v>
      </c>
      <c r="S451" s="112" t="s">
        <v>3101</v>
      </c>
    </row>
    <row r="452" spans="1:19" ht="30">
      <c r="A452" s="142"/>
      <c r="B452" s="153" t="s">
        <v>1250</v>
      </c>
      <c r="C452" s="142" t="s">
        <v>4</v>
      </c>
      <c r="D452" s="143">
        <v>43</v>
      </c>
      <c r="E452" s="144"/>
      <c r="F452" s="334">
        <v>43</v>
      </c>
      <c r="G452" s="112" t="s">
        <v>3101</v>
      </c>
      <c r="H452" s="120" t="s">
        <v>3108</v>
      </c>
      <c r="I452" s="120" t="s">
        <v>2748</v>
      </c>
      <c r="J452" s="120" t="s">
        <v>772</v>
      </c>
      <c r="K452" s="110">
        <v>35900</v>
      </c>
      <c r="L452" s="110"/>
      <c r="M452" s="110">
        <v>62000</v>
      </c>
      <c r="N452" s="110"/>
      <c r="O452" s="110"/>
      <c r="P452" s="110">
        <f t="shared" si="138"/>
        <v>97900</v>
      </c>
      <c r="Q452" s="110">
        <f t="shared" si="139"/>
        <v>4209700</v>
      </c>
      <c r="R452" s="110">
        <f t="shared" si="140"/>
        <v>4209700</v>
      </c>
      <c r="S452" s="112" t="s">
        <v>3101</v>
      </c>
    </row>
    <row r="453" spans="1:19" ht="30">
      <c r="A453" s="142"/>
      <c r="B453" s="153" t="s">
        <v>1252</v>
      </c>
      <c r="C453" s="142" t="s">
        <v>4</v>
      </c>
      <c r="D453" s="143">
        <v>50</v>
      </c>
      <c r="E453" s="144"/>
      <c r="F453" s="334">
        <v>50</v>
      </c>
      <c r="G453" s="112" t="s">
        <v>3101</v>
      </c>
      <c r="H453" s="120" t="s">
        <v>3109</v>
      </c>
      <c r="I453" s="120" t="s">
        <v>2748</v>
      </c>
      <c r="J453" s="120" t="s">
        <v>772</v>
      </c>
      <c r="K453" s="110">
        <v>24300</v>
      </c>
      <c r="L453" s="110"/>
      <c r="M453" s="110">
        <v>49600</v>
      </c>
      <c r="N453" s="110"/>
      <c r="O453" s="110"/>
      <c r="P453" s="110">
        <f t="shared" si="138"/>
        <v>73900</v>
      </c>
      <c r="Q453" s="110">
        <f t="shared" si="139"/>
        <v>3695000</v>
      </c>
      <c r="R453" s="110">
        <f t="shared" si="140"/>
        <v>3695000</v>
      </c>
      <c r="S453" s="112" t="s">
        <v>3101</v>
      </c>
    </row>
    <row r="454" spans="1:19">
      <c r="A454" s="142">
        <v>10</v>
      </c>
      <c r="B454" s="153" t="s">
        <v>1420</v>
      </c>
      <c r="C454" s="142"/>
      <c r="D454" s="143"/>
      <c r="E454" s="144"/>
      <c r="F454" s="76"/>
      <c r="G454" s="112"/>
      <c r="H454" s="120"/>
      <c r="I454" s="120"/>
      <c r="J454" s="120"/>
      <c r="K454" s="77"/>
      <c r="L454" s="77"/>
      <c r="M454" s="77"/>
      <c r="N454" s="77"/>
      <c r="O454" s="77"/>
      <c r="P454" s="77"/>
      <c r="Q454" s="77"/>
      <c r="R454" s="77"/>
      <c r="S454" s="77"/>
    </row>
    <row r="455" spans="1:19" ht="45">
      <c r="A455" s="142"/>
      <c r="B455" s="153" t="s">
        <v>1373</v>
      </c>
      <c r="C455" s="142" t="s">
        <v>4</v>
      </c>
      <c r="D455" s="143">
        <v>4</v>
      </c>
      <c r="E455" s="144"/>
      <c r="F455" s="334">
        <v>4</v>
      </c>
      <c r="G455" s="112" t="s">
        <v>3114</v>
      </c>
      <c r="H455" s="120" t="s">
        <v>3116</v>
      </c>
      <c r="I455" s="120" t="s">
        <v>2748</v>
      </c>
      <c r="J455" s="120" t="s">
        <v>772</v>
      </c>
      <c r="K455" s="110">
        <v>1753800</v>
      </c>
      <c r="L455" s="110"/>
      <c r="M455" s="110">
        <v>232500</v>
      </c>
      <c r="N455" s="110"/>
      <c r="O455" s="110"/>
      <c r="P455" s="110">
        <f t="shared" ref="P455:P461" si="141">K455+L455+M455+N455+O455</f>
        <v>1986300</v>
      </c>
      <c r="Q455" s="110">
        <f t="shared" ref="Q455:Q461" si="142">$P455*D455</f>
        <v>7945200</v>
      </c>
      <c r="R455" s="110">
        <f t="shared" ref="R455:R461" si="143">$P455*F455</f>
        <v>7945200</v>
      </c>
      <c r="S455" s="112" t="s">
        <v>3114</v>
      </c>
    </row>
    <row r="456" spans="1:19" ht="45">
      <c r="A456" s="142"/>
      <c r="B456" s="153" t="s">
        <v>1376</v>
      </c>
      <c r="C456" s="142" t="s">
        <v>4</v>
      </c>
      <c r="D456" s="143">
        <v>21</v>
      </c>
      <c r="E456" s="144"/>
      <c r="F456" s="334">
        <v>21</v>
      </c>
      <c r="G456" s="112" t="s">
        <v>3114</v>
      </c>
      <c r="H456" s="120" t="s">
        <v>3117</v>
      </c>
      <c r="I456" s="120" t="s">
        <v>2748</v>
      </c>
      <c r="J456" s="120" t="s">
        <v>772</v>
      </c>
      <c r="K456" s="110">
        <v>965500</v>
      </c>
      <c r="L456" s="110"/>
      <c r="M456" s="110">
        <v>186000</v>
      </c>
      <c r="N456" s="110"/>
      <c r="O456" s="110"/>
      <c r="P456" s="110">
        <f t="shared" si="141"/>
        <v>1151500</v>
      </c>
      <c r="Q456" s="110">
        <f t="shared" si="142"/>
        <v>24181500</v>
      </c>
      <c r="R456" s="110">
        <f t="shared" si="143"/>
        <v>24181500</v>
      </c>
      <c r="S456" s="112" t="s">
        <v>3114</v>
      </c>
    </row>
    <row r="457" spans="1:19" ht="45">
      <c r="A457" s="142"/>
      <c r="B457" s="153" t="s">
        <v>1382</v>
      </c>
      <c r="C457" s="142" t="s">
        <v>4</v>
      </c>
      <c r="D457" s="143">
        <v>14</v>
      </c>
      <c r="E457" s="144"/>
      <c r="F457" s="334">
        <v>14</v>
      </c>
      <c r="G457" s="112" t="s">
        <v>3114</v>
      </c>
      <c r="H457" s="120" t="s">
        <v>3119</v>
      </c>
      <c r="I457" s="120" t="s">
        <v>2748</v>
      </c>
      <c r="J457" s="120" t="s">
        <v>772</v>
      </c>
      <c r="K457" s="110">
        <v>380400</v>
      </c>
      <c r="L457" s="110"/>
      <c r="M457" s="110">
        <v>139500</v>
      </c>
      <c r="N457" s="110"/>
      <c r="O457" s="110"/>
      <c r="P457" s="110">
        <f t="shared" si="141"/>
        <v>519900</v>
      </c>
      <c r="Q457" s="110">
        <f t="shared" si="142"/>
        <v>7278600</v>
      </c>
      <c r="R457" s="110">
        <f t="shared" si="143"/>
        <v>7278600</v>
      </c>
      <c r="S457" s="112" t="s">
        <v>3114</v>
      </c>
    </row>
    <row r="458" spans="1:19" ht="45">
      <c r="A458" s="142"/>
      <c r="B458" s="153" t="s">
        <v>1257</v>
      </c>
      <c r="C458" s="142" t="s">
        <v>4</v>
      </c>
      <c r="D458" s="143">
        <v>32</v>
      </c>
      <c r="E458" s="144"/>
      <c r="F458" s="334">
        <v>32</v>
      </c>
      <c r="G458" s="112" t="s">
        <v>3114</v>
      </c>
      <c r="H458" s="120" t="s">
        <v>3120</v>
      </c>
      <c r="I458" s="120" t="s">
        <v>2748</v>
      </c>
      <c r="J458" s="120" t="s">
        <v>772</v>
      </c>
      <c r="K458" s="110">
        <v>263000</v>
      </c>
      <c r="L458" s="110"/>
      <c r="M458" s="110">
        <v>116300</v>
      </c>
      <c r="N458" s="110"/>
      <c r="O458" s="110"/>
      <c r="P458" s="110">
        <f t="shared" si="141"/>
        <v>379300</v>
      </c>
      <c r="Q458" s="110">
        <f t="shared" si="142"/>
        <v>12137600</v>
      </c>
      <c r="R458" s="110">
        <f t="shared" si="143"/>
        <v>12137600</v>
      </c>
      <c r="S458" s="112" t="s">
        <v>3114</v>
      </c>
    </row>
    <row r="459" spans="1:19" ht="45">
      <c r="A459" s="142"/>
      <c r="B459" s="153" t="s">
        <v>1250</v>
      </c>
      <c r="C459" s="142" t="s">
        <v>4</v>
      </c>
      <c r="D459" s="143">
        <v>133</v>
      </c>
      <c r="E459" s="144"/>
      <c r="F459" s="334">
        <v>133</v>
      </c>
      <c r="G459" s="112" t="s">
        <v>3114</v>
      </c>
      <c r="H459" s="120" t="s">
        <v>3122</v>
      </c>
      <c r="I459" s="120" t="s">
        <v>2748</v>
      </c>
      <c r="J459" s="120" t="s">
        <v>772</v>
      </c>
      <c r="K459" s="110">
        <v>101700</v>
      </c>
      <c r="L459" s="110"/>
      <c r="M459" s="110">
        <v>93000</v>
      </c>
      <c r="N459" s="110"/>
      <c r="O459" s="110"/>
      <c r="P459" s="110">
        <f t="shared" si="141"/>
        <v>194700</v>
      </c>
      <c r="Q459" s="110">
        <f t="shared" si="142"/>
        <v>25895100</v>
      </c>
      <c r="R459" s="110">
        <f t="shared" si="143"/>
        <v>25895100</v>
      </c>
      <c r="S459" s="112" t="s">
        <v>3114</v>
      </c>
    </row>
    <row r="460" spans="1:19" ht="45">
      <c r="A460" s="142"/>
      <c r="B460" s="153" t="s">
        <v>1252</v>
      </c>
      <c r="C460" s="142" t="s">
        <v>4</v>
      </c>
      <c r="D460" s="143">
        <v>18</v>
      </c>
      <c r="E460" s="144"/>
      <c r="F460" s="334">
        <v>18</v>
      </c>
      <c r="G460" s="112" t="s">
        <v>3114</v>
      </c>
      <c r="H460" s="120" t="s">
        <v>3123</v>
      </c>
      <c r="I460" s="120" t="s">
        <v>2748</v>
      </c>
      <c r="J460" s="120" t="s">
        <v>772</v>
      </c>
      <c r="K460" s="110">
        <v>94800</v>
      </c>
      <c r="L460" s="110"/>
      <c r="M460" s="110">
        <v>49600</v>
      </c>
      <c r="N460" s="110"/>
      <c r="O460" s="110"/>
      <c r="P460" s="110">
        <f t="shared" si="141"/>
        <v>144400</v>
      </c>
      <c r="Q460" s="110">
        <f t="shared" si="142"/>
        <v>2599200</v>
      </c>
      <c r="R460" s="110">
        <f t="shared" si="143"/>
        <v>2599200</v>
      </c>
      <c r="S460" s="112" t="s">
        <v>3114</v>
      </c>
    </row>
    <row r="461" spans="1:19" ht="60">
      <c r="A461" s="146"/>
      <c r="B461" s="150" t="s">
        <v>1424</v>
      </c>
      <c r="C461" s="146" t="s">
        <v>4</v>
      </c>
      <c r="D461" s="147">
        <v>1</v>
      </c>
      <c r="E461" s="148"/>
      <c r="F461" s="334">
        <v>1</v>
      </c>
      <c r="G461" s="112" t="s">
        <v>3114</v>
      </c>
      <c r="H461" s="120" t="s">
        <v>3124</v>
      </c>
      <c r="I461" s="120" t="s">
        <v>2748</v>
      </c>
      <c r="J461" s="120" t="s">
        <v>772</v>
      </c>
      <c r="K461" s="110">
        <v>65300</v>
      </c>
      <c r="L461" s="110"/>
      <c r="M461" s="110">
        <v>40300</v>
      </c>
      <c r="N461" s="110"/>
      <c r="O461" s="110"/>
      <c r="P461" s="110">
        <f t="shared" si="141"/>
        <v>105600</v>
      </c>
      <c r="Q461" s="110">
        <f t="shared" si="142"/>
        <v>105600</v>
      </c>
      <c r="R461" s="110">
        <f t="shared" si="143"/>
        <v>105600</v>
      </c>
      <c r="S461" s="112" t="s">
        <v>3114</v>
      </c>
    </row>
    <row r="462" spans="1:19">
      <c r="A462" s="142">
        <v>11</v>
      </c>
      <c r="B462" s="153" t="s">
        <v>1421</v>
      </c>
      <c r="C462" s="142"/>
      <c r="D462" s="143"/>
      <c r="E462" s="144"/>
      <c r="F462" s="328"/>
      <c r="G462" s="453"/>
      <c r="H462" s="454"/>
      <c r="I462" s="454"/>
      <c r="J462" s="454"/>
      <c r="K462" s="61"/>
      <c r="L462" s="61"/>
      <c r="M462" s="61"/>
      <c r="N462" s="61"/>
      <c r="O462" s="61"/>
      <c r="P462" s="61"/>
      <c r="Q462" s="61"/>
      <c r="R462" s="61"/>
      <c r="S462" s="61"/>
    </row>
    <row r="463" spans="1:19" ht="45">
      <c r="A463" s="142"/>
      <c r="B463" s="153" t="s">
        <v>1250</v>
      </c>
      <c r="C463" s="142" t="s">
        <v>4</v>
      </c>
      <c r="D463" s="143">
        <v>37</v>
      </c>
      <c r="E463" s="144"/>
      <c r="F463" s="334">
        <v>37</v>
      </c>
      <c r="G463" s="112" t="s">
        <v>2690</v>
      </c>
      <c r="H463" s="120" t="s">
        <v>2691</v>
      </c>
      <c r="I463" s="120" t="s">
        <v>2689</v>
      </c>
      <c r="J463" s="120" t="s">
        <v>772</v>
      </c>
      <c r="K463" s="110">
        <v>296100</v>
      </c>
      <c r="L463" s="110"/>
      <c r="M463" s="110">
        <v>180900</v>
      </c>
      <c r="N463" s="110"/>
      <c r="O463" s="110"/>
      <c r="P463" s="110">
        <f t="shared" ref="P463:P464" si="144">K463+L463+M463+N463+O463</f>
        <v>477000</v>
      </c>
      <c r="Q463" s="110">
        <f t="shared" ref="Q463:Q464" si="145">$P463*D463</f>
        <v>17649000</v>
      </c>
      <c r="R463" s="110">
        <f t="shared" ref="R463:R464" si="146">$P463*F463</f>
        <v>17649000</v>
      </c>
      <c r="S463" s="112" t="s">
        <v>2690</v>
      </c>
    </row>
    <row r="464" spans="1:19" ht="45">
      <c r="A464" s="142"/>
      <c r="B464" s="153" t="s">
        <v>1252</v>
      </c>
      <c r="C464" s="142" t="s">
        <v>4</v>
      </c>
      <c r="D464" s="143">
        <v>43</v>
      </c>
      <c r="E464" s="144"/>
      <c r="F464" s="334">
        <v>43</v>
      </c>
      <c r="G464" s="112" t="s">
        <v>2692</v>
      </c>
      <c r="H464" s="120" t="s">
        <v>2693</v>
      </c>
      <c r="I464" s="120" t="s">
        <v>2689</v>
      </c>
      <c r="J464" s="120" t="s">
        <v>772</v>
      </c>
      <c r="K464" s="110">
        <v>233100</v>
      </c>
      <c r="L464" s="110"/>
      <c r="M464" s="110">
        <v>144000</v>
      </c>
      <c r="N464" s="110"/>
      <c r="O464" s="110"/>
      <c r="P464" s="110">
        <f t="shared" si="144"/>
        <v>377100</v>
      </c>
      <c r="Q464" s="110">
        <f t="shared" si="145"/>
        <v>16215300</v>
      </c>
      <c r="R464" s="110">
        <f t="shared" si="146"/>
        <v>16215300</v>
      </c>
      <c r="S464" s="112" t="s">
        <v>2692</v>
      </c>
    </row>
    <row r="465" spans="1:19">
      <c r="A465" s="142">
        <v>12</v>
      </c>
      <c r="B465" s="153" t="s">
        <v>1440</v>
      </c>
      <c r="C465" s="142"/>
      <c r="D465" s="143"/>
      <c r="E465" s="144"/>
      <c r="F465" s="76"/>
      <c r="G465" s="112"/>
      <c r="H465" s="120"/>
      <c r="I465" s="120"/>
      <c r="J465" s="120"/>
      <c r="K465" s="77"/>
      <c r="L465" s="77"/>
      <c r="M465" s="77"/>
      <c r="N465" s="77"/>
      <c r="O465" s="77"/>
      <c r="P465" s="77"/>
      <c r="Q465" s="77"/>
      <c r="R465" s="77"/>
      <c r="S465" s="77"/>
    </row>
    <row r="466" spans="1:19" ht="45">
      <c r="A466" s="142"/>
      <c r="B466" s="153" t="s">
        <v>1244</v>
      </c>
      <c r="C466" s="142" t="s">
        <v>4</v>
      </c>
      <c r="D466" s="143">
        <v>29</v>
      </c>
      <c r="E466" s="144"/>
      <c r="F466" s="334">
        <v>29</v>
      </c>
      <c r="G466" s="112" t="s">
        <v>2699</v>
      </c>
      <c r="H466" s="120" t="s">
        <v>2700</v>
      </c>
      <c r="I466" s="120" t="s">
        <v>2689</v>
      </c>
      <c r="J466" s="120" t="s">
        <v>772</v>
      </c>
      <c r="K466" s="110">
        <v>856800</v>
      </c>
      <c r="L466" s="110"/>
      <c r="M466" s="110">
        <v>241500</v>
      </c>
      <c r="N466" s="110"/>
      <c r="O466" s="110"/>
      <c r="P466" s="110">
        <f>K466+L466+M466+N466+O466</f>
        <v>1098300</v>
      </c>
      <c r="Q466" s="110">
        <f>$P466*D466</f>
        <v>31850700</v>
      </c>
      <c r="R466" s="110">
        <f>$P466*F466</f>
        <v>31850700</v>
      </c>
      <c r="S466" s="112" t="s">
        <v>2699</v>
      </c>
    </row>
    <row r="467" spans="1:19">
      <c r="A467" s="142">
        <v>13</v>
      </c>
      <c r="B467" s="153" t="s">
        <v>1422</v>
      </c>
      <c r="C467" s="142"/>
      <c r="D467" s="143"/>
      <c r="E467" s="144"/>
      <c r="F467" s="76"/>
      <c r="G467" s="112"/>
      <c r="H467" s="120"/>
      <c r="I467" s="120"/>
      <c r="J467" s="120"/>
      <c r="K467" s="77"/>
      <c r="L467" s="77"/>
      <c r="M467" s="77"/>
      <c r="N467" s="77"/>
      <c r="O467" s="77"/>
      <c r="P467" s="77"/>
      <c r="Q467" s="77"/>
      <c r="R467" s="77"/>
      <c r="S467" s="77"/>
    </row>
    <row r="468" spans="1:19">
      <c r="A468" s="142"/>
      <c r="B468" s="153" t="s">
        <v>1423</v>
      </c>
      <c r="C468" s="142" t="s">
        <v>4</v>
      </c>
      <c r="D468" s="143">
        <v>5</v>
      </c>
      <c r="E468" s="144"/>
      <c r="F468" s="334">
        <v>5</v>
      </c>
      <c r="G468" s="112" t="s">
        <v>1228</v>
      </c>
      <c r="H468" s="120" t="s">
        <v>2929</v>
      </c>
      <c r="I468" s="120" t="s">
        <v>2921</v>
      </c>
      <c r="J468" s="120" t="s">
        <v>769</v>
      </c>
      <c r="K468" s="110">
        <v>1504000</v>
      </c>
      <c r="L468" s="110"/>
      <c r="M468" s="110">
        <v>179500</v>
      </c>
      <c r="N468" s="110"/>
      <c r="O468" s="110"/>
      <c r="P468" s="110">
        <f t="shared" ref="P468:P469" si="147">K468+L468+M468+N468+O468</f>
        <v>1683500</v>
      </c>
      <c r="Q468" s="110">
        <f t="shared" ref="Q468:Q469" si="148">$P468*D468</f>
        <v>8417500</v>
      </c>
      <c r="R468" s="110">
        <f t="shared" ref="R468:R469" si="149">$P468*F468</f>
        <v>8417500</v>
      </c>
      <c r="S468" s="112" t="s">
        <v>1228</v>
      </c>
    </row>
    <row r="469" spans="1:19">
      <c r="A469" s="142"/>
      <c r="B469" s="153" t="s">
        <v>1309</v>
      </c>
      <c r="C469" s="142" t="s">
        <v>4</v>
      </c>
      <c r="D469" s="143">
        <v>4</v>
      </c>
      <c r="E469" s="144"/>
      <c r="F469" s="334">
        <v>4</v>
      </c>
      <c r="G469" s="112" t="s">
        <v>1228</v>
      </c>
      <c r="H469" s="120" t="s">
        <v>2930</v>
      </c>
      <c r="I469" s="120" t="s">
        <v>2921</v>
      </c>
      <c r="J469" s="120" t="s">
        <v>769</v>
      </c>
      <c r="K469" s="110">
        <v>817800</v>
      </c>
      <c r="L469" s="110"/>
      <c r="M469" s="110">
        <v>140200</v>
      </c>
      <c r="N469" s="110"/>
      <c r="O469" s="110"/>
      <c r="P469" s="110">
        <f t="shared" si="147"/>
        <v>958000</v>
      </c>
      <c r="Q469" s="110">
        <f t="shared" si="148"/>
        <v>3832000</v>
      </c>
      <c r="R469" s="110">
        <f t="shared" si="149"/>
        <v>3832000</v>
      </c>
      <c r="S469" s="112" t="s">
        <v>1228</v>
      </c>
    </row>
    <row r="470" spans="1:19">
      <c r="A470" s="142">
        <v>14</v>
      </c>
      <c r="B470" s="153" t="s">
        <v>1316</v>
      </c>
      <c r="C470" s="142"/>
      <c r="D470" s="143"/>
      <c r="E470" s="144"/>
      <c r="F470" s="76"/>
      <c r="G470" s="112"/>
      <c r="H470" s="120"/>
      <c r="I470" s="120"/>
      <c r="J470" s="120"/>
      <c r="K470" s="77"/>
      <c r="L470" s="77"/>
      <c r="M470" s="77"/>
      <c r="N470" s="77"/>
      <c r="O470" s="77"/>
      <c r="P470" s="77"/>
      <c r="Q470" s="77"/>
      <c r="R470" s="77"/>
      <c r="S470" s="77"/>
    </row>
    <row r="471" spans="1:19">
      <c r="A471" s="142"/>
      <c r="B471" s="153" t="s">
        <v>1423</v>
      </c>
      <c r="C471" s="142" t="s">
        <v>4</v>
      </c>
      <c r="D471" s="143">
        <v>6</v>
      </c>
      <c r="E471" s="144"/>
      <c r="F471" s="334">
        <v>6</v>
      </c>
      <c r="G471" s="112" t="s">
        <v>1228</v>
      </c>
      <c r="H471" s="120" t="s">
        <v>2932</v>
      </c>
      <c r="I471" s="120" t="s">
        <v>2921</v>
      </c>
      <c r="J471" s="120" t="s">
        <v>769</v>
      </c>
      <c r="K471" s="110">
        <v>560200</v>
      </c>
      <c r="L471" s="110"/>
      <c r="M471" s="110">
        <v>179500</v>
      </c>
      <c r="N471" s="110"/>
      <c r="O471" s="110"/>
      <c r="P471" s="110">
        <f t="shared" ref="P471:P473" si="150">K471+L471+M471+N471+O471</f>
        <v>739700</v>
      </c>
      <c r="Q471" s="110">
        <f t="shared" ref="Q471:Q473" si="151">$P471*D471</f>
        <v>4438200</v>
      </c>
      <c r="R471" s="110">
        <f t="shared" ref="R471:R473" si="152">$P471*F471</f>
        <v>4438200</v>
      </c>
      <c r="S471" s="112" t="s">
        <v>1228</v>
      </c>
    </row>
    <row r="472" spans="1:19">
      <c r="A472" s="142"/>
      <c r="B472" s="153" t="s">
        <v>1309</v>
      </c>
      <c r="C472" s="142" t="s">
        <v>4</v>
      </c>
      <c r="D472" s="143">
        <v>2</v>
      </c>
      <c r="E472" s="144"/>
      <c r="F472" s="334">
        <v>2</v>
      </c>
      <c r="G472" s="112" t="s">
        <v>1228</v>
      </c>
      <c r="H472" s="120" t="s">
        <v>2933</v>
      </c>
      <c r="I472" s="120" t="s">
        <v>2921</v>
      </c>
      <c r="J472" s="120" t="s">
        <v>769</v>
      </c>
      <c r="K472" s="110">
        <v>821100</v>
      </c>
      <c r="L472" s="110"/>
      <c r="M472" s="110">
        <v>140200</v>
      </c>
      <c r="N472" s="110"/>
      <c r="O472" s="110"/>
      <c r="P472" s="110">
        <f t="shared" si="150"/>
        <v>961300</v>
      </c>
      <c r="Q472" s="110">
        <f t="shared" si="151"/>
        <v>1922600</v>
      </c>
      <c r="R472" s="110">
        <f t="shared" si="152"/>
        <v>1922600</v>
      </c>
      <c r="S472" s="112" t="s">
        <v>1228</v>
      </c>
    </row>
    <row r="473" spans="1:19">
      <c r="A473" s="142">
        <v>15</v>
      </c>
      <c r="B473" s="153" t="s">
        <v>709</v>
      </c>
      <c r="C473" s="142" t="s">
        <v>17</v>
      </c>
      <c r="D473" s="143">
        <v>1</v>
      </c>
      <c r="E473" s="144"/>
      <c r="F473" s="334">
        <v>1</v>
      </c>
      <c r="G473" s="112">
        <v>0</v>
      </c>
      <c r="H473" s="120">
        <v>0</v>
      </c>
      <c r="I473" s="120">
        <v>0</v>
      </c>
      <c r="J473" s="120">
        <v>0</v>
      </c>
      <c r="K473" s="110">
        <v>123528200</v>
      </c>
      <c r="L473" s="110"/>
      <c r="M473" s="110">
        <v>0</v>
      </c>
      <c r="N473" s="110"/>
      <c r="O473" s="110"/>
      <c r="P473" s="110">
        <f t="shared" si="150"/>
        <v>123528200</v>
      </c>
      <c r="Q473" s="110">
        <f t="shared" si="151"/>
        <v>123528200</v>
      </c>
      <c r="R473" s="110">
        <f t="shared" si="152"/>
        <v>123528200</v>
      </c>
      <c r="S473" s="112">
        <v>0</v>
      </c>
    </row>
    <row r="474" spans="1:19">
      <c r="A474" s="146">
        <v>16</v>
      </c>
      <c r="B474" s="150" t="s">
        <v>1441</v>
      </c>
      <c r="C474" s="146"/>
      <c r="D474" s="147"/>
      <c r="E474" s="148"/>
      <c r="F474" s="88"/>
      <c r="G474" s="453"/>
      <c r="H474" s="454"/>
      <c r="I474" s="454"/>
      <c r="J474" s="454"/>
      <c r="K474" s="87"/>
      <c r="L474" s="87"/>
      <c r="M474" s="87"/>
      <c r="N474" s="87"/>
      <c r="O474" s="87"/>
      <c r="P474" s="87"/>
      <c r="Q474" s="87"/>
      <c r="R474" s="87"/>
      <c r="S474" s="87"/>
    </row>
    <row r="475" spans="1:19">
      <c r="A475" s="146"/>
      <c r="B475" s="150" t="s">
        <v>1442</v>
      </c>
      <c r="C475" s="146" t="s">
        <v>4</v>
      </c>
      <c r="D475" s="147">
        <v>2</v>
      </c>
      <c r="E475" s="148"/>
      <c r="F475" s="334">
        <v>2</v>
      </c>
      <c r="G475" s="112">
        <v>0</v>
      </c>
      <c r="H475" s="120">
        <v>0</v>
      </c>
      <c r="I475" s="120" t="s">
        <v>2748</v>
      </c>
      <c r="J475" s="120" t="s">
        <v>772</v>
      </c>
      <c r="K475" s="110">
        <v>1515000</v>
      </c>
      <c r="L475" s="110"/>
      <c r="M475" s="110">
        <v>0</v>
      </c>
      <c r="N475" s="110"/>
      <c r="O475" s="110"/>
      <c r="P475" s="110">
        <f t="shared" ref="P475:P488" si="153">K475+L475+M475+N475+O475</f>
        <v>1515000</v>
      </c>
      <c r="Q475" s="110">
        <f t="shared" ref="Q475:Q488" si="154">$P475*D475</f>
        <v>3030000</v>
      </c>
      <c r="R475" s="110">
        <f t="shared" ref="R475:R488" si="155">$P475*F475</f>
        <v>3030000</v>
      </c>
      <c r="S475" s="112">
        <v>0</v>
      </c>
    </row>
    <row r="476" spans="1:19">
      <c r="A476" s="146"/>
      <c r="B476" s="150" t="s">
        <v>1427</v>
      </c>
      <c r="C476" s="146" t="s">
        <v>4</v>
      </c>
      <c r="D476" s="147">
        <v>6</v>
      </c>
      <c r="E476" s="148"/>
      <c r="F476" s="334">
        <v>6</v>
      </c>
      <c r="G476" s="112">
        <v>0</v>
      </c>
      <c r="H476" s="120">
        <v>0</v>
      </c>
      <c r="I476" s="120" t="s">
        <v>2748</v>
      </c>
      <c r="J476" s="120" t="s">
        <v>772</v>
      </c>
      <c r="K476" s="110">
        <v>888900</v>
      </c>
      <c r="L476" s="110"/>
      <c r="M476" s="110">
        <v>0</v>
      </c>
      <c r="N476" s="110"/>
      <c r="O476" s="110"/>
      <c r="P476" s="110">
        <f t="shared" si="153"/>
        <v>888900</v>
      </c>
      <c r="Q476" s="110">
        <f t="shared" si="154"/>
        <v>5333400</v>
      </c>
      <c r="R476" s="110">
        <f t="shared" si="155"/>
        <v>5333400</v>
      </c>
      <c r="S476" s="112">
        <v>0</v>
      </c>
    </row>
    <row r="477" spans="1:19" ht="30">
      <c r="A477" s="146"/>
      <c r="B477" s="150" t="s">
        <v>1443</v>
      </c>
      <c r="C477" s="146" t="s">
        <v>4</v>
      </c>
      <c r="D477" s="147">
        <v>2</v>
      </c>
      <c r="E477" s="148"/>
      <c r="F477" s="334">
        <v>2</v>
      </c>
      <c r="G477" s="112" t="s">
        <v>3000</v>
      </c>
      <c r="H477" s="120" t="s">
        <v>1428</v>
      </c>
      <c r="I477" s="120" t="s">
        <v>2748</v>
      </c>
      <c r="J477" s="120" t="s">
        <v>772</v>
      </c>
      <c r="K477" s="110">
        <v>1709500</v>
      </c>
      <c r="L477" s="110"/>
      <c r="M477" s="110">
        <v>155000</v>
      </c>
      <c r="N477" s="110"/>
      <c r="O477" s="110"/>
      <c r="P477" s="110">
        <f t="shared" si="153"/>
        <v>1864500</v>
      </c>
      <c r="Q477" s="110">
        <f t="shared" si="154"/>
        <v>3729000</v>
      </c>
      <c r="R477" s="110">
        <f t="shared" si="155"/>
        <v>3729000</v>
      </c>
      <c r="S477" s="112" t="s">
        <v>3000</v>
      </c>
    </row>
    <row r="478" spans="1:19" ht="30">
      <c r="A478" s="146"/>
      <c r="B478" s="150" t="s">
        <v>1429</v>
      </c>
      <c r="C478" s="146" t="s">
        <v>4</v>
      </c>
      <c r="D478" s="147">
        <v>6</v>
      </c>
      <c r="E478" s="148"/>
      <c r="F478" s="334">
        <v>6</v>
      </c>
      <c r="G478" s="112" t="s">
        <v>3000</v>
      </c>
      <c r="H478" s="120" t="s">
        <v>1429</v>
      </c>
      <c r="I478" s="120" t="s">
        <v>2748</v>
      </c>
      <c r="J478" s="120" t="s">
        <v>772</v>
      </c>
      <c r="K478" s="110">
        <v>868700</v>
      </c>
      <c r="L478" s="110"/>
      <c r="M478" s="110">
        <v>124000</v>
      </c>
      <c r="N478" s="110"/>
      <c r="O478" s="110"/>
      <c r="P478" s="110">
        <f t="shared" si="153"/>
        <v>992700</v>
      </c>
      <c r="Q478" s="110">
        <f t="shared" si="154"/>
        <v>5956200</v>
      </c>
      <c r="R478" s="110">
        <f t="shared" si="155"/>
        <v>5956200</v>
      </c>
      <c r="S478" s="112" t="s">
        <v>3000</v>
      </c>
    </row>
    <row r="479" spans="1:19" ht="45">
      <c r="A479" s="146"/>
      <c r="B479" s="150" t="s">
        <v>1444</v>
      </c>
      <c r="C479" s="146" t="s">
        <v>4</v>
      </c>
      <c r="D479" s="147">
        <v>2</v>
      </c>
      <c r="E479" s="148"/>
      <c r="F479" s="334">
        <v>2</v>
      </c>
      <c r="G479" s="112" t="s">
        <v>3136</v>
      </c>
      <c r="H479" s="120">
        <v>0</v>
      </c>
      <c r="I479" s="120">
        <v>0</v>
      </c>
      <c r="J479" s="120" t="s">
        <v>772</v>
      </c>
      <c r="K479" s="110">
        <v>361700</v>
      </c>
      <c r="L479" s="110"/>
      <c r="M479" s="110">
        <v>434000</v>
      </c>
      <c r="N479" s="110"/>
      <c r="O479" s="110"/>
      <c r="P479" s="110">
        <f t="shared" si="153"/>
        <v>795700</v>
      </c>
      <c r="Q479" s="110">
        <f t="shared" si="154"/>
        <v>1591400</v>
      </c>
      <c r="R479" s="110">
        <f t="shared" si="155"/>
        <v>1591400</v>
      </c>
      <c r="S479" s="112" t="s">
        <v>3136</v>
      </c>
    </row>
    <row r="480" spans="1:19" ht="45">
      <c r="A480" s="146"/>
      <c r="B480" s="150" t="s">
        <v>1445</v>
      </c>
      <c r="C480" s="146" t="s">
        <v>4</v>
      </c>
      <c r="D480" s="147">
        <v>6</v>
      </c>
      <c r="E480" s="148"/>
      <c r="F480" s="334">
        <v>6</v>
      </c>
      <c r="G480" s="112" t="s">
        <v>3136</v>
      </c>
      <c r="H480" s="120">
        <v>0</v>
      </c>
      <c r="I480" s="120">
        <v>0</v>
      </c>
      <c r="J480" s="120" t="s">
        <v>772</v>
      </c>
      <c r="K480" s="110">
        <v>301300</v>
      </c>
      <c r="L480" s="110"/>
      <c r="M480" s="110">
        <v>387500</v>
      </c>
      <c r="N480" s="110"/>
      <c r="O480" s="110"/>
      <c r="P480" s="110">
        <f t="shared" si="153"/>
        <v>688800</v>
      </c>
      <c r="Q480" s="110">
        <f t="shared" si="154"/>
        <v>4132800</v>
      </c>
      <c r="R480" s="110">
        <f t="shared" si="155"/>
        <v>4132800</v>
      </c>
      <c r="S480" s="112" t="s">
        <v>3136</v>
      </c>
    </row>
    <row r="481" spans="1:19" ht="30">
      <c r="A481" s="146"/>
      <c r="B481" s="150" t="s">
        <v>1446</v>
      </c>
      <c r="C481" s="146" t="s">
        <v>4</v>
      </c>
      <c r="D481" s="147">
        <v>3</v>
      </c>
      <c r="E481" s="148"/>
      <c r="F481" s="334">
        <v>3</v>
      </c>
      <c r="G481" s="112">
        <v>0</v>
      </c>
      <c r="H481" s="120">
        <v>0</v>
      </c>
      <c r="I481" s="120">
        <v>0</v>
      </c>
      <c r="J481" s="120" t="s">
        <v>772</v>
      </c>
      <c r="K481" s="110">
        <v>42000</v>
      </c>
      <c r="L481" s="110"/>
      <c r="M481" s="110">
        <v>99700</v>
      </c>
      <c r="N481" s="110"/>
      <c r="O481" s="110"/>
      <c r="P481" s="110">
        <f t="shared" si="153"/>
        <v>141700</v>
      </c>
      <c r="Q481" s="110">
        <f t="shared" si="154"/>
        <v>425100</v>
      </c>
      <c r="R481" s="110">
        <f t="shared" si="155"/>
        <v>425100</v>
      </c>
      <c r="S481" s="112">
        <v>0</v>
      </c>
    </row>
    <row r="482" spans="1:19" ht="45">
      <c r="A482" s="146"/>
      <c r="B482" s="150" t="s">
        <v>1447</v>
      </c>
      <c r="C482" s="146" t="s">
        <v>4</v>
      </c>
      <c r="D482" s="147">
        <v>3</v>
      </c>
      <c r="E482" s="148"/>
      <c r="F482" s="334">
        <v>3</v>
      </c>
      <c r="G482" s="112" t="s">
        <v>3136</v>
      </c>
      <c r="H482" s="120">
        <v>0</v>
      </c>
      <c r="I482" s="120">
        <v>0</v>
      </c>
      <c r="J482" s="120" t="s">
        <v>772</v>
      </c>
      <c r="K482" s="110">
        <v>95800</v>
      </c>
      <c r="L482" s="110"/>
      <c r="M482" s="110">
        <v>229400</v>
      </c>
      <c r="N482" s="110"/>
      <c r="O482" s="110"/>
      <c r="P482" s="110">
        <f t="shared" si="153"/>
        <v>325200</v>
      </c>
      <c r="Q482" s="110">
        <f t="shared" si="154"/>
        <v>975600</v>
      </c>
      <c r="R482" s="110">
        <f t="shared" si="155"/>
        <v>975600</v>
      </c>
      <c r="S482" s="112" t="s">
        <v>3136</v>
      </c>
    </row>
    <row r="483" spans="1:19" ht="30">
      <c r="A483" s="146"/>
      <c r="B483" s="150" t="s">
        <v>1448</v>
      </c>
      <c r="C483" s="146" t="s">
        <v>4</v>
      </c>
      <c r="D483" s="147">
        <v>25</v>
      </c>
      <c r="E483" s="148"/>
      <c r="F483" s="334">
        <v>25</v>
      </c>
      <c r="G483" s="112">
        <v>0</v>
      </c>
      <c r="H483" s="120">
        <v>0</v>
      </c>
      <c r="I483" s="120">
        <v>0</v>
      </c>
      <c r="J483" s="120" t="s">
        <v>772</v>
      </c>
      <c r="K483" s="110">
        <v>75700</v>
      </c>
      <c r="L483" s="110"/>
      <c r="M483" s="110">
        <v>88200</v>
      </c>
      <c r="N483" s="110"/>
      <c r="O483" s="110"/>
      <c r="P483" s="110">
        <f t="shared" si="153"/>
        <v>163900</v>
      </c>
      <c r="Q483" s="110">
        <f t="shared" si="154"/>
        <v>4097500</v>
      </c>
      <c r="R483" s="110">
        <f t="shared" si="155"/>
        <v>4097500</v>
      </c>
      <c r="S483" s="112">
        <v>0</v>
      </c>
    </row>
    <row r="484" spans="1:19" ht="45">
      <c r="A484" s="146"/>
      <c r="B484" s="150" t="s">
        <v>1449</v>
      </c>
      <c r="C484" s="146" t="s">
        <v>4</v>
      </c>
      <c r="D484" s="147">
        <v>107</v>
      </c>
      <c r="E484" s="148"/>
      <c r="F484" s="334">
        <v>107</v>
      </c>
      <c r="G484" s="112" t="s">
        <v>3136</v>
      </c>
      <c r="H484" s="120">
        <v>0</v>
      </c>
      <c r="I484" s="120">
        <v>0</v>
      </c>
      <c r="J484" s="120" t="s">
        <v>772</v>
      </c>
      <c r="K484" s="110">
        <v>95800</v>
      </c>
      <c r="L484" s="110"/>
      <c r="M484" s="110">
        <v>229400</v>
      </c>
      <c r="N484" s="110"/>
      <c r="O484" s="110"/>
      <c r="P484" s="110">
        <f t="shared" si="153"/>
        <v>325200</v>
      </c>
      <c r="Q484" s="110">
        <f t="shared" si="154"/>
        <v>34796400</v>
      </c>
      <c r="R484" s="110">
        <f t="shared" si="155"/>
        <v>34796400</v>
      </c>
      <c r="S484" s="112" t="s">
        <v>3136</v>
      </c>
    </row>
    <row r="485" spans="1:19" ht="30">
      <c r="A485" s="146"/>
      <c r="B485" s="150" t="s">
        <v>1450</v>
      </c>
      <c r="C485" s="146" t="s">
        <v>4</v>
      </c>
      <c r="D485" s="147">
        <v>50</v>
      </c>
      <c r="E485" s="148"/>
      <c r="F485" s="334">
        <v>50</v>
      </c>
      <c r="G485" s="112">
        <v>0</v>
      </c>
      <c r="H485" s="120">
        <v>0</v>
      </c>
      <c r="I485" s="120">
        <v>0</v>
      </c>
      <c r="J485" s="120" t="s">
        <v>772</v>
      </c>
      <c r="K485" s="110">
        <v>48800</v>
      </c>
      <c r="L485" s="110"/>
      <c r="M485" s="110">
        <v>157700</v>
      </c>
      <c r="N485" s="110"/>
      <c r="O485" s="110"/>
      <c r="P485" s="110">
        <f t="shared" si="153"/>
        <v>206500</v>
      </c>
      <c r="Q485" s="110">
        <f t="shared" si="154"/>
        <v>10325000</v>
      </c>
      <c r="R485" s="110">
        <f t="shared" si="155"/>
        <v>10325000</v>
      </c>
      <c r="S485" s="112">
        <v>0</v>
      </c>
    </row>
    <row r="486" spans="1:19">
      <c r="A486" s="146"/>
      <c r="B486" s="150" t="s">
        <v>1451</v>
      </c>
      <c r="C486" s="146" t="s">
        <v>4</v>
      </c>
      <c r="D486" s="147">
        <v>107</v>
      </c>
      <c r="E486" s="148"/>
      <c r="F486" s="334">
        <v>107</v>
      </c>
      <c r="G486" s="112">
        <v>0</v>
      </c>
      <c r="H486" s="120">
        <v>0</v>
      </c>
      <c r="I486" s="120">
        <v>0</v>
      </c>
      <c r="J486" s="120" t="s">
        <v>772</v>
      </c>
      <c r="K486" s="110">
        <v>125700</v>
      </c>
      <c r="L486" s="110"/>
      <c r="M486" s="110">
        <v>102700</v>
      </c>
      <c r="N486" s="110"/>
      <c r="O486" s="110"/>
      <c r="P486" s="110">
        <f t="shared" si="153"/>
        <v>228400</v>
      </c>
      <c r="Q486" s="110">
        <f t="shared" si="154"/>
        <v>24438800</v>
      </c>
      <c r="R486" s="110">
        <f t="shared" si="155"/>
        <v>24438800</v>
      </c>
      <c r="S486" s="112">
        <v>0</v>
      </c>
    </row>
    <row r="487" spans="1:19">
      <c r="A487" s="146"/>
      <c r="B487" s="150" t="s">
        <v>1452</v>
      </c>
      <c r="C487" s="146" t="s">
        <v>4</v>
      </c>
      <c r="D487" s="147">
        <v>50</v>
      </c>
      <c r="E487" s="148"/>
      <c r="F487" s="334">
        <v>50</v>
      </c>
      <c r="G487" s="112">
        <v>0</v>
      </c>
      <c r="H487" s="120">
        <v>0</v>
      </c>
      <c r="I487" s="120">
        <v>0</v>
      </c>
      <c r="J487" s="120" t="s">
        <v>772</v>
      </c>
      <c r="K487" s="110">
        <v>115500</v>
      </c>
      <c r="L487" s="110"/>
      <c r="M487" s="110">
        <v>102700</v>
      </c>
      <c r="N487" s="110"/>
      <c r="O487" s="110"/>
      <c r="P487" s="110">
        <f t="shared" si="153"/>
        <v>218200</v>
      </c>
      <c r="Q487" s="110">
        <f t="shared" si="154"/>
        <v>10910000</v>
      </c>
      <c r="R487" s="110">
        <f t="shared" si="155"/>
        <v>10910000</v>
      </c>
      <c r="S487" s="112">
        <v>0</v>
      </c>
    </row>
    <row r="488" spans="1:19" ht="30">
      <c r="A488" s="146"/>
      <c r="B488" s="150" t="s">
        <v>1453</v>
      </c>
      <c r="C488" s="146" t="s">
        <v>826</v>
      </c>
      <c r="D488" s="147">
        <v>77</v>
      </c>
      <c r="E488" s="148"/>
      <c r="F488" s="334">
        <v>77</v>
      </c>
      <c r="G488" s="112" t="s">
        <v>3135</v>
      </c>
      <c r="H488" s="120">
        <v>0</v>
      </c>
      <c r="I488" s="120">
        <v>0</v>
      </c>
      <c r="J488" s="120" t="s">
        <v>772</v>
      </c>
      <c r="K488" s="110">
        <v>0</v>
      </c>
      <c r="L488" s="110"/>
      <c r="M488" s="110">
        <v>62800</v>
      </c>
      <c r="N488" s="110"/>
      <c r="O488" s="110"/>
      <c r="P488" s="110">
        <f t="shared" si="153"/>
        <v>62800</v>
      </c>
      <c r="Q488" s="110">
        <f t="shared" si="154"/>
        <v>4835600</v>
      </c>
      <c r="R488" s="110">
        <f t="shared" si="155"/>
        <v>4835600</v>
      </c>
      <c r="S488" s="112" t="s">
        <v>3135</v>
      </c>
    </row>
    <row r="489" spans="1:19">
      <c r="A489" s="163" t="s">
        <v>478</v>
      </c>
      <c r="B489" s="162" t="s">
        <v>1454</v>
      </c>
      <c r="C489" s="163"/>
      <c r="D489" s="164"/>
      <c r="E489" s="165"/>
      <c r="F489" s="255"/>
      <c r="G489" s="456"/>
      <c r="H489" s="455"/>
      <c r="I489" s="455"/>
      <c r="J489" s="455"/>
      <c r="K489" s="256"/>
      <c r="L489" s="256"/>
      <c r="M489" s="256"/>
      <c r="N489" s="256"/>
      <c r="O489" s="256"/>
      <c r="P489" s="256"/>
      <c r="Q489" s="256"/>
      <c r="R489" s="256"/>
      <c r="S489" s="379"/>
    </row>
    <row r="490" spans="1:19">
      <c r="A490" s="169" t="s">
        <v>719</v>
      </c>
      <c r="B490" s="152" t="s">
        <v>1455</v>
      </c>
      <c r="C490" s="142"/>
      <c r="D490" s="143"/>
      <c r="E490" s="144"/>
      <c r="F490" s="79"/>
      <c r="G490" s="116"/>
      <c r="H490" s="121"/>
      <c r="I490" s="121"/>
      <c r="J490" s="121"/>
      <c r="K490" s="80"/>
      <c r="L490" s="80"/>
      <c r="M490" s="80"/>
      <c r="N490" s="80"/>
      <c r="O490" s="80"/>
      <c r="P490" s="80"/>
      <c r="Q490" s="80"/>
      <c r="R490" s="80"/>
      <c r="S490" s="77"/>
    </row>
    <row r="491" spans="1:19">
      <c r="A491" s="142">
        <v>1</v>
      </c>
      <c r="B491" s="153" t="s">
        <v>1456</v>
      </c>
      <c r="C491" s="142"/>
      <c r="D491" s="143"/>
      <c r="E491" s="144"/>
      <c r="F491" s="76"/>
      <c r="G491" s="112"/>
      <c r="H491" s="120"/>
      <c r="I491" s="120"/>
      <c r="J491" s="120"/>
      <c r="K491" s="77"/>
      <c r="L491" s="77"/>
      <c r="M491" s="77"/>
      <c r="N491" s="77"/>
      <c r="O491" s="77"/>
      <c r="P491" s="77"/>
      <c r="Q491" s="77"/>
      <c r="R491" s="77"/>
      <c r="S491" s="77"/>
    </row>
    <row r="492" spans="1:19" ht="60">
      <c r="A492" s="142"/>
      <c r="B492" s="153" t="s">
        <v>1255</v>
      </c>
      <c r="C492" s="142" t="s">
        <v>7</v>
      </c>
      <c r="D492" s="143">
        <v>32</v>
      </c>
      <c r="E492" s="144" t="s">
        <v>1251</v>
      </c>
      <c r="F492" s="334">
        <v>32</v>
      </c>
      <c r="G492" s="112" t="s">
        <v>2829</v>
      </c>
      <c r="H492" s="120" t="s">
        <v>2834</v>
      </c>
      <c r="I492" s="120" t="s">
        <v>2748</v>
      </c>
      <c r="J492" s="120" t="s">
        <v>772</v>
      </c>
      <c r="K492" s="110">
        <v>36800</v>
      </c>
      <c r="L492" s="110"/>
      <c r="M492" s="110">
        <v>47500</v>
      </c>
      <c r="N492" s="110"/>
      <c r="O492" s="110"/>
      <c r="P492" s="110">
        <f t="shared" ref="P492:P495" si="156">K492+L492+M492+N492+O492</f>
        <v>84300</v>
      </c>
      <c r="Q492" s="110">
        <f t="shared" ref="Q492:Q495" si="157">$P492*D492</f>
        <v>2697600</v>
      </c>
      <c r="R492" s="110">
        <f t="shared" ref="R492:R495" si="158">$P492*F492</f>
        <v>2697600</v>
      </c>
      <c r="S492" s="112" t="s">
        <v>2829</v>
      </c>
    </row>
    <row r="493" spans="1:19" ht="60">
      <c r="A493" s="142"/>
      <c r="B493" s="153" t="s">
        <v>707</v>
      </c>
      <c r="C493" s="142" t="s">
        <v>7</v>
      </c>
      <c r="D493" s="143">
        <v>2432</v>
      </c>
      <c r="E493" s="144" t="s">
        <v>1251</v>
      </c>
      <c r="F493" s="334">
        <v>2432</v>
      </c>
      <c r="G493" s="112" t="s">
        <v>2829</v>
      </c>
      <c r="H493" s="120" t="s">
        <v>2835</v>
      </c>
      <c r="I493" s="120" t="s">
        <v>2748</v>
      </c>
      <c r="J493" s="120" t="s">
        <v>772</v>
      </c>
      <c r="K493" s="110">
        <v>27400</v>
      </c>
      <c r="L493" s="110"/>
      <c r="M493" s="110">
        <v>44100</v>
      </c>
      <c r="N493" s="110"/>
      <c r="O493" s="110"/>
      <c r="P493" s="110">
        <f t="shared" si="156"/>
        <v>71500</v>
      </c>
      <c r="Q493" s="110">
        <f t="shared" si="157"/>
        <v>173888000</v>
      </c>
      <c r="R493" s="110">
        <f t="shared" si="158"/>
        <v>173888000</v>
      </c>
      <c r="S493" s="112" t="s">
        <v>2829</v>
      </c>
    </row>
    <row r="494" spans="1:19" ht="60">
      <c r="A494" s="142"/>
      <c r="B494" s="153" t="s">
        <v>708</v>
      </c>
      <c r="C494" s="142" t="s">
        <v>7</v>
      </c>
      <c r="D494" s="143">
        <v>2139</v>
      </c>
      <c r="E494" s="144" t="s">
        <v>1251</v>
      </c>
      <c r="F494" s="334">
        <v>2139</v>
      </c>
      <c r="G494" s="112" t="s">
        <v>2829</v>
      </c>
      <c r="H494" s="120" t="s">
        <v>2836</v>
      </c>
      <c r="I494" s="120" t="s">
        <v>2748</v>
      </c>
      <c r="J494" s="120" t="s">
        <v>772</v>
      </c>
      <c r="K494" s="110">
        <v>21200</v>
      </c>
      <c r="L494" s="110"/>
      <c r="M494" s="110">
        <v>40800</v>
      </c>
      <c r="N494" s="110"/>
      <c r="O494" s="110"/>
      <c r="P494" s="110">
        <f t="shared" si="156"/>
        <v>62000</v>
      </c>
      <c r="Q494" s="110">
        <f t="shared" si="157"/>
        <v>132618000</v>
      </c>
      <c r="R494" s="110">
        <f t="shared" si="158"/>
        <v>132618000</v>
      </c>
      <c r="S494" s="112" t="s">
        <v>2829</v>
      </c>
    </row>
    <row r="495" spans="1:19" ht="60">
      <c r="A495" s="142"/>
      <c r="B495" s="153" t="s">
        <v>479</v>
      </c>
      <c r="C495" s="142" t="s">
        <v>7</v>
      </c>
      <c r="D495" s="143">
        <v>19198</v>
      </c>
      <c r="E495" s="144" t="s">
        <v>1251</v>
      </c>
      <c r="F495" s="334">
        <v>19198</v>
      </c>
      <c r="G495" s="112" t="s">
        <v>2829</v>
      </c>
      <c r="H495" s="120" t="s">
        <v>2837</v>
      </c>
      <c r="I495" s="120" t="s">
        <v>2748</v>
      </c>
      <c r="J495" s="120" t="s">
        <v>772</v>
      </c>
      <c r="K495" s="110">
        <v>11900</v>
      </c>
      <c r="L495" s="110"/>
      <c r="M495" s="110">
        <v>36200</v>
      </c>
      <c r="N495" s="110"/>
      <c r="O495" s="110"/>
      <c r="P495" s="110">
        <f t="shared" si="156"/>
        <v>48100</v>
      </c>
      <c r="Q495" s="110">
        <f t="shared" si="157"/>
        <v>923423800</v>
      </c>
      <c r="R495" s="110">
        <f t="shared" si="158"/>
        <v>923423800</v>
      </c>
      <c r="S495" s="112" t="s">
        <v>2829</v>
      </c>
    </row>
    <row r="496" spans="1:19">
      <c r="A496" s="142">
        <v>2</v>
      </c>
      <c r="B496" s="153" t="s">
        <v>1457</v>
      </c>
      <c r="C496" s="142"/>
      <c r="D496" s="143"/>
      <c r="E496" s="144"/>
      <c r="F496" s="76"/>
      <c r="G496" s="112"/>
      <c r="H496" s="120"/>
      <c r="I496" s="120"/>
      <c r="J496" s="120"/>
      <c r="K496" s="77"/>
      <c r="L496" s="77"/>
      <c r="M496" s="77"/>
      <c r="N496" s="77"/>
      <c r="O496" s="77"/>
      <c r="P496" s="77"/>
      <c r="Q496" s="77"/>
      <c r="R496" s="77"/>
      <c r="S496" s="77"/>
    </row>
    <row r="497" spans="1:19" ht="60">
      <c r="A497" s="142"/>
      <c r="B497" s="153" t="s">
        <v>479</v>
      </c>
      <c r="C497" s="142" t="s">
        <v>7</v>
      </c>
      <c r="D497" s="143">
        <v>10335</v>
      </c>
      <c r="E497" s="144" t="s">
        <v>1458</v>
      </c>
      <c r="F497" s="334">
        <v>10335</v>
      </c>
      <c r="G497" s="112" t="s">
        <v>2829</v>
      </c>
      <c r="H497" s="120" t="s">
        <v>2843</v>
      </c>
      <c r="I497" s="120" t="s">
        <v>2748</v>
      </c>
      <c r="J497" s="120" t="s">
        <v>772</v>
      </c>
      <c r="K497" s="110">
        <v>14700</v>
      </c>
      <c r="L497" s="110"/>
      <c r="M497" s="110">
        <v>36200</v>
      </c>
      <c r="N497" s="110"/>
      <c r="O497" s="110"/>
      <c r="P497" s="110">
        <f>K497+L497+M497+N497+O497</f>
        <v>50900</v>
      </c>
      <c r="Q497" s="110">
        <f>$P497*D497</f>
        <v>526051500</v>
      </c>
      <c r="R497" s="110">
        <f>$P497*F497</f>
        <v>526051500</v>
      </c>
      <c r="S497" s="112" t="s">
        <v>2829</v>
      </c>
    </row>
    <row r="498" spans="1:19">
      <c r="A498" s="142" t="s">
        <v>710</v>
      </c>
      <c r="B498" s="153" t="s">
        <v>1459</v>
      </c>
      <c r="C498" s="142"/>
      <c r="D498" s="143"/>
      <c r="E498" s="144"/>
      <c r="F498" s="328"/>
      <c r="G498" s="453"/>
      <c r="H498" s="454"/>
      <c r="I498" s="454"/>
      <c r="J498" s="454"/>
      <c r="K498" s="61"/>
      <c r="L498" s="61"/>
      <c r="M498" s="61"/>
      <c r="N498" s="61"/>
      <c r="O498" s="61"/>
      <c r="P498" s="61"/>
      <c r="Q498" s="61"/>
      <c r="R498" s="61"/>
      <c r="S498" s="61"/>
    </row>
    <row r="499" spans="1:19">
      <c r="A499" s="142"/>
      <c r="B499" s="153" t="s">
        <v>1255</v>
      </c>
      <c r="C499" s="142" t="s">
        <v>4</v>
      </c>
      <c r="D499" s="143">
        <v>4</v>
      </c>
      <c r="E499" s="144"/>
      <c r="F499" s="334">
        <v>4</v>
      </c>
      <c r="G499" s="112">
        <v>0</v>
      </c>
      <c r="H499" s="120">
        <v>0</v>
      </c>
      <c r="I499" s="120" t="s">
        <v>2748</v>
      </c>
      <c r="J499" s="120" t="s">
        <v>772</v>
      </c>
      <c r="K499" s="110">
        <v>13100</v>
      </c>
      <c r="L499" s="110"/>
      <c r="M499" s="110">
        <v>58800</v>
      </c>
      <c r="N499" s="110"/>
      <c r="O499" s="110"/>
      <c r="P499" s="110">
        <f t="shared" ref="P499:P508" si="159">K499+L499+M499+N499+O499</f>
        <v>71900</v>
      </c>
      <c r="Q499" s="110">
        <f t="shared" ref="Q499:Q508" si="160">$P499*D499</f>
        <v>287600</v>
      </c>
      <c r="R499" s="110">
        <f t="shared" ref="R499:R508" si="161">$P499*F499</f>
        <v>287600</v>
      </c>
      <c r="S499" s="112">
        <v>0</v>
      </c>
    </row>
    <row r="500" spans="1:19" ht="30">
      <c r="A500" s="142"/>
      <c r="B500" s="153" t="s">
        <v>1277</v>
      </c>
      <c r="C500" s="142" t="s">
        <v>4</v>
      </c>
      <c r="D500" s="143">
        <v>1</v>
      </c>
      <c r="E500" s="144"/>
      <c r="F500" s="334">
        <v>1</v>
      </c>
      <c r="G500" s="112">
        <v>0</v>
      </c>
      <c r="H500" s="120" t="s">
        <v>2774</v>
      </c>
      <c r="I500" s="120" t="s">
        <v>2748</v>
      </c>
      <c r="J500" s="120" t="s">
        <v>772</v>
      </c>
      <c r="K500" s="110">
        <v>19800</v>
      </c>
      <c r="L500" s="110"/>
      <c r="M500" s="110">
        <v>58800</v>
      </c>
      <c r="N500" s="110"/>
      <c r="O500" s="110"/>
      <c r="P500" s="110">
        <f t="shared" si="159"/>
        <v>78600</v>
      </c>
      <c r="Q500" s="110">
        <f t="shared" si="160"/>
        <v>78600</v>
      </c>
      <c r="R500" s="110">
        <f t="shared" si="161"/>
        <v>78600</v>
      </c>
      <c r="S500" s="112">
        <v>0</v>
      </c>
    </row>
    <row r="501" spans="1:19" ht="30">
      <c r="A501" s="142"/>
      <c r="B501" s="153" t="s">
        <v>1278</v>
      </c>
      <c r="C501" s="142" t="s">
        <v>4</v>
      </c>
      <c r="D501" s="143">
        <v>5</v>
      </c>
      <c r="E501" s="144"/>
      <c r="F501" s="334">
        <v>5</v>
      </c>
      <c r="G501" s="112">
        <v>0</v>
      </c>
      <c r="H501" s="120" t="s">
        <v>2775</v>
      </c>
      <c r="I501" s="120" t="s">
        <v>2748</v>
      </c>
      <c r="J501" s="120" t="s">
        <v>772</v>
      </c>
      <c r="K501" s="110">
        <v>19800</v>
      </c>
      <c r="L501" s="110"/>
      <c r="M501" s="110">
        <v>58800</v>
      </c>
      <c r="N501" s="110"/>
      <c r="O501" s="110"/>
      <c r="P501" s="110">
        <f t="shared" si="159"/>
        <v>78600</v>
      </c>
      <c r="Q501" s="110">
        <f t="shared" si="160"/>
        <v>393000</v>
      </c>
      <c r="R501" s="110">
        <f t="shared" si="161"/>
        <v>393000</v>
      </c>
      <c r="S501" s="112">
        <v>0</v>
      </c>
    </row>
    <row r="502" spans="1:19" ht="30">
      <c r="A502" s="142"/>
      <c r="B502" s="153" t="s">
        <v>1279</v>
      </c>
      <c r="C502" s="142" t="s">
        <v>4</v>
      </c>
      <c r="D502" s="143">
        <v>5</v>
      </c>
      <c r="E502" s="144"/>
      <c r="F502" s="334">
        <v>5</v>
      </c>
      <c r="G502" s="112">
        <v>0</v>
      </c>
      <c r="H502" s="120" t="s">
        <v>2776</v>
      </c>
      <c r="I502" s="120" t="s">
        <v>2748</v>
      </c>
      <c r="J502" s="120" t="s">
        <v>772</v>
      </c>
      <c r="K502" s="110">
        <v>19800</v>
      </c>
      <c r="L502" s="110"/>
      <c r="M502" s="110">
        <v>58800</v>
      </c>
      <c r="N502" s="110"/>
      <c r="O502" s="110"/>
      <c r="P502" s="110">
        <f t="shared" si="159"/>
        <v>78600</v>
      </c>
      <c r="Q502" s="110">
        <f t="shared" si="160"/>
        <v>393000</v>
      </c>
      <c r="R502" s="110">
        <f t="shared" si="161"/>
        <v>393000</v>
      </c>
      <c r="S502" s="112">
        <v>0</v>
      </c>
    </row>
    <row r="503" spans="1:19">
      <c r="A503" s="142"/>
      <c r="B503" s="153" t="s">
        <v>707</v>
      </c>
      <c r="C503" s="142" t="s">
        <v>4</v>
      </c>
      <c r="D503" s="143">
        <v>370</v>
      </c>
      <c r="E503" s="144"/>
      <c r="F503" s="334">
        <v>370</v>
      </c>
      <c r="G503" s="112">
        <v>0</v>
      </c>
      <c r="H503" s="120">
        <v>0</v>
      </c>
      <c r="I503" s="120" t="s">
        <v>2748</v>
      </c>
      <c r="J503" s="120" t="s">
        <v>772</v>
      </c>
      <c r="K503" s="110">
        <v>8400</v>
      </c>
      <c r="L503" s="110"/>
      <c r="M503" s="110">
        <v>51500</v>
      </c>
      <c r="N503" s="110"/>
      <c r="O503" s="110"/>
      <c r="P503" s="110">
        <f t="shared" si="159"/>
        <v>59900</v>
      </c>
      <c r="Q503" s="110">
        <f t="shared" si="160"/>
        <v>22163000</v>
      </c>
      <c r="R503" s="110">
        <f t="shared" si="161"/>
        <v>22163000</v>
      </c>
      <c r="S503" s="112">
        <v>0</v>
      </c>
    </row>
    <row r="504" spans="1:19" ht="30">
      <c r="A504" s="142"/>
      <c r="B504" s="153" t="s">
        <v>1280</v>
      </c>
      <c r="C504" s="142" t="s">
        <v>4</v>
      </c>
      <c r="D504" s="143">
        <v>245</v>
      </c>
      <c r="E504" s="144"/>
      <c r="F504" s="334">
        <v>245</v>
      </c>
      <c r="G504" s="112">
        <v>0</v>
      </c>
      <c r="H504" s="120" t="s">
        <v>2777</v>
      </c>
      <c r="I504" s="120" t="s">
        <v>2748</v>
      </c>
      <c r="J504" s="120" t="s">
        <v>772</v>
      </c>
      <c r="K504" s="110">
        <v>9000</v>
      </c>
      <c r="L504" s="110"/>
      <c r="M504" s="110">
        <v>51500</v>
      </c>
      <c r="N504" s="110"/>
      <c r="O504" s="110"/>
      <c r="P504" s="110">
        <f t="shared" si="159"/>
        <v>60500</v>
      </c>
      <c r="Q504" s="110">
        <f t="shared" si="160"/>
        <v>14822500</v>
      </c>
      <c r="R504" s="110">
        <f t="shared" si="161"/>
        <v>14822500</v>
      </c>
      <c r="S504" s="112">
        <v>0</v>
      </c>
    </row>
    <row r="505" spans="1:19" ht="30">
      <c r="A505" s="142"/>
      <c r="B505" s="153" t="s">
        <v>1281</v>
      </c>
      <c r="C505" s="142" t="s">
        <v>4</v>
      </c>
      <c r="D505" s="143">
        <v>606</v>
      </c>
      <c r="E505" s="144"/>
      <c r="F505" s="334">
        <v>606</v>
      </c>
      <c r="G505" s="112">
        <v>0</v>
      </c>
      <c r="H505" s="120" t="s">
        <v>2778</v>
      </c>
      <c r="I505" s="120" t="s">
        <v>2748</v>
      </c>
      <c r="J505" s="120" t="s">
        <v>772</v>
      </c>
      <c r="K505" s="110">
        <v>9000</v>
      </c>
      <c r="L505" s="110"/>
      <c r="M505" s="110">
        <v>51500</v>
      </c>
      <c r="N505" s="110"/>
      <c r="O505" s="110"/>
      <c r="P505" s="110">
        <f t="shared" si="159"/>
        <v>60500</v>
      </c>
      <c r="Q505" s="110">
        <f t="shared" si="160"/>
        <v>36663000</v>
      </c>
      <c r="R505" s="110">
        <f t="shared" si="161"/>
        <v>36663000</v>
      </c>
      <c r="S505" s="112">
        <v>0</v>
      </c>
    </row>
    <row r="506" spans="1:19">
      <c r="A506" s="142"/>
      <c r="B506" s="153" t="s">
        <v>708</v>
      </c>
      <c r="C506" s="142" t="s">
        <v>4</v>
      </c>
      <c r="D506" s="143">
        <v>540</v>
      </c>
      <c r="E506" s="144"/>
      <c r="F506" s="334">
        <v>540</v>
      </c>
      <c r="G506" s="112">
        <v>0</v>
      </c>
      <c r="H506" s="120">
        <v>0</v>
      </c>
      <c r="I506" s="120" t="s">
        <v>2748</v>
      </c>
      <c r="J506" s="120" t="s">
        <v>772</v>
      </c>
      <c r="K506" s="110">
        <v>5100</v>
      </c>
      <c r="L506" s="110"/>
      <c r="M506" s="110">
        <v>44100</v>
      </c>
      <c r="N506" s="110"/>
      <c r="O506" s="110"/>
      <c r="P506" s="110">
        <f t="shared" si="159"/>
        <v>49200</v>
      </c>
      <c r="Q506" s="110">
        <f t="shared" si="160"/>
        <v>26568000</v>
      </c>
      <c r="R506" s="110">
        <f t="shared" si="161"/>
        <v>26568000</v>
      </c>
      <c r="S506" s="112">
        <v>0</v>
      </c>
    </row>
    <row r="507" spans="1:19" ht="30">
      <c r="A507" s="142"/>
      <c r="B507" s="153" t="s">
        <v>1282</v>
      </c>
      <c r="C507" s="142" t="s">
        <v>4</v>
      </c>
      <c r="D507" s="143">
        <v>1198</v>
      </c>
      <c r="E507" s="144"/>
      <c r="F507" s="334">
        <v>1198</v>
      </c>
      <c r="G507" s="112">
        <v>0</v>
      </c>
      <c r="H507" s="120" t="s">
        <v>2779</v>
      </c>
      <c r="I507" s="120" t="s">
        <v>2748</v>
      </c>
      <c r="J507" s="120" t="s">
        <v>772</v>
      </c>
      <c r="K507" s="110">
        <v>5100</v>
      </c>
      <c r="L507" s="110"/>
      <c r="M507" s="110">
        <v>44100</v>
      </c>
      <c r="N507" s="110"/>
      <c r="O507" s="110"/>
      <c r="P507" s="110">
        <f t="shared" si="159"/>
        <v>49200</v>
      </c>
      <c r="Q507" s="110">
        <f t="shared" si="160"/>
        <v>58941600</v>
      </c>
      <c r="R507" s="110">
        <f t="shared" si="161"/>
        <v>58941600</v>
      </c>
      <c r="S507" s="112">
        <v>0</v>
      </c>
    </row>
    <row r="508" spans="1:19">
      <c r="A508" s="142"/>
      <c r="B508" s="153" t="s">
        <v>479</v>
      </c>
      <c r="C508" s="142" t="s">
        <v>4</v>
      </c>
      <c r="D508" s="143">
        <v>2348</v>
      </c>
      <c r="E508" s="144"/>
      <c r="F508" s="334">
        <v>2348</v>
      </c>
      <c r="G508" s="112">
        <v>0</v>
      </c>
      <c r="H508" s="120">
        <v>0</v>
      </c>
      <c r="I508" s="120" t="s">
        <v>2748</v>
      </c>
      <c r="J508" s="120" t="s">
        <v>772</v>
      </c>
      <c r="K508" s="110">
        <v>3300</v>
      </c>
      <c r="L508" s="110"/>
      <c r="M508" s="110">
        <v>36800</v>
      </c>
      <c r="N508" s="110"/>
      <c r="O508" s="110"/>
      <c r="P508" s="110">
        <f t="shared" si="159"/>
        <v>40100</v>
      </c>
      <c r="Q508" s="110">
        <f t="shared" si="160"/>
        <v>94154800</v>
      </c>
      <c r="R508" s="110">
        <f t="shared" si="161"/>
        <v>94154800</v>
      </c>
      <c r="S508" s="112">
        <v>0</v>
      </c>
    </row>
    <row r="509" spans="1:19">
      <c r="A509" s="142" t="s">
        <v>711</v>
      </c>
      <c r="B509" s="153" t="s">
        <v>1460</v>
      </c>
      <c r="C509" s="142"/>
      <c r="D509" s="143"/>
      <c r="E509" s="144"/>
      <c r="F509" s="76"/>
      <c r="G509" s="112"/>
      <c r="H509" s="120"/>
      <c r="I509" s="120"/>
      <c r="J509" s="120"/>
      <c r="K509" s="77"/>
      <c r="L509" s="77"/>
      <c r="M509" s="77"/>
      <c r="N509" s="77"/>
      <c r="O509" s="77"/>
      <c r="P509" s="77"/>
      <c r="Q509" s="77"/>
      <c r="R509" s="77"/>
      <c r="S509" s="77"/>
    </row>
    <row r="510" spans="1:19">
      <c r="A510" s="142"/>
      <c r="B510" s="153" t="s">
        <v>1255</v>
      </c>
      <c r="C510" s="142" t="s">
        <v>4</v>
      </c>
      <c r="D510" s="143">
        <v>13</v>
      </c>
      <c r="E510" s="144"/>
      <c r="F510" s="334">
        <v>13</v>
      </c>
      <c r="G510" s="112">
        <v>0</v>
      </c>
      <c r="H510" s="120" t="s">
        <v>2785</v>
      </c>
      <c r="I510" s="120" t="s">
        <v>2748</v>
      </c>
      <c r="J510" s="120" t="s">
        <v>772</v>
      </c>
      <c r="K510" s="110">
        <v>10700</v>
      </c>
      <c r="L510" s="110"/>
      <c r="M510" s="110">
        <v>39700</v>
      </c>
      <c r="N510" s="110"/>
      <c r="O510" s="110"/>
      <c r="P510" s="110">
        <f t="shared" ref="P510:P513" si="162">K510+L510+M510+N510+O510</f>
        <v>50400</v>
      </c>
      <c r="Q510" s="110">
        <f t="shared" ref="Q510:Q513" si="163">$P510*D510</f>
        <v>655200</v>
      </c>
      <c r="R510" s="110">
        <f t="shared" ref="R510:R513" si="164">$P510*F510</f>
        <v>655200</v>
      </c>
      <c r="S510" s="112">
        <v>0</v>
      </c>
    </row>
    <row r="511" spans="1:19">
      <c r="A511" s="142"/>
      <c r="B511" s="153" t="s">
        <v>707</v>
      </c>
      <c r="C511" s="142" t="s">
        <v>4</v>
      </c>
      <c r="D511" s="143">
        <v>1543</v>
      </c>
      <c r="E511" s="144"/>
      <c r="F511" s="334">
        <v>1543</v>
      </c>
      <c r="G511" s="112">
        <v>0</v>
      </c>
      <c r="H511" s="120" t="s">
        <v>2786</v>
      </c>
      <c r="I511" s="120" t="s">
        <v>2748</v>
      </c>
      <c r="J511" s="120" t="s">
        <v>772</v>
      </c>
      <c r="K511" s="110">
        <v>6600</v>
      </c>
      <c r="L511" s="110"/>
      <c r="M511" s="110">
        <v>34800</v>
      </c>
      <c r="N511" s="110"/>
      <c r="O511" s="110"/>
      <c r="P511" s="110">
        <f t="shared" si="162"/>
        <v>41400</v>
      </c>
      <c r="Q511" s="110">
        <f t="shared" si="163"/>
        <v>63880200</v>
      </c>
      <c r="R511" s="110">
        <f t="shared" si="164"/>
        <v>63880200</v>
      </c>
      <c r="S511" s="112">
        <v>0</v>
      </c>
    </row>
    <row r="512" spans="1:19">
      <c r="A512" s="142"/>
      <c r="B512" s="153" t="s">
        <v>708</v>
      </c>
      <c r="C512" s="142" t="s">
        <v>4</v>
      </c>
      <c r="D512" s="143">
        <v>2036</v>
      </c>
      <c r="E512" s="144"/>
      <c r="F512" s="334">
        <v>2036</v>
      </c>
      <c r="G512" s="112">
        <v>0</v>
      </c>
      <c r="H512" s="120" t="s">
        <v>2787</v>
      </c>
      <c r="I512" s="120" t="s">
        <v>2748</v>
      </c>
      <c r="J512" s="120" t="s">
        <v>772</v>
      </c>
      <c r="K512" s="110">
        <v>3800</v>
      </c>
      <c r="L512" s="110"/>
      <c r="M512" s="110">
        <v>29800</v>
      </c>
      <c r="N512" s="110"/>
      <c r="O512" s="110"/>
      <c r="P512" s="110">
        <f t="shared" si="162"/>
        <v>33600</v>
      </c>
      <c r="Q512" s="110">
        <f t="shared" si="163"/>
        <v>68409600</v>
      </c>
      <c r="R512" s="110">
        <f t="shared" si="164"/>
        <v>68409600</v>
      </c>
      <c r="S512" s="112">
        <v>0</v>
      </c>
    </row>
    <row r="513" spans="1:19">
      <c r="A513" s="142"/>
      <c r="B513" s="153" t="s">
        <v>479</v>
      </c>
      <c r="C513" s="142" t="s">
        <v>4</v>
      </c>
      <c r="D513" s="143">
        <v>15858</v>
      </c>
      <c r="E513" s="144"/>
      <c r="F513" s="334">
        <v>15858</v>
      </c>
      <c r="G513" s="112">
        <v>0</v>
      </c>
      <c r="H513" s="120" t="s">
        <v>2788</v>
      </c>
      <c r="I513" s="120" t="s">
        <v>2748</v>
      </c>
      <c r="J513" s="120" t="s">
        <v>772</v>
      </c>
      <c r="K513" s="110">
        <v>2900</v>
      </c>
      <c r="L513" s="110"/>
      <c r="M513" s="110">
        <v>24800</v>
      </c>
      <c r="N513" s="110"/>
      <c r="O513" s="110"/>
      <c r="P513" s="110">
        <f t="shared" si="162"/>
        <v>27700</v>
      </c>
      <c r="Q513" s="110">
        <f t="shared" si="163"/>
        <v>439266600</v>
      </c>
      <c r="R513" s="110">
        <f t="shared" si="164"/>
        <v>439266600</v>
      </c>
      <c r="S513" s="112">
        <v>0</v>
      </c>
    </row>
    <row r="514" spans="1:19">
      <c r="A514" s="142" t="s">
        <v>712</v>
      </c>
      <c r="B514" s="153" t="s">
        <v>1461</v>
      </c>
      <c r="C514" s="142"/>
      <c r="D514" s="143"/>
      <c r="E514" s="144"/>
      <c r="F514" s="76"/>
      <c r="G514" s="112"/>
      <c r="H514" s="120"/>
      <c r="I514" s="120"/>
      <c r="J514" s="120"/>
      <c r="K514" s="77"/>
      <c r="L514" s="77"/>
      <c r="M514" s="77"/>
      <c r="N514" s="77"/>
      <c r="O514" s="77"/>
      <c r="P514" s="77"/>
      <c r="Q514" s="77"/>
      <c r="R514" s="77"/>
      <c r="S514" s="77"/>
    </row>
    <row r="515" spans="1:19" ht="30">
      <c r="A515" s="142"/>
      <c r="B515" s="153" t="s">
        <v>1277</v>
      </c>
      <c r="C515" s="142" t="s">
        <v>4</v>
      </c>
      <c r="D515" s="143">
        <v>4</v>
      </c>
      <c r="E515" s="144"/>
      <c r="F515" s="334">
        <v>4</v>
      </c>
      <c r="G515" s="112">
        <v>0</v>
      </c>
      <c r="H515" s="120" t="s">
        <v>2802</v>
      </c>
      <c r="I515" s="120" t="s">
        <v>2748</v>
      </c>
      <c r="J515" s="120" t="s">
        <v>772</v>
      </c>
      <c r="K515" s="110">
        <v>5100</v>
      </c>
      <c r="L515" s="110"/>
      <c r="M515" s="110">
        <v>39700</v>
      </c>
      <c r="N515" s="110"/>
      <c r="O515" s="110"/>
      <c r="P515" s="110">
        <f t="shared" ref="P515:P518" si="165">K515+L515+M515+N515+O515</f>
        <v>44800</v>
      </c>
      <c r="Q515" s="110">
        <f t="shared" ref="Q515:Q518" si="166">$P515*D515</f>
        <v>179200</v>
      </c>
      <c r="R515" s="110">
        <f t="shared" ref="R515:R518" si="167">$P515*F515</f>
        <v>179200</v>
      </c>
      <c r="S515" s="112">
        <v>0</v>
      </c>
    </row>
    <row r="516" spans="1:19" ht="30">
      <c r="A516" s="142"/>
      <c r="B516" s="153" t="s">
        <v>1280</v>
      </c>
      <c r="C516" s="142" t="s">
        <v>4</v>
      </c>
      <c r="D516" s="143">
        <v>349</v>
      </c>
      <c r="E516" s="144"/>
      <c r="F516" s="334">
        <v>349</v>
      </c>
      <c r="G516" s="112">
        <v>0</v>
      </c>
      <c r="H516" s="120" t="s">
        <v>2805</v>
      </c>
      <c r="I516" s="120" t="s">
        <v>2748</v>
      </c>
      <c r="J516" s="120" t="s">
        <v>772</v>
      </c>
      <c r="K516" s="110">
        <v>3300</v>
      </c>
      <c r="L516" s="110"/>
      <c r="M516" s="110">
        <v>34800</v>
      </c>
      <c r="N516" s="110"/>
      <c r="O516" s="110"/>
      <c r="P516" s="110">
        <f t="shared" si="165"/>
        <v>38100</v>
      </c>
      <c r="Q516" s="110">
        <f t="shared" si="166"/>
        <v>13296900</v>
      </c>
      <c r="R516" s="110">
        <f t="shared" si="167"/>
        <v>13296900</v>
      </c>
      <c r="S516" s="112">
        <v>0</v>
      </c>
    </row>
    <row r="517" spans="1:19" ht="30">
      <c r="A517" s="142"/>
      <c r="B517" s="153" t="s">
        <v>1281</v>
      </c>
      <c r="C517" s="142" t="s">
        <v>4</v>
      </c>
      <c r="D517" s="143">
        <v>439</v>
      </c>
      <c r="E517" s="144"/>
      <c r="F517" s="334">
        <v>439</v>
      </c>
      <c r="G517" s="112">
        <v>0</v>
      </c>
      <c r="H517" s="120" t="s">
        <v>2806</v>
      </c>
      <c r="I517" s="120" t="s">
        <v>2748</v>
      </c>
      <c r="J517" s="120" t="s">
        <v>772</v>
      </c>
      <c r="K517" s="110">
        <v>3300</v>
      </c>
      <c r="L517" s="110"/>
      <c r="M517" s="110">
        <v>34800</v>
      </c>
      <c r="N517" s="110"/>
      <c r="O517" s="110"/>
      <c r="P517" s="110">
        <f t="shared" si="165"/>
        <v>38100</v>
      </c>
      <c r="Q517" s="110">
        <f t="shared" si="166"/>
        <v>16725900</v>
      </c>
      <c r="R517" s="110">
        <f t="shared" si="167"/>
        <v>16725900</v>
      </c>
      <c r="S517" s="112">
        <v>0</v>
      </c>
    </row>
    <row r="518" spans="1:19" ht="30">
      <c r="A518" s="142"/>
      <c r="B518" s="153" t="s">
        <v>1282</v>
      </c>
      <c r="C518" s="142" t="s">
        <v>4</v>
      </c>
      <c r="D518" s="143">
        <v>1225</v>
      </c>
      <c r="E518" s="144"/>
      <c r="F518" s="334">
        <v>1225</v>
      </c>
      <c r="G518" s="112">
        <v>0</v>
      </c>
      <c r="H518" s="120" t="s">
        <v>2807</v>
      </c>
      <c r="I518" s="120" t="s">
        <v>2748</v>
      </c>
      <c r="J518" s="120" t="s">
        <v>772</v>
      </c>
      <c r="K518" s="110">
        <v>2400</v>
      </c>
      <c r="L518" s="110"/>
      <c r="M518" s="110">
        <v>29800</v>
      </c>
      <c r="N518" s="110"/>
      <c r="O518" s="110"/>
      <c r="P518" s="110">
        <f t="shared" si="165"/>
        <v>32200</v>
      </c>
      <c r="Q518" s="110">
        <f t="shared" si="166"/>
        <v>39445000</v>
      </c>
      <c r="R518" s="110">
        <f t="shared" si="167"/>
        <v>39445000</v>
      </c>
      <c r="S518" s="112">
        <v>0</v>
      </c>
    </row>
    <row r="519" spans="1:19">
      <c r="A519" s="142" t="s">
        <v>711</v>
      </c>
      <c r="B519" s="153" t="s">
        <v>1462</v>
      </c>
      <c r="C519" s="142"/>
      <c r="D519" s="143"/>
      <c r="E519" s="144"/>
      <c r="F519" s="328"/>
      <c r="G519" s="453"/>
      <c r="H519" s="454"/>
      <c r="I519" s="454"/>
      <c r="J519" s="454"/>
      <c r="K519" s="61"/>
      <c r="L519" s="61"/>
      <c r="M519" s="61"/>
      <c r="N519" s="61"/>
      <c r="O519" s="61"/>
      <c r="P519" s="61"/>
      <c r="Q519" s="61"/>
      <c r="R519" s="61"/>
      <c r="S519" s="61"/>
    </row>
    <row r="520" spans="1:19" ht="30">
      <c r="A520" s="142"/>
      <c r="B520" s="153" t="s">
        <v>1255</v>
      </c>
      <c r="C520" s="142" t="s">
        <v>4</v>
      </c>
      <c r="D520" s="143">
        <v>5</v>
      </c>
      <c r="E520" s="144"/>
      <c r="F520" s="334">
        <v>5</v>
      </c>
      <c r="G520" s="112">
        <v>0</v>
      </c>
      <c r="H520" s="120" t="s">
        <v>2825</v>
      </c>
      <c r="I520" s="120" t="s">
        <v>2748</v>
      </c>
      <c r="J520" s="120" t="s">
        <v>772</v>
      </c>
      <c r="K520" s="110">
        <v>255800</v>
      </c>
      <c r="L520" s="110"/>
      <c r="M520" s="110">
        <v>113800</v>
      </c>
      <c r="N520" s="110"/>
      <c r="O520" s="110"/>
      <c r="P520" s="110">
        <f t="shared" ref="P520:P523" si="168">K520+L520+M520+N520+O520</f>
        <v>369600</v>
      </c>
      <c r="Q520" s="110">
        <f t="shared" ref="Q520:Q523" si="169">$P520*D520</f>
        <v>1848000</v>
      </c>
      <c r="R520" s="110">
        <f t="shared" ref="R520:R523" si="170">$P520*F520</f>
        <v>1848000</v>
      </c>
      <c r="S520" s="112">
        <v>0</v>
      </c>
    </row>
    <row r="521" spans="1:19" ht="30">
      <c r="A521" s="142"/>
      <c r="B521" s="153" t="s">
        <v>707</v>
      </c>
      <c r="C521" s="142" t="s">
        <v>4</v>
      </c>
      <c r="D521" s="143">
        <v>586</v>
      </c>
      <c r="E521" s="144"/>
      <c r="F521" s="334">
        <v>586</v>
      </c>
      <c r="G521" s="112">
        <v>0</v>
      </c>
      <c r="H521" s="120" t="s">
        <v>2826</v>
      </c>
      <c r="I521" s="120" t="s">
        <v>2748</v>
      </c>
      <c r="J521" s="120" t="s">
        <v>772</v>
      </c>
      <c r="K521" s="110">
        <v>152000</v>
      </c>
      <c r="L521" s="110"/>
      <c r="M521" s="110">
        <v>96000</v>
      </c>
      <c r="N521" s="110"/>
      <c r="O521" s="110"/>
      <c r="P521" s="110">
        <f t="shared" si="168"/>
        <v>248000</v>
      </c>
      <c r="Q521" s="110">
        <f t="shared" si="169"/>
        <v>145328000</v>
      </c>
      <c r="R521" s="110">
        <f t="shared" si="170"/>
        <v>145328000</v>
      </c>
      <c r="S521" s="112">
        <v>0</v>
      </c>
    </row>
    <row r="522" spans="1:19" ht="30">
      <c r="A522" s="142"/>
      <c r="B522" s="153" t="s">
        <v>708</v>
      </c>
      <c r="C522" s="142" t="s">
        <v>4</v>
      </c>
      <c r="D522" s="143">
        <v>683</v>
      </c>
      <c r="E522" s="144"/>
      <c r="F522" s="334">
        <v>683</v>
      </c>
      <c r="G522" s="112">
        <v>0</v>
      </c>
      <c r="H522" s="120" t="s">
        <v>2827</v>
      </c>
      <c r="I522" s="120" t="s">
        <v>2748</v>
      </c>
      <c r="J522" s="120" t="s">
        <v>772</v>
      </c>
      <c r="K522" s="110">
        <v>106000</v>
      </c>
      <c r="L522" s="110"/>
      <c r="M522" s="110">
        <v>85800</v>
      </c>
      <c r="N522" s="110"/>
      <c r="O522" s="110"/>
      <c r="P522" s="110">
        <f t="shared" si="168"/>
        <v>191800</v>
      </c>
      <c r="Q522" s="110">
        <f t="shared" si="169"/>
        <v>130999400</v>
      </c>
      <c r="R522" s="110">
        <f t="shared" si="170"/>
        <v>130999400</v>
      </c>
      <c r="S522" s="112">
        <v>0</v>
      </c>
    </row>
    <row r="523" spans="1:19" ht="30">
      <c r="A523" s="142"/>
      <c r="B523" s="153" t="s">
        <v>479</v>
      </c>
      <c r="C523" s="142" t="s">
        <v>4</v>
      </c>
      <c r="D523" s="143">
        <v>1777</v>
      </c>
      <c r="E523" s="144"/>
      <c r="F523" s="334">
        <v>1777</v>
      </c>
      <c r="G523" s="112">
        <v>0</v>
      </c>
      <c r="H523" s="120" t="s">
        <v>2828</v>
      </c>
      <c r="I523" s="120" t="s">
        <v>2748</v>
      </c>
      <c r="J523" s="120" t="s">
        <v>772</v>
      </c>
      <c r="K523" s="110">
        <v>92100</v>
      </c>
      <c r="L523" s="110"/>
      <c r="M523" s="110">
        <v>75200</v>
      </c>
      <c r="N523" s="110"/>
      <c r="O523" s="110"/>
      <c r="P523" s="110">
        <f t="shared" si="168"/>
        <v>167300</v>
      </c>
      <c r="Q523" s="110">
        <f t="shared" si="169"/>
        <v>297292100</v>
      </c>
      <c r="R523" s="110">
        <f t="shared" si="170"/>
        <v>297292100</v>
      </c>
      <c r="S523" s="112">
        <v>0</v>
      </c>
    </row>
    <row r="524" spans="1:19">
      <c r="A524" s="142" t="s">
        <v>579</v>
      </c>
      <c r="B524" s="153" t="s">
        <v>1414</v>
      </c>
      <c r="C524" s="142"/>
      <c r="D524" s="143"/>
      <c r="E524" s="144"/>
      <c r="F524" s="76"/>
      <c r="G524" s="112"/>
      <c r="H524" s="120"/>
      <c r="I524" s="120"/>
      <c r="J524" s="120"/>
      <c r="K524" s="77"/>
      <c r="L524" s="77"/>
      <c r="M524" s="77"/>
      <c r="N524" s="77"/>
      <c r="O524" s="77"/>
      <c r="P524" s="77"/>
      <c r="Q524" s="77"/>
      <c r="R524" s="77"/>
      <c r="S524" s="77"/>
    </row>
    <row r="525" spans="1:19">
      <c r="A525" s="142"/>
      <c r="B525" s="153" t="s">
        <v>1255</v>
      </c>
      <c r="C525" s="142" t="s">
        <v>4</v>
      </c>
      <c r="D525" s="143">
        <v>1</v>
      </c>
      <c r="E525" s="144"/>
      <c r="F525" s="334">
        <v>1</v>
      </c>
      <c r="G525" s="112">
        <v>0</v>
      </c>
      <c r="H525" s="120" t="s">
        <v>2819</v>
      </c>
      <c r="I525" s="120" t="s">
        <v>2748</v>
      </c>
      <c r="J525" s="120" t="s">
        <v>772</v>
      </c>
      <c r="K525" s="110">
        <v>6200</v>
      </c>
      <c r="L525" s="110"/>
      <c r="M525" s="110">
        <v>39700</v>
      </c>
      <c r="N525" s="110"/>
      <c r="O525" s="110"/>
      <c r="P525" s="110">
        <f t="shared" ref="P525:P532" si="171">K525+L525+M525+N525+O525</f>
        <v>45900</v>
      </c>
      <c r="Q525" s="110">
        <f t="shared" ref="Q525:Q532" si="172">$P525*D525</f>
        <v>45900</v>
      </c>
      <c r="R525" s="110">
        <f t="shared" ref="R525:R532" si="173">$P525*F525</f>
        <v>45900</v>
      </c>
      <c r="S525" s="112">
        <v>0</v>
      </c>
    </row>
    <row r="526" spans="1:19">
      <c r="A526" s="142"/>
      <c r="B526" s="153" t="s">
        <v>707</v>
      </c>
      <c r="C526" s="142" t="s">
        <v>4</v>
      </c>
      <c r="D526" s="143">
        <v>520</v>
      </c>
      <c r="E526" s="144"/>
      <c r="F526" s="334">
        <v>520</v>
      </c>
      <c r="G526" s="112">
        <v>0</v>
      </c>
      <c r="H526" s="120" t="s">
        <v>2820</v>
      </c>
      <c r="I526" s="120" t="s">
        <v>2748</v>
      </c>
      <c r="J526" s="120" t="s">
        <v>772</v>
      </c>
      <c r="K526" s="110">
        <v>3900</v>
      </c>
      <c r="L526" s="110"/>
      <c r="M526" s="110">
        <v>34800</v>
      </c>
      <c r="N526" s="110"/>
      <c r="O526" s="110"/>
      <c r="P526" s="110">
        <f t="shared" si="171"/>
        <v>38700</v>
      </c>
      <c r="Q526" s="110">
        <f t="shared" si="172"/>
        <v>20124000</v>
      </c>
      <c r="R526" s="110">
        <f t="shared" si="173"/>
        <v>20124000</v>
      </c>
      <c r="S526" s="112">
        <v>0</v>
      </c>
    </row>
    <row r="527" spans="1:19">
      <c r="A527" s="142"/>
      <c r="B527" s="153" t="s">
        <v>708</v>
      </c>
      <c r="C527" s="142" t="s">
        <v>4</v>
      </c>
      <c r="D527" s="143">
        <v>520</v>
      </c>
      <c r="E527" s="144"/>
      <c r="F527" s="334">
        <v>520</v>
      </c>
      <c r="G527" s="112">
        <v>0</v>
      </c>
      <c r="H527" s="120" t="s">
        <v>2821</v>
      </c>
      <c r="I527" s="120" t="s">
        <v>2748</v>
      </c>
      <c r="J527" s="120" t="s">
        <v>772</v>
      </c>
      <c r="K527" s="110">
        <v>2500</v>
      </c>
      <c r="L527" s="110"/>
      <c r="M527" s="110">
        <v>29800</v>
      </c>
      <c r="N527" s="110"/>
      <c r="O527" s="110"/>
      <c r="P527" s="110">
        <f t="shared" si="171"/>
        <v>32300</v>
      </c>
      <c r="Q527" s="110">
        <f t="shared" si="172"/>
        <v>16796000</v>
      </c>
      <c r="R527" s="110">
        <f t="shared" si="173"/>
        <v>16796000</v>
      </c>
      <c r="S527" s="112">
        <v>0</v>
      </c>
    </row>
    <row r="528" spans="1:19">
      <c r="A528" s="142"/>
      <c r="B528" s="153" t="s">
        <v>479</v>
      </c>
      <c r="C528" s="142" t="s">
        <v>4</v>
      </c>
      <c r="D528" s="143">
        <v>6500</v>
      </c>
      <c r="E528" s="144"/>
      <c r="F528" s="334">
        <v>6500</v>
      </c>
      <c r="G528" s="112">
        <v>0</v>
      </c>
      <c r="H528" s="120" t="s">
        <v>2822</v>
      </c>
      <c r="I528" s="120" t="s">
        <v>2748</v>
      </c>
      <c r="J528" s="120" t="s">
        <v>772</v>
      </c>
      <c r="K528" s="110">
        <v>1500</v>
      </c>
      <c r="L528" s="110"/>
      <c r="M528" s="110">
        <v>24800</v>
      </c>
      <c r="N528" s="110"/>
      <c r="O528" s="110"/>
      <c r="P528" s="110">
        <f t="shared" si="171"/>
        <v>26300</v>
      </c>
      <c r="Q528" s="110">
        <f t="shared" si="172"/>
        <v>170950000</v>
      </c>
      <c r="R528" s="110">
        <f t="shared" si="173"/>
        <v>170950000</v>
      </c>
      <c r="S528" s="112">
        <v>0</v>
      </c>
    </row>
    <row r="529" spans="1:19" ht="30">
      <c r="A529" s="142" t="s">
        <v>713</v>
      </c>
      <c r="B529" s="153" t="s">
        <v>1463</v>
      </c>
      <c r="C529" s="142" t="s">
        <v>4</v>
      </c>
      <c r="D529" s="143">
        <v>7364</v>
      </c>
      <c r="E529" s="144"/>
      <c r="F529" s="334">
        <v>7364</v>
      </c>
      <c r="G529" s="112">
        <v>0</v>
      </c>
      <c r="H529" s="120" t="s">
        <v>2823</v>
      </c>
      <c r="I529" s="120" t="s">
        <v>2748</v>
      </c>
      <c r="J529" s="120" t="s">
        <v>772</v>
      </c>
      <c r="K529" s="110">
        <v>20500</v>
      </c>
      <c r="L529" s="110"/>
      <c r="M529" s="110">
        <v>24800</v>
      </c>
      <c r="N529" s="110"/>
      <c r="O529" s="110"/>
      <c r="P529" s="110">
        <f t="shared" si="171"/>
        <v>45300</v>
      </c>
      <c r="Q529" s="110">
        <f t="shared" si="172"/>
        <v>333589200</v>
      </c>
      <c r="R529" s="110">
        <f t="shared" si="173"/>
        <v>333589200</v>
      </c>
      <c r="S529" s="112">
        <v>0</v>
      </c>
    </row>
    <row r="530" spans="1:19">
      <c r="A530" s="142" t="s">
        <v>714</v>
      </c>
      <c r="B530" s="153" t="s">
        <v>1464</v>
      </c>
      <c r="C530" s="142" t="s">
        <v>4</v>
      </c>
      <c r="D530" s="143">
        <v>8499</v>
      </c>
      <c r="E530" s="144"/>
      <c r="F530" s="334">
        <v>8499</v>
      </c>
      <c r="G530" s="112">
        <v>0</v>
      </c>
      <c r="H530" s="120" t="s">
        <v>2824</v>
      </c>
      <c r="I530" s="120" t="s">
        <v>2748</v>
      </c>
      <c r="J530" s="120" t="s">
        <v>772</v>
      </c>
      <c r="K530" s="110">
        <v>1400</v>
      </c>
      <c r="L530" s="110"/>
      <c r="M530" s="110">
        <v>24800</v>
      </c>
      <c r="N530" s="110"/>
      <c r="O530" s="110"/>
      <c r="P530" s="110">
        <f t="shared" si="171"/>
        <v>26200</v>
      </c>
      <c r="Q530" s="110">
        <f t="shared" si="172"/>
        <v>222673800</v>
      </c>
      <c r="R530" s="110">
        <f t="shared" si="173"/>
        <v>222673800</v>
      </c>
      <c r="S530" s="112">
        <v>0</v>
      </c>
    </row>
    <row r="531" spans="1:19">
      <c r="A531" s="142" t="s">
        <v>691</v>
      </c>
      <c r="B531" s="153" t="s">
        <v>1465</v>
      </c>
      <c r="C531" s="142" t="s">
        <v>4</v>
      </c>
      <c r="D531" s="143">
        <v>3051</v>
      </c>
      <c r="E531" s="144"/>
      <c r="F531" s="334">
        <v>3051</v>
      </c>
      <c r="G531" s="112">
        <v>0</v>
      </c>
      <c r="H531" s="120">
        <v>0</v>
      </c>
      <c r="I531" s="120">
        <v>0</v>
      </c>
      <c r="J531" s="120" t="s">
        <v>772</v>
      </c>
      <c r="K531" s="110">
        <v>13800</v>
      </c>
      <c r="L531" s="110"/>
      <c r="M531" s="110">
        <v>24800</v>
      </c>
      <c r="N531" s="110"/>
      <c r="O531" s="110"/>
      <c r="P531" s="110">
        <f t="shared" si="171"/>
        <v>38600</v>
      </c>
      <c r="Q531" s="110">
        <f t="shared" si="172"/>
        <v>117768600</v>
      </c>
      <c r="R531" s="110">
        <f t="shared" si="173"/>
        <v>117768600</v>
      </c>
      <c r="S531" s="112">
        <v>0</v>
      </c>
    </row>
    <row r="532" spans="1:19" ht="30">
      <c r="A532" s="142">
        <v>11</v>
      </c>
      <c r="B532" s="153" t="s">
        <v>1466</v>
      </c>
      <c r="C532" s="142" t="s">
        <v>17</v>
      </c>
      <c r="D532" s="143">
        <v>1</v>
      </c>
      <c r="E532" s="144"/>
      <c r="F532" s="334">
        <v>1</v>
      </c>
      <c r="G532" s="112">
        <v>0</v>
      </c>
      <c r="H532" s="120">
        <v>0</v>
      </c>
      <c r="I532" s="120">
        <v>0</v>
      </c>
      <c r="J532" s="120">
        <v>0</v>
      </c>
      <c r="K532" s="110">
        <v>64781600</v>
      </c>
      <c r="L532" s="110"/>
      <c r="M532" s="110">
        <v>0</v>
      </c>
      <c r="N532" s="110"/>
      <c r="O532" s="110"/>
      <c r="P532" s="110">
        <f t="shared" si="171"/>
        <v>64781600</v>
      </c>
      <c r="Q532" s="110">
        <f t="shared" si="172"/>
        <v>64781600</v>
      </c>
      <c r="R532" s="110">
        <f t="shared" si="173"/>
        <v>64781600</v>
      </c>
      <c r="S532" s="112">
        <v>0</v>
      </c>
    </row>
    <row r="533" spans="1:19">
      <c r="A533" s="169" t="s">
        <v>1467</v>
      </c>
      <c r="B533" s="152" t="s">
        <v>1468</v>
      </c>
      <c r="C533" s="169"/>
      <c r="D533" s="170"/>
      <c r="E533" s="171"/>
      <c r="F533" s="79"/>
      <c r="G533" s="116"/>
      <c r="H533" s="121"/>
      <c r="I533" s="121"/>
      <c r="J533" s="121"/>
      <c r="K533" s="80"/>
      <c r="L533" s="80"/>
      <c r="M533" s="80"/>
      <c r="N533" s="80"/>
      <c r="O533" s="80"/>
      <c r="P533" s="80"/>
      <c r="Q533" s="80"/>
      <c r="R533" s="80"/>
      <c r="S533" s="77"/>
    </row>
    <row r="534" spans="1:19">
      <c r="A534" s="142">
        <v>1</v>
      </c>
      <c r="B534" s="153" t="s">
        <v>1469</v>
      </c>
      <c r="C534" s="142"/>
      <c r="D534" s="143"/>
      <c r="E534" s="144"/>
      <c r="F534" s="76"/>
      <c r="G534" s="112"/>
      <c r="H534" s="120"/>
      <c r="I534" s="120"/>
      <c r="J534" s="120"/>
      <c r="K534" s="77"/>
      <c r="L534" s="77"/>
      <c r="M534" s="77"/>
      <c r="N534" s="77"/>
      <c r="O534" s="77"/>
      <c r="P534" s="77"/>
      <c r="Q534" s="77"/>
      <c r="R534" s="77"/>
      <c r="S534" s="77"/>
    </row>
    <row r="535" spans="1:19" ht="45">
      <c r="A535" s="142"/>
      <c r="B535" s="153" t="s">
        <v>1250</v>
      </c>
      <c r="C535" s="142" t="s">
        <v>7</v>
      </c>
      <c r="D535" s="143">
        <v>3535</v>
      </c>
      <c r="E535" s="144" t="s">
        <v>1359</v>
      </c>
      <c r="F535" s="334">
        <v>3535</v>
      </c>
      <c r="G535" s="112" t="s">
        <v>2971</v>
      </c>
      <c r="H535" s="120" t="s">
        <v>2972</v>
      </c>
      <c r="I535" s="120" t="s">
        <v>2748</v>
      </c>
      <c r="J535" s="120" t="s">
        <v>772</v>
      </c>
      <c r="K535" s="110">
        <v>133000</v>
      </c>
      <c r="L535" s="110"/>
      <c r="M535" s="110">
        <v>108700</v>
      </c>
      <c r="N535" s="110"/>
      <c r="O535" s="110"/>
      <c r="P535" s="110">
        <f t="shared" ref="P535:P539" si="174">K535+L535+M535+N535+O535</f>
        <v>241700</v>
      </c>
      <c r="Q535" s="110">
        <f t="shared" ref="Q535:Q539" si="175">$P535*D535</f>
        <v>854409500</v>
      </c>
      <c r="R535" s="110">
        <f t="shared" ref="R535:R539" si="176">$P535*F535</f>
        <v>854409500</v>
      </c>
      <c r="S535" s="112" t="s">
        <v>2971</v>
      </c>
    </row>
    <row r="536" spans="1:19" ht="45">
      <c r="A536" s="142"/>
      <c r="B536" s="153" t="s">
        <v>1424</v>
      </c>
      <c r="C536" s="142" t="s">
        <v>7</v>
      </c>
      <c r="D536" s="143">
        <v>5080</v>
      </c>
      <c r="E536" s="144" t="s">
        <v>1359</v>
      </c>
      <c r="F536" s="334">
        <v>5080</v>
      </c>
      <c r="G536" s="112" t="s">
        <v>2975</v>
      </c>
      <c r="H536" s="120" t="s">
        <v>2976</v>
      </c>
      <c r="I536" s="120" t="s">
        <v>2748</v>
      </c>
      <c r="J536" s="120" t="s">
        <v>772</v>
      </c>
      <c r="K536" s="110">
        <v>59200</v>
      </c>
      <c r="L536" s="110"/>
      <c r="M536" s="110">
        <v>85000</v>
      </c>
      <c r="N536" s="110"/>
      <c r="O536" s="110"/>
      <c r="P536" s="110">
        <f t="shared" si="174"/>
        <v>144200</v>
      </c>
      <c r="Q536" s="110">
        <f t="shared" si="175"/>
        <v>732536000</v>
      </c>
      <c r="R536" s="110">
        <f t="shared" si="176"/>
        <v>732536000</v>
      </c>
      <c r="S536" s="112" t="s">
        <v>2975</v>
      </c>
    </row>
    <row r="537" spans="1:19" ht="45">
      <c r="A537" s="146"/>
      <c r="B537" s="150" t="s">
        <v>1438</v>
      </c>
      <c r="C537" s="146" t="s">
        <v>7</v>
      </c>
      <c r="D537" s="147">
        <v>796</v>
      </c>
      <c r="E537" s="148" t="s">
        <v>1359</v>
      </c>
      <c r="F537" s="334">
        <v>796</v>
      </c>
      <c r="G537" s="112" t="s">
        <v>2977</v>
      </c>
      <c r="H537" s="120" t="s">
        <v>2978</v>
      </c>
      <c r="I537" s="120" t="s">
        <v>2748</v>
      </c>
      <c r="J537" s="120" t="s">
        <v>772</v>
      </c>
      <c r="K537" s="110">
        <v>42300</v>
      </c>
      <c r="L537" s="110"/>
      <c r="M537" s="110">
        <v>69200</v>
      </c>
      <c r="N537" s="110"/>
      <c r="O537" s="110"/>
      <c r="P537" s="110">
        <f t="shared" si="174"/>
        <v>111500</v>
      </c>
      <c r="Q537" s="110">
        <f t="shared" si="175"/>
        <v>88754000</v>
      </c>
      <c r="R537" s="110">
        <f t="shared" si="176"/>
        <v>88754000</v>
      </c>
      <c r="S537" s="112" t="s">
        <v>2977</v>
      </c>
    </row>
    <row r="538" spans="1:19" ht="45">
      <c r="A538" s="142"/>
      <c r="B538" s="153" t="s">
        <v>1470</v>
      </c>
      <c r="C538" s="142" t="s">
        <v>7</v>
      </c>
      <c r="D538" s="143">
        <v>7.5450000000000026</v>
      </c>
      <c r="E538" s="144" t="s">
        <v>1359</v>
      </c>
      <c r="F538" s="334">
        <v>7.5450000000000026</v>
      </c>
      <c r="G538" s="112" t="s">
        <v>2979</v>
      </c>
      <c r="H538" s="120" t="s">
        <v>2980</v>
      </c>
      <c r="I538" s="120" t="s">
        <v>2748</v>
      </c>
      <c r="J538" s="120" t="s">
        <v>772</v>
      </c>
      <c r="K538" s="110">
        <v>26000</v>
      </c>
      <c r="L538" s="110"/>
      <c r="M538" s="110">
        <v>53400</v>
      </c>
      <c r="N538" s="110"/>
      <c r="O538" s="110"/>
      <c r="P538" s="110">
        <f t="shared" si="174"/>
        <v>79400</v>
      </c>
      <c r="Q538" s="110">
        <f t="shared" si="175"/>
        <v>599073.00000000023</v>
      </c>
      <c r="R538" s="110">
        <f t="shared" si="176"/>
        <v>599073.00000000023</v>
      </c>
      <c r="S538" s="112" t="s">
        <v>2979</v>
      </c>
    </row>
    <row r="539" spans="1:19" ht="45">
      <c r="A539" s="142"/>
      <c r="B539" s="153" t="s">
        <v>1471</v>
      </c>
      <c r="C539" s="142" t="s">
        <v>7</v>
      </c>
      <c r="D539" s="143">
        <v>1548</v>
      </c>
      <c r="E539" s="144" t="s">
        <v>1359</v>
      </c>
      <c r="F539" s="334">
        <v>1548</v>
      </c>
      <c r="G539" s="112" t="s">
        <v>2981</v>
      </c>
      <c r="H539" s="120" t="s">
        <v>2982</v>
      </c>
      <c r="I539" s="120" t="s">
        <v>2748</v>
      </c>
      <c r="J539" s="120" t="s">
        <v>772</v>
      </c>
      <c r="K539" s="110">
        <v>21800</v>
      </c>
      <c r="L539" s="110"/>
      <c r="M539" s="110">
        <v>53400</v>
      </c>
      <c r="N539" s="110"/>
      <c r="O539" s="110"/>
      <c r="P539" s="110">
        <f t="shared" si="174"/>
        <v>75200</v>
      </c>
      <c r="Q539" s="110">
        <f t="shared" si="175"/>
        <v>116409600</v>
      </c>
      <c r="R539" s="110">
        <f t="shared" si="176"/>
        <v>116409600</v>
      </c>
      <c r="S539" s="112" t="s">
        <v>2981</v>
      </c>
    </row>
    <row r="540" spans="1:19">
      <c r="A540" s="142">
        <v>2</v>
      </c>
      <c r="B540" s="153" t="s">
        <v>1472</v>
      </c>
      <c r="C540" s="142"/>
      <c r="D540" s="143"/>
      <c r="E540" s="144"/>
      <c r="F540" s="76"/>
      <c r="G540" s="112"/>
      <c r="H540" s="120"/>
      <c r="I540" s="120"/>
      <c r="J540" s="120"/>
      <c r="K540" s="77"/>
      <c r="L540" s="77"/>
      <c r="M540" s="77"/>
      <c r="N540" s="77"/>
      <c r="O540" s="77"/>
      <c r="P540" s="77"/>
      <c r="Q540" s="77"/>
      <c r="R540" s="77"/>
      <c r="S540" s="77"/>
    </row>
    <row r="541" spans="1:19" ht="45">
      <c r="A541" s="142"/>
      <c r="B541" s="153" t="s">
        <v>1470</v>
      </c>
      <c r="C541" s="142" t="s">
        <v>7</v>
      </c>
      <c r="D541" s="143">
        <v>3075</v>
      </c>
      <c r="E541" s="144" t="s">
        <v>1359</v>
      </c>
      <c r="F541" s="334">
        <v>3075</v>
      </c>
      <c r="G541" s="112" t="s">
        <v>2977</v>
      </c>
      <c r="H541" s="120" t="s">
        <v>2978</v>
      </c>
      <c r="I541" s="120" t="s">
        <v>2748</v>
      </c>
      <c r="J541" s="120" t="s">
        <v>772</v>
      </c>
      <c r="K541" s="110">
        <v>42300</v>
      </c>
      <c r="L541" s="110"/>
      <c r="M541" s="110">
        <v>69200</v>
      </c>
      <c r="N541" s="110"/>
      <c r="O541" s="110"/>
      <c r="P541" s="110">
        <f>K541+L541+M541+N541+O541</f>
        <v>111500</v>
      </c>
      <c r="Q541" s="110">
        <f>$P541*D541</f>
        <v>342862500</v>
      </c>
      <c r="R541" s="110">
        <f>$P541*F541</f>
        <v>342862500</v>
      </c>
      <c r="S541" s="112" t="s">
        <v>2977</v>
      </c>
    </row>
    <row r="542" spans="1:19">
      <c r="A542" s="142">
        <v>3</v>
      </c>
      <c r="B542" s="153" t="s">
        <v>1370</v>
      </c>
      <c r="C542" s="142"/>
      <c r="D542" s="143"/>
      <c r="E542" s="144"/>
      <c r="F542" s="76"/>
      <c r="G542" s="112"/>
      <c r="H542" s="120"/>
      <c r="I542" s="120"/>
      <c r="J542" s="120"/>
      <c r="K542" s="77"/>
      <c r="L542" s="77"/>
      <c r="M542" s="77"/>
      <c r="N542" s="77"/>
      <c r="O542" s="77"/>
      <c r="P542" s="77"/>
      <c r="Q542" s="77"/>
      <c r="R542" s="77"/>
      <c r="S542" s="77"/>
    </row>
    <row r="543" spans="1:19" ht="30">
      <c r="A543" s="142"/>
      <c r="B543" s="153" t="s">
        <v>1250</v>
      </c>
      <c r="C543" s="142" t="s">
        <v>4</v>
      </c>
      <c r="D543" s="143">
        <v>1238</v>
      </c>
      <c r="E543" s="144"/>
      <c r="F543" s="334">
        <v>1238</v>
      </c>
      <c r="G543" s="112" t="s">
        <v>2990</v>
      </c>
      <c r="H543" s="120" t="s">
        <v>3017</v>
      </c>
      <c r="I543" s="120" t="s">
        <v>2748</v>
      </c>
      <c r="J543" s="120" t="s">
        <v>772</v>
      </c>
      <c r="K543" s="110">
        <v>72500</v>
      </c>
      <c r="L543" s="110"/>
      <c r="M543" s="110">
        <v>62000</v>
      </c>
      <c r="N543" s="110"/>
      <c r="O543" s="110"/>
      <c r="P543" s="110">
        <f t="shared" ref="P543:P547" si="177">K543+L543+M543+N543+O543</f>
        <v>134500</v>
      </c>
      <c r="Q543" s="110">
        <f t="shared" ref="Q543:Q547" si="178">$P543*D543</f>
        <v>166511000</v>
      </c>
      <c r="R543" s="110">
        <f t="shared" ref="R543:R547" si="179">$P543*F543</f>
        <v>166511000</v>
      </c>
      <c r="S543" s="112" t="s">
        <v>2990</v>
      </c>
    </row>
    <row r="544" spans="1:19" ht="45">
      <c r="A544" s="142"/>
      <c r="B544" s="153" t="s">
        <v>1473</v>
      </c>
      <c r="C544" s="142" t="s">
        <v>4</v>
      </c>
      <c r="D544" s="143">
        <v>767</v>
      </c>
      <c r="E544" s="144"/>
      <c r="F544" s="334">
        <v>767</v>
      </c>
      <c r="G544" s="112" t="s">
        <v>2990</v>
      </c>
      <c r="H544" s="120" t="s">
        <v>3019</v>
      </c>
      <c r="I544" s="120" t="s">
        <v>2748</v>
      </c>
      <c r="J544" s="120" t="s">
        <v>772</v>
      </c>
      <c r="K544" s="110">
        <v>64700</v>
      </c>
      <c r="L544" s="110"/>
      <c r="M544" s="110">
        <v>62000</v>
      </c>
      <c r="N544" s="110"/>
      <c r="O544" s="110"/>
      <c r="P544" s="110">
        <f t="shared" si="177"/>
        <v>126700</v>
      </c>
      <c r="Q544" s="110">
        <f t="shared" si="178"/>
        <v>97178900</v>
      </c>
      <c r="R544" s="110">
        <f t="shared" si="179"/>
        <v>97178900</v>
      </c>
      <c r="S544" s="112" t="s">
        <v>2990</v>
      </c>
    </row>
    <row r="545" spans="1:19" ht="30">
      <c r="A545" s="142"/>
      <c r="B545" s="153" t="s">
        <v>1424</v>
      </c>
      <c r="C545" s="142" t="s">
        <v>4</v>
      </c>
      <c r="D545" s="143">
        <v>1322</v>
      </c>
      <c r="E545" s="144"/>
      <c r="F545" s="334">
        <v>1322</v>
      </c>
      <c r="G545" s="112" t="s">
        <v>2990</v>
      </c>
      <c r="H545" s="120" t="s">
        <v>3023</v>
      </c>
      <c r="I545" s="120" t="s">
        <v>2748</v>
      </c>
      <c r="J545" s="120" t="s">
        <v>772</v>
      </c>
      <c r="K545" s="110">
        <v>39300</v>
      </c>
      <c r="L545" s="110"/>
      <c r="M545" s="110">
        <v>40300</v>
      </c>
      <c r="N545" s="110"/>
      <c r="O545" s="110"/>
      <c r="P545" s="110">
        <f t="shared" si="177"/>
        <v>79600</v>
      </c>
      <c r="Q545" s="110">
        <f t="shared" si="178"/>
        <v>105231200</v>
      </c>
      <c r="R545" s="110">
        <f t="shared" si="179"/>
        <v>105231200</v>
      </c>
      <c r="S545" s="112" t="s">
        <v>2990</v>
      </c>
    </row>
    <row r="546" spans="1:19" ht="75">
      <c r="A546" s="146"/>
      <c r="B546" s="150" t="s">
        <v>1437</v>
      </c>
      <c r="C546" s="146" t="s">
        <v>4</v>
      </c>
      <c r="D546" s="147">
        <v>486</v>
      </c>
      <c r="E546" s="148"/>
      <c r="F546" s="334">
        <v>486</v>
      </c>
      <c r="G546" s="112" t="s">
        <v>2990</v>
      </c>
      <c r="H546" s="120" t="s">
        <v>3028</v>
      </c>
      <c r="I546" s="120" t="s">
        <v>2748</v>
      </c>
      <c r="J546" s="120" t="s">
        <v>772</v>
      </c>
      <c r="K546" s="110">
        <v>37100</v>
      </c>
      <c r="L546" s="110"/>
      <c r="M546" s="110">
        <v>40300</v>
      </c>
      <c r="N546" s="110"/>
      <c r="O546" s="110"/>
      <c r="P546" s="110">
        <f t="shared" si="177"/>
        <v>77400</v>
      </c>
      <c r="Q546" s="110">
        <f t="shared" si="178"/>
        <v>37616400</v>
      </c>
      <c r="R546" s="110">
        <f t="shared" si="179"/>
        <v>37616400</v>
      </c>
      <c r="S546" s="112" t="s">
        <v>2990</v>
      </c>
    </row>
    <row r="547" spans="1:19" ht="75">
      <c r="A547" s="142"/>
      <c r="B547" s="153" t="s">
        <v>1474</v>
      </c>
      <c r="C547" s="142" t="s">
        <v>4</v>
      </c>
      <c r="D547" s="143">
        <v>760</v>
      </c>
      <c r="E547" s="144"/>
      <c r="F547" s="334">
        <v>760</v>
      </c>
      <c r="G547" s="112" t="s">
        <v>2990</v>
      </c>
      <c r="H547" s="120" t="s">
        <v>3024</v>
      </c>
      <c r="I547" s="120" t="s">
        <v>2748</v>
      </c>
      <c r="J547" s="120" t="s">
        <v>772</v>
      </c>
      <c r="K547" s="110">
        <v>38900</v>
      </c>
      <c r="L547" s="110"/>
      <c r="M547" s="110">
        <v>40300</v>
      </c>
      <c r="N547" s="110"/>
      <c r="O547" s="110"/>
      <c r="P547" s="110">
        <f t="shared" si="177"/>
        <v>79200</v>
      </c>
      <c r="Q547" s="110">
        <f t="shared" si="178"/>
        <v>60192000</v>
      </c>
      <c r="R547" s="110">
        <f t="shared" si="179"/>
        <v>60192000</v>
      </c>
      <c r="S547" s="112" t="s">
        <v>2990</v>
      </c>
    </row>
    <row r="548" spans="1:19">
      <c r="A548" s="142" t="s">
        <v>710</v>
      </c>
      <c r="B548" s="153" t="s">
        <v>1475</v>
      </c>
      <c r="C548" s="142"/>
      <c r="D548" s="143"/>
      <c r="E548" s="144"/>
      <c r="F548" s="76"/>
      <c r="G548" s="112"/>
      <c r="H548" s="120"/>
      <c r="I548" s="120"/>
      <c r="J548" s="120"/>
      <c r="K548" s="77"/>
      <c r="L548" s="77"/>
      <c r="M548" s="77"/>
      <c r="N548" s="77"/>
      <c r="O548" s="77"/>
      <c r="P548" s="77"/>
      <c r="Q548" s="77"/>
      <c r="R548" s="77"/>
      <c r="S548" s="77"/>
    </row>
    <row r="549" spans="1:19" ht="30">
      <c r="A549" s="142"/>
      <c r="B549" s="153" t="s">
        <v>1250</v>
      </c>
      <c r="C549" s="142" t="s">
        <v>4</v>
      </c>
      <c r="D549" s="143">
        <v>4229</v>
      </c>
      <c r="E549" s="144"/>
      <c r="F549" s="334">
        <v>4229</v>
      </c>
      <c r="G549" s="112" t="s">
        <v>2990</v>
      </c>
      <c r="H549" s="120" t="s">
        <v>3037</v>
      </c>
      <c r="I549" s="120" t="s">
        <v>2748</v>
      </c>
      <c r="J549" s="120" t="s">
        <v>772</v>
      </c>
      <c r="K549" s="110">
        <v>62600</v>
      </c>
      <c r="L549" s="110"/>
      <c r="M549" s="110">
        <v>62000</v>
      </c>
      <c r="N549" s="110"/>
      <c r="O549" s="110"/>
      <c r="P549" s="110">
        <f t="shared" ref="P549:P552" si="180">K549+L549+M549+N549+O549</f>
        <v>124600</v>
      </c>
      <c r="Q549" s="110">
        <f t="shared" ref="Q549:Q552" si="181">$P549*D549</f>
        <v>526933400</v>
      </c>
      <c r="R549" s="110">
        <f t="shared" ref="R549:R552" si="182">$P549*F549</f>
        <v>526933400</v>
      </c>
      <c r="S549" s="112" t="s">
        <v>2990</v>
      </c>
    </row>
    <row r="550" spans="1:19" ht="30">
      <c r="A550" s="142"/>
      <c r="B550" s="153" t="s">
        <v>1424</v>
      </c>
      <c r="C550" s="142" t="s">
        <v>4</v>
      </c>
      <c r="D550" s="143">
        <v>11258</v>
      </c>
      <c r="E550" s="144"/>
      <c r="F550" s="334">
        <v>11258</v>
      </c>
      <c r="G550" s="112" t="s">
        <v>2990</v>
      </c>
      <c r="H550" s="120" t="s">
        <v>3041</v>
      </c>
      <c r="I550" s="120" t="s">
        <v>2748</v>
      </c>
      <c r="J550" s="120" t="s">
        <v>772</v>
      </c>
      <c r="K550" s="110">
        <v>24300</v>
      </c>
      <c r="L550" s="110"/>
      <c r="M550" s="110">
        <v>40300</v>
      </c>
      <c r="N550" s="110"/>
      <c r="O550" s="110"/>
      <c r="P550" s="110">
        <f t="shared" si="180"/>
        <v>64600</v>
      </c>
      <c r="Q550" s="110">
        <f t="shared" si="181"/>
        <v>727266800</v>
      </c>
      <c r="R550" s="110">
        <f t="shared" si="182"/>
        <v>727266800</v>
      </c>
      <c r="S550" s="112" t="s">
        <v>2990</v>
      </c>
    </row>
    <row r="551" spans="1:19" ht="30">
      <c r="A551" s="146"/>
      <c r="B551" s="150" t="s">
        <v>1438</v>
      </c>
      <c r="C551" s="146" t="s">
        <v>4</v>
      </c>
      <c r="D551" s="147">
        <v>1040</v>
      </c>
      <c r="E551" s="148"/>
      <c r="F551" s="334">
        <v>1040</v>
      </c>
      <c r="G551" s="112" t="s">
        <v>2990</v>
      </c>
      <c r="H551" s="120" t="s">
        <v>3039</v>
      </c>
      <c r="I551" s="120" t="s">
        <v>2748</v>
      </c>
      <c r="J551" s="120" t="s">
        <v>772</v>
      </c>
      <c r="K551" s="110">
        <v>14900</v>
      </c>
      <c r="L551" s="110"/>
      <c r="M551" s="110">
        <v>31000</v>
      </c>
      <c r="N551" s="110"/>
      <c r="O551" s="110"/>
      <c r="P551" s="110">
        <f t="shared" si="180"/>
        <v>45900</v>
      </c>
      <c r="Q551" s="110">
        <f t="shared" si="181"/>
        <v>47736000</v>
      </c>
      <c r="R551" s="110">
        <f t="shared" si="182"/>
        <v>47736000</v>
      </c>
      <c r="S551" s="112" t="s">
        <v>2990</v>
      </c>
    </row>
    <row r="552" spans="1:19" ht="30">
      <c r="A552" s="142"/>
      <c r="B552" s="153" t="s">
        <v>1471</v>
      </c>
      <c r="C552" s="142" t="s">
        <v>4</v>
      </c>
      <c r="D552" s="143">
        <v>2056</v>
      </c>
      <c r="E552" s="144"/>
      <c r="F552" s="334">
        <v>2056</v>
      </c>
      <c r="G552" s="112" t="s">
        <v>2990</v>
      </c>
      <c r="H552" s="120" t="s">
        <v>3042</v>
      </c>
      <c r="I552" s="120" t="s">
        <v>2748</v>
      </c>
      <c r="J552" s="120" t="s">
        <v>772</v>
      </c>
      <c r="K552" s="110">
        <v>4100</v>
      </c>
      <c r="L552" s="110"/>
      <c r="M552" s="110">
        <v>24800</v>
      </c>
      <c r="N552" s="110"/>
      <c r="O552" s="110"/>
      <c r="P552" s="110">
        <f t="shared" si="180"/>
        <v>28900</v>
      </c>
      <c r="Q552" s="110">
        <f t="shared" si="181"/>
        <v>59418400</v>
      </c>
      <c r="R552" s="110">
        <f t="shared" si="182"/>
        <v>59418400</v>
      </c>
      <c r="S552" s="112" t="s">
        <v>2990</v>
      </c>
    </row>
    <row r="553" spans="1:19">
      <c r="A553" s="142" t="s">
        <v>711</v>
      </c>
      <c r="B553" s="153" t="s">
        <v>1394</v>
      </c>
      <c r="C553" s="142"/>
      <c r="D553" s="143"/>
      <c r="E553" s="144"/>
      <c r="F553" s="76"/>
      <c r="G553" s="112"/>
      <c r="H553" s="120"/>
      <c r="I553" s="120"/>
      <c r="J553" s="120"/>
      <c r="K553" s="77"/>
      <c r="L553" s="77"/>
      <c r="M553" s="77"/>
      <c r="N553" s="77"/>
      <c r="O553" s="77"/>
      <c r="P553" s="77"/>
      <c r="Q553" s="77"/>
      <c r="R553" s="77"/>
      <c r="S553" s="77"/>
    </row>
    <row r="554" spans="1:19" ht="30">
      <c r="A554" s="142"/>
      <c r="B554" s="153" t="s">
        <v>1470</v>
      </c>
      <c r="C554" s="142" t="s">
        <v>4</v>
      </c>
      <c r="D554" s="143">
        <v>2717</v>
      </c>
      <c r="E554" s="144"/>
      <c r="F554" s="334">
        <v>2717</v>
      </c>
      <c r="G554" s="112" t="s">
        <v>2990</v>
      </c>
      <c r="H554" s="120" t="s">
        <v>3053</v>
      </c>
      <c r="I554" s="120" t="s">
        <v>2748</v>
      </c>
      <c r="J554" s="120" t="s">
        <v>772</v>
      </c>
      <c r="K554" s="110">
        <v>8400</v>
      </c>
      <c r="L554" s="110"/>
      <c r="M554" s="110">
        <v>24800</v>
      </c>
      <c r="N554" s="110"/>
      <c r="O554" s="110"/>
      <c r="P554" s="110">
        <f t="shared" ref="P554:P555" si="183">K554+L554+M554+N554+O554</f>
        <v>33200</v>
      </c>
      <c r="Q554" s="110">
        <f t="shared" ref="Q554:Q555" si="184">$P554*D554</f>
        <v>90204400</v>
      </c>
      <c r="R554" s="110">
        <f t="shared" ref="R554:R555" si="185">$P554*F554</f>
        <v>90204400</v>
      </c>
      <c r="S554" s="112" t="s">
        <v>2990</v>
      </c>
    </row>
    <row r="555" spans="1:19" ht="30">
      <c r="A555" s="142"/>
      <c r="B555" s="153" t="s">
        <v>1471</v>
      </c>
      <c r="C555" s="142" t="s">
        <v>4</v>
      </c>
      <c r="D555" s="143">
        <v>791</v>
      </c>
      <c r="E555" s="144"/>
      <c r="F555" s="334">
        <v>791</v>
      </c>
      <c r="G555" s="112" t="s">
        <v>2990</v>
      </c>
      <c r="H555" s="120" t="s">
        <v>3054</v>
      </c>
      <c r="I555" s="120" t="s">
        <v>2748</v>
      </c>
      <c r="J555" s="120" t="s">
        <v>772</v>
      </c>
      <c r="K555" s="110">
        <v>5400</v>
      </c>
      <c r="L555" s="110"/>
      <c r="M555" s="110">
        <v>24800</v>
      </c>
      <c r="N555" s="110"/>
      <c r="O555" s="110"/>
      <c r="P555" s="110">
        <f t="shared" si="183"/>
        <v>30200</v>
      </c>
      <c r="Q555" s="110">
        <f t="shared" si="184"/>
        <v>23888200</v>
      </c>
      <c r="R555" s="110">
        <f t="shared" si="185"/>
        <v>23888200</v>
      </c>
      <c r="S555" s="112" t="s">
        <v>2990</v>
      </c>
    </row>
    <row r="556" spans="1:19">
      <c r="A556" s="142" t="s">
        <v>712</v>
      </c>
      <c r="B556" s="153" t="s">
        <v>1402</v>
      </c>
      <c r="C556" s="142"/>
      <c r="D556" s="143"/>
      <c r="E556" s="144"/>
      <c r="F556" s="76"/>
      <c r="G556" s="112"/>
      <c r="H556" s="120"/>
      <c r="I556" s="120"/>
      <c r="J556" s="120"/>
      <c r="K556" s="77"/>
      <c r="L556" s="77"/>
      <c r="M556" s="77"/>
      <c r="N556" s="77"/>
      <c r="O556" s="77"/>
      <c r="P556" s="77"/>
      <c r="Q556" s="77"/>
      <c r="R556" s="77"/>
      <c r="S556" s="77"/>
    </row>
    <row r="557" spans="1:19" ht="30">
      <c r="A557" s="142"/>
      <c r="B557" s="153" t="s">
        <v>1476</v>
      </c>
      <c r="C557" s="142" t="s">
        <v>4</v>
      </c>
      <c r="D557" s="143">
        <v>741</v>
      </c>
      <c r="E557" s="144"/>
      <c r="F557" s="334">
        <v>741</v>
      </c>
      <c r="G557" s="112" t="s">
        <v>2990</v>
      </c>
      <c r="H557" s="120" t="s">
        <v>3070</v>
      </c>
      <c r="I557" s="120" t="s">
        <v>2748</v>
      </c>
      <c r="J557" s="120" t="s">
        <v>772</v>
      </c>
      <c r="K557" s="110">
        <v>61200</v>
      </c>
      <c r="L557" s="110"/>
      <c r="M557" s="110">
        <v>93000</v>
      </c>
      <c r="N557" s="110"/>
      <c r="O557" s="110"/>
      <c r="P557" s="110">
        <f t="shared" ref="P557:P560" si="186">K557+L557+M557+N557+O557</f>
        <v>154200</v>
      </c>
      <c r="Q557" s="110">
        <f t="shared" ref="Q557:Q560" si="187">$P557*D557</f>
        <v>114262200</v>
      </c>
      <c r="R557" s="110">
        <f t="shared" ref="R557:R560" si="188">$P557*F557</f>
        <v>114262200</v>
      </c>
      <c r="S557" s="112" t="s">
        <v>2990</v>
      </c>
    </row>
    <row r="558" spans="1:19" ht="30">
      <c r="A558" s="142"/>
      <c r="B558" s="153" t="s">
        <v>1477</v>
      </c>
      <c r="C558" s="142" t="s">
        <v>4</v>
      </c>
      <c r="D558" s="143">
        <v>1016</v>
      </c>
      <c r="E558" s="144"/>
      <c r="F558" s="334">
        <v>1016</v>
      </c>
      <c r="G558" s="112" t="s">
        <v>2990</v>
      </c>
      <c r="H558" s="120" t="s">
        <v>3071</v>
      </c>
      <c r="I558" s="120" t="s">
        <v>2748</v>
      </c>
      <c r="J558" s="120" t="s">
        <v>772</v>
      </c>
      <c r="K558" s="110">
        <v>40000</v>
      </c>
      <c r="L558" s="110"/>
      <c r="M558" s="110">
        <v>49600</v>
      </c>
      <c r="N558" s="110"/>
      <c r="O558" s="110"/>
      <c r="P558" s="110">
        <f t="shared" si="186"/>
        <v>89600</v>
      </c>
      <c r="Q558" s="110">
        <f t="shared" si="187"/>
        <v>91033600</v>
      </c>
      <c r="R558" s="110">
        <f t="shared" si="188"/>
        <v>91033600</v>
      </c>
      <c r="S558" s="112" t="s">
        <v>2990</v>
      </c>
    </row>
    <row r="559" spans="1:19" ht="45">
      <c r="A559" s="142"/>
      <c r="B559" s="153" t="s">
        <v>1478</v>
      </c>
      <c r="C559" s="142" t="s">
        <v>4</v>
      </c>
      <c r="D559" s="143">
        <v>498</v>
      </c>
      <c r="E559" s="144"/>
      <c r="F559" s="334">
        <v>498</v>
      </c>
      <c r="G559" s="112" t="s">
        <v>2990</v>
      </c>
      <c r="H559" s="120" t="s">
        <v>3072</v>
      </c>
      <c r="I559" s="120" t="s">
        <v>2748</v>
      </c>
      <c r="J559" s="120" t="s">
        <v>772</v>
      </c>
      <c r="K559" s="110">
        <v>57200</v>
      </c>
      <c r="L559" s="110"/>
      <c r="M559" s="110">
        <v>40300</v>
      </c>
      <c r="N559" s="110"/>
      <c r="O559" s="110"/>
      <c r="P559" s="110">
        <f t="shared" si="186"/>
        <v>97500</v>
      </c>
      <c r="Q559" s="110">
        <f t="shared" si="187"/>
        <v>48555000</v>
      </c>
      <c r="R559" s="110">
        <f t="shared" si="188"/>
        <v>48555000</v>
      </c>
      <c r="S559" s="112" t="s">
        <v>2990</v>
      </c>
    </row>
    <row r="560" spans="1:19" ht="30">
      <c r="A560" s="142"/>
      <c r="B560" s="153" t="s">
        <v>1470</v>
      </c>
      <c r="C560" s="142" t="s">
        <v>4</v>
      </c>
      <c r="D560" s="143">
        <v>396</v>
      </c>
      <c r="E560" s="144"/>
      <c r="F560" s="334">
        <v>396</v>
      </c>
      <c r="G560" s="112" t="s">
        <v>2990</v>
      </c>
      <c r="H560" s="120" t="s">
        <v>3073</v>
      </c>
      <c r="I560" s="120" t="s">
        <v>2748</v>
      </c>
      <c r="J560" s="120" t="s">
        <v>772</v>
      </c>
      <c r="K560" s="110">
        <v>10500</v>
      </c>
      <c r="L560" s="110"/>
      <c r="M560" s="110">
        <v>37200</v>
      </c>
      <c r="N560" s="110"/>
      <c r="O560" s="110"/>
      <c r="P560" s="110">
        <f t="shared" si="186"/>
        <v>47700</v>
      </c>
      <c r="Q560" s="110">
        <f t="shared" si="187"/>
        <v>18889200</v>
      </c>
      <c r="R560" s="110">
        <f t="shared" si="188"/>
        <v>18889200</v>
      </c>
      <c r="S560" s="112" t="s">
        <v>2990</v>
      </c>
    </row>
    <row r="561" spans="1:19">
      <c r="A561" s="142" t="s">
        <v>579</v>
      </c>
      <c r="B561" s="153" t="s">
        <v>1414</v>
      </c>
      <c r="C561" s="142"/>
      <c r="D561" s="143"/>
      <c r="E561" s="144"/>
      <c r="F561" s="76"/>
      <c r="G561" s="112"/>
      <c r="H561" s="120"/>
      <c r="I561" s="120"/>
      <c r="J561" s="120"/>
      <c r="K561" s="77"/>
      <c r="L561" s="77"/>
      <c r="M561" s="77"/>
      <c r="N561" s="77"/>
      <c r="O561" s="77"/>
      <c r="P561" s="77"/>
      <c r="Q561" s="77"/>
      <c r="R561" s="77"/>
      <c r="S561" s="77"/>
    </row>
    <row r="562" spans="1:19" ht="30">
      <c r="A562" s="142"/>
      <c r="B562" s="153" t="s">
        <v>1250</v>
      </c>
      <c r="C562" s="142" t="s">
        <v>4</v>
      </c>
      <c r="D562" s="143">
        <v>433</v>
      </c>
      <c r="E562" s="144"/>
      <c r="F562" s="334">
        <v>433</v>
      </c>
      <c r="G562" s="112" t="s">
        <v>2990</v>
      </c>
      <c r="H562" s="120" t="s">
        <v>3050</v>
      </c>
      <c r="I562" s="120" t="s">
        <v>2748</v>
      </c>
      <c r="J562" s="120" t="s">
        <v>772</v>
      </c>
      <c r="K562" s="110">
        <v>72500</v>
      </c>
      <c r="L562" s="110"/>
      <c r="M562" s="110">
        <v>62000</v>
      </c>
      <c r="N562" s="110"/>
      <c r="O562" s="110"/>
      <c r="P562" s="110">
        <f t="shared" ref="P562:P565" si="189">K562+L562+M562+N562+O562</f>
        <v>134500</v>
      </c>
      <c r="Q562" s="110">
        <f t="shared" ref="Q562:Q565" si="190">$P562*D562</f>
        <v>58238500</v>
      </c>
      <c r="R562" s="110">
        <f t="shared" ref="R562:R565" si="191">$P562*F562</f>
        <v>58238500</v>
      </c>
      <c r="S562" s="112" t="s">
        <v>2990</v>
      </c>
    </row>
    <row r="563" spans="1:19" ht="30">
      <c r="A563" s="142"/>
      <c r="B563" s="153" t="s">
        <v>1424</v>
      </c>
      <c r="C563" s="142" t="s">
        <v>4</v>
      </c>
      <c r="D563" s="143">
        <v>1068</v>
      </c>
      <c r="E563" s="144"/>
      <c r="F563" s="334">
        <v>1068</v>
      </c>
      <c r="G563" s="112" t="s">
        <v>2990</v>
      </c>
      <c r="H563" s="120" t="s">
        <v>3088</v>
      </c>
      <c r="I563" s="120" t="s">
        <v>2748</v>
      </c>
      <c r="J563" s="120" t="s">
        <v>772</v>
      </c>
      <c r="K563" s="110">
        <v>10200</v>
      </c>
      <c r="L563" s="110"/>
      <c r="M563" s="110">
        <v>40300</v>
      </c>
      <c r="N563" s="110"/>
      <c r="O563" s="110"/>
      <c r="P563" s="110">
        <f t="shared" si="189"/>
        <v>50500</v>
      </c>
      <c r="Q563" s="110">
        <f t="shared" si="190"/>
        <v>53934000</v>
      </c>
      <c r="R563" s="110">
        <f t="shared" si="191"/>
        <v>53934000</v>
      </c>
      <c r="S563" s="112" t="s">
        <v>2990</v>
      </c>
    </row>
    <row r="564" spans="1:19" ht="30">
      <c r="A564" s="142"/>
      <c r="B564" s="153" t="s">
        <v>1470</v>
      </c>
      <c r="C564" s="142" t="s">
        <v>4</v>
      </c>
      <c r="D564" s="143">
        <v>634</v>
      </c>
      <c r="E564" s="144"/>
      <c r="F564" s="334">
        <v>634</v>
      </c>
      <c r="G564" s="112" t="s">
        <v>3000</v>
      </c>
      <c r="H564" s="120" t="s">
        <v>3087</v>
      </c>
      <c r="I564" s="120" t="s">
        <v>2748</v>
      </c>
      <c r="J564" s="120" t="s">
        <v>772</v>
      </c>
      <c r="K564" s="110">
        <v>4200</v>
      </c>
      <c r="L564" s="110"/>
      <c r="M564" s="110">
        <v>24800</v>
      </c>
      <c r="N564" s="110"/>
      <c r="O564" s="110"/>
      <c r="P564" s="110">
        <f t="shared" si="189"/>
        <v>29000</v>
      </c>
      <c r="Q564" s="110">
        <f t="shared" si="190"/>
        <v>18386000</v>
      </c>
      <c r="R564" s="110">
        <f t="shared" si="191"/>
        <v>18386000</v>
      </c>
      <c r="S564" s="112" t="s">
        <v>3000</v>
      </c>
    </row>
    <row r="565" spans="1:19" ht="30">
      <c r="A565" s="142"/>
      <c r="B565" s="153" t="s">
        <v>1471</v>
      </c>
      <c r="C565" s="142" t="s">
        <v>4</v>
      </c>
      <c r="D565" s="143">
        <v>503</v>
      </c>
      <c r="E565" s="144"/>
      <c r="F565" s="334">
        <v>503</v>
      </c>
      <c r="G565" s="112" t="s">
        <v>3000</v>
      </c>
      <c r="H565" s="120" t="s">
        <v>3089</v>
      </c>
      <c r="I565" s="120" t="s">
        <v>2748</v>
      </c>
      <c r="J565" s="120" t="s">
        <v>772</v>
      </c>
      <c r="K565" s="110">
        <v>3300</v>
      </c>
      <c r="L565" s="110"/>
      <c r="M565" s="110">
        <v>24800</v>
      </c>
      <c r="N565" s="110"/>
      <c r="O565" s="110"/>
      <c r="P565" s="110">
        <f t="shared" si="189"/>
        <v>28100</v>
      </c>
      <c r="Q565" s="110">
        <f t="shared" si="190"/>
        <v>14134300</v>
      </c>
      <c r="R565" s="110">
        <f t="shared" si="191"/>
        <v>14134300</v>
      </c>
      <c r="S565" s="112" t="s">
        <v>3000</v>
      </c>
    </row>
    <row r="566" spans="1:19">
      <c r="A566" s="142" t="s">
        <v>713</v>
      </c>
      <c r="B566" s="153" t="s">
        <v>1479</v>
      </c>
      <c r="C566" s="142"/>
      <c r="D566" s="143"/>
      <c r="E566" s="144"/>
      <c r="F566" s="76"/>
      <c r="G566" s="112"/>
      <c r="H566" s="120"/>
      <c r="I566" s="120"/>
      <c r="J566" s="120"/>
      <c r="K566" s="77"/>
      <c r="L566" s="77"/>
      <c r="M566" s="77"/>
      <c r="N566" s="77"/>
      <c r="O566" s="77"/>
      <c r="P566" s="77"/>
      <c r="Q566" s="77"/>
      <c r="R566" s="77"/>
      <c r="S566" s="77"/>
    </row>
    <row r="567" spans="1:19" ht="30">
      <c r="A567" s="142"/>
      <c r="B567" s="153" t="s">
        <v>1471</v>
      </c>
      <c r="C567" s="142" t="s">
        <v>4</v>
      </c>
      <c r="D567" s="143">
        <v>772</v>
      </c>
      <c r="E567" s="144"/>
      <c r="F567" s="334">
        <v>772</v>
      </c>
      <c r="G567" s="112" t="s">
        <v>3000</v>
      </c>
      <c r="H567" s="120" t="s">
        <v>3128</v>
      </c>
      <c r="I567" s="120" t="s">
        <v>2748</v>
      </c>
      <c r="J567" s="120" t="s">
        <v>772</v>
      </c>
      <c r="K567" s="110">
        <v>27400</v>
      </c>
      <c r="L567" s="110"/>
      <c r="M567" s="110">
        <v>24800</v>
      </c>
      <c r="N567" s="110"/>
      <c r="O567" s="110"/>
      <c r="P567" s="110">
        <f t="shared" ref="P567:P568" si="192">K567+L567+M567+N567+O567</f>
        <v>52200</v>
      </c>
      <c r="Q567" s="110">
        <f t="shared" ref="Q567:Q568" si="193">$P567*D567</f>
        <v>40298400</v>
      </c>
      <c r="R567" s="110">
        <f t="shared" ref="R567:R568" si="194">$P567*F567</f>
        <v>40298400</v>
      </c>
      <c r="S567" s="112" t="s">
        <v>3000</v>
      </c>
    </row>
    <row r="568" spans="1:19" ht="30">
      <c r="A568" s="142"/>
      <c r="B568" s="153" t="s">
        <v>1470</v>
      </c>
      <c r="C568" s="142" t="s">
        <v>4</v>
      </c>
      <c r="D568" s="143">
        <v>0</v>
      </c>
      <c r="E568" s="144"/>
      <c r="F568" s="334">
        <v>0</v>
      </c>
      <c r="G568" s="112" t="s">
        <v>3000</v>
      </c>
      <c r="H568" s="120" t="s">
        <v>3127</v>
      </c>
      <c r="I568" s="120" t="s">
        <v>2748</v>
      </c>
      <c r="J568" s="120" t="s">
        <v>772</v>
      </c>
      <c r="K568" s="110">
        <v>37500</v>
      </c>
      <c r="L568" s="110"/>
      <c r="M568" s="110">
        <v>24800</v>
      </c>
      <c r="N568" s="110"/>
      <c r="O568" s="110"/>
      <c r="P568" s="110">
        <f t="shared" si="192"/>
        <v>62300</v>
      </c>
      <c r="Q568" s="110">
        <f t="shared" si="193"/>
        <v>0</v>
      </c>
      <c r="R568" s="110">
        <f t="shared" si="194"/>
        <v>0</v>
      </c>
      <c r="S568" s="112" t="s">
        <v>3000</v>
      </c>
    </row>
    <row r="569" spans="1:19">
      <c r="A569" s="142" t="s">
        <v>714</v>
      </c>
      <c r="B569" s="153" t="s">
        <v>1480</v>
      </c>
      <c r="C569" s="142"/>
      <c r="D569" s="143">
        <v>0</v>
      </c>
      <c r="E569" s="144"/>
      <c r="F569" s="76"/>
      <c r="G569" s="112"/>
      <c r="H569" s="120"/>
      <c r="I569" s="120"/>
      <c r="J569" s="120"/>
      <c r="K569" s="77"/>
      <c r="L569" s="77"/>
      <c r="M569" s="77"/>
      <c r="N569" s="77"/>
      <c r="O569" s="77"/>
      <c r="P569" s="77"/>
      <c r="Q569" s="77"/>
      <c r="R569" s="77"/>
      <c r="S569" s="77"/>
    </row>
    <row r="570" spans="1:19" ht="30">
      <c r="A570" s="142"/>
      <c r="B570" s="153" t="s">
        <v>1424</v>
      </c>
      <c r="C570" s="142" t="s">
        <v>4</v>
      </c>
      <c r="D570" s="143">
        <v>2169</v>
      </c>
      <c r="E570" s="144"/>
      <c r="F570" s="334">
        <v>2169</v>
      </c>
      <c r="G570" s="112" t="s">
        <v>3000</v>
      </c>
      <c r="H570" s="120" t="s">
        <v>3126</v>
      </c>
      <c r="I570" s="120" t="s">
        <v>2748</v>
      </c>
      <c r="J570" s="120" t="s">
        <v>772</v>
      </c>
      <c r="K570" s="110">
        <v>106100</v>
      </c>
      <c r="L570" s="110"/>
      <c r="M570" s="110">
        <v>40300</v>
      </c>
      <c r="N570" s="110"/>
      <c r="O570" s="110"/>
      <c r="P570" s="110">
        <f>K570+L570+M570+N570+O570</f>
        <v>146400</v>
      </c>
      <c r="Q570" s="110">
        <f>$P570*D570</f>
        <v>317541600</v>
      </c>
      <c r="R570" s="110">
        <f>$P570*F570</f>
        <v>317541600</v>
      </c>
      <c r="S570" s="112" t="s">
        <v>3000</v>
      </c>
    </row>
    <row r="571" spans="1:19">
      <c r="A571" s="142" t="s">
        <v>691</v>
      </c>
      <c r="B571" s="153" t="s">
        <v>1481</v>
      </c>
      <c r="C571" s="142"/>
      <c r="D571" s="143"/>
      <c r="E571" s="144"/>
      <c r="F571" s="76"/>
      <c r="G571" s="112"/>
      <c r="H571" s="120"/>
      <c r="I571" s="120"/>
      <c r="J571" s="120"/>
      <c r="K571" s="77"/>
      <c r="L571" s="77"/>
      <c r="M571" s="77"/>
      <c r="N571" s="77"/>
      <c r="O571" s="77"/>
      <c r="P571" s="77"/>
      <c r="Q571" s="77"/>
      <c r="R571" s="77"/>
      <c r="S571" s="77"/>
    </row>
    <row r="572" spans="1:19" ht="30">
      <c r="A572" s="142"/>
      <c r="B572" s="153" t="s">
        <v>1476</v>
      </c>
      <c r="C572" s="142" t="s">
        <v>4</v>
      </c>
      <c r="D572" s="143">
        <v>15</v>
      </c>
      <c r="E572" s="144"/>
      <c r="F572" s="334">
        <v>15</v>
      </c>
      <c r="G572" s="112" t="s">
        <v>2990</v>
      </c>
      <c r="H572" s="120" t="s">
        <v>3095</v>
      </c>
      <c r="I572" s="120" t="s">
        <v>2748</v>
      </c>
      <c r="J572" s="120" t="s">
        <v>772</v>
      </c>
      <c r="K572" s="110">
        <v>30500</v>
      </c>
      <c r="L572" s="110"/>
      <c r="M572" s="110">
        <v>62000</v>
      </c>
      <c r="N572" s="110"/>
      <c r="O572" s="110"/>
      <c r="P572" s="110">
        <f t="shared" ref="P572:P575" si="195">K572+L572+M572+N572+O572</f>
        <v>92500</v>
      </c>
      <c r="Q572" s="110">
        <f t="shared" ref="Q572:Q575" si="196">$P572*D572</f>
        <v>1387500</v>
      </c>
      <c r="R572" s="110">
        <f t="shared" ref="R572:R575" si="197">$P572*F572</f>
        <v>1387500</v>
      </c>
      <c r="S572" s="112" t="s">
        <v>2990</v>
      </c>
    </row>
    <row r="573" spans="1:19" ht="30">
      <c r="A573" s="142"/>
      <c r="B573" s="153" t="s">
        <v>1478</v>
      </c>
      <c r="C573" s="142" t="s">
        <v>4</v>
      </c>
      <c r="D573" s="143">
        <v>508</v>
      </c>
      <c r="E573" s="144"/>
      <c r="F573" s="334">
        <v>508</v>
      </c>
      <c r="G573" s="112" t="s">
        <v>2990</v>
      </c>
      <c r="H573" s="120" t="s">
        <v>3097</v>
      </c>
      <c r="I573" s="120" t="s">
        <v>2748</v>
      </c>
      <c r="J573" s="120" t="s">
        <v>772</v>
      </c>
      <c r="K573" s="110">
        <v>14900</v>
      </c>
      <c r="L573" s="110"/>
      <c r="M573" s="110">
        <v>40300</v>
      </c>
      <c r="N573" s="110"/>
      <c r="O573" s="110"/>
      <c r="P573" s="110">
        <f t="shared" si="195"/>
        <v>55200</v>
      </c>
      <c r="Q573" s="110">
        <f t="shared" si="196"/>
        <v>28041600</v>
      </c>
      <c r="R573" s="110">
        <f t="shared" si="197"/>
        <v>28041600</v>
      </c>
      <c r="S573" s="112" t="s">
        <v>2990</v>
      </c>
    </row>
    <row r="574" spans="1:19" ht="30">
      <c r="A574" s="142"/>
      <c r="B574" s="153" t="s">
        <v>1482</v>
      </c>
      <c r="C574" s="142" t="s">
        <v>4</v>
      </c>
      <c r="D574" s="143">
        <v>407</v>
      </c>
      <c r="E574" s="144"/>
      <c r="F574" s="334">
        <v>407</v>
      </c>
      <c r="G574" s="112" t="s">
        <v>3098</v>
      </c>
      <c r="H574" s="120" t="s">
        <v>3099</v>
      </c>
      <c r="I574" s="120" t="s">
        <v>2748</v>
      </c>
      <c r="J574" s="120" t="s">
        <v>772</v>
      </c>
      <c r="K574" s="110">
        <v>9700</v>
      </c>
      <c r="L574" s="110"/>
      <c r="M574" s="110">
        <v>40300</v>
      </c>
      <c r="N574" s="110"/>
      <c r="O574" s="110"/>
      <c r="P574" s="110">
        <f t="shared" si="195"/>
        <v>50000</v>
      </c>
      <c r="Q574" s="110">
        <f t="shared" si="196"/>
        <v>20350000</v>
      </c>
      <c r="R574" s="110">
        <f t="shared" si="197"/>
        <v>20350000</v>
      </c>
      <c r="S574" s="112" t="s">
        <v>3098</v>
      </c>
    </row>
    <row r="575" spans="1:19" ht="30">
      <c r="A575" s="146"/>
      <c r="B575" s="150" t="s">
        <v>1437</v>
      </c>
      <c r="C575" s="146" t="s">
        <v>4</v>
      </c>
      <c r="D575" s="147">
        <v>193</v>
      </c>
      <c r="E575" s="148"/>
      <c r="F575" s="334">
        <v>193</v>
      </c>
      <c r="G575" s="112" t="s">
        <v>2990</v>
      </c>
      <c r="H575" s="120" t="s">
        <v>3096</v>
      </c>
      <c r="I575" s="120" t="s">
        <v>2748</v>
      </c>
      <c r="J575" s="120" t="s">
        <v>772</v>
      </c>
      <c r="K575" s="110">
        <v>15000</v>
      </c>
      <c r="L575" s="110"/>
      <c r="M575" s="110">
        <v>40300</v>
      </c>
      <c r="N575" s="110"/>
      <c r="O575" s="110"/>
      <c r="P575" s="110">
        <f t="shared" si="195"/>
        <v>55300</v>
      </c>
      <c r="Q575" s="110">
        <f t="shared" si="196"/>
        <v>10672900</v>
      </c>
      <c r="R575" s="110">
        <f t="shared" si="197"/>
        <v>10672900</v>
      </c>
      <c r="S575" s="112" t="s">
        <v>2990</v>
      </c>
    </row>
    <row r="576" spans="1:19">
      <c r="A576" s="142" t="s">
        <v>715</v>
      </c>
      <c r="B576" s="153" t="s">
        <v>1419</v>
      </c>
      <c r="C576" s="142"/>
      <c r="D576" s="143"/>
      <c r="E576" s="144"/>
      <c r="F576" s="88"/>
      <c r="G576" s="453"/>
      <c r="H576" s="454"/>
      <c r="I576" s="454"/>
      <c r="J576" s="454"/>
      <c r="K576" s="87"/>
      <c r="L576" s="87"/>
      <c r="M576" s="87"/>
      <c r="N576" s="87"/>
      <c r="O576" s="87"/>
      <c r="P576" s="87"/>
      <c r="Q576" s="87"/>
      <c r="R576" s="87"/>
      <c r="S576" s="87"/>
    </row>
    <row r="577" spans="1:19" ht="30">
      <c r="A577" s="142"/>
      <c r="B577" s="153" t="s">
        <v>1250</v>
      </c>
      <c r="C577" s="142" t="s">
        <v>4</v>
      </c>
      <c r="D577" s="143">
        <v>771</v>
      </c>
      <c r="E577" s="144"/>
      <c r="F577" s="334">
        <v>771</v>
      </c>
      <c r="G577" s="112" t="s">
        <v>3101</v>
      </c>
      <c r="H577" s="120" t="s">
        <v>3108</v>
      </c>
      <c r="I577" s="120" t="s">
        <v>2748</v>
      </c>
      <c r="J577" s="120" t="s">
        <v>772</v>
      </c>
      <c r="K577" s="110">
        <v>35900</v>
      </c>
      <c r="L577" s="110"/>
      <c r="M577" s="110">
        <v>62000</v>
      </c>
      <c r="N577" s="110"/>
      <c r="O577" s="110"/>
      <c r="P577" s="110">
        <f t="shared" ref="P577:P581" si="198">K577+L577+M577+N577+O577</f>
        <v>97900</v>
      </c>
      <c r="Q577" s="110">
        <f t="shared" ref="Q577:Q581" si="199">$P577*D577</f>
        <v>75480900</v>
      </c>
      <c r="R577" s="110">
        <f t="shared" ref="R577:R581" si="200">$P577*F577</f>
        <v>75480900</v>
      </c>
      <c r="S577" s="112" t="s">
        <v>3101</v>
      </c>
    </row>
    <row r="578" spans="1:19" ht="30">
      <c r="A578" s="142"/>
      <c r="B578" s="153" t="s">
        <v>1424</v>
      </c>
      <c r="C578" s="142" t="s">
        <v>4</v>
      </c>
      <c r="D578" s="143">
        <v>2165</v>
      </c>
      <c r="E578" s="144"/>
      <c r="F578" s="334">
        <v>2165</v>
      </c>
      <c r="G578" s="112" t="s">
        <v>3101</v>
      </c>
      <c r="H578" s="120" t="s">
        <v>3110</v>
      </c>
      <c r="I578" s="120" t="s">
        <v>2748</v>
      </c>
      <c r="J578" s="120" t="s">
        <v>772</v>
      </c>
      <c r="K578" s="110">
        <v>16100</v>
      </c>
      <c r="L578" s="110"/>
      <c r="M578" s="110">
        <v>40300</v>
      </c>
      <c r="N578" s="110"/>
      <c r="O578" s="110"/>
      <c r="P578" s="110">
        <f t="shared" si="198"/>
        <v>56400</v>
      </c>
      <c r="Q578" s="110">
        <f t="shared" si="199"/>
        <v>122106000</v>
      </c>
      <c r="R578" s="110">
        <f t="shared" si="200"/>
        <v>122106000</v>
      </c>
      <c r="S578" s="112" t="s">
        <v>3101</v>
      </c>
    </row>
    <row r="579" spans="1:19" ht="30">
      <c r="A579" s="146"/>
      <c r="B579" s="150" t="s">
        <v>1438</v>
      </c>
      <c r="C579" s="146" t="s">
        <v>4</v>
      </c>
      <c r="D579" s="147">
        <v>680</v>
      </c>
      <c r="E579" s="148"/>
      <c r="F579" s="334">
        <v>680</v>
      </c>
      <c r="G579" s="112" t="s">
        <v>3101</v>
      </c>
      <c r="H579" s="120" t="s">
        <v>3111</v>
      </c>
      <c r="I579" s="120" t="s">
        <v>2748</v>
      </c>
      <c r="J579" s="120" t="s">
        <v>772</v>
      </c>
      <c r="K579" s="110">
        <v>11100</v>
      </c>
      <c r="L579" s="110"/>
      <c r="M579" s="110">
        <v>31000</v>
      </c>
      <c r="N579" s="110"/>
      <c r="O579" s="110"/>
      <c r="P579" s="110">
        <f t="shared" si="198"/>
        <v>42100</v>
      </c>
      <c r="Q579" s="110">
        <f t="shared" si="199"/>
        <v>28628000</v>
      </c>
      <c r="R579" s="110">
        <f t="shared" si="200"/>
        <v>28628000</v>
      </c>
      <c r="S579" s="112" t="s">
        <v>3101</v>
      </c>
    </row>
    <row r="580" spans="1:19" ht="30">
      <c r="A580" s="142"/>
      <c r="B580" s="153" t="s">
        <v>1470</v>
      </c>
      <c r="C580" s="142" t="s">
        <v>4</v>
      </c>
      <c r="D580" s="143">
        <v>503</v>
      </c>
      <c r="E580" s="144"/>
      <c r="F580" s="334">
        <v>503</v>
      </c>
      <c r="G580" s="112" t="s">
        <v>3101</v>
      </c>
      <c r="H580" s="120" t="s">
        <v>3112</v>
      </c>
      <c r="I580" s="120" t="s">
        <v>2748</v>
      </c>
      <c r="J580" s="120" t="s">
        <v>772</v>
      </c>
      <c r="K580" s="110">
        <v>3300</v>
      </c>
      <c r="L580" s="110"/>
      <c r="M580" s="110">
        <v>24800</v>
      </c>
      <c r="N580" s="110"/>
      <c r="O580" s="110"/>
      <c r="P580" s="110">
        <f t="shared" si="198"/>
        <v>28100</v>
      </c>
      <c r="Q580" s="110">
        <f t="shared" si="199"/>
        <v>14134300</v>
      </c>
      <c r="R580" s="110">
        <f t="shared" si="200"/>
        <v>14134300</v>
      </c>
      <c r="S580" s="112" t="s">
        <v>3101</v>
      </c>
    </row>
    <row r="581" spans="1:19" ht="30">
      <c r="A581" s="142"/>
      <c r="B581" s="153" t="s">
        <v>1471</v>
      </c>
      <c r="C581" s="142" t="s">
        <v>4</v>
      </c>
      <c r="D581" s="143">
        <v>772</v>
      </c>
      <c r="E581" s="144"/>
      <c r="F581" s="334">
        <v>772</v>
      </c>
      <c r="G581" s="112" t="s">
        <v>3101</v>
      </c>
      <c r="H581" s="120" t="s">
        <v>3113</v>
      </c>
      <c r="I581" s="120" t="s">
        <v>2748</v>
      </c>
      <c r="J581" s="120" t="s">
        <v>772</v>
      </c>
      <c r="K581" s="110">
        <v>2200</v>
      </c>
      <c r="L581" s="110"/>
      <c r="M581" s="110">
        <v>24800</v>
      </c>
      <c r="N581" s="110"/>
      <c r="O581" s="110"/>
      <c r="P581" s="110">
        <f t="shared" si="198"/>
        <v>27000</v>
      </c>
      <c r="Q581" s="110">
        <f t="shared" si="199"/>
        <v>20844000</v>
      </c>
      <c r="R581" s="110">
        <f t="shared" si="200"/>
        <v>20844000</v>
      </c>
      <c r="S581" s="112" t="s">
        <v>3101</v>
      </c>
    </row>
    <row r="582" spans="1:19">
      <c r="A582" s="146"/>
      <c r="B582" s="150" t="s">
        <v>1483</v>
      </c>
      <c r="C582" s="146"/>
      <c r="D582" s="147"/>
      <c r="E582" s="148"/>
      <c r="F582" s="172"/>
      <c r="G582" s="457"/>
      <c r="H582" s="457"/>
      <c r="I582" s="457"/>
      <c r="J582" s="457"/>
      <c r="K582" s="172"/>
      <c r="L582" s="172"/>
      <c r="M582" s="172"/>
      <c r="N582" s="172"/>
      <c r="O582" s="172"/>
      <c r="P582" s="172"/>
      <c r="Q582" s="172"/>
      <c r="R582" s="172"/>
      <c r="S582" s="380"/>
    </row>
    <row r="583" spans="1:19" ht="45">
      <c r="A583" s="146"/>
      <c r="B583" s="150" t="s">
        <v>1250</v>
      </c>
      <c r="C583" s="146" t="s">
        <v>4</v>
      </c>
      <c r="D583" s="147">
        <v>893</v>
      </c>
      <c r="E583" s="148"/>
      <c r="F583" s="334">
        <v>893</v>
      </c>
      <c r="G583" s="112" t="s">
        <v>3114</v>
      </c>
      <c r="H583" s="120" t="s">
        <v>3122</v>
      </c>
      <c r="I583" s="120" t="s">
        <v>2748</v>
      </c>
      <c r="J583" s="120" t="s">
        <v>772</v>
      </c>
      <c r="K583" s="110">
        <v>101700</v>
      </c>
      <c r="L583" s="110"/>
      <c r="M583" s="110">
        <v>93000</v>
      </c>
      <c r="N583" s="110"/>
      <c r="O583" s="110"/>
      <c r="P583" s="110">
        <f t="shared" ref="P583:P591" si="201">K583+L583+M583+N583+O583</f>
        <v>194700</v>
      </c>
      <c r="Q583" s="110">
        <f t="shared" ref="Q583:Q591" si="202">$P583*D583</f>
        <v>173867100</v>
      </c>
      <c r="R583" s="110">
        <f t="shared" ref="R583:R591" si="203">$P583*F583</f>
        <v>173867100</v>
      </c>
      <c r="S583" s="112" t="s">
        <v>3114</v>
      </c>
    </row>
    <row r="584" spans="1:19" ht="60">
      <c r="A584" s="146"/>
      <c r="B584" s="150" t="s">
        <v>1424</v>
      </c>
      <c r="C584" s="146" t="s">
        <v>4</v>
      </c>
      <c r="D584" s="147">
        <v>966</v>
      </c>
      <c r="E584" s="148"/>
      <c r="F584" s="334">
        <v>966</v>
      </c>
      <c r="G584" s="112" t="s">
        <v>3114</v>
      </c>
      <c r="H584" s="120" t="s">
        <v>3124</v>
      </c>
      <c r="I584" s="120" t="s">
        <v>2748</v>
      </c>
      <c r="J584" s="120" t="s">
        <v>772</v>
      </c>
      <c r="K584" s="110">
        <v>65300</v>
      </c>
      <c r="L584" s="110"/>
      <c r="M584" s="110">
        <v>40300</v>
      </c>
      <c r="N584" s="110"/>
      <c r="O584" s="110"/>
      <c r="P584" s="110">
        <f t="shared" si="201"/>
        <v>105600</v>
      </c>
      <c r="Q584" s="110">
        <f t="shared" si="202"/>
        <v>102009600</v>
      </c>
      <c r="R584" s="110">
        <f t="shared" si="203"/>
        <v>102009600</v>
      </c>
      <c r="S584" s="112" t="s">
        <v>3114</v>
      </c>
    </row>
    <row r="585" spans="1:19" ht="30">
      <c r="A585" s="142">
        <v>12</v>
      </c>
      <c r="B585" s="153" t="s">
        <v>1484</v>
      </c>
      <c r="C585" s="142" t="s">
        <v>17</v>
      </c>
      <c r="D585" s="143">
        <v>1</v>
      </c>
      <c r="E585" s="144"/>
      <c r="F585" s="334">
        <v>1</v>
      </c>
      <c r="G585" s="112">
        <v>0</v>
      </c>
      <c r="H585" s="120">
        <v>0</v>
      </c>
      <c r="I585" s="120">
        <v>0</v>
      </c>
      <c r="J585" s="120">
        <v>0</v>
      </c>
      <c r="K585" s="110">
        <v>144190400</v>
      </c>
      <c r="L585" s="110"/>
      <c r="M585" s="110">
        <v>0</v>
      </c>
      <c r="N585" s="110"/>
      <c r="O585" s="110"/>
      <c r="P585" s="110">
        <f t="shared" si="201"/>
        <v>144190400</v>
      </c>
      <c r="Q585" s="110">
        <f t="shared" si="202"/>
        <v>144190400</v>
      </c>
      <c r="R585" s="110">
        <f t="shared" si="203"/>
        <v>144190400</v>
      </c>
      <c r="S585" s="112">
        <v>0</v>
      </c>
    </row>
    <row r="586" spans="1:19" ht="45">
      <c r="A586" s="146"/>
      <c r="B586" s="150" t="s">
        <v>1485</v>
      </c>
      <c r="C586" s="146" t="s">
        <v>4</v>
      </c>
      <c r="D586" s="147">
        <v>845</v>
      </c>
      <c r="E586" s="148"/>
      <c r="F586" s="334">
        <v>845</v>
      </c>
      <c r="G586" s="112" t="s">
        <v>3136</v>
      </c>
      <c r="H586" s="120">
        <v>0</v>
      </c>
      <c r="I586" s="120">
        <v>0</v>
      </c>
      <c r="J586" s="120" t="s">
        <v>772</v>
      </c>
      <c r="K586" s="110">
        <v>95800</v>
      </c>
      <c r="L586" s="110"/>
      <c r="M586" s="110">
        <v>229400</v>
      </c>
      <c r="N586" s="110"/>
      <c r="O586" s="110"/>
      <c r="P586" s="110">
        <f t="shared" si="201"/>
        <v>325200</v>
      </c>
      <c r="Q586" s="110">
        <f t="shared" si="202"/>
        <v>274794000</v>
      </c>
      <c r="R586" s="110">
        <f t="shared" si="203"/>
        <v>274794000</v>
      </c>
      <c r="S586" s="112" t="s">
        <v>3136</v>
      </c>
    </row>
    <row r="587" spans="1:19" ht="30">
      <c r="A587" s="146"/>
      <c r="B587" s="150" t="s">
        <v>1450</v>
      </c>
      <c r="C587" s="146" t="s">
        <v>4</v>
      </c>
      <c r="D587" s="147">
        <v>49</v>
      </c>
      <c r="E587" s="148"/>
      <c r="F587" s="334">
        <v>49</v>
      </c>
      <c r="G587" s="112">
        <v>0</v>
      </c>
      <c r="H587" s="120">
        <v>0</v>
      </c>
      <c r="I587" s="120">
        <v>0</v>
      </c>
      <c r="J587" s="120" t="s">
        <v>772</v>
      </c>
      <c r="K587" s="110">
        <v>48800</v>
      </c>
      <c r="L587" s="110"/>
      <c r="M587" s="110">
        <v>157700</v>
      </c>
      <c r="N587" s="110"/>
      <c r="O587" s="110"/>
      <c r="P587" s="110">
        <f t="shared" si="201"/>
        <v>206500</v>
      </c>
      <c r="Q587" s="110">
        <f t="shared" si="202"/>
        <v>10118500</v>
      </c>
      <c r="R587" s="110">
        <f t="shared" si="203"/>
        <v>10118500</v>
      </c>
      <c r="S587" s="112">
        <v>0</v>
      </c>
    </row>
    <row r="588" spans="1:19" ht="30">
      <c r="A588" s="146"/>
      <c r="B588" s="150" t="s">
        <v>1486</v>
      </c>
      <c r="C588" s="146" t="s">
        <v>4</v>
      </c>
      <c r="D588" s="147">
        <v>2845</v>
      </c>
      <c r="E588" s="148"/>
      <c r="F588" s="334">
        <v>2845</v>
      </c>
      <c r="G588" s="112">
        <v>0</v>
      </c>
      <c r="H588" s="120">
        <v>0</v>
      </c>
      <c r="I588" s="120">
        <v>0</v>
      </c>
      <c r="J588" s="120" t="s">
        <v>772</v>
      </c>
      <c r="K588" s="110">
        <v>42000</v>
      </c>
      <c r="L588" s="110"/>
      <c r="M588" s="110">
        <v>99700</v>
      </c>
      <c r="N588" s="110"/>
      <c r="O588" s="110"/>
      <c r="P588" s="110">
        <f t="shared" si="201"/>
        <v>141700</v>
      </c>
      <c r="Q588" s="110">
        <f t="shared" si="202"/>
        <v>403136500</v>
      </c>
      <c r="R588" s="110">
        <f t="shared" si="203"/>
        <v>403136500</v>
      </c>
      <c r="S588" s="112">
        <v>0</v>
      </c>
    </row>
    <row r="589" spans="1:19">
      <c r="A589" s="146"/>
      <c r="B589" s="150" t="s">
        <v>1451</v>
      </c>
      <c r="C589" s="146" t="s">
        <v>4</v>
      </c>
      <c r="D589" s="147">
        <v>845</v>
      </c>
      <c r="E589" s="148"/>
      <c r="F589" s="334">
        <v>845</v>
      </c>
      <c r="G589" s="112">
        <v>0</v>
      </c>
      <c r="H589" s="120">
        <v>0</v>
      </c>
      <c r="I589" s="120">
        <v>0</v>
      </c>
      <c r="J589" s="120" t="s">
        <v>772</v>
      </c>
      <c r="K589" s="110">
        <v>125700</v>
      </c>
      <c r="L589" s="110"/>
      <c r="M589" s="110">
        <v>102700</v>
      </c>
      <c r="N589" s="110"/>
      <c r="O589" s="110"/>
      <c r="P589" s="110">
        <f t="shared" si="201"/>
        <v>228400</v>
      </c>
      <c r="Q589" s="110">
        <f t="shared" si="202"/>
        <v>192998000</v>
      </c>
      <c r="R589" s="110">
        <f t="shared" si="203"/>
        <v>192998000</v>
      </c>
      <c r="S589" s="112">
        <v>0</v>
      </c>
    </row>
    <row r="590" spans="1:19">
      <c r="A590" s="146"/>
      <c r="B590" s="150" t="s">
        <v>1452</v>
      </c>
      <c r="C590" s="146" t="s">
        <v>4</v>
      </c>
      <c r="D590" s="147">
        <v>49</v>
      </c>
      <c r="E590" s="148"/>
      <c r="F590" s="334">
        <v>49</v>
      </c>
      <c r="G590" s="112">
        <v>0</v>
      </c>
      <c r="H590" s="120">
        <v>0</v>
      </c>
      <c r="I590" s="120">
        <v>0</v>
      </c>
      <c r="J590" s="120" t="s">
        <v>772</v>
      </c>
      <c r="K590" s="110">
        <v>115500</v>
      </c>
      <c r="L590" s="110"/>
      <c r="M590" s="110">
        <v>102700</v>
      </c>
      <c r="N590" s="110"/>
      <c r="O590" s="110"/>
      <c r="P590" s="110">
        <f t="shared" si="201"/>
        <v>218200</v>
      </c>
      <c r="Q590" s="110">
        <f t="shared" si="202"/>
        <v>10691800</v>
      </c>
      <c r="R590" s="110">
        <f t="shared" si="203"/>
        <v>10691800</v>
      </c>
      <c r="S590" s="112">
        <v>0</v>
      </c>
    </row>
    <row r="591" spans="1:19">
      <c r="A591" s="146"/>
      <c r="B591" s="150" t="s">
        <v>1487</v>
      </c>
      <c r="C591" s="146" t="s">
        <v>4</v>
      </c>
      <c r="D591" s="147">
        <v>2845</v>
      </c>
      <c r="E591" s="148"/>
      <c r="F591" s="334">
        <v>2845</v>
      </c>
      <c r="G591" s="112">
        <v>0</v>
      </c>
      <c r="H591" s="120">
        <v>0</v>
      </c>
      <c r="I591" s="120">
        <v>0</v>
      </c>
      <c r="J591" s="120" t="s">
        <v>772</v>
      </c>
      <c r="K591" s="110">
        <v>100300</v>
      </c>
      <c r="L591" s="110"/>
      <c r="M591" s="110">
        <v>102700</v>
      </c>
      <c r="N591" s="110"/>
      <c r="O591" s="110"/>
      <c r="P591" s="110">
        <f t="shared" si="201"/>
        <v>203000</v>
      </c>
      <c r="Q591" s="110">
        <f t="shared" si="202"/>
        <v>577535000</v>
      </c>
      <c r="R591" s="110">
        <f t="shared" si="203"/>
        <v>577535000</v>
      </c>
      <c r="S591" s="112">
        <v>0</v>
      </c>
    </row>
    <row r="592" spans="1:19">
      <c r="A592" s="169" t="s">
        <v>1488</v>
      </c>
      <c r="B592" s="152" t="s">
        <v>1489</v>
      </c>
      <c r="C592" s="142"/>
      <c r="D592" s="143">
        <v>0</v>
      </c>
      <c r="E592" s="144"/>
      <c r="F592" s="57"/>
      <c r="G592" s="121"/>
      <c r="H592" s="121"/>
      <c r="I592" s="121"/>
      <c r="J592" s="121"/>
      <c r="K592" s="57"/>
      <c r="L592" s="57"/>
      <c r="M592" s="57"/>
      <c r="N592" s="57"/>
      <c r="O592" s="57"/>
      <c r="P592" s="57"/>
      <c r="Q592" s="57"/>
      <c r="R592" s="57"/>
      <c r="S592" s="50"/>
    </row>
    <row r="593" spans="1:19" ht="45">
      <c r="A593" s="142"/>
      <c r="B593" s="153" t="s">
        <v>1490</v>
      </c>
      <c r="C593" s="142" t="s">
        <v>8</v>
      </c>
      <c r="D593" s="143">
        <v>594</v>
      </c>
      <c r="E593" s="144"/>
      <c r="F593" s="334">
        <v>594</v>
      </c>
      <c r="G593" s="112" t="s">
        <v>3129</v>
      </c>
      <c r="H593" s="120" t="s">
        <v>3130</v>
      </c>
      <c r="I593" s="120" t="s">
        <v>3131</v>
      </c>
      <c r="J593" s="120" t="s">
        <v>772</v>
      </c>
      <c r="K593" s="110">
        <v>3100800</v>
      </c>
      <c r="L593" s="110"/>
      <c r="M593" s="110">
        <v>906800</v>
      </c>
      <c r="N593" s="110"/>
      <c r="O593" s="110"/>
      <c r="P593" s="110">
        <f t="shared" ref="P593:P609" si="204">K593+L593+M593+N593+O593</f>
        <v>4007600</v>
      </c>
      <c r="Q593" s="110">
        <f t="shared" ref="Q593:Q609" si="205">$P593*D593</f>
        <v>2380514400</v>
      </c>
      <c r="R593" s="110">
        <f t="shared" ref="R593:R609" si="206">$P593*F593</f>
        <v>2380514400</v>
      </c>
      <c r="S593" s="112" t="s">
        <v>3129</v>
      </c>
    </row>
    <row r="594" spans="1:19" ht="45">
      <c r="A594" s="142"/>
      <c r="B594" s="153" t="s">
        <v>1491</v>
      </c>
      <c r="C594" s="142" t="s">
        <v>8</v>
      </c>
      <c r="D594" s="143">
        <v>177</v>
      </c>
      <c r="E594" s="144"/>
      <c r="F594" s="334">
        <v>177</v>
      </c>
      <c r="G594" s="112" t="s">
        <v>3129</v>
      </c>
      <c r="H594" s="120" t="s">
        <v>3132</v>
      </c>
      <c r="I594" s="120" t="s">
        <v>3131</v>
      </c>
      <c r="J594" s="120" t="s">
        <v>772</v>
      </c>
      <c r="K594" s="110">
        <v>3971800</v>
      </c>
      <c r="L594" s="110"/>
      <c r="M594" s="110">
        <v>906800</v>
      </c>
      <c r="N594" s="110"/>
      <c r="O594" s="110"/>
      <c r="P594" s="110">
        <f t="shared" si="204"/>
        <v>4878600</v>
      </c>
      <c r="Q594" s="110">
        <f t="shared" si="205"/>
        <v>863512200</v>
      </c>
      <c r="R594" s="110">
        <f t="shared" si="206"/>
        <v>863512200</v>
      </c>
      <c r="S594" s="112" t="s">
        <v>3129</v>
      </c>
    </row>
    <row r="595" spans="1:19">
      <c r="A595" s="146"/>
      <c r="B595" s="150" t="s">
        <v>1492</v>
      </c>
      <c r="C595" s="142" t="s">
        <v>8</v>
      </c>
      <c r="D595" s="147">
        <v>630</v>
      </c>
      <c r="E595" s="144"/>
      <c r="F595" s="334">
        <v>630</v>
      </c>
      <c r="G595" s="112">
        <v>0</v>
      </c>
      <c r="H595" s="120">
        <v>0</v>
      </c>
      <c r="I595" s="120">
        <v>0</v>
      </c>
      <c r="J595" s="120" t="s">
        <v>772</v>
      </c>
      <c r="K595" s="110">
        <v>460300</v>
      </c>
      <c r="L595" s="110"/>
      <c r="M595" s="110">
        <v>75200</v>
      </c>
      <c r="N595" s="110"/>
      <c r="O595" s="110"/>
      <c r="P595" s="110">
        <f t="shared" si="204"/>
        <v>535500</v>
      </c>
      <c r="Q595" s="110">
        <f t="shared" si="205"/>
        <v>337365000</v>
      </c>
      <c r="R595" s="110">
        <f t="shared" si="206"/>
        <v>337365000</v>
      </c>
      <c r="S595" s="112">
        <v>0</v>
      </c>
    </row>
    <row r="596" spans="1:19">
      <c r="A596" s="146"/>
      <c r="B596" s="150" t="s">
        <v>1493</v>
      </c>
      <c r="C596" s="142" t="s">
        <v>8</v>
      </c>
      <c r="D596" s="147">
        <v>503</v>
      </c>
      <c r="E596" s="144"/>
      <c r="F596" s="334">
        <v>503</v>
      </c>
      <c r="G596" s="112">
        <v>0</v>
      </c>
      <c r="H596" s="120">
        <v>0</v>
      </c>
      <c r="I596" s="120">
        <v>0</v>
      </c>
      <c r="J596" s="120" t="s">
        <v>772</v>
      </c>
      <c r="K596" s="110">
        <v>460300</v>
      </c>
      <c r="L596" s="110"/>
      <c r="M596" s="110">
        <v>75200</v>
      </c>
      <c r="N596" s="110"/>
      <c r="O596" s="110"/>
      <c r="P596" s="110">
        <f t="shared" si="204"/>
        <v>535500</v>
      </c>
      <c r="Q596" s="110">
        <f t="shared" si="205"/>
        <v>269356500</v>
      </c>
      <c r="R596" s="110">
        <f t="shared" si="206"/>
        <v>269356500</v>
      </c>
      <c r="S596" s="112">
        <v>0</v>
      </c>
    </row>
    <row r="597" spans="1:19" ht="30">
      <c r="A597" s="142"/>
      <c r="B597" s="153" t="s">
        <v>1494</v>
      </c>
      <c r="C597" s="142" t="s">
        <v>8</v>
      </c>
      <c r="D597" s="143">
        <v>771</v>
      </c>
      <c r="E597" s="585" t="s">
        <v>1495</v>
      </c>
      <c r="F597" s="334">
        <v>771</v>
      </c>
      <c r="G597" s="112" t="s">
        <v>3133</v>
      </c>
      <c r="H597" s="120">
        <v>0</v>
      </c>
      <c r="I597" s="120">
        <v>0</v>
      </c>
      <c r="J597" s="120" t="s">
        <v>772</v>
      </c>
      <c r="K597" s="110">
        <v>11900</v>
      </c>
      <c r="L597" s="110"/>
      <c r="M597" s="110">
        <v>1064300</v>
      </c>
      <c r="N597" s="110"/>
      <c r="O597" s="110"/>
      <c r="P597" s="110">
        <f t="shared" si="204"/>
        <v>1076200</v>
      </c>
      <c r="Q597" s="110">
        <f t="shared" si="205"/>
        <v>829750200</v>
      </c>
      <c r="R597" s="110">
        <f t="shared" si="206"/>
        <v>829750200</v>
      </c>
      <c r="S597" s="112" t="s">
        <v>1495</v>
      </c>
    </row>
    <row r="598" spans="1:19" ht="30">
      <c r="A598" s="142"/>
      <c r="B598" s="153" t="s">
        <v>1496</v>
      </c>
      <c r="C598" s="142" t="s">
        <v>8</v>
      </c>
      <c r="D598" s="143">
        <v>771</v>
      </c>
      <c r="E598" s="585"/>
      <c r="F598" s="334">
        <v>771</v>
      </c>
      <c r="G598" s="112" t="s">
        <v>3133</v>
      </c>
      <c r="H598" s="120">
        <v>0</v>
      </c>
      <c r="I598" s="120">
        <v>0</v>
      </c>
      <c r="J598" s="120" t="s">
        <v>772</v>
      </c>
      <c r="K598" s="110">
        <v>35700</v>
      </c>
      <c r="L598" s="110"/>
      <c r="M598" s="110">
        <v>705900</v>
      </c>
      <c r="N598" s="110"/>
      <c r="O598" s="110"/>
      <c r="P598" s="110">
        <f t="shared" si="204"/>
        <v>741600</v>
      </c>
      <c r="Q598" s="110">
        <f t="shared" si="205"/>
        <v>571773600</v>
      </c>
      <c r="R598" s="110">
        <f t="shared" si="206"/>
        <v>571773600</v>
      </c>
      <c r="S598" s="112">
        <v>0</v>
      </c>
    </row>
    <row r="599" spans="1:19" ht="30">
      <c r="A599" s="142"/>
      <c r="B599" s="153" t="s">
        <v>1497</v>
      </c>
      <c r="C599" s="142" t="s">
        <v>8</v>
      </c>
      <c r="D599" s="143">
        <v>772</v>
      </c>
      <c r="E599" s="585"/>
      <c r="F599" s="334">
        <v>772</v>
      </c>
      <c r="G599" s="112" t="s">
        <v>3133</v>
      </c>
      <c r="H599" s="120">
        <v>0</v>
      </c>
      <c r="I599" s="120">
        <v>0</v>
      </c>
      <c r="J599" s="120" t="s">
        <v>772</v>
      </c>
      <c r="K599" s="110">
        <v>35700</v>
      </c>
      <c r="L599" s="110"/>
      <c r="M599" s="110">
        <v>491200</v>
      </c>
      <c r="N599" s="110"/>
      <c r="O599" s="110"/>
      <c r="P599" s="110">
        <f t="shared" si="204"/>
        <v>526900</v>
      </c>
      <c r="Q599" s="110">
        <f t="shared" si="205"/>
        <v>406766800</v>
      </c>
      <c r="R599" s="110">
        <f t="shared" si="206"/>
        <v>406766800</v>
      </c>
      <c r="S599" s="112">
        <v>0</v>
      </c>
    </row>
    <row r="600" spans="1:19" ht="30">
      <c r="A600" s="142"/>
      <c r="B600" s="153" t="s">
        <v>1498</v>
      </c>
      <c r="C600" s="142" t="s">
        <v>8</v>
      </c>
      <c r="D600" s="143">
        <v>503</v>
      </c>
      <c r="E600" s="585"/>
      <c r="F600" s="334">
        <v>503</v>
      </c>
      <c r="G600" s="112" t="s">
        <v>3133</v>
      </c>
      <c r="H600" s="120">
        <v>0</v>
      </c>
      <c r="I600" s="120">
        <v>0</v>
      </c>
      <c r="J600" s="120" t="s">
        <v>772</v>
      </c>
      <c r="K600" s="110">
        <v>35700</v>
      </c>
      <c r="L600" s="110"/>
      <c r="M600" s="110">
        <v>491200</v>
      </c>
      <c r="N600" s="110"/>
      <c r="O600" s="110"/>
      <c r="P600" s="110">
        <f t="shared" si="204"/>
        <v>526900</v>
      </c>
      <c r="Q600" s="110">
        <f t="shared" si="205"/>
        <v>265030700</v>
      </c>
      <c r="R600" s="110">
        <f t="shared" si="206"/>
        <v>265030700</v>
      </c>
      <c r="S600" s="112">
        <v>0</v>
      </c>
    </row>
    <row r="601" spans="1:19" ht="30">
      <c r="A601" s="142"/>
      <c r="B601" s="153" t="s">
        <v>1499</v>
      </c>
      <c r="C601" s="142" t="s">
        <v>8</v>
      </c>
      <c r="D601" s="143">
        <v>177</v>
      </c>
      <c r="E601" s="585"/>
      <c r="F601" s="334">
        <v>177</v>
      </c>
      <c r="G601" s="112" t="s">
        <v>3133</v>
      </c>
      <c r="H601" s="120">
        <v>0</v>
      </c>
      <c r="I601" s="120">
        <v>0</v>
      </c>
      <c r="J601" s="120" t="s">
        <v>772</v>
      </c>
      <c r="K601" s="110">
        <v>35700</v>
      </c>
      <c r="L601" s="110"/>
      <c r="M601" s="110">
        <v>3223700</v>
      </c>
      <c r="N601" s="110"/>
      <c r="O601" s="110"/>
      <c r="P601" s="110">
        <f t="shared" si="204"/>
        <v>3259400</v>
      </c>
      <c r="Q601" s="110">
        <f t="shared" si="205"/>
        <v>576913800</v>
      </c>
      <c r="R601" s="110">
        <f t="shared" si="206"/>
        <v>576913800</v>
      </c>
      <c r="S601" s="112">
        <v>0</v>
      </c>
    </row>
    <row r="602" spans="1:19" ht="30">
      <c r="A602" s="142"/>
      <c r="B602" s="153" t="s">
        <v>1500</v>
      </c>
      <c r="C602" s="142" t="s">
        <v>4</v>
      </c>
      <c r="D602" s="143">
        <v>2165</v>
      </c>
      <c r="E602" s="585"/>
      <c r="F602" s="334">
        <v>2165</v>
      </c>
      <c r="G602" s="112" t="s">
        <v>2698</v>
      </c>
      <c r="H602" s="120">
        <v>0</v>
      </c>
      <c r="I602" s="120">
        <v>0</v>
      </c>
      <c r="J602" s="120">
        <v>0</v>
      </c>
      <c r="K602" s="110">
        <v>7600</v>
      </c>
      <c r="L602" s="110"/>
      <c r="M602" s="110">
        <v>141900</v>
      </c>
      <c r="N602" s="110"/>
      <c r="O602" s="110"/>
      <c r="P602" s="110">
        <f t="shared" si="204"/>
        <v>149500</v>
      </c>
      <c r="Q602" s="110">
        <f t="shared" si="205"/>
        <v>323667500</v>
      </c>
      <c r="R602" s="110">
        <f t="shared" si="206"/>
        <v>323667500</v>
      </c>
      <c r="S602" s="112">
        <v>0</v>
      </c>
    </row>
    <row r="603" spans="1:19" ht="30">
      <c r="A603" s="146"/>
      <c r="B603" s="150" t="s">
        <v>1501</v>
      </c>
      <c r="C603" s="146" t="s">
        <v>4</v>
      </c>
      <c r="D603" s="147">
        <v>772</v>
      </c>
      <c r="E603" s="585"/>
      <c r="F603" s="334">
        <v>772</v>
      </c>
      <c r="G603" s="112" t="s">
        <v>3133</v>
      </c>
      <c r="H603" s="120">
        <v>0</v>
      </c>
      <c r="I603" s="120">
        <v>0</v>
      </c>
      <c r="J603" s="120" t="s">
        <v>772</v>
      </c>
      <c r="K603" s="110">
        <v>11900</v>
      </c>
      <c r="L603" s="110"/>
      <c r="M603" s="110">
        <v>387500</v>
      </c>
      <c r="N603" s="110"/>
      <c r="O603" s="110"/>
      <c r="P603" s="110">
        <f t="shared" si="204"/>
        <v>399400</v>
      </c>
      <c r="Q603" s="110">
        <f t="shared" si="205"/>
        <v>308336800</v>
      </c>
      <c r="R603" s="110">
        <f t="shared" si="206"/>
        <v>308336800</v>
      </c>
      <c r="S603" s="112">
        <v>0</v>
      </c>
    </row>
    <row r="604" spans="1:19" ht="30">
      <c r="A604" s="146"/>
      <c r="B604" s="150" t="s">
        <v>1502</v>
      </c>
      <c r="C604" s="146" t="s">
        <v>8</v>
      </c>
      <c r="D604" s="147">
        <v>771</v>
      </c>
      <c r="E604" s="585"/>
      <c r="F604" s="334">
        <v>771</v>
      </c>
      <c r="G604" s="112" t="s">
        <v>3133</v>
      </c>
      <c r="H604" s="120">
        <v>0</v>
      </c>
      <c r="I604" s="120">
        <v>0</v>
      </c>
      <c r="J604" s="120" t="s">
        <v>772</v>
      </c>
      <c r="K604" s="110">
        <v>6000</v>
      </c>
      <c r="L604" s="110"/>
      <c r="M604" s="110">
        <v>79600</v>
      </c>
      <c r="N604" s="110"/>
      <c r="O604" s="110"/>
      <c r="P604" s="110">
        <f t="shared" si="204"/>
        <v>85600</v>
      </c>
      <c r="Q604" s="110">
        <f t="shared" si="205"/>
        <v>65997600</v>
      </c>
      <c r="R604" s="110">
        <f t="shared" si="206"/>
        <v>65997600</v>
      </c>
      <c r="S604" s="112">
        <v>0</v>
      </c>
    </row>
    <row r="605" spans="1:19" ht="30">
      <c r="A605" s="146"/>
      <c r="B605" s="150" t="s">
        <v>1503</v>
      </c>
      <c r="C605" s="146" t="s">
        <v>8</v>
      </c>
      <c r="D605" s="147">
        <v>772</v>
      </c>
      <c r="E605" s="585"/>
      <c r="F605" s="334">
        <v>772</v>
      </c>
      <c r="G605" s="112" t="s">
        <v>3133</v>
      </c>
      <c r="H605" s="120">
        <v>0</v>
      </c>
      <c r="I605" s="120">
        <v>0</v>
      </c>
      <c r="J605" s="120" t="s">
        <v>772</v>
      </c>
      <c r="K605" s="110">
        <v>6000</v>
      </c>
      <c r="L605" s="110"/>
      <c r="M605" s="110">
        <v>101600</v>
      </c>
      <c r="N605" s="110"/>
      <c r="O605" s="110"/>
      <c r="P605" s="110">
        <f t="shared" si="204"/>
        <v>107600</v>
      </c>
      <c r="Q605" s="110">
        <f t="shared" si="205"/>
        <v>83067200</v>
      </c>
      <c r="R605" s="110">
        <f t="shared" si="206"/>
        <v>83067200</v>
      </c>
      <c r="S605" s="112">
        <v>0</v>
      </c>
    </row>
    <row r="606" spans="1:19" ht="30">
      <c r="A606" s="146"/>
      <c r="B606" s="150" t="s">
        <v>1504</v>
      </c>
      <c r="C606" s="146" t="s">
        <v>8</v>
      </c>
      <c r="D606" s="147">
        <v>771</v>
      </c>
      <c r="E606" s="585"/>
      <c r="F606" s="334">
        <v>771</v>
      </c>
      <c r="G606" s="112" t="s">
        <v>3133</v>
      </c>
      <c r="H606" s="120">
        <v>0</v>
      </c>
      <c r="I606" s="120">
        <v>0</v>
      </c>
      <c r="J606" s="120" t="s">
        <v>772</v>
      </c>
      <c r="K606" s="110">
        <v>6000</v>
      </c>
      <c r="L606" s="110"/>
      <c r="M606" s="110">
        <v>125100</v>
      </c>
      <c r="N606" s="110"/>
      <c r="O606" s="110"/>
      <c r="P606" s="110">
        <f t="shared" si="204"/>
        <v>131100</v>
      </c>
      <c r="Q606" s="110">
        <f t="shared" si="205"/>
        <v>101078100</v>
      </c>
      <c r="R606" s="110">
        <f t="shared" si="206"/>
        <v>101078100</v>
      </c>
      <c r="S606" s="112">
        <v>0</v>
      </c>
    </row>
    <row r="607" spans="1:19" ht="30">
      <c r="A607" s="146"/>
      <c r="B607" s="150" t="s">
        <v>1505</v>
      </c>
      <c r="C607" s="146" t="s">
        <v>8</v>
      </c>
      <c r="D607" s="147">
        <v>772</v>
      </c>
      <c r="E607" s="585"/>
      <c r="F607" s="334">
        <v>772</v>
      </c>
      <c r="G607" s="112" t="s">
        <v>3133</v>
      </c>
      <c r="H607" s="120">
        <v>0</v>
      </c>
      <c r="I607" s="120">
        <v>0</v>
      </c>
      <c r="J607" s="120" t="s">
        <v>772</v>
      </c>
      <c r="K607" s="110">
        <v>6000</v>
      </c>
      <c r="L607" s="110"/>
      <c r="M607" s="110">
        <v>101600</v>
      </c>
      <c r="N607" s="110"/>
      <c r="O607" s="110"/>
      <c r="P607" s="110">
        <f t="shared" si="204"/>
        <v>107600</v>
      </c>
      <c r="Q607" s="110">
        <f t="shared" si="205"/>
        <v>83067200</v>
      </c>
      <c r="R607" s="110">
        <f t="shared" si="206"/>
        <v>83067200</v>
      </c>
      <c r="S607" s="112">
        <v>0</v>
      </c>
    </row>
    <row r="608" spans="1:19" ht="30">
      <c r="A608" s="146"/>
      <c r="B608" s="150" t="s">
        <v>1506</v>
      </c>
      <c r="C608" s="146" t="s">
        <v>8</v>
      </c>
      <c r="D608" s="147">
        <v>772</v>
      </c>
      <c r="E608" s="585"/>
      <c r="F608" s="334">
        <v>772</v>
      </c>
      <c r="G608" s="112" t="s">
        <v>3133</v>
      </c>
      <c r="H608" s="120">
        <v>0</v>
      </c>
      <c r="I608" s="120">
        <v>0</v>
      </c>
      <c r="J608" s="120" t="s">
        <v>772</v>
      </c>
      <c r="K608" s="110">
        <v>6000</v>
      </c>
      <c r="L608" s="110"/>
      <c r="M608" s="110">
        <v>101600</v>
      </c>
      <c r="N608" s="110"/>
      <c r="O608" s="110"/>
      <c r="P608" s="110">
        <f t="shared" si="204"/>
        <v>107600</v>
      </c>
      <c r="Q608" s="110">
        <f t="shared" si="205"/>
        <v>83067200</v>
      </c>
      <c r="R608" s="110">
        <f t="shared" si="206"/>
        <v>83067200</v>
      </c>
      <c r="S608" s="112">
        <v>0</v>
      </c>
    </row>
    <row r="609" spans="1:19" ht="30">
      <c r="A609" s="146"/>
      <c r="B609" s="150" t="s">
        <v>1507</v>
      </c>
      <c r="C609" s="146" t="s">
        <v>8</v>
      </c>
      <c r="D609" s="147">
        <v>771</v>
      </c>
      <c r="E609" s="585"/>
      <c r="F609" s="334">
        <v>771</v>
      </c>
      <c r="G609" s="112" t="s">
        <v>3133</v>
      </c>
      <c r="H609" s="120">
        <v>0</v>
      </c>
      <c r="I609" s="120">
        <v>0</v>
      </c>
      <c r="J609" s="120" t="s">
        <v>772</v>
      </c>
      <c r="K609" s="110">
        <v>6000</v>
      </c>
      <c r="L609" s="110"/>
      <c r="M609" s="110">
        <v>125100</v>
      </c>
      <c r="N609" s="110"/>
      <c r="O609" s="110"/>
      <c r="P609" s="110">
        <f t="shared" si="204"/>
        <v>131100</v>
      </c>
      <c r="Q609" s="110">
        <f t="shared" si="205"/>
        <v>101078100</v>
      </c>
      <c r="R609" s="110">
        <f t="shared" si="206"/>
        <v>101078100</v>
      </c>
      <c r="S609" s="112">
        <v>0</v>
      </c>
    </row>
    <row r="610" spans="1:19">
      <c r="A610" s="163" t="s">
        <v>717</v>
      </c>
      <c r="B610" s="162" t="s">
        <v>1508</v>
      </c>
      <c r="C610" s="163"/>
      <c r="D610" s="164">
        <v>0</v>
      </c>
      <c r="E610" s="165"/>
      <c r="F610" s="166"/>
      <c r="G610" s="455"/>
      <c r="H610" s="455"/>
      <c r="I610" s="455"/>
      <c r="J610" s="455"/>
      <c r="K610" s="166"/>
      <c r="L610" s="166"/>
      <c r="M610" s="166"/>
      <c r="N610" s="166"/>
      <c r="O610" s="166"/>
      <c r="P610" s="166"/>
      <c r="Q610" s="166"/>
      <c r="R610" s="166"/>
      <c r="S610" s="377"/>
    </row>
    <row r="611" spans="1:19" ht="45">
      <c r="A611" s="142">
        <v>1</v>
      </c>
      <c r="B611" s="153" t="s">
        <v>1509</v>
      </c>
      <c r="C611" s="142" t="s">
        <v>8</v>
      </c>
      <c r="D611" s="143">
        <v>3</v>
      </c>
      <c r="E611" s="144" t="s">
        <v>1510</v>
      </c>
      <c r="F611" s="334">
        <v>3</v>
      </c>
      <c r="G611" s="112" t="s">
        <v>2860</v>
      </c>
      <c r="H611" s="120" t="s">
        <v>2861</v>
      </c>
      <c r="I611" s="120" t="s">
        <v>2862</v>
      </c>
      <c r="J611" s="120" t="s">
        <v>769</v>
      </c>
      <c r="K611" s="110">
        <v>36033800</v>
      </c>
      <c r="L611" s="110"/>
      <c r="M611" s="110">
        <v>3704500</v>
      </c>
      <c r="N611" s="110"/>
      <c r="O611" s="110"/>
      <c r="P611" s="110">
        <f t="shared" ref="P611:P623" si="207">K611+L611+M611+N611+O611</f>
        <v>39738300</v>
      </c>
      <c r="Q611" s="110">
        <f t="shared" ref="Q611:Q623" si="208">$P611*D611</f>
        <v>119214900</v>
      </c>
      <c r="R611" s="110">
        <f t="shared" ref="R611:R623" si="209">$P611*F611</f>
        <v>119214900</v>
      </c>
      <c r="S611" s="112" t="s">
        <v>2860</v>
      </c>
    </row>
    <row r="612" spans="1:19" ht="60">
      <c r="A612" s="142">
        <v>2</v>
      </c>
      <c r="B612" s="153" t="s">
        <v>1511</v>
      </c>
      <c r="C612" s="142" t="s">
        <v>8</v>
      </c>
      <c r="D612" s="143">
        <v>3</v>
      </c>
      <c r="E612" s="144" t="s">
        <v>1512</v>
      </c>
      <c r="F612" s="334">
        <v>3</v>
      </c>
      <c r="G612" s="112" t="s">
        <v>2863</v>
      </c>
      <c r="H612" s="120" t="s">
        <v>2864</v>
      </c>
      <c r="I612" s="120" t="s">
        <v>2862</v>
      </c>
      <c r="J612" s="120" t="s">
        <v>769</v>
      </c>
      <c r="K612" s="110">
        <v>15427500</v>
      </c>
      <c r="L612" s="110"/>
      <c r="M612" s="110">
        <v>1581000</v>
      </c>
      <c r="N612" s="110"/>
      <c r="O612" s="110"/>
      <c r="P612" s="110">
        <f t="shared" si="207"/>
        <v>17008500</v>
      </c>
      <c r="Q612" s="110">
        <f t="shared" si="208"/>
        <v>51025500</v>
      </c>
      <c r="R612" s="110">
        <f t="shared" si="209"/>
        <v>51025500</v>
      </c>
      <c r="S612" s="112" t="s">
        <v>2863</v>
      </c>
    </row>
    <row r="613" spans="1:19" ht="90">
      <c r="A613" s="142">
        <v>3</v>
      </c>
      <c r="B613" s="153" t="s">
        <v>1513</v>
      </c>
      <c r="C613" s="142" t="s">
        <v>8</v>
      </c>
      <c r="D613" s="143">
        <v>2</v>
      </c>
      <c r="E613" s="144" t="s">
        <v>1512</v>
      </c>
      <c r="F613" s="334">
        <v>2</v>
      </c>
      <c r="G613" s="112" t="s">
        <v>2865</v>
      </c>
      <c r="H613" s="120" t="s">
        <v>2866</v>
      </c>
      <c r="I613" s="120" t="s">
        <v>2862</v>
      </c>
      <c r="J613" s="120" t="s">
        <v>769</v>
      </c>
      <c r="K613" s="110">
        <v>29040000</v>
      </c>
      <c r="L613" s="110"/>
      <c r="M613" s="110">
        <v>1860000</v>
      </c>
      <c r="N613" s="110"/>
      <c r="O613" s="110"/>
      <c r="P613" s="110">
        <f t="shared" si="207"/>
        <v>30900000</v>
      </c>
      <c r="Q613" s="110">
        <f t="shared" si="208"/>
        <v>61800000</v>
      </c>
      <c r="R613" s="110">
        <f t="shared" si="209"/>
        <v>61800000</v>
      </c>
      <c r="S613" s="112" t="s">
        <v>2865</v>
      </c>
    </row>
    <row r="614" spans="1:19" ht="60">
      <c r="A614" s="142">
        <v>4</v>
      </c>
      <c r="B614" s="153" t="s">
        <v>1514</v>
      </c>
      <c r="C614" s="142" t="s">
        <v>8</v>
      </c>
      <c r="D614" s="143">
        <v>2</v>
      </c>
      <c r="E614" s="144" t="s">
        <v>1512</v>
      </c>
      <c r="F614" s="334">
        <v>2</v>
      </c>
      <c r="G614" s="112" t="s">
        <v>2867</v>
      </c>
      <c r="H614" s="120" t="s">
        <v>2868</v>
      </c>
      <c r="I614" s="120" t="s">
        <v>2862</v>
      </c>
      <c r="J614" s="120" t="s">
        <v>769</v>
      </c>
      <c r="K614" s="110">
        <v>9982500</v>
      </c>
      <c r="L614" s="110"/>
      <c r="M614" s="110">
        <v>1023000</v>
      </c>
      <c r="N614" s="110"/>
      <c r="O614" s="110"/>
      <c r="P614" s="110">
        <f t="shared" si="207"/>
        <v>11005500</v>
      </c>
      <c r="Q614" s="110">
        <f t="shared" si="208"/>
        <v>22011000</v>
      </c>
      <c r="R614" s="110">
        <f t="shared" si="209"/>
        <v>22011000</v>
      </c>
      <c r="S614" s="112" t="s">
        <v>2867</v>
      </c>
    </row>
    <row r="615" spans="1:19" ht="30">
      <c r="A615" s="142">
        <v>5</v>
      </c>
      <c r="B615" s="153" t="s">
        <v>1515</v>
      </c>
      <c r="C615" s="142" t="s">
        <v>8</v>
      </c>
      <c r="D615" s="143">
        <v>2</v>
      </c>
      <c r="E615" s="144" t="s">
        <v>1512</v>
      </c>
      <c r="F615" s="334">
        <v>2</v>
      </c>
      <c r="G615" s="112" t="s">
        <v>2869</v>
      </c>
      <c r="H615" s="120">
        <v>0</v>
      </c>
      <c r="I615" s="120" t="s">
        <v>1630</v>
      </c>
      <c r="J615" s="120" t="s">
        <v>772</v>
      </c>
      <c r="K615" s="110">
        <v>1996500</v>
      </c>
      <c r="L615" s="110"/>
      <c r="M615" s="110">
        <v>511500</v>
      </c>
      <c r="N615" s="110"/>
      <c r="O615" s="110"/>
      <c r="P615" s="110">
        <f t="shared" si="207"/>
        <v>2508000</v>
      </c>
      <c r="Q615" s="110">
        <f t="shared" si="208"/>
        <v>5016000</v>
      </c>
      <c r="R615" s="110">
        <f t="shared" si="209"/>
        <v>5016000</v>
      </c>
      <c r="S615" s="112" t="s">
        <v>2869</v>
      </c>
    </row>
    <row r="616" spans="1:19" ht="30">
      <c r="A616" s="142">
        <v>6</v>
      </c>
      <c r="B616" s="153" t="s">
        <v>1516</v>
      </c>
      <c r="C616" s="142" t="s">
        <v>4</v>
      </c>
      <c r="D616" s="143">
        <v>16</v>
      </c>
      <c r="E616" s="144"/>
      <c r="F616" s="334">
        <v>16</v>
      </c>
      <c r="G616" s="112" t="s">
        <v>2870</v>
      </c>
      <c r="H616" s="120" t="s">
        <v>2871</v>
      </c>
      <c r="I616" s="120" t="s">
        <v>2862</v>
      </c>
      <c r="J616" s="120" t="s">
        <v>769</v>
      </c>
      <c r="K616" s="110">
        <v>242000</v>
      </c>
      <c r="L616" s="110"/>
      <c r="M616" s="110">
        <v>93000</v>
      </c>
      <c r="N616" s="110"/>
      <c r="O616" s="110"/>
      <c r="P616" s="110">
        <f t="shared" si="207"/>
        <v>335000</v>
      </c>
      <c r="Q616" s="110">
        <f t="shared" si="208"/>
        <v>5360000</v>
      </c>
      <c r="R616" s="110">
        <f t="shared" si="209"/>
        <v>5360000</v>
      </c>
      <c r="S616" s="112" t="s">
        <v>2870</v>
      </c>
    </row>
    <row r="617" spans="1:19" ht="30">
      <c r="A617" s="142">
        <v>7</v>
      </c>
      <c r="B617" s="153" t="s">
        <v>1517</v>
      </c>
      <c r="C617" s="142" t="s">
        <v>4</v>
      </c>
      <c r="D617" s="143">
        <v>6</v>
      </c>
      <c r="E617" s="144"/>
      <c r="F617" s="334">
        <v>6</v>
      </c>
      <c r="G617" s="112" t="s">
        <v>2872</v>
      </c>
      <c r="H617" s="120" t="s">
        <v>2873</v>
      </c>
      <c r="I617" s="120" t="s">
        <v>2862</v>
      </c>
      <c r="J617" s="120" t="s">
        <v>769</v>
      </c>
      <c r="K617" s="110">
        <v>145200</v>
      </c>
      <c r="L617" s="110"/>
      <c r="M617" s="110">
        <v>93000</v>
      </c>
      <c r="N617" s="110"/>
      <c r="O617" s="110"/>
      <c r="P617" s="110">
        <f t="shared" si="207"/>
        <v>238200</v>
      </c>
      <c r="Q617" s="110">
        <f t="shared" si="208"/>
        <v>1429200</v>
      </c>
      <c r="R617" s="110">
        <f t="shared" si="209"/>
        <v>1429200</v>
      </c>
      <c r="S617" s="112" t="s">
        <v>2872</v>
      </c>
    </row>
    <row r="618" spans="1:19" ht="30">
      <c r="A618" s="142">
        <v>8</v>
      </c>
      <c r="B618" s="153" t="s">
        <v>1518</v>
      </c>
      <c r="C618" s="142" t="s">
        <v>4</v>
      </c>
      <c r="D618" s="143">
        <v>11</v>
      </c>
      <c r="E618" s="144"/>
      <c r="F618" s="334">
        <v>11</v>
      </c>
      <c r="G618" s="112" t="s">
        <v>2874</v>
      </c>
      <c r="H618" s="120" t="s">
        <v>2875</v>
      </c>
      <c r="I618" s="120" t="s">
        <v>2862</v>
      </c>
      <c r="J618" s="120" t="s">
        <v>769</v>
      </c>
      <c r="K618" s="110">
        <v>278300</v>
      </c>
      <c r="L618" s="110"/>
      <c r="M618" s="110">
        <v>108500</v>
      </c>
      <c r="N618" s="110"/>
      <c r="O618" s="110"/>
      <c r="P618" s="110">
        <f t="shared" si="207"/>
        <v>386800</v>
      </c>
      <c r="Q618" s="110">
        <f t="shared" si="208"/>
        <v>4254800</v>
      </c>
      <c r="R618" s="110">
        <f t="shared" si="209"/>
        <v>4254800</v>
      </c>
      <c r="S618" s="112" t="s">
        <v>2874</v>
      </c>
    </row>
    <row r="619" spans="1:19" ht="45">
      <c r="A619" s="142">
        <v>9</v>
      </c>
      <c r="B619" s="153" t="s">
        <v>1519</v>
      </c>
      <c r="C619" s="142" t="s">
        <v>4</v>
      </c>
      <c r="D619" s="26">
        <v>4</v>
      </c>
      <c r="E619" s="144"/>
      <c r="F619" s="334">
        <v>4</v>
      </c>
      <c r="G619" s="112" t="s">
        <v>2876</v>
      </c>
      <c r="H619" s="120" t="s">
        <v>2877</v>
      </c>
      <c r="I619" s="120" t="s">
        <v>2862</v>
      </c>
      <c r="J619" s="120" t="s">
        <v>769</v>
      </c>
      <c r="K619" s="110">
        <v>1403600</v>
      </c>
      <c r="L619" s="110"/>
      <c r="M619" s="110">
        <v>542500</v>
      </c>
      <c r="N619" s="110"/>
      <c r="O619" s="110"/>
      <c r="P619" s="110">
        <f t="shared" si="207"/>
        <v>1946100</v>
      </c>
      <c r="Q619" s="110">
        <f t="shared" si="208"/>
        <v>7784400</v>
      </c>
      <c r="R619" s="110">
        <f t="shared" si="209"/>
        <v>7784400</v>
      </c>
      <c r="S619" s="112" t="s">
        <v>2876</v>
      </c>
    </row>
    <row r="620" spans="1:19" ht="120">
      <c r="A620" s="142">
        <v>10</v>
      </c>
      <c r="B620" s="153" t="s">
        <v>1520</v>
      </c>
      <c r="C620" s="142" t="s">
        <v>4</v>
      </c>
      <c r="D620" s="26">
        <v>16</v>
      </c>
      <c r="E620" s="144"/>
      <c r="F620" s="334">
        <v>16</v>
      </c>
      <c r="G620" s="112" t="s">
        <v>2878</v>
      </c>
      <c r="H620" s="120" t="s">
        <v>2879</v>
      </c>
      <c r="I620" s="120" t="s">
        <v>2862</v>
      </c>
      <c r="J620" s="120" t="s">
        <v>769</v>
      </c>
      <c r="K620" s="110">
        <v>4900500</v>
      </c>
      <c r="L620" s="110"/>
      <c r="M620" s="110">
        <v>1255500</v>
      </c>
      <c r="N620" s="110"/>
      <c r="O620" s="110"/>
      <c r="P620" s="110">
        <f t="shared" si="207"/>
        <v>6156000</v>
      </c>
      <c r="Q620" s="110">
        <f t="shared" si="208"/>
        <v>98496000</v>
      </c>
      <c r="R620" s="110">
        <f t="shared" si="209"/>
        <v>98496000</v>
      </c>
      <c r="S620" s="112" t="s">
        <v>2878</v>
      </c>
    </row>
    <row r="621" spans="1:19" ht="45">
      <c r="A621" s="142">
        <v>13</v>
      </c>
      <c r="B621" s="153" t="s">
        <v>1521</v>
      </c>
      <c r="C621" s="142" t="s">
        <v>7</v>
      </c>
      <c r="D621" s="26">
        <v>60</v>
      </c>
      <c r="E621" s="144"/>
      <c r="F621" s="334">
        <v>60</v>
      </c>
      <c r="G621" s="112">
        <v>0</v>
      </c>
      <c r="H621" s="120" t="s">
        <v>3998</v>
      </c>
      <c r="I621" s="120">
        <v>0</v>
      </c>
      <c r="J621" s="120" t="s">
        <v>772</v>
      </c>
      <c r="K621" s="110">
        <v>484000</v>
      </c>
      <c r="L621" s="110"/>
      <c r="M621" s="110">
        <v>131800</v>
      </c>
      <c r="N621" s="110"/>
      <c r="O621" s="110"/>
      <c r="P621" s="110">
        <f t="shared" si="207"/>
        <v>615800</v>
      </c>
      <c r="Q621" s="110">
        <f t="shared" si="208"/>
        <v>36948000</v>
      </c>
      <c r="R621" s="110">
        <f t="shared" si="209"/>
        <v>36948000</v>
      </c>
      <c r="S621" s="112">
        <v>0</v>
      </c>
    </row>
    <row r="622" spans="1:19">
      <c r="A622" s="142">
        <v>14</v>
      </c>
      <c r="B622" s="153" t="s">
        <v>1522</v>
      </c>
      <c r="C622" s="142" t="s">
        <v>485</v>
      </c>
      <c r="D622" s="26">
        <v>2</v>
      </c>
      <c r="E622" s="144"/>
      <c r="F622" s="334">
        <v>2</v>
      </c>
      <c r="G622" s="112" t="s">
        <v>2890</v>
      </c>
      <c r="H622" s="120" t="s">
        <v>2891</v>
      </c>
      <c r="I622" s="120" t="s">
        <v>2862</v>
      </c>
      <c r="J622" s="120" t="s">
        <v>949</v>
      </c>
      <c r="K622" s="110">
        <v>2698300</v>
      </c>
      <c r="L622" s="110"/>
      <c r="M622" s="110">
        <v>356500</v>
      </c>
      <c r="N622" s="110"/>
      <c r="O622" s="110"/>
      <c r="P622" s="110">
        <f t="shared" si="207"/>
        <v>3054800</v>
      </c>
      <c r="Q622" s="110">
        <f t="shared" si="208"/>
        <v>6109600</v>
      </c>
      <c r="R622" s="110">
        <f t="shared" si="209"/>
        <v>6109600</v>
      </c>
      <c r="S622" s="112" t="s">
        <v>2890</v>
      </c>
    </row>
    <row r="623" spans="1:19" ht="150">
      <c r="A623" s="142">
        <v>15</v>
      </c>
      <c r="B623" s="153" t="s">
        <v>1523</v>
      </c>
      <c r="C623" s="142" t="s">
        <v>6</v>
      </c>
      <c r="D623" s="26">
        <v>1</v>
      </c>
      <c r="E623" s="144"/>
      <c r="F623" s="334">
        <v>1</v>
      </c>
      <c r="G623" s="112" t="s">
        <v>2916</v>
      </c>
      <c r="H623" s="120">
        <v>0</v>
      </c>
      <c r="I623" s="120">
        <v>0</v>
      </c>
      <c r="J623" s="120" t="s">
        <v>772</v>
      </c>
      <c r="K623" s="110">
        <v>47190000</v>
      </c>
      <c r="L623" s="110"/>
      <c r="M623" s="110">
        <v>12090000</v>
      </c>
      <c r="N623" s="110"/>
      <c r="O623" s="110"/>
      <c r="P623" s="110">
        <f t="shared" si="207"/>
        <v>59280000</v>
      </c>
      <c r="Q623" s="110">
        <f t="shared" si="208"/>
        <v>59280000</v>
      </c>
      <c r="R623" s="110">
        <f t="shared" si="209"/>
        <v>59280000</v>
      </c>
      <c r="S623" s="112" t="s">
        <v>2916</v>
      </c>
    </row>
    <row r="624" spans="1:19">
      <c r="A624" s="142">
        <v>16</v>
      </c>
      <c r="B624" s="153" t="s">
        <v>1524</v>
      </c>
      <c r="C624" s="142"/>
      <c r="D624" s="26">
        <v>0</v>
      </c>
      <c r="E624" s="144"/>
      <c r="F624" s="50"/>
      <c r="G624" s="120"/>
      <c r="H624" s="120"/>
      <c r="I624" s="120"/>
      <c r="J624" s="120"/>
      <c r="K624" s="50"/>
      <c r="L624" s="50"/>
      <c r="M624" s="50"/>
      <c r="N624" s="50"/>
      <c r="O624" s="50"/>
      <c r="P624" s="50"/>
      <c r="Q624" s="50"/>
      <c r="R624" s="50"/>
      <c r="S624" s="50"/>
    </row>
    <row r="625" spans="1:19" ht="45">
      <c r="A625" s="142"/>
      <c r="B625" s="153" t="s">
        <v>1376</v>
      </c>
      <c r="C625" s="142" t="s">
        <v>7</v>
      </c>
      <c r="D625" s="26">
        <v>60</v>
      </c>
      <c r="E625" s="144" t="s">
        <v>1525</v>
      </c>
      <c r="F625" s="334">
        <v>60</v>
      </c>
      <c r="G625" s="112" t="s">
        <v>2965</v>
      </c>
      <c r="H625" s="120" t="s">
        <v>2966</v>
      </c>
      <c r="I625" s="120" t="s">
        <v>2748</v>
      </c>
      <c r="J625" s="120" t="s">
        <v>772</v>
      </c>
      <c r="K625" s="110">
        <v>379300</v>
      </c>
      <c r="L625" s="110"/>
      <c r="M625" s="110">
        <v>225700</v>
      </c>
      <c r="N625" s="110"/>
      <c r="O625" s="110"/>
      <c r="P625" s="110">
        <f t="shared" ref="P625:P631" si="210">K625+L625+M625+N625+O625</f>
        <v>605000</v>
      </c>
      <c r="Q625" s="110">
        <f t="shared" ref="Q625:Q631" si="211">$P625*D625</f>
        <v>36300000</v>
      </c>
      <c r="R625" s="110">
        <f t="shared" ref="R625:R631" si="212">$P625*F625</f>
        <v>36300000</v>
      </c>
      <c r="S625" s="112" t="s">
        <v>2965</v>
      </c>
    </row>
    <row r="626" spans="1:19" ht="45">
      <c r="A626" s="142"/>
      <c r="B626" s="153" t="s">
        <v>1382</v>
      </c>
      <c r="C626" s="142" t="s">
        <v>7</v>
      </c>
      <c r="D626" s="26">
        <v>36</v>
      </c>
      <c r="E626" s="144" t="s">
        <v>1525</v>
      </c>
      <c r="F626" s="334">
        <v>36</v>
      </c>
      <c r="G626" s="112" t="s">
        <v>2965</v>
      </c>
      <c r="H626" s="120" t="s">
        <v>2967</v>
      </c>
      <c r="I626" s="120" t="s">
        <v>2748</v>
      </c>
      <c r="J626" s="120" t="s">
        <v>772</v>
      </c>
      <c r="K626" s="110">
        <v>245000</v>
      </c>
      <c r="L626" s="110"/>
      <c r="M626" s="110">
        <v>171300</v>
      </c>
      <c r="N626" s="110"/>
      <c r="O626" s="110"/>
      <c r="P626" s="110">
        <f t="shared" si="210"/>
        <v>416300</v>
      </c>
      <c r="Q626" s="110">
        <f t="shared" si="211"/>
        <v>14986800</v>
      </c>
      <c r="R626" s="110">
        <f t="shared" si="212"/>
        <v>14986800</v>
      </c>
      <c r="S626" s="112" t="s">
        <v>2965</v>
      </c>
    </row>
    <row r="627" spans="1:19" ht="45">
      <c r="A627" s="142"/>
      <c r="B627" s="153" t="s">
        <v>1257</v>
      </c>
      <c r="C627" s="142" t="s">
        <v>7</v>
      </c>
      <c r="D627" s="26">
        <v>72</v>
      </c>
      <c r="E627" s="144" t="s">
        <v>1525</v>
      </c>
      <c r="F627" s="334">
        <v>72</v>
      </c>
      <c r="G627" s="112" t="s">
        <v>2965</v>
      </c>
      <c r="H627" s="120" t="s">
        <v>2968</v>
      </c>
      <c r="I627" s="120" t="s">
        <v>2748</v>
      </c>
      <c r="J627" s="120" t="s">
        <v>772</v>
      </c>
      <c r="K627" s="110">
        <v>195700</v>
      </c>
      <c r="L627" s="110"/>
      <c r="M627" s="110">
        <v>171300</v>
      </c>
      <c r="N627" s="110"/>
      <c r="O627" s="110"/>
      <c r="P627" s="110">
        <f t="shared" si="210"/>
        <v>367000</v>
      </c>
      <c r="Q627" s="110">
        <f t="shared" si="211"/>
        <v>26424000</v>
      </c>
      <c r="R627" s="110">
        <f t="shared" si="212"/>
        <v>26424000</v>
      </c>
      <c r="S627" s="112" t="s">
        <v>2965</v>
      </c>
    </row>
    <row r="628" spans="1:19" ht="45">
      <c r="A628" s="142"/>
      <c r="B628" s="153" t="s">
        <v>1250</v>
      </c>
      <c r="C628" s="142" t="s">
        <v>7</v>
      </c>
      <c r="D628" s="26">
        <v>86</v>
      </c>
      <c r="E628" s="144" t="s">
        <v>1525</v>
      </c>
      <c r="F628" s="334">
        <v>86</v>
      </c>
      <c r="G628" s="112" t="s">
        <v>2971</v>
      </c>
      <c r="H628" s="120" t="s">
        <v>2972</v>
      </c>
      <c r="I628" s="120" t="s">
        <v>2748</v>
      </c>
      <c r="J628" s="120" t="s">
        <v>772</v>
      </c>
      <c r="K628" s="110">
        <v>133000</v>
      </c>
      <c r="L628" s="110"/>
      <c r="M628" s="110">
        <v>108700</v>
      </c>
      <c r="N628" s="110"/>
      <c r="O628" s="110"/>
      <c r="P628" s="110">
        <f t="shared" si="210"/>
        <v>241700</v>
      </c>
      <c r="Q628" s="110">
        <f t="shared" si="211"/>
        <v>20786200</v>
      </c>
      <c r="R628" s="110">
        <f t="shared" si="212"/>
        <v>20786200</v>
      </c>
      <c r="S628" s="112" t="s">
        <v>2971</v>
      </c>
    </row>
    <row r="629" spans="1:19" ht="45">
      <c r="A629" s="142"/>
      <c r="B629" s="153" t="s">
        <v>1252</v>
      </c>
      <c r="C629" s="142" t="s">
        <v>7</v>
      </c>
      <c r="D629" s="26">
        <v>34</v>
      </c>
      <c r="E629" s="144" t="s">
        <v>1525</v>
      </c>
      <c r="F629" s="334">
        <v>34</v>
      </c>
      <c r="G629" s="112" t="s">
        <v>2973</v>
      </c>
      <c r="H629" s="120" t="s">
        <v>2974</v>
      </c>
      <c r="I629" s="120" t="s">
        <v>2748</v>
      </c>
      <c r="J629" s="120" t="s">
        <v>772</v>
      </c>
      <c r="K629" s="110">
        <v>85000</v>
      </c>
      <c r="L629" s="110"/>
      <c r="M629" s="110">
        <v>96900</v>
      </c>
      <c r="N629" s="110"/>
      <c r="O629" s="110"/>
      <c r="P629" s="110">
        <f t="shared" si="210"/>
        <v>181900</v>
      </c>
      <c r="Q629" s="110">
        <f t="shared" si="211"/>
        <v>6184600</v>
      </c>
      <c r="R629" s="110">
        <f t="shared" si="212"/>
        <v>6184600</v>
      </c>
      <c r="S629" s="112" t="s">
        <v>2973</v>
      </c>
    </row>
    <row r="630" spans="1:19" ht="45">
      <c r="A630" s="142"/>
      <c r="B630" s="153" t="s">
        <v>1438</v>
      </c>
      <c r="C630" s="142" t="s">
        <v>7</v>
      </c>
      <c r="D630" s="26">
        <v>42</v>
      </c>
      <c r="E630" s="144" t="s">
        <v>1525</v>
      </c>
      <c r="F630" s="334">
        <v>42</v>
      </c>
      <c r="G630" s="112" t="s">
        <v>2977</v>
      </c>
      <c r="H630" s="120" t="s">
        <v>2978</v>
      </c>
      <c r="I630" s="120" t="s">
        <v>2748</v>
      </c>
      <c r="J630" s="120" t="s">
        <v>772</v>
      </c>
      <c r="K630" s="110">
        <v>42300</v>
      </c>
      <c r="L630" s="110"/>
      <c r="M630" s="110">
        <v>69200</v>
      </c>
      <c r="N630" s="110"/>
      <c r="O630" s="110"/>
      <c r="P630" s="110">
        <f t="shared" si="210"/>
        <v>111500</v>
      </c>
      <c r="Q630" s="110">
        <f t="shared" si="211"/>
        <v>4683000</v>
      </c>
      <c r="R630" s="110">
        <f t="shared" si="212"/>
        <v>4683000</v>
      </c>
      <c r="S630" s="112" t="s">
        <v>2977</v>
      </c>
    </row>
    <row r="631" spans="1:19" ht="45">
      <c r="A631" s="142"/>
      <c r="B631" s="153" t="s">
        <v>1470</v>
      </c>
      <c r="C631" s="142" t="s">
        <v>7</v>
      </c>
      <c r="D631" s="26">
        <v>32</v>
      </c>
      <c r="E631" s="144" t="s">
        <v>1525</v>
      </c>
      <c r="F631" s="334">
        <v>32</v>
      </c>
      <c r="G631" s="112" t="s">
        <v>2979</v>
      </c>
      <c r="H631" s="120" t="s">
        <v>2980</v>
      </c>
      <c r="I631" s="120" t="s">
        <v>2748</v>
      </c>
      <c r="J631" s="120" t="s">
        <v>772</v>
      </c>
      <c r="K631" s="110">
        <v>26000</v>
      </c>
      <c r="L631" s="110"/>
      <c r="M631" s="110">
        <v>53400</v>
      </c>
      <c r="N631" s="110"/>
      <c r="O631" s="110"/>
      <c r="P631" s="110">
        <f t="shared" si="210"/>
        <v>79400</v>
      </c>
      <c r="Q631" s="110">
        <f t="shared" si="211"/>
        <v>2540800</v>
      </c>
      <c r="R631" s="110">
        <f t="shared" si="212"/>
        <v>2540800</v>
      </c>
      <c r="S631" s="112" t="s">
        <v>2979</v>
      </c>
    </row>
    <row r="632" spans="1:19">
      <c r="A632" s="142">
        <v>17</v>
      </c>
      <c r="B632" s="153" t="s">
        <v>1526</v>
      </c>
      <c r="C632" s="142"/>
      <c r="D632" s="26">
        <v>0</v>
      </c>
      <c r="E632" s="144"/>
      <c r="F632" s="57"/>
      <c r="G632" s="121"/>
      <c r="H632" s="121"/>
      <c r="I632" s="121"/>
      <c r="J632" s="121"/>
      <c r="K632" s="57"/>
      <c r="L632" s="57"/>
      <c r="M632" s="57"/>
      <c r="N632" s="57"/>
      <c r="O632" s="57"/>
      <c r="P632" s="57"/>
      <c r="Q632" s="57"/>
      <c r="R632" s="57"/>
      <c r="S632" s="50"/>
    </row>
    <row r="633" spans="1:19" ht="30">
      <c r="A633" s="142"/>
      <c r="B633" s="153" t="s">
        <v>1376</v>
      </c>
      <c r="C633" s="142" t="s">
        <v>4</v>
      </c>
      <c r="D633" s="26">
        <v>10</v>
      </c>
      <c r="E633" s="144"/>
      <c r="F633" s="334">
        <v>10</v>
      </c>
      <c r="G633" s="112" t="s">
        <v>2990</v>
      </c>
      <c r="H633" s="120" t="s">
        <v>3074</v>
      </c>
      <c r="I633" s="120" t="s">
        <v>2748</v>
      </c>
      <c r="J633" s="120" t="s">
        <v>772</v>
      </c>
      <c r="K633" s="110">
        <v>687600</v>
      </c>
      <c r="L633" s="110"/>
      <c r="M633" s="110">
        <v>186000</v>
      </c>
      <c r="N633" s="110"/>
      <c r="O633" s="110"/>
      <c r="P633" s="110">
        <f t="shared" ref="P633:P639" si="213">K633+L633+M633+N633+O633</f>
        <v>873600</v>
      </c>
      <c r="Q633" s="110">
        <f t="shared" ref="Q633:Q639" si="214">$P633*D633</f>
        <v>8736000</v>
      </c>
      <c r="R633" s="110">
        <f t="shared" ref="R633:R639" si="215">$P633*F633</f>
        <v>8736000</v>
      </c>
      <c r="S633" s="112" t="s">
        <v>2990</v>
      </c>
    </row>
    <row r="634" spans="1:19" ht="30">
      <c r="A634" s="142"/>
      <c r="B634" s="153" t="s">
        <v>1387</v>
      </c>
      <c r="C634" s="142" t="s">
        <v>4</v>
      </c>
      <c r="D634" s="26">
        <v>22</v>
      </c>
      <c r="E634" s="144"/>
      <c r="F634" s="334">
        <v>22</v>
      </c>
      <c r="G634" s="112" t="s">
        <v>3043</v>
      </c>
      <c r="H634" s="120" t="s">
        <v>3058</v>
      </c>
      <c r="I634" s="120" t="s">
        <v>2748</v>
      </c>
      <c r="J634" s="120" t="s">
        <v>772</v>
      </c>
      <c r="K634" s="110">
        <v>120400</v>
      </c>
      <c r="L634" s="110"/>
      <c r="M634" s="110">
        <v>116300</v>
      </c>
      <c r="N634" s="110"/>
      <c r="O634" s="110"/>
      <c r="P634" s="110">
        <f t="shared" si="213"/>
        <v>236700</v>
      </c>
      <c r="Q634" s="110">
        <f t="shared" si="214"/>
        <v>5207400</v>
      </c>
      <c r="R634" s="110">
        <f t="shared" si="215"/>
        <v>5207400</v>
      </c>
      <c r="S634" s="112" t="s">
        <v>3043</v>
      </c>
    </row>
    <row r="635" spans="1:19" ht="30">
      <c r="A635" s="142"/>
      <c r="B635" s="153" t="s">
        <v>1250</v>
      </c>
      <c r="C635" s="142" t="s">
        <v>4</v>
      </c>
      <c r="D635" s="26">
        <v>28</v>
      </c>
      <c r="E635" s="144"/>
      <c r="F635" s="334">
        <v>28</v>
      </c>
      <c r="G635" s="112" t="s">
        <v>2990</v>
      </c>
      <c r="H635" s="120" t="s">
        <v>3062</v>
      </c>
      <c r="I635" s="120" t="s">
        <v>2748</v>
      </c>
      <c r="J635" s="120" t="s">
        <v>772</v>
      </c>
      <c r="K635" s="110">
        <v>91400</v>
      </c>
      <c r="L635" s="110"/>
      <c r="M635" s="110">
        <v>93000</v>
      </c>
      <c r="N635" s="110"/>
      <c r="O635" s="110"/>
      <c r="P635" s="110">
        <f t="shared" si="213"/>
        <v>184400</v>
      </c>
      <c r="Q635" s="110">
        <f t="shared" si="214"/>
        <v>5163200</v>
      </c>
      <c r="R635" s="110">
        <f t="shared" si="215"/>
        <v>5163200</v>
      </c>
      <c r="S635" s="112" t="s">
        <v>2990</v>
      </c>
    </row>
    <row r="636" spans="1:19" ht="30">
      <c r="A636" s="142"/>
      <c r="B636" s="153" t="s">
        <v>1476</v>
      </c>
      <c r="C636" s="142" t="s">
        <v>4</v>
      </c>
      <c r="D636" s="26">
        <v>16</v>
      </c>
      <c r="E636" s="144"/>
      <c r="F636" s="334">
        <v>16</v>
      </c>
      <c r="G636" s="112" t="s">
        <v>2990</v>
      </c>
      <c r="H636" s="120" t="s">
        <v>3075</v>
      </c>
      <c r="I636" s="120" t="s">
        <v>2748</v>
      </c>
      <c r="J636" s="120" t="s">
        <v>772</v>
      </c>
      <c r="K636" s="110">
        <v>61200</v>
      </c>
      <c r="L636" s="110"/>
      <c r="M636" s="110">
        <v>93000</v>
      </c>
      <c r="N636" s="110"/>
      <c r="O636" s="110"/>
      <c r="P636" s="110">
        <f t="shared" si="213"/>
        <v>154200</v>
      </c>
      <c r="Q636" s="110">
        <f t="shared" si="214"/>
        <v>2467200</v>
      </c>
      <c r="R636" s="110">
        <f t="shared" si="215"/>
        <v>2467200</v>
      </c>
      <c r="S636" s="112" t="s">
        <v>2990</v>
      </c>
    </row>
    <row r="637" spans="1:19" ht="30">
      <c r="A637" s="142"/>
      <c r="B637" s="153" t="s">
        <v>1527</v>
      </c>
      <c r="C637" s="142" t="s">
        <v>4</v>
      </c>
      <c r="D637" s="26">
        <v>16</v>
      </c>
      <c r="E637" s="144"/>
      <c r="F637" s="334">
        <v>16</v>
      </c>
      <c r="G637" s="112" t="s">
        <v>2990</v>
      </c>
      <c r="H637" s="120" t="s">
        <v>3076</v>
      </c>
      <c r="I637" s="120" t="s">
        <v>2748</v>
      </c>
      <c r="J637" s="120" t="s">
        <v>772</v>
      </c>
      <c r="K637" s="110">
        <v>72200</v>
      </c>
      <c r="L637" s="110"/>
      <c r="M637" s="110">
        <v>93000</v>
      </c>
      <c r="N637" s="110"/>
      <c r="O637" s="110"/>
      <c r="P637" s="110">
        <f t="shared" si="213"/>
        <v>165200</v>
      </c>
      <c r="Q637" s="110">
        <f t="shared" si="214"/>
        <v>2643200</v>
      </c>
      <c r="R637" s="110">
        <f t="shared" si="215"/>
        <v>2643200</v>
      </c>
      <c r="S637" s="112" t="s">
        <v>2990</v>
      </c>
    </row>
    <row r="638" spans="1:19" ht="30">
      <c r="A638" s="142"/>
      <c r="B638" s="153" t="s">
        <v>1252</v>
      </c>
      <c r="C638" s="142" t="s">
        <v>4</v>
      </c>
      <c r="D638" s="26">
        <v>0</v>
      </c>
      <c r="E638" s="144"/>
      <c r="F638" s="334">
        <v>0</v>
      </c>
      <c r="G638" s="112" t="s">
        <v>2990</v>
      </c>
      <c r="H638" s="120" t="s">
        <v>3064</v>
      </c>
      <c r="I638" s="120" t="s">
        <v>2748</v>
      </c>
      <c r="J638" s="120" t="s">
        <v>772</v>
      </c>
      <c r="K638" s="110">
        <v>67000</v>
      </c>
      <c r="L638" s="110"/>
      <c r="M638" s="110">
        <v>49600</v>
      </c>
      <c r="N638" s="110"/>
      <c r="O638" s="110"/>
      <c r="P638" s="110">
        <f t="shared" si="213"/>
        <v>116600</v>
      </c>
      <c r="Q638" s="110">
        <f t="shared" si="214"/>
        <v>0</v>
      </c>
      <c r="R638" s="110">
        <f t="shared" si="215"/>
        <v>0</v>
      </c>
      <c r="S638" s="112" t="s">
        <v>2990</v>
      </c>
    </row>
    <row r="639" spans="1:19" ht="30">
      <c r="A639" s="142"/>
      <c r="B639" s="153" t="s">
        <v>1477</v>
      </c>
      <c r="C639" s="142" t="s">
        <v>4</v>
      </c>
      <c r="D639" s="26">
        <v>2</v>
      </c>
      <c r="E639" s="144"/>
      <c r="F639" s="334">
        <v>2</v>
      </c>
      <c r="G639" s="112" t="s">
        <v>2990</v>
      </c>
      <c r="H639" s="120" t="s">
        <v>3077</v>
      </c>
      <c r="I639" s="120" t="s">
        <v>2748</v>
      </c>
      <c r="J639" s="120" t="s">
        <v>772</v>
      </c>
      <c r="K639" s="110">
        <v>40000</v>
      </c>
      <c r="L639" s="110"/>
      <c r="M639" s="110">
        <v>49600</v>
      </c>
      <c r="N639" s="110"/>
      <c r="O639" s="110"/>
      <c r="P639" s="110">
        <f t="shared" si="213"/>
        <v>89600</v>
      </c>
      <c r="Q639" s="110">
        <f t="shared" si="214"/>
        <v>179200</v>
      </c>
      <c r="R639" s="110">
        <f t="shared" si="215"/>
        <v>179200</v>
      </c>
      <c r="S639" s="112" t="s">
        <v>2990</v>
      </c>
    </row>
    <row r="640" spans="1:19">
      <c r="A640" s="142">
        <v>18</v>
      </c>
      <c r="B640" s="153" t="s">
        <v>1528</v>
      </c>
      <c r="C640" s="142"/>
      <c r="D640" s="26">
        <v>0</v>
      </c>
      <c r="E640" s="144"/>
      <c r="F640" s="74"/>
      <c r="G640" s="120"/>
      <c r="H640" s="120"/>
      <c r="I640" s="120"/>
      <c r="J640" s="120"/>
      <c r="K640" s="74"/>
      <c r="L640" s="74"/>
      <c r="M640" s="74"/>
      <c r="N640" s="74"/>
      <c r="O640" s="74"/>
      <c r="P640" s="74"/>
      <c r="Q640" s="74"/>
      <c r="R640" s="74"/>
      <c r="S640" s="74"/>
    </row>
    <row r="641" spans="1:19" ht="30">
      <c r="A641" s="142"/>
      <c r="B641" s="153" t="s">
        <v>1376</v>
      </c>
      <c r="C641" s="142" t="s">
        <v>4</v>
      </c>
      <c r="D641" s="26">
        <v>24</v>
      </c>
      <c r="E641" s="144"/>
      <c r="F641" s="334">
        <v>24</v>
      </c>
      <c r="G641" s="112" t="s">
        <v>2990</v>
      </c>
      <c r="H641" s="120" t="s">
        <v>3045</v>
      </c>
      <c r="I641" s="120" t="s">
        <v>2748</v>
      </c>
      <c r="J641" s="120" t="s">
        <v>772</v>
      </c>
      <c r="K641" s="110">
        <v>392300</v>
      </c>
      <c r="L641" s="110"/>
      <c r="M641" s="110">
        <v>124000</v>
      </c>
      <c r="N641" s="110"/>
      <c r="O641" s="110"/>
      <c r="P641" s="110">
        <f t="shared" ref="P641:P647" si="216">K641+L641+M641+N641+O641</f>
        <v>516300</v>
      </c>
      <c r="Q641" s="110">
        <f t="shared" ref="Q641:Q647" si="217">$P641*D641</f>
        <v>12391200</v>
      </c>
      <c r="R641" s="110">
        <f t="shared" ref="R641:R647" si="218">$P641*F641</f>
        <v>12391200</v>
      </c>
      <c r="S641" s="112" t="s">
        <v>2990</v>
      </c>
    </row>
    <row r="642" spans="1:19" ht="30">
      <c r="A642" s="142"/>
      <c r="B642" s="153" t="s">
        <v>1382</v>
      </c>
      <c r="C642" s="142" t="s">
        <v>4</v>
      </c>
      <c r="D642" s="26">
        <v>18</v>
      </c>
      <c r="E642" s="144"/>
      <c r="F642" s="334">
        <v>18</v>
      </c>
      <c r="G642" s="112" t="s">
        <v>2990</v>
      </c>
      <c r="H642" s="120" t="s">
        <v>3046</v>
      </c>
      <c r="I642" s="120" t="s">
        <v>2748</v>
      </c>
      <c r="J642" s="120" t="s">
        <v>772</v>
      </c>
      <c r="K642" s="110">
        <v>286500</v>
      </c>
      <c r="L642" s="110"/>
      <c r="M642" s="110">
        <v>93000</v>
      </c>
      <c r="N642" s="110"/>
      <c r="O642" s="110"/>
      <c r="P642" s="110">
        <f t="shared" si="216"/>
        <v>379500</v>
      </c>
      <c r="Q642" s="110">
        <f t="shared" si="217"/>
        <v>6831000</v>
      </c>
      <c r="R642" s="110">
        <f t="shared" si="218"/>
        <v>6831000</v>
      </c>
      <c r="S642" s="112" t="s">
        <v>2990</v>
      </c>
    </row>
    <row r="643" spans="1:19" ht="30">
      <c r="A643" s="142"/>
      <c r="B643" s="153" t="s">
        <v>1257</v>
      </c>
      <c r="C643" s="142" t="s">
        <v>4</v>
      </c>
      <c r="D643" s="26">
        <v>16</v>
      </c>
      <c r="E643" s="144"/>
      <c r="F643" s="334">
        <v>16</v>
      </c>
      <c r="G643" s="112" t="s">
        <v>3047</v>
      </c>
      <c r="H643" s="120" t="s">
        <v>3048</v>
      </c>
      <c r="I643" s="120" t="s">
        <v>2748</v>
      </c>
      <c r="J643" s="120" t="s">
        <v>772</v>
      </c>
      <c r="K643" s="110">
        <v>245200</v>
      </c>
      <c r="L643" s="110"/>
      <c r="M643" s="110">
        <v>77500</v>
      </c>
      <c r="N643" s="110"/>
      <c r="O643" s="110"/>
      <c r="P643" s="110">
        <f t="shared" si="216"/>
        <v>322700</v>
      </c>
      <c r="Q643" s="110">
        <f t="shared" si="217"/>
        <v>5163200</v>
      </c>
      <c r="R643" s="110">
        <f t="shared" si="218"/>
        <v>5163200</v>
      </c>
      <c r="S643" s="112" t="s">
        <v>3047</v>
      </c>
    </row>
    <row r="644" spans="1:19" ht="30">
      <c r="A644" s="142"/>
      <c r="B644" s="153" t="s">
        <v>1250</v>
      </c>
      <c r="C644" s="142" t="s">
        <v>4</v>
      </c>
      <c r="D644" s="26">
        <v>28</v>
      </c>
      <c r="E644" s="144"/>
      <c r="F644" s="334">
        <v>28</v>
      </c>
      <c r="G644" s="112" t="s">
        <v>2990</v>
      </c>
      <c r="H644" s="120" t="s">
        <v>3050</v>
      </c>
      <c r="I644" s="120" t="s">
        <v>2748</v>
      </c>
      <c r="J644" s="120" t="s">
        <v>772</v>
      </c>
      <c r="K644" s="110">
        <v>72500</v>
      </c>
      <c r="L644" s="110"/>
      <c r="M644" s="110">
        <v>62000</v>
      </c>
      <c r="N644" s="110"/>
      <c r="O644" s="110"/>
      <c r="P644" s="110">
        <f t="shared" si="216"/>
        <v>134500</v>
      </c>
      <c r="Q644" s="110">
        <f t="shared" si="217"/>
        <v>3766000</v>
      </c>
      <c r="R644" s="110">
        <f t="shared" si="218"/>
        <v>3766000</v>
      </c>
      <c r="S644" s="112" t="s">
        <v>2990</v>
      </c>
    </row>
    <row r="645" spans="1:19" ht="30">
      <c r="A645" s="142"/>
      <c r="B645" s="153" t="s">
        <v>1252</v>
      </c>
      <c r="C645" s="142" t="s">
        <v>4</v>
      </c>
      <c r="D645" s="26">
        <v>16</v>
      </c>
      <c r="E645" s="144"/>
      <c r="F645" s="334">
        <v>16</v>
      </c>
      <c r="G645" s="112" t="s">
        <v>2990</v>
      </c>
      <c r="H645" s="120" t="s">
        <v>3051</v>
      </c>
      <c r="I645" s="120" t="s">
        <v>2748</v>
      </c>
      <c r="J645" s="120" t="s">
        <v>772</v>
      </c>
      <c r="K645" s="110">
        <v>46800</v>
      </c>
      <c r="L645" s="110"/>
      <c r="M645" s="110">
        <v>49600</v>
      </c>
      <c r="N645" s="110"/>
      <c r="O645" s="110"/>
      <c r="P645" s="110">
        <f t="shared" si="216"/>
        <v>96400</v>
      </c>
      <c r="Q645" s="110">
        <f t="shared" si="217"/>
        <v>1542400</v>
      </c>
      <c r="R645" s="110">
        <f t="shared" si="218"/>
        <v>1542400</v>
      </c>
      <c r="S645" s="112" t="s">
        <v>2990</v>
      </c>
    </row>
    <row r="646" spans="1:19" ht="30">
      <c r="A646" s="142"/>
      <c r="B646" s="153" t="s">
        <v>1438</v>
      </c>
      <c r="C646" s="142" t="s">
        <v>4</v>
      </c>
      <c r="D646" s="26">
        <v>18</v>
      </c>
      <c r="E646" s="144"/>
      <c r="F646" s="334">
        <v>18</v>
      </c>
      <c r="G646" s="112" t="s">
        <v>2996</v>
      </c>
      <c r="H646" s="120" t="s">
        <v>3052</v>
      </c>
      <c r="I646" s="120" t="s">
        <v>2748</v>
      </c>
      <c r="J646" s="120" t="s">
        <v>772</v>
      </c>
      <c r="K646" s="110">
        <v>24800</v>
      </c>
      <c r="L646" s="110"/>
      <c r="M646" s="110">
        <v>31000</v>
      </c>
      <c r="N646" s="110"/>
      <c r="O646" s="110"/>
      <c r="P646" s="110">
        <f t="shared" si="216"/>
        <v>55800</v>
      </c>
      <c r="Q646" s="110">
        <f t="shared" si="217"/>
        <v>1004400</v>
      </c>
      <c r="R646" s="110">
        <f t="shared" si="218"/>
        <v>1004400</v>
      </c>
      <c r="S646" s="112" t="s">
        <v>2996</v>
      </c>
    </row>
    <row r="647" spans="1:19" ht="30">
      <c r="A647" s="142"/>
      <c r="B647" s="153" t="s">
        <v>1470</v>
      </c>
      <c r="C647" s="142" t="s">
        <v>4</v>
      </c>
      <c r="D647" s="26">
        <v>12</v>
      </c>
      <c r="E647" s="144"/>
      <c r="F647" s="334">
        <v>12</v>
      </c>
      <c r="G647" s="112" t="s">
        <v>2996</v>
      </c>
      <c r="H647" s="120" t="s">
        <v>3053</v>
      </c>
      <c r="I647" s="120" t="s">
        <v>2748</v>
      </c>
      <c r="J647" s="120" t="s">
        <v>772</v>
      </c>
      <c r="K647" s="110">
        <v>15400</v>
      </c>
      <c r="L647" s="110"/>
      <c r="M647" s="110">
        <v>24800</v>
      </c>
      <c r="N647" s="110"/>
      <c r="O647" s="110"/>
      <c r="P647" s="110">
        <f t="shared" si="216"/>
        <v>40200</v>
      </c>
      <c r="Q647" s="110">
        <f t="shared" si="217"/>
        <v>482400</v>
      </c>
      <c r="R647" s="110">
        <f t="shared" si="218"/>
        <v>482400</v>
      </c>
      <c r="S647" s="112" t="s">
        <v>2996</v>
      </c>
    </row>
    <row r="648" spans="1:19">
      <c r="A648" s="142">
        <v>19</v>
      </c>
      <c r="B648" s="153" t="s">
        <v>1529</v>
      </c>
      <c r="C648" s="142"/>
      <c r="D648" s="26">
        <v>0</v>
      </c>
      <c r="E648" s="144"/>
      <c r="F648" s="50"/>
      <c r="G648" s="120"/>
      <c r="H648" s="120"/>
      <c r="I648" s="120"/>
      <c r="J648" s="120"/>
      <c r="K648" s="50"/>
      <c r="L648" s="50"/>
      <c r="M648" s="50"/>
      <c r="N648" s="50"/>
      <c r="O648" s="50"/>
      <c r="P648" s="50"/>
      <c r="Q648" s="50"/>
      <c r="R648" s="50"/>
      <c r="S648" s="50"/>
    </row>
    <row r="649" spans="1:19" ht="30">
      <c r="A649" s="142"/>
      <c r="B649" s="153" t="s">
        <v>1376</v>
      </c>
      <c r="C649" s="142" t="s">
        <v>4</v>
      </c>
      <c r="D649" s="26">
        <v>16</v>
      </c>
      <c r="E649" s="144"/>
      <c r="F649" s="334">
        <v>16</v>
      </c>
      <c r="G649" s="112" t="s">
        <v>3031</v>
      </c>
      <c r="H649" s="120" t="s">
        <v>3032</v>
      </c>
      <c r="I649" s="120" t="s">
        <v>2748</v>
      </c>
      <c r="J649" s="120" t="s">
        <v>772</v>
      </c>
      <c r="K649" s="110">
        <v>410200</v>
      </c>
      <c r="L649" s="110"/>
      <c r="M649" s="110">
        <v>124000</v>
      </c>
      <c r="N649" s="110"/>
      <c r="O649" s="110"/>
      <c r="P649" s="110">
        <f t="shared" ref="P649:P655" si="219">K649+L649+M649+N649+O649</f>
        <v>534200</v>
      </c>
      <c r="Q649" s="110">
        <f t="shared" ref="Q649:Q655" si="220">$P649*D649</f>
        <v>8547200</v>
      </c>
      <c r="R649" s="110">
        <f t="shared" ref="R649:R655" si="221">$P649*F649</f>
        <v>8547200</v>
      </c>
      <c r="S649" s="112" t="s">
        <v>3031</v>
      </c>
    </row>
    <row r="650" spans="1:19" ht="30">
      <c r="A650" s="142"/>
      <c r="B650" s="153" t="s">
        <v>1382</v>
      </c>
      <c r="C650" s="142" t="s">
        <v>4</v>
      </c>
      <c r="D650" s="26">
        <v>18</v>
      </c>
      <c r="E650" s="144"/>
      <c r="F650" s="334">
        <v>18</v>
      </c>
      <c r="G650" s="112" t="s">
        <v>3031</v>
      </c>
      <c r="H650" s="120" t="s">
        <v>3034</v>
      </c>
      <c r="I650" s="120" t="s">
        <v>2748</v>
      </c>
      <c r="J650" s="120" t="s">
        <v>772</v>
      </c>
      <c r="K650" s="110">
        <v>160400</v>
      </c>
      <c r="L650" s="110"/>
      <c r="M650" s="110">
        <v>93000</v>
      </c>
      <c r="N650" s="110"/>
      <c r="O650" s="110"/>
      <c r="P650" s="110">
        <f t="shared" si="219"/>
        <v>253400</v>
      </c>
      <c r="Q650" s="110">
        <f t="shared" si="220"/>
        <v>4561200</v>
      </c>
      <c r="R650" s="110">
        <f t="shared" si="221"/>
        <v>4561200</v>
      </c>
      <c r="S650" s="112" t="s">
        <v>3031</v>
      </c>
    </row>
    <row r="651" spans="1:19" ht="30">
      <c r="A651" s="142"/>
      <c r="B651" s="153" t="s">
        <v>1257</v>
      </c>
      <c r="C651" s="142" t="s">
        <v>4</v>
      </c>
      <c r="D651" s="26">
        <v>12</v>
      </c>
      <c r="E651" s="144"/>
      <c r="F651" s="334">
        <v>12</v>
      </c>
      <c r="G651" s="112" t="s">
        <v>3031</v>
      </c>
      <c r="H651" s="120" t="s">
        <v>3035</v>
      </c>
      <c r="I651" s="120" t="s">
        <v>2748</v>
      </c>
      <c r="J651" s="120" t="s">
        <v>772</v>
      </c>
      <c r="K651" s="110">
        <v>107100</v>
      </c>
      <c r="L651" s="110"/>
      <c r="M651" s="110">
        <v>77500</v>
      </c>
      <c r="N651" s="110"/>
      <c r="O651" s="110"/>
      <c r="P651" s="110">
        <f t="shared" si="219"/>
        <v>184600</v>
      </c>
      <c r="Q651" s="110">
        <f t="shared" si="220"/>
        <v>2215200</v>
      </c>
      <c r="R651" s="110">
        <f t="shared" si="221"/>
        <v>2215200</v>
      </c>
      <c r="S651" s="112" t="s">
        <v>3031</v>
      </c>
    </row>
    <row r="652" spans="1:19" ht="30">
      <c r="A652" s="142"/>
      <c r="B652" s="153" t="s">
        <v>1250</v>
      </c>
      <c r="C652" s="142" t="s">
        <v>4</v>
      </c>
      <c r="D652" s="26">
        <v>16</v>
      </c>
      <c r="E652" s="144"/>
      <c r="F652" s="334">
        <v>16</v>
      </c>
      <c r="G652" s="112" t="s">
        <v>3031</v>
      </c>
      <c r="H652" s="120" t="s">
        <v>3037</v>
      </c>
      <c r="I652" s="120" t="s">
        <v>2748</v>
      </c>
      <c r="J652" s="120" t="s">
        <v>772</v>
      </c>
      <c r="K652" s="110">
        <v>67000</v>
      </c>
      <c r="L652" s="110"/>
      <c r="M652" s="110">
        <v>62000</v>
      </c>
      <c r="N652" s="110"/>
      <c r="O652" s="110"/>
      <c r="P652" s="110">
        <f t="shared" si="219"/>
        <v>129000</v>
      </c>
      <c r="Q652" s="110">
        <f t="shared" si="220"/>
        <v>2064000</v>
      </c>
      <c r="R652" s="110">
        <f t="shared" si="221"/>
        <v>2064000</v>
      </c>
      <c r="S652" s="112" t="s">
        <v>3031</v>
      </c>
    </row>
    <row r="653" spans="1:19" ht="30">
      <c r="A653" s="142"/>
      <c r="B653" s="153" t="s">
        <v>1252</v>
      </c>
      <c r="C653" s="142" t="s">
        <v>4</v>
      </c>
      <c r="D653" s="26">
        <v>28</v>
      </c>
      <c r="E653" s="144"/>
      <c r="F653" s="334">
        <v>28</v>
      </c>
      <c r="G653" s="112" t="s">
        <v>3031</v>
      </c>
      <c r="H653" s="120" t="s">
        <v>3038</v>
      </c>
      <c r="I653" s="120" t="s">
        <v>2748</v>
      </c>
      <c r="J653" s="120" t="s">
        <v>772</v>
      </c>
      <c r="K653" s="110">
        <v>35700</v>
      </c>
      <c r="L653" s="110"/>
      <c r="M653" s="110">
        <v>49600</v>
      </c>
      <c r="N653" s="110"/>
      <c r="O653" s="110"/>
      <c r="P653" s="110">
        <f t="shared" si="219"/>
        <v>85300</v>
      </c>
      <c r="Q653" s="110">
        <f t="shared" si="220"/>
        <v>2388400</v>
      </c>
      <c r="R653" s="110">
        <f t="shared" si="221"/>
        <v>2388400</v>
      </c>
      <c r="S653" s="112" t="s">
        <v>3031</v>
      </c>
    </row>
    <row r="654" spans="1:19" ht="30">
      <c r="A654" s="142"/>
      <c r="B654" s="153" t="s">
        <v>1438</v>
      </c>
      <c r="C654" s="142" t="s">
        <v>4</v>
      </c>
      <c r="D654" s="26">
        <v>14</v>
      </c>
      <c r="E654" s="144"/>
      <c r="F654" s="334">
        <v>14</v>
      </c>
      <c r="G654" s="112" t="s">
        <v>2996</v>
      </c>
      <c r="H654" s="120" t="s">
        <v>3039</v>
      </c>
      <c r="I654" s="120" t="s">
        <v>2748</v>
      </c>
      <c r="J654" s="120" t="s">
        <v>772</v>
      </c>
      <c r="K654" s="110">
        <v>19600</v>
      </c>
      <c r="L654" s="110"/>
      <c r="M654" s="110">
        <v>31000</v>
      </c>
      <c r="N654" s="110"/>
      <c r="O654" s="110"/>
      <c r="P654" s="110">
        <f t="shared" si="219"/>
        <v>50600</v>
      </c>
      <c r="Q654" s="110">
        <f t="shared" si="220"/>
        <v>708400</v>
      </c>
      <c r="R654" s="110">
        <f t="shared" si="221"/>
        <v>708400</v>
      </c>
      <c r="S654" s="112" t="s">
        <v>2996</v>
      </c>
    </row>
    <row r="655" spans="1:19" ht="30">
      <c r="A655" s="142"/>
      <c r="B655" s="153" t="s">
        <v>1470</v>
      </c>
      <c r="C655" s="142" t="s">
        <v>4</v>
      </c>
      <c r="D655" s="26">
        <v>12</v>
      </c>
      <c r="E655" s="144"/>
      <c r="F655" s="334">
        <v>12</v>
      </c>
      <c r="G655" s="112" t="s">
        <v>2996</v>
      </c>
      <c r="H655" s="120" t="s">
        <v>3040</v>
      </c>
      <c r="I655" s="120" t="s">
        <v>2748</v>
      </c>
      <c r="J655" s="120" t="s">
        <v>772</v>
      </c>
      <c r="K655" s="110">
        <v>13700</v>
      </c>
      <c r="L655" s="110"/>
      <c r="M655" s="110">
        <v>24800</v>
      </c>
      <c r="N655" s="110"/>
      <c r="O655" s="110"/>
      <c r="P655" s="110">
        <f t="shared" si="219"/>
        <v>38500</v>
      </c>
      <c r="Q655" s="110">
        <f t="shared" si="220"/>
        <v>462000</v>
      </c>
      <c r="R655" s="110">
        <f t="shared" si="221"/>
        <v>462000</v>
      </c>
      <c r="S655" s="112" t="s">
        <v>2996</v>
      </c>
    </row>
    <row r="656" spans="1:19">
      <c r="A656" s="142">
        <v>20</v>
      </c>
      <c r="B656" s="153" t="s">
        <v>1530</v>
      </c>
      <c r="C656" s="142"/>
      <c r="D656" s="26">
        <v>0</v>
      </c>
      <c r="E656" s="144"/>
      <c r="F656" s="74"/>
      <c r="G656" s="120"/>
      <c r="H656" s="120"/>
      <c r="I656" s="120"/>
      <c r="J656" s="120"/>
      <c r="K656" s="74"/>
      <c r="L656" s="74"/>
      <c r="M656" s="74"/>
      <c r="N656" s="74"/>
      <c r="O656" s="74"/>
      <c r="P656" s="74"/>
      <c r="Q656" s="74"/>
      <c r="R656" s="74"/>
      <c r="S656" s="74"/>
    </row>
    <row r="657" spans="1:19" ht="30">
      <c r="A657" s="142"/>
      <c r="B657" s="153" t="s">
        <v>1376</v>
      </c>
      <c r="C657" s="142" t="s">
        <v>4</v>
      </c>
      <c r="D657" s="26">
        <v>15</v>
      </c>
      <c r="E657" s="144"/>
      <c r="F657" s="334">
        <v>15</v>
      </c>
      <c r="G657" s="112" t="s">
        <v>2990</v>
      </c>
      <c r="H657" s="120" t="s">
        <v>3080</v>
      </c>
      <c r="I657" s="120" t="s">
        <v>2748</v>
      </c>
      <c r="J657" s="120" t="s">
        <v>772</v>
      </c>
      <c r="K657" s="110">
        <v>206700</v>
      </c>
      <c r="L657" s="110"/>
      <c r="M657" s="110">
        <v>124000</v>
      </c>
      <c r="N657" s="110"/>
      <c r="O657" s="110"/>
      <c r="P657" s="110">
        <f t="shared" ref="P657:P667" si="222">K657+L657+M657+N657+O657</f>
        <v>330700</v>
      </c>
      <c r="Q657" s="110">
        <f t="shared" ref="Q657:Q667" si="223">$P657*D657</f>
        <v>4960500</v>
      </c>
      <c r="R657" s="110">
        <f t="shared" ref="R657:R667" si="224">$P657*F657</f>
        <v>4960500</v>
      </c>
      <c r="S657" s="112" t="s">
        <v>2990</v>
      </c>
    </row>
    <row r="658" spans="1:19" ht="30">
      <c r="A658" s="142"/>
      <c r="B658" s="153" t="s">
        <v>1382</v>
      </c>
      <c r="C658" s="142" t="s">
        <v>4</v>
      </c>
      <c r="D658" s="26">
        <v>9</v>
      </c>
      <c r="E658" s="144"/>
      <c r="F658" s="334">
        <v>9</v>
      </c>
      <c r="G658" s="112" t="s">
        <v>2990</v>
      </c>
      <c r="H658" s="120" t="s">
        <v>3081</v>
      </c>
      <c r="I658" s="120" t="s">
        <v>2748</v>
      </c>
      <c r="J658" s="120" t="s">
        <v>772</v>
      </c>
      <c r="K658" s="110">
        <v>123400</v>
      </c>
      <c r="L658" s="110"/>
      <c r="M658" s="110">
        <v>93000</v>
      </c>
      <c r="N658" s="110"/>
      <c r="O658" s="110"/>
      <c r="P658" s="110">
        <f t="shared" si="222"/>
        <v>216400</v>
      </c>
      <c r="Q658" s="110">
        <f t="shared" si="223"/>
        <v>1947600</v>
      </c>
      <c r="R658" s="110">
        <f t="shared" si="224"/>
        <v>1947600</v>
      </c>
      <c r="S658" s="112" t="s">
        <v>2990</v>
      </c>
    </row>
    <row r="659" spans="1:19" ht="30">
      <c r="A659" s="142"/>
      <c r="B659" s="153" t="s">
        <v>1257</v>
      </c>
      <c r="C659" s="142" t="s">
        <v>4</v>
      </c>
      <c r="D659" s="26">
        <v>18</v>
      </c>
      <c r="E659" s="144"/>
      <c r="F659" s="334">
        <v>18</v>
      </c>
      <c r="G659" s="112" t="s">
        <v>2996</v>
      </c>
      <c r="H659" s="120" t="s">
        <v>3082</v>
      </c>
      <c r="I659" s="120" t="s">
        <v>2748</v>
      </c>
      <c r="J659" s="120" t="s">
        <v>772</v>
      </c>
      <c r="K659" s="110">
        <v>108100</v>
      </c>
      <c r="L659" s="110"/>
      <c r="M659" s="110">
        <v>77500</v>
      </c>
      <c r="N659" s="110"/>
      <c r="O659" s="110"/>
      <c r="P659" s="110">
        <f t="shared" si="222"/>
        <v>185600</v>
      </c>
      <c r="Q659" s="110">
        <f t="shared" si="223"/>
        <v>3340800</v>
      </c>
      <c r="R659" s="110">
        <f t="shared" si="224"/>
        <v>3340800</v>
      </c>
      <c r="S659" s="112" t="s">
        <v>2996</v>
      </c>
    </row>
    <row r="660" spans="1:19" ht="30">
      <c r="A660" s="142"/>
      <c r="B660" s="153" t="s">
        <v>1250</v>
      </c>
      <c r="C660" s="142" t="s">
        <v>4</v>
      </c>
      <c r="D660" s="26">
        <v>21.5</v>
      </c>
      <c r="E660" s="144"/>
      <c r="F660" s="334">
        <v>21.5</v>
      </c>
      <c r="G660" s="112" t="s">
        <v>2996</v>
      </c>
      <c r="H660" s="120" t="s">
        <v>3084</v>
      </c>
      <c r="I660" s="120" t="s">
        <v>2748</v>
      </c>
      <c r="J660" s="120" t="s">
        <v>772</v>
      </c>
      <c r="K660" s="110">
        <v>52000</v>
      </c>
      <c r="L660" s="110"/>
      <c r="M660" s="110">
        <v>62000</v>
      </c>
      <c r="N660" s="110"/>
      <c r="O660" s="110"/>
      <c r="P660" s="110">
        <f t="shared" si="222"/>
        <v>114000</v>
      </c>
      <c r="Q660" s="110">
        <f t="shared" si="223"/>
        <v>2451000</v>
      </c>
      <c r="R660" s="110">
        <f t="shared" si="224"/>
        <v>2451000</v>
      </c>
      <c r="S660" s="112" t="s">
        <v>2996</v>
      </c>
    </row>
    <row r="661" spans="1:19" ht="30">
      <c r="A661" s="142"/>
      <c r="B661" s="153" t="s">
        <v>1252</v>
      </c>
      <c r="C661" s="142" t="s">
        <v>4</v>
      </c>
      <c r="D661" s="26">
        <v>8.5</v>
      </c>
      <c r="E661" s="144"/>
      <c r="F661" s="334">
        <v>8.5</v>
      </c>
      <c r="G661" s="112" t="s">
        <v>2996</v>
      </c>
      <c r="H661" s="120" t="s">
        <v>3085</v>
      </c>
      <c r="I661" s="120" t="s">
        <v>2748</v>
      </c>
      <c r="J661" s="120" t="s">
        <v>772</v>
      </c>
      <c r="K661" s="110">
        <v>35300</v>
      </c>
      <c r="L661" s="110"/>
      <c r="M661" s="110">
        <v>49600</v>
      </c>
      <c r="N661" s="110"/>
      <c r="O661" s="110"/>
      <c r="P661" s="110">
        <f t="shared" si="222"/>
        <v>84900</v>
      </c>
      <c r="Q661" s="110">
        <f t="shared" si="223"/>
        <v>721650</v>
      </c>
      <c r="R661" s="110">
        <f t="shared" si="224"/>
        <v>721650</v>
      </c>
      <c r="S661" s="112" t="s">
        <v>2996</v>
      </c>
    </row>
    <row r="662" spans="1:19" ht="30">
      <c r="A662" s="142"/>
      <c r="B662" s="153" t="s">
        <v>1438</v>
      </c>
      <c r="C662" s="142" t="s">
        <v>4</v>
      </c>
      <c r="D662" s="26">
        <v>10.5</v>
      </c>
      <c r="E662" s="144"/>
      <c r="F662" s="334">
        <v>10.5</v>
      </c>
      <c r="G662" s="112" t="s">
        <v>2996</v>
      </c>
      <c r="H662" s="120" t="s">
        <v>3086</v>
      </c>
      <c r="I662" s="120" t="s">
        <v>2748</v>
      </c>
      <c r="J662" s="120" t="s">
        <v>772</v>
      </c>
      <c r="K662" s="110">
        <v>15900</v>
      </c>
      <c r="L662" s="110"/>
      <c r="M662" s="110">
        <v>31000</v>
      </c>
      <c r="N662" s="110"/>
      <c r="O662" s="110"/>
      <c r="P662" s="110">
        <f t="shared" si="222"/>
        <v>46900</v>
      </c>
      <c r="Q662" s="110">
        <f t="shared" si="223"/>
        <v>492450</v>
      </c>
      <c r="R662" s="110">
        <f t="shared" si="224"/>
        <v>492450</v>
      </c>
      <c r="S662" s="112" t="s">
        <v>2996</v>
      </c>
    </row>
    <row r="663" spans="1:19" ht="30">
      <c r="A663" s="142"/>
      <c r="B663" s="153" t="s">
        <v>1470</v>
      </c>
      <c r="C663" s="142" t="s">
        <v>4</v>
      </c>
      <c r="D663" s="26">
        <v>8</v>
      </c>
      <c r="E663" s="144"/>
      <c r="F663" s="334">
        <v>8</v>
      </c>
      <c r="G663" s="112" t="s">
        <v>2996</v>
      </c>
      <c r="H663" s="120" t="s">
        <v>3087</v>
      </c>
      <c r="I663" s="120" t="s">
        <v>2748</v>
      </c>
      <c r="J663" s="120" t="s">
        <v>772</v>
      </c>
      <c r="K663" s="110">
        <v>10200</v>
      </c>
      <c r="L663" s="110"/>
      <c r="M663" s="110">
        <v>24800</v>
      </c>
      <c r="N663" s="110"/>
      <c r="O663" s="110"/>
      <c r="P663" s="110">
        <f t="shared" si="222"/>
        <v>35000</v>
      </c>
      <c r="Q663" s="110">
        <f t="shared" si="223"/>
        <v>280000</v>
      </c>
      <c r="R663" s="110">
        <f t="shared" si="224"/>
        <v>280000</v>
      </c>
      <c r="S663" s="112" t="s">
        <v>2996</v>
      </c>
    </row>
    <row r="664" spans="1:19" ht="45">
      <c r="A664" s="142">
        <v>21</v>
      </c>
      <c r="B664" s="153" t="s">
        <v>1531</v>
      </c>
      <c r="C664" s="142" t="s">
        <v>1532</v>
      </c>
      <c r="D664" s="26">
        <v>15</v>
      </c>
      <c r="E664" s="144"/>
      <c r="F664" s="334">
        <v>15</v>
      </c>
      <c r="G664" s="112" t="s">
        <v>3136</v>
      </c>
      <c r="H664" s="120">
        <v>0</v>
      </c>
      <c r="I664" s="120">
        <v>0</v>
      </c>
      <c r="J664" s="120" t="s">
        <v>772</v>
      </c>
      <c r="K664" s="110">
        <v>82600</v>
      </c>
      <c r="L664" s="110"/>
      <c r="M664" s="110">
        <v>229400</v>
      </c>
      <c r="N664" s="110"/>
      <c r="O664" s="110"/>
      <c r="P664" s="110">
        <f t="shared" si="222"/>
        <v>312000</v>
      </c>
      <c r="Q664" s="110">
        <f t="shared" si="223"/>
        <v>4680000</v>
      </c>
      <c r="R664" s="110">
        <f t="shared" si="224"/>
        <v>4680000</v>
      </c>
      <c r="S664" s="112" t="s">
        <v>3136</v>
      </c>
    </row>
    <row r="665" spans="1:19">
      <c r="A665" s="142">
        <v>22</v>
      </c>
      <c r="B665" s="153" t="s">
        <v>1533</v>
      </c>
      <c r="C665" s="142" t="s">
        <v>1532</v>
      </c>
      <c r="D665" s="26">
        <v>12</v>
      </c>
      <c r="E665" s="144"/>
      <c r="F665" s="334">
        <v>12</v>
      </c>
      <c r="G665" s="112">
        <v>0</v>
      </c>
      <c r="H665" s="120">
        <v>0</v>
      </c>
      <c r="I665" s="120">
        <v>0</v>
      </c>
      <c r="J665" s="120" t="s">
        <v>772</v>
      </c>
      <c r="K665" s="110">
        <v>42100</v>
      </c>
      <c r="L665" s="110"/>
      <c r="M665" s="110">
        <v>157700</v>
      </c>
      <c r="N665" s="110"/>
      <c r="O665" s="110"/>
      <c r="P665" s="110">
        <f t="shared" si="222"/>
        <v>199800</v>
      </c>
      <c r="Q665" s="110">
        <f t="shared" si="223"/>
        <v>2397600</v>
      </c>
      <c r="R665" s="110">
        <f t="shared" si="224"/>
        <v>2397600</v>
      </c>
      <c r="S665" s="112">
        <v>0</v>
      </c>
    </row>
    <row r="666" spans="1:19">
      <c r="A666" s="142">
        <v>23</v>
      </c>
      <c r="B666" s="153" t="s">
        <v>1534</v>
      </c>
      <c r="C666" s="142" t="s">
        <v>1532</v>
      </c>
      <c r="D666" s="26">
        <v>10</v>
      </c>
      <c r="E666" s="144"/>
      <c r="F666" s="334">
        <v>10</v>
      </c>
      <c r="G666" s="112">
        <v>0</v>
      </c>
      <c r="H666" s="120">
        <v>0</v>
      </c>
      <c r="I666" s="120">
        <v>0</v>
      </c>
      <c r="J666" s="120" t="s">
        <v>772</v>
      </c>
      <c r="K666" s="110">
        <v>36200</v>
      </c>
      <c r="L666" s="110"/>
      <c r="M666" s="110">
        <v>99700</v>
      </c>
      <c r="N666" s="110"/>
      <c r="O666" s="110"/>
      <c r="P666" s="110">
        <f t="shared" si="222"/>
        <v>135900</v>
      </c>
      <c r="Q666" s="110">
        <f t="shared" si="223"/>
        <v>1359000</v>
      </c>
      <c r="R666" s="110">
        <f t="shared" si="224"/>
        <v>1359000</v>
      </c>
      <c r="S666" s="112">
        <v>0</v>
      </c>
    </row>
    <row r="667" spans="1:19" ht="30">
      <c r="A667" s="142">
        <v>24</v>
      </c>
      <c r="B667" s="153" t="s">
        <v>1322</v>
      </c>
      <c r="C667" s="142" t="s">
        <v>17</v>
      </c>
      <c r="D667" s="304">
        <v>1</v>
      </c>
      <c r="E667" s="144"/>
      <c r="F667" s="334">
        <v>1</v>
      </c>
      <c r="G667" s="112">
        <v>0</v>
      </c>
      <c r="H667" s="120">
        <v>0</v>
      </c>
      <c r="I667" s="120">
        <v>0</v>
      </c>
      <c r="J667" s="120">
        <v>0</v>
      </c>
      <c r="K667" s="110">
        <v>8307200</v>
      </c>
      <c r="L667" s="110"/>
      <c r="M667" s="110">
        <v>0</v>
      </c>
      <c r="N667" s="110"/>
      <c r="O667" s="110"/>
      <c r="P667" s="110">
        <f t="shared" si="222"/>
        <v>8307200</v>
      </c>
      <c r="Q667" s="110">
        <f t="shared" si="223"/>
        <v>8307200</v>
      </c>
      <c r="R667" s="110">
        <f t="shared" si="224"/>
        <v>8307200</v>
      </c>
      <c r="S667" s="112">
        <v>0</v>
      </c>
    </row>
    <row r="668" spans="1:19">
      <c r="A668" s="163" t="s">
        <v>718</v>
      </c>
      <c r="B668" s="162" t="s">
        <v>1535</v>
      </c>
      <c r="C668" s="163"/>
      <c r="D668" s="164"/>
      <c r="E668" s="165"/>
      <c r="F668" s="167"/>
      <c r="G668" s="455"/>
      <c r="H668" s="455"/>
      <c r="I668" s="455"/>
      <c r="J668" s="455"/>
      <c r="K668" s="167"/>
      <c r="L668" s="167"/>
      <c r="M668" s="167"/>
      <c r="N668" s="167"/>
      <c r="O668" s="167"/>
      <c r="P668" s="167"/>
      <c r="Q668" s="167"/>
      <c r="R668" s="167"/>
      <c r="S668" s="378"/>
    </row>
    <row r="669" spans="1:19">
      <c r="A669" s="169" t="s">
        <v>719</v>
      </c>
      <c r="B669" s="152" t="s">
        <v>1455</v>
      </c>
      <c r="C669" s="142"/>
      <c r="D669" s="143"/>
      <c r="E669" s="144"/>
      <c r="F669" s="50"/>
      <c r="G669" s="120"/>
      <c r="H669" s="120"/>
      <c r="I669" s="120"/>
      <c r="J669" s="120"/>
      <c r="K669" s="50"/>
      <c r="L669" s="50"/>
      <c r="M669" s="50"/>
      <c r="N669" s="50"/>
      <c r="O669" s="50"/>
      <c r="P669" s="50"/>
      <c r="Q669" s="50"/>
      <c r="R669" s="50"/>
      <c r="S669" s="50"/>
    </row>
    <row r="670" spans="1:19">
      <c r="A670" s="142">
        <v>1</v>
      </c>
      <c r="B670" s="153" t="s">
        <v>1456</v>
      </c>
      <c r="C670" s="142"/>
      <c r="D670" s="143"/>
      <c r="E670" s="144"/>
      <c r="F670" s="50"/>
      <c r="G670" s="120"/>
      <c r="H670" s="120"/>
      <c r="I670" s="120"/>
      <c r="J670" s="120"/>
      <c r="K670" s="50"/>
      <c r="L670" s="50"/>
      <c r="M670" s="50"/>
      <c r="N670" s="50"/>
      <c r="O670" s="50"/>
      <c r="P670" s="50"/>
      <c r="Q670" s="50"/>
      <c r="R670" s="50"/>
      <c r="S670" s="50"/>
    </row>
    <row r="671" spans="1:19" ht="60">
      <c r="A671" s="142"/>
      <c r="B671" s="153" t="s">
        <v>1255</v>
      </c>
      <c r="C671" s="142" t="s">
        <v>7</v>
      </c>
      <c r="D671" s="143">
        <v>66.837000000000003</v>
      </c>
      <c r="E671" s="144"/>
      <c r="F671" s="334">
        <v>66.837000000000003</v>
      </c>
      <c r="G671" s="112" t="s">
        <v>2829</v>
      </c>
      <c r="H671" s="120" t="s">
        <v>2834</v>
      </c>
      <c r="I671" s="120" t="s">
        <v>2748</v>
      </c>
      <c r="J671" s="120" t="s">
        <v>772</v>
      </c>
      <c r="K671" s="110">
        <v>36800</v>
      </c>
      <c r="L671" s="110"/>
      <c r="M671" s="110">
        <v>47500</v>
      </c>
      <c r="N671" s="110"/>
      <c r="O671" s="110"/>
      <c r="P671" s="110">
        <f t="shared" ref="P671:P674" si="225">K671+L671+M671+N671+O671</f>
        <v>84300</v>
      </c>
      <c r="Q671" s="110">
        <f t="shared" ref="Q671:Q674" si="226">$P671*D671</f>
        <v>5634359.1000000006</v>
      </c>
      <c r="R671" s="110">
        <f t="shared" ref="R671:R674" si="227">$P671*F671</f>
        <v>5634359.1000000006</v>
      </c>
      <c r="S671" s="112" t="s">
        <v>2829</v>
      </c>
    </row>
    <row r="672" spans="1:19" ht="60">
      <c r="A672" s="142"/>
      <c r="B672" s="153" t="s">
        <v>707</v>
      </c>
      <c r="C672" s="142" t="s">
        <v>7</v>
      </c>
      <c r="D672" s="143">
        <v>58.929999999999993</v>
      </c>
      <c r="E672" s="144" t="s">
        <v>1251</v>
      </c>
      <c r="F672" s="334">
        <v>58.929999999999993</v>
      </c>
      <c r="G672" s="112" t="s">
        <v>2829</v>
      </c>
      <c r="H672" s="120" t="s">
        <v>2835</v>
      </c>
      <c r="I672" s="120" t="s">
        <v>2748</v>
      </c>
      <c r="J672" s="120" t="s">
        <v>772</v>
      </c>
      <c r="K672" s="110">
        <v>27400</v>
      </c>
      <c r="L672" s="110"/>
      <c r="M672" s="110">
        <v>44100</v>
      </c>
      <c r="N672" s="110"/>
      <c r="O672" s="110"/>
      <c r="P672" s="110">
        <f t="shared" si="225"/>
        <v>71500</v>
      </c>
      <c r="Q672" s="110">
        <f t="shared" si="226"/>
        <v>4213494.9999999991</v>
      </c>
      <c r="R672" s="110">
        <f t="shared" si="227"/>
        <v>4213494.9999999991</v>
      </c>
      <c r="S672" s="112" t="s">
        <v>2829</v>
      </c>
    </row>
    <row r="673" spans="1:19" ht="60">
      <c r="A673" s="142"/>
      <c r="B673" s="153" t="s">
        <v>708</v>
      </c>
      <c r="C673" s="142" t="s">
        <v>7</v>
      </c>
      <c r="D673" s="143">
        <v>128.09200000000001</v>
      </c>
      <c r="E673" s="144" t="s">
        <v>1251</v>
      </c>
      <c r="F673" s="334">
        <v>128.09200000000001</v>
      </c>
      <c r="G673" s="112" t="s">
        <v>2829</v>
      </c>
      <c r="H673" s="120" t="s">
        <v>2836</v>
      </c>
      <c r="I673" s="120" t="s">
        <v>2748</v>
      </c>
      <c r="J673" s="120" t="s">
        <v>772</v>
      </c>
      <c r="K673" s="110">
        <v>21200</v>
      </c>
      <c r="L673" s="110"/>
      <c r="M673" s="110">
        <v>40800</v>
      </c>
      <c r="N673" s="110"/>
      <c r="O673" s="110"/>
      <c r="P673" s="110">
        <f t="shared" si="225"/>
        <v>62000</v>
      </c>
      <c r="Q673" s="110">
        <f t="shared" si="226"/>
        <v>7941704.0000000009</v>
      </c>
      <c r="R673" s="110">
        <f t="shared" si="227"/>
        <v>7941704.0000000009</v>
      </c>
      <c r="S673" s="112" t="s">
        <v>2829</v>
      </c>
    </row>
    <row r="674" spans="1:19" ht="60">
      <c r="A674" s="142"/>
      <c r="B674" s="153" t="s">
        <v>479</v>
      </c>
      <c r="C674" s="142" t="s">
        <v>7</v>
      </c>
      <c r="D674" s="143">
        <v>615.44100000000003</v>
      </c>
      <c r="E674" s="144" t="s">
        <v>1251</v>
      </c>
      <c r="F674" s="334">
        <v>615.44100000000003</v>
      </c>
      <c r="G674" s="112" t="s">
        <v>2829</v>
      </c>
      <c r="H674" s="120" t="s">
        <v>2837</v>
      </c>
      <c r="I674" s="120" t="s">
        <v>2748</v>
      </c>
      <c r="J674" s="120" t="s">
        <v>772</v>
      </c>
      <c r="K674" s="110">
        <v>11900</v>
      </c>
      <c r="L674" s="110"/>
      <c r="M674" s="110">
        <v>36200</v>
      </c>
      <c r="N674" s="110"/>
      <c r="O674" s="110"/>
      <c r="P674" s="110">
        <f t="shared" si="225"/>
        <v>48100</v>
      </c>
      <c r="Q674" s="110">
        <f t="shared" si="226"/>
        <v>29602712.100000001</v>
      </c>
      <c r="R674" s="110">
        <f t="shared" si="227"/>
        <v>29602712.100000001</v>
      </c>
      <c r="S674" s="112" t="s">
        <v>2829</v>
      </c>
    </row>
    <row r="675" spans="1:19">
      <c r="A675" s="142"/>
      <c r="B675" s="153" t="s">
        <v>1457</v>
      </c>
      <c r="C675" s="142"/>
      <c r="D675" s="143"/>
      <c r="E675" s="144"/>
      <c r="F675" s="74"/>
      <c r="G675" s="120"/>
      <c r="H675" s="120"/>
      <c r="I675" s="120"/>
      <c r="J675" s="120"/>
      <c r="K675" s="74"/>
      <c r="L675" s="74"/>
      <c r="M675" s="74"/>
      <c r="N675" s="74"/>
      <c r="O675" s="74"/>
      <c r="P675" s="74"/>
      <c r="Q675" s="74"/>
      <c r="R675" s="74"/>
      <c r="S675" s="74"/>
    </row>
    <row r="676" spans="1:19" ht="60">
      <c r="A676" s="142"/>
      <c r="B676" s="153" t="s">
        <v>708</v>
      </c>
      <c r="C676" s="142" t="s">
        <v>7</v>
      </c>
      <c r="D676" s="143">
        <v>26</v>
      </c>
      <c r="E676" s="144" t="s">
        <v>1458</v>
      </c>
      <c r="F676" s="334">
        <v>26</v>
      </c>
      <c r="G676" s="112" t="s">
        <v>2829</v>
      </c>
      <c r="H676" s="120" t="s">
        <v>2842</v>
      </c>
      <c r="I676" s="120" t="s">
        <v>2748</v>
      </c>
      <c r="J676" s="120" t="s">
        <v>772</v>
      </c>
      <c r="K676" s="110">
        <v>25700</v>
      </c>
      <c r="L676" s="110"/>
      <c r="M676" s="110">
        <v>40800</v>
      </c>
      <c r="N676" s="110"/>
      <c r="O676" s="110"/>
      <c r="P676" s="110">
        <f t="shared" ref="P676:P677" si="228">K676+L676+M676+N676+O676</f>
        <v>66500</v>
      </c>
      <c r="Q676" s="110">
        <f t="shared" ref="Q676:Q677" si="229">$P676*D676</f>
        <v>1729000</v>
      </c>
      <c r="R676" s="110">
        <f t="shared" ref="R676:R677" si="230">$P676*F676</f>
        <v>1729000</v>
      </c>
      <c r="S676" s="112" t="s">
        <v>2829</v>
      </c>
    </row>
    <row r="677" spans="1:19" ht="60">
      <c r="A677" s="142"/>
      <c r="B677" s="153" t="s">
        <v>479</v>
      </c>
      <c r="C677" s="142" t="s">
        <v>7</v>
      </c>
      <c r="D677" s="143">
        <v>72</v>
      </c>
      <c r="E677" s="144" t="s">
        <v>1458</v>
      </c>
      <c r="F677" s="334">
        <v>72</v>
      </c>
      <c r="G677" s="112" t="s">
        <v>2829</v>
      </c>
      <c r="H677" s="120" t="s">
        <v>2843</v>
      </c>
      <c r="I677" s="120" t="s">
        <v>2748</v>
      </c>
      <c r="J677" s="120" t="s">
        <v>772</v>
      </c>
      <c r="K677" s="110">
        <v>14700</v>
      </c>
      <c r="L677" s="110"/>
      <c r="M677" s="110">
        <v>36200</v>
      </c>
      <c r="N677" s="110"/>
      <c r="O677" s="110"/>
      <c r="P677" s="110">
        <f t="shared" si="228"/>
        <v>50900</v>
      </c>
      <c r="Q677" s="110">
        <f t="shared" si="229"/>
        <v>3664800</v>
      </c>
      <c r="R677" s="110">
        <f t="shared" si="230"/>
        <v>3664800</v>
      </c>
      <c r="S677" s="112" t="s">
        <v>2829</v>
      </c>
    </row>
    <row r="678" spans="1:19">
      <c r="A678" s="142" t="s">
        <v>693</v>
      </c>
      <c r="B678" s="153" t="s">
        <v>1459</v>
      </c>
      <c r="C678" s="142"/>
      <c r="D678" s="143"/>
      <c r="E678" s="144"/>
      <c r="F678" s="50"/>
      <c r="G678" s="120"/>
      <c r="H678" s="120"/>
      <c r="I678" s="120"/>
      <c r="J678" s="120"/>
      <c r="K678" s="50"/>
      <c r="L678" s="50"/>
      <c r="M678" s="50"/>
      <c r="N678" s="50"/>
      <c r="O678" s="50"/>
      <c r="P678" s="50"/>
      <c r="Q678" s="50"/>
      <c r="R678" s="50"/>
      <c r="S678" s="50"/>
    </row>
    <row r="679" spans="1:19">
      <c r="A679" s="142"/>
      <c r="B679" s="153" t="s">
        <v>1255</v>
      </c>
      <c r="C679" s="142" t="s">
        <v>4</v>
      </c>
      <c r="D679" s="143">
        <v>6</v>
      </c>
      <c r="E679" s="144"/>
      <c r="F679" s="334">
        <v>6</v>
      </c>
      <c r="G679" s="112">
        <v>0</v>
      </c>
      <c r="H679" s="120">
        <v>0</v>
      </c>
      <c r="I679" s="120" t="s">
        <v>2748</v>
      </c>
      <c r="J679" s="120" t="s">
        <v>772</v>
      </c>
      <c r="K679" s="110">
        <v>13100</v>
      </c>
      <c r="L679" s="110"/>
      <c r="M679" s="110">
        <v>58800</v>
      </c>
      <c r="N679" s="110"/>
      <c r="O679" s="110"/>
      <c r="P679" s="110">
        <f t="shared" ref="P679:P692" si="231">K679+L679+M679+N679+O679</f>
        <v>71900</v>
      </c>
      <c r="Q679" s="110">
        <f t="shared" ref="Q679:Q692" si="232">$P679*D679</f>
        <v>431400</v>
      </c>
      <c r="R679" s="110">
        <f t="shared" ref="R679:R692" si="233">$P679*F679</f>
        <v>431400</v>
      </c>
      <c r="S679" s="112">
        <v>0</v>
      </c>
    </row>
    <row r="680" spans="1:19" ht="30">
      <c r="A680" s="142"/>
      <c r="B680" s="153" t="s">
        <v>1277</v>
      </c>
      <c r="C680" s="142" t="s">
        <v>4</v>
      </c>
      <c r="D680" s="143">
        <v>3</v>
      </c>
      <c r="E680" s="144"/>
      <c r="F680" s="334">
        <v>3</v>
      </c>
      <c r="G680" s="112">
        <v>0</v>
      </c>
      <c r="H680" s="120" t="s">
        <v>2774</v>
      </c>
      <c r="I680" s="120" t="s">
        <v>2748</v>
      </c>
      <c r="J680" s="120" t="s">
        <v>772</v>
      </c>
      <c r="K680" s="110">
        <v>19800</v>
      </c>
      <c r="L680" s="110"/>
      <c r="M680" s="110">
        <v>58800</v>
      </c>
      <c r="N680" s="110"/>
      <c r="O680" s="110"/>
      <c r="P680" s="110">
        <f t="shared" si="231"/>
        <v>78600</v>
      </c>
      <c r="Q680" s="110">
        <f t="shared" si="232"/>
        <v>235800</v>
      </c>
      <c r="R680" s="110">
        <f t="shared" si="233"/>
        <v>235800</v>
      </c>
      <c r="S680" s="112">
        <v>0</v>
      </c>
    </row>
    <row r="681" spans="1:19" ht="30">
      <c r="A681" s="142"/>
      <c r="B681" s="153" t="s">
        <v>1278</v>
      </c>
      <c r="C681" s="142" t="s">
        <v>4</v>
      </c>
      <c r="D681" s="143">
        <v>6</v>
      </c>
      <c r="E681" s="144"/>
      <c r="F681" s="334">
        <v>6</v>
      </c>
      <c r="G681" s="112">
        <v>0</v>
      </c>
      <c r="H681" s="120" t="s">
        <v>2775</v>
      </c>
      <c r="I681" s="120" t="s">
        <v>2748</v>
      </c>
      <c r="J681" s="120" t="s">
        <v>772</v>
      </c>
      <c r="K681" s="110">
        <v>19800</v>
      </c>
      <c r="L681" s="110"/>
      <c r="M681" s="110">
        <v>58800</v>
      </c>
      <c r="N681" s="110"/>
      <c r="O681" s="110"/>
      <c r="P681" s="110">
        <f t="shared" si="231"/>
        <v>78600</v>
      </c>
      <c r="Q681" s="110">
        <f t="shared" si="232"/>
        <v>471600</v>
      </c>
      <c r="R681" s="110">
        <f t="shared" si="233"/>
        <v>471600</v>
      </c>
      <c r="S681" s="112">
        <v>0</v>
      </c>
    </row>
    <row r="682" spans="1:19">
      <c r="A682" s="142"/>
      <c r="B682" s="153" t="s">
        <v>707</v>
      </c>
      <c r="C682" s="142" t="s">
        <v>4</v>
      </c>
      <c r="D682" s="143">
        <v>6</v>
      </c>
      <c r="E682" s="144"/>
      <c r="F682" s="334">
        <v>6</v>
      </c>
      <c r="G682" s="112">
        <v>0</v>
      </c>
      <c r="H682" s="120">
        <v>0</v>
      </c>
      <c r="I682" s="120" t="s">
        <v>2748</v>
      </c>
      <c r="J682" s="120" t="s">
        <v>772</v>
      </c>
      <c r="K682" s="110">
        <v>8400</v>
      </c>
      <c r="L682" s="110"/>
      <c r="M682" s="110">
        <v>51500</v>
      </c>
      <c r="N682" s="110"/>
      <c r="O682" s="110"/>
      <c r="P682" s="110">
        <f t="shared" si="231"/>
        <v>59900</v>
      </c>
      <c r="Q682" s="110">
        <f t="shared" si="232"/>
        <v>359400</v>
      </c>
      <c r="R682" s="110">
        <f t="shared" si="233"/>
        <v>359400</v>
      </c>
      <c r="S682" s="112">
        <v>0</v>
      </c>
    </row>
    <row r="683" spans="1:19" ht="30">
      <c r="A683" s="142"/>
      <c r="B683" s="153" t="s">
        <v>1280</v>
      </c>
      <c r="C683" s="142" t="s">
        <v>4</v>
      </c>
      <c r="D683" s="143">
        <v>4</v>
      </c>
      <c r="E683" s="144"/>
      <c r="F683" s="334">
        <v>4</v>
      </c>
      <c r="G683" s="112">
        <v>0</v>
      </c>
      <c r="H683" s="120" t="s">
        <v>2777</v>
      </c>
      <c r="I683" s="120" t="s">
        <v>2748</v>
      </c>
      <c r="J683" s="120" t="s">
        <v>772</v>
      </c>
      <c r="K683" s="110">
        <v>9000</v>
      </c>
      <c r="L683" s="110"/>
      <c r="M683" s="110">
        <v>51500</v>
      </c>
      <c r="N683" s="110"/>
      <c r="O683" s="110"/>
      <c r="P683" s="110">
        <f t="shared" si="231"/>
        <v>60500</v>
      </c>
      <c r="Q683" s="110">
        <f t="shared" si="232"/>
        <v>242000</v>
      </c>
      <c r="R683" s="110">
        <f t="shared" si="233"/>
        <v>242000</v>
      </c>
      <c r="S683" s="112">
        <v>0</v>
      </c>
    </row>
    <row r="684" spans="1:19" ht="30">
      <c r="A684" s="142"/>
      <c r="B684" s="153" t="s">
        <v>1281</v>
      </c>
      <c r="C684" s="142" t="s">
        <v>4</v>
      </c>
      <c r="D684" s="143">
        <v>25</v>
      </c>
      <c r="E684" s="144"/>
      <c r="F684" s="334">
        <v>25</v>
      </c>
      <c r="G684" s="112">
        <v>0</v>
      </c>
      <c r="H684" s="120" t="s">
        <v>2778</v>
      </c>
      <c r="I684" s="120" t="s">
        <v>2748</v>
      </c>
      <c r="J684" s="120" t="s">
        <v>772</v>
      </c>
      <c r="K684" s="110">
        <v>9000</v>
      </c>
      <c r="L684" s="110"/>
      <c r="M684" s="110">
        <v>51500</v>
      </c>
      <c r="N684" s="110"/>
      <c r="O684" s="110"/>
      <c r="P684" s="110">
        <f t="shared" si="231"/>
        <v>60500</v>
      </c>
      <c r="Q684" s="110">
        <f t="shared" si="232"/>
        <v>1512500</v>
      </c>
      <c r="R684" s="110">
        <f t="shared" si="233"/>
        <v>1512500</v>
      </c>
      <c r="S684" s="112">
        <v>0</v>
      </c>
    </row>
    <row r="685" spans="1:19">
      <c r="A685" s="142"/>
      <c r="B685" s="153" t="s">
        <v>708</v>
      </c>
      <c r="C685" s="142" t="s">
        <v>4</v>
      </c>
      <c r="D685" s="143">
        <v>33</v>
      </c>
      <c r="E685" s="144"/>
      <c r="F685" s="334">
        <v>33</v>
      </c>
      <c r="G685" s="112">
        <v>0</v>
      </c>
      <c r="H685" s="120">
        <v>0</v>
      </c>
      <c r="I685" s="120" t="s">
        <v>2748</v>
      </c>
      <c r="J685" s="120" t="s">
        <v>772</v>
      </c>
      <c r="K685" s="110">
        <v>5100</v>
      </c>
      <c r="L685" s="110"/>
      <c r="M685" s="110">
        <v>44100</v>
      </c>
      <c r="N685" s="110"/>
      <c r="O685" s="110"/>
      <c r="P685" s="110">
        <f t="shared" si="231"/>
        <v>49200</v>
      </c>
      <c r="Q685" s="110">
        <f t="shared" si="232"/>
        <v>1623600</v>
      </c>
      <c r="R685" s="110">
        <f t="shared" si="233"/>
        <v>1623600</v>
      </c>
      <c r="S685" s="112">
        <v>0</v>
      </c>
    </row>
    <row r="686" spans="1:19" ht="30">
      <c r="A686" s="142"/>
      <c r="B686" s="153" t="s">
        <v>1282</v>
      </c>
      <c r="C686" s="142" t="s">
        <v>4</v>
      </c>
      <c r="D686" s="143">
        <v>76</v>
      </c>
      <c r="E686" s="144"/>
      <c r="F686" s="334">
        <v>76</v>
      </c>
      <c r="G686" s="112">
        <v>0</v>
      </c>
      <c r="H686" s="120" t="s">
        <v>2779</v>
      </c>
      <c r="I686" s="120" t="s">
        <v>2748</v>
      </c>
      <c r="J686" s="120" t="s">
        <v>772</v>
      </c>
      <c r="K686" s="110">
        <v>5100</v>
      </c>
      <c r="L686" s="110"/>
      <c r="M686" s="110">
        <v>44100</v>
      </c>
      <c r="N686" s="110"/>
      <c r="O686" s="110"/>
      <c r="P686" s="110">
        <f t="shared" si="231"/>
        <v>49200</v>
      </c>
      <c r="Q686" s="110">
        <f t="shared" si="232"/>
        <v>3739200</v>
      </c>
      <c r="R686" s="110">
        <f t="shared" si="233"/>
        <v>3739200</v>
      </c>
      <c r="S686" s="112">
        <v>0</v>
      </c>
    </row>
    <row r="687" spans="1:19">
      <c r="A687" s="142"/>
      <c r="B687" s="153" t="s">
        <v>479</v>
      </c>
      <c r="C687" s="142" t="s">
        <v>4</v>
      </c>
      <c r="D687" s="143">
        <v>13</v>
      </c>
      <c r="E687" s="144"/>
      <c r="F687" s="334">
        <v>13</v>
      </c>
      <c r="G687" s="112">
        <v>0</v>
      </c>
      <c r="H687" s="120">
        <v>0</v>
      </c>
      <c r="I687" s="120" t="s">
        <v>2748</v>
      </c>
      <c r="J687" s="120" t="s">
        <v>772</v>
      </c>
      <c r="K687" s="110">
        <v>3300</v>
      </c>
      <c r="L687" s="110"/>
      <c r="M687" s="110">
        <v>36800</v>
      </c>
      <c r="N687" s="110"/>
      <c r="O687" s="110"/>
      <c r="P687" s="110">
        <f t="shared" si="231"/>
        <v>40100</v>
      </c>
      <c r="Q687" s="110">
        <f t="shared" si="232"/>
        <v>521300</v>
      </c>
      <c r="R687" s="110">
        <f t="shared" si="233"/>
        <v>521300</v>
      </c>
      <c r="S687" s="112">
        <v>0</v>
      </c>
    </row>
    <row r="688" spans="1:19">
      <c r="A688" s="142">
        <v>3</v>
      </c>
      <c r="B688" s="153" t="s">
        <v>1460</v>
      </c>
      <c r="C688" s="142" t="s">
        <v>4</v>
      </c>
      <c r="D688" s="143"/>
      <c r="E688" s="144"/>
      <c r="F688" s="334">
        <v>0</v>
      </c>
      <c r="G688" s="112">
        <v>0</v>
      </c>
      <c r="H688" s="120">
        <v>0</v>
      </c>
      <c r="I688" s="120">
        <v>0</v>
      </c>
      <c r="J688" s="120">
        <v>0</v>
      </c>
      <c r="K688" s="110">
        <v>0</v>
      </c>
      <c r="L688" s="110"/>
      <c r="M688" s="110">
        <v>0</v>
      </c>
      <c r="N688" s="110"/>
      <c r="O688" s="110"/>
      <c r="P688" s="110">
        <f t="shared" si="231"/>
        <v>0</v>
      </c>
      <c r="Q688" s="110">
        <f t="shared" si="232"/>
        <v>0</v>
      </c>
      <c r="R688" s="110">
        <f t="shared" si="233"/>
        <v>0</v>
      </c>
      <c r="S688" s="112">
        <v>0</v>
      </c>
    </row>
    <row r="689" spans="1:19">
      <c r="A689" s="142"/>
      <c r="B689" s="153" t="s">
        <v>1255</v>
      </c>
      <c r="C689" s="142" t="s">
        <v>4</v>
      </c>
      <c r="D689" s="143">
        <v>27</v>
      </c>
      <c r="E689" s="144"/>
      <c r="F689" s="334">
        <v>27</v>
      </c>
      <c r="G689" s="112">
        <v>0</v>
      </c>
      <c r="H689" s="120" t="s">
        <v>2785</v>
      </c>
      <c r="I689" s="120" t="s">
        <v>2748</v>
      </c>
      <c r="J689" s="120" t="s">
        <v>772</v>
      </c>
      <c r="K689" s="110">
        <v>10700</v>
      </c>
      <c r="L689" s="110"/>
      <c r="M689" s="110">
        <v>39700</v>
      </c>
      <c r="N689" s="110"/>
      <c r="O689" s="110"/>
      <c r="P689" s="110">
        <f t="shared" si="231"/>
        <v>50400</v>
      </c>
      <c r="Q689" s="110">
        <f t="shared" si="232"/>
        <v>1360800</v>
      </c>
      <c r="R689" s="110">
        <f t="shared" si="233"/>
        <v>1360800</v>
      </c>
      <c r="S689" s="112">
        <v>0</v>
      </c>
    </row>
    <row r="690" spans="1:19">
      <c r="A690" s="142"/>
      <c r="B690" s="153" t="s">
        <v>707</v>
      </c>
      <c r="C690" s="142" t="s">
        <v>4</v>
      </c>
      <c r="D690" s="143">
        <v>16</v>
      </c>
      <c r="E690" s="144"/>
      <c r="F690" s="334">
        <v>16</v>
      </c>
      <c r="G690" s="112">
        <v>0</v>
      </c>
      <c r="H690" s="120" t="s">
        <v>2786</v>
      </c>
      <c r="I690" s="120" t="s">
        <v>2748</v>
      </c>
      <c r="J690" s="120" t="s">
        <v>772</v>
      </c>
      <c r="K690" s="110">
        <v>6600</v>
      </c>
      <c r="L690" s="110"/>
      <c r="M690" s="110">
        <v>34800</v>
      </c>
      <c r="N690" s="110"/>
      <c r="O690" s="110"/>
      <c r="P690" s="110">
        <f t="shared" si="231"/>
        <v>41400</v>
      </c>
      <c r="Q690" s="110">
        <f t="shared" si="232"/>
        <v>662400</v>
      </c>
      <c r="R690" s="110">
        <f t="shared" si="233"/>
        <v>662400</v>
      </c>
      <c r="S690" s="112">
        <v>0</v>
      </c>
    </row>
    <row r="691" spans="1:19">
      <c r="A691" s="142"/>
      <c r="B691" s="153" t="s">
        <v>708</v>
      </c>
      <c r="C691" s="142" t="s">
        <v>4</v>
      </c>
      <c r="D691" s="143">
        <v>47</v>
      </c>
      <c r="E691" s="144"/>
      <c r="F691" s="334">
        <v>47</v>
      </c>
      <c r="G691" s="112">
        <v>0</v>
      </c>
      <c r="H691" s="120" t="s">
        <v>2787</v>
      </c>
      <c r="I691" s="120" t="s">
        <v>2748</v>
      </c>
      <c r="J691" s="120" t="s">
        <v>772</v>
      </c>
      <c r="K691" s="110">
        <v>3800</v>
      </c>
      <c r="L691" s="110"/>
      <c r="M691" s="110">
        <v>29800</v>
      </c>
      <c r="N691" s="110"/>
      <c r="O691" s="110"/>
      <c r="P691" s="110">
        <f t="shared" si="231"/>
        <v>33600</v>
      </c>
      <c r="Q691" s="110">
        <f t="shared" si="232"/>
        <v>1579200</v>
      </c>
      <c r="R691" s="110">
        <f t="shared" si="233"/>
        <v>1579200</v>
      </c>
      <c r="S691" s="112">
        <v>0</v>
      </c>
    </row>
    <row r="692" spans="1:19">
      <c r="A692" s="142"/>
      <c r="B692" s="153" t="s">
        <v>479</v>
      </c>
      <c r="C692" s="142" t="s">
        <v>4</v>
      </c>
      <c r="D692" s="143">
        <v>320</v>
      </c>
      <c r="E692" s="144"/>
      <c r="F692" s="334">
        <v>320</v>
      </c>
      <c r="G692" s="112">
        <v>0</v>
      </c>
      <c r="H692" s="120" t="s">
        <v>2788</v>
      </c>
      <c r="I692" s="120" t="s">
        <v>2748</v>
      </c>
      <c r="J692" s="120" t="s">
        <v>772</v>
      </c>
      <c r="K692" s="110">
        <v>2900</v>
      </c>
      <c r="L692" s="110"/>
      <c r="M692" s="110">
        <v>24800</v>
      </c>
      <c r="N692" s="110"/>
      <c r="O692" s="110"/>
      <c r="P692" s="110">
        <f t="shared" si="231"/>
        <v>27700</v>
      </c>
      <c r="Q692" s="110">
        <f t="shared" si="232"/>
        <v>8864000</v>
      </c>
      <c r="R692" s="110">
        <f t="shared" si="233"/>
        <v>8864000</v>
      </c>
      <c r="S692" s="112">
        <v>0</v>
      </c>
    </row>
    <row r="693" spans="1:19">
      <c r="A693" s="142" t="s">
        <v>710</v>
      </c>
      <c r="B693" s="153" t="s">
        <v>1461</v>
      </c>
      <c r="C693" s="142"/>
      <c r="D693" s="143"/>
      <c r="E693" s="144"/>
      <c r="F693" s="74"/>
      <c r="G693" s="120"/>
      <c r="H693" s="120"/>
      <c r="I693" s="120"/>
      <c r="J693" s="120"/>
      <c r="K693" s="74"/>
      <c r="L693" s="74"/>
      <c r="M693" s="74"/>
      <c r="N693" s="74"/>
      <c r="O693" s="74"/>
      <c r="P693" s="74"/>
      <c r="Q693" s="74"/>
      <c r="R693" s="74"/>
      <c r="S693" s="74"/>
    </row>
    <row r="694" spans="1:19" ht="30">
      <c r="A694" s="142"/>
      <c r="B694" s="153" t="s">
        <v>1277</v>
      </c>
      <c r="C694" s="142" t="s">
        <v>4</v>
      </c>
      <c r="D694" s="143">
        <v>8</v>
      </c>
      <c r="E694" s="144"/>
      <c r="F694" s="334">
        <v>8</v>
      </c>
      <c r="G694" s="112">
        <v>0</v>
      </c>
      <c r="H694" s="120" t="s">
        <v>2802</v>
      </c>
      <c r="I694" s="120" t="s">
        <v>2748</v>
      </c>
      <c r="J694" s="120" t="s">
        <v>772</v>
      </c>
      <c r="K694" s="110">
        <v>5100</v>
      </c>
      <c r="L694" s="110"/>
      <c r="M694" s="110">
        <v>39700</v>
      </c>
      <c r="N694" s="110"/>
      <c r="O694" s="110"/>
      <c r="P694" s="110">
        <f t="shared" ref="P694:P698" si="234">K694+L694+M694+N694+O694</f>
        <v>44800</v>
      </c>
      <c r="Q694" s="110">
        <f t="shared" ref="Q694:Q698" si="235">$P694*D694</f>
        <v>358400</v>
      </c>
      <c r="R694" s="110">
        <f t="shared" ref="R694:R698" si="236">$P694*F694</f>
        <v>358400</v>
      </c>
      <c r="S694" s="112">
        <v>0</v>
      </c>
    </row>
    <row r="695" spans="1:19" ht="30">
      <c r="A695" s="142"/>
      <c r="B695" s="153" t="s">
        <v>1278</v>
      </c>
      <c r="C695" s="142" t="s">
        <v>4</v>
      </c>
      <c r="D695" s="143">
        <v>9</v>
      </c>
      <c r="E695" s="144"/>
      <c r="F695" s="334">
        <v>9</v>
      </c>
      <c r="G695" s="112">
        <v>0</v>
      </c>
      <c r="H695" s="120" t="s">
        <v>2803</v>
      </c>
      <c r="I695" s="120" t="s">
        <v>2748</v>
      </c>
      <c r="J695" s="120" t="s">
        <v>772</v>
      </c>
      <c r="K695" s="110">
        <v>5100</v>
      </c>
      <c r="L695" s="110"/>
      <c r="M695" s="110">
        <v>39700</v>
      </c>
      <c r="N695" s="110"/>
      <c r="O695" s="110"/>
      <c r="P695" s="110">
        <f t="shared" si="234"/>
        <v>44800</v>
      </c>
      <c r="Q695" s="110">
        <f t="shared" si="235"/>
        <v>403200</v>
      </c>
      <c r="R695" s="110">
        <f t="shared" si="236"/>
        <v>403200</v>
      </c>
      <c r="S695" s="112">
        <v>0</v>
      </c>
    </row>
    <row r="696" spans="1:19" ht="30">
      <c r="A696" s="142"/>
      <c r="B696" s="153" t="s">
        <v>1280</v>
      </c>
      <c r="C696" s="142" t="s">
        <v>4</v>
      </c>
      <c r="D696" s="143">
        <v>16</v>
      </c>
      <c r="E696" s="144"/>
      <c r="F696" s="334">
        <v>16</v>
      </c>
      <c r="G696" s="112">
        <v>0</v>
      </c>
      <c r="H696" s="120" t="s">
        <v>2805</v>
      </c>
      <c r="I696" s="120" t="s">
        <v>2748</v>
      </c>
      <c r="J696" s="120" t="s">
        <v>772</v>
      </c>
      <c r="K696" s="110">
        <v>3300</v>
      </c>
      <c r="L696" s="110"/>
      <c r="M696" s="110">
        <v>34800</v>
      </c>
      <c r="N696" s="110"/>
      <c r="O696" s="110"/>
      <c r="P696" s="110">
        <f t="shared" si="234"/>
        <v>38100</v>
      </c>
      <c r="Q696" s="110">
        <f t="shared" si="235"/>
        <v>609600</v>
      </c>
      <c r="R696" s="110">
        <f t="shared" si="236"/>
        <v>609600</v>
      </c>
      <c r="S696" s="112">
        <v>0</v>
      </c>
    </row>
    <row r="697" spans="1:19" ht="30">
      <c r="A697" s="142"/>
      <c r="B697" s="153" t="s">
        <v>1281</v>
      </c>
      <c r="C697" s="142" t="s">
        <v>4</v>
      </c>
      <c r="D697" s="143">
        <v>6</v>
      </c>
      <c r="E697" s="144"/>
      <c r="F697" s="334">
        <v>6</v>
      </c>
      <c r="G697" s="112">
        <v>0</v>
      </c>
      <c r="H697" s="120" t="s">
        <v>2806</v>
      </c>
      <c r="I697" s="120" t="s">
        <v>2748</v>
      </c>
      <c r="J697" s="120" t="s">
        <v>772</v>
      </c>
      <c r="K697" s="110">
        <v>3300</v>
      </c>
      <c r="L697" s="110"/>
      <c r="M697" s="110">
        <v>34800</v>
      </c>
      <c r="N697" s="110"/>
      <c r="O697" s="110"/>
      <c r="P697" s="110">
        <f t="shared" si="234"/>
        <v>38100</v>
      </c>
      <c r="Q697" s="110">
        <f t="shared" si="235"/>
        <v>228600</v>
      </c>
      <c r="R697" s="110">
        <f t="shared" si="236"/>
        <v>228600</v>
      </c>
      <c r="S697" s="112">
        <v>0</v>
      </c>
    </row>
    <row r="698" spans="1:19" ht="30">
      <c r="A698" s="142"/>
      <c r="B698" s="153" t="s">
        <v>1282</v>
      </c>
      <c r="C698" s="142" t="s">
        <v>4</v>
      </c>
      <c r="D698" s="143">
        <v>82</v>
      </c>
      <c r="E698" s="144"/>
      <c r="F698" s="334">
        <v>82</v>
      </c>
      <c r="G698" s="112">
        <v>0</v>
      </c>
      <c r="H698" s="120" t="s">
        <v>2807</v>
      </c>
      <c r="I698" s="120" t="s">
        <v>2748</v>
      </c>
      <c r="J698" s="120" t="s">
        <v>772</v>
      </c>
      <c r="K698" s="110">
        <v>2400</v>
      </c>
      <c r="L698" s="110"/>
      <c r="M698" s="110">
        <v>29800</v>
      </c>
      <c r="N698" s="110"/>
      <c r="O698" s="110"/>
      <c r="P698" s="110">
        <f t="shared" si="234"/>
        <v>32200</v>
      </c>
      <c r="Q698" s="110">
        <f t="shared" si="235"/>
        <v>2640400</v>
      </c>
      <c r="R698" s="110">
        <f t="shared" si="236"/>
        <v>2640400</v>
      </c>
      <c r="S698" s="112">
        <v>0</v>
      </c>
    </row>
    <row r="699" spans="1:19">
      <c r="A699" s="142" t="s">
        <v>711</v>
      </c>
      <c r="B699" s="153" t="s">
        <v>1536</v>
      </c>
      <c r="C699" s="142"/>
      <c r="D699" s="143"/>
      <c r="E699" s="144"/>
      <c r="F699" s="50"/>
      <c r="G699" s="120"/>
      <c r="H699" s="120"/>
      <c r="I699" s="120"/>
      <c r="J699" s="120"/>
      <c r="K699" s="50"/>
      <c r="L699" s="50"/>
      <c r="M699" s="50"/>
      <c r="N699" s="50"/>
      <c r="O699" s="50"/>
      <c r="P699" s="50"/>
      <c r="Q699" s="50"/>
      <c r="R699" s="50"/>
      <c r="S699" s="50"/>
    </row>
    <row r="700" spans="1:19" ht="30">
      <c r="A700" s="142"/>
      <c r="B700" s="153" t="s">
        <v>1255</v>
      </c>
      <c r="C700" s="142" t="s">
        <v>4</v>
      </c>
      <c r="D700" s="143">
        <v>10</v>
      </c>
      <c r="E700" s="144"/>
      <c r="F700" s="334">
        <v>10</v>
      </c>
      <c r="G700" s="112">
        <v>0</v>
      </c>
      <c r="H700" s="120" t="s">
        <v>2825</v>
      </c>
      <c r="I700" s="120" t="s">
        <v>2748</v>
      </c>
      <c r="J700" s="120" t="s">
        <v>772</v>
      </c>
      <c r="K700" s="110">
        <v>255800</v>
      </c>
      <c r="L700" s="110"/>
      <c r="M700" s="110">
        <v>113800</v>
      </c>
      <c r="N700" s="110"/>
      <c r="O700" s="110"/>
      <c r="P700" s="110">
        <f t="shared" ref="P700:P703" si="237">K700+L700+M700+N700+O700</f>
        <v>369600</v>
      </c>
      <c r="Q700" s="110">
        <f t="shared" ref="Q700:Q703" si="238">$P700*D700</f>
        <v>3696000</v>
      </c>
      <c r="R700" s="110">
        <f t="shared" ref="R700:R703" si="239">$P700*F700</f>
        <v>3696000</v>
      </c>
      <c r="S700" s="112">
        <v>0</v>
      </c>
    </row>
    <row r="701" spans="1:19" ht="30">
      <c r="A701" s="142"/>
      <c r="B701" s="153" t="s">
        <v>707</v>
      </c>
      <c r="C701" s="142" t="s">
        <v>4</v>
      </c>
      <c r="D701" s="143">
        <v>8</v>
      </c>
      <c r="E701" s="144"/>
      <c r="F701" s="334">
        <v>8</v>
      </c>
      <c r="G701" s="112">
        <v>0</v>
      </c>
      <c r="H701" s="120" t="s">
        <v>2826</v>
      </c>
      <c r="I701" s="120" t="s">
        <v>2748</v>
      </c>
      <c r="J701" s="120" t="s">
        <v>772</v>
      </c>
      <c r="K701" s="110">
        <v>152000</v>
      </c>
      <c r="L701" s="110"/>
      <c r="M701" s="110">
        <v>96000</v>
      </c>
      <c r="N701" s="110"/>
      <c r="O701" s="110"/>
      <c r="P701" s="110">
        <f t="shared" si="237"/>
        <v>248000</v>
      </c>
      <c r="Q701" s="110">
        <f t="shared" si="238"/>
        <v>1984000</v>
      </c>
      <c r="R701" s="110">
        <f t="shared" si="239"/>
        <v>1984000</v>
      </c>
      <c r="S701" s="112">
        <v>0</v>
      </c>
    </row>
    <row r="702" spans="1:19" ht="30">
      <c r="A702" s="142"/>
      <c r="B702" s="153" t="s">
        <v>708</v>
      </c>
      <c r="C702" s="142" t="s">
        <v>4</v>
      </c>
      <c r="D702" s="143">
        <v>19</v>
      </c>
      <c r="E702" s="144"/>
      <c r="F702" s="334">
        <v>19</v>
      </c>
      <c r="G702" s="112">
        <v>0</v>
      </c>
      <c r="H702" s="120" t="s">
        <v>2827</v>
      </c>
      <c r="I702" s="120" t="s">
        <v>2748</v>
      </c>
      <c r="J702" s="120" t="s">
        <v>772</v>
      </c>
      <c r="K702" s="110">
        <v>106000</v>
      </c>
      <c r="L702" s="110"/>
      <c r="M702" s="110">
        <v>85800</v>
      </c>
      <c r="N702" s="110"/>
      <c r="O702" s="110"/>
      <c r="P702" s="110">
        <f t="shared" si="237"/>
        <v>191800</v>
      </c>
      <c r="Q702" s="110">
        <f t="shared" si="238"/>
        <v>3644200</v>
      </c>
      <c r="R702" s="110">
        <f t="shared" si="239"/>
        <v>3644200</v>
      </c>
      <c r="S702" s="112">
        <v>0</v>
      </c>
    </row>
    <row r="703" spans="1:19" ht="30">
      <c r="A703" s="142"/>
      <c r="B703" s="153" t="s">
        <v>479</v>
      </c>
      <c r="C703" s="142" t="s">
        <v>4</v>
      </c>
      <c r="D703" s="143">
        <v>9</v>
      </c>
      <c r="E703" s="144"/>
      <c r="F703" s="334">
        <v>9</v>
      </c>
      <c r="G703" s="112">
        <v>0</v>
      </c>
      <c r="H703" s="120" t="s">
        <v>2828</v>
      </c>
      <c r="I703" s="120" t="s">
        <v>2748</v>
      </c>
      <c r="J703" s="120" t="s">
        <v>772</v>
      </c>
      <c r="K703" s="110">
        <v>92100</v>
      </c>
      <c r="L703" s="110"/>
      <c r="M703" s="110">
        <v>75200</v>
      </c>
      <c r="N703" s="110"/>
      <c r="O703" s="110"/>
      <c r="P703" s="110">
        <f t="shared" si="237"/>
        <v>167300</v>
      </c>
      <c r="Q703" s="110">
        <f t="shared" si="238"/>
        <v>1505700</v>
      </c>
      <c r="R703" s="110">
        <f t="shared" si="239"/>
        <v>1505700</v>
      </c>
      <c r="S703" s="112">
        <v>0</v>
      </c>
    </row>
    <row r="704" spans="1:19">
      <c r="A704" s="142" t="s">
        <v>712</v>
      </c>
      <c r="B704" s="153" t="s">
        <v>1414</v>
      </c>
      <c r="C704" s="142"/>
      <c r="D704" s="143"/>
      <c r="E704" s="144"/>
      <c r="F704" s="74"/>
      <c r="G704" s="120"/>
      <c r="H704" s="120"/>
      <c r="I704" s="120"/>
      <c r="J704" s="120"/>
      <c r="K704" s="74"/>
      <c r="L704" s="74"/>
      <c r="M704" s="74"/>
      <c r="N704" s="74"/>
      <c r="O704" s="74"/>
      <c r="P704" s="74"/>
      <c r="Q704" s="74"/>
      <c r="R704" s="74"/>
      <c r="S704" s="74"/>
    </row>
    <row r="705" spans="1:19">
      <c r="A705" s="142"/>
      <c r="B705" s="153" t="s">
        <v>1255</v>
      </c>
      <c r="C705" s="142" t="s">
        <v>4</v>
      </c>
      <c r="D705" s="143">
        <v>2</v>
      </c>
      <c r="E705" s="144"/>
      <c r="F705" s="334">
        <v>2</v>
      </c>
      <c r="G705" s="112">
        <v>0</v>
      </c>
      <c r="H705" s="120" t="s">
        <v>2819</v>
      </c>
      <c r="I705" s="120" t="s">
        <v>2748</v>
      </c>
      <c r="J705" s="120" t="s">
        <v>772</v>
      </c>
      <c r="K705" s="110">
        <v>6200</v>
      </c>
      <c r="L705" s="110"/>
      <c r="M705" s="110">
        <v>39700</v>
      </c>
      <c r="N705" s="110"/>
      <c r="O705" s="110"/>
      <c r="P705" s="110">
        <f t="shared" ref="P705:P710" si="240">K705+L705+M705+N705+O705</f>
        <v>45900</v>
      </c>
      <c r="Q705" s="110">
        <f t="shared" ref="Q705:Q710" si="241">$P705*D705</f>
        <v>91800</v>
      </c>
      <c r="R705" s="110">
        <f t="shared" ref="R705:R710" si="242">$P705*F705</f>
        <v>91800</v>
      </c>
      <c r="S705" s="112">
        <v>0</v>
      </c>
    </row>
    <row r="706" spans="1:19">
      <c r="A706" s="142"/>
      <c r="B706" s="153" t="s">
        <v>707</v>
      </c>
      <c r="C706" s="142" t="s">
        <v>4</v>
      </c>
      <c r="D706" s="143">
        <v>1</v>
      </c>
      <c r="E706" s="144"/>
      <c r="F706" s="334">
        <v>1</v>
      </c>
      <c r="G706" s="112">
        <v>0</v>
      </c>
      <c r="H706" s="120" t="s">
        <v>2820</v>
      </c>
      <c r="I706" s="120" t="s">
        <v>2748</v>
      </c>
      <c r="J706" s="120" t="s">
        <v>772</v>
      </c>
      <c r="K706" s="110">
        <v>3900</v>
      </c>
      <c r="L706" s="110"/>
      <c r="M706" s="110">
        <v>34800</v>
      </c>
      <c r="N706" s="110"/>
      <c r="O706" s="110"/>
      <c r="P706" s="110">
        <f t="shared" si="240"/>
        <v>38700</v>
      </c>
      <c r="Q706" s="110">
        <f t="shared" si="241"/>
        <v>38700</v>
      </c>
      <c r="R706" s="110">
        <f t="shared" si="242"/>
        <v>38700</v>
      </c>
      <c r="S706" s="112">
        <v>0</v>
      </c>
    </row>
    <row r="707" spans="1:19">
      <c r="A707" s="142"/>
      <c r="B707" s="153" t="s">
        <v>708</v>
      </c>
      <c r="C707" s="142" t="s">
        <v>4</v>
      </c>
      <c r="D707" s="143">
        <v>1</v>
      </c>
      <c r="E707" s="144"/>
      <c r="F707" s="334">
        <v>1</v>
      </c>
      <c r="G707" s="112">
        <v>0</v>
      </c>
      <c r="H707" s="120" t="s">
        <v>2821</v>
      </c>
      <c r="I707" s="120" t="s">
        <v>2748</v>
      </c>
      <c r="J707" s="120" t="s">
        <v>772</v>
      </c>
      <c r="K707" s="110">
        <v>2500</v>
      </c>
      <c r="L707" s="110"/>
      <c r="M707" s="110">
        <v>29800</v>
      </c>
      <c r="N707" s="110"/>
      <c r="O707" s="110"/>
      <c r="P707" s="110">
        <f t="shared" si="240"/>
        <v>32300</v>
      </c>
      <c r="Q707" s="110">
        <f t="shared" si="241"/>
        <v>32300</v>
      </c>
      <c r="R707" s="110">
        <f t="shared" si="242"/>
        <v>32300</v>
      </c>
      <c r="S707" s="112">
        <v>0</v>
      </c>
    </row>
    <row r="708" spans="1:19" ht="30">
      <c r="A708" s="142" t="s">
        <v>579</v>
      </c>
      <c r="B708" s="153" t="s">
        <v>1463</v>
      </c>
      <c r="C708" s="142" t="s">
        <v>4</v>
      </c>
      <c r="D708" s="143">
        <v>209</v>
      </c>
      <c r="E708" s="144"/>
      <c r="F708" s="334">
        <v>209</v>
      </c>
      <c r="G708" s="112">
        <v>0</v>
      </c>
      <c r="H708" s="120" t="s">
        <v>2823</v>
      </c>
      <c r="I708" s="120" t="s">
        <v>2748</v>
      </c>
      <c r="J708" s="120" t="s">
        <v>772</v>
      </c>
      <c r="K708" s="110">
        <v>20500</v>
      </c>
      <c r="L708" s="110"/>
      <c r="M708" s="110">
        <v>24800</v>
      </c>
      <c r="N708" s="110"/>
      <c r="O708" s="110"/>
      <c r="P708" s="110">
        <f t="shared" si="240"/>
        <v>45300</v>
      </c>
      <c r="Q708" s="110">
        <f t="shared" si="241"/>
        <v>9467700</v>
      </c>
      <c r="R708" s="110">
        <f t="shared" si="242"/>
        <v>9467700</v>
      </c>
      <c r="S708" s="112">
        <v>0</v>
      </c>
    </row>
    <row r="709" spans="1:19">
      <c r="A709" s="142" t="s">
        <v>713</v>
      </c>
      <c r="B709" s="153" t="s">
        <v>1537</v>
      </c>
      <c r="C709" s="142" t="s">
        <v>4</v>
      </c>
      <c r="D709" s="143">
        <v>209</v>
      </c>
      <c r="E709" s="144"/>
      <c r="F709" s="334">
        <v>209</v>
      </c>
      <c r="G709" s="112">
        <v>0</v>
      </c>
      <c r="H709" s="120" t="s">
        <v>2824</v>
      </c>
      <c r="I709" s="120" t="s">
        <v>2748</v>
      </c>
      <c r="J709" s="120" t="s">
        <v>772</v>
      </c>
      <c r="K709" s="110">
        <v>1400</v>
      </c>
      <c r="L709" s="110"/>
      <c r="M709" s="110">
        <v>24800</v>
      </c>
      <c r="N709" s="110"/>
      <c r="O709" s="110"/>
      <c r="P709" s="110">
        <f t="shared" si="240"/>
        <v>26200</v>
      </c>
      <c r="Q709" s="110">
        <f t="shared" si="241"/>
        <v>5475800</v>
      </c>
      <c r="R709" s="110">
        <f t="shared" si="242"/>
        <v>5475800</v>
      </c>
      <c r="S709" s="112">
        <v>0</v>
      </c>
    </row>
    <row r="710" spans="1:19">
      <c r="A710" s="142" t="s">
        <v>714</v>
      </c>
      <c r="B710" s="153" t="s">
        <v>1465</v>
      </c>
      <c r="C710" s="142" t="s">
        <v>4</v>
      </c>
      <c r="D710" s="143">
        <v>12</v>
      </c>
      <c r="E710" s="144"/>
      <c r="F710" s="334">
        <v>12</v>
      </c>
      <c r="G710" s="112">
        <v>0</v>
      </c>
      <c r="H710" s="120">
        <v>0</v>
      </c>
      <c r="I710" s="120">
        <v>0</v>
      </c>
      <c r="J710" s="120" t="s">
        <v>772</v>
      </c>
      <c r="K710" s="110">
        <v>13800</v>
      </c>
      <c r="L710" s="110"/>
      <c r="M710" s="110">
        <v>24800</v>
      </c>
      <c r="N710" s="110"/>
      <c r="O710" s="110"/>
      <c r="P710" s="110">
        <f t="shared" si="240"/>
        <v>38600</v>
      </c>
      <c r="Q710" s="110">
        <f t="shared" si="241"/>
        <v>463200</v>
      </c>
      <c r="R710" s="110">
        <f t="shared" si="242"/>
        <v>463200</v>
      </c>
      <c r="S710" s="112">
        <v>0</v>
      </c>
    </row>
    <row r="711" spans="1:19">
      <c r="A711" s="142">
        <v>10</v>
      </c>
      <c r="B711" s="153" t="s">
        <v>1538</v>
      </c>
      <c r="C711" s="142"/>
      <c r="D711" s="143"/>
      <c r="E711" s="144"/>
      <c r="F711" s="74"/>
      <c r="G711" s="120"/>
      <c r="H711" s="120"/>
      <c r="I711" s="120"/>
      <c r="J711" s="120"/>
      <c r="K711" s="74"/>
      <c r="L711" s="74"/>
      <c r="M711" s="74"/>
      <c r="N711" s="74"/>
      <c r="O711" s="74"/>
      <c r="P711" s="74"/>
      <c r="Q711" s="74"/>
      <c r="R711" s="74"/>
      <c r="S711" s="74"/>
    </row>
    <row r="712" spans="1:19">
      <c r="A712" s="142"/>
      <c r="B712" s="153" t="s">
        <v>1539</v>
      </c>
      <c r="C712" s="142" t="s">
        <v>17</v>
      </c>
      <c r="D712" s="143">
        <v>1</v>
      </c>
      <c r="E712" s="144"/>
      <c r="F712" s="334">
        <v>1</v>
      </c>
      <c r="G712" s="112">
        <v>0</v>
      </c>
      <c r="H712" s="120">
        <v>0</v>
      </c>
      <c r="I712" s="120">
        <v>0</v>
      </c>
      <c r="J712" s="120">
        <v>0</v>
      </c>
      <c r="K712" s="110">
        <v>2080300</v>
      </c>
      <c r="L712" s="110"/>
      <c r="M712" s="110">
        <v>0</v>
      </c>
      <c r="N712" s="110"/>
      <c r="O712" s="110"/>
      <c r="P712" s="110">
        <f>K712+L712+M712+N712+O712</f>
        <v>2080300</v>
      </c>
      <c r="Q712" s="110">
        <f>$P712*D712</f>
        <v>2080300</v>
      </c>
      <c r="R712" s="110">
        <f>$P712*F712</f>
        <v>2080300</v>
      </c>
      <c r="S712" s="112">
        <v>0</v>
      </c>
    </row>
    <row r="713" spans="1:19">
      <c r="A713" s="169" t="s">
        <v>1467</v>
      </c>
      <c r="B713" s="152" t="s">
        <v>1468</v>
      </c>
      <c r="C713" s="142"/>
      <c r="D713" s="143"/>
      <c r="E713" s="144"/>
      <c r="F713" s="73"/>
      <c r="G713" s="121"/>
      <c r="H713" s="121"/>
      <c r="I713" s="121"/>
      <c r="J713" s="121"/>
      <c r="K713" s="73"/>
      <c r="L713" s="73"/>
      <c r="M713" s="73"/>
      <c r="N713" s="73"/>
      <c r="O713" s="73"/>
      <c r="P713" s="73"/>
      <c r="Q713" s="73"/>
      <c r="R713" s="73"/>
      <c r="S713" s="74"/>
    </row>
    <row r="714" spans="1:19">
      <c r="A714" s="142">
        <v>1</v>
      </c>
      <c r="B714" s="153" t="s">
        <v>1540</v>
      </c>
      <c r="C714" s="142"/>
      <c r="D714" s="143"/>
      <c r="E714" s="144"/>
      <c r="F714" s="74"/>
      <c r="G714" s="120"/>
      <c r="H714" s="120"/>
      <c r="I714" s="120"/>
      <c r="J714" s="120"/>
      <c r="K714" s="74"/>
      <c r="L714" s="74"/>
      <c r="M714" s="74"/>
      <c r="N714" s="74"/>
      <c r="O714" s="74"/>
      <c r="P714" s="74"/>
      <c r="Q714" s="74"/>
      <c r="R714" s="74"/>
      <c r="S714" s="74"/>
    </row>
    <row r="715" spans="1:19" ht="45">
      <c r="A715" s="142"/>
      <c r="B715" s="153" t="s">
        <v>1257</v>
      </c>
      <c r="C715" s="142" t="s">
        <v>7</v>
      </c>
      <c r="D715" s="143">
        <v>7.2720000000000002</v>
      </c>
      <c r="E715" s="144"/>
      <c r="F715" s="334">
        <v>7.2720000000000002</v>
      </c>
      <c r="G715" s="112" t="s">
        <v>2965</v>
      </c>
      <c r="H715" s="120" t="s">
        <v>2968</v>
      </c>
      <c r="I715" s="120" t="s">
        <v>2748</v>
      </c>
      <c r="J715" s="120" t="s">
        <v>772</v>
      </c>
      <c r="K715" s="110">
        <v>195700</v>
      </c>
      <c r="L715" s="110"/>
      <c r="M715" s="110">
        <v>171300</v>
      </c>
      <c r="N715" s="110"/>
      <c r="O715" s="110"/>
      <c r="P715" s="110">
        <f t="shared" ref="P715:P721" si="243">K715+L715+M715+N715+O715</f>
        <v>367000</v>
      </c>
      <c r="Q715" s="110">
        <f t="shared" ref="Q715:Q721" si="244">$P715*D715</f>
        <v>2668824</v>
      </c>
      <c r="R715" s="110">
        <f t="shared" ref="R715:R721" si="245">$P715*F715</f>
        <v>2668824</v>
      </c>
      <c r="S715" s="112" t="s">
        <v>2965</v>
      </c>
    </row>
    <row r="716" spans="1:19" ht="45">
      <c r="A716" s="142"/>
      <c r="B716" s="153" t="s">
        <v>1388</v>
      </c>
      <c r="C716" s="142" t="s">
        <v>7</v>
      </c>
      <c r="D716" s="143">
        <v>135.81099999999998</v>
      </c>
      <c r="E716" s="144"/>
      <c r="F716" s="334">
        <v>135.81099999999998</v>
      </c>
      <c r="G716" s="112" t="s">
        <v>2969</v>
      </c>
      <c r="H716" s="120" t="s">
        <v>2970</v>
      </c>
      <c r="I716" s="120" t="s">
        <v>2748</v>
      </c>
      <c r="J716" s="120" t="s">
        <v>772</v>
      </c>
      <c r="K716" s="110">
        <v>149300</v>
      </c>
      <c r="L716" s="110"/>
      <c r="M716" s="110">
        <v>139500</v>
      </c>
      <c r="N716" s="110"/>
      <c r="O716" s="110"/>
      <c r="P716" s="110">
        <f t="shared" si="243"/>
        <v>288800</v>
      </c>
      <c r="Q716" s="110">
        <f t="shared" si="244"/>
        <v>39222216.799999997</v>
      </c>
      <c r="R716" s="110">
        <f t="shared" si="245"/>
        <v>39222216.799999997</v>
      </c>
      <c r="S716" s="112" t="s">
        <v>2969</v>
      </c>
    </row>
    <row r="717" spans="1:19" ht="45">
      <c r="A717" s="142"/>
      <c r="B717" s="153" t="s">
        <v>1250</v>
      </c>
      <c r="C717" s="142" t="s">
        <v>7</v>
      </c>
      <c r="D717" s="143">
        <v>178.42</v>
      </c>
      <c r="E717" s="144" t="s">
        <v>1359</v>
      </c>
      <c r="F717" s="334">
        <v>178.42</v>
      </c>
      <c r="G717" s="112" t="s">
        <v>2971</v>
      </c>
      <c r="H717" s="120" t="s">
        <v>2972</v>
      </c>
      <c r="I717" s="120" t="s">
        <v>2748</v>
      </c>
      <c r="J717" s="120" t="s">
        <v>772</v>
      </c>
      <c r="K717" s="110">
        <v>133000</v>
      </c>
      <c r="L717" s="110"/>
      <c r="M717" s="110">
        <v>108700</v>
      </c>
      <c r="N717" s="110"/>
      <c r="O717" s="110"/>
      <c r="P717" s="110">
        <f t="shared" si="243"/>
        <v>241700</v>
      </c>
      <c r="Q717" s="110">
        <f t="shared" si="244"/>
        <v>43124114</v>
      </c>
      <c r="R717" s="110">
        <f t="shared" si="245"/>
        <v>43124114</v>
      </c>
      <c r="S717" s="112" t="s">
        <v>2971</v>
      </c>
    </row>
    <row r="718" spans="1:19" ht="45">
      <c r="A718" s="142"/>
      <c r="B718" s="153" t="s">
        <v>1252</v>
      </c>
      <c r="C718" s="142" t="s">
        <v>7</v>
      </c>
      <c r="D718" s="143">
        <v>229.87199999999999</v>
      </c>
      <c r="E718" s="144" t="s">
        <v>1359</v>
      </c>
      <c r="F718" s="334">
        <v>229.87199999999999</v>
      </c>
      <c r="G718" s="112" t="s">
        <v>2973</v>
      </c>
      <c r="H718" s="120" t="s">
        <v>2974</v>
      </c>
      <c r="I718" s="120" t="s">
        <v>2748</v>
      </c>
      <c r="J718" s="120" t="s">
        <v>772</v>
      </c>
      <c r="K718" s="110">
        <v>85000</v>
      </c>
      <c r="L718" s="110"/>
      <c r="M718" s="110">
        <v>96900</v>
      </c>
      <c r="N718" s="110"/>
      <c r="O718" s="110"/>
      <c r="P718" s="110">
        <f t="shared" si="243"/>
        <v>181900</v>
      </c>
      <c r="Q718" s="110">
        <f t="shared" si="244"/>
        <v>41813716.799999997</v>
      </c>
      <c r="R718" s="110">
        <f t="shared" si="245"/>
        <v>41813716.799999997</v>
      </c>
      <c r="S718" s="112" t="s">
        <v>2973</v>
      </c>
    </row>
    <row r="719" spans="1:19" ht="45">
      <c r="A719" s="142"/>
      <c r="B719" s="153" t="s">
        <v>1424</v>
      </c>
      <c r="C719" s="142" t="s">
        <v>7</v>
      </c>
      <c r="D719" s="143">
        <v>35.120999999999995</v>
      </c>
      <c r="E719" s="144" t="s">
        <v>1359</v>
      </c>
      <c r="F719" s="334">
        <v>35.120999999999995</v>
      </c>
      <c r="G719" s="112" t="s">
        <v>2975</v>
      </c>
      <c r="H719" s="120" t="s">
        <v>2976</v>
      </c>
      <c r="I719" s="120" t="s">
        <v>2748</v>
      </c>
      <c r="J719" s="120" t="s">
        <v>772</v>
      </c>
      <c r="K719" s="110">
        <v>59200</v>
      </c>
      <c r="L719" s="110"/>
      <c r="M719" s="110">
        <v>85000</v>
      </c>
      <c r="N719" s="110"/>
      <c r="O719" s="110"/>
      <c r="P719" s="110">
        <f t="shared" si="243"/>
        <v>144200</v>
      </c>
      <c r="Q719" s="110">
        <f t="shared" si="244"/>
        <v>5064448.1999999993</v>
      </c>
      <c r="R719" s="110">
        <f t="shared" si="245"/>
        <v>5064448.1999999993</v>
      </c>
      <c r="S719" s="112" t="s">
        <v>2975</v>
      </c>
    </row>
    <row r="720" spans="1:19" ht="45">
      <c r="A720" s="142"/>
      <c r="B720" s="153" t="s">
        <v>1438</v>
      </c>
      <c r="C720" s="142" t="s">
        <v>7</v>
      </c>
      <c r="D720" s="143">
        <v>25.948999999999998</v>
      </c>
      <c r="E720" s="144"/>
      <c r="F720" s="334">
        <v>25.948999999999998</v>
      </c>
      <c r="G720" s="112" t="s">
        <v>2977</v>
      </c>
      <c r="H720" s="120" t="s">
        <v>2978</v>
      </c>
      <c r="I720" s="120" t="s">
        <v>2748</v>
      </c>
      <c r="J720" s="120" t="s">
        <v>772</v>
      </c>
      <c r="K720" s="110">
        <v>42300</v>
      </c>
      <c r="L720" s="110"/>
      <c r="M720" s="110">
        <v>69200</v>
      </c>
      <c r="N720" s="110"/>
      <c r="O720" s="110"/>
      <c r="P720" s="110">
        <f t="shared" si="243"/>
        <v>111500</v>
      </c>
      <c r="Q720" s="110">
        <f t="shared" si="244"/>
        <v>2893313.5</v>
      </c>
      <c r="R720" s="110">
        <f t="shared" si="245"/>
        <v>2893313.5</v>
      </c>
      <c r="S720" s="112" t="s">
        <v>2977</v>
      </c>
    </row>
    <row r="721" spans="1:19" ht="45">
      <c r="A721" s="142"/>
      <c r="B721" s="153" t="s">
        <v>1471</v>
      </c>
      <c r="C721" s="142" t="s">
        <v>7</v>
      </c>
      <c r="D721" s="143">
        <v>122.55900000000001</v>
      </c>
      <c r="E721" s="144" t="s">
        <v>1359</v>
      </c>
      <c r="F721" s="334">
        <v>122.55900000000001</v>
      </c>
      <c r="G721" s="112" t="s">
        <v>2981</v>
      </c>
      <c r="H721" s="120" t="s">
        <v>2982</v>
      </c>
      <c r="I721" s="120" t="s">
        <v>2748</v>
      </c>
      <c r="J721" s="120" t="s">
        <v>772</v>
      </c>
      <c r="K721" s="110">
        <v>21800</v>
      </c>
      <c r="L721" s="110"/>
      <c r="M721" s="110">
        <v>53400</v>
      </c>
      <c r="N721" s="110"/>
      <c r="O721" s="110"/>
      <c r="P721" s="110">
        <f t="shared" si="243"/>
        <v>75200</v>
      </c>
      <c r="Q721" s="110">
        <f t="shared" si="244"/>
        <v>9216436.8000000007</v>
      </c>
      <c r="R721" s="110">
        <f t="shared" si="245"/>
        <v>9216436.8000000007</v>
      </c>
      <c r="S721" s="112" t="s">
        <v>2981</v>
      </c>
    </row>
    <row r="722" spans="1:19">
      <c r="A722" s="142">
        <v>2</v>
      </c>
      <c r="B722" s="153" t="s">
        <v>1472</v>
      </c>
      <c r="C722" s="142"/>
      <c r="D722" s="143"/>
      <c r="E722" s="144"/>
      <c r="F722" s="50"/>
      <c r="G722" s="120"/>
      <c r="H722" s="120"/>
      <c r="I722" s="120"/>
      <c r="J722" s="120"/>
      <c r="K722" s="50"/>
      <c r="L722" s="50"/>
      <c r="M722" s="50"/>
      <c r="N722" s="50"/>
      <c r="O722" s="50"/>
      <c r="P722" s="50"/>
      <c r="Q722" s="50"/>
      <c r="R722" s="50"/>
      <c r="S722" s="50"/>
    </row>
    <row r="723" spans="1:19" ht="30">
      <c r="A723" s="173"/>
      <c r="B723" s="150" t="s">
        <v>1424</v>
      </c>
      <c r="C723" s="146" t="s">
        <v>7</v>
      </c>
      <c r="D723" s="147">
        <v>85</v>
      </c>
      <c r="E723" s="148" t="s">
        <v>1363</v>
      </c>
      <c r="F723" s="334">
        <v>85</v>
      </c>
      <c r="G723" s="112" t="s">
        <v>2983</v>
      </c>
      <c r="H723" s="120" t="s">
        <v>2988</v>
      </c>
      <c r="I723" s="120" t="s">
        <v>2748</v>
      </c>
      <c r="J723" s="120" t="s">
        <v>772</v>
      </c>
      <c r="K723" s="110">
        <v>34000</v>
      </c>
      <c r="L723" s="110"/>
      <c r="M723" s="110">
        <v>85000</v>
      </c>
      <c r="N723" s="110"/>
      <c r="O723" s="110"/>
      <c r="P723" s="110">
        <f t="shared" ref="P723:P724" si="246">K723+L723+M723+N723+O723</f>
        <v>119000</v>
      </c>
      <c r="Q723" s="110">
        <f t="shared" ref="Q723:Q724" si="247">$P723*D723</f>
        <v>10115000</v>
      </c>
      <c r="R723" s="110">
        <f t="shared" ref="R723:R724" si="248">$P723*F723</f>
        <v>10115000</v>
      </c>
      <c r="S723" s="112" t="s">
        <v>2983</v>
      </c>
    </row>
    <row r="724" spans="1:19" ht="30">
      <c r="A724" s="142"/>
      <c r="B724" s="153" t="s">
        <v>1470</v>
      </c>
      <c r="C724" s="142" t="s">
        <v>7</v>
      </c>
      <c r="D724" s="143">
        <v>28.856999999999999</v>
      </c>
      <c r="E724" s="144" t="s">
        <v>1363</v>
      </c>
      <c r="F724" s="334">
        <v>28.856999999999999</v>
      </c>
      <c r="G724" s="112" t="s">
        <v>2983</v>
      </c>
      <c r="H724" s="120" t="s">
        <v>2989</v>
      </c>
      <c r="I724" s="120" t="s">
        <v>2748</v>
      </c>
      <c r="J724" s="120" t="s">
        <v>772</v>
      </c>
      <c r="K724" s="110">
        <v>22100</v>
      </c>
      <c r="L724" s="110"/>
      <c r="M724" s="110">
        <v>53400</v>
      </c>
      <c r="N724" s="110"/>
      <c r="O724" s="110"/>
      <c r="P724" s="110">
        <f t="shared" si="246"/>
        <v>75500</v>
      </c>
      <c r="Q724" s="110">
        <f t="shared" si="247"/>
        <v>2178703.5</v>
      </c>
      <c r="R724" s="110">
        <f t="shared" si="248"/>
        <v>2178703.5</v>
      </c>
      <c r="S724" s="112" t="s">
        <v>2983</v>
      </c>
    </row>
    <row r="725" spans="1:19">
      <c r="A725" s="142" t="s">
        <v>716</v>
      </c>
      <c r="B725" s="153" t="s">
        <v>1370</v>
      </c>
      <c r="C725" s="142"/>
      <c r="D725" s="143"/>
      <c r="E725" s="144"/>
      <c r="F725" s="50"/>
      <c r="G725" s="120"/>
      <c r="H725" s="120"/>
      <c r="I725" s="120"/>
      <c r="J725" s="120"/>
      <c r="K725" s="50"/>
      <c r="L725" s="50"/>
      <c r="M725" s="50"/>
      <c r="N725" s="50"/>
      <c r="O725" s="50"/>
      <c r="P725" s="50"/>
      <c r="Q725" s="50"/>
      <c r="R725" s="50"/>
      <c r="S725" s="50"/>
    </row>
    <row r="726" spans="1:19" ht="45">
      <c r="A726" s="142"/>
      <c r="B726" s="153" t="s">
        <v>1387</v>
      </c>
      <c r="C726" s="142" t="s">
        <v>4</v>
      </c>
      <c r="D726" s="143">
        <v>3</v>
      </c>
      <c r="E726" s="144"/>
      <c r="F726" s="334">
        <v>3</v>
      </c>
      <c r="G726" s="112" t="s">
        <v>2990</v>
      </c>
      <c r="H726" s="120" t="s">
        <v>3013</v>
      </c>
      <c r="I726" s="120" t="s">
        <v>2748</v>
      </c>
      <c r="J726" s="120" t="s">
        <v>772</v>
      </c>
      <c r="K726" s="110">
        <v>155900</v>
      </c>
      <c r="L726" s="110"/>
      <c r="M726" s="110">
        <v>77500</v>
      </c>
      <c r="N726" s="110"/>
      <c r="O726" s="110"/>
      <c r="P726" s="110">
        <f t="shared" ref="P726:P739" si="249">K726+L726+M726+N726+O726</f>
        <v>233400</v>
      </c>
      <c r="Q726" s="110">
        <f t="shared" ref="Q726:Q739" si="250">$P726*D726</f>
        <v>700200</v>
      </c>
      <c r="R726" s="110">
        <f t="shared" ref="R726:R739" si="251">$P726*F726</f>
        <v>700200</v>
      </c>
      <c r="S726" s="112" t="s">
        <v>2990</v>
      </c>
    </row>
    <row r="727" spans="1:19" ht="45">
      <c r="A727" s="142"/>
      <c r="B727" s="153" t="s">
        <v>1262</v>
      </c>
      <c r="C727" s="142" t="s">
        <v>4</v>
      </c>
      <c r="D727" s="143">
        <v>11</v>
      </c>
      <c r="E727" s="144"/>
      <c r="F727" s="334">
        <v>11</v>
      </c>
      <c r="G727" s="112" t="s">
        <v>2990</v>
      </c>
      <c r="H727" s="120" t="s">
        <v>3014</v>
      </c>
      <c r="I727" s="120" t="s">
        <v>2748</v>
      </c>
      <c r="J727" s="120" t="s">
        <v>772</v>
      </c>
      <c r="K727" s="110">
        <v>147100</v>
      </c>
      <c r="L727" s="110"/>
      <c r="M727" s="110">
        <v>77500</v>
      </c>
      <c r="N727" s="110"/>
      <c r="O727" s="110"/>
      <c r="P727" s="110">
        <f t="shared" si="249"/>
        <v>224600</v>
      </c>
      <c r="Q727" s="110">
        <f t="shared" si="250"/>
        <v>2470600</v>
      </c>
      <c r="R727" s="110">
        <f t="shared" si="251"/>
        <v>2470600</v>
      </c>
      <c r="S727" s="112" t="s">
        <v>2990</v>
      </c>
    </row>
    <row r="728" spans="1:19" ht="45">
      <c r="A728" s="142"/>
      <c r="B728" s="153" t="s">
        <v>1541</v>
      </c>
      <c r="C728" s="142" t="s">
        <v>4</v>
      </c>
      <c r="D728" s="143">
        <v>9</v>
      </c>
      <c r="E728" s="144"/>
      <c r="F728" s="334">
        <v>9</v>
      </c>
      <c r="G728" s="112" t="s">
        <v>2990</v>
      </c>
      <c r="H728" s="120" t="s">
        <v>3025</v>
      </c>
      <c r="I728" s="120" t="s">
        <v>2748</v>
      </c>
      <c r="J728" s="120" t="s">
        <v>772</v>
      </c>
      <c r="K728" s="110">
        <v>107100</v>
      </c>
      <c r="L728" s="110"/>
      <c r="M728" s="110">
        <v>77500</v>
      </c>
      <c r="N728" s="110"/>
      <c r="O728" s="110"/>
      <c r="P728" s="110">
        <f t="shared" si="249"/>
        <v>184600</v>
      </c>
      <c r="Q728" s="110">
        <f t="shared" si="250"/>
        <v>1661400</v>
      </c>
      <c r="R728" s="110">
        <f t="shared" si="251"/>
        <v>1661400</v>
      </c>
      <c r="S728" s="112" t="s">
        <v>2990</v>
      </c>
    </row>
    <row r="729" spans="1:19" ht="45">
      <c r="A729" s="142"/>
      <c r="B729" s="153" t="s">
        <v>1389</v>
      </c>
      <c r="C729" s="142" t="s">
        <v>4</v>
      </c>
      <c r="D729" s="143">
        <v>11</v>
      </c>
      <c r="E729" s="144"/>
      <c r="F729" s="334">
        <v>11</v>
      </c>
      <c r="G729" s="112" t="s">
        <v>2990</v>
      </c>
      <c r="H729" s="120" t="s">
        <v>3015</v>
      </c>
      <c r="I729" s="120" t="s">
        <v>2748</v>
      </c>
      <c r="J729" s="120" t="s">
        <v>772</v>
      </c>
      <c r="K729" s="110">
        <v>116400</v>
      </c>
      <c r="L729" s="110"/>
      <c r="M729" s="110">
        <v>77500</v>
      </c>
      <c r="N729" s="110"/>
      <c r="O729" s="110"/>
      <c r="P729" s="110">
        <f t="shared" si="249"/>
        <v>193900</v>
      </c>
      <c r="Q729" s="110">
        <f t="shared" si="250"/>
        <v>2132900</v>
      </c>
      <c r="R729" s="110">
        <f t="shared" si="251"/>
        <v>2132900</v>
      </c>
      <c r="S729" s="112" t="s">
        <v>2990</v>
      </c>
    </row>
    <row r="730" spans="1:19" ht="45">
      <c r="A730" s="142"/>
      <c r="B730" s="153" t="s">
        <v>1542</v>
      </c>
      <c r="C730" s="142" t="s">
        <v>4</v>
      </c>
      <c r="D730" s="143">
        <v>10</v>
      </c>
      <c r="E730" s="144"/>
      <c r="F730" s="334">
        <v>10</v>
      </c>
      <c r="G730" s="112" t="s">
        <v>2990</v>
      </c>
      <c r="H730" s="120" t="s">
        <v>3016</v>
      </c>
      <c r="I730" s="120" t="s">
        <v>2748</v>
      </c>
      <c r="J730" s="120" t="s">
        <v>772</v>
      </c>
      <c r="K730" s="110">
        <v>100600</v>
      </c>
      <c r="L730" s="110"/>
      <c r="M730" s="110">
        <v>77500</v>
      </c>
      <c r="N730" s="110"/>
      <c r="O730" s="110"/>
      <c r="P730" s="110">
        <f t="shared" si="249"/>
        <v>178100</v>
      </c>
      <c r="Q730" s="110">
        <f t="shared" si="250"/>
        <v>1781000</v>
      </c>
      <c r="R730" s="110">
        <f t="shared" si="251"/>
        <v>1781000</v>
      </c>
      <c r="S730" s="112" t="s">
        <v>2990</v>
      </c>
    </row>
    <row r="731" spans="1:19" ht="30">
      <c r="A731" s="173"/>
      <c r="B731" s="150" t="s">
        <v>1388</v>
      </c>
      <c r="C731" s="146" t="s">
        <v>4</v>
      </c>
      <c r="D731" s="147">
        <v>4</v>
      </c>
      <c r="E731" s="148"/>
      <c r="F731" s="334">
        <v>4</v>
      </c>
      <c r="G731" s="112" t="s">
        <v>2990</v>
      </c>
      <c r="H731" s="120" t="s">
        <v>3026</v>
      </c>
      <c r="I731" s="120" t="s">
        <v>2748</v>
      </c>
      <c r="J731" s="120" t="s">
        <v>772</v>
      </c>
      <c r="K731" s="110">
        <v>142600</v>
      </c>
      <c r="L731" s="110"/>
      <c r="M731" s="110">
        <v>77500</v>
      </c>
      <c r="N731" s="110"/>
      <c r="O731" s="110"/>
      <c r="P731" s="110">
        <f t="shared" si="249"/>
        <v>220100</v>
      </c>
      <c r="Q731" s="110">
        <f t="shared" si="250"/>
        <v>880400</v>
      </c>
      <c r="R731" s="110">
        <f t="shared" si="251"/>
        <v>880400</v>
      </c>
      <c r="S731" s="112" t="s">
        <v>2990</v>
      </c>
    </row>
    <row r="732" spans="1:19" ht="30">
      <c r="A732" s="142"/>
      <c r="B732" s="153" t="s">
        <v>1250</v>
      </c>
      <c r="C732" s="142" t="s">
        <v>4</v>
      </c>
      <c r="D732" s="143">
        <v>71</v>
      </c>
      <c r="E732" s="144"/>
      <c r="F732" s="334">
        <v>71</v>
      </c>
      <c r="G732" s="112" t="s">
        <v>2990</v>
      </c>
      <c r="H732" s="120" t="s">
        <v>3017</v>
      </c>
      <c r="I732" s="120" t="s">
        <v>2748</v>
      </c>
      <c r="J732" s="120" t="s">
        <v>772</v>
      </c>
      <c r="K732" s="110">
        <v>72500</v>
      </c>
      <c r="L732" s="110"/>
      <c r="M732" s="110">
        <v>62000</v>
      </c>
      <c r="N732" s="110"/>
      <c r="O732" s="110"/>
      <c r="P732" s="110">
        <f t="shared" si="249"/>
        <v>134500</v>
      </c>
      <c r="Q732" s="110">
        <f t="shared" si="250"/>
        <v>9549500</v>
      </c>
      <c r="R732" s="110">
        <f t="shared" si="251"/>
        <v>9549500</v>
      </c>
      <c r="S732" s="112" t="s">
        <v>2990</v>
      </c>
    </row>
    <row r="733" spans="1:19" ht="45">
      <c r="A733" s="142"/>
      <c r="B733" s="153" t="s">
        <v>1263</v>
      </c>
      <c r="C733" s="142" t="s">
        <v>4</v>
      </c>
      <c r="D733" s="143">
        <v>12</v>
      </c>
      <c r="E733" s="144"/>
      <c r="F733" s="334">
        <v>12</v>
      </c>
      <c r="G733" s="112" t="s">
        <v>2990</v>
      </c>
      <c r="H733" s="120" t="s">
        <v>3018</v>
      </c>
      <c r="I733" s="120" t="s">
        <v>2748</v>
      </c>
      <c r="J733" s="120" t="s">
        <v>772</v>
      </c>
      <c r="K733" s="110">
        <v>68600</v>
      </c>
      <c r="L733" s="110"/>
      <c r="M733" s="110">
        <v>62000</v>
      </c>
      <c r="N733" s="110"/>
      <c r="O733" s="110"/>
      <c r="P733" s="110">
        <f t="shared" si="249"/>
        <v>130600</v>
      </c>
      <c r="Q733" s="110">
        <f t="shared" si="250"/>
        <v>1567200</v>
      </c>
      <c r="R733" s="110">
        <f t="shared" si="251"/>
        <v>1567200</v>
      </c>
      <c r="S733" s="112" t="s">
        <v>2990</v>
      </c>
    </row>
    <row r="734" spans="1:19" ht="45">
      <c r="A734" s="142"/>
      <c r="B734" s="153" t="s">
        <v>1527</v>
      </c>
      <c r="C734" s="142" t="s">
        <v>4</v>
      </c>
      <c r="D734" s="143">
        <v>1</v>
      </c>
      <c r="E734" s="144"/>
      <c r="F734" s="334">
        <v>1</v>
      </c>
      <c r="G734" s="112" t="s">
        <v>2990</v>
      </c>
      <c r="H734" s="120" t="s">
        <v>3020</v>
      </c>
      <c r="I734" s="120" t="s">
        <v>2748</v>
      </c>
      <c r="J734" s="120" t="s">
        <v>772</v>
      </c>
      <c r="K734" s="110">
        <v>51100</v>
      </c>
      <c r="L734" s="110"/>
      <c r="M734" s="110">
        <v>62000</v>
      </c>
      <c r="N734" s="110"/>
      <c r="O734" s="110"/>
      <c r="P734" s="110">
        <f t="shared" si="249"/>
        <v>113100</v>
      </c>
      <c r="Q734" s="110">
        <f t="shared" si="250"/>
        <v>113100</v>
      </c>
      <c r="R734" s="110">
        <f t="shared" si="251"/>
        <v>113100</v>
      </c>
      <c r="S734" s="112" t="s">
        <v>2990</v>
      </c>
    </row>
    <row r="735" spans="1:19" ht="30">
      <c r="A735" s="142"/>
      <c r="B735" s="153" t="s">
        <v>1252</v>
      </c>
      <c r="C735" s="142" t="s">
        <v>4</v>
      </c>
      <c r="D735" s="143">
        <v>100</v>
      </c>
      <c r="E735" s="144"/>
      <c r="F735" s="334">
        <v>100</v>
      </c>
      <c r="G735" s="112" t="s">
        <v>2990</v>
      </c>
      <c r="H735" s="120" t="s">
        <v>3021</v>
      </c>
      <c r="I735" s="120" t="s">
        <v>2748</v>
      </c>
      <c r="J735" s="120" t="s">
        <v>772</v>
      </c>
      <c r="K735" s="110">
        <v>48000</v>
      </c>
      <c r="L735" s="110"/>
      <c r="M735" s="110">
        <v>49600</v>
      </c>
      <c r="N735" s="110"/>
      <c r="O735" s="110"/>
      <c r="P735" s="110">
        <f t="shared" si="249"/>
        <v>97600</v>
      </c>
      <c r="Q735" s="110">
        <f t="shared" si="250"/>
        <v>9760000</v>
      </c>
      <c r="R735" s="110">
        <f t="shared" si="251"/>
        <v>9760000</v>
      </c>
      <c r="S735" s="112" t="s">
        <v>2990</v>
      </c>
    </row>
    <row r="736" spans="1:19" ht="45">
      <c r="A736" s="142"/>
      <c r="B736" s="153" t="s">
        <v>1543</v>
      </c>
      <c r="C736" s="142" t="s">
        <v>4</v>
      </c>
      <c r="D736" s="143">
        <v>7</v>
      </c>
      <c r="E736" s="144"/>
      <c r="F736" s="334">
        <v>7</v>
      </c>
      <c r="G736" s="112" t="s">
        <v>2990</v>
      </c>
      <c r="H736" s="120" t="s">
        <v>3027</v>
      </c>
      <c r="I736" s="120" t="s">
        <v>2748</v>
      </c>
      <c r="J736" s="120" t="s">
        <v>772</v>
      </c>
      <c r="K736" s="110">
        <v>46800</v>
      </c>
      <c r="L736" s="110"/>
      <c r="M736" s="110">
        <v>49600</v>
      </c>
      <c r="N736" s="110"/>
      <c r="O736" s="110"/>
      <c r="P736" s="110">
        <f t="shared" si="249"/>
        <v>96400</v>
      </c>
      <c r="Q736" s="110">
        <f t="shared" si="250"/>
        <v>674800</v>
      </c>
      <c r="R736" s="110">
        <f t="shared" si="251"/>
        <v>674800</v>
      </c>
      <c r="S736" s="112" t="s">
        <v>2990</v>
      </c>
    </row>
    <row r="737" spans="1:19" ht="45">
      <c r="A737" s="142"/>
      <c r="B737" s="153" t="s">
        <v>1544</v>
      </c>
      <c r="C737" s="142" t="s">
        <v>4</v>
      </c>
      <c r="D737" s="143">
        <v>31</v>
      </c>
      <c r="E737" s="144"/>
      <c r="F737" s="334">
        <v>31</v>
      </c>
      <c r="G737" s="112" t="s">
        <v>2990</v>
      </c>
      <c r="H737" s="120" t="s">
        <v>3022</v>
      </c>
      <c r="I737" s="120" t="s">
        <v>2748</v>
      </c>
      <c r="J737" s="120" t="s">
        <v>772</v>
      </c>
      <c r="K737" s="110">
        <v>29200</v>
      </c>
      <c r="L737" s="110"/>
      <c r="M737" s="110">
        <v>49600</v>
      </c>
      <c r="N737" s="110"/>
      <c r="O737" s="110"/>
      <c r="P737" s="110">
        <f t="shared" si="249"/>
        <v>78800</v>
      </c>
      <c r="Q737" s="110">
        <f t="shared" si="250"/>
        <v>2442800</v>
      </c>
      <c r="R737" s="110">
        <f t="shared" si="251"/>
        <v>2442800</v>
      </c>
      <c r="S737" s="112" t="s">
        <v>2990</v>
      </c>
    </row>
    <row r="738" spans="1:19" ht="30">
      <c r="A738" s="142"/>
      <c r="B738" s="153" t="s">
        <v>1424</v>
      </c>
      <c r="C738" s="142" t="s">
        <v>4</v>
      </c>
      <c r="D738" s="143">
        <v>7</v>
      </c>
      <c r="E738" s="144"/>
      <c r="F738" s="334">
        <v>7</v>
      </c>
      <c r="G738" s="112" t="s">
        <v>2990</v>
      </c>
      <c r="H738" s="120" t="s">
        <v>3023</v>
      </c>
      <c r="I738" s="120" t="s">
        <v>2748</v>
      </c>
      <c r="J738" s="120" t="s">
        <v>772</v>
      </c>
      <c r="K738" s="110">
        <v>39300</v>
      </c>
      <c r="L738" s="110"/>
      <c r="M738" s="110">
        <v>40300</v>
      </c>
      <c r="N738" s="110"/>
      <c r="O738" s="110"/>
      <c r="P738" s="110">
        <f t="shared" si="249"/>
        <v>79600</v>
      </c>
      <c r="Q738" s="110">
        <f t="shared" si="250"/>
        <v>557200</v>
      </c>
      <c r="R738" s="110">
        <f t="shared" si="251"/>
        <v>557200</v>
      </c>
      <c r="S738" s="112" t="s">
        <v>2990</v>
      </c>
    </row>
    <row r="739" spans="1:19" ht="75">
      <c r="A739" s="142"/>
      <c r="B739" s="153" t="s">
        <v>1474</v>
      </c>
      <c r="C739" s="142" t="s">
        <v>4</v>
      </c>
      <c r="D739" s="143">
        <v>26</v>
      </c>
      <c r="E739" s="144"/>
      <c r="F739" s="334">
        <v>26</v>
      </c>
      <c r="G739" s="112" t="s">
        <v>2990</v>
      </c>
      <c r="H739" s="120" t="s">
        <v>3024</v>
      </c>
      <c r="I739" s="120" t="s">
        <v>2748</v>
      </c>
      <c r="J739" s="120" t="s">
        <v>772</v>
      </c>
      <c r="K739" s="110">
        <v>38900</v>
      </c>
      <c r="L739" s="110"/>
      <c r="M739" s="110">
        <v>40300</v>
      </c>
      <c r="N739" s="110"/>
      <c r="O739" s="110"/>
      <c r="P739" s="110">
        <f t="shared" si="249"/>
        <v>79200</v>
      </c>
      <c r="Q739" s="110">
        <f t="shared" si="250"/>
        <v>2059200</v>
      </c>
      <c r="R739" s="110">
        <f t="shared" si="251"/>
        <v>2059200</v>
      </c>
      <c r="S739" s="112" t="s">
        <v>2990</v>
      </c>
    </row>
    <row r="740" spans="1:19">
      <c r="A740" s="142">
        <v>4</v>
      </c>
      <c r="B740" s="153" t="s">
        <v>1475</v>
      </c>
      <c r="C740" s="142"/>
      <c r="D740" s="143"/>
      <c r="E740" s="144"/>
      <c r="F740" s="74"/>
      <c r="G740" s="120"/>
      <c r="H740" s="120"/>
      <c r="I740" s="120"/>
      <c r="J740" s="120"/>
      <c r="K740" s="74"/>
      <c r="L740" s="74"/>
      <c r="M740" s="74"/>
      <c r="N740" s="74"/>
      <c r="O740" s="74"/>
      <c r="P740" s="74"/>
      <c r="Q740" s="74"/>
      <c r="R740" s="74"/>
      <c r="S740" s="74"/>
    </row>
    <row r="741" spans="1:19" ht="30">
      <c r="A741" s="142"/>
      <c r="B741" s="153" t="s">
        <v>1257</v>
      </c>
      <c r="C741" s="142" t="s">
        <v>4</v>
      </c>
      <c r="D741" s="143">
        <v>6</v>
      </c>
      <c r="E741" s="144"/>
      <c r="F741" s="334">
        <v>6</v>
      </c>
      <c r="G741" s="112" t="s">
        <v>2990</v>
      </c>
      <c r="H741" s="120" t="s">
        <v>3035</v>
      </c>
      <c r="I741" s="120" t="s">
        <v>2748</v>
      </c>
      <c r="J741" s="120" t="s">
        <v>772</v>
      </c>
      <c r="K741" s="110">
        <v>100300</v>
      </c>
      <c r="L741" s="110"/>
      <c r="M741" s="110">
        <v>77500</v>
      </c>
      <c r="N741" s="110"/>
      <c r="O741" s="110"/>
      <c r="P741" s="110">
        <f t="shared" ref="P741:P747" si="252">K741+L741+M741+N741+O741</f>
        <v>177800</v>
      </c>
      <c r="Q741" s="110">
        <f t="shared" ref="Q741:Q747" si="253">$P741*D741</f>
        <v>1066800</v>
      </c>
      <c r="R741" s="110">
        <f t="shared" ref="R741:R747" si="254">$P741*F741</f>
        <v>1066800</v>
      </c>
      <c r="S741" s="112" t="s">
        <v>2990</v>
      </c>
    </row>
    <row r="742" spans="1:19" ht="30">
      <c r="A742" s="142"/>
      <c r="B742" s="153" t="s">
        <v>1388</v>
      </c>
      <c r="C742" s="142" t="s">
        <v>4</v>
      </c>
      <c r="D742" s="143">
        <v>57</v>
      </c>
      <c r="E742" s="144"/>
      <c r="F742" s="334">
        <v>57</v>
      </c>
      <c r="G742" s="112" t="s">
        <v>3031</v>
      </c>
      <c r="H742" s="120" t="s">
        <v>3036</v>
      </c>
      <c r="I742" s="120" t="s">
        <v>2748</v>
      </c>
      <c r="J742" s="120" t="s">
        <v>772</v>
      </c>
      <c r="K742" s="110">
        <v>87000</v>
      </c>
      <c r="L742" s="110"/>
      <c r="M742" s="110">
        <v>77500</v>
      </c>
      <c r="N742" s="110"/>
      <c r="O742" s="110"/>
      <c r="P742" s="110">
        <f t="shared" si="252"/>
        <v>164500</v>
      </c>
      <c r="Q742" s="110">
        <f t="shared" si="253"/>
        <v>9376500</v>
      </c>
      <c r="R742" s="110">
        <f t="shared" si="254"/>
        <v>9376500</v>
      </c>
      <c r="S742" s="112" t="s">
        <v>3031</v>
      </c>
    </row>
    <row r="743" spans="1:19" ht="30">
      <c r="A743" s="142"/>
      <c r="B743" s="153" t="s">
        <v>1250</v>
      </c>
      <c r="C743" s="142" t="s">
        <v>4</v>
      </c>
      <c r="D743" s="143">
        <v>225</v>
      </c>
      <c r="E743" s="144"/>
      <c r="F743" s="334">
        <v>225</v>
      </c>
      <c r="G743" s="112" t="s">
        <v>2990</v>
      </c>
      <c r="H743" s="120" t="s">
        <v>3037</v>
      </c>
      <c r="I743" s="120" t="s">
        <v>2748</v>
      </c>
      <c r="J743" s="120" t="s">
        <v>772</v>
      </c>
      <c r="K743" s="110">
        <v>62600</v>
      </c>
      <c r="L743" s="110"/>
      <c r="M743" s="110">
        <v>62000</v>
      </c>
      <c r="N743" s="110"/>
      <c r="O743" s="110"/>
      <c r="P743" s="110">
        <f t="shared" si="252"/>
        <v>124600</v>
      </c>
      <c r="Q743" s="110">
        <f t="shared" si="253"/>
        <v>28035000</v>
      </c>
      <c r="R743" s="110">
        <f t="shared" si="254"/>
        <v>28035000</v>
      </c>
      <c r="S743" s="112" t="s">
        <v>2990</v>
      </c>
    </row>
    <row r="744" spans="1:19" ht="30">
      <c r="A744" s="142"/>
      <c r="B744" s="153" t="s">
        <v>1252</v>
      </c>
      <c r="C744" s="142" t="s">
        <v>4</v>
      </c>
      <c r="D744" s="143">
        <v>152</v>
      </c>
      <c r="E744" s="144"/>
      <c r="F744" s="334">
        <v>152</v>
      </c>
      <c r="G744" s="112" t="s">
        <v>2990</v>
      </c>
      <c r="H744" s="120" t="s">
        <v>3038</v>
      </c>
      <c r="I744" s="120" t="s">
        <v>2748</v>
      </c>
      <c r="J744" s="120" t="s">
        <v>772</v>
      </c>
      <c r="K744" s="110">
        <v>33300</v>
      </c>
      <c r="L744" s="110"/>
      <c r="M744" s="110">
        <v>49600</v>
      </c>
      <c r="N744" s="110"/>
      <c r="O744" s="110"/>
      <c r="P744" s="110">
        <f t="shared" si="252"/>
        <v>82900</v>
      </c>
      <c r="Q744" s="110">
        <f t="shared" si="253"/>
        <v>12600800</v>
      </c>
      <c r="R744" s="110">
        <f t="shared" si="254"/>
        <v>12600800</v>
      </c>
      <c r="S744" s="112" t="s">
        <v>2990</v>
      </c>
    </row>
    <row r="745" spans="1:19" ht="30">
      <c r="A745" s="142"/>
      <c r="B745" s="153" t="s">
        <v>1424</v>
      </c>
      <c r="C745" s="142" t="s">
        <v>4</v>
      </c>
      <c r="D745" s="143">
        <v>35</v>
      </c>
      <c r="E745" s="144"/>
      <c r="F745" s="334">
        <v>35</v>
      </c>
      <c r="G745" s="112" t="s">
        <v>2990</v>
      </c>
      <c r="H745" s="120" t="s">
        <v>3041</v>
      </c>
      <c r="I745" s="120" t="s">
        <v>2748</v>
      </c>
      <c r="J745" s="120" t="s">
        <v>772</v>
      </c>
      <c r="K745" s="110">
        <v>24300</v>
      </c>
      <c r="L745" s="110"/>
      <c r="M745" s="110">
        <v>40300</v>
      </c>
      <c r="N745" s="110"/>
      <c r="O745" s="110"/>
      <c r="P745" s="110">
        <f t="shared" si="252"/>
        <v>64600</v>
      </c>
      <c r="Q745" s="110">
        <f t="shared" si="253"/>
        <v>2261000</v>
      </c>
      <c r="R745" s="110">
        <f t="shared" si="254"/>
        <v>2261000</v>
      </c>
      <c r="S745" s="112" t="s">
        <v>2990</v>
      </c>
    </row>
    <row r="746" spans="1:19" ht="30">
      <c r="A746" s="142"/>
      <c r="B746" s="153" t="s">
        <v>1470</v>
      </c>
      <c r="C746" s="142" t="s">
        <v>4</v>
      </c>
      <c r="D746" s="143">
        <v>61</v>
      </c>
      <c r="E746" s="144"/>
      <c r="F746" s="334">
        <v>61</v>
      </c>
      <c r="G746" s="112" t="s">
        <v>2990</v>
      </c>
      <c r="H746" s="120" t="s">
        <v>3040</v>
      </c>
      <c r="I746" s="120" t="s">
        <v>2748</v>
      </c>
      <c r="J746" s="120" t="s">
        <v>772</v>
      </c>
      <c r="K746" s="110">
        <v>6500</v>
      </c>
      <c r="L746" s="110"/>
      <c r="M746" s="110">
        <v>24800</v>
      </c>
      <c r="N746" s="110"/>
      <c r="O746" s="110"/>
      <c r="P746" s="110">
        <f t="shared" si="252"/>
        <v>31300</v>
      </c>
      <c r="Q746" s="110">
        <f t="shared" si="253"/>
        <v>1909300</v>
      </c>
      <c r="R746" s="110">
        <f t="shared" si="254"/>
        <v>1909300</v>
      </c>
      <c r="S746" s="112" t="s">
        <v>2990</v>
      </c>
    </row>
    <row r="747" spans="1:19" ht="30">
      <c r="A747" s="142"/>
      <c r="B747" s="153" t="s">
        <v>1471</v>
      </c>
      <c r="C747" s="142" t="s">
        <v>4</v>
      </c>
      <c r="D747" s="143">
        <v>193</v>
      </c>
      <c r="E747" s="144"/>
      <c r="F747" s="334">
        <v>193</v>
      </c>
      <c r="G747" s="112" t="s">
        <v>2990</v>
      </c>
      <c r="H747" s="120" t="s">
        <v>3042</v>
      </c>
      <c r="I747" s="120" t="s">
        <v>2748</v>
      </c>
      <c r="J747" s="120" t="s">
        <v>772</v>
      </c>
      <c r="K747" s="110">
        <v>4100</v>
      </c>
      <c r="L747" s="110"/>
      <c r="M747" s="110">
        <v>24800</v>
      </c>
      <c r="N747" s="110"/>
      <c r="O747" s="110"/>
      <c r="P747" s="110">
        <f t="shared" si="252"/>
        <v>28900</v>
      </c>
      <c r="Q747" s="110">
        <f t="shared" si="253"/>
        <v>5577700</v>
      </c>
      <c r="R747" s="110">
        <f t="shared" si="254"/>
        <v>5577700</v>
      </c>
      <c r="S747" s="112" t="s">
        <v>2990</v>
      </c>
    </row>
    <row r="748" spans="1:19">
      <c r="A748" s="142">
        <v>5</v>
      </c>
      <c r="B748" s="153" t="s">
        <v>1394</v>
      </c>
      <c r="C748" s="142"/>
      <c r="D748" s="143"/>
      <c r="E748" s="144"/>
      <c r="F748" s="74"/>
      <c r="G748" s="120"/>
      <c r="H748" s="120"/>
      <c r="I748" s="120"/>
      <c r="J748" s="120"/>
      <c r="K748" s="74"/>
      <c r="L748" s="74"/>
      <c r="M748" s="74"/>
      <c r="N748" s="74"/>
      <c r="O748" s="74"/>
      <c r="P748" s="74"/>
      <c r="Q748" s="74"/>
      <c r="R748" s="74"/>
      <c r="S748" s="74"/>
    </row>
    <row r="749" spans="1:19" ht="30">
      <c r="A749" s="142"/>
      <c r="B749" s="153" t="s">
        <v>1438</v>
      </c>
      <c r="C749" s="142" t="s">
        <v>4</v>
      </c>
      <c r="D749" s="143">
        <v>48</v>
      </c>
      <c r="E749" s="144"/>
      <c r="F749" s="334">
        <v>48</v>
      </c>
      <c r="G749" s="112" t="s">
        <v>2990</v>
      </c>
      <c r="H749" s="120" t="s">
        <v>3052</v>
      </c>
      <c r="I749" s="120" t="s">
        <v>2748</v>
      </c>
      <c r="J749" s="120" t="s">
        <v>772</v>
      </c>
      <c r="K749" s="110">
        <v>17100</v>
      </c>
      <c r="L749" s="110"/>
      <c r="M749" s="110">
        <v>31000</v>
      </c>
      <c r="N749" s="110"/>
      <c r="O749" s="110"/>
      <c r="P749" s="110">
        <f t="shared" ref="P749:P752" si="255">K749+L749+M749+N749+O749</f>
        <v>48100</v>
      </c>
      <c r="Q749" s="110">
        <f t="shared" ref="Q749:Q752" si="256">$P749*D749</f>
        <v>2308800</v>
      </c>
      <c r="R749" s="110">
        <f t="shared" ref="R749:R752" si="257">$P749*F749</f>
        <v>2308800</v>
      </c>
      <c r="S749" s="112" t="s">
        <v>2990</v>
      </c>
    </row>
    <row r="750" spans="1:19" ht="30">
      <c r="A750" s="173"/>
      <c r="B750" s="150" t="s">
        <v>1424</v>
      </c>
      <c r="C750" s="146" t="s">
        <v>4</v>
      </c>
      <c r="D750" s="147">
        <v>47</v>
      </c>
      <c r="E750" s="148"/>
      <c r="F750" s="334">
        <v>47</v>
      </c>
      <c r="G750" s="112" t="s">
        <v>2990</v>
      </c>
      <c r="H750" s="120" t="s">
        <v>3041</v>
      </c>
      <c r="I750" s="120" t="s">
        <v>2748</v>
      </c>
      <c r="J750" s="120" t="s">
        <v>772</v>
      </c>
      <c r="K750" s="110">
        <v>24300</v>
      </c>
      <c r="L750" s="110"/>
      <c r="M750" s="110">
        <v>40300</v>
      </c>
      <c r="N750" s="110"/>
      <c r="O750" s="110"/>
      <c r="P750" s="110">
        <f t="shared" si="255"/>
        <v>64600</v>
      </c>
      <c r="Q750" s="110">
        <f t="shared" si="256"/>
        <v>3036200</v>
      </c>
      <c r="R750" s="110">
        <f t="shared" si="257"/>
        <v>3036200</v>
      </c>
      <c r="S750" s="112" t="s">
        <v>2990</v>
      </c>
    </row>
    <row r="751" spans="1:19" ht="30">
      <c r="A751" s="173"/>
      <c r="B751" s="150" t="s">
        <v>1471</v>
      </c>
      <c r="C751" s="146" t="s">
        <v>4</v>
      </c>
      <c r="D751" s="147">
        <v>70</v>
      </c>
      <c r="E751" s="148"/>
      <c r="F751" s="334">
        <v>70</v>
      </c>
      <c r="G751" s="112" t="s">
        <v>2990</v>
      </c>
      <c r="H751" s="120" t="s">
        <v>3054</v>
      </c>
      <c r="I751" s="120" t="s">
        <v>2748</v>
      </c>
      <c r="J751" s="120" t="s">
        <v>772</v>
      </c>
      <c r="K751" s="110">
        <v>5400</v>
      </c>
      <c r="L751" s="110"/>
      <c r="M751" s="110">
        <v>24800</v>
      </c>
      <c r="N751" s="110"/>
      <c r="O751" s="110"/>
      <c r="P751" s="110">
        <f t="shared" si="255"/>
        <v>30200</v>
      </c>
      <c r="Q751" s="110">
        <f t="shared" si="256"/>
        <v>2114000</v>
      </c>
      <c r="R751" s="110">
        <f t="shared" si="257"/>
        <v>2114000</v>
      </c>
      <c r="S751" s="112" t="s">
        <v>2990</v>
      </c>
    </row>
    <row r="752" spans="1:19" ht="30">
      <c r="A752" s="142"/>
      <c r="B752" s="153" t="s">
        <v>1470</v>
      </c>
      <c r="C752" s="142" t="s">
        <v>4</v>
      </c>
      <c r="D752" s="143">
        <v>49</v>
      </c>
      <c r="E752" s="144" t="s">
        <v>1545</v>
      </c>
      <c r="F752" s="334">
        <v>49</v>
      </c>
      <c r="G752" s="112" t="s">
        <v>2990</v>
      </c>
      <c r="H752" s="120" t="s">
        <v>3053</v>
      </c>
      <c r="I752" s="120" t="s">
        <v>2748</v>
      </c>
      <c r="J752" s="120" t="s">
        <v>772</v>
      </c>
      <c r="K752" s="110">
        <v>8400</v>
      </c>
      <c r="L752" s="110"/>
      <c r="M752" s="110">
        <v>24800</v>
      </c>
      <c r="N752" s="110"/>
      <c r="O752" s="110"/>
      <c r="P752" s="110">
        <f t="shared" si="255"/>
        <v>33200</v>
      </c>
      <c r="Q752" s="110">
        <f t="shared" si="256"/>
        <v>1626800</v>
      </c>
      <c r="R752" s="110">
        <f t="shared" si="257"/>
        <v>1626800</v>
      </c>
      <c r="S752" s="112" t="s">
        <v>2990</v>
      </c>
    </row>
    <row r="753" spans="1:19">
      <c r="A753" s="142">
        <v>6</v>
      </c>
      <c r="B753" s="153" t="s">
        <v>1461</v>
      </c>
      <c r="C753" s="142"/>
      <c r="D753" s="143"/>
      <c r="E753" s="144"/>
      <c r="F753" s="74"/>
      <c r="G753" s="120"/>
      <c r="H753" s="120"/>
      <c r="I753" s="120"/>
      <c r="J753" s="120"/>
      <c r="K753" s="74"/>
      <c r="L753" s="74"/>
      <c r="M753" s="74"/>
      <c r="N753" s="74"/>
      <c r="O753" s="74"/>
      <c r="P753" s="74"/>
      <c r="Q753" s="74"/>
      <c r="R753" s="74"/>
      <c r="S753" s="74"/>
    </row>
    <row r="754" spans="1:19" ht="30">
      <c r="A754" s="142"/>
      <c r="B754" s="153" t="s">
        <v>1546</v>
      </c>
      <c r="C754" s="142" t="s">
        <v>4</v>
      </c>
      <c r="D754" s="143">
        <v>54</v>
      </c>
      <c r="E754" s="144"/>
      <c r="F754" s="334">
        <v>54</v>
      </c>
      <c r="G754" s="112" t="s">
        <v>2990</v>
      </c>
      <c r="H754" s="120" t="s">
        <v>3100</v>
      </c>
      <c r="I754" s="120" t="s">
        <v>2748</v>
      </c>
      <c r="J754" s="120" t="s">
        <v>772</v>
      </c>
      <c r="K754" s="110">
        <v>7100</v>
      </c>
      <c r="L754" s="110"/>
      <c r="M754" s="110">
        <v>31000</v>
      </c>
      <c r="N754" s="110"/>
      <c r="O754" s="110"/>
      <c r="P754" s="110">
        <f t="shared" ref="P754:P755" si="258">K754+L754+M754+N754+O754</f>
        <v>38100</v>
      </c>
      <c r="Q754" s="110">
        <f t="shared" ref="Q754:Q755" si="259">$P754*D754</f>
        <v>2057400</v>
      </c>
      <c r="R754" s="110">
        <f t="shared" ref="R754:R755" si="260">$P754*F754</f>
        <v>2057400</v>
      </c>
      <c r="S754" s="112" t="s">
        <v>2990</v>
      </c>
    </row>
    <row r="755" spans="1:19" ht="30">
      <c r="A755" s="142"/>
      <c r="B755" s="153" t="s">
        <v>1437</v>
      </c>
      <c r="C755" s="142" t="s">
        <v>4</v>
      </c>
      <c r="D755" s="143">
        <v>1</v>
      </c>
      <c r="E755" s="144"/>
      <c r="F755" s="334">
        <v>1</v>
      </c>
      <c r="G755" s="112" t="s">
        <v>2990</v>
      </c>
      <c r="H755" s="120" t="s">
        <v>3096</v>
      </c>
      <c r="I755" s="120" t="s">
        <v>2748</v>
      </c>
      <c r="J755" s="120" t="s">
        <v>772</v>
      </c>
      <c r="K755" s="110">
        <v>15000</v>
      </c>
      <c r="L755" s="110"/>
      <c r="M755" s="110">
        <v>40300</v>
      </c>
      <c r="N755" s="110"/>
      <c r="O755" s="110"/>
      <c r="P755" s="110">
        <f t="shared" si="258"/>
        <v>55300</v>
      </c>
      <c r="Q755" s="110">
        <f t="shared" si="259"/>
        <v>55300</v>
      </c>
      <c r="R755" s="110">
        <f t="shared" si="260"/>
        <v>55300</v>
      </c>
      <c r="S755" s="112" t="s">
        <v>2990</v>
      </c>
    </row>
    <row r="756" spans="1:19">
      <c r="A756" s="142">
        <v>7</v>
      </c>
      <c r="B756" s="153" t="s">
        <v>1402</v>
      </c>
      <c r="C756" s="142"/>
      <c r="D756" s="143"/>
      <c r="E756" s="144"/>
      <c r="F756" s="74"/>
      <c r="G756" s="120"/>
      <c r="H756" s="120"/>
      <c r="I756" s="120"/>
      <c r="J756" s="120"/>
      <c r="K756" s="74"/>
      <c r="L756" s="74"/>
      <c r="M756" s="74"/>
      <c r="N756" s="74"/>
      <c r="O756" s="74"/>
      <c r="P756" s="74"/>
      <c r="Q756" s="74"/>
      <c r="R756" s="74"/>
      <c r="S756" s="74"/>
    </row>
    <row r="757" spans="1:19" ht="60">
      <c r="A757" s="142"/>
      <c r="B757" s="153" t="s">
        <v>1547</v>
      </c>
      <c r="C757" s="142" t="s">
        <v>4</v>
      </c>
      <c r="D757" s="143">
        <v>4</v>
      </c>
      <c r="E757" s="144"/>
      <c r="F757" s="334">
        <v>4</v>
      </c>
      <c r="G757" s="112" t="s">
        <v>3043</v>
      </c>
      <c r="H757" s="120" t="s">
        <v>3067</v>
      </c>
      <c r="I757" s="120" t="s">
        <v>2748</v>
      </c>
      <c r="J757" s="120" t="s">
        <v>772</v>
      </c>
      <c r="K757" s="110">
        <v>130500</v>
      </c>
      <c r="L757" s="110"/>
      <c r="M757" s="110">
        <v>116300</v>
      </c>
      <c r="N757" s="110"/>
      <c r="O757" s="110"/>
      <c r="P757" s="110">
        <f t="shared" ref="P757:P766" si="261">K757+L757+M757+N757+O757</f>
        <v>246800</v>
      </c>
      <c r="Q757" s="110">
        <f t="shared" ref="Q757:Q766" si="262">$P757*D757</f>
        <v>987200</v>
      </c>
      <c r="R757" s="110">
        <f t="shared" ref="R757:R766" si="263">$P757*F757</f>
        <v>987200</v>
      </c>
      <c r="S757" s="112" t="s">
        <v>3043</v>
      </c>
    </row>
    <row r="758" spans="1:19" ht="60">
      <c r="A758" s="142"/>
      <c r="B758" s="153" t="s">
        <v>1548</v>
      </c>
      <c r="C758" s="142" t="s">
        <v>4</v>
      </c>
      <c r="D758" s="143">
        <v>22</v>
      </c>
      <c r="E758" s="144"/>
      <c r="F758" s="334">
        <v>22</v>
      </c>
      <c r="G758" s="112" t="s">
        <v>3043</v>
      </c>
      <c r="H758" s="120" t="s">
        <v>3069</v>
      </c>
      <c r="I758" s="120" t="s">
        <v>2748</v>
      </c>
      <c r="J758" s="120" t="s">
        <v>772</v>
      </c>
      <c r="K758" s="110">
        <v>111200</v>
      </c>
      <c r="L758" s="110"/>
      <c r="M758" s="110">
        <v>116300</v>
      </c>
      <c r="N758" s="110"/>
      <c r="O758" s="110"/>
      <c r="P758" s="110">
        <f t="shared" si="261"/>
        <v>227500</v>
      </c>
      <c r="Q758" s="110">
        <f t="shared" si="262"/>
        <v>5005000</v>
      </c>
      <c r="R758" s="110">
        <f t="shared" si="263"/>
        <v>5005000</v>
      </c>
      <c r="S758" s="112" t="s">
        <v>3043</v>
      </c>
    </row>
    <row r="759" spans="1:19" ht="30">
      <c r="A759" s="142"/>
      <c r="B759" s="153" t="s">
        <v>1476</v>
      </c>
      <c r="C759" s="142" t="s">
        <v>4</v>
      </c>
      <c r="D759" s="143">
        <v>4</v>
      </c>
      <c r="E759" s="144"/>
      <c r="F759" s="334">
        <v>4</v>
      </c>
      <c r="G759" s="112" t="s">
        <v>2990</v>
      </c>
      <c r="H759" s="120" t="s">
        <v>3070</v>
      </c>
      <c r="I759" s="120" t="s">
        <v>2748</v>
      </c>
      <c r="J759" s="120" t="s">
        <v>772</v>
      </c>
      <c r="K759" s="110">
        <v>61200</v>
      </c>
      <c r="L759" s="110"/>
      <c r="M759" s="110">
        <v>93000</v>
      </c>
      <c r="N759" s="110"/>
      <c r="O759" s="110"/>
      <c r="P759" s="110">
        <f t="shared" si="261"/>
        <v>154200</v>
      </c>
      <c r="Q759" s="110">
        <f t="shared" si="262"/>
        <v>616800</v>
      </c>
      <c r="R759" s="110">
        <f t="shared" si="263"/>
        <v>616800</v>
      </c>
      <c r="S759" s="112" t="s">
        <v>2990</v>
      </c>
    </row>
    <row r="760" spans="1:19" ht="30">
      <c r="A760" s="142"/>
      <c r="B760" s="153" t="s">
        <v>1477</v>
      </c>
      <c r="C760" s="142" t="s">
        <v>4</v>
      </c>
      <c r="D760" s="143">
        <v>8</v>
      </c>
      <c r="E760" s="144"/>
      <c r="F760" s="334">
        <v>8</v>
      </c>
      <c r="G760" s="112" t="s">
        <v>2990</v>
      </c>
      <c r="H760" s="120" t="s">
        <v>3071</v>
      </c>
      <c r="I760" s="120" t="s">
        <v>2748</v>
      </c>
      <c r="J760" s="120" t="s">
        <v>772</v>
      </c>
      <c r="K760" s="110">
        <v>40000</v>
      </c>
      <c r="L760" s="110"/>
      <c r="M760" s="110">
        <v>49600</v>
      </c>
      <c r="N760" s="110"/>
      <c r="O760" s="110"/>
      <c r="P760" s="110">
        <f t="shared" si="261"/>
        <v>89600</v>
      </c>
      <c r="Q760" s="110">
        <f t="shared" si="262"/>
        <v>716800</v>
      </c>
      <c r="R760" s="110">
        <f t="shared" si="263"/>
        <v>716800</v>
      </c>
      <c r="S760" s="112" t="s">
        <v>2990</v>
      </c>
    </row>
    <row r="761" spans="1:19" ht="45">
      <c r="A761" s="142"/>
      <c r="B761" s="153" t="s">
        <v>1478</v>
      </c>
      <c r="C761" s="142" t="s">
        <v>4</v>
      </c>
      <c r="D761" s="143">
        <v>1</v>
      </c>
      <c r="E761" s="144"/>
      <c r="F761" s="334">
        <v>1</v>
      </c>
      <c r="G761" s="112" t="s">
        <v>2990</v>
      </c>
      <c r="H761" s="120" t="s">
        <v>3072</v>
      </c>
      <c r="I761" s="120" t="s">
        <v>2748</v>
      </c>
      <c r="J761" s="120" t="s">
        <v>772</v>
      </c>
      <c r="K761" s="110">
        <v>57200</v>
      </c>
      <c r="L761" s="110"/>
      <c r="M761" s="110">
        <v>40300</v>
      </c>
      <c r="N761" s="110"/>
      <c r="O761" s="110"/>
      <c r="P761" s="110">
        <f t="shared" si="261"/>
        <v>97500</v>
      </c>
      <c r="Q761" s="110">
        <f t="shared" si="262"/>
        <v>97500</v>
      </c>
      <c r="R761" s="110">
        <f t="shared" si="263"/>
        <v>97500</v>
      </c>
      <c r="S761" s="112" t="s">
        <v>2990</v>
      </c>
    </row>
    <row r="762" spans="1:19" ht="30">
      <c r="A762" s="142"/>
      <c r="B762" s="153" t="s">
        <v>1470</v>
      </c>
      <c r="C762" s="142" t="s">
        <v>4</v>
      </c>
      <c r="D762" s="143">
        <v>29</v>
      </c>
      <c r="E762" s="144"/>
      <c r="F762" s="334">
        <v>29</v>
      </c>
      <c r="G762" s="112" t="s">
        <v>2990</v>
      </c>
      <c r="H762" s="120" t="s">
        <v>3073</v>
      </c>
      <c r="I762" s="120" t="s">
        <v>2748</v>
      </c>
      <c r="J762" s="120" t="s">
        <v>772</v>
      </c>
      <c r="K762" s="110">
        <v>10500</v>
      </c>
      <c r="L762" s="110"/>
      <c r="M762" s="110">
        <v>37200</v>
      </c>
      <c r="N762" s="110"/>
      <c r="O762" s="110"/>
      <c r="P762" s="110">
        <f t="shared" si="261"/>
        <v>47700</v>
      </c>
      <c r="Q762" s="110">
        <f t="shared" si="262"/>
        <v>1383300</v>
      </c>
      <c r="R762" s="110">
        <f t="shared" si="263"/>
        <v>1383300</v>
      </c>
      <c r="S762" s="112" t="s">
        <v>2990</v>
      </c>
    </row>
    <row r="763" spans="1:19" ht="60">
      <c r="A763" s="173"/>
      <c r="B763" s="150" t="s">
        <v>1549</v>
      </c>
      <c r="C763" s="146" t="s">
        <v>4</v>
      </c>
      <c r="D763" s="147">
        <v>3</v>
      </c>
      <c r="E763" s="148"/>
      <c r="F763" s="334">
        <v>3</v>
      </c>
      <c r="G763" s="112" t="s">
        <v>3043</v>
      </c>
      <c r="H763" s="120" t="s">
        <v>3067</v>
      </c>
      <c r="I763" s="120" t="s">
        <v>2748</v>
      </c>
      <c r="J763" s="120" t="s">
        <v>772</v>
      </c>
      <c r="K763" s="110">
        <v>130500</v>
      </c>
      <c r="L763" s="110"/>
      <c r="M763" s="110">
        <v>116300</v>
      </c>
      <c r="N763" s="110"/>
      <c r="O763" s="110"/>
      <c r="P763" s="110">
        <f t="shared" si="261"/>
        <v>246800</v>
      </c>
      <c r="Q763" s="110">
        <f t="shared" si="262"/>
        <v>740400</v>
      </c>
      <c r="R763" s="110">
        <f t="shared" si="263"/>
        <v>740400</v>
      </c>
      <c r="S763" s="112" t="s">
        <v>3043</v>
      </c>
    </row>
    <row r="764" spans="1:19" ht="60">
      <c r="A764" s="173"/>
      <c r="B764" s="150" t="s">
        <v>1285</v>
      </c>
      <c r="C764" s="146" t="s">
        <v>4</v>
      </c>
      <c r="D764" s="147">
        <v>8</v>
      </c>
      <c r="E764" s="148"/>
      <c r="F764" s="334">
        <v>8</v>
      </c>
      <c r="G764" s="112" t="s">
        <v>3043</v>
      </c>
      <c r="H764" s="120" t="s">
        <v>3068</v>
      </c>
      <c r="I764" s="120" t="s">
        <v>2748</v>
      </c>
      <c r="J764" s="120" t="s">
        <v>772</v>
      </c>
      <c r="K764" s="110">
        <v>130500</v>
      </c>
      <c r="L764" s="110"/>
      <c r="M764" s="110">
        <v>116300</v>
      </c>
      <c r="N764" s="110"/>
      <c r="O764" s="110"/>
      <c r="P764" s="110">
        <f t="shared" si="261"/>
        <v>246800</v>
      </c>
      <c r="Q764" s="110">
        <f t="shared" si="262"/>
        <v>1974400</v>
      </c>
      <c r="R764" s="110">
        <f t="shared" si="263"/>
        <v>1974400</v>
      </c>
      <c r="S764" s="112" t="s">
        <v>3043</v>
      </c>
    </row>
    <row r="765" spans="1:19" ht="60">
      <c r="A765" s="173"/>
      <c r="B765" s="150" t="s">
        <v>1550</v>
      </c>
      <c r="C765" s="146" t="s">
        <v>4</v>
      </c>
      <c r="D765" s="147">
        <v>19</v>
      </c>
      <c r="E765" s="148"/>
      <c r="F765" s="334">
        <v>19</v>
      </c>
      <c r="G765" s="112" t="s">
        <v>3043</v>
      </c>
      <c r="H765" s="120" t="s">
        <v>3068</v>
      </c>
      <c r="I765" s="120" t="s">
        <v>2748</v>
      </c>
      <c r="J765" s="120" t="s">
        <v>772</v>
      </c>
      <c r="K765" s="110">
        <v>130500</v>
      </c>
      <c r="L765" s="110"/>
      <c r="M765" s="110">
        <v>116300</v>
      </c>
      <c r="N765" s="110"/>
      <c r="O765" s="110"/>
      <c r="P765" s="110">
        <f t="shared" si="261"/>
        <v>246800</v>
      </c>
      <c r="Q765" s="110">
        <f t="shared" si="262"/>
        <v>4689200</v>
      </c>
      <c r="R765" s="110">
        <f t="shared" si="263"/>
        <v>4689200</v>
      </c>
      <c r="S765" s="112" t="s">
        <v>3043</v>
      </c>
    </row>
    <row r="766" spans="1:19" ht="60">
      <c r="A766" s="173"/>
      <c r="B766" s="150" t="s">
        <v>1424</v>
      </c>
      <c r="C766" s="146" t="s">
        <v>4</v>
      </c>
      <c r="D766" s="147">
        <v>22</v>
      </c>
      <c r="E766" s="148"/>
      <c r="F766" s="334">
        <v>22</v>
      </c>
      <c r="G766" s="112" t="s">
        <v>3043</v>
      </c>
      <c r="H766" s="120" t="s">
        <v>3068</v>
      </c>
      <c r="I766" s="120" t="s">
        <v>2748</v>
      </c>
      <c r="J766" s="120" t="s">
        <v>772</v>
      </c>
      <c r="K766" s="110">
        <v>130500</v>
      </c>
      <c r="L766" s="110"/>
      <c r="M766" s="110">
        <v>116300</v>
      </c>
      <c r="N766" s="110"/>
      <c r="O766" s="110"/>
      <c r="P766" s="110">
        <f t="shared" si="261"/>
        <v>246800</v>
      </c>
      <c r="Q766" s="110">
        <f t="shared" si="262"/>
        <v>5429600</v>
      </c>
      <c r="R766" s="110">
        <f t="shared" si="263"/>
        <v>5429600</v>
      </c>
      <c r="S766" s="112" t="s">
        <v>3043</v>
      </c>
    </row>
    <row r="767" spans="1:19">
      <c r="A767" s="142">
        <v>8</v>
      </c>
      <c r="B767" s="153" t="s">
        <v>1414</v>
      </c>
      <c r="C767" s="142"/>
      <c r="D767" s="143"/>
      <c r="E767" s="144"/>
      <c r="F767" s="50"/>
      <c r="G767" s="120"/>
      <c r="H767" s="120"/>
      <c r="I767" s="120"/>
      <c r="J767" s="120"/>
      <c r="K767" s="50"/>
      <c r="L767" s="50"/>
      <c r="M767" s="50"/>
      <c r="N767" s="50"/>
      <c r="O767" s="50"/>
      <c r="P767" s="50"/>
      <c r="Q767" s="50"/>
      <c r="R767" s="50"/>
      <c r="S767" s="50"/>
    </row>
    <row r="768" spans="1:19" ht="30">
      <c r="A768" s="142"/>
      <c r="B768" s="153" t="s">
        <v>1257</v>
      </c>
      <c r="C768" s="142" t="s">
        <v>4</v>
      </c>
      <c r="D768" s="143">
        <v>5</v>
      </c>
      <c r="E768" s="144"/>
      <c r="F768" s="334">
        <v>5</v>
      </c>
      <c r="G768" s="112" t="s">
        <v>3000</v>
      </c>
      <c r="H768" s="120" t="s">
        <v>3082</v>
      </c>
      <c r="I768" s="120" t="s">
        <v>2748</v>
      </c>
      <c r="J768" s="120" t="s">
        <v>772</v>
      </c>
      <c r="K768" s="110">
        <v>78200</v>
      </c>
      <c r="L768" s="110"/>
      <c r="M768" s="110">
        <v>77500</v>
      </c>
      <c r="N768" s="110"/>
      <c r="O768" s="110"/>
      <c r="P768" s="110">
        <f t="shared" ref="P768:P774" si="264">K768+L768+M768+N768+O768</f>
        <v>155700</v>
      </c>
      <c r="Q768" s="110">
        <f t="shared" ref="Q768:Q774" si="265">$P768*D768</f>
        <v>778500</v>
      </c>
      <c r="R768" s="110">
        <f t="shared" ref="R768:R774" si="266">$P768*F768</f>
        <v>778500</v>
      </c>
      <c r="S768" s="112" t="s">
        <v>3000</v>
      </c>
    </row>
    <row r="769" spans="1:19" ht="30">
      <c r="A769" s="142"/>
      <c r="B769" s="153" t="s">
        <v>1388</v>
      </c>
      <c r="C769" s="142" t="s">
        <v>4</v>
      </c>
      <c r="D769" s="143">
        <v>4</v>
      </c>
      <c r="E769" s="144"/>
      <c r="F769" s="334">
        <v>4</v>
      </c>
      <c r="G769" s="112" t="s">
        <v>3000</v>
      </c>
      <c r="H769" s="120" t="s">
        <v>3083</v>
      </c>
      <c r="I769" s="120" t="s">
        <v>2748</v>
      </c>
      <c r="J769" s="120" t="s">
        <v>772</v>
      </c>
      <c r="K769" s="110">
        <v>67700</v>
      </c>
      <c r="L769" s="110"/>
      <c r="M769" s="110">
        <v>77500</v>
      </c>
      <c r="N769" s="110"/>
      <c r="O769" s="110"/>
      <c r="P769" s="110">
        <f t="shared" si="264"/>
        <v>145200</v>
      </c>
      <c r="Q769" s="110">
        <f t="shared" si="265"/>
        <v>580800</v>
      </c>
      <c r="R769" s="110">
        <f t="shared" si="266"/>
        <v>580800</v>
      </c>
      <c r="S769" s="112" t="s">
        <v>3000</v>
      </c>
    </row>
    <row r="770" spans="1:19" ht="30">
      <c r="A770" s="142"/>
      <c r="B770" s="153" t="s">
        <v>1250</v>
      </c>
      <c r="C770" s="142" t="s">
        <v>4</v>
      </c>
      <c r="D770" s="143">
        <v>32</v>
      </c>
      <c r="E770" s="144"/>
      <c r="F770" s="334">
        <v>32</v>
      </c>
      <c r="G770" s="112" t="s">
        <v>2990</v>
      </c>
      <c r="H770" s="120" t="s">
        <v>3050</v>
      </c>
      <c r="I770" s="120" t="s">
        <v>2748</v>
      </c>
      <c r="J770" s="120" t="s">
        <v>772</v>
      </c>
      <c r="K770" s="110">
        <v>72500</v>
      </c>
      <c r="L770" s="110"/>
      <c r="M770" s="110">
        <v>62000</v>
      </c>
      <c r="N770" s="110"/>
      <c r="O770" s="110"/>
      <c r="P770" s="110">
        <f t="shared" si="264"/>
        <v>134500</v>
      </c>
      <c r="Q770" s="110">
        <f t="shared" si="265"/>
        <v>4304000</v>
      </c>
      <c r="R770" s="110">
        <f t="shared" si="266"/>
        <v>4304000</v>
      </c>
      <c r="S770" s="112" t="s">
        <v>2990</v>
      </c>
    </row>
    <row r="771" spans="1:19" ht="30">
      <c r="A771" s="142"/>
      <c r="B771" s="153" t="s">
        <v>1252</v>
      </c>
      <c r="C771" s="142" t="s">
        <v>4</v>
      </c>
      <c r="D771" s="143">
        <v>42</v>
      </c>
      <c r="E771" s="144"/>
      <c r="F771" s="334">
        <v>42</v>
      </c>
      <c r="G771" s="112" t="s">
        <v>2990</v>
      </c>
      <c r="H771" s="120" t="s">
        <v>3051</v>
      </c>
      <c r="I771" s="120" t="s">
        <v>2748</v>
      </c>
      <c r="J771" s="120" t="s">
        <v>772</v>
      </c>
      <c r="K771" s="110">
        <v>46800</v>
      </c>
      <c r="L771" s="110"/>
      <c r="M771" s="110">
        <v>49600</v>
      </c>
      <c r="N771" s="110"/>
      <c r="O771" s="110"/>
      <c r="P771" s="110">
        <f t="shared" si="264"/>
        <v>96400</v>
      </c>
      <c r="Q771" s="110">
        <f t="shared" si="265"/>
        <v>4048800</v>
      </c>
      <c r="R771" s="110">
        <f t="shared" si="266"/>
        <v>4048800</v>
      </c>
      <c r="S771" s="112" t="s">
        <v>2990</v>
      </c>
    </row>
    <row r="772" spans="1:19" ht="30">
      <c r="A772" s="142"/>
      <c r="B772" s="153" t="s">
        <v>1424</v>
      </c>
      <c r="C772" s="142" t="s">
        <v>4</v>
      </c>
      <c r="D772" s="143">
        <v>6</v>
      </c>
      <c r="E772" s="144"/>
      <c r="F772" s="334">
        <v>6</v>
      </c>
      <c r="G772" s="112" t="s">
        <v>2990</v>
      </c>
      <c r="H772" s="120" t="s">
        <v>3088</v>
      </c>
      <c r="I772" s="120" t="s">
        <v>2748</v>
      </c>
      <c r="J772" s="120" t="s">
        <v>772</v>
      </c>
      <c r="K772" s="110">
        <v>10200</v>
      </c>
      <c r="L772" s="110"/>
      <c r="M772" s="110">
        <v>40300</v>
      </c>
      <c r="N772" s="110"/>
      <c r="O772" s="110"/>
      <c r="P772" s="110">
        <f t="shared" si="264"/>
        <v>50500</v>
      </c>
      <c r="Q772" s="110">
        <f t="shared" si="265"/>
        <v>303000</v>
      </c>
      <c r="R772" s="110">
        <f t="shared" si="266"/>
        <v>303000</v>
      </c>
      <c r="S772" s="112" t="s">
        <v>2990</v>
      </c>
    </row>
    <row r="773" spans="1:19" ht="30">
      <c r="A773" s="142"/>
      <c r="B773" s="153" t="s">
        <v>1438</v>
      </c>
      <c r="C773" s="142" t="s">
        <v>4</v>
      </c>
      <c r="D773" s="143">
        <v>7</v>
      </c>
      <c r="E773" s="144"/>
      <c r="F773" s="334">
        <v>7</v>
      </c>
      <c r="G773" s="112" t="s">
        <v>2996</v>
      </c>
      <c r="H773" s="120" t="s">
        <v>3086</v>
      </c>
      <c r="I773" s="120" t="s">
        <v>2748</v>
      </c>
      <c r="J773" s="120" t="s">
        <v>772</v>
      </c>
      <c r="K773" s="110">
        <v>15900</v>
      </c>
      <c r="L773" s="110"/>
      <c r="M773" s="110">
        <v>31000</v>
      </c>
      <c r="N773" s="110"/>
      <c r="O773" s="110"/>
      <c r="P773" s="110">
        <f t="shared" si="264"/>
        <v>46900</v>
      </c>
      <c r="Q773" s="110">
        <f t="shared" si="265"/>
        <v>328300</v>
      </c>
      <c r="R773" s="110">
        <f t="shared" si="266"/>
        <v>328300</v>
      </c>
      <c r="S773" s="112" t="s">
        <v>2996</v>
      </c>
    </row>
    <row r="774" spans="1:19" ht="30">
      <c r="A774" s="142"/>
      <c r="B774" s="153" t="s">
        <v>1471</v>
      </c>
      <c r="C774" s="142" t="s">
        <v>4</v>
      </c>
      <c r="D774" s="143">
        <v>13</v>
      </c>
      <c r="E774" s="144"/>
      <c r="F774" s="334">
        <v>13</v>
      </c>
      <c r="G774" s="112" t="s">
        <v>3000</v>
      </c>
      <c r="H774" s="120" t="s">
        <v>3089</v>
      </c>
      <c r="I774" s="120" t="s">
        <v>2748</v>
      </c>
      <c r="J774" s="120" t="s">
        <v>772</v>
      </c>
      <c r="K774" s="110">
        <v>3300</v>
      </c>
      <c r="L774" s="110"/>
      <c r="M774" s="110">
        <v>24800</v>
      </c>
      <c r="N774" s="110"/>
      <c r="O774" s="110"/>
      <c r="P774" s="110">
        <f t="shared" si="264"/>
        <v>28100</v>
      </c>
      <c r="Q774" s="110">
        <f t="shared" si="265"/>
        <v>365300</v>
      </c>
      <c r="R774" s="110">
        <f t="shared" si="266"/>
        <v>365300</v>
      </c>
      <c r="S774" s="112" t="s">
        <v>3000</v>
      </c>
    </row>
    <row r="775" spans="1:19">
      <c r="A775" s="142">
        <v>9</v>
      </c>
      <c r="B775" s="153" t="s">
        <v>1479</v>
      </c>
      <c r="C775" s="142"/>
      <c r="D775" s="143"/>
      <c r="E775" s="144"/>
      <c r="F775" s="82"/>
      <c r="G775" s="121"/>
      <c r="H775" s="121"/>
      <c r="I775" s="121"/>
      <c r="J775" s="121"/>
      <c r="K775" s="82"/>
      <c r="L775" s="82"/>
      <c r="M775" s="82"/>
      <c r="N775" s="82"/>
      <c r="O775" s="82"/>
      <c r="P775" s="82"/>
      <c r="Q775" s="82"/>
      <c r="R775" s="82"/>
      <c r="S775" s="375"/>
    </row>
    <row r="776" spans="1:19" ht="30">
      <c r="A776" s="142"/>
      <c r="B776" s="153" t="s">
        <v>1471</v>
      </c>
      <c r="C776" s="142" t="s">
        <v>4</v>
      </c>
      <c r="D776" s="143">
        <v>70</v>
      </c>
      <c r="E776" s="144"/>
      <c r="F776" s="334">
        <v>70</v>
      </c>
      <c r="G776" s="112" t="s">
        <v>3000</v>
      </c>
      <c r="H776" s="120" t="s">
        <v>3128</v>
      </c>
      <c r="I776" s="120" t="s">
        <v>2748</v>
      </c>
      <c r="J776" s="120" t="s">
        <v>772</v>
      </c>
      <c r="K776" s="110">
        <v>27400</v>
      </c>
      <c r="L776" s="110"/>
      <c r="M776" s="110">
        <v>24800</v>
      </c>
      <c r="N776" s="110"/>
      <c r="O776" s="110"/>
      <c r="P776" s="110">
        <f>K776+L776+M776+N776+O776</f>
        <v>52200</v>
      </c>
      <c r="Q776" s="110">
        <f>$P776*D776</f>
        <v>3654000</v>
      </c>
      <c r="R776" s="110">
        <f>$P776*F776</f>
        <v>3654000</v>
      </c>
      <c r="S776" s="112" t="s">
        <v>3000</v>
      </c>
    </row>
    <row r="777" spans="1:19">
      <c r="A777" s="142">
        <v>10</v>
      </c>
      <c r="B777" s="153" t="s">
        <v>1480</v>
      </c>
      <c r="C777" s="142"/>
      <c r="D777" s="143"/>
      <c r="E777" s="144"/>
      <c r="F777" s="50"/>
      <c r="G777" s="120"/>
      <c r="H777" s="120"/>
      <c r="I777" s="120"/>
      <c r="J777" s="120"/>
      <c r="K777" s="50"/>
      <c r="L777" s="50"/>
      <c r="M777" s="50"/>
      <c r="N777" s="50"/>
      <c r="O777" s="50"/>
      <c r="P777" s="50"/>
      <c r="Q777" s="50"/>
      <c r="R777" s="50"/>
      <c r="S777" s="50"/>
    </row>
    <row r="778" spans="1:19" ht="30">
      <c r="A778" s="142"/>
      <c r="B778" s="153" t="s">
        <v>1252</v>
      </c>
      <c r="C778" s="142" t="s">
        <v>4</v>
      </c>
      <c r="D778" s="143">
        <v>91</v>
      </c>
      <c r="E778" s="144"/>
      <c r="F778" s="334">
        <v>91</v>
      </c>
      <c r="G778" s="112" t="s">
        <v>3000</v>
      </c>
      <c r="H778" s="120" t="s">
        <v>3125</v>
      </c>
      <c r="I778" s="120" t="s">
        <v>2748</v>
      </c>
      <c r="J778" s="120" t="s">
        <v>772</v>
      </c>
      <c r="K778" s="110">
        <v>134800</v>
      </c>
      <c r="L778" s="110"/>
      <c r="M778" s="110">
        <v>49600</v>
      </c>
      <c r="N778" s="110"/>
      <c r="O778" s="110"/>
      <c r="P778" s="110">
        <f>K778+L778+M778+N778+O778</f>
        <v>184400</v>
      </c>
      <c r="Q778" s="110">
        <f>$P778*D778</f>
        <v>16780400</v>
      </c>
      <c r="R778" s="110">
        <f>$P778*F778</f>
        <v>16780400</v>
      </c>
      <c r="S778" s="112" t="s">
        <v>3000</v>
      </c>
    </row>
    <row r="779" spans="1:19">
      <c r="A779" s="142">
        <v>11</v>
      </c>
      <c r="B779" s="153" t="s">
        <v>1419</v>
      </c>
      <c r="C779" s="142"/>
      <c r="D779" s="143"/>
      <c r="E779" s="144"/>
      <c r="F779" s="50"/>
      <c r="G779" s="120"/>
      <c r="H779" s="120"/>
      <c r="I779" s="120"/>
      <c r="J779" s="120"/>
      <c r="K779" s="50"/>
      <c r="L779" s="50"/>
      <c r="M779" s="50"/>
      <c r="N779" s="50"/>
      <c r="O779" s="50"/>
      <c r="P779" s="50"/>
      <c r="Q779" s="50"/>
      <c r="R779" s="50"/>
      <c r="S779" s="50"/>
    </row>
    <row r="780" spans="1:19" ht="30">
      <c r="A780" s="142"/>
      <c r="B780" s="153" t="s">
        <v>1257</v>
      </c>
      <c r="C780" s="142" t="s">
        <v>4</v>
      </c>
      <c r="D780" s="143">
        <v>41</v>
      </c>
      <c r="E780" s="144"/>
      <c r="F780" s="334">
        <v>41</v>
      </c>
      <c r="G780" s="112" t="s">
        <v>3101</v>
      </c>
      <c r="H780" s="120" t="s">
        <v>3106</v>
      </c>
      <c r="I780" s="120" t="s">
        <v>2748</v>
      </c>
      <c r="J780" s="120" t="s">
        <v>772</v>
      </c>
      <c r="K780" s="110">
        <v>62700</v>
      </c>
      <c r="L780" s="110"/>
      <c r="M780" s="110">
        <v>77500</v>
      </c>
      <c r="N780" s="110"/>
      <c r="O780" s="110"/>
      <c r="P780" s="110">
        <f t="shared" ref="P780:P786" si="267">K780+L780+M780+N780+O780</f>
        <v>140200</v>
      </c>
      <c r="Q780" s="110">
        <f t="shared" ref="Q780:Q786" si="268">$P780*D780</f>
        <v>5748200</v>
      </c>
      <c r="R780" s="110">
        <f t="shared" ref="R780:R786" si="269">$P780*F780</f>
        <v>5748200</v>
      </c>
      <c r="S780" s="112" t="s">
        <v>3101</v>
      </c>
    </row>
    <row r="781" spans="1:19" ht="30">
      <c r="A781" s="142"/>
      <c r="B781" s="153" t="s">
        <v>1388</v>
      </c>
      <c r="C781" s="142" t="s">
        <v>4</v>
      </c>
      <c r="D781" s="143">
        <v>51</v>
      </c>
      <c r="E781" s="144"/>
      <c r="F781" s="334">
        <v>51</v>
      </c>
      <c r="G781" s="112" t="s">
        <v>3101</v>
      </c>
      <c r="H781" s="120" t="s">
        <v>3107</v>
      </c>
      <c r="I781" s="120" t="s">
        <v>2748</v>
      </c>
      <c r="J781" s="120" t="s">
        <v>772</v>
      </c>
      <c r="K781" s="110">
        <v>44700</v>
      </c>
      <c r="L781" s="110"/>
      <c r="M781" s="110">
        <v>77500</v>
      </c>
      <c r="N781" s="110"/>
      <c r="O781" s="110"/>
      <c r="P781" s="110">
        <f t="shared" si="267"/>
        <v>122200</v>
      </c>
      <c r="Q781" s="110">
        <f t="shared" si="268"/>
        <v>6232200</v>
      </c>
      <c r="R781" s="110">
        <f t="shared" si="269"/>
        <v>6232200</v>
      </c>
      <c r="S781" s="112" t="s">
        <v>3101</v>
      </c>
    </row>
    <row r="782" spans="1:19" ht="30">
      <c r="A782" s="142"/>
      <c r="B782" s="153" t="s">
        <v>1250</v>
      </c>
      <c r="C782" s="142" t="s">
        <v>4</v>
      </c>
      <c r="D782" s="143">
        <v>74</v>
      </c>
      <c r="E782" s="144"/>
      <c r="F782" s="334">
        <v>74</v>
      </c>
      <c r="G782" s="112" t="s">
        <v>3101</v>
      </c>
      <c r="H782" s="120" t="s">
        <v>3108</v>
      </c>
      <c r="I782" s="120" t="s">
        <v>2748</v>
      </c>
      <c r="J782" s="120" t="s">
        <v>772</v>
      </c>
      <c r="K782" s="110">
        <v>35900</v>
      </c>
      <c r="L782" s="110"/>
      <c r="M782" s="110">
        <v>62000</v>
      </c>
      <c r="N782" s="110"/>
      <c r="O782" s="110"/>
      <c r="P782" s="110">
        <f t="shared" si="267"/>
        <v>97900</v>
      </c>
      <c r="Q782" s="110">
        <f t="shared" si="268"/>
        <v>7244600</v>
      </c>
      <c r="R782" s="110">
        <f t="shared" si="269"/>
        <v>7244600</v>
      </c>
      <c r="S782" s="112" t="s">
        <v>3101</v>
      </c>
    </row>
    <row r="783" spans="1:19" ht="30">
      <c r="A783" s="142"/>
      <c r="B783" s="153" t="s">
        <v>1252</v>
      </c>
      <c r="C783" s="142" t="s">
        <v>4</v>
      </c>
      <c r="D783" s="143">
        <v>93</v>
      </c>
      <c r="E783" s="144"/>
      <c r="F783" s="334">
        <v>93</v>
      </c>
      <c r="G783" s="112" t="s">
        <v>3101</v>
      </c>
      <c r="H783" s="120" t="s">
        <v>3109</v>
      </c>
      <c r="I783" s="120" t="s">
        <v>2748</v>
      </c>
      <c r="J783" s="120" t="s">
        <v>772</v>
      </c>
      <c r="K783" s="110">
        <v>24300</v>
      </c>
      <c r="L783" s="110"/>
      <c r="M783" s="110">
        <v>49600</v>
      </c>
      <c r="N783" s="110"/>
      <c r="O783" s="110"/>
      <c r="P783" s="110">
        <f t="shared" si="267"/>
        <v>73900</v>
      </c>
      <c r="Q783" s="110">
        <f t="shared" si="268"/>
        <v>6872700</v>
      </c>
      <c r="R783" s="110">
        <f t="shared" si="269"/>
        <v>6872700</v>
      </c>
      <c r="S783" s="112" t="s">
        <v>3101</v>
      </c>
    </row>
    <row r="784" spans="1:19" ht="30">
      <c r="A784" s="142"/>
      <c r="B784" s="153" t="s">
        <v>1424</v>
      </c>
      <c r="C784" s="142" t="s">
        <v>4</v>
      </c>
      <c r="D784" s="143">
        <v>1</v>
      </c>
      <c r="E784" s="144"/>
      <c r="F784" s="334">
        <v>1</v>
      </c>
      <c r="G784" s="112" t="s">
        <v>3101</v>
      </c>
      <c r="H784" s="120" t="s">
        <v>3110</v>
      </c>
      <c r="I784" s="120" t="s">
        <v>2748</v>
      </c>
      <c r="J784" s="120" t="s">
        <v>772</v>
      </c>
      <c r="K784" s="110">
        <v>16100</v>
      </c>
      <c r="L784" s="110"/>
      <c r="M784" s="110">
        <v>40300</v>
      </c>
      <c r="N784" s="110"/>
      <c r="O784" s="110"/>
      <c r="P784" s="110">
        <f t="shared" si="267"/>
        <v>56400</v>
      </c>
      <c r="Q784" s="110">
        <f t="shared" si="268"/>
        <v>56400</v>
      </c>
      <c r="R784" s="110">
        <f t="shared" si="269"/>
        <v>56400</v>
      </c>
      <c r="S784" s="112" t="s">
        <v>3101</v>
      </c>
    </row>
    <row r="785" spans="1:19" ht="30">
      <c r="A785" s="142"/>
      <c r="B785" s="153" t="s">
        <v>1438</v>
      </c>
      <c r="C785" s="142" t="s">
        <v>4</v>
      </c>
      <c r="D785" s="143">
        <v>19</v>
      </c>
      <c r="E785" s="144"/>
      <c r="F785" s="334">
        <v>19</v>
      </c>
      <c r="G785" s="112" t="s">
        <v>3101</v>
      </c>
      <c r="H785" s="120" t="s">
        <v>3111</v>
      </c>
      <c r="I785" s="120" t="s">
        <v>2748</v>
      </c>
      <c r="J785" s="120" t="s">
        <v>772</v>
      </c>
      <c r="K785" s="110">
        <v>11100</v>
      </c>
      <c r="L785" s="110"/>
      <c r="M785" s="110">
        <v>31000</v>
      </c>
      <c r="N785" s="110"/>
      <c r="O785" s="110"/>
      <c r="P785" s="110">
        <f t="shared" si="267"/>
        <v>42100</v>
      </c>
      <c r="Q785" s="110">
        <f t="shared" si="268"/>
        <v>799900</v>
      </c>
      <c r="R785" s="110">
        <f t="shared" si="269"/>
        <v>799900</v>
      </c>
      <c r="S785" s="112" t="s">
        <v>3101</v>
      </c>
    </row>
    <row r="786" spans="1:19" ht="30">
      <c r="A786" s="142"/>
      <c r="B786" s="153" t="s">
        <v>1471</v>
      </c>
      <c r="C786" s="142" t="s">
        <v>4</v>
      </c>
      <c r="D786" s="143">
        <v>95</v>
      </c>
      <c r="E786" s="144"/>
      <c r="F786" s="334">
        <v>95</v>
      </c>
      <c r="G786" s="112" t="s">
        <v>3101</v>
      </c>
      <c r="H786" s="120" t="s">
        <v>3113</v>
      </c>
      <c r="I786" s="120" t="s">
        <v>2748</v>
      </c>
      <c r="J786" s="120" t="s">
        <v>772</v>
      </c>
      <c r="K786" s="110">
        <v>2200</v>
      </c>
      <c r="L786" s="110"/>
      <c r="M786" s="110">
        <v>24800</v>
      </c>
      <c r="N786" s="110"/>
      <c r="O786" s="110"/>
      <c r="P786" s="110">
        <f t="shared" si="267"/>
        <v>27000</v>
      </c>
      <c r="Q786" s="110">
        <f t="shared" si="268"/>
        <v>2565000</v>
      </c>
      <c r="R786" s="110">
        <f t="shared" si="269"/>
        <v>2565000</v>
      </c>
      <c r="S786" s="112" t="s">
        <v>3101</v>
      </c>
    </row>
    <row r="787" spans="1:19">
      <c r="A787" s="142">
        <v>12</v>
      </c>
      <c r="B787" s="153" t="s">
        <v>1551</v>
      </c>
      <c r="C787" s="142"/>
      <c r="D787" s="143"/>
      <c r="E787" s="144"/>
      <c r="F787" s="57"/>
      <c r="G787" s="121"/>
      <c r="H787" s="121"/>
      <c r="I787" s="121"/>
      <c r="J787" s="121"/>
      <c r="K787" s="57"/>
      <c r="L787" s="57"/>
      <c r="M787" s="57"/>
      <c r="N787" s="57"/>
      <c r="O787" s="57"/>
      <c r="P787" s="57"/>
      <c r="Q787" s="57"/>
      <c r="R787" s="57"/>
      <c r="S787" s="50"/>
    </row>
    <row r="788" spans="1:19" ht="30">
      <c r="A788" s="142"/>
      <c r="B788" s="153" t="s">
        <v>1257</v>
      </c>
      <c r="C788" s="142" t="s">
        <v>4</v>
      </c>
      <c r="D788" s="143">
        <v>1</v>
      </c>
      <c r="E788" s="144"/>
      <c r="F788" s="334">
        <v>1</v>
      </c>
      <c r="G788" s="112" t="s">
        <v>2701</v>
      </c>
      <c r="H788" s="120" t="s">
        <v>2702</v>
      </c>
      <c r="I788" s="120" t="s">
        <v>2689</v>
      </c>
      <c r="J788" s="120" t="s">
        <v>772</v>
      </c>
      <c r="K788" s="110">
        <v>655000</v>
      </c>
      <c r="L788" s="110"/>
      <c r="M788" s="110">
        <v>193800</v>
      </c>
      <c r="N788" s="110"/>
      <c r="O788" s="110"/>
      <c r="P788" s="110">
        <f t="shared" ref="P788:P792" si="270">K788+L788+M788+N788+O788</f>
        <v>848800</v>
      </c>
      <c r="Q788" s="110">
        <f t="shared" ref="Q788:Q792" si="271">$P788*D788</f>
        <v>848800</v>
      </c>
      <c r="R788" s="110">
        <f t="shared" ref="R788:R792" si="272">$P788*F788</f>
        <v>848800</v>
      </c>
      <c r="S788" s="112" t="s">
        <v>2701</v>
      </c>
    </row>
    <row r="789" spans="1:19" ht="30">
      <c r="A789" s="142"/>
      <c r="B789" s="153" t="s">
        <v>1388</v>
      </c>
      <c r="C789" s="142" t="s">
        <v>4</v>
      </c>
      <c r="D789" s="143">
        <v>13</v>
      </c>
      <c r="E789" s="144"/>
      <c r="F789" s="334">
        <v>13</v>
      </c>
      <c r="G789" s="112" t="s">
        <v>2701</v>
      </c>
      <c r="H789" s="120" t="s">
        <v>2702</v>
      </c>
      <c r="I789" s="120" t="s">
        <v>2689</v>
      </c>
      <c r="J789" s="120" t="s">
        <v>772</v>
      </c>
      <c r="K789" s="110">
        <v>655000</v>
      </c>
      <c r="L789" s="110"/>
      <c r="M789" s="110">
        <v>152100</v>
      </c>
      <c r="N789" s="110"/>
      <c r="O789" s="110"/>
      <c r="P789" s="110">
        <f t="shared" si="270"/>
        <v>807100</v>
      </c>
      <c r="Q789" s="110">
        <f t="shared" si="271"/>
        <v>10492300</v>
      </c>
      <c r="R789" s="110">
        <f t="shared" si="272"/>
        <v>10492300</v>
      </c>
      <c r="S789" s="112" t="s">
        <v>2701</v>
      </c>
    </row>
    <row r="790" spans="1:19" ht="30">
      <c r="A790" s="142"/>
      <c r="B790" s="153" t="s">
        <v>1250</v>
      </c>
      <c r="C790" s="142" t="s">
        <v>4</v>
      </c>
      <c r="D790" s="143">
        <v>20</v>
      </c>
      <c r="E790" s="144"/>
      <c r="F790" s="334">
        <v>20</v>
      </c>
      <c r="G790" s="112" t="s">
        <v>2703</v>
      </c>
      <c r="H790" s="120" t="s">
        <v>2704</v>
      </c>
      <c r="I790" s="120" t="s">
        <v>2689</v>
      </c>
      <c r="J790" s="120" t="s">
        <v>772</v>
      </c>
      <c r="K790" s="110">
        <v>366800</v>
      </c>
      <c r="L790" s="110"/>
      <c r="M790" s="110">
        <v>152100</v>
      </c>
      <c r="N790" s="110"/>
      <c r="O790" s="110"/>
      <c r="P790" s="110">
        <f t="shared" si="270"/>
        <v>518900</v>
      </c>
      <c r="Q790" s="110">
        <f t="shared" si="271"/>
        <v>10378000</v>
      </c>
      <c r="R790" s="110">
        <f t="shared" si="272"/>
        <v>10378000</v>
      </c>
      <c r="S790" s="112" t="s">
        <v>2703</v>
      </c>
    </row>
    <row r="791" spans="1:19" ht="30">
      <c r="A791" s="142"/>
      <c r="B791" s="153" t="s">
        <v>1252</v>
      </c>
      <c r="C791" s="142" t="s">
        <v>4</v>
      </c>
      <c r="D791" s="143">
        <v>36</v>
      </c>
      <c r="E791" s="144"/>
      <c r="F791" s="334">
        <v>36</v>
      </c>
      <c r="G791" s="112" t="s">
        <v>2705</v>
      </c>
      <c r="H791" s="120" t="s">
        <v>2706</v>
      </c>
      <c r="I791" s="120" t="s">
        <v>2689</v>
      </c>
      <c r="J791" s="120" t="s">
        <v>772</v>
      </c>
      <c r="K791" s="110">
        <v>340600</v>
      </c>
      <c r="L791" s="110"/>
      <c r="M791" s="110">
        <v>124000</v>
      </c>
      <c r="N791" s="110"/>
      <c r="O791" s="110"/>
      <c r="P791" s="110">
        <f t="shared" si="270"/>
        <v>464600</v>
      </c>
      <c r="Q791" s="110">
        <f t="shared" si="271"/>
        <v>16725600</v>
      </c>
      <c r="R791" s="110">
        <f t="shared" si="272"/>
        <v>16725600</v>
      </c>
      <c r="S791" s="112" t="s">
        <v>2705</v>
      </c>
    </row>
    <row r="792" spans="1:19" ht="30">
      <c r="A792" s="142"/>
      <c r="B792" s="153" t="s">
        <v>1424</v>
      </c>
      <c r="C792" s="142" t="s">
        <v>4</v>
      </c>
      <c r="D792" s="143">
        <v>14</v>
      </c>
      <c r="E792" s="144"/>
      <c r="F792" s="334">
        <v>14</v>
      </c>
      <c r="G792" s="112" t="s">
        <v>2705</v>
      </c>
      <c r="H792" s="120" t="s">
        <v>2706</v>
      </c>
      <c r="I792" s="120" t="s">
        <v>2689</v>
      </c>
      <c r="J792" s="120" t="s">
        <v>772</v>
      </c>
      <c r="K792" s="110">
        <v>340600</v>
      </c>
      <c r="L792" s="110"/>
      <c r="M792" s="110">
        <v>100800</v>
      </c>
      <c r="N792" s="110"/>
      <c r="O792" s="110"/>
      <c r="P792" s="110">
        <f t="shared" si="270"/>
        <v>441400</v>
      </c>
      <c r="Q792" s="110">
        <f t="shared" si="271"/>
        <v>6179600</v>
      </c>
      <c r="R792" s="110">
        <f t="shared" si="272"/>
        <v>6179600</v>
      </c>
      <c r="S792" s="112" t="s">
        <v>2705</v>
      </c>
    </row>
    <row r="793" spans="1:19">
      <c r="A793" s="142">
        <v>13</v>
      </c>
      <c r="B793" s="153" t="s">
        <v>1538</v>
      </c>
      <c r="C793" s="142"/>
      <c r="D793" s="143"/>
      <c r="E793" s="144"/>
      <c r="F793" s="83"/>
      <c r="G793" s="120"/>
      <c r="H793" s="120"/>
      <c r="I793" s="120"/>
      <c r="J793" s="120"/>
      <c r="K793" s="83"/>
      <c r="L793" s="83"/>
      <c r="M793" s="83"/>
      <c r="N793" s="83"/>
      <c r="O793" s="83"/>
      <c r="P793" s="83"/>
      <c r="Q793" s="83"/>
      <c r="R793" s="83"/>
      <c r="S793" s="83"/>
    </row>
    <row r="794" spans="1:19">
      <c r="A794" s="142"/>
      <c r="B794" s="153" t="s">
        <v>1539</v>
      </c>
      <c r="C794" s="142" t="s">
        <v>17</v>
      </c>
      <c r="D794" s="143">
        <v>1</v>
      </c>
      <c r="E794" s="144"/>
      <c r="F794" s="334">
        <v>1</v>
      </c>
      <c r="G794" s="112">
        <v>0</v>
      </c>
      <c r="H794" s="120">
        <v>0</v>
      </c>
      <c r="I794" s="120">
        <v>0</v>
      </c>
      <c r="J794" s="120">
        <v>0</v>
      </c>
      <c r="K794" s="110">
        <v>10581600</v>
      </c>
      <c r="L794" s="110"/>
      <c r="M794" s="110">
        <v>0</v>
      </c>
      <c r="N794" s="110"/>
      <c r="O794" s="110"/>
      <c r="P794" s="110">
        <f t="shared" ref="P794:P800" si="273">K794+L794+M794+N794+O794</f>
        <v>10581600</v>
      </c>
      <c r="Q794" s="110">
        <f t="shared" ref="Q794:Q800" si="274">$P794*D794</f>
        <v>10581600</v>
      </c>
      <c r="R794" s="110">
        <f t="shared" ref="R794:R800" si="275">$P794*F794</f>
        <v>10581600</v>
      </c>
      <c r="S794" s="112">
        <v>0</v>
      </c>
    </row>
    <row r="795" spans="1:19" ht="45">
      <c r="A795" s="173"/>
      <c r="B795" s="150" t="s">
        <v>1552</v>
      </c>
      <c r="C795" s="146" t="s">
        <v>4</v>
      </c>
      <c r="D795" s="147">
        <v>74</v>
      </c>
      <c r="E795" s="148"/>
      <c r="F795" s="334">
        <v>74</v>
      </c>
      <c r="G795" s="112" t="s">
        <v>3136</v>
      </c>
      <c r="H795" s="120">
        <v>0</v>
      </c>
      <c r="I795" s="120">
        <v>0</v>
      </c>
      <c r="J795" s="120" t="s">
        <v>772</v>
      </c>
      <c r="K795" s="110">
        <v>95800</v>
      </c>
      <c r="L795" s="110"/>
      <c r="M795" s="110">
        <v>229400</v>
      </c>
      <c r="N795" s="110"/>
      <c r="O795" s="110"/>
      <c r="P795" s="110">
        <f t="shared" si="273"/>
        <v>325200</v>
      </c>
      <c r="Q795" s="110">
        <f t="shared" si="274"/>
        <v>24064800</v>
      </c>
      <c r="R795" s="110">
        <f t="shared" si="275"/>
        <v>24064800</v>
      </c>
      <c r="S795" s="112" t="s">
        <v>3136</v>
      </c>
    </row>
    <row r="796" spans="1:19" ht="30">
      <c r="A796" s="173"/>
      <c r="B796" s="150" t="s">
        <v>1553</v>
      </c>
      <c r="C796" s="146" t="s">
        <v>4</v>
      </c>
      <c r="D796" s="147">
        <v>98</v>
      </c>
      <c r="E796" s="148"/>
      <c r="F796" s="334">
        <v>98</v>
      </c>
      <c r="G796" s="112">
        <v>0</v>
      </c>
      <c r="H796" s="120">
        <v>0</v>
      </c>
      <c r="I796" s="120">
        <v>0</v>
      </c>
      <c r="J796" s="120" t="s">
        <v>772</v>
      </c>
      <c r="K796" s="110">
        <v>42000</v>
      </c>
      <c r="L796" s="110"/>
      <c r="M796" s="110">
        <v>99700</v>
      </c>
      <c r="N796" s="110"/>
      <c r="O796" s="110"/>
      <c r="P796" s="110">
        <f t="shared" si="273"/>
        <v>141700</v>
      </c>
      <c r="Q796" s="110">
        <f t="shared" si="274"/>
        <v>13886600</v>
      </c>
      <c r="R796" s="110">
        <f t="shared" si="275"/>
        <v>13886600</v>
      </c>
      <c r="S796" s="112">
        <v>0</v>
      </c>
    </row>
    <row r="797" spans="1:19" ht="30">
      <c r="A797" s="173"/>
      <c r="B797" s="150" t="s">
        <v>1554</v>
      </c>
      <c r="C797" s="146" t="s">
        <v>4</v>
      </c>
      <c r="D797" s="147">
        <v>95</v>
      </c>
      <c r="E797" s="148"/>
      <c r="F797" s="334">
        <v>95</v>
      </c>
      <c r="G797" s="112">
        <v>0</v>
      </c>
      <c r="H797" s="120">
        <v>0</v>
      </c>
      <c r="I797" s="120">
        <v>0</v>
      </c>
      <c r="J797" s="120" t="s">
        <v>772</v>
      </c>
      <c r="K797" s="110">
        <v>42000</v>
      </c>
      <c r="L797" s="110"/>
      <c r="M797" s="110">
        <v>99700</v>
      </c>
      <c r="N797" s="110"/>
      <c r="O797" s="110"/>
      <c r="P797" s="110">
        <f t="shared" si="273"/>
        <v>141700</v>
      </c>
      <c r="Q797" s="110">
        <f t="shared" si="274"/>
        <v>13461500</v>
      </c>
      <c r="R797" s="110">
        <f t="shared" si="275"/>
        <v>13461500</v>
      </c>
      <c r="S797" s="112">
        <v>0</v>
      </c>
    </row>
    <row r="798" spans="1:19">
      <c r="A798" s="173"/>
      <c r="B798" s="150" t="s">
        <v>1451</v>
      </c>
      <c r="C798" s="146" t="s">
        <v>4</v>
      </c>
      <c r="D798" s="147">
        <v>74</v>
      </c>
      <c r="E798" s="148"/>
      <c r="F798" s="334">
        <v>74</v>
      </c>
      <c r="G798" s="112">
        <v>0</v>
      </c>
      <c r="H798" s="120">
        <v>0</v>
      </c>
      <c r="I798" s="120">
        <v>0</v>
      </c>
      <c r="J798" s="120" t="s">
        <v>772</v>
      </c>
      <c r="K798" s="110">
        <v>125700</v>
      </c>
      <c r="L798" s="110"/>
      <c r="M798" s="110">
        <v>102700</v>
      </c>
      <c r="N798" s="110"/>
      <c r="O798" s="110"/>
      <c r="P798" s="110">
        <f t="shared" si="273"/>
        <v>228400</v>
      </c>
      <c r="Q798" s="110">
        <f t="shared" si="274"/>
        <v>16901600</v>
      </c>
      <c r="R798" s="110">
        <f t="shared" si="275"/>
        <v>16901600</v>
      </c>
      <c r="S798" s="112">
        <v>0</v>
      </c>
    </row>
    <row r="799" spans="1:19">
      <c r="A799" s="173"/>
      <c r="B799" s="150" t="s">
        <v>1452</v>
      </c>
      <c r="C799" s="146" t="s">
        <v>4</v>
      </c>
      <c r="D799" s="147">
        <v>98</v>
      </c>
      <c r="E799" s="148"/>
      <c r="F799" s="334">
        <v>98</v>
      </c>
      <c r="G799" s="112">
        <v>0</v>
      </c>
      <c r="H799" s="120">
        <v>0</v>
      </c>
      <c r="I799" s="120">
        <v>0</v>
      </c>
      <c r="J799" s="120" t="s">
        <v>772</v>
      </c>
      <c r="K799" s="110">
        <v>115500</v>
      </c>
      <c r="L799" s="110"/>
      <c r="M799" s="110">
        <v>102700</v>
      </c>
      <c r="N799" s="110"/>
      <c r="O799" s="110"/>
      <c r="P799" s="110">
        <f t="shared" si="273"/>
        <v>218200</v>
      </c>
      <c r="Q799" s="110">
        <f t="shared" si="274"/>
        <v>21383600</v>
      </c>
      <c r="R799" s="110">
        <f t="shared" si="275"/>
        <v>21383600</v>
      </c>
      <c r="S799" s="112">
        <v>0</v>
      </c>
    </row>
    <row r="800" spans="1:19">
      <c r="A800" s="173"/>
      <c r="B800" s="150" t="s">
        <v>1487</v>
      </c>
      <c r="C800" s="146" t="s">
        <v>4</v>
      </c>
      <c r="D800" s="147">
        <v>95</v>
      </c>
      <c r="E800" s="148"/>
      <c r="F800" s="334">
        <v>95</v>
      </c>
      <c r="G800" s="112">
        <v>0</v>
      </c>
      <c r="H800" s="120">
        <v>0</v>
      </c>
      <c r="I800" s="120">
        <v>0</v>
      </c>
      <c r="J800" s="120" t="s">
        <v>772</v>
      </c>
      <c r="K800" s="110">
        <v>100300</v>
      </c>
      <c r="L800" s="110"/>
      <c r="M800" s="110">
        <v>102700</v>
      </c>
      <c r="N800" s="110"/>
      <c r="O800" s="110"/>
      <c r="P800" s="110">
        <f t="shared" si="273"/>
        <v>203000</v>
      </c>
      <c r="Q800" s="110">
        <f t="shared" si="274"/>
        <v>19285000</v>
      </c>
      <c r="R800" s="110">
        <f t="shared" si="275"/>
        <v>19285000</v>
      </c>
      <c r="S800" s="112">
        <v>0</v>
      </c>
    </row>
    <row r="801" spans="1:19">
      <c r="A801" s="169" t="s">
        <v>1488</v>
      </c>
      <c r="B801" s="152" t="s">
        <v>1489</v>
      </c>
      <c r="C801" s="142"/>
      <c r="D801" s="143">
        <v>0</v>
      </c>
      <c r="E801" s="144"/>
      <c r="F801" s="73"/>
      <c r="G801" s="121"/>
      <c r="H801" s="121"/>
      <c r="I801" s="121"/>
      <c r="J801" s="121"/>
      <c r="K801" s="73"/>
      <c r="L801" s="73"/>
      <c r="M801" s="73"/>
      <c r="N801" s="73"/>
      <c r="O801" s="73"/>
      <c r="P801" s="73"/>
      <c r="Q801" s="73"/>
      <c r="R801" s="73"/>
      <c r="S801" s="74"/>
    </row>
    <row r="802" spans="1:19" ht="30">
      <c r="A802" s="142"/>
      <c r="B802" s="153" t="s">
        <v>1494</v>
      </c>
      <c r="C802" s="142" t="s">
        <v>8</v>
      </c>
      <c r="D802" s="143">
        <v>19</v>
      </c>
      <c r="E802" s="586" t="s">
        <v>1495</v>
      </c>
      <c r="F802" s="334">
        <v>19</v>
      </c>
      <c r="G802" s="112" t="s">
        <v>3133</v>
      </c>
      <c r="H802" s="120">
        <v>0</v>
      </c>
      <c r="I802" s="120">
        <v>0</v>
      </c>
      <c r="J802" s="120" t="s">
        <v>772</v>
      </c>
      <c r="K802" s="110">
        <v>11900</v>
      </c>
      <c r="L802" s="110"/>
      <c r="M802" s="110">
        <v>1064300</v>
      </c>
      <c r="N802" s="110"/>
      <c r="O802" s="110"/>
      <c r="P802" s="110">
        <f t="shared" ref="P802:P813" si="276">K802+L802+M802+N802+O802</f>
        <v>1076200</v>
      </c>
      <c r="Q802" s="110">
        <f t="shared" ref="Q802:Q813" si="277">$P802*D802</f>
        <v>20447800</v>
      </c>
      <c r="R802" s="110">
        <f t="shared" ref="R802:R813" si="278">$P802*F802</f>
        <v>20447800</v>
      </c>
      <c r="S802" s="112" t="s">
        <v>1495</v>
      </c>
    </row>
    <row r="803" spans="1:19" ht="30">
      <c r="A803" s="142"/>
      <c r="B803" s="153" t="s">
        <v>1555</v>
      </c>
      <c r="C803" s="142" t="s">
        <v>8</v>
      </c>
      <c r="D803" s="143">
        <v>74</v>
      </c>
      <c r="E803" s="586"/>
      <c r="F803" s="334">
        <v>74</v>
      </c>
      <c r="G803" s="112" t="s">
        <v>3133</v>
      </c>
      <c r="H803" s="120">
        <v>0</v>
      </c>
      <c r="I803" s="120">
        <v>0</v>
      </c>
      <c r="J803" s="120" t="s">
        <v>772</v>
      </c>
      <c r="K803" s="110">
        <v>35700</v>
      </c>
      <c r="L803" s="110"/>
      <c r="M803" s="110">
        <v>705900</v>
      </c>
      <c r="N803" s="110"/>
      <c r="O803" s="110"/>
      <c r="P803" s="110">
        <f t="shared" si="276"/>
        <v>741600</v>
      </c>
      <c r="Q803" s="110">
        <f t="shared" si="277"/>
        <v>54878400</v>
      </c>
      <c r="R803" s="110">
        <f t="shared" si="278"/>
        <v>54878400</v>
      </c>
      <c r="S803" s="112">
        <v>0</v>
      </c>
    </row>
    <row r="804" spans="1:19" ht="30">
      <c r="A804" s="142"/>
      <c r="B804" s="153" t="s">
        <v>1556</v>
      </c>
      <c r="C804" s="142" t="s">
        <v>8</v>
      </c>
      <c r="D804" s="143">
        <v>70</v>
      </c>
      <c r="E804" s="586"/>
      <c r="F804" s="334">
        <v>70</v>
      </c>
      <c r="G804" s="112" t="s">
        <v>3133</v>
      </c>
      <c r="H804" s="120">
        <v>0</v>
      </c>
      <c r="I804" s="120">
        <v>0</v>
      </c>
      <c r="J804" s="120" t="s">
        <v>772</v>
      </c>
      <c r="K804" s="110">
        <v>35700</v>
      </c>
      <c r="L804" s="110"/>
      <c r="M804" s="110">
        <v>491200</v>
      </c>
      <c r="N804" s="110"/>
      <c r="O804" s="110"/>
      <c r="P804" s="110">
        <f t="shared" si="276"/>
        <v>526900</v>
      </c>
      <c r="Q804" s="110">
        <f t="shared" si="277"/>
        <v>36883000</v>
      </c>
      <c r="R804" s="110">
        <f t="shared" si="278"/>
        <v>36883000</v>
      </c>
      <c r="S804" s="112">
        <v>0</v>
      </c>
    </row>
    <row r="805" spans="1:19" ht="30">
      <c r="A805" s="142"/>
      <c r="B805" s="153" t="s">
        <v>1557</v>
      </c>
      <c r="C805" s="142" t="s">
        <v>4</v>
      </c>
      <c r="D805" s="143">
        <v>25</v>
      </c>
      <c r="E805" s="586"/>
      <c r="F805" s="334">
        <v>25</v>
      </c>
      <c r="G805" s="112" t="s">
        <v>3133</v>
      </c>
      <c r="H805" s="120">
        <v>0</v>
      </c>
      <c r="I805" s="120">
        <v>0</v>
      </c>
      <c r="J805" s="120" t="s">
        <v>772</v>
      </c>
      <c r="K805" s="110">
        <v>35700</v>
      </c>
      <c r="L805" s="110"/>
      <c r="M805" s="110">
        <v>548300</v>
      </c>
      <c r="N805" s="110"/>
      <c r="O805" s="110"/>
      <c r="P805" s="110">
        <f t="shared" si="276"/>
        <v>584000</v>
      </c>
      <c r="Q805" s="110">
        <f t="shared" si="277"/>
        <v>14600000</v>
      </c>
      <c r="R805" s="110">
        <f t="shared" si="278"/>
        <v>14600000</v>
      </c>
      <c r="S805" s="112">
        <v>0</v>
      </c>
    </row>
    <row r="806" spans="1:19" ht="45">
      <c r="A806" s="142"/>
      <c r="B806" s="153" t="s">
        <v>1558</v>
      </c>
      <c r="C806" s="142" t="s">
        <v>4</v>
      </c>
      <c r="D806" s="143">
        <v>93</v>
      </c>
      <c r="E806" s="586"/>
      <c r="F806" s="334">
        <v>93</v>
      </c>
      <c r="G806" s="112" t="s">
        <v>2692</v>
      </c>
      <c r="H806" s="120" t="s">
        <v>2693</v>
      </c>
      <c r="I806" s="120" t="s">
        <v>2689</v>
      </c>
      <c r="J806" s="120" t="s">
        <v>772</v>
      </c>
      <c r="K806" s="110">
        <v>233100</v>
      </c>
      <c r="L806" s="110"/>
      <c r="M806" s="110">
        <v>144000</v>
      </c>
      <c r="N806" s="110"/>
      <c r="O806" s="110"/>
      <c r="P806" s="110">
        <f t="shared" si="276"/>
        <v>377100</v>
      </c>
      <c r="Q806" s="110">
        <f t="shared" si="277"/>
        <v>35070300</v>
      </c>
      <c r="R806" s="110">
        <f t="shared" si="278"/>
        <v>35070300</v>
      </c>
      <c r="S806" s="112">
        <v>0</v>
      </c>
    </row>
    <row r="807" spans="1:19" ht="45">
      <c r="A807" s="142"/>
      <c r="B807" s="153" t="s">
        <v>1559</v>
      </c>
      <c r="C807" s="142" t="s">
        <v>8</v>
      </c>
      <c r="D807" s="143">
        <v>6</v>
      </c>
      <c r="E807" s="586"/>
      <c r="F807" s="334">
        <v>6</v>
      </c>
      <c r="G807" s="112" t="s">
        <v>3129</v>
      </c>
      <c r="H807" s="120" t="s">
        <v>3132</v>
      </c>
      <c r="I807" s="120" t="s">
        <v>3131</v>
      </c>
      <c r="J807" s="120" t="s">
        <v>772</v>
      </c>
      <c r="K807" s="110">
        <v>3971800</v>
      </c>
      <c r="L807" s="110"/>
      <c r="M807" s="110">
        <v>906800</v>
      </c>
      <c r="N807" s="110"/>
      <c r="O807" s="110"/>
      <c r="P807" s="110">
        <f t="shared" si="276"/>
        <v>4878600</v>
      </c>
      <c r="Q807" s="110">
        <f t="shared" si="277"/>
        <v>29271600</v>
      </c>
      <c r="R807" s="110">
        <f t="shared" si="278"/>
        <v>29271600</v>
      </c>
      <c r="S807" s="112">
        <v>0</v>
      </c>
    </row>
    <row r="808" spans="1:19" ht="30">
      <c r="A808" s="173"/>
      <c r="B808" s="150" t="s">
        <v>1560</v>
      </c>
      <c r="C808" s="146" t="s">
        <v>4</v>
      </c>
      <c r="D808" s="147">
        <v>14</v>
      </c>
      <c r="E808" s="586"/>
      <c r="F808" s="334">
        <v>14</v>
      </c>
      <c r="G808" s="112" t="s">
        <v>3133</v>
      </c>
      <c r="H808" s="120">
        <v>0</v>
      </c>
      <c r="I808" s="120">
        <v>0</v>
      </c>
      <c r="J808" s="120" t="s">
        <v>772</v>
      </c>
      <c r="K808" s="110">
        <v>11900</v>
      </c>
      <c r="L808" s="110"/>
      <c r="M808" s="110">
        <v>302300</v>
      </c>
      <c r="N808" s="110"/>
      <c r="O808" s="110"/>
      <c r="P808" s="110">
        <f t="shared" si="276"/>
        <v>314200</v>
      </c>
      <c r="Q808" s="110">
        <f t="shared" si="277"/>
        <v>4398800</v>
      </c>
      <c r="R808" s="110">
        <f t="shared" si="278"/>
        <v>4398800</v>
      </c>
      <c r="S808" s="112">
        <v>0</v>
      </c>
    </row>
    <row r="809" spans="1:19" ht="30">
      <c r="A809" s="173"/>
      <c r="B809" s="150" t="s">
        <v>1501</v>
      </c>
      <c r="C809" s="146" t="s">
        <v>4</v>
      </c>
      <c r="D809" s="147">
        <v>62</v>
      </c>
      <c r="E809" s="586"/>
      <c r="F809" s="334">
        <v>62</v>
      </c>
      <c r="G809" s="112" t="s">
        <v>3133</v>
      </c>
      <c r="H809" s="120">
        <v>0</v>
      </c>
      <c r="I809" s="120">
        <v>0</v>
      </c>
      <c r="J809" s="120" t="s">
        <v>772</v>
      </c>
      <c r="K809" s="110">
        <v>11900</v>
      </c>
      <c r="L809" s="110"/>
      <c r="M809" s="110">
        <v>387500</v>
      </c>
      <c r="N809" s="110"/>
      <c r="O809" s="110"/>
      <c r="P809" s="110">
        <f t="shared" si="276"/>
        <v>399400</v>
      </c>
      <c r="Q809" s="110">
        <f t="shared" si="277"/>
        <v>24762800</v>
      </c>
      <c r="R809" s="110">
        <f t="shared" si="278"/>
        <v>24762800</v>
      </c>
      <c r="S809" s="112">
        <v>0</v>
      </c>
    </row>
    <row r="810" spans="1:19" ht="30">
      <c r="A810" s="173"/>
      <c r="B810" s="150" t="s">
        <v>1561</v>
      </c>
      <c r="C810" s="146" t="s">
        <v>4</v>
      </c>
      <c r="D810" s="147">
        <v>10</v>
      </c>
      <c r="E810" s="586"/>
      <c r="F810" s="334">
        <v>10</v>
      </c>
      <c r="G810" s="112" t="s">
        <v>3133</v>
      </c>
      <c r="H810" s="120">
        <v>0</v>
      </c>
      <c r="I810" s="120">
        <v>0</v>
      </c>
      <c r="J810" s="120" t="s">
        <v>772</v>
      </c>
      <c r="K810" s="110">
        <v>11900</v>
      </c>
      <c r="L810" s="110"/>
      <c r="M810" s="110">
        <v>125100</v>
      </c>
      <c r="N810" s="110"/>
      <c r="O810" s="110"/>
      <c r="P810" s="110">
        <f t="shared" si="276"/>
        <v>137000</v>
      </c>
      <c r="Q810" s="110">
        <f t="shared" si="277"/>
        <v>1370000</v>
      </c>
      <c r="R810" s="110">
        <f t="shared" si="278"/>
        <v>1370000</v>
      </c>
      <c r="S810" s="112">
        <v>0</v>
      </c>
    </row>
    <row r="811" spans="1:19" ht="30">
      <c r="A811" s="173"/>
      <c r="B811" s="150" t="s">
        <v>1502</v>
      </c>
      <c r="C811" s="146" t="s">
        <v>4</v>
      </c>
      <c r="D811" s="147">
        <v>74</v>
      </c>
      <c r="E811" s="586"/>
      <c r="F811" s="334">
        <v>74</v>
      </c>
      <c r="G811" s="112" t="s">
        <v>3133</v>
      </c>
      <c r="H811" s="120">
        <v>0</v>
      </c>
      <c r="I811" s="120">
        <v>0</v>
      </c>
      <c r="J811" s="120" t="s">
        <v>772</v>
      </c>
      <c r="K811" s="110">
        <v>6000</v>
      </c>
      <c r="L811" s="110"/>
      <c r="M811" s="110">
        <v>79600</v>
      </c>
      <c r="N811" s="110"/>
      <c r="O811" s="110"/>
      <c r="P811" s="110">
        <f t="shared" si="276"/>
        <v>85600</v>
      </c>
      <c r="Q811" s="110">
        <f t="shared" si="277"/>
        <v>6334400</v>
      </c>
      <c r="R811" s="110">
        <f t="shared" si="278"/>
        <v>6334400</v>
      </c>
      <c r="S811" s="112">
        <v>0</v>
      </c>
    </row>
    <row r="812" spans="1:19" ht="30">
      <c r="A812" s="173"/>
      <c r="B812" s="150" t="s">
        <v>1503</v>
      </c>
      <c r="C812" s="146" t="s">
        <v>4</v>
      </c>
      <c r="D812" s="147">
        <v>40</v>
      </c>
      <c r="E812" s="586"/>
      <c r="F812" s="334">
        <v>40</v>
      </c>
      <c r="G812" s="112" t="s">
        <v>3133</v>
      </c>
      <c r="H812" s="120">
        <v>0</v>
      </c>
      <c r="I812" s="120">
        <v>0</v>
      </c>
      <c r="J812" s="120" t="s">
        <v>772</v>
      </c>
      <c r="K812" s="110">
        <v>6000</v>
      </c>
      <c r="L812" s="110"/>
      <c r="M812" s="110">
        <v>101600</v>
      </c>
      <c r="N812" s="110"/>
      <c r="O812" s="110"/>
      <c r="P812" s="110">
        <f t="shared" si="276"/>
        <v>107600</v>
      </c>
      <c r="Q812" s="110">
        <f t="shared" si="277"/>
        <v>4304000</v>
      </c>
      <c r="R812" s="110">
        <f t="shared" si="278"/>
        <v>4304000</v>
      </c>
      <c r="S812" s="112">
        <v>0</v>
      </c>
    </row>
    <row r="813" spans="1:19" ht="30">
      <c r="A813" s="173"/>
      <c r="B813" s="150" t="s">
        <v>1504</v>
      </c>
      <c r="C813" s="146" t="s">
        <v>4</v>
      </c>
      <c r="D813" s="147">
        <v>19</v>
      </c>
      <c r="E813" s="586"/>
      <c r="F813" s="334">
        <v>19</v>
      </c>
      <c r="G813" s="112" t="s">
        <v>3133</v>
      </c>
      <c r="H813" s="120">
        <v>0</v>
      </c>
      <c r="I813" s="120">
        <v>0</v>
      </c>
      <c r="J813" s="120" t="s">
        <v>772</v>
      </c>
      <c r="K813" s="110">
        <v>6000</v>
      </c>
      <c r="L813" s="110"/>
      <c r="M813" s="110">
        <v>125100</v>
      </c>
      <c r="N813" s="110"/>
      <c r="O813" s="110"/>
      <c r="P813" s="110">
        <f t="shared" si="276"/>
        <v>131100</v>
      </c>
      <c r="Q813" s="110">
        <f t="shared" si="277"/>
        <v>2490900</v>
      </c>
      <c r="R813" s="110">
        <f t="shared" si="278"/>
        <v>2490900</v>
      </c>
      <c r="S813" s="112">
        <v>0</v>
      </c>
    </row>
    <row r="814" spans="1:19">
      <c r="A814" s="385" t="s">
        <v>19</v>
      </c>
      <c r="B814" s="383" t="s">
        <v>1191</v>
      </c>
      <c r="C814" s="244"/>
      <c r="D814" s="398"/>
      <c r="E814" s="399"/>
      <c r="F814" s="398"/>
      <c r="G814" s="429"/>
      <c r="H814" s="430"/>
      <c r="I814" s="430"/>
      <c r="J814" s="430"/>
      <c r="K814" s="399"/>
      <c r="L814" s="399"/>
      <c r="M814" s="399"/>
      <c r="N814" s="399"/>
      <c r="O814" s="399"/>
      <c r="P814" s="399"/>
      <c r="Q814" s="399"/>
      <c r="R814" s="426"/>
      <c r="S814" s="427"/>
    </row>
    <row r="815" spans="1:19">
      <c r="A815" s="303" t="s">
        <v>3</v>
      </c>
      <c r="B815" s="302" t="s">
        <v>1202</v>
      </c>
      <c r="C815" s="301">
        <v>0</v>
      </c>
      <c r="D815" s="26">
        <v>0</v>
      </c>
      <c r="E815" s="25"/>
      <c r="F815" s="334">
        <v>0</v>
      </c>
      <c r="G815" s="112">
        <v>0</v>
      </c>
      <c r="H815" s="120">
        <v>0</v>
      </c>
      <c r="I815" s="120">
        <v>0</v>
      </c>
      <c r="J815" s="120">
        <v>0</v>
      </c>
      <c r="K815" s="110">
        <v>0</v>
      </c>
      <c r="L815" s="110"/>
      <c r="M815" s="110">
        <v>0</v>
      </c>
      <c r="N815" s="110"/>
      <c r="O815" s="110"/>
      <c r="P815" s="110">
        <f t="shared" ref="P815:P878" si="279">K815+L815+M815+N815+O815</f>
        <v>0</v>
      </c>
      <c r="Q815" s="110">
        <f t="shared" ref="Q815" si="280">$P815*D815</f>
        <v>0</v>
      </c>
      <c r="R815" s="110">
        <f t="shared" ref="R815" si="281">$P815*F815</f>
        <v>0</v>
      </c>
      <c r="S815" s="112">
        <v>0</v>
      </c>
    </row>
    <row r="816" spans="1:19">
      <c r="A816" s="303">
        <v>0</v>
      </c>
      <c r="B816" s="302" t="s">
        <v>1314</v>
      </c>
      <c r="C816" s="301">
        <v>0</v>
      </c>
      <c r="D816" s="26">
        <v>0</v>
      </c>
      <c r="E816" s="25"/>
      <c r="F816" s="334">
        <v>0</v>
      </c>
      <c r="G816" s="112">
        <v>0</v>
      </c>
      <c r="H816" s="120">
        <v>0</v>
      </c>
      <c r="I816" s="120">
        <v>0</v>
      </c>
      <c r="J816" s="120">
        <v>0</v>
      </c>
      <c r="K816" s="110">
        <v>0</v>
      </c>
      <c r="L816" s="110"/>
      <c r="M816" s="110">
        <v>0</v>
      </c>
      <c r="N816" s="110"/>
      <c r="O816" s="110"/>
      <c r="P816" s="110">
        <f t="shared" si="279"/>
        <v>0</v>
      </c>
      <c r="Q816" s="110">
        <f t="shared" ref="Q816:Q817" si="282">$P816*D816</f>
        <v>0</v>
      </c>
      <c r="R816" s="110">
        <f t="shared" ref="R816:R817" si="283">$P816*F816</f>
        <v>0</v>
      </c>
      <c r="S816" s="112">
        <v>0</v>
      </c>
    </row>
    <row r="817" spans="1:19">
      <c r="A817" s="303">
        <v>0</v>
      </c>
      <c r="B817" s="302" t="s">
        <v>1315</v>
      </c>
      <c r="C817" s="301" t="s">
        <v>4</v>
      </c>
      <c r="D817" s="26">
        <v>0</v>
      </c>
      <c r="E817" s="25"/>
      <c r="F817" s="334">
        <v>0</v>
      </c>
      <c r="G817" s="112" t="s">
        <v>1228</v>
      </c>
      <c r="H817" s="120" t="s">
        <v>2940</v>
      </c>
      <c r="I817" s="120" t="s">
        <v>2921</v>
      </c>
      <c r="J817" s="120" t="s">
        <v>769</v>
      </c>
      <c r="K817" s="110">
        <v>2630900</v>
      </c>
      <c r="L817" s="110"/>
      <c r="M817" s="110">
        <v>113800</v>
      </c>
      <c r="N817" s="110"/>
      <c r="O817" s="110"/>
      <c r="P817" s="110">
        <f t="shared" si="279"/>
        <v>2744700</v>
      </c>
      <c r="Q817" s="110">
        <f t="shared" si="282"/>
        <v>0</v>
      </c>
      <c r="R817" s="110">
        <f t="shared" si="283"/>
        <v>0</v>
      </c>
      <c r="S817" s="112" t="s">
        <v>1228</v>
      </c>
    </row>
    <row r="818" spans="1:19">
      <c r="A818" s="303">
        <v>0</v>
      </c>
      <c r="B818" s="302" t="s">
        <v>1310</v>
      </c>
      <c r="C818" s="301" t="s">
        <v>4</v>
      </c>
      <c r="D818" s="26">
        <v>0</v>
      </c>
      <c r="E818" s="25"/>
      <c r="F818" s="334">
        <v>0</v>
      </c>
      <c r="G818" s="112" t="s">
        <v>1228</v>
      </c>
      <c r="H818" s="120" t="s">
        <v>2940</v>
      </c>
      <c r="I818" s="120" t="s">
        <v>2921</v>
      </c>
      <c r="J818" s="120" t="s">
        <v>769</v>
      </c>
      <c r="K818" s="110">
        <v>1315500</v>
      </c>
      <c r="L818" s="110"/>
      <c r="M818" s="110">
        <v>96000</v>
      </c>
      <c r="N818" s="110"/>
      <c r="O818" s="110"/>
      <c r="P818" s="110">
        <f t="shared" si="279"/>
        <v>1411500</v>
      </c>
      <c r="Q818" s="110">
        <f t="shared" ref="Q818:Q881" si="284">$P818*D818</f>
        <v>0</v>
      </c>
      <c r="R818" s="110">
        <f t="shared" ref="R818:R881" si="285">$P818*F818</f>
        <v>0</v>
      </c>
      <c r="S818" s="112" t="s">
        <v>1228</v>
      </c>
    </row>
    <row r="819" spans="1:19">
      <c r="A819" s="303">
        <v>0</v>
      </c>
      <c r="B819" s="302" t="s">
        <v>1311</v>
      </c>
      <c r="C819" s="301" t="s">
        <v>4</v>
      </c>
      <c r="D819" s="26">
        <v>0</v>
      </c>
      <c r="E819" s="25"/>
      <c r="F819" s="334">
        <v>0</v>
      </c>
      <c r="G819" s="112" t="s">
        <v>1228</v>
      </c>
      <c r="H819" s="120" t="s">
        <v>2940</v>
      </c>
      <c r="I819" s="120" t="s">
        <v>2921</v>
      </c>
      <c r="J819" s="120" t="s">
        <v>769</v>
      </c>
      <c r="K819" s="110">
        <v>1167500</v>
      </c>
      <c r="L819" s="110"/>
      <c r="M819" s="110">
        <v>85800</v>
      </c>
      <c r="N819" s="110"/>
      <c r="O819" s="110"/>
      <c r="P819" s="110">
        <f t="shared" si="279"/>
        <v>1253300</v>
      </c>
      <c r="Q819" s="110">
        <f t="shared" si="284"/>
        <v>0</v>
      </c>
      <c r="R819" s="110">
        <f t="shared" si="285"/>
        <v>0</v>
      </c>
      <c r="S819" s="112" t="s">
        <v>1228</v>
      </c>
    </row>
    <row r="820" spans="1:19">
      <c r="A820" s="303">
        <v>0</v>
      </c>
      <c r="B820" s="302" t="s">
        <v>1312</v>
      </c>
      <c r="C820" s="301" t="s">
        <v>4</v>
      </c>
      <c r="D820" s="26">
        <v>0</v>
      </c>
      <c r="E820" s="25"/>
      <c r="F820" s="334">
        <v>0</v>
      </c>
      <c r="G820" s="112" t="s">
        <v>1228</v>
      </c>
      <c r="H820" s="120" t="s">
        <v>2940</v>
      </c>
      <c r="I820" s="120" t="s">
        <v>2921</v>
      </c>
      <c r="J820" s="120" t="s">
        <v>769</v>
      </c>
      <c r="K820" s="110">
        <v>866000</v>
      </c>
      <c r="L820" s="110"/>
      <c r="M820" s="110">
        <v>75200</v>
      </c>
      <c r="N820" s="110"/>
      <c r="O820" s="110"/>
      <c r="P820" s="110">
        <f t="shared" si="279"/>
        <v>941200</v>
      </c>
      <c r="Q820" s="110">
        <f t="shared" si="284"/>
        <v>0</v>
      </c>
      <c r="R820" s="110">
        <f t="shared" si="285"/>
        <v>0</v>
      </c>
      <c r="S820" s="112" t="s">
        <v>1228</v>
      </c>
    </row>
    <row r="821" spans="1:19">
      <c r="A821" s="303">
        <v>0</v>
      </c>
      <c r="B821" s="302" t="s">
        <v>3144</v>
      </c>
      <c r="C821" s="301">
        <v>0</v>
      </c>
      <c r="D821" s="26">
        <v>0</v>
      </c>
      <c r="E821" s="25"/>
      <c r="F821" s="334">
        <v>0</v>
      </c>
      <c r="G821" s="112">
        <v>0</v>
      </c>
      <c r="H821" s="120">
        <v>0</v>
      </c>
      <c r="I821" s="120">
        <v>0</v>
      </c>
      <c r="J821" s="120">
        <v>0</v>
      </c>
      <c r="K821" s="110">
        <v>0</v>
      </c>
      <c r="L821" s="110"/>
      <c r="M821" s="110">
        <v>0</v>
      </c>
      <c r="N821" s="110"/>
      <c r="O821" s="110"/>
      <c r="P821" s="110">
        <f t="shared" si="279"/>
        <v>0</v>
      </c>
      <c r="Q821" s="110">
        <f t="shared" si="284"/>
        <v>0</v>
      </c>
      <c r="R821" s="110">
        <f t="shared" si="285"/>
        <v>0</v>
      </c>
      <c r="S821" s="112">
        <v>0</v>
      </c>
    </row>
    <row r="822" spans="1:19">
      <c r="A822" s="303">
        <v>0</v>
      </c>
      <c r="B822" s="302" t="s">
        <v>1338</v>
      </c>
      <c r="C822" s="301">
        <v>0</v>
      </c>
      <c r="D822" s="26">
        <v>0</v>
      </c>
      <c r="E822" s="25"/>
      <c r="F822" s="334">
        <v>0</v>
      </c>
      <c r="G822" s="112">
        <v>0</v>
      </c>
      <c r="H822" s="120">
        <v>0</v>
      </c>
      <c r="I822" s="120">
        <v>0</v>
      </c>
      <c r="J822" s="120">
        <v>0</v>
      </c>
      <c r="K822" s="110">
        <v>0</v>
      </c>
      <c r="L822" s="110"/>
      <c r="M822" s="110">
        <v>0</v>
      </c>
      <c r="N822" s="110"/>
      <c r="O822" s="110"/>
      <c r="P822" s="110">
        <f t="shared" si="279"/>
        <v>0</v>
      </c>
      <c r="Q822" s="110">
        <f t="shared" si="284"/>
        <v>0</v>
      </c>
      <c r="R822" s="110">
        <f t="shared" si="285"/>
        <v>0</v>
      </c>
      <c r="S822" s="112">
        <v>0</v>
      </c>
    </row>
    <row r="823" spans="1:19" ht="45">
      <c r="A823" s="303">
        <v>0</v>
      </c>
      <c r="B823" s="302" t="s">
        <v>1247</v>
      </c>
      <c r="C823" s="301" t="s">
        <v>4</v>
      </c>
      <c r="D823" s="26">
        <v>0</v>
      </c>
      <c r="E823" s="25"/>
      <c r="F823" s="334">
        <v>0</v>
      </c>
      <c r="G823" s="112" t="s">
        <v>2715</v>
      </c>
      <c r="H823" s="120" t="s">
        <v>2734</v>
      </c>
      <c r="I823" s="120" t="s">
        <v>2717</v>
      </c>
      <c r="J823" s="120" t="s">
        <v>772</v>
      </c>
      <c r="K823" s="110">
        <v>592900</v>
      </c>
      <c r="L823" s="110"/>
      <c r="M823" s="110">
        <v>341000</v>
      </c>
      <c r="N823" s="110"/>
      <c r="O823" s="110"/>
      <c r="P823" s="110">
        <f t="shared" si="279"/>
        <v>933900</v>
      </c>
      <c r="Q823" s="110">
        <f t="shared" si="284"/>
        <v>0</v>
      </c>
      <c r="R823" s="110">
        <f t="shared" si="285"/>
        <v>0</v>
      </c>
      <c r="S823" s="112" t="s">
        <v>2715</v>
      </c>
    </row>
    <row r="824" spans="1:19" ht="45">
      <c r="A824" s="303">
        <v>0</v>
      </c>
      <c r="B824" s="302" t="s">
        <v>1248</v>
      </c>
      <c r="C824" s="301" t="s">
        <v>4</v>
      </c>
      <c r="D824" s="26">
        <v>0</v>
      </c>
      <c r="E824" s="25"/>
      <c r="F824" s="334">
        <v>0</v>
      </c>
      <c r="G824" s="112" t="s">
        <v>2715</v>
      </c>
      <c r="H824" s="120" t="s">
        <v>2733</v>
      </c>
      <c r="I824" s="120" t="s">
        <v>2717</v>
      </c>
      <c r="J824" s="120" t="s">
        <v>772</v>
      </c>
      <c r="K824" s="110">
        <v>467700</v>
      </c>
      <c r="L824" s="110"/>
      <c r="M824" s="110">
        <v>272800</v>
      </c>
      <c r="N824" s="110"/>
      <c r="O824" s="110"/>
      <c r="P824" s="110">
        <f t="shared" si="279"/>
        <v>740500</v>
      </c>
      <c r="Q824" s="110">
        <f t="shared" si="284"/>
        <v>0</v>
      </c>
      <c r="R824" s="110">
        <f t="shared" si="285"/>
        <v>0</v>
      </c>
      <c r="S824" s="112" t="s">
        <v>2715</v>
      </c>
    </row>
    <row r="825" spans="1:19">
      <c r="A825" s="303">
        <v>0</v>
      </c>
      <c r="B825" s="302" t="s">
        <v>1239</v>
      </c>
      <c r="C825" s="301" t="s">
        <v>706</v>
      </c>
      <c r="D825" s="26">
        <v>0</v>
      </c>
      <c r="E825" s="25"/>
      <c r="F825" s="334">
        <v>0</v>
      </c>
      <c r="G825" s="112">
        <v>0</v>
      </c>
      <c r="H825" s="120">
        <v>0</v>
      </c>
      <c r="I825" s="120">
        <v>0</v>
      </c>
      <c r="J825" s="120" t="s">
        <v>772</v>
      </c>
      <c r="K825" s="110">
        <v>7423300</v>
      </c>
      <c r="L825" s="110"/>
      <c r="M825" s="110">
        <v>5701400</v>
      </c>
      <c r="N825" s="110"/>
      <c r="O825" s="110"/>
      <c r="P825" s="110">
        <f t="shared" si="279"/>
        <v>13124700</v>
      </c>
      <c r="Q825" s="110">
        <f t="shared" si="284"/>
        <v>0</v>
      </c>
      <c r="R825" s="110">
        <f t="shared" si="285"/>
        <v>0</v>
      </c>
      <c r="S825" s="112">
        <v>0</v>
      </c>
    </row>
    <row r="826" spans="1:19" ht="75">
      <c r="A826" s="303">
        <v>0</v>
      </c>
      <c r="B826" s="302" t="s">
        <v>3139</v>
      </c>
      <c r="C826" s="301" t="s">
        <v>1007</v>
      </c>
      <c r="D826" s="26">
        <v>0</v>
      </c>
      <c r="E826" s="25"/>
      <c r="F826" s="334">
        <v>0</v>
      </c>
      <c r="G826" s="112">
        <v>0</v>
      </c>
      <c r="H826" s="120">
        <v>0</v>
      </c>
      <c r="I826" s="120">
        <v>0</v>
      </c>
      <c r="J826" s="120">
        <v>0</v>
      </c>
      <c r="K826" s="110">
        <v>0</v>
      </c>
      <c r="L826" s="110"/>
      <c r="M826" s="110">
        <v>0</v>
      </c>
      <c r="N826" s="110"/>
      <c r="O826" s="110"/>
      <c r="P826" s="110">
        <f t="shared" si="279"/>
        <v>0</v>
      </c>
      <c r="Q826" s="110">
        <f t="shared" si="284"/>
        <v>0</v>
      </c>
      <c r="R826" s="110">
        <f t="shared" si="285"/>
        <v>0</v>
      </c>
      <c r="S826" s="112" t="s">
        <v>3766</v>
      </c>
    </row>
    <row r="827" spans="1:19">
      <c r="A827" s="303">
        <v>0</v>
      </c>
      <c r="B827" s="302">
        <v>0</v>
      </c>
      <c r="C827" s="301">
        <v>0</v>
      </c>
      <c r="D827" s="26">
        <v>0</v>
      </c>
      <c r="E827" s="25"/>
      <c r="F827" s="334">
        <v>0</v>
      </c>
      <c r="G827" s="112">
        <v>0</v>
      </c>
      <c r="H827" s="120">
        <v>0</v>
      </c>
      <c r="I827" s="120">
        <v>0</v>
      </c>
      <c r="J827" s="120">
        <v>0</v>
      </c>
      <c r="K827" s="110">
        <v>0</v>
      </c>
      <c r="L827" s="110"/>
      <c r="M827" s="110">
        <v>0</v>
      </c>
      <c r="N827" s="110"/>
      <c r="O827" s="110"/>
      <c r="P827" s="110">
        <f t="shared" si="279"/>
        <v>0</v>
      </c>
      <c r="Q827" s="110">
        <f t="shared" si="284"/>
        <v>0</v>
      </c>
      <c r="R827" s="110">
        <f t="shared" si="285"/>
        <v>0</v>
      </c>
      <c r="S827" s="112">
        <v>0</v>
      </c>
    </row>
    <row r="828" spans="1:19">
      <c r="A828" s="303" t="s">
        <v>5</v>
      </c>
      <c r="B828" s="302" t="s">
        <v>1240</v>
      </c>
      <c r="C828" s="301">
        <v>0</v>
      </c>
      <c r="D828" s="26">
        <v>0</v>
      </c>
      <c r="E828" s="25"/>
      <c r="F828" s="334">
        <v>0</v>
      </c>
      <c r="G828" s="112">
        <v>0</v>
      </c>
      <c r="H828" s="120">
        <v>0</v>
      </c>
      <c r="I828" s="120">
        <v>0</v>
      </c>
      <c r="J828" s="120">
        <v>0</v>
      </c>
      <c r="K828" s="110">
        <v>0</v>
      </c>
      <c r="L828" s="110"/>
      <c r="M828" s="110">
        <v>0</v>
      </c>
      <c r="N828" s="110"/>
      <c r="O828" s="110"/>
      <c r="P828" s="110">
        <f t="shared" si="279"/>
        <v>0</v>
      </c>
      <c r="Q828" s="110">
        <f t="shared" si="284"/>
        <v>0</v>
      </c>
      <c r="R828" s="110">
        <f t="shared" si="285"/>
        <v>0</v>
      </c>
      <c r="S828" s="112">
        <v>0</v>
      </c>
    </row>
    <row r="829" spans="1:19">
      <c r="A829" s="303">
        <v>0</v>
      </c>
      <c r="B829" s="302" t="s">
        <v>1319</v>
      </c>
      <c r="C829" s="301">
        <v>0</v>
      </c>
      <c r="D829" s="26">
        <v>0</v>
      </c>
      <c r="E829" s="25"/>
      <c r="F829" s="334">
        <v>0</v>
      </c>
      <c r="G829" s="112">
        <v>0</v>
      </c>
      <c r="H829" s="120">
        <v>0</v>
      </c>
      <c r="I829" s="120">
        <v>0</v>
      </c>
      <c r="J829" s="120">
        <v>0</v>
      </c>
      <c r="K829" s="110">
        <v>0</v>
      </c>
      <c r="L829" s="110"/>
      <c r="M829" s="110">
        <v>0</v>
      </c>
      <c r="N829" s="110"/>
      <c r="O829" s="110"/>
      <c r="P829" s="110">
        <f t="shared" si="279"/>
        <v>0</v>
      </c>
      <c r="Q829" s="110">
        <f t="shared" si="284"/>
        <v>0</v>
      </c>
      <c r="R829" s="110">
        <f t="shared" si="285"/>
        <v>0</v>
      </c>
      <c r="S829" s="112">
        <v>0</v>
      </c>
    </row>
    <row r="830" spans="1:19">
      <c r="A830" s="303">
        <v>0</v>
      </c>
      <c r="B830" s="302" t="s">
        <v>1257</v>
      </c>
      <c r="C830" s="301" t="s">
        <v>4</v>
      </c>
      <c r="D830" s="26">
        <v>0</v>
      </c>
      <c r="E830" s="25"/>
      <c r="F830" s="334">
        <v>0</v>
      </c>
      <c r="G830" s="112" t="s">
        <v>2934</v>
      </c>
      <c r="H830" s="120" t="s">
        <v>2935</v>
      </c>
      <c r="I830" s="120" t="s">
        <v>2921</v>
      </c>
      <c r="J830" s="120" t="s">
        <v>769</v>
      </c>
      <c r="K830" s="110">
        <v>4275200</v>
      </c>
      <c r="L830" s="110"/>
      <c r="M830" s="110">
        <v>348800</v>
      </c>
      <c r="N830" s="110"/>
      <c r="O830" s="110"/>
      <c r="P830" s="110">
        <f t="shared" si="279"/>
        <v>4624000</v>
      </c>
      <c r="Q830" s="110">
        <f t="shared" si="284"/>
        <v>0</v>
      </c>
      <c r="R830" s="110">
        <f t="shared" si="285"/>
        <v>0</v>
      </c>
      <c r="S830" s="112" t="s">
        <v>2934</v>
      </c>
    </row>
    <row r="831" spans="1:19">
      <c r="A831" s="303">
        <v>0</v>
      </c>
      <c r="B831" s="302" t="s">
        <v>1250</v>
      </c>
      <c r="C831" s="301" t="s">
        <v>4</v>
      </c>
      <c r="D831" s="26">
        <v>0</v>
      </c>
      <c r="E831" s="25"/>
      <c r="F831" s="334">
        <v>0</v>
      </c>
      <c r="G831" s="112" t="s">
        <v>2934</v>
      </c>
      <c r="H831" s="120" t="s">
        <v>2935</v>
      </c>
      <c r="I831" s="120" t="s">
        <v>2921</v>
      </c>
      <c r="J831" s="120" t="s">
        <v>769</v>
      </c>
      <c r="K831" s="110">
        <v>2685700</v>
      </c>
      <c r="L831" s="110"/>
      <c r="M831" s="110">
        <v>310000</v>
      </c>
      <c r="N831" s="110"/>
      <c r="O831" s="110"/>
      <c r="P831" s="110">
        <f t="shared" si="279"/>
        <v>2995700</v>
      </c>
      <c r="Q831" s="110">
        <f t="shared" si="284"/>
        <v>0</v>
      </c>
      <c r="R831" s="110">
        <f t="shared" si="285"/>
        <v>0</v>
      </c>
      <c r="S831" s="112" t="s">
        <v>2934</v>
      </c>
    </row>
    <row r="832" spans="1:19">
      <c r="A832" s="303">
        <v>0</v>
      </c>
      <c r="B832" s="302" t="s">
        <v>1252</v>
      </c>
      <c r="C832" s="301" t="s">
        <v>4</v>
      </c>
      <c r="D832" s="26">
        <v>0</v>
      </c>
      <c r="E832" s="25"/>
      <c r="F832" s="334">
        <v>0</v>
      </c>
      <c r="G832" s="112" t="s">
        <v>2934</v>
      </c>
      <c r="H832" s="120" t="s">
        <v>2935</v>
      </c>
      <c r="I832" s="120" t="s">
        <v>2921</v>
      </c>
      <c r="J832" s="120" t="s">
        <v>769</v>
      </c>
      <c r="K832" s="110">
        <v>1808800</v>
      </c>
      <c r="L832" s="110"/>
      <c r="M832" s="110">
        <v>244500</v>
      </c>
      <c r="N832" s="110"/>
      <c r="O832" s="110"/>
      <c r="P832" s="110">
        <f t="shared" si="279"/>
        <v>2053300</v>
      </c>
      <c r="Q832" s="110">
        <f t="shared" si="284"/>
        <v>0</v>
      </c>
      <c r="R832" s="110">
        <f t="shared" si="285"/>
        <v>0</v>
      </c>
      <c r="S832" s="112" t="s">
        <v>2934</v>
      </c>
    </row>
    <row r="833" spans="1:19">
      <c r="A833" s="303">
        <v>0</v>
      </c>
      <c r="B833" s="302" t="s">
        <v>1343</v>
      </c>
      <c r="C833" s="301">
        <v>0</v>
      </c>
      <c r="D833" s="26">
        <v>0</v>
      </c>
      <c r="E833" s="25"/>
      <c r="F833" s="334">
        <v>0</v>
      </c>
      <c r="G833" s="112">
        <v>0</v>
      </c>
      <c r="H833" s="120">
        <v>0</v>
      </c>
      <c r="I833" s="120">
        <v>0</v>
      </c>
      <c r="J833" s="120">
        <v>0</v>
      </c>
      <c r="K833" s="110">
        <v>0</v>
      </c>
      <c r="L833" s="110"/>
      <c r="M833" s="110">
        <v>0</v>
      </c>
      <c r="N833" s="110"/>
      <c r="O833" s="110"/>
      <c r="P833" s="110">
        <f t="shared" si="279"/>
        <v>0</v>
      </c>
      <c r="Q833" s="110">
        <f t="shared" si="284"/>
        <v>0</v>
      </c>
      <c r="R833" s="110">
        <f t="shared" si="285"/>
        <v>0</v>
      </c>
      <c r="S833" s="112">
        <v>0</v>
      </c>
    </row>
    <row r="834" spans="1:19">
      <c r="A834" s="303">
        <v>0</v>
      </c>
      <c r="B834" s="302" t="s">
        <v>1344</v>
      </c>
      <c r="C834" s="301" t="s">
        <v>4</v>
      </c>
      <c r="D834" s="26">
        <v>0</v>
      </c>
      <c r="E834" s="25"/>
      <c r="F834" s="334">
        <v>0</v>
      </c>
      <c r="G834" s="112">
        <v>0</v>
      </c>
      <c r="H834" s="120">
        <v>0</v>
      </c>
      <c r="I834" s="120">
        <v>0</v>
      </c>
      <c r="J834" s="120" t="s">
        <v>772</v>
      </c>
      <c r="K834" s="110">
        <v>5488900</v>
      </c>
      <c r="L834" s="110"/>
      <c r="M834" s="110">
        <v>151200</v>
      </c>
      <c r="N834" s="110"/>
      <c r="O834" s="110"/>
      <c r="P834" s="110">
        <f t="shared" si="279"/>
        <v>5640100</v>
      </c>
      <c r="Q834" s="110">
        <f t="shared" si="284"/>
        <v>0</v>
      </c>
      <c r="R834" s="110">
        <f t="shared" si="285"/>
        <v>0</v>
      </c>
      <c r="S834" s="112">
        <v>0</v>
      </c>
    </row>
    <row r="835" spans="1:19">
      <c r="A835" s="303">
        <v>0</v>
      </c>
      <c r="B835" s="302" t="s">
        <v>1345</v>
      </c>
      <c r="C835" s="301" t="s">
        <v>4</v>
      </c>
      <c r="D835" s="26">
        <v>0</v>
      </c>
      <c r="E835" s="25"/>
      <c r="F835" s="334">
        <v>0</v>
      </c>
      <c r="G835" s="112">
        <v>0</v>
      </c>
      <c r="H835" s="120">
        <v>0</v>
      </c>
      <c r="I835" s="120">
        <v>0</v>
      </c>
      <c r="J835" s="120" t="s">
        <v>772</v>
      </c>
      <c r="K835" s="110">
        <v>2575500</v>
      </c>
      <c r="L835" s="110"/>
      <c r="M835" s="110">
        <v>120900</v>
      </c>
      <c r="N835" s="110"/>
      <c r="O835" s="110"/>
      <c r="P835" s="110">
        <f t="shared" si="279"/>
        <v>2696400</v>
      </c>
      <c r="Q835" s="110">
        <f t="shared" si="284"/>
        <v>0</v>
      </c>
      <c r="R835" s="110">
        <f t="shared" si="285"/>
        <v>0</v>
      </c>
      <c r="S835" s="112">
        <v>0</v>
      </c>
    </row>
    <row r="836" spans="1:19">
      <c r="A836" s="303">
        <v>0</v>
      </c>
      <c r="B836" s="302" t="s">
        <v>1346</v>
      </c>
      <c r="C836" s="301" t="s">
        <v>4</v>
      </c>
      <c r="D836" s="26">
        <v>0</v>
      </c>
      <c r="E836" s="25"/>
      <c r="F836" s="334">
        <v>0</v>
      </c>
      <c r="G836" s="112">
        <v>0</v>
      </c>
      <c r="H836" s="120">
        <v>0</v>
      </c>
      <c r="I836" s="120">
        <v>0</v>
      </c>
      <c r="J836" s="120" t="s">
        <v>772</v>
      </c>
      <c r="K836" s="110">
        <v>2156300</v>
      </c>
      <c r="L836" s="110"/>
      <c r="M836" s="110">
        <v>120900</v>
      </c>
      <c r="N836" s="110"/>
      <c r="O836" s="110"/>
      <c r="P836" s="110">
        <f t="shared" si="279"/>
        <v>2277200</v>
      </c>
      <c r="Q836" s="110">
        <f t="shared" si="284"/>
        <v>0</v>
      </c>
      <c r="R836" s="110">
        <f t="shared" si="285"/>
        <v>0</v>
      </c>
      <c r="S836" s="112">
        <v>0</v>
      </c>
    </row>
    <row r="837" spans="1:19">
      <c r="A837" s="303">
        <v>0</v>
      </c>
      <c r="B837" s="302">
        <v>0</v>
      </c>
      <c r="C837" s="301">
        <v>0</v>
      </c>
      <c r="D837" s="26">
        <v>0</v>
      </c>
      <c r="E837" s="25"/>
      <c r="F837" s="334">
        <v>0</v>
      </c>
      <c r="G837" s="112">
        <v>0</v>
      </c>
      <c r="H837" s="120">
        <v>0</v>
      </c>
      <c r="I837" s="120">
        <v>0</v>
      </c>
      <c r="J837" s="120">
        <v>0</v>
      </c>
      <c r="K837" s="110">
        <v>0</v>
      </c>
      <c r="L837" s="110"/>
      <c r="M837" s="110">
        <v>0</v>
      </c>
      <c r="N837" s="110"/>
      <c r="O837" s="110"/>
      <c r="P837" s="110">
        <f t="shared" si="279"/>
        <v>0</v>
      </c>
      <c r="Q837" s="110">
        <f t="shared" si="284"/>
        <v>0</v>
      </c>
      <c r="R837" s="110">
        <f t="shared" si="285"/>
        <v>0</v>
      </c>
      <c r="S837" s="112">
        <v>0</v>
      </c>
    </row>
    <row r="838" spans="1:19" ht="30">
      <c r="A838" s="303" t="s">
        <v>9</v>
      </c>
      <c r="B838" s="302" t="s">
        <v>1323</v>
      </c>
      <c r="C838" s="301">
        <v>0</v>
      </c>
      <c r="D838" s="26">
        <v>0</v>
      </c>
      <c r="E838" s="25"/>
      <c r="F838" s="334">
        <v>0</v>
      </c>
      <c r="G838" s="112">
        <v>0</v>
      </c>
      <c r="H838" s="120">
        <v>0</v>
      </c>
      <c r="I838" s="120">
        <v>0</v>
      </c>
      <c r="J838" s="120">
        <v>0</v>
      </c>
      <c r="K838" s="110">
        <v>0</v>
      </c>
      <c r="L838" s="110"/>
      <c r="M838" s="110">
        <v>0</v>
      </c>
      <c r="N838" s="110"/>
      <c r="O838" s="110"/>
      <c r="P838" s="110">
        <f t="shared" si="279"/>
        <v>0</v>
      </c>
      <c r="Q838" s="110">
        <f t="shared" si="284"/>
        <v>0</v>
      </c>
      <c r="R838" s="110">
        <f t="shared" si="285"/>
        <v>0</v>
      </c>
      <c r="S838" s="112">
        <v>0</v>
      </c>
    </row>
    <row r="839" spans="1:19">
      <c r="A839" s="303">
        <v>0</v>
      </c>
      <c r="B839" s="302" t="s">
        <v>1316</v>
      </c>
      <c r="C839" s="301">
        <v>0</v>
      </c>
      <c r="D839" s="26">
        <v>0</v>
      </c>
      <c r="E839" s="25"/>
      <c r="F839" s="334">
        <v>0</v>
      </c>
      <c r="G839" s="112">
        <v>0</v>
      </c>
      <c r="H839" s="120">
        <v>0</v>
      </c>
      <c r="I839" s="120">
        <v>0</v>
      </c>
      <c r="J839" s="120">
        <v>0</v>
      </c>
      <c r="K839" s="110">
        <v>0</v>
      </c>
      <c r="L839" s="110"/>
      <c r="M839" s="110">
        <v>0</v>
      </c>
      <c r="N839" s="110"/>
      <c r="O839" s="110"/>
      <c r="P839" s="110">
        <f t="shared" si="279"/>
        <v>0</v>
      </c>
      <c r="Q839" s="110">
        <f t="shared" si="284"/>
        <v>0</v>
      </c>
      <c r="R839" s="110">
        <f t="shared" si="285"/>
        <v>0</v>
      </c>
      <c r="S839" s="112">
        <v>0</v>
      </c>
    </row>
    <row r="840" spans="1:19">
      <c r="A840" s="303">
        <v>0</v>
      </c>
      <c r="B840" s="302" t="s">
        <v>1247</v>
      </c>
      <c r="C840" s="301" t="s">
        <v>4</v>
      </c>
      <c r="D840" s="26">
        <v>0</v>
      </c>
      <c r="E840" s="25"/>
      <c r="F840" s="334">
        <v>0</v>
      </c>
      <c r="G840" s="112" t="s">
        <v>1225</v>
      </c>
      <c r="H840" s="120" t="s">
        <v>2923</v>
      </c>
      <c r="I840" s="120" t="s">
        <v>2921</v>
      </c>
      <c r="J840" s="120" t="s">
        <v>769</v>
      </c>
      <c r="K840" s="110">
        <v>3623400</v>
      </c>
      <c r="L840" s="110"/>
      <c r="M840" s="110">
        <v>310000</v>
      </c>
      <c r="N840" s="110"/>
      <c r="O840" s="110"/>
      <c r="P840" s="110">
        <f t="shared" si="279"/>
        <v>3933400</v>
      </c>
      <c r="Q840" s="110">
        <f t="shared" si="284"/>
        <v>0</v>
      </c>
      <c r="R840" s="110">
        <f t="shared" si="285"/>
        <v>0</v>
      </c>
      <c r="S840" s="112" t="s">
        <v>1225</v>
      </c>
    </row>
    <row r="841" spans="1:19">
      <c r="A841" s="303">
        <v>0</v>
      </c>
      <c r="B841" s="302" t="s">
        <v>3145</v>
      </c>
      <c r="C841" s="301">
        <v>0</v>
      </c>
      <c r="D841" s="26">
        <v>0</v>
      </c>
      <c r="E841" s="25"/>
      <c r="F841" s="334">
        <v>0</v>
      </c>
      <c r="G841" s="112">
        <v>0</v>
      </c>
      <c r="H841" s="120">
        <v>0</v>
      </c>
      <c r="I841" s="120">
        <v>0</v>
      </c>
      <c r="J841" s="120">
        <v>0</v>
      </c>
      <c r="K841" s="110">
        <v>0</v>
      </c>
      <c r="L841" s="110"/>
      <c r="M841" s="110">
        <v>0</v>
      </c>
      <c r="N841" s="110"/>
      <c r="O841" s="110"/>
      <c r="P841" s="110">
        <f t="shared" si="279"/>
        <v>0</v>
      </c>
      <c r="Q841" s="110">
        <f t="shared" si="284"/>
        <v>0</v>
      </c>
      <c r="R841" s="110">
        <f t="shared" si="285"/>
        <v>0</v>
      </c>
      <c r="S841" s="112">
        <v>0</v>
      </c>
    </row>
    <row r="842" spans="1:19">
      <c r="A842" s="303">
        <v>0</v>
      </c>
      <c r="B842" s="302" t="s">
        <v>1247</v>
      </c>
      <c r="C842" s="301" t="s">
        <v>4</v>
      </c>
      <c r="D842" s="26">
        <v>0</v>
      </c>
      <c r="E842" s="25"/>
      <c r="F842" s="334">
        <v>0</v>
      </c>
      <c r="G842" s="112" t="s">
        <v>1225</v>
      </c>
      <c r="H842" s="120" t="s">
        <v>2920</v>
      </c>
      <c r="I842" s="120" t="s">
        <v>2921</v>
      </c>
      <c r="J842" s="120" t="s">
        <v>769</v>
      </c>
      <c r="K842" s="110">
        <v>3963300</v>
      </c>
      <c r="L842" s="110"/>
      <c r="M842" s="110">
        <v>310000</v>
      </c>
      <c r="N842" s="110"/>
      <c r="O842" s="110"/>
      <c r="P842" s="110">
        <f t="shared" si="279"/>
        <v>4273300</v>
      </c>
      <c r="Q842" s="110">
        <f t="shared" si="284"/>
        <v>0</v>
      </c>
      <c r="R842" s="110">
        <f t="shared" si="285"/>
        <v>0</v>
      </c>
      <c r="S842" s="112" t="s">
        <v>1225</v>
      </c>
    </row>
    <row r="843" spans="1:19">
      <c r="A843" s="303">
        <v>0</v>
      </c>
      <c r="B843" s="302" t="s">
        <v>1248</v>
      </c>
      <c r="C843" s="301" t="s">
        <v>4</v>
      </c>
      <c r="D843" s="26">
        <v>0</v>
      </c>
      <c r="E843" s="25"/>
      <c r="F843" s="334">
        <v>0</v>
      </c>
      <c r="G843" s="112" t="s">
        <v>1225</v>
      </c>
      <c r="H843" s="120" t="s">
        <v>2920</v>
      </c>
      <c r="I843" s="120" t="s">
        <v>2921</v>
      </c>
      <c r="J843" s="120" t="s">
        <v>769</v>
      </c>
      <c r="K843" s="110">
        <v>2738800</v>
      </c>
      <c r="L843" s="110"/>
      <c r="M843" s="110">
        <v>244500</v>
      </c>
      <c r="N843" s="110"/>
      <c r="O843" s="110"/>
      <c r="P843" s="110">
        <f t="shared" si="279"/>
        <v>2983300</v>
      </c>
      <c r="Q843" s="110">
        <f t="shared" si="284"/>
        <v>0</v>
      </c>
      <c r="R843" s="110">
        <f t="shared" si="285"/>
        <v>0</v>
      </c>
      <c r="S843" s="112" t="s">
        <v>1225</v>
      </c>
    </row>
    <row r="844" spans="1:19">
      <c r="A844" s="303">
        <v>0</v>
      </c>
      <c r="B844" s="302" t="s">
        <v>1342</v>
      </c>
      <c r="C844" s="301">
        <v>0</v>
      </c>
      <c r="D844" s="26">
        <v>0</v>
      </c>
      <c r="E844" s="25"/>
      <c r="F844" s="334">
        <v>0</v>
      </c>
      <c r="G844" s="112">
        <v>0</v>
      </c>
      <c r="H844" s="120">
        <v>0</v>
      </c>
      <c r="I844" s="120">
        <v>0</v>
      </c>
      <c r="J844" s="120">
        <v>0</v>
      </c>
      <c r="K844" s="110">
        <v>0</v>
      </c>
      <c r="L844" s="110"/>
      <c r="M844" s="110">
        <v>0</v>
      </c>
      <c r="N844" s="110"/>
      <c r="O844" s="110"/>
      <c r="P844" s="110">
        <f t="shared" si="279"/>
        <v>0</v>
      </c>
      <c r="Q844" s="110">
        <f t="shared" si="284"/>
        <v>0</v>
      </c>
      <c r="R844" s="110">
        <f t="shared" si="285"/>
        <v>0</v>
      </c>
      <c r="S844" s="112">
        <v>0</v>
      </c>
    </row>
    <row r="845" spans="1:19">
      <c r="A845" s="303">
        <v>0</v>
      </c>
      <c r="B845" s="302" t="s">
        <v>1248</v>
      </c>
      <c r="C845" s="301" t="s">
        <v>4</v>
      </c>
      <c r="D845" s="26">
        <v>0</v>
      </c>
      <c r="E845" s="25"/>
      <c r="F845" s="334">
        <v>0</v>
      </c>
      <c r="G845" s="112" t="s">
        <v>1228</v>
      </c>
      <c r="H845" s="120" t="s">
        <v>2937</v>
      </c>
      <c r="I845" s="120" t="s">
        <v>2921</v>
      </c>
      <c r="J845" s="120" t="s">
        <v>769</v>
      </c>
      <c r="K845" s="110">
        <v>11397200</v>
      </c>
      <c r="L845" s="110"/>
      <c r="M845" s="110">
        <v>244500</v>
      </c>
      <c r="N845" s="110"/>
      <c r="O845" s="110"/>
      <c r="P845" s="110">
        <f t="shared" si="279"/>
        <v>11641700</v>
      </c>
      <c r="Q845" s="110">
        <f t="shared" si="284"/>
        <v>0</v>
      </c>
      <c r="R845" s="110">
        <f t="shared" si="285"/>
        <v>0</v>
      </c>
      <c r="S845" s="112" t="s">
        <v>1228</v>
      </c>
    </row>
    <row r="846" spans="1:19">
      <c r="A846" s="303">
        <v>0</v>
      </c>
      <c r="B846" s="302">
        <v>0</v>
      </c>
      <c r="C846" s="301">
        <v>0</v>
      </c>
      <c r="D846" s="26">
        <v>0</v>
      </c>
      <c r="E846" s="25"/>
      <c r="F846" s="334">
        <v>0</v>
      </c>
      <c r="G846" s="112">
        <v>0</v>
      </c>
      <c r="H846" s="120">
        <v>0</v>
      </c>
      <c r="I846" s="120">
        <v>0</v>
      </c>
      <c r="J846" s="120">
        <v>0</v>
      </c>
      <c r="K846" s="110">
        <v>0</v>
      </c>
      <c r="L846" s="110"/>
      <c r="M846" s="110">
        <v>0</v>
      </c>
      <c r="N846" s="110"/>
      <c r="O846" s="110"/>
      <c r="P846" s="110">
        <f t="shared" si="279"/>
        <v>0</v>
      </c>
      <c r="Q846" s="110">
        <f t="shared" si="284"/>
        <v>0</v>
      </c>
      <c r="R846" s="110">
        <f t="shared" si="285"/>
        <v>0</v>
      </c>
      <c r="S846" s="112">
        <v>0</v>
      </c>
    </row>
    <row r="847" spans="1:19" ht="60">
      <c r="A847" s="303" t="s">
        <v>10</v>
      </c>
      <c r="B847" s="302" t="s">
        <v>1349</v>
      </c>
      <c r="C847" s="301">
        <v>0</v>
      </c>
      <c r="D847" s="26">
        <v>0</v>
      </c>
      <c r="E847" s="25"/>
      <c r="F847" s="334">
        <v>0</v>
      </c>
      <c r="G847" s="112">
        <v>0</v>
      </c>
      <c r="H847" s="120">
        <v>0</v>
      </c>
      <c r="I847" s="120">
        <v>0</v>
      </c>
      <c r="J847" s="120">
        <v>0</v>
      </c>
      <c r="K847" s="110">
        <v>0</v>
      </c>
      <c r="L847" s="110"/>
      <c r="M847" s="110">
        <v>0</v>
      </c>
      <c r="N847" s="110"/>
      <c r="O847" s="110"/>
      <c r="P847" s="110">
        <f t="shared" si="279"/>
        <v>0</v>
      </c>
      <c r="Q847" s="110">
        <f t="shared" si="284"/>
        <v>0</v>
      </c>
      <c r="R847" s="110">
        <f t="shared" si="285"/>
        <v>0</v>
      </c>
      <c r="S847" s="112">
        <v>0</v>
      </c>
    </row>
    <row r="848" spans="1:19">
      <c r="A848" s="303">
        <v>0</v>
      </c>
      <c r="B848" s="302" t="s">
        <v>1335</v>
      </c>
      <c r="C848" s="301">
        <v>0</v>
      </c>
      <c r="D848" s="26">
        <v>0</v>
      </c>
      <c r="E848" s="25"/>
      <c r="F848" s="334">
        <v>0</v>
      </c>
      <c r="G848" s="112">
        <v>0</v>
      </c>
      <c r="H848" s="120">
        <v>0</v>
      </c>
      <c r="I848" s="120">
        <v>0</v>
      </c>
      <c r="J848" s="120">
        <v>0</v>
      </c>
      <c r="K848" s="110">
        <v>0</v>
      </c>
      <c r="L848" s="110"/>
      <c r="M848" s="110">
        <v>0</v>
      </c>
      <c r="N848" s="110"/>
      <c r="O848" s="110"/>
      <c r="P848" s="110">
        <f t="shared" si="279"/>
        <v>0</v>
      </c>
      <c r="Q848" s="110">
        <f t="shared" si="284"/>
        <v>0</v>
      </c>
      <c r="R848" s="110">
        <f t="shared" si="285"/>
        <v>0</v>
      </c>
      <c r="S848" s="112">
        <v>0</v>
      </c>
    </row>
    <row r="849" spans="1:19">
      <c r="A849" s="303">
        <v>0</v>
      </c>
      <c r="B849" s="302" t="s">
        <v>1424</v>
      </c>
      <c r="C849" s="301" t="s">
        <v>4</v>
      </c>
      <c r="D849" s="26">
        <v>0</v>
      </c>
      <c r="E849" s="25"/>
      <c r="F849" s="334">
        <v>0</v>
      </c>
      <c r="G849" s="112" t="s">
        <v>1228</v>
      </c>
      <c r="H849" s="120" t="s">
        <v>2935</v>
      </c>
      <c r="I849" s="120" t="s">
        <v>2921</v>
      </c>
      <c r="J849" s="120" t="s">
        <v>769</v>
      </c>
      <c r="K849" s="110">
        <v>1918400</v>
      </c>
      <c r="L849" s="110"/>
      <c r="M849" s="110">
        <v>179500</v>
      </c>
      <c r="N849" s="110"/>
      <c r="O849" s="110"/>
      <c r="P849" s="110">
        <f t="shared" si="279"/>
        <v>2097900</v>
      </c>
      <c r="Q849" s="110">
        <f t="shared" si="284"/>
        <v>0</v>
      </c>
      <c r="R849" s="110">
        <f t="shared" si="285"/>
        <v>0</v>
      </c>
      <c r="S849" s="112" t="s">
        <v>1228</v>
      </c>
    </row>
    <row r="850" spans="1:19">
      <c r="A850" s="303">
        <v>0</v>
      </c>
      <c r="B850" s="302" t="s">
        <v>1350</v>
      </c>
      <c r="C850" s="301">
        <v>0</v>
      </c>
      <c r="D850" s="26">
        <v>0</v>
      </c>
      <c r="E850" s="25"/>
      <c r="F850" s="334">
        <v>0</v>
      </c>
      <c r="G850" s="112">
        <v>0</v>
      </c>
      <c r="H850" s="120">
        <v>0</v>
      </c>
      <c r="I850" s="120">
        <v>0</v>
      </c>
      <c r="J850" s="120">
        <v>0</v>
      </c>
      <c r="K850" s="110">
        <v>0</v>
      </c>
      <c r="L850" s="110"/>
      <c r="M850" s="110">
        <v>0</v>
      </c>
      <c r="N850" s="110"/>
      <c r="O850" s="110"/>
      <c r="P850" s="110">
        <f t="shared" si="279"/>
        <v>0</v>
      </c>
      <c r="Q850" s="110">
        <f t="shared" si="284"/>
        <v>0</v>
      </c>
      <c r="R850" s="110">
        <f t="shared" si="285"/>
        <v>0</v>
      </c>
      <c r="S850" s="112">
        <v>0</v>
      </c>
    </row>
    <row r="851" spans="1:19" ht="45">
      <c r="A851" s="303">
        <v>0</v>
      </c>
      <c r="B851" s="302" t="s">
        <v>1361</v>
      </c>
      <c r="C851" s="301" t="s">
        <v>7</v>
      </c>
      <c r="D851" s="26">
        <v>0</v>
      </c>
      <c r="E851" s="25"/>
      <c r="F851" s="334">
        <v>0</v>
      </c>
      <c r="G851" s="112" t="s">
        <v>2961</v>
      </c>
      <c r="H851" s="120" t="s">
        <v>2962</v>
      </c>
      <c r="I851" s="120" t="s">
        <v>2748</v>
      </c>
      <c r="J851" s="120" t="s">
        <v>772</v>
      </c>
      <c r="K851" s="110">
        <v>121300</v>
      </c>
      <c r="L851" s="110"/>
      <c r="M851" s="110">
        <v>96900</v>
      </c>
      <c r="N851" s="110"/>
      <c r="O851" s="110"/>
      <c r="P851" s="110">
        <f t="shared" si="279"/>
        <v>218200</v>
      </c>
      <c r="Q851" s="110">
        <f t="shared" si="284"/>
        <v>0</v>
      </c>
      <c r="R851" s="110">
        <f t="shared" si="285"/>
        <v>0</v>
      </c>
      <c r="S851" s="112" t="s">
        <v>2961</v>
      </c>
    </row>
    <row r="852" spans="1:19" ht="45">
      <c r="A852" s="303">
        <v>0</v>
      </c>
      <c r="B852" s="302" t="s">
        <v>1364</v>
      </c>
      <c r="C852" s="301" t="s">
        <v>7</v>
      </c>
      <c r="D852" s="26">
        <v>0</v>
      </c>
      <c r="E852" s="25"/>
      <c r="F852" s="334">
        <v>0</v>
      </c>
      <c r="G852" s="112" t="s">
        <v>2963</v>
      </c>
      <c r="H852" s="120" t="s">
        <v>2964</v>
      </c>
      <c r="I852" s="120" t="s">
        <v>2748</v>
      </c>
      <c r="J852" s="120" t="s">
        <v>772</v>
      </c>
      <c r="K852" s="110">
        <v>84300</v>
      </c>
      <c r="L852" s="110"/>
      <c r="M852" s="110">
        <v>85000</v>
      </c>
      <c r="N852" s="110"/>
      <c r="O852" s="110"/>
      <c r="P852" s="110">
        <f t="shared" si="279"/>
        <v>169300</v>
      </c>
      <c r="Q852" s="110">
        <f t="shared" si="284"/>
        <v>0</v>
      </c>
      <c r="R852" s="110">
        <f t="shared" si="285"/>
        <v>0</v>
      </c>
      <c r="S852" s="112" t="s">
        <v>2963</v>
      </c>
    </row>
    <row r="853" spans="1:19">
      <c r="A853" s="303">
        <v>0</v>
      </c>
      <c r="B853" s="302" t="s">
        <v>3146</v>
      </c>
      <c r="C853" s="301">
        <v>0</v>
      </c>
      <c r="D853" s="26">
        <v>0</v>
      </c>
      <c r="E853" s="25"/>
      <c r="F853" s="334">
        <v>0</v>
      </c>
      <c r="G853" s="112">
        <v>0</v>
      </c>
      <c r="H853" s="120">
        <v>0</v>
      </c>
      <c r="I853" s="120">
        <v>0</v>
      </c>
      <c r="J853" s="120">
        <v>0</v>
      </c>
      <c r="K853" s="110">
        <v>0</v>
      </c>
      <c r="L853" s="110"/>
      <c r="M853" s="110">
        <v>0</v>
      </c>
      <c r="N853" s="110"/>
      <c r="O853" s="110"/>
      <c r="P853" s="110">
        <f t="shared" si="279"/>
        <v>0</v>
      </c>
      <c r="Q853" s="110">
        <f t="shared" si="284"/>
        <v>0</v>
      </c>
      <c r="R853" s="110">
        <f t="shared" si="285"/>
        <v>0</v>
      </c>
      <c r="S853" s="112">
        <v>0</v>
      </c>
    </row>
    <row r="854" spans="1:19" ht="45">
      <c r="A854" s="303">
        <v>0</v>
      </c>
      <c r="B854" s="302" t="s">
        <v>1388</v>
      </c>
      <c r="C854" s="301" t="s">
        <v>7</v>
      </c>
      <c r="D854" s="26">
        <v>0</v>
      </c>
      <c r="E854" s="25"/>
      <c r="F854" s="334">
        <v>0</v>
      </c>
      <c r="G854" s="112" t="s">
        <v>2715</v>
      </c>
      <c r="H854" s="120" t="s">
        <v>2744</v>
      </c>
      <c r="I854" s="120" t="s">
        <v>1630</v>
      </c>
      <c r="J854" s="120" t="s">
        <v>772</v>
      </c>
      <c r="K854" s="110">
        <v>1339000</v>
      </c>
      <c r="L854" s="110"/>
      <c r="M854" s="110">
        <v>387500</v>
      </c>
      <c r="N854" s="110"/>
      <c r="O854" s="110"/>
      <c r="P854" s="110">
        <f t="shared" si="279"/>
        <v>1726500</v>
      </c>
      <c r="Q854" s="110">
        <f t="shared" si="284"/>
        <v>0</v>
      </c>
      <c r="R854" s="110">
        <f t="shared" si="285"/>
        <v>0</v>
      </c>
      <c r="S854" s="112" t="s">
        <v>2715</v>
      </c>
    </row>
    <row r="855" spans="1:19">
      <c r="A855" s="303">
        <v>0</v>
      </c>
      <c r="B855" s="302" t="s">
        <v>3147</v>
      </c>
      <c r="C855" s="301">
        <v>0</v>
      </c>
      <c r="D855" s="26">
        <v>0</v>
      </c>
      <c r="E855" s="25"/>
      <c r="F855" s="334">
        <v>0</v>
      </c>
      <c r="G855" s="112">
        <v>0</v>
      </c>
      <c r="H855" s="120">
        <v>0</v>
      </c>
      <c r="I855" s="120">
        <v>0</v>
      </c>
      <c r="J855" s="120">
        <v>0</v>
      </c>
      <c r="K855" s="110">
        <v>0</v>
      </c>
      <c r="L855" s="110"/>
      <c r="M855" s="110">
        <v>0</v>
      </c>
      <c r="N855" s="110"/>
      <c r="O855" s="110"/>
      <c r="P855" s="110">
        <f t="shared" si="279"/>
        <v>0</v>
      </c>
      <c r="Q855" s="110">
        <f t="shared" si="284"/>
        <v>0</v>
      </c>
      <c r="R855" s="110">
        <f t="shared" si="285"/>
        <v>0</v>
      </c>
      <c r="S855" s="112">
        <v>0</v>
      </c>
    </row>
    <row r="856" spans="1:19" ht="45">
      <c r="A856" s="303">
        <v>0</v>
      </c>
      <c r="B856" s="302" t="s">
        <v>1250</v>
      </c>
      <c r="C856" s="301" t="s">
        <v>4</v>
      </c>
      <c r="D856" s="26">
        <v>0</v>
      </c>
      <c r="E856" s="25"/>
      <c r="F856" s="334">
        <v>0</v>
      </c>
      <c r="G856" s="112" t="s">
        <v>2694</v>
      </c>
      <c r="H856" s="120" t="s">
        <v>2695</v>
      </c>
      <c r="I856" s="120" t="s">
        <v>2689</v>
      </c>
      <c r="J856" s="120" t="s">
        <v>772</v>
      </c>
      <c r="K856" s="110">
        <v>554400</v>
      </c>
      <c r="L856" s="110"/>
      <c r="M856" s="110">
        <v>180900</v>
      </c>
      <c r="N856" s="110"/>
      <c r="O856" s="110"/>
      <c r="P856" s="110">
        <f t="shared" si="279"/>
        <v>735300</v>
      </c>
      <c r="Q856" s="110">
        <f t="shared" si="284"/>
        <v>0</v>
      </c>
      <c r="R856" s="110">
        <f t="shared" si="285"/>
        <v>0</v>
      </c>
      <c r="S856" s="112" t="s">
        <v>2694</v>
      </c>
    </row>
    <row r="857" spans="1:19" ht="45">
      <c r="A857" s="303">
        <v>0</v>
      </c>
      <c r="B857" s="302" t="s">
        <v>1252</v>
      </c>
      <c r="C857" s="301" t="s">
        <v>4</v>
      </c>
      <c r="D857" s="26">
        <v>0</v>
      </c>
      <c r="E857" s="25"/>
      <c r="F857" s="334">
        <v>0</v>
      </c>
      <c r="G857" s="112" t="s">
        <v>2696</v>
      </c>
      <c r="H857" s="120" t="s">
        <v>2697</v>
      </c>
      <c r="I857" s="120" t="s">
        <v>2689</v>
      </c>
      <c r="J857" s="120" t="s">
        <v>772</v>
      </c>
      <c r="K857" s="110">
        <v>541800</v>
      </c>
      <c r="L857" s="110"/>
      <c r="M857" s="110">
        <v>144000</v>
      </c>
      <c r="N857" s="110"/>
      <c r="O857" s="110"/>
      <c r="P857" s="110">
        <f t="shared" si="279"/>
        <v>685800</v>
      </c>
      <c r="Q857" s="110">
        <f t="shared" si="284"/>
        <v>0</v>
      </c>
      <c r="R857" s="110">
        <f t="shared" si="285"/>
        <v>0</v>
      </c>
      <c r="S857" s="112" t="s">
        <v>2696</v>
      </c>
    </row>
    <row r="858" spans="1:19" ht="30">
      <c r="A858" s="303">
        <v>0</v>
      </c>
      <c r="B858" s="302" t="s">
        <v>3148</v>
      </c>
      <c r="C858" s="301" t="s">
        <v>826</v>
      </c>
      <c r="D858" s="26">
        <v>0</v>
      </c>
      <c r="E858" s="25"/>
      <c r="F858" s="334">
        <v>0</v>
      </c>
      <c r="G858" s="112" t="s">
        <v>3135</v>
      </c>
      <c r="H858" s="120">
        <v>0</v>
      </c>
      <c r="I858" s="120">
        <v>0</v>
      </c>
      <c r="J858" s="120" t="s">
        <v>772</v>
      </c>
      <c r="K858" s="110">
        <v>0</v>
      </c>
      <c r="L858" s="110"/>
      <c r="M858" s="110">
        <v>62800</v>
      </c>
      <c r="N858" s="110"/>
      <c r="O858" s="110"/>
      <c r="P858" s="110">
        <f t="shared" si="279"/>
        <v>62800</v>
      </c>
      <c r="Q858" s="110">
        <f t="shared" si="284"/>
        <v>0</v>
      </c>
      <c r="R858" s="110">
        <f t="shared" si="285"/>
        <v>0</v>
      </c>
      <c r="S858" s="112" t="s">
        <v>3135</v>
      </c>
    </row>
    <row r="859" spans="1:19">
      <c r="A859" s="303">
        <v>0</v>
      </c>
      <c r="B859" s="302" t="s">
        <v>3149</v>
      </c>
      <c r="C859" s="301" t="s">
        <v>4</v>
      </c>
      <c r="D859" s="26">
        <v>0</v>
      </c>
      <c r="E859" s="25"/>
      <c r="F859" s="334">
        <v>0</v>
      </c>
      <c r="G859" s="112">
        <v>0</v>
      </c>
      <c r="H859" s="120">
        <v>0</v>
      </c>
      <c r="I859" s="120">
        <v>0</v>
      </c>
      <c r="J859" s="120">
        <v>0</v>
      </c>
      <c r="K859" s="110">
        <v>114000</v>
      </c>
      <c r="L859" s="110"/>
      <c r="M859" s="110">
        <v>0</v>
      </c>
      <c r="N859" s="110"/>
      <c r="O859" s="110"/>
      <c r="P859" s="110">
        <f t="shared" si="279"/>
        <v>114000</v>
      </c>
      <c r="Q859" s="110">
        <f t="shared" si="284"/>
        <v>0</v>
      </c>
      <c r="R859" s="110">
        <f t="shared" si="285"/>
        <v>0</v>
      </c>
      <c r="S859" s="112">
        <v>0</v>
      </c>
    </row>
    <row r="860" spans="1:19" ht="30">
      <c r="A860" s="303">
        <v>0</v>
      </c>
      <c r="B860" s="302" t="s">
        <v>3150</v>
      </c>
      <c r="C860" s="301" t="s">
        <v>4</v>
      </c>
      <c r="D860" s="26">
        <v>0</v>
      </c>
      <c r="E860" s="25"/>
      <c r="F860" s="334">
        <v>0</v>
      </c>
      <c r="G860" s="112" t="s">
        <v>2707</v>
      </c>
      <c r="H860" s="120" t="s">
        <v>2708</v>
      </c>
      <c r="I860" s="120" t="s">
        <v>2689</v>
      </c>
      <c r="J860" s="120" t="s">
        <v>772</v>
      </c>
      <c r="K860" s="110">
        <v>817800</v>
      </c>
      <c r="L860" s="110"/>
      <c r="M860" s="110">
        <v>542500</v>
      </c>
      <c r="N860" s="110"/>
      <c r="O860" s="110"/>
      <c r="P860" s="110">
        <f t="shared" si="279"/>
        <v>1360300</v>
      </c>
      <c r="Q860" s="110">
        <f t="shared" si="284"/>
        <v>0</v>
      </c>
      <c r="R860" s="110">
        <f t="shared" si="285"/>
        <v>0</v>
      </c>
      <c r="S860" s="112" t="s">
        <v>2707</v>
      </c>
    </row>
    <row r="861" spans="1:19" ht="30">
      <c r="A861" s="303">
        <v>0</v>
      </c>
      <c r="B861" s="302" t="s">
        <v>3151</v>
      </c>
      <c r="C861" s="301" t="s">
        <v>4</v>
      </c>
      <c r="D861" s="26">
        <v>0</v>
      </c>
      <c r="E861" s="25"/>
      <c r="F861" s="334">
        <v>0</v>
      </c>
      <c r="G861" s="112" t="s">
        <v>2709</v>
      </c>
      <c r="H861" s="120" t="s">
        <v>2710</v>
      </c>
      <c r="I861" s="120" t="s">
        <v>2689</v>
      </c>
      <c r="J861" s="120" t="s">
        <v>772</v>
      </c>
      <c r="K861" s="110">
        <v>249500</v>
      </c>
      <c r="L861" s="110"/>
      <c r="M861" s="110">
        <v>189300</v>
      </c>
      <c r="N861" s="110"/>
      <c r="O861" s="110"/>
      <c r="P861" s="110">
        <f t="shared" si="279"/>
        <v>438800</v>
      </c>
      <c r="Q861" s="110">
        <f t="shared" si="284"/>
        <v>0</v>
      </c>
      <c r="R861" s="110">
        <f t="shared" si="285"/>
        <v>0</v>
      </c>
      <c r="S861" s="112" t="s">
        <v>2709</v>
      </c>
    </row>
    <row r="862" spans="1:19" ht="30">
      <c r="A862" s="303">
        <v>0</v>
      </c>
      <c r="B862" s="302" t="s">
        <v>3152</v>
      </c>
      <c r="C862" s="301" t="s">
        <v>4</v>
      </c>
      <c r="D862" s="26">
        <v>0</v>
      </c>
      <c r="E862" s="25"/>
      <c r="F862" s="334">
        <v>0</v>
      </c>
      <c r="G862" s="112" t="s">
        <v>2711</v>
      </c>
      <c r="H862" s="120" t="s">
        <v>2712</v>
      </c>
      <c r="I862" s="120" t="s">
        <v>2689</v>
      </c>
      <c r="J862" s="120" t="s">
        <v>772</v>
      </c>
      <c r="K862" s="110">
        <v>152500</v>
      </c>
      <c r="L862" s="110"/>
      <c r="M862" s="110">
        <v>180900</v>
      </c>
      <c r="N862" s="110"/>
      <c r="O862" s="110"/>
      <c r="P862" s="110">
        <f t="shared" si="279"/>
        <v>333400</v>
      </c>
      <c r="Q862" s="110">
        <f t="shared" si="284"/>
        <v>0</v>
      </c>
      <c r="R862" s="110">
        <f t="shared" si="285"/>
        <v>0</v>
      </c>
      <c r="S862" s="112" t="s">
        <v>2711</v>
      </c>
    </row>
    <row r="863" spans="1:19" ht="30">
      <c r="A863" s="303">
        <v>0</v>
      </c>
      <c r="B863" s="302" t="s">
        <v>3153</v>
      </c>
      <c r="C863" s="301" t="s">
        <v>4</v>
      </c>
      <c r="D863" s="26">
        <v>0</v>
      </c>
      <c r="E863" s="25"/>
      <c r="F863" s="334">
        <v>0</v>
      </c>
      <c r="G863" s="112" t="s">
        <v>2713</v>
      </c>
      <c r="H863" s="120" t="s">
        <v>2714</v>
      </c>
      <c r="I863" s="120" t="s">
        <v>2689</v>
      </c>
      <c r="J863" s="120" t="s">
        <v>772</v>
      </c>
      <c r="K863" s="110">
        <v>124800</v>
      </c>
      <c r="L863" s="110"/>
      <c r="M863" s="110">
        <v>144000</v>
      </c>
      <c r="N863" s="110"/>
      <c r="O863" s="110"/>
      <c r="P863" s="110">
        <f t="shared" si="279"/>
        <v>268800</v>
      </c>
      <c r="Q863" s="110">
        <f t="shared" si="284"/>
        <v>0</v>
      </c>
      <c r="R863" s="110">
        <f t="shared" si="285"/>
        <v>0</v>
      </c>
      <c r="S863" s="112" t="s">
        <v>2713</v>
      </c>
    </row>
    <row r="864" spans="1:19">
      <c r="A864" s="303">
        <v>0</v>
      </c>
      <c r="B864" s="302">
        <v>0</v>
      </c>
      <c r="C864" s="301">
        <v>0</v>
      </c>
      <c r="D864" s="26">
        <v>0</v>
      </c>
      <c r="E864" s="25"/>
      <c r="F864" s="334">
        <v>0</v>
      </c>
      <c r="G864" s="112">
        <v>0</v>
      </c>
      <c r="H864" s="120">
        <v>0</v>
      </c>
      <c r="I864" s="120">
        <v>0</v>
      </c>
      <c r="J864" s="120">
        <v>0</v>
      </c>
      <c r="K864" s="110">
        <v>0</v>
      </c>
      <c r="L864" s="110"/>
      <c r="M864" s="110">
        <v>0</v>
      </c>
      <c r="N864" s="110"/>
      <c r="O864" s="110"/>
      <c r="P864" s="110">
        <f t="shared" si="279"/>
        <v>0</v>
      </c>
      <c r="Q864" s="110">
        <f t="shared" si="284"/>
        <v>0</v>
      </c>
      <c r="R864" s="110">
        <f t="shared" si="285"/>
        <v>0</v>
      </c>
      <c r="S864" s="112">
        <v>0</v>
      </c>
    </row>
    <row r="865" spans="1:19">
      <c r="A865" s="303" t="s">
        <v>477</v>
      </c>
      <c r="B865" s="302" t="s">
        <v>1431</v>
      </c>
      <c r="C865" s="301">
        <v>0</v>
      </c>
      <c r="D865" s="26">
        <v>0</v>
      </c>
      <c r="E865" s="25"/>
      <c r="F865" s="334">
        <v>0</v>
      </c>
      <c r="G865" s="112">
        <v>0</v>
      </c>
      <c r="H865" s="120">
        <v>0</v>
      </c>
      <c r="I865" s="120">
        <v>0</v>
      </c>
      <c r="J865" s="120">
        <v>0</v>
      </c>
      <c r="K865" s="110">
        <v>0</v>
      </c>
      <c r="L865" s="110"/>
      <c r="M865" s="110">
        <v>0</v>
      </c>
      <c r="N865" s="110"/>
      <c r="O865" s="110"/>
      <c r="P865" s="110">
        <f t="shared" si="279"/>
        <v>0</v>
      </c>
      <c r="Q865" s="110">
        <f t="shared" si="284"/>
        <v>0</v>
      </c>
      <c r="R865" s="110">
        <f t="shared" si="285"/>
        <v>0</v>
      </c>
      <c r="S865" s="112">
        <v>0</v>
      </c>
    </row>
    <row r="866" spans="1:19">
      <c r="A866" s="303">
        <v>0</v>
      </c>
      <c r="B866" s="302" t="s">
        <v>1350</v>
      </c>
      <c r="C866" s="301">
        <v>0</v>
      </c>
      <c r="D866" s="26">
        <v>0</v>
      </c>
      <c r="E866" s="25"/>
      <c r="F866" s="334">
        <v>0</v>
      </c>
      <c r="G866" s="112">
        <v>0</v>
      </c>
      <c r="H866" s="120">
        <v>0</v>
      </c>
      <c r="I866" s="120">
        <v>0</v>
      </c>
      <c r="J866" s="120">
        <v>0</v>
      </c>
      <c r="K866" s="110">
        <v>0</v>
      </c>
      <c r="L866" s="110"/>
      <c r="M866" s="110">
        <v>0</v>
      </c>
      <c r="N866" s="110"/>
      <c r="O866" s="110"/>
      <c r="P866" s="110">
        <f t="shared" si="279"/>
        <v>0</v>
      </c>
      <c r="Q866" s="110">
        <f t="shared" si="284"/>
        <v>0</v>
      </c>
      <c r="R866" s="110">
        <f t="shared" si="285"/>
        <v>0</v>
      </c>
      <c r="S866" s="112">
        <v>0</v>
      </c>
    </row>
    <row r="867" spans="1:19" ht="45">
      <c r="A867" s="303">
        <v>0</v>
      </c>
      <c r="B867" s="302" t="s">
        <v>1364</v>
      </c>
      <c r="C867" s="301" t="s">
        <v>7</v>
      </c>
      <c r="D867" s="26">
        <v>0</v>
      </c>
      <c r="E867" s="25"/>
      <c r="F867" s="334">
        <v>0</v>
      </c>
      <c r="G867" s="112" t="s">
        <v>2963</v>
      </c>
      <c r="H867" s="120" t="s">
        <v>2964</v>
      </c>
      <c r="I867" s="120" t="s">
        <v>2748</v>
      </c>
      <c r="J867" s="120" t="s">
        <v>772</v>
      </c>
      <c r="K867" s="110">
        <v>84300</v>
      </c>
      <c r="L867" s="110"/>
      <c r="M867" s="110">
        <v>85000</v>
      </c>
      <c r="N867" s="110"/>
      <c r="O867" s="110"/>
      <c r="P867" s="110">
        <f t="shared" si="279"/>
        <v>169300</v>
      </c>
      <c r="Q867" s="110">
        <f t="shared" si="284"/>
        <v>0</v>
      </c>
      <c r="R867" s="110">
        <f t="shared" si="285"/>
        <v>0</v>
      </c>
      <c r="S867" s="112" t="s">
        <v>2963</v>
      </c>
    </row>
    <row r="868" spans="1:19">
      <c r="A868" s="303">
        <v>0</v>
      </c>
      <c r="B868" s="302" t="s">
        <v>1335</v>
      </c>
      <c r="C868" s="301">
        <v>0</v>
      </c>
      <c r="D868" s="26">
        <v>0</v>
      </c>
      <c r="E868" s="25"/>
      <c r="F868" s="334">
        <v>0</v>
      </c>
      <c r="G868" s="112">
        <v>0</v>
      </c>
      <c r="H868" s="120">
        <v>0</v>
      </c>
      <c r="I868" s="120">
        <v>0</v>
      </c>
      <c r="J868" s="120">
        <v>0</v>
      </c>
      <c r="K868" s="110">
        <v>0</v>
      </c>
      <c r="L868" s="110"/>
      <c r="M868" s="110">
        <v>0</v>
      </c>
      <c r="N868" s="110"/>
      <c r="O868" s="110"/>
      <c r="P868" s="110">
        <f t="shared" si="279"/>
        <v>0</v>
      </c>
      <c r="Q868" s="110">
        <f t="shared" si="284"/>
        <v>0</v>
      </c>
      <c r="R868" s="110">
        <f t="shared" si="285"/>
        <v>0</v>
      </c>
      <c r="S868" s="112">
        <v>0</v>
      </c>
    </row>
    <row r="869" spans="1:19">
      <c r="A869" s="303">
        <v>0</v>
      </c>
      <c r="B869" s="302" t="s">
        <v>1424</v>
      </c>
      <c r="C869" s="301" t="s">
        <v>4</v>
      </c>
      <c r="D869" s="26">
        <v>0</v>
      </c>
      <c r="E869" s="25"/>
      <c r="F869" s="334">
        <v>0</v>
      </c>
      <c r="G869" s="112" t="s">
        <v>1228</v>
      </c>
      <c r="H869" s="120" t="s">
        <v>2935</v>
      </c>
      <c r="I869" s="120" t="s">
        <v>2921</v>
      </c>
      <c r="J869" s="120" t="s">
        <v>769</v>
      </c>
      <c r="K869" s="110">
        <v>1918400</v>
      </c>
      <c r="L869" s="110"/>
      <c r="M869" s="110">
        <v>179500</v>
      </c>
      <c r="N869" s="110"/>
      <c r="O869" s="110"/>
      <c r="P869" s="110">
        <f t="shared" si="279"/>
        <v>2097900</v>
      </c>
      <c r="Q869" s="110">
        <f t="shared" si="284"/>
        <v>0</v>
      </c>
      <c r="R869" s="110">
        <f t="shared" si="285"/>
        <v>0</v>
      </c>
      <c r="S869" s="112" t="s">
        <v>1228</v>
      </c>
    </row>
    <row r="870" spans="1:19">
      <c r="A870" s="303">
        <v>0</v>
      </c>
      <c r="B870" s="302" t="s">
        <v>1290</v>
      </c>
      <c r="C870" s="301" t="s">
        <v>4</v>
      </c>
      <c r="D870" s="26">
        <v>0</v>
      </c>
      <c r="E870" s="25"/>
      <c r="F870" s="334">
        <v>0</v>
      </c>
      <c r="G870" s="112" t="s">
        <v>1228</v>
      </c>
      <c r="H870" s="120">
        <v>0</v>
      </c>
      <c r="I870" s="120" t="s">
        <v>2921</v>
      </c>
      <c r="J870" s="120" t="s">
        <v>769</v>
      </c>
      <c r="K870" s="110">
        <v>1589500</v>
      </c>
      <c r="L870" s="110"/>
      <c r="M870" s="110">
        <v>140200</v>
      </c>
      <c r="N870" s="110"/>
      <c r="O870" s="110"/>
      <c r="P870" s="110">
        <f t="shared" si="279"/>
        <v>1729700</v>
      </c>
      <c r="Q870" s="110">
        <f t="shared" si="284"/>
        <v>0</v>
      </c>
      <c r="R870" s="110">
        <f t="shared" si="285"/>
        <v>0</v>
      </c>
      <c r="S870" s="112" t="s">
        <v>1228</v>
      </c>
    </row>
    <row r="871" spans="1:19">
      <c r="A871" s="303">
        <v>0</v>
      </c>
      <c r="B871" s="302">
        <v>0</v>
      </c>
      <c r="C871" s="301">
        <v>0</v>
      </c>
      <c r="D871" s="26">
        <v>0</v>
      </c>
      <c r="E871" s="25"/>
      <c r="F871" s="334">
        <v>0</v>
      </c>
      <c r="G871" s="112">
        <v>0</v>
      </c>
      <c r="H871" s="120">
        <v>0</v>
      </c>
      <c r="I871" s="120">
        <v>0</v>
      </c>
      <c r="J871" s="120">
        <v>0</v>
      </c>
      <c r="K871" s="110">
        <v>0</v>
      </c>
      <c r="L871" s="110"/>
      <c r="M871" s="110">
        <v>0</v>
      </c>
      <c r="N871" s="110"/>
      <c r="O871" s="110"/>
      <c r="P871" s="110">
        <f t="shared" si="279"/>
        <v>0</v>
      </c>
      <c r="Q871" s="110">
        <f t="shared" si="284"/>
        <v>0</v>
      </c>
      <c r="R871" s="110">
        <f t="shared" si="285"/>
        <v>0</v>
      </c>
      <c r="S871" s="112">
        <v>0</v>
      </c>
    </row>
    <row r="872" spans="1:19">
      <c r="A872" s="303" t="s">
        <v>478</v>
      </c>
      <c r="B872" s="302" t="s">
        <v>1454</v>
      </c>
      <c r="C872" s="301">
        <v>0</v>
      </c>
      <c r="D872" s="26">
        <v>0</v>
      </c>
      <c r="E872" s="25"/>
      <c r="F872" s="334">
        <v>0</v>
      </c>
      <c r="G872" s="112">
        <v>0</v>
      </c>
      <c r="H872" s="120">
        <v>0</v>
      </c>
      <c r="I872" s="120">
        <v>0</v>
      </c>
      <c r="J872" s="120">
        <v>0</v>
      </c>
      <c r="K872" s="110">
        <v>0</v>
      </c>
      <c r="L872" s="110"/>
      <c r="M872" s="110">
        <v>0</v>
      </c>
      <c r="N872" s="110"/>
      <c r="O872" s="110"/>
      <c r="P872" s="110">
        <f t="shared" si="279"/>
        <v>0</v>
      </c>
      <c r="Q872" s="110">
        <f t="shared" si="284"/>
        <v>0</v>
      </c>
      <c r="R872" s="110">
        <f t="shared" si="285"/>
        <v>0</v>
      </c>
      <c r="S872" s="112">
        <v>0</v>
      </c>
    </row>
    <row r="873" spans="1:19">
      <c r="A873" s="303">
        <v>0</v>
      </c>
      <c r="B873" s="302" t="s">
        <v>3134</v>
      </c>
      <c r="C873" s="301">
        <v>0</v>
      </c>
      <c r="D873" s="26">
        <v>0</v>
      </c>
      <c r="E873" s="25"/>
      <c r="F873" s="334">
        <v>0</v>
      </c>
      <c r="G873" s="112">
        <v>0</v>
      </c>
      <c r="H873" s="120">
        <v>0</v>
      </c>
      <c r="I873" s="120">
        <v>0</v>
      </c>
      <c r="J873" s="120">
        <v>0</v>
      </c>
      <c r="K873" s="110">
        <v>0</v>
      </c>
      <c r="L873" s="110"/>
      <c r="M873" s="110">
        <v>0</v>
      </c>
      <c r="N873" s="110"/>
      <c r="O873" s="110"/>
      <c r="P873" s="110">
        <f t="shared" si="279"/>
        <v>0</v>
      </c>
      <c r="Q873" s="110">
        <f t="shared" si="284"/>
        <v>0</v>
      </c>
      <c r="R873" s="110">
        <f t="shared" si="285"/>
        <v>0</v>
      </c>
      <c r="S873" s="112">
        <v>0</v>
      </c>
    </row>
    <row r="874" spans="1:19">
      <c r="A874" s="303">
        <v>0</v>
      </c>
      <c r="B874" s="302" t="s">
        <v>1318</v>
      </c>
      <c r="C874" s="301" t="s">
        <v>4</v>
      </c>
      <c r="D874" s="26">
        <v>0</v>
      </c>
      <c r="E874" s="25"/>
      <c r="F874" s="334">
        <v>0</v>
      </c>
      <c r="G874" s="112">
        <v>0</v>
      </c>
      <c r="H874" s="120">
        <v>0</v>
      </c>
      <c r="I874" s="120">
        <v>0</v>
      </c>
      <c r="J874" s="120" t="s">
        <v>772</v>
      </c>
      <c r="K874" s="110">
        <v>460300</v>
      </c>
      <c r="L874" s="110"/>
      <c r="M874" s="110">
        <v>75200</v>
      </c>
      <c r="N874" s="110"/>
      <c r="O874" s="110"/>
      <c r="P874" s="110">
        <f t="shared" si="279"/>
        <v>535500</v>
      </c>
      <c r="Q874" s="110">
        <f t="shared" si="284"/>
        <v>0</v>
      </c>
      <c r="R874" s="110">
        <f t="shared" si="285"/>
        <v>0</v>
      </c>
      <c r="S874" s="112">
        <v>0</v>
      </c>
    </row>
    <row r="875" spans="1:19">
      <c r="A875" s="303">
        <v>0</v>
      </c>
      <c r="B875" s="302" t="s">
        <v>3154</v>
      </c>
      <c r="C875" s="301" t="s">
        <v>4</v>
      </c>
      <c r="D875" s="26">
        <v>0</v>
      </c>
      <c r="E875" s="25"/>
      <c r="F875" s="334">
        <v>0</v>
      </c>
      <c r="G875" s="112">
        <v>0</v>
      </c>
      <c r="H875" s="120">
        <v>0</v>
      </c>
      <c r="I875" s="120">
        <v>0</v>
      </c>
      <c r="J875" s="120" t="s">
        <v>772</v>
      </c>
      <c r="K875" s="110">
        <v>460300</v>
      </c>
      <c r="L875" s="110"/>
      <c r="M875" s="110">
        <v>75200</v>
      </c>
      <c r="N875" s="110"/>
      <c r="O875" s="110"/>
      <c r="P875" s="110">
        <f t="shared" si="279"/>
        <v>535500</v>
      </c>
      <c r="Q875" s="110">
        <f t="shared" si="284"/>
        <v>0</v>
      </c>
      <c r="R875" s="110">
        <f t="shared" si="285"/>
        <v>0</v>
      </c>
      <c r="S875" s="112">
        <v>0</v>
      </c>
    </row>
    <row r="876" spans="1:19">
      <c r="A876" s="303">
        <v>0</v>
      </c>
      <c r="B876" s="302" t="s">
        <v>3155</v>
      </c>
      <c r="C876" s="301" t="s">
        <v>7</v>
      </c>
      <c r="D876" s="26">
        <v>0</v>
      </c>
      <c r="E876" s="25"/>
      <c r="F876" s="334">
        <v>0</v>
      </c>
      <c r="G876" s="112">
        <v>0</v>
      </c>
      <c r="H876" s="120">
        <v>0</v>
      </c>
      <c r="I876" s="120">
        <v>0</v>
      </c>
      <c r="J876" s="120" t="s">
        <v>772</v>
      </c>
      <c r="K876" s="110">
        <v>22800</v>
      </c>
      <c r="L876" s="110"/>
      <c r="M876" s="110">
        <v>46500</v>
      </c>
      <c r="N876" s="110"/>
      <c r="O876" s="110"/>
      <c r="P876" s="110">
        <f t="shared" si="279"/>
        <v>69300</v>
      </c>
      <c r="Q876" s="110">
        <f t="shared" si="284"/>
        <v>0</v>
      </c>
      <c r="R876" s="110">
        <f t="shared" si="285"/>
        <v>0</v>
      </c>
      <c r="S876" s="112">
        <v>0</v>
      </c>
    </row>
    <row r="877" spans="1:19" ht="45">
      <c r="A877" s="303">
        <v>0</v>
      </c>
      <c r="B877" s="302" t="s">
        <v>3137</v>
      </c>
      <c r="C877" s="301" t="s">
        <v>4</v>
      </c>
      <c r="D877" s="26">
        <v>0</v>
      </c>
      <c r="E877" s="25"/>
      <c r="F877" s="334">
        <v>0</v>
      </c>
      <c r="G877" s="112" t="s">
        <v>3136</v>
      </c>
      <c r="H877" s="120">
        <v>0</v>
      </c>
      <c r="I877" s="120">
        <v>0</v>
      </c>
      <c r="J877" s="120" t="s">
        <v>772</v>
      </c>
      <c r="K877" s="110">
        <v>95800</v>
      </c>
      <c r="L877" s="110"/>
      <c r="M877" s="110">
        <v>229400</v>
      </c>
      <c r="N877" s="110"/>
      <c r="O877" s="110"/>
      <c r="P877" s="110">
        <f t="shared" si="279"/>
        <v>325200</v>
      </c>
      <c r="Q877" s="110">
        <f t="shared" si="284"/>
        <v>0</v>
      </c>
      <c r="R877" s="110">
        <f t="shared" si="285"/>
        <v>0</v>
      </c>
      <c r="S877" s="112" t="s">
        <v>3136</v>
      </c>
    </row>
    <row r="878" spans="1:19">
      <c r="A878" s="303">
        <v>0</v>
      </c>
      <c r="B878" s="302" t="s">
        <v>3138</v>
      </c>
      <c r="C878" s="301" t="s">
        <v>4</v>
      </c>
      <c r="D878" s="26">
        <v>0</v>
      </c>
      <c r="E878" s="25"/>
      <c r="F878" s="334">
        <v>0</v>
      </c>
      <c r="G878" s="112">
        <v>0</v>
      </c>
      <c r="H878" s="120">
        <v>0</v>
      </c>
      <c r="I878" s="120">
        <v>0</v>
      </c>
      <c r="J878" s="120" t="s">
        <v>772</v>
      </c>
      <c r="K878" s="110">
        <v>42000</v>
      </c>
      <c r="L878" s="110"/>
      <c r="M878" s="110">
        <v>99700</v>
      </c>
      <c r="N878" s="110"/>
      <c r="O878" s="110"/>
      <c r="P878" s="110">
        <f t="shared" si="279"/>
        <v>141700</v>
      </c>
      <c r="Q878" s="110">
        <f t="shared" si="284"/>
        <v>0</v>
      </c>
      <c r="R878" s="110">
        <f t="shared" si="285"/>
        <v>0</v>
      </c>
      <c r="S878" s="112">
        <v>0</v>
      </c>
    </row>
    <row r="879" spans="1:19">
      <c r="A879" s="303">
        <v>0</v>
      </c>
      <c r="B879" s="302">
        <v>0</v>
      </c>
      <c r="C879" s="301">
        <v>0</v>
      </c>
      <c r="D879" s="26">
        <v>0</v>
      </c>
      <c r="E879" s="25"/>
      <c r="F879" s="334">
        <v>0</v>
      </c>
      <c r="G879" s="112">
        <v>0</v>
      </c>
      <c r="H879" s="120">
        <v>0</v>
      </c>
      <c r="I879" s="120">
        <v>0</v>
      </c>
      <c r="J879" s="120">
        <v>0</v>
      </c>
      <c r="K879" s="110">
        <v>0</v>
      </c>
      <c r="L879" s="110"/>
      <c r="M879" s="110">
        <v>0</v>
      </c>
      <c r="N879" s="110"/>
      <c r="O879" s="110"/>
      <c r="P879" s="110">
        <f t="shared" ref="P879:P903" si="286">K879+L879+M879+N879+O879</f>
        <v>0</v>
      </c>
      <c r="Q879" s="110">
        <f t="shared" si="284"/>
        <v>0</v>
      </c>
      <c r="R879" s="110">
        <f t="shared" si="285"/>
        <v>0</v>
      </c>
      <c r="S879" s="112">
        <v>0</v>
      </c>
    </row>
    <row r="880" spans="1:19">
      <c r="A880" s="303" t="s">
        <v>717</v>
      </c>
      <c r="B880" s="302" t="s">
        <v>1508</v>
      </c>
      <c r="C880" s="301">
        <v>0</v>
      </c>
      <c r="D880" s="26">
        <v>0</v>
      </c>
      <c r="E880" s="25"/>
      <c r="F880" s="334">
        <v>0</v>
      </c>
      <c r="G880" s="112">
        <v>0</v>
      </c>
      <c r="H880" s="120">
        <v>0</v>
      </c>
      <c r="I880" s="120">
        <v>0</v>
      </c>
      <c r="J880" s="120">
        <v>0</v>
      </c>
      <c r="K880" s="110">
        <v>0</v>
      </c>
      <c r="L880" s="110"/>
      <c r="M880" s="110">
        <v>0</v>
      </c>
      <c r="N880" s="110"/>
      <c r="O880" s="110"/>
      <c r="P880" s="110">
        <f t="shared" si="286"/>
        <v>0</v>
      </c>
      <c r="Q880" s="110">
        <f t="shared" si="284"/>
        <v>0</v>
      </c>
      <c r="R880" s="110">
        <f t="shared" si="285"/>
        <v>0</v>
      </c>
      <c r="S880" s="112">
        <v>0</v>
      </c>
    </row>
    <row r="881" spans="1:19" ht="90">
      <c r="A881" s="303">
        <v>0</v>
      </c>
      <c r="B881" s="302" t="s">
        <v>2880</v>
      </c>
      <c r="C881" s="301" t="s">
        <v>17</v>
      </c>
      <c r="D881" s="26">
        <v>0</v>
      </c>
      <c r="E881" s="25"/>
      <c r="F881" s="334">
        <v>0</v>
      </c>
      <c r="G881" s="112" t="s">
        <v>2881</v>
      </c>
      <c r="H881" s="120">
        <v>0</v>
      </c>
      <c r="I881" s="120" t="s">
        <v>2862</v>
      </c>
      <c r="J881" s="120" t="s">
        <v>769</v>
      </c>
      <c r="K881" s="110">
        <v>5808000</v>
      </c>
      <c r="L881" s="110"/>
      <c r="M881" s="110">
        <v>744000</v>
      </c>
      <c r="N881" s="110"/>
      <c r="O881" s="110"/>
      <c r="P881" s="110">
        <f t="shared" si="286"/>
        <v>6552000</v>
      </c>
      <c r="Q881" s="110">
        <f t="shared" si="284"/>
        <v>0</v>
      </c>
      <c r="R881" s="110">
        <f t="shared" si="285"/>
        <v>0</v>
      </c>
      <c r="S881" s="112" t="s">
        <v>2881</v>
      </c>
    </row>
    <row r="882" spans="1:19">
      <c r="A882" s="303">
        <v>0</v>
      </c>
      <c r="B882" s="302" t="s">
        <v>2882</v>
      </c>
      <c r="C882" s="301" t="s">
        <v>4</v>
      </c>
      <c r="D882" s="26">
        <v>0</v>
      </c>
      <c r="E882" s="25"/>
      <c r="F882" s="334">
        <v>0</v>
      </c>
      <c r="G882" s="112" t="s">
        <v>2883</v>
      </c>
      <c r="H882" s="120" t="s">
        <v>2884</v>
      </c>
      <c r="I882" s="120" t="s">
        <v>2862</v>
      </c>
      <c r="J882" s="120" t="s">
        <v>769</v>
      </c>
      <c r="K882" s="110">
        <v>5445000</v>
      </c>
      <c r="L882" s="110"/>
      <c r="M882" s="110">
        <v>2092500</v>
      </c>
      <c r="N882" s="110"/>
      <c r="O882" s="110"/>
      <c r="P882" s="110">
        <f t="shared" si="286"/>
        <v>7537500</v>
      </c>
      <c r="Q882" s="110">
        <f t="shared" ref="Q882" si="287">$P882*D882</f>
        <v>0</v>
      </c>
      <c r="R882" s="110">
        <f t="shared" ref="R882" si="288">$P882*F882</f>
        <v>0</v>
      </c>
      <c r="S882" s="112" t="s">
        <v>2883</v>
      </c>
    </row>
    <row r="883" spans="1:19" ht="30">
      <c r="A883" s="303">
        <v>0</v>
      </c>
      <c r="B883" s="302" t="s">
        <v>2885</v>
      </c>
      <c r="C883" s="301" t="s">
        <v>17</v>
      </c>
      <c r="D883" s="26">
        <v>0</v>
      </c>
      <c r="E883" s="25"/>
      <c r="F883" s="334">
        <v>0</v>
      </c>
      <c r="G883" s="112" t="s">
        <v>2886</v>
      </c>
      <c r="H883" s="120">
        <v>0</v>
      </c>
      <c r="I883" s="120">
        <v>0</v>
      </c>
      <c r="J883" s="120" t="s">
        <v>772</v>
      </c>
      <c r="K883" s="110">
        <v>6400900</v>
      </c>
      <c r="L883" s="110"/>
      <c r="M883" s="110">
        <v>821500</v>
      </c>
      <c r="N883" s="110"/>
      <c r="O883" s="110"/>
      <c r="P883" s="110">
        <f t="shared" si="286"/>
        <v>7222400</v>
      </c>
      <c r="Q883" s="110">
        <f t="shared" ref="Q883:Q903" si="289">$P883*D883</f>
        <v>0</v>
      </c>
      <c r="R883" s="110">
        <f t="shared" ref="R883:R903" si="290">$P883*F883</f>
        <v>0</v>
      </c>
      <c r="S883" s="112" t="s">
        <v>2886</v>
      </c>
    </row>
    <row r="884" spans="1:19" ht="75">
      <c r="A884" s="303">
        <v>0</v>
      </c>
      <c r="B884" s="302" t="s">
        <v>2887</v>
      </c>
      <c r="C884" s="301" t="s">
        <v>8</v>
      </c>
      <c r="D884" s="26">
        <v>0</v>
      </c>
      <c r="E884" s="25"/>
      <c r="F884" s="334">
        <v>0</v>
      </c>
      <c r="G884" s="112" t="s">
        <v>2888</v>
      </c>
      <c r="H884" s="120" t="s">
        <v>2866</v>
      </c>
      <c r="I884" s="120" t="s">
        <v>2862</v>
      </c>
      <c r="J884" s="120" t="s">
        <v>769</v>
      </c>
      <c r="K884" s="110">
        <v>29040000</v>
      </c>
      <c r="L884" s="110"/>
      <c r="M884" s="110">
        <v>1860000</v>
      </c>
      <c r="N884" s="110"/>
      <c r="O884" s="110"/>
      <c r="P884" s="110">
        <f t="shared" si="286"/>
        <v>30900000</v>
      </c>
      <c r="Q884" s="110">
        <f t="shared" si="289"/>
        <v>0</v>
      </c>
      <c r="R884" s="110">
        <f t="shared" si="290"/>
        <v>0</v>
      </c>
      <c r="S884" s="112" t="s">
        <v>2888</v>
      </c>
    </row>
    <row r="885" spans="1:19">
      <c r="A885" s="303">
        <v>0</v>
      </c>
      <c r="B885" s="302" t="s">
        <v>2889</v>
      </c>
      <c r="C885" s="301" t="s">
        <v>4</v>
      </c>
      <c r="D885" s="26">
        <v>0</v>
      </c>
      <c r="E885" s="25"/>
      <c r="F885" s="334">
        <v>0</v>
      </c>
      <c r="G885" s="112" t="s">
        <v>2890</v>
      </c>
      <c r="H885" s="120" t="s">
        <v>2891</v>
      </c>
      <c r="I885" s="120" t="s">
        <v>2862</v>
      </c>
      <c r="J885" s="120" t="s">
        <v>769</v>
      </c>
      <c r="K885" s="110">
        <v>2698300</v>
      </c>
      <c r="L885" s="110"/>
      <c r="M885" s="110">
        <v>356500</v>
      </c>
      <c r="N885" s="110"/>
      <c r="O885" s="110"/>
      <c r="P885" s="110">
        <f t="shared" si="286"/>
        <v>3054800</v>
      </c>
      <c r="Q885" s="110">
        <f t="shared" si="289"/>
        <v>0</v>
      </c>
      <c r="R885" s="110">
        <f t="shared" si="290"/>
        <v>0</v>
      </c>
      <c r="S885" s="112" t="s">
        <v>2890</v>
      </c>
    </row>
    <row r="886" spans="1:19">
      <c r="A886" s="303">
        <v>0</v>
      </c>
      <c r="B886" s="302" t="s">
        <v>2892</v>
      </c>
      <c r="C886" s="301" t="s">
        <v>4</v>
      </c>
      <c r="D886" s="26">
        <v>0</v>
      </c>
      <c r="E886" s="25"/>
      <c r="F886" s="334">
        <v>0</v>
      </c>
      <c r="G886" s="112">
        <v>0</v>
      </c>
      <c r="H886" s="120">
        <v>0</v>
      </c>
      <c r="I886" s="120">
        <v>0</v>
      </c>
      <c r="J886" s="120" t="s">
        <v>1000</v>
      </c>
      <c r="K886" s="110">
        <v>169400</v>
      </c>
      <c r="L886" s="110"/>
      <c r="M886" s="110">
        <v>46500</v>
      </c>
      <c r="N886" s="110"/>
      <c r="O886" s="110"/>
      <c r="P886" s="110">
        <f t="shared" si="286"/>
        <v>215900</v>
      </c>
      <c r="Q886" s="110">
        <f t="shared" si="289"/>
        <v>0</v>
      </c>
      <c r="R886" s="110">
        <f t="shared" si="290"/>
        <v>0</v>
      </c>
      <c r="S886" s="112">
        <v>0</v>
      </c>
    </row>
    <row r="887" spans="1:19">
      <c r="A887" s="303">
        <v>0</v>
      </c>
      <c r="B887" s="302" t="s">
        <v>2893</v>
      </c>
      <c r="C887" s="301" t="s">
        <v>3156</v>
      </c>
      <c r="D887" s="26">
        <v>0</v>
      </c>
      <c r="E887" s="25"/>
      <c r="F887" s="334">
        <v>0</v>
      </c>
      <c r="G887" s="112" t="s">
        <v>2894</v>
      </c>
      <c r="H887" s="120">
        <v>0</v>
      </c>
      <c r="I887" s="120">
        <v>0</v>
      </c>
      <c r="J887" s="120" t="s">
        <v>1000</v>
      </c>
      <c r="K887" s="110">
        <v>4610100</v>
      </c>
      <c r="L887" s="110"/>
      <c r="M887" s="110">
        <v>2960500</v>
      </c>
      <c r="N887" s="110"/>
      <c r="O887" s="110"/>
      <c r="P887" s="110">
        <f t="shared" si="286"/>
        <v>7570600</v>
      </c>
      <c r="Q887" s="110">
        <f t="shared" si="289"/>
        <v>0</v>
      </c>
      <c r="R887" s="110">
        <f t="shared" si="290"/>
        <v>0</v>
      </c>
      <c r="S887" s="112" t="s">
        <v>2894</v>
      </c>
    </row>
    <row r="888" spans="1:19" ht="30">
      <c r="A888" s="303">
        <v>0</v>
      </c>
      <c r="B888" s="302" t="s">
        <v>2895</v>
      </c>
      <c r="C888" s="301" t="s">
        <v>3156</v>
      </c>
      <c r="D888" s="26">
        <v>0</v>
      </c>
      <c r="E888" s="25"/>
      <c r="F888" s="334">
        <v>0</v>
      </c>
      <c r="G888" s="112" t="s">
        <v>1367</v>
      </c>
      <c r="H888" s="120">
        <v>0</v>
      </c>
      <c r="I888" s="120" t="s">
        <v>2896</v>
      </c>
      <c r="J888" s="120" t="s">
        <v>1000</v>
      </c>
      <c r="K888" s="110">
        <v>9788900</v>
      </c>
      <c r="L888" s="110"/>
      <c r="M888" s="110">
        <v>3766500</v>
      </c>
      <c r="N888" s="110"/>
      <c r="O888" s="110"/>
      <c r="P888" s="110">
        <f t="shared" si="286"/>
        <v>13555400</v>
      </c>
      <c r="Q888" s="110">
        <f t="shared" si="289"/>
        <v>0</v>
      </c>
      <c r="R888" s="110">
        <f t="shared" si="290"/>
        <v>0</v>
      </c>
      <c r="S888" s="112" t="s">
        <v>1367</v>
      </c>
    </row>
    <row r="889" spans="1:19" ht="30">
      <c r="A889" s="303">
        <v>0</v>
      </c>
      <c r="B889" s="302" t="s">
        <v>2897</v>
      </c>
      <c r="C889" s="301" t="s">
        <v>4</v>
      </c>
      <c r="D889" s="26">
        <v>0</v>
      </c>
      <c r="E889" s="25"/>
      <c r="F889" s="334">
        <v>0</v>
      </c>
      <c r="G889" s="112" t="s">
        <v>2898</v>
      </c>
      <c r="H889" s="120">
        <v>0</v>
      </c>
      <c r="I889" s="120" t="s">
        <v>2899</v>
      </c>
      <c r="J889" s="120" t="s">
        <v>2900</v>
      </c>
      <c r="K889" s="110">
        <v>4840000</v>
      </c>
      <c r="L889" s="110"/>
      <c r="M889" s="110">
        <v>496000</v>
      </c>
      <c r="N889" s="110"/>
      <c r="O889" s="110"/>
      <c r="P889" s="110">
        <f t="shared" si="286"/>
        <v>5336000</v>
      </c>
      <c r="Q889" s="110">
        <f t="shared" si="289"/>
        <v>0</v>
      </c>
      <c r="R889" s="110">
        <f t="shared" si="290"/>
        <v>0</v>
      </c>
      <c r="S889" s="112" t="s">
        <v>2898</v>
      </c>
    </row>
    <row r="890" spans="1:19" ht="75">
      <c r="A890" s="303">
        <v>0</v>
      </c>
      <c r="B890" s="302" t="s">
        <v>2901</v>
      </c>
      <c r="C890" s="301" t="s">
        <v>3156</v>
      </c>
      <c r="D890" s="26">
        <v>0</v>
      </c>
      <c r="E890" s="25"/>
      <c r="F890" s="334">
        <v>0</v>
      </c>
      <c r="G890" s="112" t="s">
        <v>2902</v>
      </c>
      <c r="H890" s="120">
        <v>0</v>
      </c>
      <c r="I890" s="120">
        <v>0</v>
      </c>
      <c r="J890" s="120" t="s">
        <v>772</v>
      </c>
      <c r="K890" s="110">
        <v>16698000</v>
      </c>
      <c r="L890" s="110"/>
      <c r="M890" s="110">
        <v>7254000</v>
      </c>
      <c r="N890" s="110"/>
      <c r="O890" s="110"/>
      <c r="P890" s="110">
        <f t="shared" si="286"/>
        <v>23952000</v>
      </c>
      <c r="Q890" s="110">
        <f t="shared" si="289"/>
        <v>0</v>
      </c>
      <c r="R890" s="110">
        <f t="shared" si="290"/>
        <v>0</v>
      </c>
      <c r="S890" s="112" t="s">
        <v>2902</v>
      </c>
    </row>
    <row r="891" spans="1:19" ht="120">
      <c r="A891" s="303">
        <v>0</v>
      </c>
      <c r="B891" s="302" t="s">
        <v>2903</v>
      </c>
      <c r="C891" s="301" t="s">
        <v>3156</v>
      </c>
      <c r="D891" s="26">
        <v>0</v>
      </c>
      <c r="E891" s="25"/>
      <c r="F891" s="334">
        <v>0</v>
      </c>
      <c r="G891" s="112" t="s">
        <v>2904</v>
      </c>
      <c r="H891" s="120">
        <v>0</v>
      </c>
      <c r="I891" s="120" t="s">
        <v>2905</v>
      </c>
      <c r="J891" s="120" t="s">
        <v>772</v>
      </c>
      <c r="K891" s="110">
        <v>50336000</v>
      </c>
      <c r="L891" s="110"/>
      <c r="M891" s="110">
        <v>9672000</v>
      </c>
      <c r="N891" s="110"/>
      <c r="O891" s="110"/>
      <c r="P891" s="110">
        <f t="shared" si="286"/>
        <v>60008000</v>
      </c>
      <c r="Q891" s="110">
        <f t="shared" si="289"/>
        <v>0</v>
      </c>
      <c r="R891" s="110">
        <f t="shared" si="290"/>
        <v>0</v>
      </c>
      <c r="S891" s="112" t="s">
        <v>2904</v>
      </c>
    </row>
    <row r="892" spans="1:19" ht="90">
      <c r="A892" s="303">
        <v>0</v>
      </c>
      <c r="B892" s="302" t="s">
        <v>2906</v>
      </c>
      <c r="C892" s="301" t="s">
        <v>17</v>
      </c>
      <c r="D892" s="26">
        <v>0</v>
      </c>
      <c r="E892" s="25"/>
      <c r="F892" s="334">
        <v>0</v>
      </c>
      <c r="G892" s="112" t="s">
        <v>2907</v>
      </c>
      <c r="H892" s="120">
        <v>0</v>
      </c>
      <c r="I892" s="120" t="s">
        <v>2908</v>
      </c>
      <c r="J892" s="120" t="s">
        <v>772</v>
      </c>
      <c r="K892" s="110">
        <v>43874600</v>
      </c>
      <c r="L892" s="110"/>
      <c r="M892" s="110">
        <v>8432000</v>
      </c>
      <c r="N892" s="110"/>
      <c r="O892" s="110"/>
      <c r="P892" s="110">
        <f t="shared" si="286"/>
        <v>52306600</v>
      </c>
      <c r="Q892" s="110">
        <f t="shared" si="289"/>
        <v>0</v>
      </c>
      <c r="R892" s="110">
        <f t="shared" si="290"/>
        <v>0</v>
      </c>
      <c r="S892" s="112" t="s">
        <v>2907</v>
      </c>
    </row>
    <row r="893" spans="1:19" ht="45">
      <c r="A893" s="303">
        <v>0</v>
      </c>
      <c r="B893" s="302" t="s">
        <v>2909</v>
      </c>
      <c r="C893" s="301" t="s">
        <v>3157</v>
      </c>
      <c r="D893" s="26">
        <v>0</v>
      </c>
      <c r="E893" s="25"/>
      <c r="F893" s="334">
        <v>0</v>
      </c>
      <c r="G893" s="112">
        <v>0</v>
      </c>
      <c r="H893" s="120">
        <v>0</v>
      </c>
      <c r="I893" s="120">
        <v>0</v>
      </c>
      <c r="J893" s="120" t="s">
        <v>772</v>
      </c>
      <c r="K893" s="110">
        <v>0</v>
      </c>
      <c r="L893" s="110"/>
      <c r="M893" s="110">
        <v>11625000</v>
      </c>
      <c r="N893" s="110"/>
      <c r="O893" s="110"/>
      <c r="P893" s="110">
        <f t="shared" si="286"/>
        <v>11625000</v>
      </c>
      <c r="Q893" s="110">
        <f t="shared" si="289"/>
        <v>0</v>
      </c>
      <c r="R893" s="110">
        <f t="shared" si="290"/>
        <v>0</v>
      </c>
      <c r="S893" s="112">
        <v>0</v>
      </c>
    </row>
    <row r="894" spans="1:19">
      <c r="A894" s="303">
        <v>0</v>
      </c>
      <c r="B894" s="302" t="s">
        <v>2910</v>
      </c>
      <c r="C894" s="301" t="s">
        <v>3157</v>
      </c>
      <c r="D894" s="26">
        <v>0</v>
      </c>
      <c r="E894" s="25"/>
      <c r="F894" s="334">
        <v>0</v>
      </c>
      <c r="G894" s="112">
        <v>0</v>
      </c>
      <c r="H894" s="120">
        <v>0</v>
      </c>
      <c r="I894" s="120">
        <v>0</v>
      </c>
      <c r="J894" s="120" t="s">
        <v>772</v>
      </c>
      <c r="K894" s="110">
        <v>0</v>
      </c>
      <c r="L894" s="110"/>
      <c r="M894" s="110">
        <v>16275000</v>
      </c>
      <c r="N894" s="110"/>
      <c r="O894" s="110"/>
      <c r="P894" s="110">
        <f t="shared" si="286"/>
        <v>16275000</v>
      </c>
      <c r="Q894" s="110">
        <f t="shared" si="289"/>
        <v>0</v>
      </c>
      <c r="R894" s="110">
        <f t="shared" si="290"/>
        <v>0</v>
      </c>
      <c r="S894" s="112">
        <v>0</v>
      </c>
    </row>
    <row r="895" spans="1:19" ht="30">
      <c r="A895" s="303">
        <v>0</v>
      </c>
      <c r="B895" s="302" t="s">
        <v>2911</v>
      </c>
      <c r="C895" s="301" t="s">
        <v>3157</v>
      </c>
      <c r="D895" s="26">
        <v>0</v>
      </c>
      <c r="E895" s="25"/>
      <c r="F895" s="334">
        <v>0</v>
      </c>
      <c r="G895" s="112" t="s">
        <v>2912</v>
      </c>
      <c r="H895" s="120">
        <v>0</v>
      </c>
      <c r="I895" s="120">
        <v>0</v>
      </c>
      <c r="J895" s="120" t="s">
        <v>772</v>
      </c>
      <c r="K895" s="110">
        <v>13164800</v>
      </c>
      <c r="L895" s="110"/>
      <c r="M895" s="110">
        <v>5394000</v>
      </c>
      <c r="N895" s="110"/>
      <c r="O895" s="110"/>
      <c r="P895" s="110">
        <f t="shared" si="286"/>
        <v>18558800</v>
      </c>
      <c r="Q895" s="110">
        <f t="shared" si="289"/>
        <v>0</v>
      </c>
      <c r="R895" s="110">
        <f t="shared" si="290"/>
        <v>0</v>
      </c>
      <c r="S895" s="112" t="s">
        <v>2912</v>
      </c>
    </row>
    <row r="896" spans="1:19">
      <c r="A896" s="303">
        <v>0</v>
      </c>
      <c r="B896" s="302" t="s">
        <v>2913</v>
      </c>
      <c r="C896" s="301" t="s">
        <v>3156</v>
      </c>
      <c r="D896" s="26">
        <v>0</v>
      </c>
      <c r="E896" s="25"/>
      <c r="F896" s="334">
        <v>0</v>
      </c>
      <c r="G896" s="112" t="s">
        <v>2914</v>
      </c>
      <c r="H896" s="120">
        <v>0</v>
      </c>
      <c r="I896" s="120">
        <v>0</v>
      </c>
      <c r="J896" s="120" t="s">
        <v>772</v>
      </c>
      <c r="K896" s="110">
        <v>0</v>
      </c>
      <c r="L896" s="110"/>
      <c r="M896" s="110">
        <v>49600000</v>
      </c>
      <c r="N896" s="110"/>
      <c r="O896" s="110"/>
      <c r="P896" s="110">
        <f t="shared" si="286"/>
        <v>49600000</v>
      </c>
      <c r="Q896" s="110">
        <f t="shared" si="289"/>
        <v>0</v>
      </c>
      <c r="R896" s="110">
        <f t="shared" si="290"/>
        <v>0</v>
      </c>
      <c r="S896" s="112" t="s">
        <v>2914</v>
      </c>
    </row>
    <row r="897" spans="1:19">
      <c r="A897" s="303">
        <v>0</v>
      </c>
      <c r="B897" s="302" t="s">
        <v>2915</v>
      </c>
      <c r="C897" s="301" t="s">
        <v>3158</v>
      </c>
      <c r="D897" s="26">
        <v>0</v>
      </c>
      <c r="E897" s="25"/>
      <c r="F897" s="334">
        <v>0</v>
      </c>
      <c r="G897" s="112">
        <v>0</v>
      </c>
      <c r="H897" s="120">
        <v>0</v>
      </c>
      <c r="I897" s="120">
        <v>0</v>
      </c>
      <c r="J897" s="120" t="s">
        <v>772</v>
      </c>
      <c r="K897" s="110">
        <v>7260000</v>
      </c>
      <c r="L897" s="110"/>
      <c r="M897" s="110">
        <v>744000</v>
      </c>
      <c r="N897" s="110"/>
      <c r="O897" s="110"/>
      <c r="P897" s="110">
        <f t="shared" si="286"/>
        <v>8004000</v>
      </c>
      <c r="Q897" s="110">
        <f t="shared" si="289"/>
        <v>0</v>
      </c>
      <c r="R897" s="110">
        <f t="shared" si="290"/>
        <v>0</v>
      </c>
      <c r="S897" s="112">
        <v>0</v>
      </c>
    </row>
    <row r="898" spans="1:19">
      <c r="A898" s="303">
        <v>0</v>
      </c>
      <c r="B898" s="302">
        <v>0</v>
      </c>
      <c r="C898" s="301">
        <v>0</v>
      </c>
      <c r="D898" s="26">
        <v>0</v>
      </c>
      <c r="E898" s="25"/>
      <c r="F898" s="334">
        <v>0</v>
      </c>
      <c r="G898" s="112">
        <v>0</v>
      </c>
      <c r="H898" s="120">
        <v>0</v>
      </c>
      <c r="I898" s="120">
        <v>0</v>
      </c>
      <c r="J898" s="120">
        <v>0</v>
      </c>
      <c r="K898" s="110">
        <v>0</v>
      </c>
      <c r="L898" s="110"/>
      <c r="M898" s="110">
        <v>0</v>
      </c>
      <c r="N898" s="110"/>
      <c r="O898" s="110"/>
      <c r="P898" s="110">
        <f t="shared" si="286"/>
        <v>0</v>
      </c>
      <c r="Q898" s="110">
        <f t="shared" si="289"/>
        <v>0</v>
      </c>
      <c r="R898" s="110">
        <f t="shared" si="290"/>
        <v>0</v>
      </c>
      <c r="S898" s="112">
        <v>0</v>
      </c>
    </row>
    <row r="899" spans="1:19">
      <c r="A899" s="303" t="s">
        <v>718</v>
      </c>
      <c r="B899" s="302" t="s">
        <v>1535</v>
      </c>
      <c r="C899" s="301">
        <v>0</v>
      </c>
      <c r="D899" s="26">
        <v>0</v>
      </c>
      <c r="E899" s="25"/>
      <c r="F899" s="334">
        <v>0</v>
      </c>
      <c r="G899" s="112">
        <v>0</v>
      </c>
      <c r="H899" s="120">
        <v>0</v>
      </c>
      <c r="I899" s="120">
        <v>0</v>
      </c>
      <c r="J899" s="120">
        <v>0</v>
      </c>
      <c r="K899" s="110">
        <v>0</v>
      </c>
      <c r="L899" s="110"/>
      <c r="M899" s="110">
        <v>0</v>
      </c>
      <c r="N899" s="110"/>
      <c r="O899" s="110"/>
      <c r="P899" s="110">
        <f t="shared" si="286"/>
        <v>0</v>
      </c>
      <c r="Q899" s="110">
        <f t="shared" si="289"/>
        <v>0</v>
      </c>
      <c r="R899" s="110">
        <f t="shared" si="290"/>
        <v>0</v>
      </c>
      <c r="S899" s="112">
        <v>0</v>
      </c>
    </row>
    <row r="900" spans="1:19">
      <c r="A900" s="303">
        <v>0</v>
      </c>
      <c r="B900" s="302" t="s">
        <v>3159</v>
      </c>
      <c r="C900" s="301" t="s">
        <v>7</v>
      </c>
      <c r="D900" s="26">
        <v>0</v>
      </c>
      <c r="E900" s="25"/>
      <c r="F900" s="334">
        <v>0</v>
      </c>
      <c r="G900" s="112">
        <v>0</v>
      </c>
      <c r="H900" s="120">
        <v>0</v>
      </c>
      <c r="I900" s="120">
        <v>0</v>
      </c>
      <c r="J900" s="120" t="s">
        <v>772</v>
      </c>
      <c r="K900" s="110">
        <v>22800</v>
      </c>
      <c r="L900" s="110"/>
      <c r="M900" s="110">
        <v>46500</v>
      </c>
      <c r="N900" s="110"/>
      <c r="O900" s="110"/>
      <c r="P900" s="110">
        <f t="shared" si="286"/>
        <v>69300</v>
      </c>
      <c r="Q900" s="110">
        <f t="shared" si="289"/>
        <v>0</v>
      </c>
      <c r="R900" s="110">
        <f t="shared" si="290"/>
        <v>0</v>
      </c>
      <c r="S900" s="112">
        <v>0</v>
      </c>
    </row>
    <row r="901" spans="1:19" ht="45">
      <c r="A901" s="303">
        <v>0</v>
      </c>
      <c r="B901" s="302" t="s">
        <v>3137</v>
      </c>
      <c r="C901" s="301" t="s">
        <v>4</v>
      </c>
      <c r="D901" s="26">
        <v>0</v>
      </c>
      <c r="E901" s="25"/>
      <c r="F901" s="334">
        <v>0</v>
      </c>
      <c r="G901" s="112" t="s">
        <v>3136</v>
      </c>
      <c r="H901" s="120">
        <v>0</v>
      </c>
      <c r="I901" s="120">
        <v>0</v>
      </c>
      <c r="J901" s="120" t="s">
        <v>772</v>
      </c>
      <c r="K901" s="110">
        <v>95800</v>
      </c>
      <c r="L901" s="110"/>
      <c r="M901" s="110">
        <v>229400</v>
      </c>
      <c r="N901" s="110"/>
      <c r="O901" s="110"/>
      <c r="P901" s="110">
        <f t="shared" si="286"/>
        <v>325200</v>
      </c>
      <c r="Q901" s="110">
        <f t="shared" si="289"/>
        <v>0</v>
      </c>
      <c r="R901" s="110">
        <f t="shared" si="290"/>
        <v>0</v>
      </c>
      <c r="S901" s="112">
        <v>0</v>
      </c>
    </row>
    <row r="902" spans="1:19">
      <c r="A902" s="303">
        <v>0</v>
      </c>
      <c r="B902" s="302" t="s">
        <v>3138</v>
      </c>
      <c r="C902" s="301" t="s">
        <v>4</v>
      </c>
      <c r="D902" s="26">
        <v>0</v>
      </c>
      <c r="E902" s="25"/>
      <c r="F902" s="334">
        <v>0</v>
      </c>
      <c r="G902" s="112">
        <v>0</v>
      </c>
      <c r="H902" s="120">
        <v>0</v>
      </c>
      <c r="I902" s="120">
        <v>0</v>
      </c>
      <c r="J902" s="120" t="s">
        <v>772</v>
      </c>
      <c r="K902" s="110">
        <v>42000</v>
      </c>
      <c r="L902" s="110"/>
      <c r="M902" s="110">
        <v>99700</v>
      </c>
      <c r="N902" s="110"/>
      <c r="O902" s="110"/>
      <c r="P902" s="110">
        <f t="shared" si="286"/>
        <v>141700</v>
      </c>
      <c r="Q902" s="110">
        <f t="shared" si="289"/>
        <v>0</v>
      </c>
      <c r="R902" s="110">
        <f t="shared" si="290"/>
        <v>0</v>
      </c>
      <c r="S902" s="112">
        <v>0</v>
      </c>
    </row>
    <row r="903" spans="1:19">
      <c r="A903" s="303">
        <v>0</v>
      </c>
      <c r="B903" s="302">
        <v>0</v>
      </c>
      <c r="C903" s="301">
        <v>0</v>
      </c>
      <c r="D903" s="26">
        <v>0</v>
      </c>
      <c r="E903" s="25"/>
      <c r="F903" s="334">
        <v>0</v>
      </c>
      <c r="G903" s="112">
        <v>0</v>
      </c>
      <c r="H903" s="120">
        <v>0</v>
      </c>
      <c r="I903" s="120">
        <v>0</v>
      </c>
      <c r="J903" s="120">
        <v>0</v>
      </c>
      <c r="K903" s="110">
        <v>0</v>
      </c>
      <c r="L903" s="110"/>
      <c r="M903" s="110">
        <v>0</v>
      </c>
      <c r="N903" s="110"/>
      <c r="O903" s="110"/>
      <c r="P903" s="110">
        <f t="shared" si="286"/>
        <v>0</v>
      </c>
      <c r="Q903" s="110">
        <f t="shared" si="289"/>
        <v>0</v>
      </c>
      <c r="R903" s="110">
        <f t="shared" si="290"/>
        <v>0</v>
      </c>
      <c r="S903" s="112">
        <v>0</v>
      </c>
    </row>
    <row r="904" spans="1:19">
      <c r="A904" s="27"/>
      <c r="B904" s="28" t="s">
        <v>1192</v>
      </c>
      <c r="C904" s="25"/>
      <c r="D904" s="26"/>
      <c r="E904" s="25"/>
      <c r="F904" s="336"/>
      <c r="G904" s="112"/>
      <c r="H904" s="120"/>
      <c r="I904" s="120"/>
      <c r="J904" s="120"/>
      <c r="K904" s="117"/>
      <c r="L904" s="117"/>
      <c r="M904" s="117"/>
      <c r="N904" s="117"/>
      <c r="O904" s="117"/>
      <c r="P904" s="117"/>
      <c r="Q904" s="117"/>
      <c r="R904" s="77"/>
      <c r="S904" s="77"/>
    </row>
    <row r="905" spans="1:19">
      <c r="A905" s="389" t="s">
        <v>21</v>
      </c>
      <c r="B905" s="390" t="s">
        <v>1193</v>
      </c>
      <c r="C905" s="401"/>
      <c r="D905" s="402"/>
      <c r="E905" s="403"/>
      <c r="F905" s="402"/>
      <c r="G905" s="431"/>
      <c r="H905" s="432"/>
      <c r="I905" s="432"/>
      <c r="J905" s="432"/>
      <c r="K905" s="403"/>
      <c r="L905" s="403"/>
      <c r="M905" s="403"/>
      <c r="N905" s="403"/>
      <c r="O905" s="403"/>
      <c r="P905" s="404"/>
      <c r="Q905" s="404">
        <f t="shared" ref="Q905:R905" si="291">SUBTOTAL(9,Q10:Q904)</f>
        <v>34968185356.899994</v>
      </c>
      <c r="R905" s="404">
        <f t="shared" si="291"/>
        <v>34968185356.899994</v>
      </c>
      <c r="S905" s="405"/>
    </row>
  </sheetData>
  <autoFilter ref="A8:S904" xr:uid="{A414CE1F-890A-4A5B-95C3-6FD141EB4FEB}"/>
  <mergeCells count="14">
    <mergeCell ref="Q6:R6"/>
    <mergeCell ref="S6:S7"/>
    <mergeCell ref="E597:E609"/>
    <mergeCell ref="E802:E813"/>
    <mergeCell ref="A5:E5"/>
    <mergeCell ref="F5:S5"/>
    <mergeCell ref="A6:A7"/>
    <mergeCell ref="B6:B7"/>
    <mergeCell ref="C6:C7"/>
    <mergeCell ref="D6:D7"/>
    <mergeCell ref="E6:E7"/>
    <mergeCell ref="F6:F7"/>
    <mergeCell ref="G6:J6"/>
    <mergeCell ref="K6:P6"/>
  </mergeCells>
  <conditionalFormatting sqref="C1:C1048576">
    <cfRule type="cellIs" dxfId="2" priority="1" operator="equal">
      <formula>0</formula>
    </cfRule>
  </conditionalFormatting>
  <pageMargins left="0.70866141732283472" right="0.70866141732283472" top="0.74803149606299213" bottom="0.74803149606299213" header="0.31496062992125984" footer="0.31496062992125984"/>
  <pageSetup paperSize="9" scale="40" fitToHeight="0" orientation="landscape" r:id="rId1"/>
  <headerFooter>
    <oddFooter>&amp;L&amp;A&amp;CSEAREFICO&amp;RTrang &amp;P/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2F65-819F-4F39-BC35-3B018DF82EC9}">
  <sheetPr codeName="Sheet6">
    <tabColor theme="5" tint="0.79998168889431442"/>
    <outlinePr summaryBelow="0"/>
    <pageSetUpPr fitToPage="1"/>
  </sheetPr>
  <dimension ref="A1:AH51"/>
  <sheetViews>
    <sheetView topLeftCell="K1" zoomScaleNormal="100" zoomScaleSheetLayoutView="55" workbookViewId="0">
      <pane ySplit="8" topLeftCell="A44" activePane="bottomLeft" state="frozen"/>
      <selection activeCell="S52" sqref="S52"/>
      <selection pane="bottomLeft" activeCell="AH51" sqref="AH51"/>
    </sheetView>
  </sheetViews>
  <sheetFormatPr defaultColWidth="9.140625" defaultRowHeight="15" outlineLevelCol="1"/>
  <cols>
    <col min="2" max="2" width="40" customWidth="1"/>
    <col min="3" max="3" width="12.42578125" hidden="1" customWidth="1"/>
    <col min="4" max="8" width="9.42578125" hidden="1" customWidth="1"/>
    <col min="9" max="10" width="10" hidden="1" customWidth="1"/>
    <col min="11" max="11" width="8.28515625" customWidth="1"/>
    <col min="12" max="12" width="14.28515625" customWidth="1"/>
    <col min="13" max="13" width="22.28515625" hidden="1" customWidth="1" outlineLevel="1"/>
    <col min="14" max="14" width="23.140625" hidden="1" customWidth="1" outlineLevel="1"/>
    <col min="15" max="15" width="12.42578125" hidden="1" customWidth="1" outlineLevel="1"/>
    <col min="16" max="16" width="13.140625" hidden="1" customWidth="1" outlineLevel="1"/>
    <col min="17" max="17" width="13.42578125" hidden="1" customWidth="1" outlineLevel="1"/>
    <col min="18" max="18" width="14.85546875" hidden="1" customWidth="1" outlineLevel="1"/>
    <col min="19" max="19" width="21.42578125" hidden="1" customWidth="1" outlineLevel="1"/>
    <col min="20" max="20" width="26.140625" customWidth="1" collapsed="1"/>
    <col min="21" max="21" width="9.7109375" bestFit="1" customWidth="1"/>
    <col min="22" max="22" width="10.85546875" bestFit="1" customWidth="1"/>
    <col min="23" max="23" width="16.5703125" style="511" bestFit="1" customWidth="1"/>
    <col min="24" max="24" width="8.85546875" style="511" bestFit="1" customWidth="1"/>
    <col min="25" max="25" width="13.140625" style="511" bestFit="1" customWidth="1"/>
    <col min="26" max="26" width="11.5703125" bestFit="1" customWidth="1"/>
    <col min="27" max="27" width="7.7109375" customWidth="1"/>
    <col min="28" max="28" width="12.7109375" bestFit="1" customWidth="1"/>
    <col min="29" max="29" width="8.85546875" customWidth="1"/>
    <col min="30" max="30" width="7.85546875" customWidth="1"/>
    <col min="31" max="31" width="21.140625" customWidth="1"/>
    <col min="32" max="33" width="16.42578125" bestFit="1" customWidth="1"/>
    <col min="34" max="34" width="21.85546875" customWidth="1"/>
  </cols>
  <sheetData>
    <row r="1" spans="1:34">
      <c r="A1" s="92" t="s">
        <v>672</v>
      </c>
      <c r="B1" s="174"/>
      <c r="C1" s="174"/>
      <c r="D1" s="174"/>
      <c r="E1" s="174"/>
      <c r="F1" s="174"/>
      <c r="G1" s="174"/>
      <c r="H1" s="174"/>
      <c r="I1" s="174"/>
      <c r="J1" s="174"/>
      <c r="K1" s="31"/>
      <c r="L1" s="31"/>
      <c r="M1" s="174"/>
      <c r="N1" s="174"/>
      <c r="O1" s="174"/>
      <c r="P1" s="174"/>
      <c r="Q1" s="174"/>
      <c r="R1" s="174"/>
      <c r="S1" s="174"/>
      <c r="T1" s="175"/>
      <c r="U1" s="31"/>
      <c r="V1" s="31"/>
      <c r="W1" s="321"/>
      <c r="X1" s="321"/>
      <c r="Y1" s="321"/>
      <c r="Z1" s="31"/>
      <c r="AA1" s="31"/>
      <c r="AB1" s="31"/>
      <c r="AC1" s="31"/>
      <c r="AD1" s="31"/>
      <c r="AE1" s="31"/>
      <c r="AF1" s="31"/>
      <c r="AG1" s="31"/>
      <c r="AH1" s="31"/>
    </row>
    <row r="2" spans="1:34">
      <c r="A2" s="92" t="s">
        <v>670</v>
      </c>
      <c r="B2" s="176"/>
      <c r="C2" s="176"/>
      <c r="D2" s="176"/>
      <c r="E2" s="176"/>
      <c r="F2" s="176"/>
      <c r="G2" s="176"/>
      <c r="H2" s="176"/>
      <c r="I2" s="176"/>
      <c r="J2" s="176"/>
      <c r="K2" s="31"/>
      <c r="L2" s="31"/>
      <c r="M2" s="176"/>
      <c r="N2" s="176"/>
      <c r="O2" s="176"/>
      <c r="P2" s="176"/>
      <c r="Q2" s="176"/>
      <c r="R2" s="176"/>
      <c r="S2" s="176"/>
      <c r="T2" s="175"/>
      <c r="U2" s="31"/>
      <c r="V2" s="31"/>
      <c r="W2" s="321"/>
      <c r="X2" s="321"/>
      <c r="Y2" s="321"/>
      <c r="Z2" s="31"/>
      <c r="AA2" s="31"/>
      <c r="AB2" s="31"/>
      <c r="AC2" s="31"/>
      <c r="AD2" s="31"/>
      <c r="AE2" s="31"/>
      <c r="AF2" s="31"/>
      <c r="AG2" s="31"/>
      <c r="AH2" s="31"/>
    </row>
    <row r="3" spans="1:34">
      <c r="A3" s="92" t="s">
        <v>1562</v>
      </c>
      <c r="B3" s="176"/>
      <c r="C3" s="176"/>
      <c r="D3" s="176"/>
      <c r="E3" s="176"/>
      <c r="F3" s="176"/>
      <c r="G3" s="176"/>
      <c r="H3" s="176"/>
      <c r="I3" s="176"/>
      <c r="J3" s="176"/>
      <c r="K3" s="31"/>
      <c r="L3" s="31"/>
      <c r="M3" s="176"/>
      <c r="N3" s="176"/>
      <c r="O3" s="176"/>
      <c r="P3" s="176"/>
      <c r="Q3" s="176"/>
      <c r="R3" s="176"/>
      <c r="S3" s="176"/>
      <c r="T3" s="175"/>
      <c r="U3" s="31"/>
      <c r="V3" s="31"/>
      <c r="W3" s="321"/>
      <c r="X3" s="321"/>
      <c r="Y3" s="321"/>
      <c r="Z3" s="31"/>
      <c r="AA3" s="31"/>
      <c r="AB3" s="31"/>
      <c r="AC3" s="31"/>
      <c r="AD3" s="31"/>
      <c r="AE3" s="31"/>
      <c r="AF3" s="31"/>
      <c r="AG3" s="31"/>
      <c r="AH3" s="31"/>
    </row>
    <row r="4" spans="1:34">
      <c r="A4" s="92"/>
      <c r="B4" s="176"/>
      <c r="C4" s="176"/>
      <c r="D4" s="176"/>
      <c r="E4" s="176"/>
      <c r="F4" s="176"/>
      <c r="G4" s="176"/>
      <c r="H4" s="176"/>
      <c r="I4" s="176"/>
      <c r="J4" s="176"/>
      <c r="K4" s="177"/>
      <c r="L4" s="177"/>
      <c r="M4" s="176"/>
      <c r="N4" s="176"/>
      <c r="O4" s="176"/>
      <c r="P4" s="176"/>
      <c r="Q4" s="176"/>
      <c r="R4" s="176"/>
      <c r="S4" s="176"/>
      <c r="T4" s="175"/>
      <c r="U4" s="35"/>
      <c r="V4" s="35"/>
      <c r="W4" s="322"/>
      <c r="X4" s="322"/>
      <c r="Y4" s="322"/>
      <c r="Z4" s="35"/>
      <c r="AA4" s="35"/>
      <c r="AB4" s="35"/>
      <c r="AC4" s="35"/>
      <c r="AD4" s="35"/>
      <c r="AE4" s="35"/>
      <c r="AF4" s="35"/>
      <c r="AG4" s="35"/>
      <c r="AH4" s="35"/>
    </row>
    <row r="5" spans="1:34" s="313" customFormat="1" ht="24" customHeight="1">
      <c r="A5" s="589" t="s">
        <v>1166</v>
      </c>
      <c r="B5" s="589"/>
      <c r="C5" s="589"/>
      <c r="D5" s="589"/>
      <c r="E5" s="589"/>
      <c r="F5" s="589"/>
      <c r="G5" s="589"/>
      <c r="H5" s="589"/>
      <c r="I5" s="589"/>
      <c r="J5" s="589"/>
      <c r="K5" s="589"/>
      <c r="L5" s="589"/>
      <c r="M5" s="589"/>
      <c r="N5" s="589"/>
      <c r="O5" s="589"/>
      <c r="P5" s="589"/>
      <c r="Q5" s="589"/>
      <c r="R5" s="589"/>
      <c r="S5" s="589"/>
      <c r="T5" s="589"/>
      <c r="U5" s="590" t="s">
        <v>4093</v>
      </c>
      <c r="V5" s="590"/>
      <c r="W5" s="590"/>
      <c r="X5" s="590"/>
      <c r="Y5" s="590"/>
      <c r="Z5" s="590"/>
      <c r="AA5" s="590"/>
      <c r="AB5" s="590"/>
      <c r="AC5" s="590"/>
      <c r="AD5" s="590"/>
      <c r="AE5" s="590"/>
      <c r="AF5" s="590"/>
      <c r="AG5" s="590"/>
      <c r="AH5" s="590"/>
    </row>
    <row r="6" spans="1:34" s="313" customFormat="1" ht="24" customHeight="1">
      <c r="A6" s="589" t="s">
        <v>0</v>
      </c>
      <c r="B6" s="589" t="s">
        <v>1</v>
      </c>
      <c r="C6" s="592" t="s">
        <v>1563</v>
      </c>
      <c r="D6" s="594" t="s">
        <v>1564</v>
      </c>
      <c r="E6" s="594" t="s">
        <v>1565</v>
      </c>
      <c r="F6" s="594" t="s">
        <v>1566</v>
      </c>
      <c r="G6" s="594" t="s">
        <v>1567</v>
      </c>
      <c r="H6" s="594" t="s">
        <v>1568</v>
      </c>
      <c r="I6" s="594" t="s">
        <v>1569</v>
      </c>
      <c r="J6" s="594" t="s">
        <v>1570</v>
      </c>
      <c r="K6" s="603" t="s">
        <v>1571</v>
      </c>
      <c r="L6" s="604" t="s">
        <v>1165</v>
      </c>
      <c r="M6" s="606" t="s">
        <v>1572</v>
      </c>
      <c r="N6" s="596" t="s">
        <v>1573</v>
      </c>
      <c r="O6" s="596" t="s">
        <v>1574</v>
      </c>
      <c r="P6" s="596" t="s">
        <v>1575</v>
      </c>
      <c r="Q6" s="596" t="s">
        <v>1576</v>
      </c>
      <c r="R6" s="596" t="s">
        <v>1577</v>
      </c>
      <c r="S6" s="596" t="s">
        <v>1578</v>
      </c>
      <c r="T6" s="599" t="s">
        <v>543</v>
      </c>
      <c r="U6" s="584" t="s">
        <v>1167</v>
      </c>
      <c r="V6" s="602" t="s">
        <v>1168</v>
      </c>
      <c r="W6" s="602"/>
      <c r="X6" s="602"/>
      <c r="Y6" s="602"/>
      <c r="Z6" s="602" t="s">
        <v>1169</v>
      </c>
      <c r="AA6" s="602"/>
      <c r="AB6" s="602"/>
      <c r="AC6" s="602"/>
      <c r="AD6" s="602"/>
      <c r="AE6" s="602"/>
      <c r="AF6" s="576" t="s">
        <v>1170</v>
      </c>
      <c r="AG6" s="577"/>
      <c r="AH6" s="578" t="s">
        <v>543</v>
      </c>
    </row>
    <row r="7" spans="1:34" s="313" customFormat="1" ht="37.5" customHeight="1">
      <c r="A7" s="591"/>
      <c r="B7" s="591"/>
      <c r="C7" s="593"/>
      <c r="D7" s="593"/>
      <c r="E7" s="593"/>
      <c r="F7" s="593"/>
      <c r="G7" s="593"/>
      <c r="H7" s="593"/>
      <c r="I7" s="593"/>
      <c r="J7" s="593"/>
      <c r="K7" s="603"/>
      <c r="L7" s="605"/>
      <c r="M7" s="607"/>
      <c r="N7" s="597"/>
      <c r="O7" s="597"/>
      <c r="P7" s="597"/>
      <c r="Q7" s="597"/>
      <c r="R7" s="597"/>
      <c r="S7" s="598"/>
      <c r="T7" s="600"/>
      <c r="U7" s="584"/>
      <c r="V7" s="475" t="s">
        <v>1171</v>
      </c>
      <c r="W7" s="475" t="s">
        <v>799</v>
      </c>
      <c r="X7" s="475" t="s">
        <v>1008</v>
      </c>
      <c r="Y7" s="475" t="s">
        <v>721</v>
      </c>
      <c r="Z7" s="475" t="s">
        <v>765</v>
      </c>
      <c r="AA7" s="475" t="s">
        <v>1172</v>
      </c>
      <c r="AB7" s="475" t="s">
        <v>1173</v>
      </c>
      <c r="AC7" s="475" t="s">
        <v>1174</v>
      </c>
      <c r="AD7" s="475" t="s">
        <v>766</v>
      </c>
      <c r="AE7" s="475" t="s">
        <v>1175</v>
      </c>
      <c r="AF7" s="475" t="s">
        <v>1176</v>
      </c>
      <c r="AG7" s="475" t="s">
        <v>1177</v>
      </c>
      <c r="AH7" s="578"/>
    </row>
    <row r="8" spans="1:34" s="313" customFormat="1" ht="28.5">
      <c r="A8" s="491">
        <v>1</v>
      </c>
      <c r="B8" s="491">
        <v>2</v>
      </c>
      <c r="C8" s="494"/>
      <c r="D8" s="494"/>
      <c r="E8" s="494"/>
      <c r="F8" s="494"/>
      <c r="G8" s="494"/>
      <c r="H8" s="494"/>
      <c r="I8" s="494"/>
      <c r="J8" s="494"/>
      <c r="K8" s="479">
        <v>3</v>
      </c>
      <c r="L8" s="479">
        <v>4</v>
      </c>
      <c r="M8" s="488"/>
      <c r="N8" s="495"/>
      <c r="O8" s="495"/>
      <c r="P8" s="495"/>
      <c r="Q8" s="495"/>
      <c r="R8" s="495"/>
      <c r="S8" s="496"/>
      <c r="T8" s="496">
        <v>5</v>
      </c>
      <c r="U8" s="479">
        <v>6</v>
      </c>
      <c r="V8" s="479">
        <v>7</v>
      </c>
      <c r="W8" s="479">
        <v>8</v>
      </c>
      <c r="X8" s="479">
        <v>9</v>
      </c>
      <c r="Y8" s="479">
        <v>10</v>
      </c>
      <c r="Z8" s="479">
        <v>11</v>
      </c>
      <c r="AA8" s="479">
        <v>12</v>
      </c>
      <c r="AB8" s="479">
        <v>13</v>
      </c>
      <c r="AC8" s="479">
        <v>14</v>
      </c>
      <c r="AD8" s="479">
        <v>15</v>
      </c>
      <c r="AE8" s="479" t="s">
        <v>1178</v>
      </c>
      <c r="AF8" s="479" t="s">
        <v>1179</v>
      </c>
      <c r="AG8" s="479" t="s">
        <v>1180</v>
      </c>
      <c r="AH8" s="479">
        <v>19</v>
      </c>
    </row>
    <row r="9" spans="1:34" ht="28.5">
      <c r="A9" s="382" t="s">
        <v>2</v>
      </c>
      <c r="B9" s="383" t="s">
        <v>1010</v>
      </c>
      <c r="C9" s="244"/>
      <c r="D9" s="244"/>
      <c r="E9" s="244"/>
      <c r="F9" s="421"/>
      <c r="G9" s="200"/>
      <c r="H9" s="200"/>
      <c r="I9" s="200"/>
      <c r="J9" s="200"/>
      <c r="K9" s="422"/>
      <c r="L9" s="410"/>
      <c r="M9" s="200"/>
      <c r="N9" s="200"/>
      <c r="O9" s="200"/>
      <c r="P9" s="200"/>
      <c r="Q9" s="200"/>
      <c r="R9" s="200"/>
      <c r="S9" s="200"/>
      <c r="T9" s="200"/>
      <c r="U9" s="201"/>
      <c r="V9" s="201"/>
      <c r="W9" s="507"/>
      <c r="X9" s="507"/>
      <c r="Y9" s="507"/>
      <c r="Z9" s="201"/>
      <c r="AA9" s="201"/>
      <c r="AB9" s="201"/>
      <c r="AC9" s="201"/>
      <c r="AD9" s="201"/>
      <c r="AE9" s="201"/>
      <c r="AF9" s="201"/>
      <c r="AG9" s="201"/>
      <c r="AH9" s="201"/>
    </row>
    <row r="10" spans="1:34">
      <c r="A10" s="178"/>
      <c r="B10" s="179" t="s">
        <v>1579</v>
      </c>
      <c r="C10" s="180"/>
      <c r="D10" s="180"/>
      <c r="E10" s="180"/>
      <c r="F10" s="180"/>
      <c r="G10" s="180"/>
      <c r="H10" s="180"/>
      <c r="I10" s="180"/>
      <c r="J10" s="180"/>
      <c r="K10" s="57"/>
      <c r="L10" s="181"/>
      <c r="M10" s="182"/>
      <c r="N10" s="183"/>
      <c r="O10" s="183"/>
      <c r="P10" s="183"/>
      <c r="Q10" s="183"/>
      <c r="R10" s="183"/>
      <c r="S10" s="184"/>
      <c r="T10" s="184"/>
      <c r="U10" s="43"/>
      <c r="V10" s="104"/>
      <c r="W10" s="508"/>
      <c r="X10" s="508"/>
      <c r="Y10" s="508"/>
      <c r="Z10" s="43"/>
      <c r="AA10" s="43"/>
      <c r="AB10" s="43"/>
      <c r="AC10" s="43"/>
      <c r="AD10" s="43"/>
      <c r="AE10" s="43"/>
      <c r="AF10" s="43"/>
      <c r="AG10" s="43"/>
      <c r="AH10" s="43"/>
    </row>
    <row r="11" spans="1:34">
      <c r="A11" s="185" t="s">
        <v>1580</v>
      </c>
      <c r="B11" s="185"/>
      <c r="C11" s="185"/>
      <c r="D11" s="185"/>
      <c r="E11" s="185"/>
      <c r="F11" s="185"/>
      <c r="G11" s="185"/>
      <c r="H11" s="185"/>
      <c r="I11" s="185"/>
      <c r="J11" s="185"/>
      <c r="K11" s="186"/>
      <c r="L11" s="187"/>
      <c r="M11" s="185"/>
      <c r="N11" s="185"/>
      <c r="O11" s="185"/>
      <c r="P11" s="185"/>
      <c r="Q11" s="185"/>
      <c r="R11" s="185"/>
      <c r="S11" s="185"/>
      <c r="T11" s="188"/>
      <c r="U11" s="43"/>
      <c r="V11" s="43"/>
      <c r="W11" s="508"/>
      <c r="X11" s="508"/>
      <c r="Y11" s="508"/>
      <c r="Z11" s="43"/>
      <c r="AA11" s="43"/>
      <c r="AB11" s="43"/>
      <c r="AC11" s="43"/>
      <c r="AD11" s="43"/>
      <c r="AE11" s="43"/>
      <c r="AF11" s="43"/>
      <c r="AG11" s="43"/>
      <c r="AH11" s="43"/>
    </row>
    <row r="12" spans="1:34">
      <c r="A12" s="185" t="s">
        <v>1581</v>
      </c>
      <c r="B12" s="185"/>
      <c r="C12" s="185"/>
      <c r="D12" s="185"/>
      <c r="E12" s="185"/>
      <c r="F12" s="185"/>
      <c r="G12" s="185"/>
      <c r="H12" s="185"/>
      <c r="I12" s="185"/>
      <c r="J12" s="185"/>
      <c r="K12" s="186" t="s">
        <v>1582</v>
      </c>
      <c r="L12" s="187"/>
      <c r="M12" s="185"/>
      <c r="N12" s="185"/>
      <c r="O12" s="185"/>
      <c r="P12" s="185"/>
      <c r="Q12" s="185"/>
      <c r="R12" s="185"/>
      <c r="S12" s="185"/>
      <c r="T12" s="185"/>
      <c r="U12" s="43"/>
      <c r="V12" s="43"/>
      <c r="W12" s="508"/>
      <c r="X12" s="508"/>
      <c r="Y12" s="508"/>
      <c r="Z12" s="43"/>
      <c r="AA12" s="43"/>
      <c r="AB12" s="43"/>
      <c r="AC12" s="43"/>
      <c r="AD12" s="43"/>
      <c r="AE12" s="43"/>
      <c r="AF12" s="43"/>
      <c r="AG12" s="43"/>
      <c r="AH12" s="43"/>
    </row>
    <row r="13" spans="1:34" ht="60">
      <c r="A13" s="189">
        <v>1</v>
      </c>
      <c r="B13" s="190" t="s">
        <v>1583</v>
      </c>
      <c r="C13" s="190"/>
      <c r="D13" s="190"/>
      <c r="E13" s="190"/>
      <c r="F13" s="190"/>
      <c r="G13" s="190"/>
      <c r="H13" s="190"/>
      <c r="I13" s="190">
        <v>1</v>
      </c>
      <c r="J13" s="190"/>
      <c r="K13" s="186" t="s">
        <v>706</v>
      </c>
      <c r="L13" s="187">
        <v>1</v>
      </c>
      <c r="M13" s="191">
        <v>4.5</v>
      </c>
      <c r="N13" s="192" t="s">
        <v>1584</v>
      </c>
      <c r="O13" s="193" t="s">
        <v>1585</v>
      </c>
      <c r="P13" s="192">
        <v>151</v>
      </c>
      <c r="Q13" s="192" t="s">
        <v>1586</v>
      </c>
      <c r="R13" s="192" t="s">
        <v>1587</v>
      </c>
      <c r="S13" s="190" t="s">
        <v>1588</v>
      </c>
      <c r="T13" s="595" t="s">
        <v>1495</v>
      </c>
      <c r="U13" s="305">
        <v>1</v>
      </c>
      <c r="V13" s="113">
        <v>0</v>
      </c>
      <c r="W13" s="509">
        <v>0</v>
      </c>
      <c r="X13" s="509">
        <v>0</v>
      </c>
      <c r="Y13" s="509">
        <v>0</v>
      </c>
      <c r="Z13" s="299">
        <v>1358900</v>
      </c>
      <c r="AA13" s="43"/>
      <c r="AB13" s="299">
        <v>1162700</v>
      </c>
      <c r="AC13" s="299"/>
      <c r="AD13" s="299"/>
      <c r="AE13" s="299">
        <f t="shared" ref="AE13" si="0">Z13+AA13+AB13+AC13+AD13</f>
        <v>2521600</v>
      </c>
      <c r="AF13" s="299">
        <f>$AE13*L13</f>
        <v>2521600</v>
      </c>
      <c r="AG13" s="299">
        <f>$AE13*U13</f>
        <v>2521600</v>
      </c>
      <c r="AH13" s="110" t="s">
        <v>3747</v>
      </c>
    </row>
    <row r="14" spans="1:34" ht="60">
      <c r="A14" s="189">
        <v>2</v>
      </c>
      <c r="B14" s="190" t="s">
        <v>1583</v>
      </c>
      <c r="C14" s="190"/>
      <c r="D14" s="190"/>
      <c r="E14" s="190">
        <v>1</v>
      </c>
      <c r="F14" s="190">
        <v>4</v>
      </c>
      <c r="G14" s="190">
        <v>2</v>
      </c>
      <c r="H14" s="190">
        <v>8</v>
      </c>
      <c r="I14" s="190">
        <v>3</v>
      </c>
      <c r="J14" s="190"/>
      <c r="K14" s="186" t="s">
        <v>706</v>
      </c>
      <c r="L14" s="187">
        <v>18</v>
      </c>
      <c r="M14" s="191">
        <v>5.6</v>
      </c>
      <c r="N14" s="192" t="s">
        <v>1589</v>
      </c>
      <c r="O14" s="193" t="s">
        <v>1585</v>
      </c>
      <c r="P14" s="192">
        <v>128</v>
      </c>
      <c r="Q14" s="192" t="s">
        <v>1586</v>
      </c>
      <c r="R14" s="192" t="s">
        <v>1587</v>
      </c>
      <c r="S14" s="190" t="s">
        <v>1588</v>
      </c>
      <c r="T14" s="595"/>
      <c r="U14" s="305">
        <v>18</v>
      </c>
      <c r="V14" s="113">
        <v>0</v>
      </c>
      <c r="W14" s="509">
        <v>0</v>
      </c>
      <c r="X14" s="509">
        <v>0</v>
      </c>
      <c r="Y14" s="509">
        <v>0</v>
      </c>
      <c r="Z14" s="299">
        <v>1358900</v>
      </c>
      <c r="AA14" s="43"/>
      <c r="AB14" s="299">
        <v>1162700</v>
      </c>
      <c r="AC14" s="299"/>
      <c r="AD14" s="299"/>
      <c r="AE14" s="299">
        <f t="shared" ref="AE14:AE47" si="1">Z14+AA14+AB14+AC14+AD14</f>
        <v>2521600</v>
      </c>
      <c r="AF14" s="299">
        <f t="shared" ref="AF14:AF47" si="2">$AE14*L14</f>
        <v>45388800</v>
      </c>
      <c r="AG14" s="299">
        <f t="shared" ref="AG14:AG47" si="3">$AE14*U14</f>
        <v>45388800</v>
      </c>
      <c r="AH14" s="110" t="s">
        <v>3747</v>
      </c>
    </row>
    <row r="15" spans="1:34" ht="60">
      <c r="A15" s="189">
        <v>3</v>
      </c>
      <c r="B15" s="190" t="s">
        <v>1583</v>
      </c>
      <c r="C15" s="190"/>
      <c r="D15" s="190"/>
      <c r="E15" s="190">
        <v>6</v>
      </c>
      <c r="F15" s="190">
        <v>7</v>
      </c>
      <c r="G15" s="190">
        <v>2</v>
      </c>
      <c r="H15" s="190"/>
      <c r="I15" s="190">
        <v>6</v>
      </c>
      <c r="J15" s="190"/>
      <c r="K15" s="186" t="s">
        <v>706</v>
      </c>
      <c r="L15" s="187">
        <v>20</v>
      </c>
      <c r="M15" s="191">
        <v>7.1</v>
      </c>
      <c r="N15" s="192" t="s">
        <v>1590</v>
      </c>
      <c r="O15" s="193" t="s">
        <v>1585</v>
      </c>
      <c r="P15" s="192">
        <v>138</v>
      </c>
      <c r="Q15" s="192" t="s">
        <v>1586</v>
      </c>
      <c r="R15" s="192" t="s">
        <v>1587</v>
      </c>
      <c r="S15" s="190" t="s">
        <v>1588</v>
      </c>
      <c r="T15" s="595"/>
      <c r="U15" s="305">
        <v>20</v>
      </c>
      <c r="V15" s="113">
        <v>0</v>
      </c>
      <c r="W15" s="509">
        <v>0</v>
      </c>
      <c r="X15" s="509">
        <v>0</v>
      </c>
      <c r="Y15" s="509">
        <v>0</v>
      </c>
      <c r="Z15" s="299">
        <v>1358900</v>
      </c>
      <c r="AA15" s="43"/>
      <c r="AB15" s="299">
        <v>1162700</v>
      </c>
      <c r="AC15" s="299"/>
      <c r="AD15" s="299"/>
      <c r="AE15" s="299">
        <f t="shared" si="1"/>
        <v>2521600</v>
      </c>
      <c r="AF15" s="299">
        <f t="shared" si="2"/>
        <v>50432000</v>
      </c>
      <c r="AG15" s="299">
        <f t="shared" si="3"/>
        <v>50432000</v>
      </c>
      <c r="AH15" s="110" t="s">
        <v>3747</v>
      </c>
    </row>
    <row r="16" spans="1:34" ht="60">
      <c r="A16" s="189">
        <v>4</v>
      </c>
      <c r="B16" s="190" t="s">
        <v>1583</v>
      </c>
      <c r="C16" s="190"/>
      <c r="D16" s="190"/>
      <c r="E16" s="190">
        <v>2</v>
      </c>
      <c r="F16" s="190">
        <v>11</v>
      </c>
      <c r="G16" s="190">
        <v>7</v>
      </c>
      <c r="H16" s="190">
        <v>8</v>
      </c>
      <c r="I16" s="190">
        <v>8</v>
      </c>
      <c r="J16" s="190"/>
      <c r="K16" s="186" t="s">
        <v>706</v>
      </c>
      <c r="L16" s="187">
        <v>34</v>
      </c>
      <c r="M16" s="191">
        <v>9</v>
      </c>
      <c r="N16" s="192" t="s">
        <v>1591</v>
      </c>
      <c r="O16" s="193" t="s">
        <v>1585</v>
      </c>
      <c r="P16" s="192">
        <v>185</v>
      </c>
      <c r="Q16" s="192" t="s">
        <v>1586</v>
      </c>
      <c r="R16" s="192" t="s">
        <v>1587</v>
      </c>
      <c r="S16" s="190" t="s">
        <v>1588</v>
      </c>
      <c r="T16" s="595"/>
      <c r="U16" s="305">
        <v>34</v>
      </c>
      <c r="V16" s="113">
        <v>0</v>
      </c>
      <c r="W16" s="509">
        <v>0</v>
      </c>
      <c r="X16" s="509">
        <v>0</v>
      </c>
      <c r="Y16" s="509">
        <v>0</v>
      </c>
      <c r="Z16" s="299">
        <v>1358900</v>
      </c>
      <c r="AA16" s="43"/>
      <c r="AB16" s="299">
        <v>1348100</v>
      </c>
      <c r="AC16" s="299"/>
      <c r="AD16" s="299"/>
      <c r="AE16" s="299">
        <f t="shared" si="1"/>
        <v>2707000</v>
      </c>
      <c r="AF16" s="299">
        <f t="shared" si="2"/>
        <v>92038000</v>
      </c>
      <c r="AG16" s="299">
        <f t="shared" si="3"/>
        <v>92038000</v>
      </c>
      <c r="AH16" s="110" t="s">
        <v>3747</v>
      </c>
    </row>
    <row r="17" spans="1:34" ht="60">
      <c r="A17" s="189">
        <v>5</v>
      </c>
      <c r="B17" s="190" t="s">
        <v>1583</v>
      </c>
      <c r="C17" s="190"/>
      <c r="D17" s="190"/>
      <c r="E17" s="190">
        <v>8</v>
      </c>
      <c r="F17" s="190">
        <v>10</v>
      </c>
      <c r="G17" s="190">
        <v>16</v>
      </c>
      <c r="H17" s="190">
        <v>13</v>
      </c>
      <c r="I17" s="190">
        <v>3</v>
      </c>
      <c r="J17" s="190"/>
      <c r="K17" s="186" t="s">
        <v>706</v>
      </c>
      <c r="L17" s="187">
        <v>51</v>
      </c>
      <c r="M17" s="191">
        <v>11.2</v>
      </c>
      <c r="N17" s="192" t="s">
        <v>1592</v>
      </c>
      <c r="O17" s="193" t="s">
        <v>1585</v>
      </c>
      <c r="P17" s="192">
        <v>215</v>
      </c>
      <c r="Q17" s="192" t="s">
        <v>1586</v>
      </c>
      <c r="R17" s="192" t="s">
        <v>1587</v>
      </c>
      <c r="S17" s="190" t="s">
        <v>1588</v>
      </c>
      <c r="T17" s="595"/>
      <c r="U17" s="305">
        <v>51</v>
      </c>
      <c r="V17" s="113">
        <v>0</v>
      </c>
      <c r="W17" s="509">
        <v>0</v>
      </c>
      <c r="X17" s="509">
        <v>0</v>
      </c>
      <c r="Y17" s="509">
        <v>0</v>
      </c>
      <c r="Z17" s="299">
        <v>1358900</v>
      </c>
      <c r="AA17" s="43"/>
      <c r="AB17" s="299">
        <v>1348100</v>
      </c>
      <c r="AC17" s="299"/>
      <c r="AD17" s="299"/>
      <c r="AE17" s="299">
        <f t="shared" si="1"/>
        <v>2707000</v>
      </c>
      <c r="AF17" s="299">
        <f t="shared" si="2"/>
        <v>138057000</v>
      </c>
      <c r="AG17" s="299">
        <f t="shared" si="3"/>
        <v>138057000</v>
      </c>
      <c r="AH17" s="110" t="s">
        <v>3747</v>
      </c>
    </row>
    <row r="18" spans="1:34" ht="60">
      <c r="A18" s="189">
        <v>6</v>
      </c>
      <c r="B18" s="190" t="s">
        <v>1583</v>
      </c>
      <c r="C18" s="190"/>
      <c r="D18" s="190"/>
      <c r="E18" s="190">
        <v>1</v>
      </c>
      <c r="F18" s="190">
        <v>4</v>
      </c>
      <c r="G18" s="190">
        <v>4</v>
      </c>
      <c r="H18" s="190">
        <v>4</v>
      </c>
      <c r="I18" s="190">
        <v>2</v>
      </c>
      <c r="J18" s="190"/>
      <c r="K18" s="186" t="s">
        <v>706</v>
      </c>
      <c r="L18" s="187">
        <v>16</v>
      </c>
      <c r="M18" s="191">
        <v>14</v>
      </c>
      <c r="N18" s="192" t="s">
        <v>1593</v>
      </c>
      <c r="O18" s="193" t="s">
        <v>1585</v>
      </c>
      <c r="P18" s="192">
        <v>284</v>
      </c>
      <c r="Q18" s="192" t="s">
        <v>1586</v>
      </c>
      <c r="R18" s="192" t="s">
        <v>1587</v>
      </c>
      <c r="S18" s="190" t="s">
        <v>1588</v>
      </c>
      <c r="T18" s="595"/>
      <c r="U18" s="305">
        <v>16</v>
      </c>
      <c r="V18" s="113">
        <v>0</v>
      </c>
      <c r="W18" s="509">
        <v>0</v>
      </c>
      <c r="X18" s="509">
        <v>0</v>
      </c>
      <c r="Y18" s="509">
        <v>0</v>
      </c>
      <c r="Z18" s="299">
        <v>1358900</v>
      </c>
      <c r="AA18" s="43"/>
      <c r="AB18" s="299">
        <v>1348100</v>
      </c>
      <c r="AC18" s="299"/>
      <c r="AD18" s="299"/>
      <c r="AE18" s="299">
        <f t="shared" si="1"/>
        <v>2707000</v>
      </c>
      <c r="AF18" s="299">
        <f t="shared" si="2"/>
        <v>43312000</v>
      </c>
      <c r="AG18" s="299">
        <f t="shared" si="3"/>
        <v>43312000</v>
      </c>
      <c r="AH18" s="110" t="s">
        <v>3747</v>
      </c>
    </row>
    <row r="19" spans="1:34" ht="60">
      <c r="A19" s="189">
        <v>7</v>
      </c>
      <c r="B19" s="190" t="s">
        <v>1583</v>
      </c>
      <c r="C19" s="190"/>
      <c r="D19" s="190"/>
      <c r="E19" s="190">
        <v>1</v>
      </c>
      <c r="F19" s="190">
        <v>21</v>
      </c>
      <c r="G19" s="190">
        <v>28</v>
      </c>
      <c r="H19" s="190">
        <v>19</v>
      </c>
      <c r="I19" s="190">
        <v>17</v>
      </c>
      <c r="J19" s="190"/>
      <c r="K19" s="186" t="s">
        <v>706</v>
      </c>
      <c r="L19" s="187">
        <v>85</v>
      </c>
      <c r="M19" s="191">
        <v>16</v>
      </c>
      <c r="N19" s="192" t="s">
        <v>1594</v>
      </c>
      <c r="O19" s="193" t="s">
        <v>1585</v>
      </c>
      <c r="P19" s="192">
        <v>405</v>
      </c>
      <c r="Q19" s="192" t="s">
        <v>1586</v>
      </c>
      <c r="R19" s="192" t="s">
        <v>1587</v>
      </c>
      <c r="S19" s="190" t="s">
        <v>1588</v>
      </c>
      <c r="T19" s="595"/>
      <c r="U19" s="305">
        <v>85</v>
      </c>
      <c r="V19" s="113">
        <v>0</v>
      </c>
      <c r="W19" s="509">
        <v>0</v>
      </c>
      <c r="X19" s="509">
        <v>0</v>
      </c>
      <c r="Y19" s="509">
        <v>0</v>
      </c>
      <c r="Z19" s="299">
        <v>1358900</v>
      </c>
      <c r="AA19" s="43"/>
      <c r="AB19" s="299">
        <v>1983800</v>
      </c>
      <c r="AC19" s="299"/>
      <c r="AD19" s="299"/>
      <c r="AE19" s="299">
        <f t="shared" si="1"/>
        <v>3342700</v>
      </c>
      <c r="AF19" s="299">
        <f t="shared" si="2"/>
        <v>284129500</v>
      </c>
      <c r="AG19" s="299">
        <f t="shared" si="3"/>
        <v>284129500</v>
      </c>
      <c r="AH19" s="110" t="s">
        <v>3747</v>
      </c>
    </row>
    <row r="20" spans="1:34" ht="60">
      <c r="A20" s="189">
        <v>8</v>
      </c>
      <c r="B20" s="190" t="s">
        <v>1583</v>
      </c>
      <c r="C20" s="190"/>
      <c r="D20" s="190"/>
      <c r="E20" s="190">
        <v>8</v>
      </c>
      <c r="F20" s="190"/>
      <c r="G20" s="190"/>
      <c r="H20" s="190"/>
      <c r="I20" s="190">
        <v>6</v>
      </c>
      <c r="J20" s="190"/>
      <c r="K20" s="186" t="s">
        <v>706</v>
      </c>
      <c r="L20" s="187">
        <v>14</v>
      </c>
      <c r="M20" s="191">
        <v>22.4</v>
      </c>
      <c r="N20" s="192" t="s">
        <v>1594</v>
      </c>
      <c r="O20" s="193" t="s">
        <v>1585</v>
      </c>
      <c r="P20" s="192">
        <v>405</v>
      </c>
      <c r="Q20" s="192" t="s">
        <v>1586</v>
      </c>
      <c r="R20" s="192" t="s">
        <v>1587</v>
      </c>
      <c r="S20" s="190" t="s">
        <v>1588</v>
      </c>
      <c r="T20" s="595"/>
      <c r="U20" s="305">
        <v>14</v>
      </c>
      <c r="V20" s="113">
        <v>0</v>
      </c>
      <c r="W20" s="509">
        <v>0</v>
      </c>
      <c r="X20" s="509">
        <v>0</v>
      </c>
      <c r="Y20" s="509">
        <v>0</v>
      </c>
      <c r="Z20" s="299">
        <v>1358900</v>
      </c>
      <c r="AA20" s="43"/>
      <c r="AB20" s="299">
        <v>1983800</v>
      </c>
      <c r="AC20" s="299"/>
      <c r="AD20" s="299"/>
      <c r="AE20" s="299">
        <f t="shared" si="1"/>
        <v>3342700</v>
      </c>
      <c r="AF20" s="299">
        <f t="shared" si="2"/>
        <v>46797800</v>
      </c>
      <c r="AG20" s="299">
        <f t="shared" si="3"/>
        <v>46797800</v>
      </c>
      <c r="AH20" s="110" t="s">
        <v>3747</v>
      </c>
    </row>
    <row r="21" spans="1:34" ht="60">
      <c r="A21" s="189">
        <v>9</v>
      </c>
      <c r="B21" s="194" t="s">
        <v>1595</v>
      </c>
      <c r="C21" s="190"/>
      <c r="D21" s="190"/>
      <c r="E21" s="190"/>
      <c r="F21" s="190"/>
      <c r="G21" s="190"/>
      <c r="H21" s="190"/>
      <c r="I21" s="190">
        <v>1</v>
      </c>
      <c r="J21" s="190"/>
      <c r="K21" s="186" t="s">
        <v>706</v>
      </c>
      <c r="L21" s="187">
        <v>1</v>
      </c>
      <c r="M21" s="191">
        <v>2.2000000000000002</v>
      </c>
      <c r="N21" s="192" t="s">
        <v>1594</v>
      </c>
      <c r="O21" s="193" t="s">
        <v>1585</v>
      </c>
      <c r="P21" s="192">
        <v>405</v>
      </c>
      <c r="Q21" s="192" t="s">
        <v>1586</v>
      </c>
      <c r="R21" s="192" t="s">
        <v>1587</v>
      </c>
      <c r="S21" s="190" t="s">
        <v>1588</v>
      </c>
      <c r="T21" s="595"/>
      <c r="U21" s="305">
        <v>1</v>
      </c>
      <c r="V21" s="113">
        <v>0</v>
      </c>
      <c r="W21" s="509">
        <v>0</v>
      </c>
      <c r="X21" s="509">
        <v>0</v>
      </c>
      <c r="Y21" s="509">
        <v>0</v>
      </c>
      <c r="Z21" s="299">
        <v>76000</v>
      </c>
      <c r="AA21" s="43"/>
      <c r="AB21" s="299">
        <v>1004500</v>
      </c>
      <c r="AC21" s="299"/>
      <c r="AD21" s="299"/>
      <c r="AE21" s="299">
        <f t="shared" si="1"/>
        <v>1080500</v>
      </c>
      <c r="AF21" s="299">
        <f t="shared" si="2"/>
        <v>1080500</v>
      </c>
      <c r="AG21" s="299">
        <f t="shared" si="3"/>
        <v>1080500</v>
      </c>
      <c r="AH21" s="110" t="s">
        <v>3747</v>
      </c>
    </row>
    <row r="22" spans="1:34" ht="60">
      <c r="A22" s="189">
        <v>10</v>
      </c>
      <c r="B22" s="190" t="s">
        <v>1596</v>
      </c>
      <c r="C22" s="190"/>
      <c r="D22" s="190"/>
      <c r="E22" s="190"/>
      <c r="F22" s="190"/>
      <c r="G22" s="190"/>
      <c r="H22" s="190"/>
      <c r="I22" s="190">
        <v>1</v>
      </c>
      <c r="J22" s="190"/>
      <c r="K22" s="186" t="s">
        <v>706</v>
      </c>
      <c r="L22" s="187">
        <v>1</v>
      </c>
      <c r="M22" s="191">
        <v>2.2000000000000002</v>
      </c>
      <c r="N22" s="192" t="s">
        <v>1597</v>
      </c>
      <c r="O22" s="193" t="s">
        <v>1585</v>
      </c>
      <c r="P22" s="192">
        <v>60</v>
      </c>
      <c r="Q22" s="192" t="s">
        <v>1586</v>
      </c>
      <c r="R22" s="192" t="s">
        <v>1587</v>
      </c>
      <c r="S22" s="190" t="s">
        <v>1588</v>
      </c>
      <c r="T22" s="595"/>
      <c r="U22" s="305">
        <v>1</v>
      </c>
      <c r="V22" s="113">
        <v>0</v>
      </c>
      <c r="W22" s="509">
        <v>0</v>
      </c>
      <c r="X22" s="509">
        <v>0</v>
      </c>
      <c r="Y22" s="509">
        <v>0</v>
      </c>
      <c r="Z22" s="299">
        <v>288800</v>
      </c>
      <c r="AA22" s="43"/>
      <c r="AB22" s="299">
        <v>1004500</v>
      </c>
      <c r="AC22" s="299"/>
      <c r="AD22" s="299"/>
      <c r="AE22" s="299">
        <f t="shared" si="1"/>
        <v>1293300</v>
      </c>
      <c r="AF22" s="299">
        <f t="shared" si="2"/>
        <v>1293300</v>
      </c>
      <c r="AG22" s="299">
        <f t="shared" si="3"/>
        <v>1293300</v>
      </c>
      <c r="AH22" s="110" t="s">
        <v>3747</v>
      </c>
    </row>
    <row r="23" spans="1:34" ht="60">
      <c r="A23" s="189">
        <v>11</v>
      </c>
      <c r="B23" s="190" t="s">
        <v>1596</v>
      </c>
      <c r="C23" s="190"/>
      <c r="D23" s="190"/>
      <c r="E23" s="190"/>
      <c r="F23" s="190"/>
      <c r="G23" s="190"/>
      <c r="H23" s="190"/>
      <c r="I23" s="190">
        <v>1</v>
      </c>
      <c r="J23" s="190"/>
      <c r="K23" s="186" t="s">
        <v>706</v>
      </c>
      <c r="L23" s="187">
        <v>1</v>
      </c>
      <c r="M23" s="191">
        <v>7.1</v>
      </c>
      <c r="N23" s="192" t="s">
        <v>1594</v>
      </c>
      <c r="O23" s="193" t="s">
        <v>1585</v>
      </c>
      <c r="P23" s="192">
        <v>405</v>
      </c>
      <c r="Q23" s="192" t="s">
        <v>1586</v>
      </c>
      <c r="R23" s="192" t="s">
        <v>1587</v>
      </c>
      <c r="S23" s="190" t="s">
        <v>1588</v>
      </c>
      <c r="T23" s="595"/>
      <c r="U23" s="305">
        <v>1</v>
      </c>
      <c r="V23" s="113">
        <v>0</v>
      </c>
      <c r="W23" s="509">
        <v>0</v>
      </c>
      <c r="X23" s="509">
        <v>0</v>
      </c>
      <c r="Y23" s="509">
        <v>0</v>
      </c>
      <c r="Z23" s="299">
        <v>288800</v>
      </c>
      <c r="AA23" s="43"/>
      <c r="AB23" s="299">
        <v>1162700</v>
      </c>
      <c r="AC23" s="299"/>
      <c r="AD23" s="299"/>
      <c r="AE23" s="299">
        <f t="shared" si="1"/>
        <v>1451500</v>
      </c>
      <c r="AF23" s="299">
        <f t="shared" si="2"/>
        <v>1451500</v>
      </c>
      <c r="AG23" s="299">
        <f t="shared" si="3"/>
        <v>1451500</v>
      </c>
      <c r="AH23" s="110" t="s">
        <v>3747</v>
      </c>
    </row>
    <row r="24" spans="1:34" ht="60">
      <c r="A24" s="189">
        <v>12</v>
      </c>
      <c r="B24" s="190" t="s">
        <v>1596</v>
      </c>
      <c r="C24" s="190"/>
      <c r="D24" s="190"/>
      <c r="E24" s="190"/>
      <c r="F24" s="190"/>
      <c r="G24" s="190"/>
      <c r="H24" s="190"/>
      <c r="I24" s="190">
        <v>2</v>
      </c>
      <c r="J24" s="190"/>
      <c r="K24" s="186" t="s">
        <v>706</v>
      </c>
      <c r="L24" s="187">
        <v>2</v>
      </c>
      <c r="M24" s="191">
        <v>14</v>
      </c>
      <c r="N24" s="192" t="s">
        <v>1594</v>
      </c>
      <c r="O24" s="193" t="s">
        <v>1585</v>
      </c>
      <c r="P24" s="192">
        <v>405</v>
      </c>
      <c r="Q24" s="192" t="s">
        <v>1586</v>
      </c>
      <c r="R24" s="192" t="s">
        <v>1587</v>
      </c>
      <c r="S24" s="190" t="s">
        <v>1588</v>
      </c>
      <c r="T24" s="595"/>
      <c r="U24" s="305">
        <v>2</v>
      </c>
      <c r="V24" s="113">
        <v>0</v>
      </c>
      <c r="W24" s="509">
        <v>0</v>
      </c>
      <c r="X24" s="509">
        <v>0</v>
      </c>
      <c r="Y24" s="509">
        <v>0</v>
      </c>
      <c r="Z24" s="299">
        <v>288800</v>
      </c>
      <c r="AA24" s="43"/>
      <c r="AB24" s="299">
        <v>1348100</v>
      </c>
      <c r="AC24" s="299"/>
      <c r="AD24" s="299"/>
      <c r="AE24" s="299">
        <f t="shared" si="1"/>
        <v>1636900</v>
      </c>
      <c r="AF24" s="299">
        <f t="shared" si="2"/>
        <v>3273800</v>
      </c>
      <c r="AG24" s="299">
        <f t="shared" si="3"/>
        <v>3273800</v>
      </c>
      <c r="AH24" s="110" t="s">
        <v>3747</v>
      </c>
    </row>
    <row r="25" spans="1:34" ht="60">
      <c r="A25" s="601" t="s">
        <v>1598</v>
      </c>
      <c r="B25" s="601"/>
      <c r="C25" s="601"/>
      <c r="D25" s="601"/>
      <c r="E25" s="601"/>
      <c r="F25" s="601"/>
      <c r="G25" s="601"/>
      <c r="H25" s="601"/>
      <c r="I25" s="601"/>
      <c r="J25" s="601"/>
      <c r="K25" s="601"/>
      <c r="L25" s="601"/>
      <c r="M25" s="601"/>
      <c r="N25" s="601"/>
      <c r="O25" s="601"/>
      <c r="P25" s="601"/>
      <c r="Q25" s="601"/>
      <c r="R25" s="601"/>
      <c r="S25" s="601"/>
      <c r="T25" s="185"/>
      <c r="U25" s="305">
        <v>0</v>
      </c>
      <c r="V25" s="113">
        <v>0</v>
      </c>
      <c r="W25" s="509">
        <v>0</v>
      </c>
      <c r="X25" s="509">
        <v>0</v>
      </c>
      <c r="Y25" s="509">
        <v>0</v>
      </c>
      <c r="Z25" s="299">
        <v>0</v>
      </c>
      <c r="AA25" s="43"/>
      <c r="AB25" s="299">
        <v>0</v>
      </c>
      <c r="AC25" s="299"/>
      <c r="AD25" s="299"/>
      <c r="AE25" s="299">
        <f t="shared" si="1"/>
        <v>0</v>
      </c>
      <c r="AF25" s="299">
        <f t="shared" si="2"/>
        <v>0</v>
      </c>
      <c r="AG25" s="299">
        <f t="shared" si="3"/>
        <v>0</v>
      </c>
      <c r="AH25" s="110" t="s">
        <v>3747</v>
      </c>
    </row>
    <row r="26" spans="1:34" ht="60">
      <c r="A26" s="189">
        <v>1</v>
      </c>
      <c r="B26" s="190" t="s">
        <v>1599</v>
      </c>
      <c r="C26" s="190"/>
      <c r="D26" s="190"/>
      <c r="E26" s="190">
        <v>1</v>
      </c>
      <c r="F26" s="190"/>
      <c r="G26" s="190"/>
      <c r="H26" s="190"/>
      <c r="I26" s="190"/>
      <c r="J26" s="190"/>
      <c r="K26" s="186" t="s">
        <v>706</v>
      </c>
      <c r="L26" s="187">
        <v>1</v>
      </c>
      <c r="M26" s="191">
        <v>61.5</v>
      </c>
      <c r="N26" s="193" t="s">
        <v>1600</v>
      </c>
      <c r="O26" s="193" t="s">
        <v>1600</v>
      </c>
      <c r="P26" s="192">
        <v>16100</v>
      </c>
      <c r="Q26" s="192" t="s">
        <v>1601</v>
      </c>
      <c r="R26" s="192" t="s">
        <v>1587</v>
      </c>
      <c r="S26" s="190" t="s">
        <v>1602</v>
      </c>
      <c r="T26" s="608" t="s">
        <v>1495</v>
      </c>
      <c r="U26" s="305">
        <v>1</v>
      </c>
      <c r="V26" s="113">
        <v>0</v>
      </c>
      <c r="W26" s="509">
        <v>0</v>
      </c>
      <c r="X26" s="509">
        <v>0</v>
      </c>
      <c r="Y26" s="509">
        <v>0</v>
      </c>
      <c r="Z26" s="299">
        <v>608000</v>
      </c>
      <c r="AA26" s="43"/>
      <c r="AB26" s="299">
        <v>14438500</v>
      </c>
      <c r="AC26" s="299"/>
      <c r="AD26" s="299"/>
      <c r="AE26" s="299">
        <f t="shared" si="1"/>
        <v>15046500</v>
      </c>
      <c r="AF26" s="299">
        <f t="shared" si="2"/>
        <v>15046500</v>
      </c>
      <c r="AG26" s="299">
        <f t="shared" si="3"/>
        <v>15046500</v>
      </c>
      <c r="AH26" s="110" t="s">
        <v>3747</v>
      </c>
    </row>
    <row r="27" spans="1:34" ht="60">
      <c r="A27" s="189">
        <v>2</v>
      </c>
      <c r="B27" s="190" t="s">
        <v>1603</v>
      </c>
      <c r="C27" s="190"/>
      <c r="D27" s="190"/>
      <c r="E27" s="190">
        <v>1</v>
      </c>
      <c r="F27" s="190"/>
      <c r="G27" s="190"/>
      <c r="H27" s="190"/>
      <c r="I27" s="190"/>
      <c r="J27" s="190"/>
      <c r="K27" s="186" t="s">
        <v>706</v>
      </c>
      <c r="L27" s="187">
        <v>1</v>
      </c>
      <c r="M27" s="191">
        <v>67</v>
      </c>
      <c r="N27" s="193" t="s">
        <v>1600</v>
      </c>
      <c r="O27" s="193" t="s">
        <v>1600</v>
      </c>
      <c r="P27" s="192">
        <v>17800</v>
      </c>
      <c r="Q27" s="192" t="s">
        <v>1601</v>
      </c>
      <c r="R27" s="192" t="s">
        <v>1587</v>
      </c>
      <c r="S27" s="190" t="s">
        <v>1602</v>
      </c>
      <c r="T27" s="608"/>
      <c r="U27" s="305">
        <v>1</v>
      </c>
      <c r="V27" s="113">
        <v>0</v>
      </c>
      <c r="W27" s="509">
        <v>0</v>
      </c>
      <c r="X27" s="509">
        <v>0</v>
      </c>
      <c r="Y27" s="509">
        <v>0</v>
      </c>
      <c r="Z27" s="299">
        <v>608000</v>
      </c>
      <c r="AA27" s="43"/>
      <c r="AB27" s="299">
        <v>17538600</v>
      </c>
      <c r="AC27" s="299"/>
      <c r="AD27" s="299"/>
      <c r="AE27" s="299">
        <f t="shared" si="1"/>
        <v>18146600</v>
      </c>
      <c r="AF27" s="299">
        <f t="shared" si="2"/>
        <v>18146600</v>
      </c>
      <c r="AG27" s="299">
        <f t="shared" si="3"/>
        <v>18146600</v>
      </c>
      <c r="AH27" s="110" t="s">
        <v>3747</v>
      </c>
    </row>
    <row r="28" spans="1:34" ht="60">
      <c r="A28" s="189">
        <v>3</v>
      </c>
      <c r="B28" s="190" t="s">
        <v>1604</v>
      </c>
      <c r="C28" s="190"/>
      <c r="D28" s="190"/>
      <c r="E28" s="190">
        <v>1</v>
      </c>
      <c r="F28" s="190"/>
      <c r="G28" s="190"/>
      <c r="H28" s="190"/>
      <c r="I28" s="190"/>
      <c r="J28" s="190"/>
      <c r="K28" s="186" t="s">
        <v>706</v>
      </c>
      <c r="L28" s="187">
        <v>1</v>
      </c>
      <c r="M28" s="191">
        <v>73.5</v>
      </c>
      <c r="N28" s="193" t="s">
        <v>1600</v>
      </c>
      <c r="O28" s="193" t="s">
        <v>1600</v>
      </c>
      <c r="P28" s="192">
        <v>19900</v>
      </c>
      <c r="Q28" s="192" t="s">
        <v>1601</v>
      </c>
      <c r="R28" s="192" t="s">
        <v>1587</v>
      </c>
      <c r="S28" s="190" t="s">
        <v>1602</v>
      </c>
      <c r="T28" s="608"/>
      <c r="U28" s="305">
        <v>1</v>
      </c>
      <c r="V28" s="113">
        <v>0</v>
      </c>
      <c r="W28" s="509">
        <v>0</v>
      </c>
      <c r="X28" s="509">
        <v>0</v>
      </c>
      <c r="Y28" s="509">
        <v>0</v>
      </c>
      <c r="Z28" s="299">
        <v>608000</v>
      </c>
      <c r="AA28" s="43"/>
      <c r="AB28" s="299">
        <v>18995500</v>
      </c>
      <c r="AC28" s="299"/>
      <c r="AD28" s="299"/>
      <c r="AE28" s="299">
        <f t="shared" si="1"/>
        <v>19603500</v>
      </c>
      <c r="AF28" s="299">
        <f t="shared" si="2"/>
        <v>19603500</v>
      </c>
      <c r="AG28" s="299">
        <f t="shared" si="3"/>
        <v>19603500</v>
      </c>
      <c r="AH28" s="110" t="s">
        <v>3747</v>
      </c>
    </row>
    <row r="29" spans="1:34" ht="60">
      <c r="A29" s="189">
        <v>4</v>
      </c>
      <c r="B29" s="190" t="s">
        <v>1605</v>
      </c>
      <c r="C29" s="190"/>
      <c r="D29" s="190"/>
      <c r="E29" s="190"/>
      <c r="F29" s="190"/>
      <c r="G29" s="190"/>
      <c r="H29" s="190">
        <v>1</v>
      </c>
      <c r="I29" s="190"/>
      <c r="J29" s="190"/>
      <c r="K29" s="186" t="s">
        <v>706</v>
      </c>
      <c r="L29" s="187">
        <v>1</v>
      </c>
      <c r="M29" s="191">
        <v>90</v>
      </c>
      <c r="N29" s="193" t="s">
        <v>1600</v>
      </c>
      <c r="O29" s="193" t="s">
        <v>1600</v>
      </c>
      <c r="P29" s="192">
        <v>25800</v>
      </c>
      <c r="Q29" s="192" t="s">
        <v>1601</v>
      </c>
      <c r="R29" s="192" t="s">
        <v>1587</v>
      </c>
      <c r="S29" s="190" t="s">
        <v>1602</v>
      </c>
      <c r="T29" s="608"/>
      <c r="U29" s="305">
        <v>1</v>
      </c>
      <c r="V29" s="113">
        <v>0</v>
      </c>
      <c r="W29" s="509">
        <v>0</v>
      </c>
      <c r="X29" s="509">
        <v>0</v>
      </c>
      <c r="Y29" s="509">
        <v>0</v>
      </c>
      <c r="Z29" s="299">
        <v>608000</v>
      </c>
      <c r="AA29" s="43"/>
      <c r="AB29" s="299">
        <v>20115400</v>
      </c>
      <c r="AC29" s="299"/>
      <c r="AD29" s="299"/>
      <c r="AE29" s="299">
        <f t="shared" si="1"/>
        <v>20723400</v>
      </c>
      <c r="AF29" s="299">
        <f t="shared" si="2"/>
        <v>20723400</v>
      </c>
      <c r="AG29" s="299">
        <f t="shared" si="3"/>
        <v>20723400</v>
      </c>
      <c r="AH29" s="110" t="s">
        <v>3747</v>
      </c>
    </row>
    <row r="30" spans="1:34" ht="60">
      <c r="A30" s="189">
        <v>5</v>
      </c>
      <c r="B30" s="190" t="s">
        <v>1606</v>
      </c>
      <c r="C30" s="190"/>
      <c r="D30" s="190"/>
      <c r="E30" s="190"/>
      <c r="F30" s="190"/>
      <c r="G30" s="190"/>
      <c r="H30" s="190"/>
      <c r="I30" s="190">
        <v>1</v>
      </c>
      <c r="J30" s="190"/>
      <c r="K30" s="186" t="s">
        <v>706</v>
      </c>
      <c r="L30" s="187">
        <v>1</v>
      </c>
      <c r="M30" s="191">
        <v>95</v>
      </c>
      <c r="N30" s="193" t="s">
        <v>1600</v>
      </c>
      <c r="O30" s="193" t="s">
        <v>1600</v>
      </c>
      <c r="P30" s="192">
        <v>28200</v>
      </c>
      <c r="Q30" s="192" t="s">
        <v>1601</v>
      </c>
      <c r="R30" s="192" t="s">
        <v>1587</v>
      </c>
      <c r="S30" s="190" t="s">
        <v>1602</v>
      </c>
      <c r="T30" s="608"/>
      <c r="U30" s="305">
        <v>1</v>
      </c>
      <c r="V30" s="113">
        <v>0</v>
      </c>
      <c r="W30" s="509">
        <v>0</v>
      </c>
      <c r="X30" s="509">
        <v>0</v>
      </c>
      <c r="Y30" s="509">
        <v>0</v>
      </c>
      <c r="Z30" s="299">
        <v>608000</v>
      </c>
      <c r="AA30" s="43"/>
      <c r="AB30" s="299">
        <v>21638200</v>
      </c>
      <c r="AC30" s="299"/>
      <c r="AD30" s="299"/>
      <c r="AE30" s="299">
        <f t="shared" si="1"/>
        <v>22246200</v>
      </c>
      <c r="AF30" s="299">
        <f t="shared" si="2"/>
        <v>22246200</v>
      </c>
      <c r="AG30" s="299">
        <f t="shared" si="3"/>
        <v>22246200</v>
      </c>
      <c r="AH30" s="110" t="s">
        <v>3747</v>
      </c>
    </row>
    <row r="31" spans="1:34" ht="60">
      <c r="A31" s="189">
        <v>6</v>
      </c>
      <c r="B31" s="190" t="s">
        <v>1607</v>
      </c>
      <c r="C31" s="190"/>
      <c r="D31" s="190"/>
      <c r="E31" s="190"/>
      <c r="F31" s="190"/>
      <c r="G31" s="190"/>
      <c r="H31" s="190">
        <v>2</v>
      </c>
      <c r="I31" s="190"/>
      <c r="J31" s="190"/>
      <c r="K31" s="186" t="s">
        <v>706</v>
      </c>
      <c r="L31" s="187">
        <v>2</v>
      </c>
      <c r="M31" s="191">
        <v>101</v>
      </c>
      <c r="N31" s="193" t="s">
        <v>1600</v>
      </c>
      <c r="O31" s="193" t="s">
        <v>1600</v>
      </c>
      <c r="P31" s="192">
        <v>30600</v>
      </c>
      <c r="Q31" s="192" t="s">
        <v>1601</v>
      </c>
      <c r="R31" s="192" t="s">
        <v>1587</v>
      </c>
      <c r="S31" s="190" t="s">
        <v>1602</v>
      </c>
      <c r="T31" s="608"/>
      <c r="U31" s="305">
        <v>2</v>
      </c>
      <c r="V31" s="113">
        <v>0</v>
      </c>
      <c r="W31" s="509">
        <v>0</v>
      </c>
      <c r="X31" s="509">
        <v>0</v>
      </c>
      <c r="Y31" s="509">
        <v>0</v>
      </c>
      <c r="Z31" s="299">
        <v>608000</v>
      </c>
      <c r="AA31" s="43"/>
      <c r="AB31" s="299">
        <v>21638200</v>
      </c>
      <c r="AC31" s="299"/>
      <c r="AD31" s="299"/>
      <c r="AE31" s="299">
        <f t="shared" si="1"/>
        <v>22246200</v>
      </c>
      <c r="AF31" s="299">
        <f t="shared" si="2"/>
        <v>44492400</v>
      </c>
      <c r="AG31" s="299">
        <f t="shared" si="3"/>
        <v>44492400</v>
      </c>
      <c r="AH31" s="110" t="s">
        <v>3747</v>
      </c>
    </row>
    <row r="32" spans="1:34" ht="60">
      <c r="A32" s="189">
        <v>7</v>
      </c>
      <c r="B32" s="190" t="s">
        <v>1608</v>
      </c>
      <c r="C32" s="190"/>
      <c r="D32" s="190"/>
      <c r="E32" s="190"/>
      <c r="F32" s="190"/>
      <c r="G32" s="190"/>
      <c r="H32" s="190">
        <v>1</v>
      </c>
      <c r="I32" s="190">
        <v>1</v>
      </c>
      <c r="J32" s="190"/>
      <c r="K32" s="186" t="s">
        <v>706</v>
      </c>
      <c r="L32" s="187">
        <v>2</v>
      </c>
      <c r="M32" s="191">
        <v>106</v>
      </c>
      <c r="N32" s="193" t="s">
        <v>1600</v>
      </c>
      <c r="O32" s="193" t="s">
        <v>1600</v>
      </c>
      <c r="P32" s="192">
        <v>33000</v>
      </c>
      <c r="Q32" s="192" t="s">
        <v>1601</v>
      </c>
      <c r="R32" s="192" t="s">
        <v>1587</v>
      </c>
      <c r="S32" s="190" t="s">
        <v>1602</v>
      </c>
      <c r="T32" s="608"/>
      <c r="U32" s="305">
        <v>2</v>
      </c>
      <c r="V32" s="113">
        <v>0</v>
      </c>
      <c r="W32" s="509">
        <v>0</v>
      </c>
      <c r="X32" s="509">
        <v>0</v>
      </c>
      <c r="Y32" s="509">
        <v>0</v>
      </c>
      <c r="Z32" s="299">
        <v>608000</v>
      </c>
      <c r="AA32" s="43"/>
      <c r="AB32" s="299">
        <v>22033500</v>
      </c>
      <c r="AC32" s="299"/>
      <c r="AD32" s="299"/>
      <c r="AE32" s="299">
        <f t="shared" si="1"/>
        <v>22641500</v>
      </c>
      <c r="AF32" s="299">
        <f t="shared" si="2"/>
        <v>45283000</v>
      </c>
      <c r="AG32" s="299">
        <f t="shared" si="3"/>
        <v>45283000</v>
      </c>
      <c r="AH32" s="110" t="s">
        <v>3747</v>
      </c>
    </row>
    <row r="33" spans="1:34" ht="60">
      <c r="A33" s="189">
        <v>8</v>
      </c>
      <c r="B33" s="190" t="s">
        <v>1609</v>
      </c>
      <c r="C33" s="190"/>
      <c r="D33" s="190"/>
      <c r="E33" s="190"/>
      <c r="F33" s="190">
        <v>1</v>
      </c>
      <c r="G33" s="190">
        <v>1</v>
      </c>
      <c r="H33" s="190"/>
      <c r="I33" s="190"/>
      <c r="J33" s="190"/>
      <c r="K33" s="186" t="s">
        <v>706</v>
      </c>
      <c r="L33" s="187">
        <v>2</v>
      </c>
      <c r="M33" s="191">
        <v>112</v>
      </c>
      <c r="N33" s="193" t="s">
        <v>1600</v>
      </c>
      <c r="O33" s="193" t="s">
        <v>1600</v>
      </c>
      <c r="P33" s="192">
        <v>35400</v>
      </c>
      <c r="Q33" s="192" t="s">
        <v>1601</v>
      </c>
      <c r="R33" s="192" t="s">
        <v>1587</v>
      </c>
      <c r="S33" s="190" t="s">
        <v>1602</v>
      </c>
      <c r="T33" s="608"/>
      <c r="U33" s="305">
        <v>2</v>
      </c>
      <c r="V33" s="113">
        <v>0</v>
      </c>
      <c r="W33" s="509">
        <v>0</v>
      </c>
      <c r="X33" s="509">
        <v>0</v>
      </c>
      <c r="Y33" s="509">
        <v>0</v>
      </c>
      <c r="Z33" s="299">
        <v>608000</v>
      </c>
      <c r="AA33" s="43"/>
      <c r="AB33" s="299">
        <v>22428700</v>
      </c>
      <c r="AC33" s="299"/>
      <c r="AD33" s="299"/>
      <c r="AE33" s="299">
        <f t="shared" si="1"/>
        <v>23036700</v>
      </c>
      <c r="AF33" s="299">
        <f t="shared" si="2"/>
        <v>46073400</v>
      </c>
      <c r="AG33" s="299">
        <f t="shared" si="3"/>
        <v>46073400</v>
      </c>
      <c r="AH33" s="110" t="s">
        <v>3747</v>
      </c>
    </row>
    <row r="34" spans="1:34" ht="60">
      <c r="A34" s="189">
        <v>9</v>
      </c>
      <c r="B34" s="190" t="s">
        <v>1610</v>
      </c>
      <c r="C34" s="190"/>
      <c r="D34" s="190"/>
      <c r="E34" s="190"/>
      <c r="F34" s="190">
        <v>1</v>
      </c>
      <c r="G34" s="190"/>
      <c r="H34" s="190">
        <v>1</v>
      </c>
      <c r="I34" s="190"/>
      <c r="J34" s="190"/>
      <c r="K34" s="186" t="s">
        <v>706</v>
      </c>
      <c r="L34" s="187">
        <v>2</v>
      </c>
      <c r="M34" s="191">
        <v>117</v>
      </c>
      <c r="N34" s="193" t="s">
        <v>1600</v>
      </c>
      <c r="O34" s="193" t="s">
        <v>1600</v>
      </c>
      <c r="P34" s="192">
        <v>32700</v>
      </c>
      <c r="Q34" s="192" t="s">
        <v>1601</v>
      </c>
      <c r="R34" s="192" t="s">
        <v>1587</v>
      </c>
      <c r="S34" s="190" t="s">
        <v>1602</v>
      </c>
      <c r="T34" s="608"/>
      <c r="U34" s="305">
        <v>2</v>
      </c>
      <c r="V34" s="113">
        <v>0</v>
      </c>
      <c r="W34" s="509">
        <v>0</v>
      </c>
      <c r="X34" s="509">
        <v>0</v>
      </c>
      <c r="Y34" s="509">
        <v>0</v>
      </c>
      <c r="Z34" s="299">
        <v>912000</v>
      </c>
      <c r="AA34" s="43"/>
      <c r="AB34" s="299">
        <v>28357700</v>
      </c>
      <c r="AC34" s="299"/>
      <c r="AD34" s="299"/>
      <c r="AE34" s="299">
        <f t="shared" si="1"/>
        <v>29269700</v>
      </c>
      <c r="AF34" s="299">
        <f t="shared" si="2"/>
        <v>58539400</v>
      </c>
      <c r="AG34" s="299">
        <f t="shared" si="3"/>
        <v>58539400</v>
      </c>
      <c r="AH34" s="110" t="s">
        <v>3747</v>
      </c>
    </row>
    <row r="35" spans="1:34" ht="60">
      <c r="A35" s="189">
        <v>10</v>
      </c>
      <c r="B35" s="190" t="s">
        <v>1611</v>
      </c>
      <c r="C35" s="190"/>
      <c r="D35" s="190"/>
      <c r="E35" s="190"/>
      <c r="F35" s="190">
        <v>1</v>
      </c>
      <c r="G35" s="190"/>
      <c r="H35" s="190"/>
      <c r="I35" s="190"/>
      <c r="J35" s="190"/>
      <c r="K35" s="186" t="s">
        <v>706</v>
      </c>
      <c r="L35" s="187">
        <v>1</v>
      </c>
      <c r="M35" s="191">
        <v>123</v>
      </c>
      <c r="N35" s="193" t="s">
        <v>1600</v>
      </c>
      <c r="O35" s="193" t="s">
        <v>1600</v>
      </c>
      <c r="P35" s="192">
        <v>35100</v>
      </c>
      <c r="Q35" s="192" t="s">
        <v>1601</v>
      </c>
      <c r="R35" s="192" t="s">
        <v>1587</v>
      </c>
      <c r="S35" s="190" t="s">
        <v>1602</v>
      </c>
      <c r="T35" s="608"/>
      <c r="U35" s="305">
        <v>1</v>
      </c>
      <c r="V35" s="113">
        <v>0</v>
      </c>
      <c r="W35" s="509">
        <v>0</v>
      </c>
      <c r="X35" s="509">
        <v>0</v>
      </c>
      <c r="Y35" s="509">
        <v>0</v>
      </c>
      <c r="Z35" s="299">
        <v>912000</v>
      </c>
      <c r="AA35" s="43"/>
      <c r="AB35" s="299">
        <v>28752900</v>
      </c>
      <c r="AC35" s="299"/>
      <c r="AD35" s="299"/>
      <c r="AE35" s="299">
        <f t="shared" si="1"/>
        <v>29664900</v>
      </c>
      <c r="AF35" s="299">
        <f t="shared" si="2"/>
        <v>29664900</v>
      </c>
      <c r="AG35" s="299">
        <f t="shared" si="3"/>
        <v>29664900</v>
      </c>
      <c r="AH35" s="110" t="s">
        <v>3747</v>
      </c>
    </row>
    <row r="36" spans="1:34" ht="60">
      <c r="A36" s="189">
        <v>11</v>
      </c>
      <c r="B36" s="190" t="s">
        <v>1612</v>
      </c>
      <c r="C36" s="190"/>
      <c r="D36" s="190"/>
      <c r="E36" s="190"/>
      <c r="F36" s="190"/>
      <c r="G36" s="190"/>
      <c r="H36" s="190">
        <v>1</v>
      </c>
      <c r="I36" s="190"/>
      <c r="J36" s="190"/>
      <c r="K36" s="186" t="s">
        <v>706</v>
      </c>
      <c r="L36" s="187">
        <v>1</v>
      </c>
      <c r="M36" s="191">
        <v>145</v>
      </c>
      <c r="N36" s="193" t="s">
        <v>1600</v>
      </c>
      <c r="O36" s="193" t="s">
        <v>1600</v>
      </c>
      <c r="P36" s="192">
        <v>36500</v>
      </c>
      <c r="Q36" s="192" t="s">
        <v>1601</v>
      </c>
      <c r="R36" s="192" t="s">
        <v>1587</v>
      </c>
      <c r="S36" s="190" t="s">
        <v>1602</v>
      </c>
      <c r="T36" s="608"/>
      <c r="U36" s="305">
        <v>1</v>
      </c>
      <c r="V36" s="113">
        <v>0</v>
      </c>
      <c r="W36" s="509">
        <v>0</v>
      </c>
      <c r="X36" s="509">
        <v>0</v>
      </c>
      <c r="Y36" s="509">
        <v>0</v>
      </c>
      <c r="Z36" s="299">
        <v>912000</v>
      </c>
      <c r="AA36" s="43"/>
      <c r="AB36" s="299">
        <v>30341600</v>
      </c>
      <c r="AC36" s="299"/>
      <c r="AD36" s="299"/>
      <c r="AE36" s="299">
        <f t="shared" si="1"/>
        <v>31253600</v>
      </c>
      <c r="AF36" s="299">
        <f t="shared" si="2"/>
        <v>31253600</v>
      </c>
      <c r="AG36" s="299">
        <f t="shared" si="3"/>
        <v>31253600</v>
      </c>
      <c r="AH36" s="110" t="s">
        <v>3747</v>
      </c>
    </row>
    <row r="37" spans="1:34" ht="60">
      <c r="A37" s="189">
        <v>12</v>
      </c>
      <c r="B37" s="190" t="s">
        <v>1613</v>
      </c>
      <c r="C37" s="190"/>
      <c r="D37" s="190"/>
      <c r="E37" s="190"/>
      <c r="F37" s="190"/>
      <c r="G37" s="190"/>
      <c r="H37" s="190"/>
      <c r="I37" s="190">
        <v>2</v>
      </c>
      <c r="J37" s="190"/>
      <c r="K37" s="186" t="s">
        <v>706</v>
      </c>
      <c r="L37" s="187">
        <v>2</v>
      </c>
      <c r="M37" s="191">
        <v>140</v>
      </c>
      <c r="N37" s="193" t="s">
        <v>1600</v>
      </c>
      <c r="O37" s="193" t="s">
        <v>1600</v>
      </c>
      <c r="P37" s="192">
        <v>41100</v>
      </c>
      <c r="Q37" s="192" t="s">
        <v>1601</v>
      </c>
      <c r="R37" s="192" t="s">
        <v>1587</v>
      </c>
      <c r="S37" s="190" t="s">
        <v>1602</v>
      </c>
      <c r="T37" s="608"/>
      <c r="U37" s="305">
        <v>2</v>
      </c>
      <c r="V37" s="113">
        <v>0</v>
      </c>
      <c r="W37" s="509">
        <v>0</v>
      </c>
      <c r="X37" s="509">
        <v>0</v>
      </c>
      <c r="Y37" s="509">
        <v>0</v>
      </c>
      <c r="Z37" s="299">
        <v>912000</v>
      </c>
      <c r="AA37" s="43"/>
      <c r="AB37" s="299">
        <v>30934500</v>
      </c>
      <c r="AC37" s="299"/>
      <c r="AD37" s="299"/>
      <c r="AE37" s="299">
        <f t="shared" si="1"/>
        <v>31846500</v>
      </c>
      <c r="AF37" s="299">
        <f t="shared" si="2"/>
        <v>63693000</v>
      </c>
      <c r="AG37" s="299">
        <f t="shared" si="3"/>
        <v>63693000</v>
      </c>
      <c r="AH37" s="110" t="s">
        <v>3747</v>
      </c>
    </row>
    <row r="38" spans="1:34" ht="60">
      <c r="A38" s="189">
        <v>13</v>
      </c>
      <c r="B38" s="190" t="s">
        <v>1614</v>
      </c>
      <c r="C38" s="190"/>
      <c r="D38" s="190"/>
      <c r="E38" s="190">
        <v>1</v>
      </c>
      <c r="F38" s="190"/>
      <c r="G38" s="190"/>
      <c r="H38" s="190"/>
      <c r="I38" s="190"/>
      <c r="J38" s="190"/>
      <c r="K38" s="186" t="s">
        <v>706</v>
      </c>
      <c r="L38" s="187">
        <v>1</v>
      </c>
      <c r="M38" s="191">
        <v>162</v>
      </c>
      <c r="N38" s="193" t="s">
        <v>1600</v>
      </c>
      <c r="O38" s="193" t="s">
        <v>1600</v>
      </c>
      <c r="P38" s="192">
        <v>50700</v>
      </c>
      <c r="Q38" s="192" t="s">
        <v>1601</v>
      </c>
      <c r="R38" s="192" t="s">
        <v>1587</v>
      </c>
      <c r="S38" s="190" t="s">
        <v>1602</v>
      </c>
      <c r="T38" s="608"/>
      <c r="U38" s="305">
        <v>1</v>
      </c>
      <c r="V38" s="113">
        <v>0</v>
      </c>
      <c r="W38" s="509">
        <v>0</v>
      </c>
      <c r="X38" s="509">
        <v>0</v>
      </c>
      <c r="Y38" s="509">
        <v>0</v>
      </c>
      <c r="Z38" s="299">
        <v>912000</v>
      </c>
      <c r="AA38" s="43"/>
      <c r="AB38" s="299">
        <v>33247800</v>
      </c>
      <c r="AC38" s="299"/>
      <c r="AD38" s="299"/>
      <c r="AE38" s="299">
        <f t="shared" si="1"/>
        <v>34159800</v>
      </c>
      <c r="AF38" s="299">
        <f t="shared" si="2"/>
        <v>34159800</v>
      </c>
      <c r="AG38" s="299">
        <f t="shared" si="3"/>
        <v>34159800</v>
      </c>
      <c r="AH38" s="110" t="s">
        <v>3747</v>
      </c>
    </row>
    <row r="39" spans="1:34" ht="60">
      <c r="A39" s="189">
        <v>14</v>
      </c>
      <c r="B39" s="190" t="s">
        <v>1615</v>
      </c>
      <c r="C39" s="190"/>
      <c r="D39" s="190"/>
      <c r="E39" s="190"/>
      <c r="F39" s="190">
        <v>2</v>
      </c>
      <c r="G39" s="190">
        <v>4</v>
      </c>
      <c r="H39" s="190"/>
      <c r="I39" s="190">
        <v>1</v>
      </c>
      <c r="J39" s="190"/>
      <c r="K39" s="186" t="s">
        <v>706</v>
      </c>
      <c r="L39" s="187">
        <v>7</v>
      </c>
      <c r="M39" s="191">
        <v>158</v>
      </c>
      <c r="N39" s="193" t="s">
        <v>1600</v>
      </c>
      <c r="O39" s="193" t="s">
        <v>1600</v>
      </c>
      <c r="P39" s="192">
        <v>53100</v>
      </c>
      <c r="Q39" s="192" t="s">
        <v>1601</v>
      </c>
      <c r="R39" s="192" t="s">
        <v>1587</v>
      </c>
      <c r="S39" s="190" t="s">
        <v>1602</v>
      </c>
      <c r="T39" s="608"/>
      <c r="U39" s="305">
        <v>7</v>
      </c>
      <c r="V39" s="113">
        <v>0</v>
      </c>
      <c r="W39" s="509">
        <v>0</v>
      </c>
      <c r="X39" s="509">
        <v>0</v>
      </c>
      <c r="Y39" s="509">
        <v>0</v>
      </c>
      <c r="Z39" s="299">
        <v>912000</v>
      </c>
      <c r="AA39" s="43"/>
      <c r="AB39" s="299">
        <v>33643000</v>
      </c>
      <c r="AC39" s="299"/>
      <c r="AD39" s="299"/>
      <c r="AE39" s="299">
        <f t="shared" si="1"/>
        <v>34555000</v>
      </c>
      <c r="AF39" s="299">
        <f t="shared" si="2"/>
        <v>241885000</v>
      </c>
      <c r="AG39" s="299">
        <f t="shared" si="3"/>
        <v>241885000</v>
      </c>
      <c r="AH39" s="110" t="s">
        <v>3747</v>
      </c>
    </row>
    <row r="40" spans="1:34" ht="60">
      <c r="A40" s="601" t="s">
        <v>1616</v>
      </c>
      <c r="B40" s="601"/>
      <c r="C40" s="601"/>
      <c r="D40" s="601"/>
      <c r="E40" s="601"/>
      <c r="F40" s="601"/>
      <c r="G40" s="601"/>
      <c r="H40" s="601"/>
      <c r="I40" s="601"/>
      <c r="J40" s="601"/>
      <c r="K40" s="601"/>
      <c r="L40" s="601"/>
      <c r="M40" s="601"/>
      <c r="N40" s="601"/>
      <c r="O40" s="601"/>
      <c r="P40" s="601"/>
      <c r="Q40" s="601"/>
      <c r="R40" s="601"/>
      <c r="S40" s="601"/>
      <c r="T40" s="188"/>
      <c r="U40" s="305">
        <v>0</v>
      </c>
      <c r="V40" s="113">
        <v>0</v>
      </c>
      <c r="W40" s="509">
        <v>0</v>
      </c>
      <c r="X40" s="509">
        <v>0</v>
      </c>
      <c r="Y40" s="509">
        <v>0</v>
      </c>
      <c r="Z40" s="299">
        <v>0</v>
      </c>
      <c r="AA40" s="43"/>
      <c r="AB40" s="299">
        <v>0</v>
      </c>
      <c r="AC40" s="299"/>
      <c r="AD40" s="299"/>
      <c r="AE40" s="299">
        <f t="shared" si="1"/>
        <v>0</v>
      </c>
      <c r="AF40" s="299">
        <f t="shared" si="2"/>
        <v>0</v>
      </c>
      <c r="AG40" s="299">
        <f t="shared" si="3"/>
        <v>0</v>
      </c>
      <c r="AH40" s="110" t="s">
        <v>3747</v>
      </c>
    </row>
    <row r="41" spans="1:34" ht="60">
      <c r="A41" s="601" t="s">
        <v>1617</v>
      </c>
      <c r="B41" s="601"/>
      <c r="C41" s="601"/>
      <c r="D41" s="601"/>
      <c r="E41" s="601"/>
      <c r="F41" s="601"/>
      <c r="G41" s="601"/>
      <c r="H41" s="601"/>
      <c r="I41" s="601"/>
      <c r="J41" s="601"/>
      <c r="K41" s="601"/>
      <c r="L41" s="601"/>
      <c r="M41" s="601"/>
      <c r="N41" s="601"/>
      <c r="O41" s="601"/>
      <c r="P41" s="601"/>
      <c r="Q41" s="601"/>
      <c r="R41" s="601"/>
      <c r="S41" s="601"/>
      <c r="T41" s="188"/>
      <c r="U41" s="305">
        <v>0</v>
      </c>
      <c r="V41" s="113">
        <v>0</v>
      </c>
      <c r="W41" s="509">
        <v>0</v>
      </c>
      <c r="X41" s="509">
        <v>0</v>
      </c>
      <c r="Y41" s="509">
        <v>0</v>
      </c>
      <c r="Z41" s="299">
        <v>0</v>
      </c>
      <c r="AA41" s="43"/>
      <c r="AB41" s="299">
        <v>0</v>
      </c>
      <c r="AC41" s="299"/>
      <c r="AD41" s="299"/>
      <c r="AE41" s="299">
        <f t="shared" si="1"/>
        <v>0</v>
      </c>
      <c r="AF41" s="299">
        <f t="shared" si="2"/>
        <v>0</v>
      </c>
      <c r="AG41" s="299">
        <f t="shared" si="3"/>
        <v>0</v>
      </c>
      <c r="AH41" s="110" t="s">
        <v>3747</v>
      </c>
    </row>
    <row r="42" spans="1:34" ht="60">
      <c r="A42" s="189">
        <v>1</v>
      </c>
      <c r="B42" s="190" t="s">
        <v>1618</v>
      </c>
      <c r="C42" s="190"/>
      <c r="D42" s="190">
        <v>4</v>
      </c>
      <c r="E42" s="190">
        <v>1</v>
      </c>
      <c r="F42" s="190"/>
      <c r="G42" s="190"/>
      <c r="H42" s="190"/>
      <c r="I42" s="190"/>
      <c r="J42" s="190"/>
      <c r="K42" s="186" t="s">
        <v>706</v>
      </c>
      <c r="L42" s="187">
        <v>5</v>
      </c>
      <c r="M42" s="184" t="s">
        <v>1619</v>
      </c>
      <c r="N42" s="192">
        <v>16</v>
      </c>
      <c r="O42" s="193" t="s">
        <v>1600</v>
      </c>
      <c r="P42" s="192">
        <v>1330</v>
      </c>
      <c r="Q42" s="192" t="s">
        <v>1586</v>
      </c>
      <c r="R42" s="192" t="s">
        <v>1620</v>
      </c>
      <c r="S42" s="190" t="s">
        <v>1588</v>
      </c>
      <c r="T42" s="595" t="s">
        <v>1495</v>
      </c>
      <c r="U42" s="305">
        <v>5</v>
      </c>
      <c r="V42" s="113">
        <v>0</v>
      </c>
      <c r="W42" s="509">
        <v>0</v>
      </c>
      <c r="X42" s="509">
        <v>0</v>
      </c>
      <c r="Y42" s="509">
        <v>0</v>
      </c>
      <c r="Z42" s="299">
        <v>1368000</v>
      </c>
      <c r="AA42" s="43"/>
      <c r="AB42" s="299">
        <v>1162700</v>
      </c>
      <c r="AC42" s="299"/>
      <c r="AD42" s="299"/>
      <c r="AE42" s="299">
        <f t="shared" si="1"/>
        <v>2530700</v>
      </c>
      <c r="AF42" s="299">
        <f t="shared" si="2"/>
        <v>12653500</v>
      </c>
      <c r="AG42" s="299">
        <f t="shared" si="3"/>
        <v>12653500</v>
      </c>
      <c r="AH42" s="110" t="s">
        <v>3747</v>
      </c>
    </row>
    <row r="43" spans="1:34" ht="60">
      <c r="A43" s="189">
        <v>2</v>
      </c>
      <c r="B43" s="190" t="s">
        <v>1621</v>
      </c>
      <c r="C43" s="190">
        <v>1</v>
      </c>
      <c r="D43" s="190">
        <v>1</v>
      </c>
      <c r="E43" s="190"/>
      <c r="F43" s="190"/>
      <c r="G43" s="190"/>
      <c r="H43" s="190"/>
      <c r="I43" s="190"/>
      <c r="J43" s="190"/>
      <c r="K43" s="186" t="s">
        <v>706</v>
      </c>
      <c r="L43" s="187">
        <v>2</v>
      </c>
      <c r="M43" s="184" t="s">
        <v>1619</v>
      </c>
      <c r="N43" s="192" t="s">
        <v>1622</v>
      </c>
      <c r="O43" s="193" t="s">
        <v>1600</v>
      </c>
      <c r="P43" s="192">
        <v>1430</v>
      </c>
      <c r="Q43" s="192" t="s">
        <v>1623</v>
      </c>
      <c r="R43" s="192" t="s">
        <v>1624</v>
      </c>
      <c r="S43" s="190" t="s">
        <v>1588</v>
      </c>
      <c r="T43" s="595"/>
      <c r="U43" s="305">
        <v>2</v>
      </c>
      <c r="V43" s="113">
        <v>0</v>
      </c>
      <c r="W43" s="509">
        <v>0</v>
      </c>
      <c r="X43" s="509">
        <v>0</v>
      </c>
      <c r="Y43" s="509">
        <v>0</v>
      </c>
      <c r="Z43" s="299">
        <v>2726900</v>
      </c>
      <c r="AA43" s="43"/>
      <c r="AB43" s="299">
        <v>1348100</v>
      </c>
      <c r="AC43" s="299"/>
      <c r="AD43" s="299"/>
      <c r="AE43" s="299">
        <f t="shared" si="1"/>
        <v>4075000</v>
      </c>
      <c r="AF43" s="299">
        <f t="shared" si="2"/>
        <v>8150000</v>
      </c>
      <c r="AG43" s="299">
        <f t="shared" si="3"/>
        <v>8150000</v>
      </c>
      <c r="AH43" s="110" t="s">
        <v>3747</v>
      </c>
    </row>
    <row r="44" spans="1:34" ht="60">
      <c r="A44" s="189">
        <v>3</v>
      </c>
      <c r="B44" s="190" t="s">
        <v>1621</v>
      </c>
      <c r="C44" s="190"/>
      <c r="D44" s="190"/>
      <c r="E44" s="190"/>
      <c r="F44" s="190"/>
      <c r="G44" s="190"/>
      <c r="H44" s="190"/>
      <c r="I44" s="190"/>
      <c r="J44" s="190">
        <v>2</v>
      </c>
      <c r="K44" s="186" t="s">
        <v>706</v>
      </c>
      <c r="L44" s="187">
        <v>2</v>
      </c>
      <c r="M44" s="184" t="s">
        <v>1625</v>
      </c>
      <c r="N44" s="192" t="s">
        <v>1626</v>
      </c>
      <c r="O44" s="193" t="s">
        <v>1600</v>
      </c>
      <c r="P44" s="192">
        <v>4800</v>
      </c>
      <c r="Q44" s="192" t="s">
        <v>1586</v>
      </c>
      <c r="R44" s="192" t="s">
        <v>1620</v>
      </c>
      <c r="S44" s="190" t="s">
        <v>1588</v>
      </c>
      <c r="T44" s="595"/>
      <c r="U44" s="305">
        <v>2</v>
      </c>
      <c r="V44" s="113">
        <v>0</v>
      </c>
      <c r="W44" s="509">
        <v>0</v>
      </c>
      <c r="X44" s="509">
        <v>0</v>
      </c>
      <c r="Y44" s="509">
        <v>0</v>
      </c>
      <c r="Z44" s="299">
        <v>2726900</v>
      </c>
      <c r="AA44" s="43"/>
      <c r="AB44" s="299">
        <v>1473000</v>
      </c>
      <c r="AC44" s="299"/>
      <c r="AD44" s="299"/>
      <c r="AE44" s="299">
        <f t="shared" si="1"/>
        <v>4199900</v>
      </c>
      <c r="AF44" s="299">
        <f t="shared" si="2"/>
        <v>8399800</v>
      </c>
      <c r="AG44" s="299">
        <f t="shared" si="3"/>
        <v>8399800</v>
      </c>
      <c r="AH44" s="110" t="s">
        <v>3747</v>
      </c>
    </row>
    <row r="45" spans="1:34" ht="60">
      <c r="A45" s="189">
        <v>4</v>
      </c>
      <c r="B45" s="190" t="s">
        <v>1621</v>
      </c>
      <c r="C45" s="190"/>
      <c r="D45" s="190"/>
      <c r="E45" s="190">
        <v>1</v>
      </c>
      <c r="F45" s="190"/>
      <c r="G45" s="190"/>
      <c r="H45" s="190"/>
      <c r="I45" s="190"/>
      <c r="J45" s="190"/>
      <c r="K45" s="186" t="s">
        <v>706</v>
      </c>
      <c r="L45" s="187">
        <v>1</v>
      </c>
      <c r="M45" s="184" t="s">
        <v>1627</v>
      </c>
      <c r="N45" s="192" t="s">
        <v>1590</v>
      </c>
      <c r="O45" s="193" t="s">
        <v>1600</v>
      </c>
      <c r="P45" s="192">
        <v>2100</v>
      </c>
      <c r="Q45" s="192" t="s">
        <v>1586</v>
      </c>
      <c r="R45" s="192" t="s">
        <v>1620</v>
      </c>
      <c r="S45" s="190" t="s">
        <v>1588</v>
      </c>
      <c r="T45" s="595"/>
      <c r="U45" s="305">
        <v>1</v>
      </c>
      <c r="V45" s="113">
        <v>0</v>
      </c>
      <c r="W45" s="509">
        <v>0</v>
      </c>
      <c r="X45" s="509">
        <v>0</v>
      </c>
      <c r="Y45" s="509">
        <v>0</v>
      </c>
      <c r="Z45" s="299">
        <v>2726900</v>
      </c>
      <c r="AA45" s="43"/>
      <c r="AB45" s="299">
        <v>1348100</v>
      </c>
      <c r="AC45" s="299"/>
      <c r="AD45" s="299"/>
      <c r="AE45" s="299">
        <f t="shared" si="1"/>
        <v>4075000</v>
      </c>
      <c r="AF45" s="299">
        <f t="shared" si="2"/>
        <v>4075000</v>
      </c>
      <c r="AG45" s="299">
        <f t="shared" si="3"/>
        <v>4075000</v>
      </c>
      <c r="AH45" s="110" t="s">
        <v>3747</v>
      </c>
    </row>
    <row r="46" spans="1:34" ht="60">
      <c r="A46" s="601" t="s">
        <v>1628</v>
      </c>
      <c r="B46" s="601"/>
      <c r="C46" s="601"/>
      <c r="D46" s="601"/>
      <c r="E46" s="601"/>
      <c r="F46" s="601"/>
      <c r="G46" s="601"/>
      <c r="H46" s="601"/>
      <c r="I46" s="601"/>
      <c r="J46" s="601"/>
      <c r="K46" s="601"/>
      <c r="L46" s="601"/>
      <c r="M46" s="601"/>
      <c r="N46" s="601"/>
      <c r="O46" s="601"/>
      <c r="P46" s="601"/>
      <c r="Q46" s="601"/>
      <c r="R46" s="601"/>
      <c r="S46" s="601"/>
      <c r="T46" s="185"/>
      <c r="U46" s="305">
        <v>0</v>
      </c>
      <c r="V46" s="113">
        <v>0</v>
      </c>
      <c r="W46" s="509">
        <v>0</v>
      </c>
      <c r="X46" s="509">
        <v>0</v>
      </c>
      <c r="Y46" s="509">
        <v>0</v>
      </c>
      <c r="Z46" s="299">
        <v>0</v>
      </c>
      <c r="AA46" s="43"/>
      <c r="AB46" s="299">
        <v>0</v>
      </c>
      <c r="AC46" s="299"/>
      <c r="AD46" s="299"/>
      <c r="AE46" s="299">
        <f t="shared" si="1"/>
        <v>0</v>
      </c>
      <c r="AF46" s="299">
        <f t="shared" si="2"/>
        <v>0</v>
      </c>
      <c r="AG46" s="299">
        <f t="shared" si="3"/>
        <v>0</v>
      </c>
      <c r="AH46" s="110" t="s">
        <v>3747</v>
      </c>
    </row>
    <row r="47" spans="1:34" ht="60">
      <c r="A47" s="189">
        <v>1</v>
      </c>
      <c r="B47" s="190" t="s">
        <v>1629</v>
      </c>
      <c r="C47" s="190"/>
      <c r="D47" s="190"/>
      <c r="E47" s="190"/>
      <c r="F47" s="190"/>
      <c r="G47" s="190"/>
      <c r="H47" s="190"/>
      <c r="I47" s="190"/>
      <c r="J47" s="190"/>
      <c r="K47" s="186" t="s">
        <v>1630</v>
      </c>
      <c r="L47" s="187">
        <v>1</v>
      </c>
      <c r="M47" s="190"/>
      <c r="N47" s="193" t="s">
        <v>1600</v>
      </c>
      <c r="O47" s="193" t="s">
        <v>1600</v>
      </c>
      <c r="P47" s="193" t="s">
        <v>1600</v>
      </c>
      <c r="Q47" s="193" t="s">
        <v>1600</v>
      </c>
      <c r="R47" s="193" t="s">
        <v>1600</v>
      </c>
      <c r="S47" s="190" t="s">
        <v>1602</v>
      </c>
      <c r="T47" s="195" t="s">
        <v>1495</v>
      </c>
      <c r="U47" s="305">
        <v>1</v>
      </c>
      <c r="V47" s="113">
        <v>0</v>
      </c>
      <c r="W47" s="509">
        <v>0</v>
      </c>
      <c r="X47" s="509">
        <v>0</v>
      </c>
      <c r="Y47" s="509">
        <v>0</v>
      </c>
      <c r="Z47" s="299">
        <v>0</v>
      </c>
      <c r="AA47" s="43"/>
      <c r="AB47" s="299">
        <v>3875000</v>
      </c>
      <c r="AC47" s="299"/>
      <c r="AD47" s="299"/>
      <c r="AE47" s="299">
        <f t="shared" si="1"/>
        <v>3875000</v>
      </c>
      <c r="AF47" s="299">
        <f t="shared" si="2"/>
        <v>3875000</v>
      </c>
      <c r="AG47" s="299">
        <f t="shared" si="3"/>
        <v>3875000</v>
      </c>
      <c r="AH47" s="110" t="s">
        <v>3747</v>
      </c>
    </row>
    <row r="48" spans="1:34">
      <c r="A48" s="188"/>
      <c r="B48" s="188"/>
      <c r="C48" s="188"/>
      <c r="D48" s="188"/>
      <c r="E48" s="188"/>
      <c r="F48" s="188"/>
      <c r="G48" s="188"/>
      <c r="H48" s="188"/>
      <c r="I48" s="188"/>
      <c r="J48" s="188"/>
      <c r="K48" s="186" t="s">
        <v>1630</v>
      </c>
      <c r="L48" s="187"/>
      <c r="M48" s="188"/>
      <c r="N48" s="188"/>
      <c r="O48" s="188"/>
      <c r="P48" s="188"/>
      <c r="Q48" s="196"/>
      <c r="R48" s="196"/>
      <c r="S48" s="188"/>
      <c r="T48" s="188"/>
      <c r="U48" s="43"/>
      <c r="V48" s="43"/>
      <c r="W48" s="508"/>
      <c r="X48" s="508"/>
      <c r="Y48" s="508"/>
      <c r="Z48" s="43"/>
      <c r="AA48" s="43"/>
      <c r="AB48" s="43"/>
      <c r="AC48" s="43"/>
      <c r="AD48" s="43"/>
      <c r="AE48" s="43"/>
      <c r="AF48" s="43"/>
      <c r="AG48" s="43"/>
      <c r="AH48" s="43"/>
    </row>
    <row r="49" spans="1:34" ht="28.5">
      <c r="A49" s="385" t="s">
        <v>19</v>
      </c>
      <c r="B49" s="383" t="s">
        <v>1191</v>
      </c>
      <c r="C49" s="244"/>
      <c r="D49" s="201"/>
      <c r="E49" s="101"/>
      <c r="F49" s="197"/>
      <c r="G49" s="197"/>
      <c r="H49" s="197"/>
      <c r="I49" s="197"/>
      <c r="J49" s="197"/>
      <c r="K49" s="198"/>
      <c r="L49" s="199"/>
      <c r="M49" s="200"/>
      <c r="N49" s="200"/>
      <c r="O49" s="200"/>
      <c r="P49" s="200"/>
      <c r="Q49" s="200"/>
      <c r="R49" s="200"/>
      <c r="S49" s="200"/>
      <c r="T49" s="200"/>
      <c r="U49" s="201"/>
      <c r="V49" s="201"/>
      <c r="W49" s="507"/>
      <c r="X49" s="507"/>
      <c r="Y49" s="507"/>
      <c r="Z49" s="201"/>
      <c r="AA49" s="201"/>
      <c r="AB49" s="201"/>
      <c r="AC49" s="201"/>
      <c r="AD49" s="201"/>
      <c r="AE49" s="201"/>
      <c r="AF49" s="201"/>
      <c r="AG49" s="201"/>
      <c r="AH49" s="201"/>
    </row>
    <row r="50" spans="1:34">
      <c r="A50" s="189"/>
      <c r="B50" s="190" t="s">
        <v>1192</v>
      </c>
      <c r="C50" s="190"/>
      <c r="D50" s="190"/>
      <c r="E50" s="190"/>
      <c r="F50" s="190"/>
      <c r="G50" s="190"/>
      <c r="H50" s="190"/>
      <c r="I50" s="190"/>
      <c r="J50" s="190"/>
      <c r="K50" s="186"/>
      <c r="L50" s="187"/>
      <c r="M50" s="190"/>
      <c r="N50" s="193"/>
      <c r="O50" s="193"/>
      <c r="P50" s="193"/>
      <c r="Q50" s="193"/>
      <c r="R50" s="193"/>
      <c r="S50" s="190"/>
      <c r="T50" s="195"/>
      <c r="U50" s="43"/>
      <c r="V50" s="43"/>
      <c r="W50" s="508"/>
      <c r="X50" s="508"/>
      <c r="Y50" s="508"/>
      <c r="Z50" s="43"/>
      <c r="AA50" s="43"/>
      <c r="AB50" s="43"/>
      <c r="AC50" s="43"/>
      <c r="AD50" s="43"/>
      <c r="AE50" s="43"/>
      <c r="AF50" s="43"/>
      <c r="AG50" s="43"/>
      <c r="AH50" s="43"/>
    </row>
    <row r="51" spans="1:34" ht="28.5">
      <c r="A51" s="389" t="s">
        <v>21</v>
      </c>
      <c r="B51" s="390" t="s">
        <v>1193</v>
      </c>
      <c r="C51" s="401"/>
      <c r="D51" s="394"/>
      <c r="E51" s="423"/>
      <c r="F51" s="424"/>
      <c r="G51" s="424"/>
      <c r="H51" s="424"/>
      <c r="I51" s="424"/>
      <c r="J51" s="424"/>
      <c r="K51" s="418"/>
      <c r="L51" s="419"/>
      <c r="M51" s="417"/>
      <c r="N51" s="417"/>
      <c r="O51" s="417"/>
      <c r="P51" s="417"/>
      <c r="Q51" s="417"/>
      <c r="R51" s="417"/>
      <c r="S51" s="417"/>
      <c r="T51" s="417"/>
      <c r="U51" s="394"/>
      <c r="V51" s="394"/>
      <c r="W51" s="510"/>
      <c r="X51" s="510"/>
      <c r="Y51" s="510"/>
      <c r="Z51" s="394"/>
      <c r="AA51" s="394"/>
      <c r="AB51" s="394"/>
      <c r="AC51" s="394"/>
      <c r="AD51" s="394"/>
      <c r="AE51" s="394"/>
      <c r="AF51" s="395">
        <f>SUBTOTAL(9,AF9:AF50)</f>
        <v>1437739800</v>
      </c>
      <c r="AG51" s="395">
        <f>SUBTOTAL(9,AG9:AG50)</f>
        <v>1437739800</v>
      </c>
      <c r="AH51" s="394"/>
    </row>
  </sheetData>
  <autoFilter ref="A8:AH50" xr:uid="{CF872F65-819F-4F39-BC35-3B018DF82EC9}"/>
  <mergeCells count="34">
    <mergeCell ref="A46:S46"/>
    <mergeCell ref="U6:U7"/>
    <mergeCell ref="V6:Y6"/>
    <mergeCell ref="Z6:AE6"/>
    <mergeCell ref="AF6:AG6"/>
    <mergeCell ref="I6:I7"/>
    <mergeCell ref="J6:J7"/>
    <mergeCell ref="K6:K7"/>
    <mergeCell ref="L6:L7"/>
    <mergeCell ref="M6:M7"/>
    <mergeCell ref="N6:N7"/>
    <mergeCell ref="A25:S25"/>
    <mergeCell ref="T26:T39"/>
    <mergeCell ref="A40:S40"/>
    <mergeCell ref="A41:S41"/>
    <mergeCell ref="T42:T45"/>
    <mergeCell ref="T13:T24"/>
    <mergeCell ref="O6:O7"/>
    <mergeCell ref="P6:P7"/>
    <mergeCell ref="Q6:Q7"/>
    <mergeCell ref="R6:R7"/>
    <mergeCell ref="S6:S7"/>
    <mergeCell ref="T6:T7"/>
    <mergeCell ref="A5:T5"/>
    <mergeCell ref="U5:AH5"/>
    <mergeCell ref="A6:A7"/>
    <mergeCell ref="B6:B7"/>
    <mergeCell ref="C6:C7"/>
    <mergeCell ref="D6:D7"/>
    <mergeCell ref="E6:E7"/>
    <mergeCell ref="F6:F7"/>
    <mergeCell ref="G6:G7"/>
    <mergeCell ref="H6:H7"/>
    <mergeCell ref="AH6:AH7"/>
  </mergeCells>
  <conditionalFormatting sqref="K12:K51 C49 C51">
    <cfRule type="cellIs" dxfId="1" priority="2" operator="equal">
      <formula>0</formula>
    </cfRule>
  </conditionalFormatting>
  <pageMargins left="0.70866141732283472" right="0.70866141732283472" top="0.74803149606299213" bottom="0.74803149606299213" header="0.31496062992125984" footer="0.31496062992125984"/>
  <pageSetup paperSize="9" scale="46" fitToHeight="0" orientation="landscape" r:id="rId1"/>
  <headerFooter>
    <oddFooter>&amp;L&amp;A&amp;CSEAREFICO&amp;RTrang &amp;P/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19DC-3641-491B-B96C-0EBAEA15C348}">
  <sheetPr codeName="Sheet7">
    <tabColor theme="5" tint="0.79998168889431442"/>
    <outlinePr summaryBelow="0"/>
    <pageSetUpPr fitToPage="1"/>
  </sheetPr>
  <dimension ref="A1:AE148"/>
  <sheetViews>
    <sheetView zoomScaleNormal="100" zoomScaleSheetLayoutView="53" workbookViewId="0">
      <pane xSplit="19" ySplit="8" topLeftCell="W141" activePane="bottomRight" state="frozen"/>
      <selection activeCell="S52" sqref="S52"/>
      <selection pane="topRight" activeCell="S52" sqref="S52"/>
      <selection pane="bottomLeft" activeCell="S52" sqref="S52"/>
      <selection pane="bottomRight" activeCell="AE148" sqref="AE148"/>
    </sheetView>
  </sheetViews>
  <sheetFormatPr defaultColWidth="8.85546875" defaultRowHeight="35.1" customHeight="1" outlineLevelCol="1"/>
  <cols>
    <col min="1" max="1" width="5.85546875" style="314" customWidth="1"/>
    <col min="2" max="2" width="55.5703125" style="314" customWidth="1"/>
    <col min="3" max="3" width="9.85546875" style="314" customWidth="1"/>
    <col min="4" max="4" width="10.42578125" style="314" hidden="1" customWidth="1" outlineLevel="1"/>
    <col min="5" max="5" width="14.28515625" style="314" hidden="1" customWidth="1" outlineLevel="1"/>
    <col min="6" max="6" width="11.140625" style="314" customWidth="1" collapsed="1"/>
    <col min="7" max="7" width="18.5703125" style="314" hidden="1" customWidth="1" outlineLevel="1"/>
    <col min="8" max="8" width="14.7109375" style="314" hidden="1" customWidth="1" outlineLevel="1"/>
    <col min="9" max="9" width="11.42578125" style="314" hidden="1" customWidth="1" outlineLevel="1"/>
    <col min="10" max="10" width="18.7109375" style="314" hidden="1" customWidth="1" outlineLevel="1"/>
    <col min="11" max="12" width="13.42578125" style="314" hidden="1" customWidth="1" outlineLevel="1"/>
    <col min="13" max="15" width="12.140625" style="314" hidden="1" customWidth="1" outlineLevel="1"/>
    <col min="16" max="16" width="16.28515625" style="314" hidden="1" customWidth="1" outlineLevel="1"/>
    <col min="17" max="17" width="10.42578125" style="314" bestFit="1" customWidth="1" collapsed="1"/>
    <col min="18" max="18" width="10.42578125" style="314" bestFit="1" customWidth="1"/>
    <col min="19" max="19" width="26.7109375" style="315" customWidth="1"/>
    <col min="20" max="20" width="16.7109375" style="527" bestFit="1" customWidth="1"/>
    <col min="21" max="21" width="13.85546875" style="527" bestFit="1" customWidth="1"/>
    <col min="22" max="22" width="13.140625" style="527" customWidth="1"/>
    <col min="23" max="23" width="12.42578125" style="511" customWidth="1"/>
    <col min="24" max="24" width="6.42578125" style="511" customWidth="1"/>
    <col min="25" max="25" width="11.42578125" style="511" bestFit="1" customWidth="1"/>
    <col min="26" max="26" width="8.85546875" style="314"/>
    <col min="27" max="27" width="7.28515625" style="314" customWidth="1"/>
    <col min="28" max="28" width="21.140625" style="314" customWidth="1"/>
    <col min="29" max="30" width="16.85546875" style="314" customWidth="1"/>
    <col min="31" max="31" width="20.42578125" style="314" customWidth="1"/>
    <col min="32" max="16384" width="8.85546875" style="314"/>
  </cols>
  <sheetData>
    <row r="1" spans="1:31" ht="15">
      <c r="A1" s="92" t="s">
        <v>672</v>
      </c>
      <c r="B1" s="202"/>
      <c r="C1" s="128"/>
      <c r="D1" s="203"/>
      <c r="E1" s="127"/>
      <c r="F1" s="127"/>
      <c r="G1" s="202"/>
      <c r="H1" s="204"/>
      <c r="I1" s="204"/>
      <c r="J1" s="202"/>
      <c r="K1" s="202"/>
      <c r="L1" s="202"/>
      <c r="M1" s="202"/>
      <c r="N1" s="202"/>
      <c r="O1" s="202"/>
      <c r="P1" s="202"/>
      <c r="Q1" s="175"/>
      <c r="R1" s="464"/>
      <c r="S1" s="465"/>
      <c r="T1" s="518"/>
      <c r="U1" s="518"/>
      <c r="V1" s="518"/>
      <c r="W1" s="512"/>
      <c r="X1" s="512"/>
      <c r="Y1" s="512"/>
      <c r="Z1" s="464"/>
      <c r="AA1" s="464"/>
      <c r="AB1" s="464"/>
      <c r="AC1" s="464"/>
      <c r="AD1" s="464"/>
      <c r="AE1" s="464"/>
    </row>
    <row r="2" spans="1:31" ht="15">
      <c r="A2" s="92" t="s">
        <v>670</v>
      </c>
      <c r="B2" s="204"/>
      <c r="C2" s="128"/>
      <c r="D2" s="205"/>
      <c r="E2" s="127"/>
      <c r="F2" s="127"/>
      <c r="G2" s="204"/>
      <c r="H2" s="204"/>
      <c r="I2" s="204"/>
      <c r="J2" s="204"/>
      <c r="K2" s="204"/>
      <c r="L2" s="204"/>
      <c r="M2" s="204"/>
      <c r="N2" s="204"/>
      <c r="O2" s="204"/>
      <c r="P2" s="204"/>
      <c r="Q2" s="175"/>
      <c r="R2" s="464"/>
      <c r="S2" s="465"/>
      <c r="T2" s="518"/>
      <c r="U2" s="518"/>
      <c r="V2" s="518"/>
      <c r="W2" s="512"/>
      <c r="X2" s="512"/>
      <c r="Y2" s="512"/>
      <c r="Z2" s="464"/>
      <c r="AA2" s="464"/>
      <c r="AB2" s="464"/>
      <c r="AC2" s="464"/>
      <c r="AD2" s="464"/>
      <c r="AE2" s="464"/>
    </row>
    <row r="3" spans="1:31" ht="15">
      <c r="A3" s="92" t="s">
        <v>1562</v>
      </c>
      <c r="B3" s="204"/>
      <c r="C3" s="128"/>
      <c r="D3" s="205"/>
      <c r="E3" s="127"/>
      <c r="F3" s="127"/>
      <c r="G3" s="204"/>
      <c r="H3" s="204"/>
      <c r="I3" s="204"/>
      <c r="J3" s="204"/>
      <c r="K3" s="204"/>
      <c r="L3" s="204"/>
      <c r="M3" s="204"/>
      <c r="N3" s="204"/>
      <c r="O3" s="204"/>
      <c r="P3" s="204"/>
      <c r="Q3" s="175"/>
      <c r="R3" s="464"/>
      <c r="S3" s="465"/>
      <c r="T3" s="518"/>
      <c r="U3" s="518"/>
      <c r="V3" s="518"/>
      <c r="W3" s="512"/>
      <c r="X3" s="512"/>
      <c r="Y3" s="512"/>
      <c r="Z3" s="464"/>
      <c r="AA3" s="464"/>
      <c r="AB3" s="464"/>
      <c r="AC3" s="464"/>
      <c r="AD3" s="464"/>
      <c r="AE3" s="464"/>
    </row>
    <row r="4" spans="1:31" ht="15">
      <c r="A4" s="92"/>
      <c r="B4" s="204"/>
      <c r="C4" s="177"/>
      <c r="D4" s="205"/>
      <c r="E4" s="99"/>
      <c r="F4" s="99"/>
      <c r="G4" s="204"/>
      <c r="H4" s="204"/>
      <c r="I4" s="204"/>
      <c r="J4" s="204"/>
      <c r="K4" s="204"/>
      <c r="L4" s="204"/>
      <c r="M4" s="204"/>
      <c r="N4" s="204"/>
      <c r="O4" s="204"/>
      <c r="P4" s="204"/>
      <c r="Q4" s="175"/>
      <c r="R4" s="206"/>
      <c r="S4" s="466"/>
      <c r="T4" s="519"/>
      <c r="U4" s="519"/>
      <c r="V4" s="519"/>
      <c r="W4" s="513"/>
      <c r="X4" s="513"/>
      <c r="Y4" s="513"/>
      <c r="Z4" s="206"/>
      <c r="AA4" s="206"/>
      <c r="AB4" s="206"/>
      <c r="AC4" s="206"/>
      <c r="AD4" s="206"/>
      <c r="AE4" s="206"/>
    </row>
    <row r="5" spans="1:31" s="499" customFormat="1" ht="18.75" customHeight="1">
      <c r="A5" s="606" t="s">
        <v>1166</v>
      </c>
      <c r="B5" s="606"/>
      <c r="C5" s="606"/>
      <c r="D5" s="606"/>
      <c r="E5" s="606"/>
      <c r="F5" s="606"/>
      <c r="G5" s="606"/>
      <c r="H5" s="606"/>
      <c r="I5" s="606"/>
      <c r="J5" s="606"/>
      <c r="K5" s="606"/>
      <c r="L5" s="606"/>
      <c r="M5" s="606"/>
      <c r="N5" s="606"/>
      <c r="O5" s="606"/>
      <c r="P5" s="606"/>
      <c r="Q5" s="606"/>
      <c r="R5" s="609" t="s">
        <v>4093</v>
      </c>
      <c r="S5" s="609"/>
      <c r="T5" s="609"/>
      <c r="U5" s="609"/>
      <c r="V5" s="609"/>
      <c r="W5" s="609"/>
      <c r="X5" s="609"/>
      <c r="Y5" s="609"/>
      <c r="Z5" s="609"/>
      <c r="AA5" s="609"/>
      <c r="AB5" s="609"/>
      <c r="AC5" s="609"/>
      <c r="AD5" s="609"/>
      <c r="AE5" s="609"/>
    </row>
    <row r="6" spans="1:31" s="499" customFormat="1" ht="48" customHeight="1">
      <c r="A6" s="606" t="s">
        <v>0</v>
      </c>
      <c r="B6" s="606" t="s">
        <v>1631</v>
      </c>
      <c r="C6" s="610" t="s">
        <v>1571</v>
      </c>
      <c r="D6" s="612" t="s">
        <v>1632</v>
      </c>
      <c r="E6" s="583" t="s">
        <v>1633</v>
      </c>
      <c r="F6" s="583" t="s">
        <v>1165</v>
      </c>
      <c r="G6" s="607" t="s">
        <v>1634</v>
      </c>
      <c r="H6" s="482" t="s">
        <v>1635</v>
      </c>
      <c r="I6" s="482" t="s">
        <v>1636</v>
      </c>
      <c r="J6" s="482" t="s">
        <v>1637</v>
      </c>
      <c r="K6" s="482" t="s">
        <v>1638</v>
      </c>
      <c r="L6" s="482" t="s">
        <v>1639</v>
      </c>
      <c r="M6" s="482" t="s">
        <v>1640</v>
      </c>
      <c r="N6" s="482" t="s">
        <v>1641</v>
      </c>
      <c r="O6" s="606" t="s">
        <v>1642</v>
      </c>
      <c r="P6" s="606" t="s">
        <v>1643</v>
      </c>
      <c r="Q6" s="606" t="s">
        <v>1644</v>
      </c>
      <c r="R6" s="621" t="s">
        <v>1167</v>
      </c>
      <c r="S6" s="617" t="s">
        <v>1168</v>
      </c>
      <c r="T6" s="617"/>
      <c r="U6" s="617"/>
      <c r="V6" s="617"/>
      <c r="W6" s="617" t="s">
        <v>1169</v>
      </c>
      <c r="X6" s="617"/>
      <c r="Y6" s="617"/>
      <c r="Z6" s="617"/>
      <c r="AA6" s="617"/>
      <c r="AB6" s="617"/>
      <c r="AC6" s="618" t="s">
        <v>1170</v>
      </c>
      <c r="AD6" s="619"/>
      <c r="AE6" s="616" t="s">
        <v>543</v>
      </c>
    </row>
    <row r="7" spans="1:31" s="499" customFormat="1" ht="30">
      <c r="A7" s="606"/>
      <c r="B7" s="607"/>
      <c r="C7" s="611"/>
      <c r="D7" s="613"/>
      <c r="E7" s="614"/>
      <c r="F7" s="614"/>
      <c r="G7" s="615"/>
      <c r="H7" s="485"/>
      <c r="I7" s="486" t="s">
        <v>1645</v>
      </c>
      <c r="J7" s="486"/>
      <c r="K7" s="486" t="s">
        <v>1646</v>
      </c>
      <c r="L7" s="486" t="s">
        <v>1647</v>
      </c>
      <c r="M7" s="486" t="s">
        <v>1648</v>
      </c>
      <c r="N7" s="486" t="s">
        <v>1649</v>
      </c>
      <c r="O7" s="607"/>
      <c r="P7" s="591"/>
      <c r="Q7" s="607"/>
      <c r="R7" s="621"/>
      <c r="S7" s="487" t="s">
        <v>1171</v>
      </c>
      <c r="T7" s="487" t="s">
        <v>799</v>
      </c>
      <c r="U7" s="487" t="s">
        <v>1008</v>
      </c>
      <c r="V7" s="487" t="s">
        <v>721</v>
      </c>
      <c r="W7" s="487" t="s">
        <v>765</v>
      </c>
      <c r="X7" s="487" t="s">
        <v>1172</v>
      </c>
      <c r="Y7" s="487" t="s">
        <v>1173</v>
      </c>
      <c r="Z7" s="487" t="s">
        <v>1174</v>
      </c>
      <c r="AA7" s="487" t="s">
        <v>766</v>
      </c>
      <c r="AB7" s="487" t="s">
        <v>1175</v>
      </c>
      <c r="AC7" s="487" t="s">
        <v>1176</v>
      </c>
      <c r="AD7" s="487" t="s">
        <v>1177</v>
      </c>
      <c r="AE7" s="616"/>
    </row>
    <row r="8" spans="1:31" s="499" customFormat="1" ht="15">
      <c r="A8" s="488">
        <v>1</v>
      </c>
      <c r="B8" s="488">
        <v>2</v>
      </c>
      <c r="C8" s="479">
        <v>3</v>
      </c>
      <c r="D8" s="489"/>
      <c r="E8" s="478"/>
      <c r="F8" s="478">
        <v>4</v>
      </c>
      <c r="G8" s="488"/>
      <c r="H8" s="490"/>
      <c r="I8" s="491"/>
      <c r="J8" s="491"/>
      <c r="K8" s="491"/>
      <c r="L8" s="491"/>
      <c r="M8" s="491"/>
      <c r="N8" s="491"/>
      <c r="O8" s="488"/>
      <c r="P8" s="491"/>
      <c r="Q8" s="488">
        <v>5</v>
      </c>
      <c r="R8" s="492">
        <v>6</v>
      </c>
      <c r="S8" s="493">
        <v>7</v>
      </c>
      <c r="T8" s="493">
        <v>8</v>
      </c>
      <c r="U8" s="493">
        <v>9</v>
      </c>
      <c r="V8" s="493">
        <v>10</v>
      </c>
      <c r="W8" s="492">
        <v>11</v>
      </c>
      <c r="X8" s="492">
        <v>12</v>
      </c>
      <c r="Y8" s="492">
        <v>13</v>
      </c>
      <c r="Z8" s="492">
        <v>14</v>
      </c>
      <c r="AA8" s="492">
        <v>15</v>
      </c>
      <c r="AB8" s="492" t="s">
        <v>1178</v>
      </c>
      <c r="AC8" s="492" t="s">
        <v>1179</v>
      </c>
      <c r="AD8" s="492" t="s">
        <v>1180</v>
      </c>
      <c r="AE8" s="492">
        <v>19</v>
      </c>
    </row>
    <row r="9" spans="1:31" ht="15">
      <c r="A9" s="382" t="s">
        <v>2</v>
      </c>
      <c r="B9" s="409" t="s">
        <v>1010</v>
      </c>
      <c r="C9" s="410"/>
      <c r="D9" s="384"/>
      <c r="E9" s="411"/>
      <c r="F9" s="411"/>
      <c r="G9" s="244"/>
      <c r="H9" s="244"/>
      <c r="I9" s="412"/>
      <c r="J9" s="413"/>
      <c r="K9" s="413"/>
      <c r="L9" s="413"/>
      <c r="M9" s="413"/>
      <c r="N9" s="413"/>
      <c r="O9" s="413"/>
      <c r="P9" s="413"/>
      <c r="Q9" s="413"/>
      <c r="R9" s="414"/>
      <c r="S9" s="467"/>
      <c r="T9" s="520"/>
      <c r="U9" s="520"/>
      <c r="V9" s="520"/>
      <c r="W9" s="514"/>
      <c r="X9" s="514"/>
      <c r="Y9" s="514"/>
      <c r="Z9" s="414"/>
      <c r="AA9" s="414"/>
      <c r="AB9" s="414"/>
      <c r="AC9" s="414"/>
      <c r="AD9" s="414"/>
      <c r="AE9" s="414"/>
    </row>
    <row r="10" spans="1:31" ht="15">
      <c r="A10" s="415" t="s">
        <v>3</v>
      </c>
      <c r="B10" s="208" t="s">
        <v>1650</v>
      </c>
      <c r="C10" s="209"/>
      <c r="D10" s="210"/>
      <c r="E10" s="211"/>
      <c r="F10" s="211"/>
      <c r="G10" s="212"/>
      <c r="H10" s="212"/>
      <c r="I10" s="213"/>
      <c r="J10" s="214"/>
      <c r="K10" s="214"/>
      <c r="L10" s="214"/>
      <c r="M10" s="214"/>
      <c r="N10" s="214"/>
      <c r="O10" s="214"/>
      <c r="P10" s="214"/>
      <c r="Q10" s="214"/>
      <c r="R10" s="406"/>
      <c r="S10" s="468"/>
      <c r="T10" s="521"/>
      <c r="U10" s="521"/>
      <c r="V10" s="521"/>
      <c r="W10" s="515"/>
      <c r="X10" s="515"/>
      <c r="Y10" s="515"/>
      <c r="Z10" s="406"/>
      <c r="AA10" s="406"/>
      <c r="AB10" s="406"/>
      <c r="AC10" s="406"/>
      <c r="AD10" s="406"/>
      <c r="AE10" s="406"/>
    </row>
    <row r="11" spans="1:31" ht="15">
      <c r="A11" s="182"/>
      <c r="B11" s="179" t="s">
        <v>1651</v>
      </c>
      <c r="C11" s="187"/>
      <c r="D11" s="42"/>
      <c r="E11" s="143"/>
      <c r="F11" s="143"/>
      <c r="G11" s="179"/>
      <c r="H11" s="215"/>
      <c r="I11" s="178"/>
      <c r="J11" s="178"/>
      <c r="K11" s="178"/>
      <c r="L11" s="178"/>
      <c r="M11" s="216"/>
      <c r="N11" s="216"/>
      <c r="O11" s="217"/>
      <c r="P11" s="216"/>
      <c r="Q11" s="218"/>
      <c r="R11" s="407"/>
      <c r="S11" s="469"/>
      <c r="T11" s="522"/>
      <c r="U11" s="522"/>
      <c r="V11" s="522"/>
      <c r="W11" s="516"/>
      <c r="X11" s="516"/>
      <c r="Y11" s="516"/>
      <c r="Z11" s="407"/>
      <c r="AA11" s="407"/>
      <c r="AB11" s="407"/>
      <c r="AC11" s="407"/>
      <c r="AD11" s="407"/>
      <c r="AE11" s="407"/>
    </row>
    <row r="12" spans="1:31" ht="15">
      <c r="A12" s="178"/>
      <c r="B12" s="219" t="s">
        <v>1652</v>
      </c>
      <c r="C12" s="187"/>
      <c r="D12" s="42"/>
      <c r="E12" s="143"/>
      <c r="F12" s="143"/>
      <c r="G12" s="220"/>
      <c r="H12" s="215"/>
      <c r="I12" s="215"/>
      <c r="J12" s="189"/>
      <c r="K12" s="221"/>
      <c r="L12" s="222"/>
      <c r="M12" s="223"/>
      <c r="N12" s="223"/>
      <c r="O12" s="223"/>
      <c r="P12" s="224"/>
      <c r="Q12" s="223"/>
      <c r="R12" s="407"/>
      <c r="S12" s="469"/>
      <c r="T12" s="522"/>
      <c r="U12" s="522"/>
      <c r="V12" s="522"/>
      <c r="W12" s="516"/>
      <c r="X12" s="516"/>
      <c r="Y12" s="516"/>
      <c r="Z12" s="407"/>
      <c r="AA12" s="407"/>
      <c r="AB12" s="407"/>
      <c r="AC12" s="407"/>
      <c r="AD12" s="407"/>
      <c r="AE12" s="407"/>
    </row>
    <row r="13" spans="1:31" ht="30">
      <c r="A13" s="215">
        <v>1</v>
      </c>
      <c r="B13" s="225" t="s">
        <v>1653</v>
      </c>
      <c r="C13" s="187" t="s">
        <v>4</v>
      </c>
      <c r="D13" s="42">
        <v>1</v>
      </c>
      <c r="E13" s="143">
        <v>1</v>
      </c>
      <c r="F13" s="143">
        <f>E13</f>
        <v>1</v>
      </c>
      <c r="G13" s="220" t="s">
        <v>1654</v>
      </c>
      <c r="H13" s="215">
        <v>650</v>
      </c>
      <c r="I13" s="215">
        <v>25</v>
      </c>
      <c r="J13" s="189" t="s">
        <v>1655</v>
      </c>
      <c r="K13" s="221">
        <v>55</v>
      </c>
      <c r="L13" s="215">
        <v>0.37</v>
      </c>
      <c r="M13" s="223" t="s">
        <v>1656</v>
      </c>
      <c r="N13" s="215" t="s">
        <v>1657</v>
      </c>
      <c r="O13" s="215" t="s">
        <v>1658</v>
      </c>
      <c r="P13" s="215" t="s">
        <v>1659</v>
      </c>
      <c r="Q13" s="223"/>
      <c r="R13" s="307">
        <v>1</v>
      </c>
      <c r="S13" s="470" t="s">
        <v>3282</v>
      </c>
      <c r="T13" s="471" t="s">
        <v>3274</v>
      </c>
      <c r="U13" s="471" t="s">
        <v>3214</v>
      </c>
      <c r="V13" s="471" t="s">
        <v>772</v>
      </c>
      <c r="W13" s="517">
        <v>591600</v>
      </c>
      <c r="X13" s="517"/>
      <c r="Y13" s="517">
        <v>852400</v>
      </c>
      <c r="Z13" s="306"/>
      <c r="AA13" s="306"/>
      <c r="AB13" s="306">
        <f>+W13+X13+Y13+Z13+AA13</f>
        <v>1444000</v>
      </c>
      <c r="AC13" s="306">
        <f>+AB13*F13</f>
        <v>1444000</v>
      </c>
      <c r="AD13" s="306">
        <f>+AB13*R13</f>
        <v>1444000</v>
      </c>
      <c r="AE13" s="306" t="s">
        <v>3283</v>
      </c>
    </row>
    <row r="14" spans="1:31" ht="30">
      <c r="A14" s="215">
        <v>2</v>
      </c>
      <c r="B14" s="225" t="s">
        <v>1660</v>
      </c>
      <c r="C14" s="187" t="s">
        <v>4</v>
      </c>
      <c r="D14" s="42">
        <v>1</v>
      </c>
      <c r="E14" s="143">
        <v>1</v>
      </c>
      <c r="F14" s="143">
        <f t="shared" ref="F14:F78" si="0">E14</f>
        <v>1</v>
      </c>
      <c r="G14" s="220" t="s">
        <v>1661</v>
      </c>
      <c r="H14" s="215">
        <v>650</v>
      </c>
      <c r="I14" s="215">
        <v>25</v>
      </c>
      <c r="J14" s="189" t="s">
        <v>1655</v>
      </c>
      <c r="K14" s="221">
        <v>55</v>
      </c>
      <c r="L14" s="215">
        <v>0.37</v>
      </c>
      <c r="M14" s="223" t="s">
        <v>1656</v>
      </c>
      <c r="N14" s="215" t="s">
        <v>1657</v>
      </c>
      <c r="O14" s="215" t="s">
        <v>1658</v>
      </c>
      <c r="P14" s="215" t="s">
        <v>1659</v>
      </c>
      <c r="Q14" s="223"/>
      <c r="R14" s="307">
        <v>1</v>
      </c>
      <c r="S14" s="470" t="s">
        <v>3282</v>
      </c>
      <c r="T14" s="471" t="s">
        <v>3274</v>
      </c>
      <c r="U14" s="471" t="s">
        <v>3214</v>
      </c>
      <c r="V14" s="471" t="s">
        <v>772</v>
      </c>
      <c r="W14" s="517">
        <v>591600</v>
      </c>
      <c r="X14" s="517"/>
      <c r="Y14" s="517">
        <v>852400</v>
      </c>
      <c r="Z14" s="306"/>
      <c r="AA14" s="306"/>
      <c r="AB14" s="306">
        <f t="shared" ref="AB14:AB77" si="1">+W14+X14+Y14+Z14+AA14</f>
        <v>1444000</v>
      </c>
      <c r="AC14" s="306">
        <f t="shared" ref="AC14:AC77" si="2">+AB14*F14</f>
        <v>1444000</v>
      </c>
      <c r="AD14" s="306">
        <f t="shared" ref="AD14:AD77" si="3">+AB14*R14</f>
        <v>1444000</v>
      </c>
      <c r="AE14" s="306" t="s">
        <v>3283</v>
      </c>
    </row>
    <row r="15" spans="1:31" ht="45">
      <c r="A15" s="215">
        <v>3</v>
      </c>
      <c r="B15" s="225" t="s">
        <v>1662</v>
      </c>
      <c r="C15" s="187" t="s">
        <v>4</v>
      </c>
      <c r="D15" s="42">
        <v>1</v>
      </c>
      <c r="E15" s="143">
        <v>1</v>
      </c>
      <c r="F15" s="143">
        <f t="shared" si="0"/>
        <v>1</v>
      </c>
      <c r="G15" s="220" t="s">
        <v>1663</v>
      </c>
      <c r="H15" s="215">
        <v>1000</v>
      </c>
      <c r="I15" s="215">
        <v>50</v>
      </c>
      <c r="J15" s="189" t="s">
        <v>1655</v>
      </c>
      <c r="K15" s="221">
        <v>55</v>
      </c>
      <c r="L15" s="215">
        <v>0.37</v>
      </c>
      <c r="M15" s="223" t="s">
        <v>1656</v>
      </c>
      <c r="N15" s="215" t="s">
        <v>1657</v>
      </c>
      <c r="O15" s="215" t="s">
        <v>1658</v>
      </c>
      <c r="P15" s="215" t="s">
        <v>1659</v>
      </c>
      <c r="Q15" s="223"/>
      <c r="R15" s="307">
        <v>1</v>
      </c>
      <c r="S15" s="470" t="s">
        <v>3282</v>
      </c>
      <c r="T15" s="471" t="s">
        <v>3274</v>
      </c>
      <c r="U15" s="471" t="s">
        <v>3214</v>
      </c>
      <c r="V15" s="471" t="s">
        <v>772</v>
      </c>
      <c r="W15" s="517">
        <v>591600</v>
      </c>
      <c r="X15" s="517"/>
      <c r="Y15" s="517">
        <v>1317900</v>
      </c>
      <c r="Z15" s="306"/>
      <c r="AA15" s="306"/>
      <c r="AB15" s="306">
        <f t="shared" si="1"/>
        <v>1909500</v>
      </c>
      <c r="AC15" s="306">
        <f t="shared" si="2"/>
        <v>1909500</v>
      </c>
      <c r="AD15" s="306">
        <f t="shared" si="3"/>
        <v>1909500</v>
      </c>
      <c r="AE15" s="306" t="s">
        <v>3305</v>
      </c>
    </row>
    <row r="16" spans="1:31" ht="30">
      <c r="A16" s="215">
        <v>4</v>
      </c>
      <c r="B16" s="225" t="s">
        <v>1664</v>
      </c>
      <c r="C16" s="187" t="s">
        <v>4</v>
      </c>
      <c r="D16" s="42">
        <v>1</v>
      </c>
      <c r="E16" s="143">
        <v>1</v>
      </c>
      <c r="F16" s="143">
        <f t="shared" si="0"/>
        <v>1</v>
      </c>
      <c r="G16" s="220" t="s">
        <v>1665</v>
      </c>
      <c r="H16" s="215">
        <v>650</v>
      </c>
      <c r="I16" s="215">
        <v>25</v>
      </c>
      <c r="J16" s="189" t="s">
        <v>1655</v>
      </c>
      <c r="K16" s="221">
        <v>55</v>
      </c>
      <c r="L16" s="215">
        <v>0.37</v>
      </c>
      <c r="M16" s="223" t="s">
        <v>1656</v>
      </c>
      <c r="N16" s="215" t="s">
        <v>1657</v>
      </c>
      <c r="O16" s="215" t="s">
        <v>1658</v>
      </c>
      <c r="P16" s="215" t="s">
        <v>1659</v>
      </c>
      <c r="Q16" s="223"/>
      <c r="R16" s="307">
        <v>1</v>
      </c>
      <c r="S16" s="470" t="s">
        <v>3282</v>
      </c>
      <c r="T16" s="471" t="s">
        <v>3274</v>
      </c>
      <c r="U16" s="471" t="s">
        <v>3214</v>
      </c>
      <c r="V16" s="471" t="s">
        <v>772</v>
      </c>
      <c r="W16" s="517">
        <v>591600</v>
      </c>
      <c r="X16" s="517"/>
      <c r="Y16" s="517">
        <v>852400</v>
      </c>
      <c r="Z16" s="306"/>
      <c r="AA16" s="306"/>
      <c r="AB16" s="306">
        <f t="shared" si="1"/>
        <v>1444000</v>
      </c>
      <c r="AC16" s="306">
        <f t="shared" si="2"/>
        <v>1444000</v>
      </c>
      <c r="AD16" s="306">
        <f t="shared" si="3"/>
        <v>1444000</v>
      </c>
      <c r="AE16" s="306" t="s">
        <v>3283</v>
      </c>
    </row>
    <row r="17" spans="1:31" ht="30">
      <c r="A17" s="215">
        <v>6</v>
      </c>
      <c r="B17" s="225" t="s">
        <v>1666</v>
      </c>
      <c r="C17" s="187" t="s">
        <v>4</v>
      </c>
      <c r="D17" s="42">
        <v>1</v>
      </c>
      <c r="E17" s="143">
        <v>1</v>
      </c>
      <c r="F17" s="143">
        <f t="shared" si="0"/>
        <v>1</v>
      </c>
      <c r="G17" s="220" t="s">
        <v>1667</v>
      </c>
      <c r="H17" s="215">
        <v>650</v>
      </c>
      <c r="I17" s="215">
        <v>25</v>
      </c>
      <c r="J17" s="189" t="s">
        <v>1655</v>
      </c>
      <c r="K17" s="221">
        <v>55</v>
      </c>
      <c r="L17" s="215">
        <v>0.37</v>
      </c>
      <c r="M17" s="223" t="s">
        <v>1656</v>
      </c>
      <c r="N17" s="215" t="s">
        <v>1657</v>
      </c>
      <c r="O17" s="215" t="s">
        <v>1658</v>
      </c>
      <c r="P17" s="215" t="s">
        <v>1659</v>
      </c>
      <c r="Q17" s="223"/>
      <c r="R17" s="307">
        <v>1</v>
      </c>
      <c r="S17" s="470" t="s">
        <v>3282</v>
      </c>
      <c r="T17" s="471" t="s">
        <v>3274</v>
      </c>
      <c r="U17" s="471" t="s">
        <v>3214</v>
      </c>
      <c r="V17" s="471" t="s">
        <v>772</v>
      </c>
      <c r="W17" s="517">
        <v>591600</v>
      </c>
      <c r="X17" s="517"/>
      <c r="Y17" s="517">
        <v>852400</v>
      </c>
      <c r="Z17" s="306"/>
      <c r="AA17" s="306"/>
      <c r="AB17" s="306">
        <f t="shared" si="1"/>
        <v>1444000</v>
      </c>
      <c r="AC17" s="306">
        <f t="shared" si="2"/>
        <v>1444000</v>
      </c>
      <c r="AD17" s="306">
        <f t="shared" si="3"/>
        <v>1444000</v>
      </c>
      <c r="AE17" s="306" t="s">
        <v>3283</v>
      </c>
    </row>
    <row r="18" spans="1:31" ht="30">
      <c r="A18" s="215">
        <v>7</v>
      </c>
      <c r="B18" s="225" t="s">
        <v>1668</v>
      </c>
      <c r="C18" s="187" t="s">
        <v>4</v>
      </c>
      <c r="D18" s="42">
        <v>1</v>
      </c>
      <c r="E18" s="143">
        <v>1</v>
      </c>
      <c r="F18" s="143">
        <f t="shared" si="0"/>
        <v>1</v>
      </c>
      <c r="G18" s="220" t="s">
        <v>1669</v>
      </c>
      <c r="H18" s="215">
        <v>250</v>
      </c>
      <c r="I18" s="215">
        <v>20</v>
      </c>
      <c r="J18" s="189" t="s">
        <v>1655</v>
      </c>
      <c r="K18" s="221">
        <v>55</v>
      </c>
      <c r="L18" s="215">
        <v>0.37</v>
      </c>
      <c r="M18" s="223" t="s">
        <v>1656</v>
      </c>
      <c r="N18" s="215" t="s">
        <v>1657</v>
      </c>
      <c r="O18" s="215" t="s">
        <v>1658</v>
      </c>
      <c r="P18" s="215" t="s">
        <v>1670</v>
      </c>
      <c r="Q18" s="223"/>
      <c r="R18" s="307">
        <v>1</v>
      </c>
      <c r="S18" s="470" t="s">
        <v>3306</v>
      </c>
      <c r="T18" s="471" t="s">
        <v>3274</v>
      </c>
      <c r="U18" s="471" t="s">
        <v>3214</v>
      </c>
      <c r="V18" s="471" t="s">
        <v>772</v>
      </c>
      <c r="W18" s="517">
        <v>496600</v>
      </c>
      <c r="X18" s="517"/>
      <c r="Y18" s="517">
        <v>852400</v>
      </c>
      <c r="Z18" s="306"/>
      <c r="AA18" s="306"/>
      <c r="AB18" s="306">
        <f t="shared" si="1"/>
        <v>1349000</v>
      </c>
      <c r="AC18" s="306">
        <f t="shared" si="2"/>
        <v>1349000</v>
      </c>
      <c r="AD18" s="306">
        <f t="shared" si="3"/>
        <v>1349000</v>
      </c>
      <c r="AE18" s="306" t="s">
        <v>3332</v>
      </c>
    </row>
    <row r="19" spans="1:31" ht="30">
      <c r="A19" s="215">
        <v>8</v>
      </c>
      <c r="B19" s="225" t="s">
        <v>1671</v>
      </c>
      <c r="C19" s="187" t="s">
        <v>4</v>
      </c>
      <c r="D19" s="42">
        <v>1</v>
      </c>
      <c r="E19" s="143">
        <v>1</v>
      </c>
      <c r="F19" s="143">
        <f t="shared" si="0"/>
        <v>1</v>
      </c>
      <c r="G19" s="220" t="s">
        <v>1672</v>
      </c>
      <c r="H19" s="215">
        <v>350</v>
      </c>
      <c r="I19" s="215">
        <v>25</v>
      </c>
      <c r="J19" s="189" t="s">
        <v>1655</v>
      </c>
      <c r="K19" s="221">
        <v>55</v>
      </c>
      <c r="L19" s="215">
        <v>0.37</v>
      </c>
      <c r="M19" s="223" t="s">
        <v>1656</v>
      </c>
      <c r="N19" s="215" t="s">
        <v>1657</v>
      </c>
      <c r="O19" s="215" t="s">
        <v>1658</v>
      </c>
      <c r="P19" s="215" t="s">
        <v>1670</v>
      </c>
      <c r="Q19" s="223"/>
      <c r="R19" s="307">
        <v>1</v>
      </c>
      <c r="S19" s="470" t="s">
        <v>3327</v>
      </c>
      <c r="T19" s="471" t="s">
        <v>3274</v>
      </c>
      <c r="U19" s="471" t="s">
        <v>3214</v>
      </c>
      <c r="V19" s="471" t="s">
        <v>772</v>
      </c>
      <c r="W19" s="517">
        <v>550900</v>
      </c>
      <c r="X19" s="517"/>
      <c r="Y19" s="517">
        <v>852400</v>
      </c>
      <c r="Z19" s="306"/>
      <c r="AA19" s="306"/>
      <c r="AB19" s="306">
        <f t="shared" si="1"/>
        <v>1403300</v>
      </c>
      <c r="AC19" s="306">
        <f t="shared" si="2"/>
        <v>1403300</v>
      </c>
      <c r="AD19" s="306">
        <f t="shared" si="3"/>
        <v>1403300</v>
      </c>
      <c r="AE19" s="306" t="s">
        <v>3331</v>
      </c>
    </row>
    <row r="20" spans="1:31" ht="30">
      <c r="A20" s="215">
        <v>9</v>
      </c>
      <c r="B20" s="225" t="s">
        <v>1673</v>
      </c>
      <c r="C20" s="187" t="s">
        <v>4</v>
      </c>
      <c r="D20" s="42">
        <v>1</v>
      </c>
      <c r="E20" s="143">
        <v>1</v>
      </c>
      <c r="F20" s="143">
        <f t="shared" si="0"/>
        <v>1</v>
      </c>
      <c r="G20" s="220" t="s">
        <v>1674</v>
      </c>
      <c r="H20" s="215">
        <v>150</v>
      </c>
      <c r="I20" s="215">
        <v>20</v>
      </c>
      <c r="J20" s="189" t="s">
        <v>1655</v>
      </c>
      <c r="K20" s="221">
        <v>55</v>
      </c>
      <c r="L20" s="215">
        <v>0.37</v>
      </c>
      <c r="M20" s="223" t="s">
        <v>1656</v>
      </c>
      <c r="N20" s="215" t="s">
        <v>1657</v>
      </c>
      <c r="O20" s="215" t="s">
        <v>1658</v>
      </c>
      <c r="P20" s="215"/>
      <c r="Q20" s="223"/>
      <c r="R20" s="307">
        <v>1</v>
      </c>
      <c r="S20" s="470" t="s">
        <v>3306</v>
      </c>
      <c r="T20" s="471" t="s">
        <v>3274</v>
      </c>
      <c r="U20" s="471" t="s">
        <v>3214</v>
      </c>
      <c r="V20" s="471" t="s">
        <v>772</v>
      </c>
      <c r="W20" s="517">
        <v>496600</v>
      </c>
      <c r="X20" s="517"/>
      <c r="Y20" s="517">
        <v>676100</v>
      </c>
      <c r="Z20" s="306"/>
      <c r="AA20" s="306"/>
      <c r="AB20" s="306">
        <f t="shared" si="1"/>
        <v>1172700</v>
      </c>
      <c r="AC20" s="306">
        <f t="shared" si="2"/>
        <v>1172700</v>
      </c>
      <c r="AD20" s="306">
        <f t="shared" si="3"/>
        <v>1172700</v>
      </c>
      <c r="AE20" s="306" t="s">
        <v>3307</v>
      </c>
    </row>
    <row r="21" spans="1:31" ht="45">
      <c r="A21" s="215">
        <v>10</v>
      </c>
      <c r="B21" s="225" t="s">
        <v>1675</v>
      </c>
      <c r="C21" s="187" t="s">
        <v>4</v>
      </c>
      <c r="D21" s="42">
        <v>2</v>
      </c>
      <c r="E21" s="143">
        <v>2</v>
      </c>
      <c r="F21" s="143">
        <f t="shared" si="0"/>
        <v>2</v>
      </c>
      <c r="G21" s="220" t="s">
        <v>1676</v>
      </c>
      <c r="H21" s="215">
        <v>20500</v>
      </c>
      <c r="I21" s="215">
        <v>400</v>
      </c>
      <c r="J21" s="189" t="s">
        <v>1677</v>
      </c>
      <c r="K21" s="221">
        <v>55</v>
      </c>
      <c r="L21" s="215">
        <v>11</v>
      </c>
      <c r="M21" s="223" t="s">
        <v>1678</v>
      </c>
      <c r="N21" s="215" t="s">
        <v>1657</v>
      </c>
      <c r="O21" s="215" t="s">
        <v>1658</v>
      </c>
      <c r="P21" s="215"/>
      <c r="Q21" s="223"/>
      <c r="R21" s="307">
        <v>2</v>
      </c>
      <c r="S21" s="470" t="s">
        <v>3241</v>
      </c>
      <c r="T21" s="471" t="s">
        <v>3221</v>
      </c>
      <c r="U21" s="471" t="s">
        <v>3214</v>
      </c>
      <c r="V21" s="471" t="s">
        <v>772</v>
      </c>
      <c r="W21" s="517">
        <v>26908400</v>
      </c>
      <c r="X21" s="517"/>
      <c r="Y21" s="517">
        <v>3719700</v>
      </c>
      <c r="Z21" s="306"/>
      <c r="AA21" s="306"/>
      <c r="AB21" s="306">
        <f t="shared" si="1"/>
        <v>30628100</v>
      </c>
      <c r="AC21" s="306">
        <f t="shared" si="2"/>
        <v>61256200</v>
      </c>
      <c r="AD21" s="306">
        <f t="shared" si="3"/>
        <v>61256200</v>
      </c>
      <c r="AE21" s="306" t="s">
        <v>3324</v>
      </c>
    </row>
    <row r="22" spans="1:31" ht="45">
      <c r="A22" s="215">
        <v>11</v>
      </c>
      <c r="B22" s="225" t="s">
        <v>1679</v>
      </c>
      <c r="C22" s="187" t="s">
        <v>4</v>
      </c>
      <c r="D22" s="42">
        <v>1</v>
      </c>
      <c r="E22" s="143">
        <v>1</v>
      </c>
      <c r="F22" s="143">
        <f t="shared" si="0"/>
        <v>1</v>
      </c>
      <c r="G22" s="220" t="s">
        <v>1680</v>
      </c>
      <c r="H22" s="215">
        <v>39000</v>
      </c>
      <c r="I22" s="215">
        <v>400</v>
      </c>
      <c r="J22" s="189" t="s">
        <v>1677</v>
      </c>
      <c r="K22" s="221">
        <v>55</v>
      </c>
      <c r="L22" s="215">
        <v>15</v>
      </c>
      <c r="M22" s="223" t="s">
        <v>1678</v>
      </c>
      <c r="N22" s="215" t="s">
        <v>1657</v>
      </c>
      <c r="O22" s="215" t="s">
        <v>1658</v>
      </c>
      <c r="P22" s="215"/>
      <c r="Q22" s="223"/>
      <c r="R22" s="307">
        <v>1</v>
      </c>
      <c r="S22" s="470" t="s">
        <v>3329</v>
      </c>
      <c r="T22" s="471" t="s">
        <v>3221</v>
      </c>
      <c r="U22" s="471" t="s">
        <v>3214</v>
      </c>
      <c r="V22" s="471" t="s">
        <v>772</v>
      </c>
      <c r="W22" s="517">
        <v>45457400</v>
      </c>
      <c r="X22" s="517"/>
      <c r="Y22" s="517">
        <v>5207800</v>
      </c>
      <c r="Z22" s="306"/>
      <c r="AA22" s="306"/>
      <c r="AB22" s="306">
        <f t="shared" si="1"/>
        <v>50665200</v>
      </c>
      <c r="AC22" s="306">
        <f t="shared" si="2"/>
        <v>50665200</v>
      </c>
      <c r="AD22" s="306">
        <f t="shared" si="3"/>
        <v>50665200</v>
      </c>
      <c r="AE22" s="306" t="s">
        <v>3330</v>
      </c>
    </row>
    <row r="23" spans="1:31" ht="15">
      <c r="A23" s="178"/>
      <c r="B23" s="219" t="s">
        <v>1681</v>
      </c>
      <c r="C23" s="187"/>
      <c r="D23" s="42"/>
      <c r="E23" s="143"/>
      <c r="F23" s="143">
        <f t="shared" si="0"/>
        <v>0</v>
      </c>
      <c r="G23" s="220"/>
      <c r="H23" s="215"/>
      <c r="I23" s="215"/>
      <c r="J23" s="189"/>
      <c r="K23" s="221"/>
      <c r="L23" s="215"/>
      <c r="M23" s="223"/>
      <c r="N23" s="215"/>
      <c r="O23" s="215"/>
      <c r="P23" s="215"/>
      <c r="Q23" s="223"/>
      <c r="R23" s="307">
        <v>0</v>
      </c>
      <c r="S23" s="470">
        <v>0</v>
      </c>
      <c r="T23" s="471">
        <v>0</v>
      </c>
      <c r="U23" s="471">
        <v>0</v>
      </c>
      <c r="V23" s="471">
        <v>0</v>
      </c>
      <c r="W23" s="517">
        <v>0</v>
      </c>
      <c r="X23" s="517"/>
      <c r="Y23" s="517">
        <v>0</v>
      </c>
      <c r="Z23" s="306"/>
      <c r="AA23" s="306"/>
      <c r="AB23" s="306">
        <f t="shared" si="1"/>
        <v>0</v>
      </c>
      <c r="AC23" s="306">
        <f t="shared" si="2"/>
        <v>0</v>
      </c>
      <c r="AD23" s="306">
        <f t="shared" si="3"/>
        <v>0</v>
      </c>
      <c r="AE23" s="306">
        <v>0</v>
      </c>
    </row>
    <row r="24" spans="1:31" ht="45">
      <c r="A24" s="215">
        <v>12</v>
      </c>
      <c r="B24" s="225" t="s">
        <v>1653</v>
      </c>
      <c r="C24" s="187" t="s">
        <v>4</v>
      </c>
      <c r="D24" s="42">
        <v>1</v>
      </c>
      <c r="E24" s="143">
        <v>1</v>
      </c>
      <c r="F24" s="143">
        <f t="shared" si="0"/>
        <v>1</v>
      </c>
      <c r="G24" s="220" t="s">
        <v>1682</v>
      </c>
      <c r="H24" s="215">
        <v>1000</v>
      </c>
      <c r="I24" s="215">
        <v>50</v>
      </c>
      <c r="J24" s="189" t="s">
        <v>1655</v>
      </c>
      <c r="K24" s="221">
        <v>55</v>
      </c>
      <c r="L24" s="215">
        <v>0.37</v>
      </c>
      <c r="M24" s="223" t="s">
        <v>1656</v>
      </c>
      <c r="N24" s="215" t="s">
        <v>1657</v>
      </c>
      <c r="O24" s="215" t="s">
        <v>1658</v>
      </c>
      <c r="P24" s="215"/>
      <c r="Q24" s="223"/>
      <c r="R24" s="307">
        <v>1</v>
      </c>
      <c r="S24" s="470" t="s">
        <v>3282</v>
      </c>
      <c r="T24" s="471" t="s">
        <v>3274</v>
      </c>
      <c r="U24" s="471" t="s">
        <v>3214</v>
      </c>
      <c r="V24" s="471" t="s">
        <v>772</v>
      </c>
      <c r="W24" s="517">
        <v>591600</v>
      </c>
      <c r="X24" s="517"/>
      <c r="Y24" s="517">
        <v>1317900</v>
      </c>
      <c r="Z24" s="306"/>
      <c r="AA24" s="306"/>
      <c r="AB24" s="306">
        <f t="shared" si="1"/>
        <v>1909500</v>
      </c>
      <c r="AC24" s="306">
        <f t="shared" si="2"/>
        <v>1909500</v>
      </c>
      <c r="AD24" s="306">
        <f t="shared" si="3"/>
        <v>1909500</v>
      </c>
      <c r="AE24" s="306" t="s">
        <v>3305</v>
      </c>
    </row>
    <row r="25" spans="1:31" ht="30">
      <c r="A25" s="215">
        <f>A24+1</f>
        <v>13</v>
      </c>
      <c r="B25" s="225" t="s">
        <v>1660</v>
      </c>
      <c r="C25" s="187" t="s">
        <v>4</v>
      </c>
      <c r="D25" s="42">
        <v>1</v>
      </c>
      <c r="E25" s="143">
        <v>1</v>
      </c>
      <c r="F25" s="143">
        <f t="shared" si="0"/>
        <v>1</v>
      </c>
      <c r="G25" s="220" t="s">
        <v>1683</v>
      </c>
      <c r="H25" s="215">
        <v>650</v>
      </c>
      <c r="I25" s="215">
        <v>25</v>
      </c>
      <c r="J25" s="189" t="s">
        <v>1655</v>
      </c>
      <c r="K25" s="221">
        <v>55</v>
      </c>
      <c r="L25" s="215">
        <v>0.37</v>
      </c>
      <c r="M25" s="223" t="s">
        <v>1656</v>
      </c>
      <c r="N25" s="215" t="s">
        <v>1657</v>
      </c>
      <c r="O25" s="215" t="s">
        <v>1658</v>
      </c>
      <c r="P25" s="215"/>
      <c r="Q25" s="223"/>
      <c r="R25" s="307">
        <v>1</v>
      </c>
      <c r="S25" s="470" t="s">
        <v>3282</v>
      </c>
      <c r="T25" s="471" t="s">
        <v>3274</v>
      </c>
      <c r="U25" s="471" t="s">
        <v>3214</v>
      </c>
      <c r="V25" s="471" t="s">
        <v>772</v>
      </c>
      <c r="W25" s="517">
        <v>591600</v>
      </c>
      <c r="X25" s="517"/>
      <c r="Y25" s="517">
        <v>852400</v>
      </c>
      <c r="Z25" s="306"/>
      <c r="AA25" s="306"/>
      <c r="AB25" s="306">
        <f t="shared" si="1"/>
        <v>1444000</v>
      </c>
      <c r="AC25" s="306">
        <f t="shared" si="2"/>
        <v>1444000</v>
      </c>
      <c r="AD25" s="306">
        <f t="shared" si="3"/>
        <v>1444000</v>
      </c>
      <c r="AE25" s="306" t="s">
        <v>3283</v>
      </c>
    </row>
    <row r="26" spans="1:31" ht="45">
      <c r="A26" s="215">
        <f t="shared" ref="A26:A35" si="4">A25+1</f>
        <v>14</v>
      </c>
      <c r="B26" s="225" t="s">
        <v>1662</v>
      </c>
      <c r="C26" s="187" t="s">
        <v>4</v>
      </c>
      <c r="D26" s="42">
        <v>1</v>
      </c>
      <c r="E26" s="143">
        <v>1</v>
      </c>
      <c r="F26" s="143">
        <f t="shared" si="0"/>
        <v>1</v>
      </c>
      <c r="G26" s="220" t="s">
        <v>1684</v>
      </c>
      <c r="H26" s="215">
        <v>1000</v>
      </c>
      <c r="I26" s="215">
        <v>50</v>
      </c>
      <c r="J26" s="189" t="s">
        <v>1655</v>
      </c>
      <c r="K26" s="221">
        <v>55</v>
      </c>
      <c r="L26" s="215">
        <v>0.37</v>
      </c>
      <c r="M26" s="223" t="s">
        <v>1656</v>
      </c>
      <c r="N26" s="215" t="s">
        <v>1657</v>
      </c>
      <c r="O26" s="215" t="s">
        <v>1658</v>
      </c>
      <c r="P26" s="215"/>
      <c r="Q26" s="223"/>
      <c r="R26" s="307">
        <v>1</v>
      </c>
      <c r="S26" s="470" t="s">
        <v>3282</v>
      </c>
      <c r="T26" s="471" t="s">
        <v>3274</v>
      </c>
      <c r="U26" s="471" t="s">
        <v>3214</v>
      </c>
      <c r="V26" s="471" t="s">
        <v>772</v>
      </c>
      <c r="W26" s="517">
        <v>591600</v>
      </c>
      <c r="X26" s="517"/>
      <c r="Y26" s="517">
        <v>1317900</v>
      </c>
      <c r="Z26" s="306"/>
      <c r="AA26" s="306"/>
      <c r="AB26" s="306">
        <f t="shared" si="1"/>
        <v>1909500</v>
      </c>
      <c r="AC26" s="306">
        <f t="shared" si="2"/>
        <v>1909500</v>
      </c>
      <c r="AD26" s="306">
        <f t="shared" si="3"/>
        <v>1909500</v>
      </c>
      <c r="AE26" s="306" t="s">
        <v>3305</v>
      </c>
    </row>
    <row r="27" spans="1:31" ht="30">
      <c r="A27" s="215">
        <f t="shared" si="4"/>
        <v>15</v>
      </c>
      <c r="B27" s="225" t="s">
        <v>1664</v>
      </c>
      <c r="C27" s="187" t="s">
        <v>4</v>
      </c>
      <c r="D27" s="42">
        <v>1</v>
      </c>
      <c r="E27" s="143">
        <v>1</v>
      </c>
      <c r="F27" s="143">
        <f t="shared" si="0"/>
        <v>1</v>
      </c>
      <c r="G27" s="220" t="s">
        <v>1685</v>
      </c>
      <c r="H27" s="215">
        <v>650</v>
      </c>
      <c r="I27" s="215">
        <v>25</v>
      </c>
      <c r="J27" s="189" t="s">
        <v>1655</v>
      </c>
      <c r="K27" s="221">
        <v>55</v>
      </c>
      <c r="L27" s="215">
        <v>0.37</v>
      </c>
      <c r="M27" s="223" t="s">
        <v>1656</v>
      </c>
      <c r="N27" s="215" t="s">
        <v>1657</v>
      </c>
      <c r="O27" s="215" t="s">
        <v>1658</v>
      </c>
      <c r="P27" s="215"/>
      <c r="Q27" s="223"/>
      <c r="R27" s="307">
        <v>1</v>
      </c>
      <c r="S27" s="470" t="s">
        <v>3282</v>
      </c>
      <c r="T27" s="471" t="s">
        <v>3274</v>
      </c>
      <c r="U27" s="471" t="s">
        <v>3214</v>
      </c>
      <c r="V27" s="471" t="s">
        <v>772</v>
      </c>
      <c r="W27" s="517">
        <v>591600</v>
      </c>
      <c r="X27" s="517"/>
      <c r="Y27" s="517">
        <v>852400</v>
      </c>
      <c r="Z27" s="306"/>
      <c r="AA27" s="306"/>
      <c r="AB27" s="306">
        <f t="shared" si="1"/>
        <v>1444000</v>
      </c>
      <c r="AC27" s="306">
        <f t="shared" si="2"/>
        <v>1444000</v>
      </c>
      <c r="AD27" s="306">
        <f t="shared" si="3"/>
        <v>1444000</v>
      </c>
      <c r="AE27" s="306" t="s">
        <v>3283</v>
      </c>
    </row>
    <row r="28" spans="1:31" ht="45">
      <c r="A28" s="215">
        <f t="shared" si="4"/>
        <v>16</v>
      </c>
      <c r="B28" s="225" t="s">
        <v>1686</v>
      </c>
      <c r="C28" s="187" t="s">
        <v>4</v>
      </c>
      <c r="D28" s="42">
        <v>1</v>
      </c>
      <c r="E28" s="143">
        <v>1</v>
      </c>
      <c r="F28" s="143">
        <f t="shared" si="0"/>
        <v>1</v>
      </c>
      <c r="G28" s="220" t="s">
        <v>1687</v>
      </c>
      <c r="H28" s="215">
        <v>1000</v>
      </c>
      <c r="I28" s="215">
        <v>50</v>
      </c>
      <c r="J28" s="189" t="s">
        <v>1655</v>
      </c>
      <c r="K28" s="221">
        <v>55</v>
      </c>
      <c r="L28" s="215">
        <v>0.37</v>
      </c>
      <c r="M28" s="223" t="s">
        <v>1656</v>
      </c>
      <c r="N28" s="215" t="s">
        <v>1657</v>
      </c>
      <c r="O28" s="215" t="s">
        <v>1658</v>
      </c>
      <c r="P28" s="215"/>
      <c r="Q28" s="223"/>
      <c r="R28" s="307">
        <v>1</v>
      </c>
      <c r="S28" s="470" t="s">
        <v>3282</v>
      </c>
      <c r="T28" s="471" t="s">
        <v>3274</v>
      </c>
      <c r="U28" s="471" t="s">
        <v>3214</v>
      </c>
      <c r="V28" s="471" t="s">
        <v>772</v>
      </c>
      <c r="W28" s="517">
        <v>591600</v>
      </c>
      <c r="X28" s="517"/>
      <c r="Y28" s="517">
        <v>1317900</v>
      </c>
      <c r="Z28" s="306"/>
      <c r="AA28" s="306"/>
      <c r="AB28" s="306">
        <f t="shared" si="1"/>
        <v>1909500</v>
      </c>
      <c r="AC28" s="306">
        <f t="shared" si="2"/>
        <v>1909500</v>
      </c>
      <c r="AD28" s="306">
        <f t="shared" si="3"/>
        <v>1909500</v>
      </c>
      <c r="AE28" s="306" t="s">
        <v>3305</v>
      </c>
    </row>
    <row r="29" spans="1:31" ht="45">
      <c r="A29" s="215">
        <f t="shared" si="4"/>
        <v>17</v>
      </c>
      <c r="B29" s="225" t="s">
        <v>1688</v>
      </c>
      <c r="C29" s="187" t="s">
        <v>4</v>
      </c>
      <c r="D29" s="42">
        <v>1</v>
      </c>
      <c r="E29" s="143">
        <v>1</v>
      </c>
      <c r="F29" s="143">
        <f t="shared" si="0"/>
        <v>1</v>
      </c>
      <c r="G29" s="220" t="s">
        <v>1689</v>
      </c>
      <c r="H29" s="215">
        <v>3500</v>
      </c>
      <c r="I29" s="215">
        <v>50</v>
      </c>
      <c r="J29" s="189" t="s">
        <v>1655</v>
      </c>
      <c r="K29" s="221">
        <v>55</v>
      </c>
      <c r="L29" s="215">
        <v>0.55000000000000004</v>
      </c>
      <c r="M29" s="223" t="s">
        <v>1656</v>
      </c>
      <c r="N29" s="215" t="s">
        <v>1657</v>
      </c>
      <c r="O29" s="215" t="s">
        <v>1658</v>
      </c>
      <c r="P29" s="215"/>
      <c r="Q29" s="223"/>
      <c r="R29" s="307">
        <v>1</v>
      </c>
      <c r="S29" s="470" t="s">
        <v>3269</v>
      </c>
      <c r="T29" s="471" t="s">
        <v>3270</v>
      </c>
      <c r="U29" s="471" t="s">
        <v>3214</v>
      </c>
      <c r="V29" s="471" t="s">
        <v>772</v>
      </c>
      <c r="W29" s="517">
        <v>4281500</v>
      </c>
      <c r="X29" s="517"/>
      <c r="Y29" s="517">
        <v>1595900</v>
      </c>
      <c r="Z29" s="306"/>
      <c r="AA29" s="306"/>
      <c r="AB29" s="306">
        <f t="shared" si="1"/>
        <v>5877400</v>
      </c>
      <c r="AC29" s="306">
        <f t="shared" si="2"/>
        <v>5877400</v>
      </c>
      <c r="AD29" s="306">
        <f t="shared" si="3"/>
        <v>5877400</v>
      </c>
      <c r="AE29" s="306" t="s">
        <v>3271</v>
      </c>
    </row>
    <row r="30" spans="1:31" ht="30">
      <c r="A30" s="215">
        <f t="shared" si="4"/>
        <v>18</v>
      </c>
      <c r="B30" s="225" t="s">
        <v>1690</v>
      </c>
      <c r="C30" s="187" t="s">
        <v>4</v>
      </c>
      <c r="D30" s="42">
        <v>1</v>
      </c>
      <c r="E30" s="143">
        <v>1</v>
      </c>
      <c r="F30" s="143">
        <f t="shared" si="0"/>
        <v>1</v>
      </c>
      <c r="G30" s="220" t="s">
        <v>1691</v>
      </c>
      <c r="H30" s="215">
        <v>450</v>
      </c>
      <c r="I30" s="215">
        <v>25</v>
      </c>
      <c r="J30" s="189" t="s">
        <v>1655</v>
      </c>
      <c r="K30" s="221">
        <v>55</v>
      </c>
      <c r="L30" s="215">
        <v>0.37</v>
      </c>
      <c r="M30" s="223" t="s">
        <v>1656</v>
      </c>
      <c r="N30" s="215" t="s">
        <v>1657</v>
      </c>
      <c r="O30" s="215" t="s">
        <v>1658</v>
      </c>
      <c r="P30" s="215"/>
      <c r="Q30" s="223"/>
      <c r="R30" s="307">
        <v>1</v>
      </c>
      <c r="S30" s="470" t="s">
        <v>3327</v>
      </c>
      <c r="T30" s="471" t="s">
        <v>3274</v>
      </c>
      <c r="U30" s="471" t="s">
        <v>3214</v>
      </c>
      <c r="V30" s="471" t="s">
        <v>772</v>
      </c>
      <c r="W30" s="517">
        <v>550900</v>
      </c>
      <c r="X30" s="517"/>
      <c r="Y30" s="517">
        <v>852400</v>
      </c>
      <c r="Z30" s="306"/>
      <c r="AA30" s="306"/>
      <c r="AB30" s="306">
        <f t="shared" si="1"/>
        <v>1403300</v>
      </c>
      <c r="AC30" s="306">
        <f t="shared" si="2"/>
        <v>1403300</v>
      </c>
      <c r="AD30" s="306">
        <f t="shared" si="3"/>
        <v>1403300</v>
      </c>
      <c r="AE30" s="306" t="s">
        <v>3328</v>
      </c>
    </row>
    <row r="31" spans="1:31" ht="30">
      <c r="A31" s="215">
        <f t="shared" si="4"/>
        <v>19</v>
      </c>
      <c r="B31" s="225" t="s">
        <v>1692</v>
      </c>
      <c r="C31" s="187" t="s">
        <v>4</v>
      </c>
      <c r="D31" s="42">
        <v>1</v>
      </c>
      <c r="E31" s="143">
        <v>1</v>
      </c>
      <c r="F31" s="143">
        <f t="shared" si="0"/>
        <v>1</v>
      </c>
      <c r="G31" s="220" t="s">
        <v>1693</v>
      </c>
      <c r="H31" s="215">
        <v>450</v>
      </c>
      <c r="I31" s="215">
        <v>25</v>
      </c>
      <c r="J31" s="189" t="s">
        <v>1655</v>
      </c>
      <c r="K31" s="221">
        <v>55</v>
      </c>
      <c r="L31" s="215">
        <v>0.37</v>
      </c>
      <c r="M31" s="223" t="s">
        <v>1656</v>
      </c>
      <c r="N31" s="215" t="s">
        <v>1657</v>
      </c>
      <c r="O31" s="215" t="s">
        <v>1658</v>
      </c>
      <c r="P31" s="215"/>
      <c r="Q31" s="223"/>
      <c r="R31" s="307">
        <v>1</v>
      </c>
      <c r="S31" s="470" t="s">
        <v>3327</v>
      </c>
      <c r="T31" s="471" t="s">
        <v>3274</v>
      </c>
      <c r="U31" s="471" t="s">
        <v>3214</v>
      </c>
      <c r="V31" s="471" t="s">
        <v>772</v>
      </c>
      <c r="W31" s="517">
        <v>550900</v>
      </c>
      <c r="X31" s="517"/>
      <c r="Y31" s="517">
        <v>852400</v>
      </c>
      <c r="Z31" s="306"/>
      <c r="AA31" s="306"/>
      <c r="AB31" s="306">
        <f t="shared" si="1"/>
        <v>1403300</v>
      </c>
      <c r="AC31" s="306">
        <f t="shared" si="2"/>
        <v>1403300</v>
      </c>
      <c r="AD31" s="306">
        <f t="shared" si="3"/>
        <v>1403300</v>
      </c>
      <c r="AE31" s="306" t="s">
        <v>3328</v>
      </c>
    </row>
    <row r="32" spans="1:31" ht="45">
      <c r="A32" s="215">
        <f t="shared" si="4"/>
        <v>20</v>
      </c>
      <c r="B32" s="225" t="s">
        <v>1694</v>
      </c>
      <c r="C32" s="187" t="s">
        <v>4</v>
      </c>
      <c r="D32" s="42">
        <v>1</v>
      </c>
      <c r="E32" s="143">
        <v>1</v>
      </c>
      <c r="F32" s="143">
        <f t="shared" si="0"/>
        <v>1</v>
      </c>
      <c r="G32" s="220" t="s">
        <v>1695</v>
      </c>
      <c r="H32" s="215">
        <v>1000</v>
      </c>
      <c r="I32" s="215">
        <v>50</v>
      </c>
      <c r="J32" s="189" t="s">
        <v>1655</v>
      </c>
      <c r="K32" s="221">
        <v>55</v>
      </c>
      <c r="L32" s="215">
        <v>3.7</v>
      </c>
      <c r="M32" s="223" t="s">
        <v>1656</v>
      </c>
      <c r="N32" s="215" t="s">
        <v>1657</v>
      </c>
      <c r="O32" s="215" t="s">
        <v>1658</v>
      </c>
      <c r="P32" s="215"/>
      <c r="Q32" s="223"/>
      <c r="R32" s="307">
        <v>1</v>
      </c>
      <c r="S32" s="470" t="s">
        <v>3282</v>
      </c>
      <c r="T32" s="471" t="s">
        <v>3274</v>
      </c>
      <c r="U32" s="471" t="s">
        <v>3214</v>
      </c>
      <c r="V32" s="471" t="s">
        <v>772</v>
      </c>
      <c r="W32" s="517">
        <v>591600</v>
      </c>
      <c r="X32" s="517"/>
      <c r="Y32" s="517">
        <v>1317900</v>
      </c>
      <c r="Z32" s="306"/>
      <c r="AA32" s="306"/>
      <c r="AB32" s="306">
        <f t="shared" si="1"/>
        <v>1909500</v>
      </c>
      <c r="AC32" s="306">
        <f t="shared" si="2"/>
        <v>1909500</v>
      </c>
      <c r="AD32" s="306">
        <f t="shared" si="3"/>
        <v>1909500</v>
      </c>
      <c r="AE32" s="306" t="s">
        <v>3305</v>
      </c>
    </row>
    <row r="33" spans="1:31" ht="45">
      <c r="A33" s="215">
        <f t="shared" si="4"/>
        <v>21</v>
      </c>
      <c r="B33" s="225" t="s">
        <v>1696</v>
      </c>
      <c r="C33" s="187" t="s">
        <v>4</v>
      </c>
      <c r="D33" s="42">
        <v>1</v>
      </c>
      <c r="E33" s="143">
        <v>1</v>
      </c>
      <c r="F33" s="143">
        <f t="shared" si="0"/>
        <v>1</v>
      </c>
      <c r="G33" s="220" t="s">
        <v>1697</v>
      </c>
      <c r="H33" s="215">
        <v>6500</v>
      </c>
      <c r="I33" s="215">
        <v>400</v>
      </c>
      <c r="J33" s="189" t="s">
        <v>1677</v>
      </c>
      <c r="K33" s="221">
        <v>55</v>
      </c>
      <c r="L33" s="215">
        <v>3.7</v>
      </c>
      <c r="M33" s="223" t="s">
        <v>1678</v>
      </c>
      <c r="N33" s="215" t="s">
        <v>1657</v>
      </c>
      <c r="O33" s="215" t="s">
        <v>1658</v>
      </c>
      <c r="P33" s="215"/>
      <c r="Q33" s="223"/>
      <c r="R33" s="307">
        <v>1</v>
      </c>
      <c r="S33" s="470" t="s">
        <v>3325</v>
      </c>
      <c r="T33" s="471" t="s">
        <v>3286</v>
      </c>
      <c r="U33" s="471" t="s">
        <v>3214</v>
      </c>
      <c r="V33" s="471" t="s">
        <v>772</v>
      </c>
      <c r="W33" s="517">
        <v>26338600</v>
      </c>
      <c r="X33" s="517"/>
      <c r="Y33" s="517">
        <v>2776700</v>
      </c>
      <c r="Z33" s="306"/>
      <c r="AA33" s="306"/>
      <c r="AB33" s="306">
        <f t="shared" si="1"/>
        <v>29115300</v>
      </c>
      <c r="AC33" s="306">
        <f t="shared" si="2"/>
        <v>29115300</v>
      </c>
      <c r="AD33" s="306">
        <f t="shared" si="3"/>
        <v>29115300</v>
      </c>
      <c r="AE33" s="306" t="s">
        <v>3326</v>
      </c>
    </row>
    <row r="34" spans="1:31" ht="45">
      <c r="A34" s="215">
        <f t="shared" si="4"/>
        <v>22</v>
      </c>
      <c r="B34" s="225" t="s">
        <v>1675</v>
      </c>
      <c r="C34" s="187" t="s">
        <v>4</v>
      </c>
      <c r="D34" s="42">
        <v>2</v>
      </c>
      <c r="E34" s="143">
        <v>2</v>
      </c>
      <c r="F34" s="143">
        <f t="shared" si="0"/>
        <v>2</v>
      </c>
      <c r="G34" s="220" t="s">
        <v>1698</v>
      </c>
      <c r="H34" s="215">
        <v>20500</v>
      </c>
      <c r="I34" s="215">
        <v>400</v>
      </c>
      <c r="J34" s="189" t="s">
        <v>1677</v>
      </c>
      <c r="K34" s="221">
        <v>55</v>
      </c>
      <c r="L34" s="215">
        <v>11</v>
      </c>
      <c r="M34" s="223" t="s">
        <v>1678</v>
      </c>
      <c r="N34" s="215" t="s">
        <v>1657</v>
      </c>
      <c r="O34" s="215" t="s">
        <v>1658</v>
      </c>
      <c r="P34" s="215"/>
      <c r="Q34" s="223"/>
      <c r="R34" s="307">
        <v>2</v>
      </c>
      <c r="S34" s="470" t="s">
        <v>3241</v>
      </c>
      <c r="T34" s="471" t="s">
        <v>3221</v>
      </c>
      <c r="U34" s="471" t="s">
        <v>3214</v>
      </c>
      <c r="V34" s="471" t="s">
        <v>772</v>
      </c>
      <c r="W34" s="517">
        <v>26908400</v>
      </c>
      <c r="X34" s="517"/>
      <c r="Y34" s="517">
        <v>3719700</v>
      </c>
      <c r="Z34" s="306"/>
      <c r="AA34" s="306"/>
      <c r="AB34" s="306">
        <f t="shared" si="1"/>
        <v>30628100</v>
      </c>
      <c r="AC34" s="306">
        <f t="shared" si="2"/>
        <v>61256200</v>
      </c>
      <c r="AD34" s="306">
        <f t="shared" si="3"/>
        <v>61256200</v>
      </c>
      <c r="AE34" s="306" t="s">
        <v>3324</v>
      </c>
    </row>
    <row r="35" spans="1:31" ht="45">
      <c r="A35" s="215">
        <f t="shared" si="4"/>
        <v>23</v>
      </c>
      <c r="B35" s="225" t="s">
        <v>1679</v>
      </c>
      <c r="C35" s="187" t="s">
        <v>4</v>
      </c>
      <c r="D35" s="42">
        <v>1</v>
      </c>
      <c r="E35" s="143">
        <v>1</v>
      </c>
      <c r="F35" s="143">
        <f t="shared" si="0"/>
        <v>1</v>
      </c>
      <c r="G35" s="220" t="s">
        <v>1699</v>
      </c>
      <c r="H35" s="215">
        <v>41000</v>
      </c>
      <c r="I35" s="215">
        <v>450</v>
      </c>
      <c r="J35" s="189" t="s">
        <v>1677</v>
      </c>
      <c r="K35" s="221">
        <v>55</v>
      </c>
      <c r="L35" s="215">
        <v>15</v>
      </c>
      <c r="M35" s="223" t="s">
        <v>1678</v>
      </c>
      <c r="N35" s="215" t="s">
        <v>1657</v>
      </c>
      <c r="O35" s="215" t="s">
        <v>1658</v>
      </c>
      <c r="P35" s="215"/>
      <c r="Q35" s="223"/>
      <c r="R35" s="307">
        <v>1</v>
      </c>
      <c r="S35" s="470" t="s">
        <v>3223</v>
      </c>
      <c r="T35" s="471" t="s">
        <v>3221</v>
      </c>
      <c r="U35" s="471" t="s">
        <v>3214</v>
      </c>
      <c r="V35" s="471" t="s">
        <v>772</v>
      </c>
      <c r="W35" s="517">
        <v>51085900</v>
      </c>
      <c r="X35" s="517"/>
      <c r="Y35" s="517">
        <v>5207800</v>
      </c>
      <c r="Z35" s="306"/>
      <c r="AA35" s="306"/>
      <c r="AB35" s="306">
        <f t="shared" si="1"/>
        <v>56293700</v>
      </c>
      <c r="AC35" s="306">
        <f t="shared" si="2"/>
        <v>56293700</v>
      </c>
      <c r="AD35" s="306">
        <f t="shared" si="3"/>
        <v>56293700</v>
      </c>
      <c r="AE35" s="306" t="s">
        <v>3323</v>
      </c>
    </row>
    <row r="36" spans="1:31" ht="15">
      <c r="A36" s="178"/>
      <c r="B36" s="219" t="s">
        <v>538</v>
      </c>
      <c r="C36" s="226"/>
      <c r="D36" s="42"/>
      <c r="E36" s="227"/>
      <c r="F36" s="143">
        <f t="shared" si="0"/>
        <v>0</v>
      </c>
      <c r="G36" s="220"/>
      <c r="H36" s="215"/>
      <c r="I36" s="215"/>
      <c r="J36" s="189"/>
      <c r="K36" s="221"/>
      <c r="L36" s="215"/>
      <c r="M36" s="223"/>
      <c r="N36" s="215"/>
      <c r="O36" s="215"/>
      <c r="P36" s="224"/>
      <c r="Q36" s="223"/>
      <c r="R36" s="307">
        <v>0</v>
      </c>
      <c r="S36" s="470">
        <v>0</v>
      </c>
      <c r="T36" s="471">
        <v>0</v>
      </c>
      <c r="U36" s="471">
        <v>0</v>
      </c>
      <c r="V36" s="471">
        <v>0</v>
      </c>
      <c r="W36" s="517">
        <v>0</v>
      </c>
      <c r="X36" s="517"/>
      <c r="Y36" s="517">
        <v>0</v>
      </c>
      <c r="Z36" s="306"/>
      <c r="AA36" s="306"/>
      <c r="AB36" s="306">
        <f t="shared" si="1"/>
        <v>0</v>
      </c>
      <c r="AC36" s="306">
        <f t="shared" si="2"/>
        <v>0</v>
      </c>
      <c r="AD36" s="306">
        <f t="shared" si="3"/>
        <v>0</v>
      </c>
      <c r="AE36" s="306">
        <v>0</v>
      </c>
    </row>
    <row r="37" spans="1:31" ht="45">
      <c r="A37" s="215">
        <v>24</v>
      </c>
      <c r="B37" s="225" t="s">
        <v>1700</v>
      </c>
      <c r="C37" s="187" t="s">
        <v>4</v>
      </c>
      <c r="D37" s="42">
        <v>1</v>
      </c>
      <c r="E37" s="143">
        <v>1</v>
      </c>
      <c r="F37" s="143">
        <f t="shared" si="0"/>
        <v>1</v>
      </c>
      <c r="G37" s="220" t="s">
        <v>1701</v>
      </c>
      <c r="H37" s="215">
        <v>1000</v>
      </c>
      <c r="I37" s="215">
        <v>50</v>
      </c>
      <c r="J37" s="189" t="s">
        <v>1655</v>
      </c>
      <c r="K37" s="221">
        <v>55</v>
      </c>
      <c r="L37" s="215">
        <v>0.37</v>
      </c>
      <c r="M37" s="223" t="s">
        <v>1656</v>
      </c>
      <c r="N37" s="215" t="s">
        <v>1657</v>
      </c>
      <c r="O37" s="215" t="s">
        <v>1658</v>
      </c>
      <c r="P37" s="215" t="s">
        <v>1670</v>
      </c>
      <c r="Q37" s="223"/>
      <c r="R37" s="307">
        <v>1</v>
      </c>
      <c r="S37" s="470" t="s">
        <v>3282</v>
      </c>
      <c r="T37" s="471" t="s">
        <v>3274</v>
      </c>
      <c r="U37" s="471" t="s">
        <v>3214</v>
      </c>
      <c r="V37" s="471" t="s">
        <v>772</v>
      </c>
      <c r="W37" s="517">
        <v>591600</v>
      </c>
      <c r="X37" s="517"/>
      <c r="Y37" s="517">
        <v>1317900</v>
      </c>
      <c r="Z37" s="306"/>
      <c r="AA37" s="306"/>
      <c r="AB37" s="306">
        <f t="shared" si="1"/>
        <v>1909500</v>
      </c>
      <c r="AC37" s="306">
        <f t="shared" si="2"/>
        <v>1909500</v>
      </c>
      <c r="AD37" s="306">
        <f t="shared" si="3"/>
        <v>1909500</v>
      </c>
      <c r="AE37" s="306" t="s">
        <v>3305</v>
      </c>
    </row>
    <row r="38" spans="1:31" ht="30">
      <c r="A38" s="215">
        <f>A37+1</f>
        <v>25</v>
      </c>
      <c r="B38" s="225" t="s">
        <v>1702</v>
      </c>
      <c r="C38" s="187" t="s">
        <v>4</v>
      </c>
      <c r="D38" s="42">
        <v>2</v>
      </c>
      <c r="E38" s="143">
        <v>2</v>
      </c>
      <c r="F38" s="143">
        <f t="shared" si="0"/>
        <v>2</v>
      </c>
      <c r="G38" s="220" t="s">
        <v>1703</v>
      </c>
      <c r="H38" s="215">
        <v>100</v>
      </c>
      <c r="I38" s="215">
        <v>50</v>
      </c>
      <c r="J38" s="189" t="s">
        <v>1704</v>
      </c>
      <c r="K38" s="221">
        <v>55</v>
      </c>
      <c r="L38" s="215">
        <v>0.03</v>
      </c>
      <c r="M38" s="223" t="s">
        <v>1656</v>
      </c>
      <c r="N38" s="215" t="s">
        <v>1657</v>
      </c>
      <c r="O38" s="215" t="s">
        <v>1658</v>
      </c>
      <c r="P38" s="215"/>
      <c r="Q38" s="223"/>
      <c r="R38" s="307">
        <v>2</v>
      </c>
      <c r="S38" s="470" t="s">
        <v>3277</v>
      </c>
      <c r="T38" s="471" t="s">
        <v>3211</v>
      </c>
      <c r="U38" s="471" t="s">
        <v>3214</v>
      </c>
      <c r="V38" s="471" t="s">
        <v>772</v>
      </c>
      <c r="W38" s="517">
        <v>1364800</v>
      </c>
      <c r="X38" s="517"/>
      <c r="Y38" s="517">
        <v>347600</v>
      </c>
      <c r="Z38" s="306"/>
      <c r="AA38" s="306"/>
      <c r="AB38" s="306">
        <f t="shared" si="1"/>
        <v>1712400</v>
      </c>
      <c r="AC38" s="306">
        <f t="shared" si="2"/>
        <v>3424800</v>
      </c>
      <c r="AD38" s="306">
        <f t="shared" si="3"/>
        <v>3424800</v>
      </c>
      <c r="AE38" s="306" t="s">
        <v>3278</v>
      </c>
    </row>
    <row r="39" spans="1:31" ht="60">
      <c r="A39" s="215">
        <f t="shared" ref="A39:A43" si="5">A38+1</f>
        <v>26</v>
      </c>
      <c r="B39" s="225" t="s">
        <v>1705</v>
      </c>
      <c r="C39" s="187" t="s">
        <v>4</v>
      </c>
      <c r="D39" s="42">
        <v>1</v>
      </c>
      <c r="E39" s="143">
        <v>1</v>
      </c>
      <c r="F39" s="143">
        <f t="shared" si="0"/>
        <v>1</v>
      </c>
      <c r="G39" s="220" t="s">
        <v>1706</v>
      </c>
      <c r="H39" s="215">
        <v>1000</v>
      </c>
      <c r="I39" s="215">
        <v>200</v>
      </c>
      <c r="J39" s="189" t="s">
        <v>1677</v>
      </c>
      <c r="K39" s="221">
        <v>55</v>
      </c>
      <c r="L39" s="215">
        <v>1.1000000000000001</v>
      </c>
      <c r="M39" s="223" t="s">
        <v>1656</v>
      </c>
      <c r="N39" s="215" t="s">
        <v>1657</v>
      </c>
      <c r="O39" s="215" t="s">
        <v>1658</v>
      </c>
      <c r="P39" s="215"/>
      <c r="Q39" s="223"/>
      <c r="R39" s="307">
        <v>1</v>
      </c>
      <c r="S39" s="470" t="s">
        <v>3296</v>
      </c>
      <c r="T39" s="471" t="s">
        <v>3297</v>
      </c>
      <c r="U39" s="471" t="s">
        <v>3214</v>
      </c>
      <c r="V39" s="471" t="s">
        <v>772</v>
      </c>
      <c r="W39" s="517">
        <v>3972600</v>
      </c>
      <c r="X39" s="517"/>
      <c r="Y39" s="517">
        <v>629700</v>
      </c>
      <c r="Z39" s="306"/>
      <c r="AA39" s="306"/>
      <c r="AB39" s="306">
        <f t="shared" si="1"/>
        <v>4602300</v>
      </c>
      <c r="AC39" s="306">
        <f t="shared" si="2"/>
        <v>4602300</v>
      </c>
      <c r="AD39" s="306">
        <f t="shared" si="3"/>
        <v>4602300</v>
      </c>
      <c r="AE39" s="306" t="s">
        <v>3322</v>
      </c>
    </row>
    <row r="40" spans="1:31" ht="45">
      <c r="A40" s="215">
        <f t="shared" si="5"/>
        <v>27</v>
      </c>
      <c r="B40" s="225" t="s">
        <v>1707</v>
      </c>
      <c r="C40" s="187" t="s">
        <v>4</v>
      </c>
      <c r="D40" s="42">
        <v>1</v>
      </c>
      <c r="E40" s="143">
        <v>1</v>
      </c>
      <c r="F40" s="143">
        <f t="shared" si="0"/>
        <v>1</v>
      </c>
      <c r="G40" s="220" t="s">
        <v>1708</v>
      </c>
      <c r="H40" s="215">
        <v>1800</v>
      </c>
      <c r="I40" s="215">
        <v>250</v>
      </c>
      <c r="J40" s="189" t="s">
        <v>1677</v>
      </c>
      <c r="K40" s="221">
        <v>55</v>
      </c>
      <c r="L40" s="215">
        <v>0.75</v>
      </c>
      <c r="M40" s="223" t="s">
        <v>1656</v>
      </c>
      <c r="N40" s="215" t="s">
        <v>1657</v>
      </c>
      <c r="O40" s="215" t="s">
        <v>1658</v>
      </c>
      <c r="P40" s="215"/>
      <c r="Q40" s="223"/>
      <c r="R40" s="307">
        <v>1</v>
      </c>
      <c r="S40" s="470" t="s">
        <v>3320</v>
      </c>
      <c r="T40" s="471" t="s">
        <v>3291</v>
      </c>
      <c r="U40" s="471" t="s">
        <v>3214</v>
      </c>
      <c r="V40" s="471" t="s">
        <v>772</v>
      </c>
      <c r="W40" s="517">
        <v>8449300</v>
      </c>
      <c r="X40" s="517"/>
      <c r="Y40" s="517">
        <v>1050900</v>
      </c>
      <c r="Z40" s="306"/>
      <c r="AA40" s="306"/>
      <c r="AB40" s="306">
        <f t="shared" si="1"/>
        <v>9500200</v>
      </c>
      <c r="AC40" s="306">
        <f t="shared" si="2"/>
        <v>9500200</v>
      </c>
      <c r="AD40" s="306">
        <f t="shared" si="3"/>
        <v>9500200</v>
      </c>
      <c r="AE40" s="306" t="s">
        <v>3321</v>
      </c>
    </row>
    <row r="41" spans="1:31" ht="45">
      <c r="A41" s="215">
        <f t="shared" si="5"/>
        <v>28</v>
      </c>
      <c r="B41" s="225" t="s">
        <v>1707</v>
      </c>
      <c r="C41" s="187" t="s">
        <v>4</v>
      </c>
      <c r="D41" s="42">
        <v>1</v>
      </c>
      <c r="E41" s="143">
        <v>1</v>
      </c>
      <c r="F41" s="143">
        <f t="shared" si="0"/>
        <v>1</v>
      </c>
      <c r="G41" s="220" t="s">
        <v>1709</v>
      </c>
      <c r="H41" s="215">
        <v>2000</v>
      </c>
      <c r="I41" s="215">
        <v>250</v>
      </c>
      <c r="J41" s="189" t="s">
        <v>1677</v>
      </c>
      <c r="K41" s="221">
        <v>55</v>
      </c>
      <c r="L41" s="215">
        <v>0.75</v>
      </c>
      <c r="M41" s="223" t="s">
        <v>1656</v>
      </c>
      <c r="N41" s="215" t="s">
        <v>1657</v>
      </c>
      <c r="O41" s="215" t="s">
        <v>1658</v>
      </c>
      <c r="P41" s="215"/>
      <c r="Q41" s="223"/>
      <c r="R41" s="307">
        <v>1</v>
      </c>
      <c r="S41" s="470" t="s">
        <v>3290</v>
      </c>
      <c r="T41" s="471" t="s">
        <v>3291</v>
      </c>
      <c r="U41" s="471" t="s">
        <v>3214</v>
      </c>
      <c r="V41" s="471" t="s">
        <v>772</v>
      </c>
      <c r="W41" s="517">
        <v>9127600</v>
      </c>
      <c r="X41" s="517"/>
      <c r="Y41" s="517">
        <v>1050900</v>
      </c>
      <c r="Z41" s="306"/>
      <c r="AA41" s="306"/>
      <c r="AB41" s="306">
        <f t="shared" si="1"/>
        <v>10178500</v>
      </c>
      <c r="AC41" s="306">
        <f t="shared" si="2"/>
        <v>10178500</v>
      </c>
      <c r="AD41" s="306">
        <f t="shared" si="3"/>
        <v>10178500</v>
      </c>
      <c r="AE41" s="306" t="s">
        <v>3300</v>
      </c>
    </row>
    <row r="42" spans="1:31" ht="45">
      <c r="A42" s="215">
        <f t="shared" si="5"/>
        <v>29</v>
      </c>
      <c r="B42" s="225" t="s">
        <v>1707</v>
      </c>
      <c r="C42" s="187" t="s">
        <v>4</v>
      </c>
      <c r="D42" s="42">
        <v>1</v>
      </c>
      <c r="E42" s="143">
        <v>1</v>
      </c>
      <c r="F42" s="143">
        <f t="shared" si="0"/>
        <v>1</v>
      </c>
      <c r="G42" s="220" t="s">
        <v>1710</v>
      </c>
      <c r="H42" s="215">
        <v>2200</v>
      </c>
      <c r="I42" s="215">
        <v>300</v>
      </c>
      <c r="J42" s="189" t="s">
        <v>1677</v>
      </c>
      <c r="K42" s="221">
        <v>55</v>
      </c>
      <c r="L42" s="215">
        <v>1.1000000000000001</v>
      </c>
      <c r="M42" s="223" t="s">
        <v>1678</v>
      </c>
      <c r="N42" s="215" t="s">
        <v>1657</v>
      </c>
      <c r="O42" s="215" t="s">
        <v>1658</v>
      </c>
      <c r="P42" s="215"/>
      <c r="Q42" s="223"/>
      <c r="R42" s="307">
        <v>1</v>
      </c>
      <c r="S42" s="470" t="s">
        <v>3290</v>
      </c>
      <c r="T42" s="471" t="s">
        <v>3291</v>
      </c>
      <c r="U42" s="471" t="s">
        <v>3214</v>
      </c>
      <c r="V42" s="471" t="s">
        <v>772</v>
      </c>
      <c r="W42" s="517">
        <v>10009400</v>
      </c>
      <c r="X42" s="517"/>
      <c r="Y42" s="517">
        <v>1050900</v>
      </c>
      <c r="Z42" s="306"/>
      <c r="AA42" s="306"/>
      <c r="AB42" s="306">
        <f t="shared" si="1"/>
        <v>11060300</v>
      </c>
      <c r="AC42" s="306">
        <f t="shared" si="2"/>
        <v>11060300</v>
      </c>
      <c r="AD42" s="306">
        <f t="shared" si="3"/>
        <v>11060300</v>
      </c>
      <c r="AE42" s="306" t="s">
        <v>3292</v>
      </c>
    </row>
    <row r="43" spans="1:31" ht="45">
      <c r="A43" s="215">
        <f t="shared" si="5"/>
        <v>30</v>
      </c>
      <c r="B43" s="225" t="s">
        <v>1707</v>
      </c>
      <c r="C43" s="187" t="s">
        <v>4</v>
      </c>
      <c r="D43" s="42">
        <v>1</v>
      </c>
      <c r="E43" s="143">
        <v>1</v>
      </c>
      <c r="F43" s="143">
        <f t="shared" si="0"/>
        <v>1</v>
      </c>
      <c r="G43" s="220" t="s">
        <v>1711</v>
      </c>
      <c r="H43" s="215">
        <v>5000</v>
      </c>
      <c r="I43" s="215">
        <v>300</v>
      </c>
      <c r="J43" s="189" t="s">
        <v>1677</v>
      </c>
      <c r="K43" s="221">
        <v>55</v>
      </c>
      <c r="L43" s="215">
        <v>1.5</v>
      </c>
      <c r="M43" s="223" t="s">
        <v>1678</v>
      </c>
      <c r="N43" s="215" t="s">
        <v>1657</v>
      </c>
      <c r="O43" s="215" t="s">
        <v>1658</v>
      </c>
      <c r="P43" s="215"/>
      <c r="Q43" s="223"/>
      <c r="R43" s="307">
        <v>1</v>
      </c>
      <c r="S43" s="470" t="s">
        <v>3285</v>
      </c>
      <c r="T43" s="471" t="s">
        <v>3286</v>
      </c>
      <c r="U43" s="471" t="s">
        <v>3214</v>
      </c>
      <c r="V43" s="471" t="s">
        <v>772</v>
      </c>
      <c r="W43" s="517">
        <v>21075000</v>
      </c>
      <c r="X43" s="517"/>
      <c r="Y43" s="517">
        <v>2101700</v>
      </c>
      <c r="Z43" s="306"/>
      <c r="AA43" s="306"/>
      <c r="AB43" s="306">
        <f t="shared" si="1"/>
        <v>23176700</v>
      </c>
      <c r="AC43" s="306">
        <f t="shared" si="2"/>
        <v>23176700</v>
      </c>
      <c r="AD43" s="306">
        <f t="shared" si="3"/>
        <v>23176700</v>
      </c>
      <c r="AE43" s="306" t="s">
        <v>3319</v>
      </c>
    </row>
    <row r="44" spans="1:31" ht="15">
      <c r="A44" s="178"/>
      <c r="B44" s="219" t="s">
        <v>539</v>
      </c>
      <c r="C44" s="187"/>
      <c r="D44" s="42"/>
      <c r="E44" s="143"/>
      <c r="F44" s="143">
        <f t="shared" si="0"/>
        <v>0</v>
      </c>
      <c r="G44" s="220"/>
      <c r="H44" s="215"/>
      <c r="I44" s="215"/>
      <c r="J44" s="189"/>
      <c r="K44" s="221"/>
      <c r="L44" s="215"/>
      <c r="M44" s="223"/>
      <c r="N44" s="215"/>
      <c r="O44" s="215"/>
      <c r="P44" s="224"/>
      <c r="Q44" s="223"/>
      <c r="R44" s="307">
        <v>0</v>
      </c>
      <c r="S44" s="470">
        <v>0</v>
      </c>
      <c r="T44" s="471">
        <v>0</v>
      </c>
      <c r="U44" s="471">
        <v>0</v>
      </c>
      <c r="V44" s="471">
        <v>0</v>
      </c>
      <c r="W44" s="517">
        <v>0</v>
      </c>
      <c r="X44" s="517"/>
      <c r="Y44" s="517">
        <v>0</v>
      </c>
      <c r="Z44" s="306"/>
      <c r="AA44" s="306"/>
      <c r="AB44" s="306">
        <f t="shared" si="1"/>
        <v>0</v>
      </c>
      <c r="AC44" s="306">
        <f t="shared" si="2"/>
        <v>0</v>
      </c>
      <c r="AD44" s="306">
        <f t="shared" si="3"/>
        <v>0</v>
      </c>
      <c r="AE44" s="306">
        <v>0</v>
      </c>
    </row>
    <row r="45" spans="1:31" ht="60">
      <c r="A45" s="215">
        <v>29</v>
      </c>
      <c r="B45" s="225" t="s">
        <v>1702</v>
      </c>
      <c r="C45" s="187" t="s">
        <v>4</v>
      </c>
      <c r="D45" s="42">
        <v>1</v>
      </c>
      <c r="E45" s="143">
        <v>1</v>
      </c>
      <c r="F45" s="143">
        <f t="shared" si="0"/>
        <v>1</v>
      </c>
      <c r="G45" s="220" t="s">
        <v>1712</v>
      </c>
      <c r="H45" s="215">
        <v>1300</v>
      </c>
      <c r="I45" s="215">
        <v>150</v>
      </c>
      <c r="J45" s="189" t="s">
        <v>1677</v>
      </c>
      <c r="K45" s="221">
        <v>55</v>
      </c>
      <c r="L45" s="215">
        <v>0.75</v>
      </c>
      <c r="M45" s="223" t="s">
        <v>1656</v>
      </c>
      <c r="N45" s="215" t="s">
        <v>1657</v>
      </c>
      <c r="O45" s="215" t="s">
        <v>1658</v>
      </c>
      <c r="P45" s="224"/>
      <c r="Q45" s="223"/>
      <c r="R45" s="307">
        <v>1</v>
      </c>
      <c r="S45" s="470" t="s">
        <v>3296</v>
      </c>
      <c r="T45" s="471" t="s">
        <v>3297</v>
      </c>
      <c r="U45" s="471" t="s">
        <v>3214</v>
      </c>
      <c r="V45" s="471" t="s">
        <v>772</v>
      </c>
      <c r="W45" s="517">
        <v>3972600</v>
      </c>
      <c r="X45" s="517"/>
      <c r="Y45" s="517">
        <v>629700</v>
      </c>
      <c r="Z45" s="306"/>
      <c r="AA45" s="306"/>
      <c r="AB45" s="306">
        <f t="shared" si="1"/>
        <v>4602300</v>
      </c>
      <c r="AC45" s="306">
        <f t="shared" si="2"/>
        <v>4602300</v>
      </c>
      <c r="AD45" s="306">
        <f t="shared" si="3"/>
        <v>4602300</v>
      </c>
      <c r="AE45" s="306" t="s">
        <v>3308</v>
      </c>
    </row>
    <row r="46" spans="1:31" ht="45">
      <c r="A46" s="215">
        <f>A45+1</f>
        <v>30</v>
      </c>
      <c r="B46" s="225" t="s">
        <v>1713</v>
      </c>
      <c r="C46" s="187" t="s">
        <v>4</v>
      </c>
      <c r="D46" s="42">
        <v>1</v>
      </c>
      <c r="E46" s="143">
        <v>1</v>
      </c>
      <c r="F46" s="143">
        <f t="shared" si="0"/>
        <v>1</v>
      </c>
      <c r="G46" s="220" t="s">
        <v>1714</v>
      </c>
      <c r="H46" s="215">
        <v>3000</v>
      </c>
      <c r="I46" s="215">
        <v>250</v>
      </c>
      <c r="J46" s="189" t="s">
        <v>1677</v>
      </c>
      <c r="K46" s="221">
        <v>55</v>
      </c>
      <c r="L46" s="215">
        <v>0.75</v>
      </c>
      <c r="M46" s="223" t="s">
        <v>1678</v>
      </c>
      <c r="N46" s="215" t="s">
        <v>1657</v>
      </c>
      <c r="O46" s="215" t="s">
        <v>1658</v>
      </c>
      <c r="P46" s="215" t="s">
        <v>1670</v>
      </c>
      <c r="Q46" s="223"/>
      <c r="R46" s="307">
        <v>1</v>
      </c>
      <c r="S46" s="470" t="s">
        <v>3316</v>
      </c>
      <c r="T46" s="471" t="s">
        <v>3317</v>
      </c>
      <c r="U46" s="471" t="s">
        <v>3214</v>
      </c>
      <c r="V46" s="471" t="s">
        <v>772</v>
      </c>
      <c r="W46" s="517">
        <v>12532700</v>
      </c>
      <c r="X46" s="517"/>
      <c r="Y46" s="517">
        <v>1595900</v>
      </c>
      <c r="Z46" s="306"/>
      <c r="AA46" s="306"/>
      <c r="AB46" s="306">
        <f t="shared" si="1"/>
        <v>14128600</v>
      </c>
      <c r="AC46" s="306">
        <f t="shared" si="2"/>
        <v>14128600</v>
      </c>
      <c r="AD46" s="306">
        <f t="shared" si="3"/>
        <v>14128600</v>
      </c>
      <c r="AE46" s="306" t="s">
        <v>3318</v>
      </c>
    </row>
    <row r="47" spans="1:31" ht="30">
      <c r="A47" s="215">
        <f t="shared" ref="A47:A52" si="6">A46+1</f>
        <v>31</v>
      </c>
      <c r="B47" s="225" t="s">
        <v>1715</v>
      </c>
      <c r="C47" s="187" t="s">
        <v>4</v>
      </c>
      <c r="D47" s="42">
        <v>1</v>
      </c>
      <c r="E47" s="143">
        <v>1</v>
      </c>
      <c r="F47" s="143">
        <f t="shared" si="0"/>
        <v>1</v>
      </c>
      <c r="G47" s="220" t="s">
        <v>1716</v>
      </c>
      <c r="H47" s="215">
        <v>150</v>
      </c>
      <c r="I47" s="215">
        <v>20</v>
      </c>
      <c r="J47" s="189" t="s">
        <v>1655</v>
      </c>
      <c r="K47" s="221">
        <v>55</v>
      </c>
      <c r="L47" s="215">
        <v>0.37</v>
      </c>
      <c r="M47" s="223" t="s">
        <v>1656</v>
      </c>
      <c r="N47" s="215" t="s">
        <v>1657</v>
      </c>
      <c r="O47" s="215" t="s">
        <v>1658</v>
      </c>
      <c r="P47" s="215" t="s">
        <v>1670</v>
      </c>
      <c r="Q47" s="223"/>
      <c r="R47" s="307">
        <v>1</v>
      </c>
      <c r="S47" s="470" t="s">
        <v>3306</v>
      </c>
      <c r="T47" s="471" t="s">
        <v>3274</v>
      </c>
      <c r="U47" s="471" t="s">
        <v>3214</v>
      </c>
      <c r="V47" s="471" t="s">
        <v>772</v>
      </c>
      <c r="W47" s="517">
        <v>496600</v>
      </c>
      <c r="X47" s="517"/>
      <c r="Y47" s="517">
        <v>676100</v>
      </c>
      <c r="Z47" s="306"/>
      <c r="AA47" s="306"/>
      <c r="AB47" s="306">
        <f t="shared" si="1"/>
        <v>1172700</v>
      </c>
      <c r="AC47" s="306">
        <f t="shared" si="2"/>
        <v>1172700</v>
      </c>
      <c r="AD47" s="306">
        <f t="shared" si="3"/>
        <v>1172700</v>
      </c>
      <c r="AE47" s="306" t="s">
        <v>3307</v>
      </c>
    </row>
    <row r="48" spans="1:31" ht="45">
      <c r="A48" s="215">
        <f>A47+1</f>
        <v>32</v>
      </c>
      <c r="B48" s="225" t="s">
        <v>1717</v>
      </c>
      <c r="C48" s="187" t="s">
        <v>4</v>
      </c>
      <c r="D48" s="42">
        <v>1</v>
      </c>
      <c r="E48" s="143">
        <v>1</v>
      </c>
      <c r="F48" s="143">
        <f t="shared" si="0"/>
        <v>1</v>
      </c>
      <c r="G48" s="220" t="s">
        <v>1718</v>
      </c>
      <c r="H48" s="215">
        <v>5500</v>
      </c>
      <c r="I48" s="215">
        <v>300</v>
      </c>
      <c r="J48" s="189" t="s">
        <v>1677</v>
      </c>
      <c r="K48" s="221">
        <v>55</v>
      </c>
      <c r="L48" s="215">
        <v>1.5</v>
      </c>
      <c r="M48" s="223" t="s">
        <v>1678</v>
      </c>
      <c r="N48" s="215" t="s">
        <v>1657</v>
      </c>
      <c r="O48" s="215" t="s">
        <v>1658</v>
      </c>
      <c r="P48" s="215"/>
      <c r="Q48" s="223"/>
      <c r="R48" s="307">
        <v>1</v>
      </c>
      <c r="S48" s="470" t="s">
        <v>3243</v>
      </c>
      <c r="T48" s="471" t="s">
        <v>3221</v>
      </c>
      <c r="U48" s="471" t="s">
        <v>3214</v>
      </c>
      <c r="V48" s="471" t="s">
        <v>772</v>
      </c>
      <c r="W48" s="517">
        <v>15051700</v>
      </c>
      <c r="X48" s="517"/>
      <c r="Y48" s="517">
        <v>2101700</v>
      </c>
      <c r="Z48" s="306"/>
      <c r="AA48" s="306"/>
      <c r="AB48" s="306">
        <f t="shared" si="1"/>
        <v>17153400</v>
      </c>
      <c r="AC48" s="306">
        <f t="shared" si="2"/>
        <v>17153400</v>
      </c>
      <c r="AD48" s="306">
        <f t="shared" si="3"/>
        <v>17153400</v>
      </c>
      <c r="AE48" s="306" t="s">
        <v>3315</v>
      </c>
    </row>
    <row r="49" spans="1:31" ht="45">
      <c r="A49" s="215">
        <f t="shared" si="6"/>
        <v>33</v>
      </c>
      <c r="B49" s="225" t="s">
        <v>1717</v>
      </c>
      <c r="C49" s="187" t="s">
        <v>4</v>
      </c>
      <c r="D49" s="42">
        <v>1</v>
      </c>
      <c r="E49" s="143">
        <v>1</v>
      </c>
      <c r="F49" s="143">
        <f t="shared" si="0"/>
        <v>1</v>
      </c>
      <c r="G49" s="220" t="s">
        <v>1719</v>
      </c>
      <c r="H49" s="215">
        <v>5500</v>
      </c>
      <c r="I49" s="215">
        <v>300</v>
      </c>
      <c r="J49" s="189" t="s">
        <v>1677</v>
      </c>
      <c r="K49" s="221">
        <v>55</v>
      </c>
      <c r="L49" s="215">
        <v>1.1000000000000001</v>
      </c>
      <c r="M49" s="223" t="s">
        <v>1678</v>
      </c>
      <c r="N49" s="215" t="s">
        <v>1657</v>
      </c>
      <c r="O49" s="215" t="s">
        <v>1658</v>
      </c>
      <c r="P49" s="215"/>
      <c r="Q49" s="223"/>
      <c r="R49" s="307">
        <v>1</v>
      </c>
      <c r="S49" s="470" t="s">
        <v>3243</v>
      </c>
      <c r="T49" s="471" t="s">
        <v>3221</v>
      </c>
      <c r="U49" s="471" t="s">
        <v>3214</v>
      </c>
      <c r="V49" s="471" t="s">
        <v>772</v>
      </c>
      <c r="W49" s="517">
        <v>15051700</v>
      </c>
      <c r="X49" s="517"/>
      <c r="Y49" s="517">
        <v>2101700</v>
      </c>
      <c r="Z49" s="306"/>
      <c r="AA49" s="306"/>
      <c r="AB49" s="306">
        <f t="shared" si="1"/>
        <v>17153400</v>
      </c>
      <c r="AC49" s="306">
        <f t="shared" si="2"/>
        <v>17153400</v>
      </c>
      <c r="AD49" s="306">
        <f t="shared" si="3"/>
        <v>17153400</v>
      </c>
      <c r="AE49" s="306" t="s">
        <v>3315</v>
      </c>
    </row>
    <row r="50" spans="1:31" ht="45">
      <c r="A50" s="215">
        <f t="shared" si="6"/>
        <v>34</v>
      </c>
      <c r="B50" s="225" t="s">
        <v>1717</v>
      </c>
      <c r="C50" s="187" t="s">
        <v>4</v>
      </c>
      <c r="D50" s="42">
        <v>1</v>
      </c>
      <c r="E50" s="143">
        <v>1</v>
      </c>
      <c r="F50" s="143">
        <f t="shared" si="0"/>
        <v>1</v>
      </c>
      <c r="G50" s="220" t="s">
        <v>1720</v>
      </c>
      <c r="H50" s="215">
        <v>4000</v>
      </c>
      <c r="I50" s="215">
        <v>300</v>
      </c>
      <c r="J50" s="189" t="s">
        <v>1677</v>
      </c>
      <c r="K50" s="221">
        <v>55</v>
      </c>
      <c r="L50" s="215">
        <v>1.5</v>
      </c>
      <c r="M50" s="223" t="s">
        <v>1678</v>
      </c>
      <c r="N50" s="215" t="s">
        <v>1657</v>
      </c>
      <c r="O50" s="215" t="s">
        <v>1658</v>
      </c>
      <c r="P50" s="215"/>
      <c r="Q50" s="223"/>
      <c r="R50" s="307">
        <v>1</v>
      </c>
      <c r="S50" s="470" t="s">
        <v>3285</v>
      </c>
      <c r="T50" s="471" t="s">
        <v>3286</v>
      </c>
      <c r="U50" s="471" t="s">
        <v>3214</v>
      </c>
      <c r="V50" s="471" t="s">
        <v>772</v>
      </c>
      <c r="W50" s="517">
        <v>20862200</v>
      </c>
      <c r="X50" s="517"/>
      <c r="Y50" s="517">
        <v>1595900</v>
      </c>
      <c r="Z50" s="306"/>
      <c r="AA50" s="306"/>
      <c r="AB50" s="306">
        <f t="shared" si="1"/>
        <v>22458100</v>
      </c>
      <c r="AC50" s="306">
        <f t="shared" si="2"/>
        <v>22458100</v>
      </c>
      <c r="AD50" s="306">
        <f t="shared" si="3"/>
        <v>22458100</v>
      </c>
      <c r="AE50" s="306" t="s">
        <v>3287</v>
      </c>
    </row>
    <row r="51" spans="1:31" ht="45">
      <c r="A51" s="215">
        <f t="shared" si="6"/>
        <v>35</v>
      </c>
      <c r="B51" s="225" t="s">
        <v>1717</v>
      </c>
      <c r="C51" s="187" t="s">
        <v>4</v>
      </c>
      <c r="D51" s="42">
        <v>1</v>
      </c>
      <c r="E51" s="143">
        <v>1</v>
      </c>
      <c r="F51" s="143">
        <f t="shared" si="0"/>
        <v>1</v>
      </c>
      <c r="G51" s="220" t="s">
        <v>1721</v>
      </c>
      <c r="H51" s="215">
        <v>3500</v>
      </c>
      <c r="I51" s="215">
        <v>300</v>
      </c>
      <c r="J51" s="189" t="s">
        <v>1677</v>
      </c>
      <c r="K51" s="221">
        <v>55</v>
      </c>
      <c r="L51" s="215">
        <v>1.5</v>
      </c>
      <c r="M51" s="223" t="s">
        <v>1678</v>
      </c>
      <c r="N51" s="215" t="s">
        <v>1657</v>
      </c>
      <c r="O51" s="215" t="s">
        <v>1658</v>
      </c>
      <c r="P51" s="215"/>
      <c r="Q51" s="223"/>
      <c r="R51" s="307">
        <v>1</v>
      </c>
      <c r="S51" s="470" t="s">
        <v>3285</v>
      </c>
      <c r="T51" s="471" t="s">
        <v>3286</v>
      </c>
      <c r="U51" s="471" t="s">
        <v>3214</v>
      </c>
      <c r="V51" s="471" t="s">
        <v>772</v>
      </c>
      <c r="W51" s="517">
        <v>20862200</v>
      </c>
      <c r="X51" s="517"/>
      <c r="Y51" s="517">
        <v>1595900</v>
      </c>
      <c r="Z51" s="306"/>
      <c r="AA51" s="306"/>
      <c r="AB51" s="306">
        <f t="shared" si="1"/>
        <v>22458100</v>
      </c>
      <c r="AC51" s="306">
        <f t="shared" si="2"/>
        <v>22458100</v>
      </c>
      <c r="AD51" s="306">
        <f t="shared" si="3"/>
        <v>22458100</v>
      </c>
      <c r="AE51" s="306" t="s">
        <v>3310</v>
      </c>
    </row>
    <row r="52" spans="1:31" ht="45">
      <c r="A52" s="215">
        <f t="shared" si="6"/>
        <v>36</v>
      </c>
      <c r="B52" s="225" t="s">
        <v>1717</v>
      </c>
      <c r="C52" s="187" t="s">
        <v>4</v>
      </c>
      <c r="D52" s="42">
        <v>1</v>
      </c>
      <c r="E52" s="143">
        <v>1</v>
      </c>
      <c r="F52" s="143">
        <f t="shared" si="0"/>
        <v>1</v>
      </c>
      <c r="G52" s="220" t="s">
        <v>1722</v>
      </c>
      <c r="H52" s="215">
        <v>500</v>
      </c>
      <c r="I52" s="215">
        <v>150</v>
      </c>
      <c r="J52" s="189" t="s">
        <v>1677</v>
      </c>
      <c r="K52" s="221">
        <v>55</v>
      </c>
      <c r="L52" s="215">
        <v>0.55000000000000004</v>
      </c>
      <c r="M52" s="223" t="s">
        <v>1678</v>
      </c>
      <c r="N52" s="215" t="s">
        <v>1657</v>
      </c>
      <c r="O52" s="215" t="s">
        <v>1658</v>
      </c>
      <c r="P52" s="215"/>
      <c r="Q52" s="223"/>
      <c r="R52" s="307">
        <v>1</v>
      </c>
      <c r="S52" s="470" t="s">
        <v>3309</v>
      </c>
      <c r="T52" s="471" t="s">
        <v>3291</v>
      </c>
      <c r="U52" s="471" t="s">
        <v>3214</v>
      </c>
      <c r="V52" s="471" t="s">
        <v>772</v>
      </c>
      <c r="W52" s="517">
        <v>8381500</v>
      </c>
      <c r="X52" s="517"/>
      <c r="Y52" s="517">
        <v>629700</v>
      </c>
      <c r="Z52" s="306"/>
      <c r="AA52" s="306"/>
      <c r="AB52" s="306">
        <f t="shared" si="1"/>
        <v>9011200</v>
      </c>
      <c r="AC52" s="306">
        <f t="shared" si="2"/>
        <v>9011200</v>
      </c>
      <c r="AD52" s="306">
        <f t="shared" si="3"/>
        <v>9011200</v>
      </c>
      <c r="AE52" s="306" t="s">
        <v>3314</v>
      </c>
    </row>
    <row r="53" spans="1:31" ht="30">
      <c r="A53" s="149"/>
      <c r="B53" s="87" t="s">
        <v>1723</v>
      </c>
      <c r="C53" s="228" t="s">
        <v>4</v>
      </c>
      <c r="D53" s="89">
        <v>1</v>
      </c>
      <c r="E53" s="89"/>
      <c r="F53" s="89">
        <v>1</v>
      </c>
      <c r="G53" s="229" t="s">
        <v>1724</v>
      </c>
      <c r="H53" s="230">
        <v>600</v>
      </c>
      <c r="I53" s="230">
        <v>150</v>
      </c>
      <c r="J53" s="189" t="s">
        <v>1677</v>
      </c>
      <c r="K53" s="221">
        <v>55</v>
      </c>
      <c r="L53" s="215">
        <v>0.55000000000000004</v>
      </c>
      <c r="M53" s="223" t="s">
        <v>1678</v>
      </c>
      <c r="N53" s="215" t="s">
        <v>1657</v>
      </c>
      <c r="O53" s="215" t="s">
        <v>1658</v>
      </c>
      <c r="P53" s="149"/>
      <c r="Q53" s="149"/>
      <c r="R53" s="307">
        <v>1</v>
      </c>
      <c r="S53" s="470" t="s">
        <v>3243</v>
      </c>
      <c r="T53" s="471" t="s">
        <v>3221</v>
      </c>
      <c r="U53" s="471" t="s">
        <v>3214</v>
      </c>
      <c r="V53" s="471" t="s">
        <v>772</v>
      </c>
      <c r="W53" s="517">
        <v>14838900</v>
      </c>
      <c r="X53" s="517"/>
      <c r="Y53" s="517">
        <v>2101700</v>
      </c>
      <c r="Z53" s="306"/>
      <c r="AA53" s="306"/>
      <c r="AB53" s="306">
        <f t="shared" si="1"/>
        <v>16940600</v>
      </c>
      <c r="AC53" s="306">
        <f t="shared" si="2"/>
        <v>16940600</v>
      </c>
      <c r="AD53" s="306">
        <f t="shared" si="3"/>
        <v>16940600</v>
      </c>
      <c r="AE53" s="306" t="s">
        <v>3304</v>
      </c>
    </row>
    <row r="54" spans="1:31" ht="15">
      <c r="A54" s="178"/>
      <c r="B54" s="219" t="s">
        <v>540</v>
      </c>
      <c r="C54" s="231"/>
      <c r="D54" s="42"/>
      <c r="E54" s="232"/>
      <c r="F54" s="143">
        <f t="shared" si="0"/>
        <v>0</v>
      </c>
      <c r="G54" s="220"/>
      <c r="H54" s="215"/>
      <c r="I54" s="215"/>
      <c r="J54" s="189"/>
      <c r="K54" s="221"/>
      <c r="L54" s="215"/>
      <c r="M54" s="223"/>
      <c r="N54" s="215"/>
      <c r="O54" s="215"/>
      <c r="P54" s="224"/>
      <c r="Q54" s="223"/>
      <c r="R54" s="307">
        <v>0</v>
      </c>
      <c r="S54" s="470">
        <v>0</v>
      </c>
      <c r="T54" s="471">
        <v>0</v>
      </c>
      <c r="U54" s="471">
        <v>0</v>
      </c>
      <c r="V54" s="471">
        <v>0</v>
      </c>
      <c r="W54" s="517">
        <v>0</v>
      </c>
      <c r="X54" s="517"/>
      <c r="Y54" s="517">
        <v>0</v>
      </c>
      <c r="Z54" s="306"/>
      <c r="AA54" s="306"/>
      <c r="AB54" s="306">
        <f t="shared" si="1"/>
        <v>0</v>
      </c>
      <c r="AC54" s="306">
        <f t="shared" si="2"/>
        <v>0</v>
      </c>
      <c r="AD54" s="306">
        <f t="shared" si="3"/>
        <v>0</v>
      </c>
      <c r="AE54" s="306">
        <v>0</v>
      </c>
    </row>
    <row r="55" spans="1:31" ht="60">
      <c r="A55" s="215">
        <f>A52+1</f>
        <v>37</v>
      </c>
      <c r="B55" s="225" t="s">
        <v>1702</v>
      </c>
      <c r="C55" s="187" t="s">
        <v>4</v>
      </c>
      <c r="D55" s="42">
        <v>1</v>
      </c>
      <c r="E55" s="143">
        <v>1</v>
      </c>
      <c r="F55" s="143">
        <f t="shared" si="0"/>
        <v>1</v>
      </c>
      <c r="G55" s="220" t="s">
        <v>1725</v>
      </c>
      <c r="H55" s="215">
        <v>1300</v>
      </c>
      <c r="I55" s="215">
        <v>150</v>
      </c>
      <c r="J55" s="189" t="s">
        <v>1677</v>
      </c>
      <c r="K55" s="221">
        <v>55</v>
      </c>
      <c r="L55" s="215">
        <v>0.75</v>
      </c>
      <c r="M55" s="223" t="s">
        <v>1656</v>
      </c>
      <c r="N55" s="215" t="s">
        <v>1657</v>
      </c>
      <c r="O55" s="215" t="s">
        <v>1658</v>
      </c>
      <c r="P55" s="215" t="s">
        <v>1670</v>
      </c>
      <c r="Q55" s="620"/>
      <c r="R55" s="307">
        <v>1</v>
      </c>
      <c r="S55" s="470" t="s">
        <v>3296</v>
      </c>
      <c r="T55" s="471" t="s">
        <v>3297</v>
      </c>
      <c r="U55" s="471" t="s">
        <v>3214</v>
      </c>
      <c r="V55" s="471" t="s">
        <v>772</v>
      </c>
      <c r="W55" s="517">
        <v>3972600</v>
      </c>
      <c r="X55" s="517"/>
      <c r="Y55" s="517">
        <v>629700</v>
      </c>
      <c r="Z55" s="306"/>
      <c r="AA55" s="306"/>
      <c r="AB55" s="306">
        <f t="shared" si="1"/>
        <v>4602300</v>
      </c>
      <c r="AC55" s="306">
        <f t="shared" si="2"/>
        <v>4602300</v>
      </c>
      <c r="AD55" s="306">
        <f t="shared" si="3"/>
        <v>4602300</v>
      </c>
      <c r="AE55" s="306" t="s">
        <v>3308</v>
      </c>
    </row>
    <row r="56" spans="1:31" ht="30">
      <c r="A56" s="215">
        <f t="shared" ref="A56:A62" si="7">A55+1</f>
        <v>38</v>
      </c>
      <c r="B56" s="225" t="s">
        <v>1715</v>
      </c>
      <c r="C56" s="187" t="s">
        <v>4</v>
      </c>
      <c r="D56" s="42">
        <v>1</v>
      </c>
      <c r="E56" s="143">
        <v>1</v>
      </c>
      <c r="F56" s="143">
        <f t="shared" si="0"/>
        <v>1</v>
      </c>
      <c r="G56" s="220" t="s">
        <v>1726</v>
      </c>
      <c r="H56" s="215">
        <v>150</v>
      </c>
      <c r="I56" s="215">
        <v>20</v>
      </c>
      <c r="J56" s="189" t="s">
        <v>1655</v>
      </c>
      <c r="K56" s="221">
        <v>55</v>
      </c>
      <c r="L56" s="215">
        <v>0.37</v>
      </c>
      <c r="M56" s="223" t="s">
        <v>1656</v>
      </c>
      <c r="N56" s="215" t="s">
        <v>1657</v>
      </c>
      <c r="O56" s="215" t="s">
        <v>1658</v>
      </c>
      <c r="P56" s="215"/>
      <c r="Q56" s="620"/>
      <c r="R56" s="307">
        <v>1</v>
      </c>
      <c r="S56" s="470" t="s">
        <v>3306</v>
      </c>
      <c r="T56" s="471" t="s">
        <v>3274</v>
      </c>
      <c r="U56" s="471" t="s">
        <v>3214</v>
      </c>
      <c r="V56" s="471" t="s">
        <v>772</v>
      </c>
      <c r="W56" s="517">
        <v>496600</v>
      </c>
      <c r="X56" s="517"/>
      <c r="Y56" s="517">
        <v>676100</v>
      </c>
      <c r="Z56" s="306"/>
      <c r="AA56" s="306"/>
      <c r="AB56" s="306">
        <f t="shared" si="1"/>
        <v>1172700</v>
      </c>
      <c r="AC56" s="306">
        <f t="shared" si="2"/>
        <v>1172700</v>
      </c>
      <c r="AD56" s="306">
        <f t="shared" si="3"/>
        <v>1172700</v>
      </c>
      <c r="AE56" s="306" t="s">
        <v>3307</v>
      </c>
    </row>
    <row r="57" spans="1:31" ht="45">
      <c r="A57" s="215">
        <f t="shared" si="7"/>
        <v>39</v>
      </c>
      <c r="B57" s="225" t="s">
        <v>1727</v>
      </c>
      <c r="C57" s="187" t="s">
        <v>4</v>
      </c>
      <c r="D57" s="42">
        <v>2</v>
      </c>
      <c r="E57" s="143">
        <v>2</v>
      </c>
      <c r="F57" s="143">
        <f t="shared" si="0"/>
        <v>2</v>
      </c>
      <c r="G57" s="220" t="s">
        <v>1728</v>
      </c>
      <c r="H57" s="215">
        <v>2500</v>
      </c>
      <c r="I57" s="215">
        <v>250</v>
      </c>
      <c r="J57" s="189" t="s">
        <v>1677</v>
      </c>
      <c r="K57" s="221">
        <v>55</v>
      </c>
      <c r="L57" s="215">
        <v>1.1000000000000001</v>
      </c>
      <c r="M57" s="223" t="s">
        <v>1678</v>
      </c>
      <c r="N57" s="215" t="s">
        <v>1657</v>
      </c>
      <c r="O57" s="215" t="s">
        <v>1658</v>
      </c>
      <c r="P57" s="215" t="s">
        <v>1670</v>
      </c>
      <c r="Q57" s="223"/>
      <c r="R57" s="307">
        <v>2</v>
      </c>
      <c r="S57" s="470" t="s">
        <v>3290</v>
      </c>
      <c r="T57" s="471" t="s">
        <v>3291</v>
      </c>
      <c r="U57" s="471" t="s">
        <v>3214</v>
      </c>
      <c r="V57" s="471" t="s">
        <v>772</v>
      </c>
      <c r="W57" s="517">
        <v>10009400</v>
      </c>
      <c r="X57" s="517"/>
      <c r="Y57" s="517">
        <v>1050900</v>
      </c>
      <c r="Z57" s="306"/>
      <c r="AA57" s="306"/>
      <c r="AB57" s="306">
        <f t="shared" si="1"/>
        <v>11060300</v>
      </c>
      <c r="AC57" s="306">
        <f t="shared" si="2"/>
        <v>22120600</v>
      </c>
      <c r="AD57" s="306">
        <f t="shared" si="3"/>
        <v>22120600</v>
      </c>
      <c r="AE57" s="306" t="s">
        <v>3313</v>
      </c>
    </row>
    <row r="58" spans="1:31" ht="45">
      <c r="A58" s="215">
        <f t="shared" si="7"/>
        <v>40</v>
      </c>
      <c r="B58" s="225" t="s">
        <v>1727</v>
      </c>
      <c r="C58" s="187" t="s">
        <v>4</v>
      </c>
      <c r="D58" s="42">
        <v>1</v>
      </c>
      <c r="E58" s="143">
        <v>1</v>
      </c>
      <c r="F58" s="143">
        <f t="shared" si="0"/>
        <v>1</v>
      </c>
      <c r="G58" s="220" t="s">
        <v>1729</v>
      </c>
      <c r="H58" s="215">
        <v>3800</v>
      </c>
      <c r="I58" s="215">
        <v>300</v>
      </c>
      <c r="J58" s="189" t="s">
        <v>1677</v>
      </c>
      <c r="K58" s="221">
        <v>55</v>
      </c>
      <c r="L58" s="215">
        <v>1.5</v>
      </c>
      <c r="M58" s="223" t="s">
        <v>1678</v>
      </c>
      <c r="N58" s="215" t="s">
        <v>1657</v>
      </c>
      <c r="O58" s="215" t="s">
        <v>1658</v>
      </c>
      <c r="P58" s="215"/>
      <c r="Q58" s="223"/>
      <c r="R58" s="307">
        <v>1</v>
      </c>
      <c r="S58" s="470" t="s">
        <v>3285</v>
      </c>
      <c r="T58" s="471" t="s">
        <v>3286</v>
      </c>
      <c r="U58" s="471" t="s">
        <v>3214</v>
      </c>
      <c r="V58" s="471" t="s">
        <v>772</v>
      </c>
      <c r="W58" s="517">
        <v>19279500</v>
      </c>
      <c r="X58" s="517"/>
      <c r="Y58" s="517">
        <v>1595900</v>
      </c>
      <c r="Z58" s="306"/>
      <c r="AA58" s="306"/>
      <c r="AB58" s="306">
        <f t="shared" si="1"/>
        <v>20875400</v>
      </c>
      <c r="AC58" s="306">
        <f t="shared" si="2"/>
        <v>20875400</v>
      </c>
      <c r="AD58" s="306">
        <f t="shared" si="3"/>
        <v>20875400</v>
      </c>
      <c r="AE58" s="306" t="s">
        <v>3312</v>
      </c>
    </row>
    <row r="59" spans="1:31" ht="45">
      <c r="A59" s="215">
        <f t="shared" si="7"/>
        <v>41</v>
      </c>
      <c r="B59" s="225" t="s">
        <v>1727</v>
      </c>
      <c r="C59" s="187" t="s">
        <v>4</v>
      </c>
      <c r="D59" s="42">
        <v>1</v>
      </c>
      <c r="E59" s="143">
        <v>1</v>
      </c>
      <c r="F59" s="143">
        <f t="shared" si="0"/>
        <v>1</v>
      </c>
      <c r="G59" s="220" t="s">
        <v>1730</v>
      </c>
      <c r="H59" s="215">
        <v>2000</v>
      </c>
      <c r="I59" s="215">
        <v>200</v>
      </c>
      <c r="J59" s="189" t="s">
        <v>1677</v>
      </c>
      <c r="K59" s="221">
        <v>55</v>
      </c>
      <c r="L59" s="215">
        <v>0.75</v>
      </c>
      <c r="M59" s="223" t="s">
        <v>1656</v>
      </c>
      <c r="N59" s="215" t="s">
        <v>1657</v>
      </c>
      <c r="O59" s="215" t="s">
        <v>1658</v>
      </c>
      <c r="P59" s="215"/>
      <c r="Q59" s="223"/>
      <c r="R59" s="307">
        <v>1</v>
      </c>
      <c r="S59" s="470" t="s">
        <v>3290</v>
      </c>
      <c r="T59" s="471" t="s">
        <v>3291</v>
      </c>
      <c r="U59" s="471" t="s">
        <v>3214</v>
      </c>
      <c r="V59" s="471" t="s">
        <v>772</v>
      </c>
      <c r="W59" s="517">
        <v>9127600</v>
      </c>
      <c r="X59" s="517"/>
      <c r="Y59" s="517">
        <v>629700</v>
      </c>
      <c r="Z59" s="306"/>
      <c r="AA59" s="306"/>
      <c r="AB59" s="306">
        <f t="shared" si="1"/>
        <v>9757300</v>
      </c>
      <c r="AC59" s="306">
        <f t="shared" si="2"/>
        <v>9757300</v>
      </c>
      <c r="AD59" s="306">
        <f t="shared" si="3"/>
        <v>9757300</v>
      </c>
      <c r="AE59" s="306" t="s">
        <v>3311</v>
      </c>
    </row>
    <row r="60" spans="1:31" ht="45">
      <c r="A60" s="215">
        <f t="shared" si="7"/>
        <v>42</v>
      </c>
      <c r="B60" s="225" t="s">
        <v>1727</v>
      </c>
      <c r="C60" s="187" t="s">
        <v>4</v>
      </c>
      <c r="D60" s="42">
        <v>2</v>
      </c>
      <c r="E60" s="143">
        <v>2</v>
      </c>
      <c r="F60" s="143">
        <f t="shared" si="0"/>
        <v>2</v>
      </c>
      <c r="G60" s="220" t="s">
        <v>1731</v>
      </c>
      <c r="H60" s="215">
        <v>4000</v>
      </c>
      <c r="I60" s="215">
        <v>300</v>
      </c>
      <c r="J60" s="189" t="s">
        <v>1677</v>
      </c>
      <c r="K60" s="221">
        <v>55</v>
      </c>
      <c r="L60" s="215">
        <v>0.75</v>
      </c>
      <c r="M60" s="223" t="s">
        <v>1656</v>
      </c>
      <c r="N60" s="215" t="s">
        <v>1657</v>
      </c>
      <c r="O60" s="215" t="s">
        <v>1658</v>
      </c>
      <c r="P60" s="215"/>
      <c r="Q60" s="223"/>
      <c r="R60" s="307">
        <v>2</v>
      </c>
      <c r="S60" s="470" t="s">
        <v>3285</v>
      </c>
      <c r="T60" s="471" t="s">
        <v>3286</v>
      </c>
      <c r="U60" s="471" t="s">
        <v>3214</v>
      </c>
      <c r="V60" s="471" t="s">
        <v>772</v>
      </c>
      <c r="W60" s="517">
        <v>20862200</v>
      </c>
      <c r="X60" s="517"/>
      <c r="Y60" s="517">
        <v>1595900</v>
      </c>
      <c r="Z60" s="306"/>
      <c r="AA60" s="306"/>
      <c r="AB60" s="306">
        <f t="shared" si="1"/>
        <v>22458100</v>
      </c>
      <c r="AC60" s="306">
        <f t="shared" si="2"/>
        <v>44916200</v>
      </c>
      <c r="AD60" s="306">
        <f t="shared" si="3"/>
        <v>44916200</v>
      </c>
      <c r="AE60" s="306" t="s">
        <v>3287</v>
      </c>
    </row>
    <row r="61" spans="1:31" ht="45">
      <c r="A61" s="215">
        <f t="shared" si="7"/>
        <v>43</v>
      </c>
      <c r="B61" s="225" t="s">
        <v>1727</v>
      </c>
      <c r="C61" s="187" t="s">
        <v>4</v>
      </c>
      <c r="D61" s="42">
        <v>1</v>
      </c>
      <c r="E61" s="143">
        <v>1</v>
      </c>
      <c r="F61" s="143">
        <f t="shared" si="0"/>
        <v>1</v>
      </c>
      <c r="G61" s="220" t="s">
        <v>1732</v>
      </c>
      <c r="H61" s="215">
        <v>3500</v>
      </c>
      <c r="I61" s="215">
        <v>300</v>
      </c>
      <c r="J61" s="189" t="s">
        <v>1677</v>
      </c>
      <c r="K61" s="221">
        <v>55</v>
      </c>
      <c r="L61" s="215">
        <v>1.5</v>
      </c>
      <c r="M61" s="223" t="s">
        <v>1678</v>
      </c>
      <c r="N61" s="215" t="s">
        <v>1657</v>
      </c>
      <c r="O61" s="215" t="s">
        <v>1658</v>
      </c>
      <c r="P61" s="215"/>
      <c r="Q61" s="223"/>
      <c r="R61" s="307">
        <v>1</v>
      </c>
      <c r="S61" s="470" t="s">
        <v>3285</v>
      </c>
      <c r="T61" s="471" t="s">
        <v>3286</v>
      </c>
      <c r="U61" s="471" t="s">
        <v>3214</v>
      </c>
      <c r="V61" s="471" t="s">
        <v>772</v>
      </c>
      <c r="W61" s="517">
        <v>20862200</v>
      </c>
      <c r="X61" s="517"/>
      <c r="Y61" s="517">
        <v>1595900</v>
      </c>
      <c r="Z61" s="306"/>
      <c r="AA61" s="306"/>
      <c r="AB61" s="306">
        <f t="shared" si="1"/>
        <v>22458100</v>
      </c>
      <c r="AC61" s="306">
        <f t="shared" si="2"/>
        <v>22458100</v>
      </c>
      <c r="AD61" s="306">
        <f t="shared" si="3"/>
        <v>22458100</v>
      </c>
      <c r="AE61" s="306" t="s">
        <v>3310</v>
      </c>
    </row>
    <row r="62" spans="1:31" ht="45">
      <c r="A62" s="215">
        <f t="shared" si="7"/>
        <v>44</v>
      </c>
      <c r="B62" s="225" t="s">
        <v>1727</v>
      </c>
      <c r="C62" s="187" t="s">
        <v>4</v>
      </c>
      <c r="D62" s="42">
        <v>1</v>
      </c>
      <c r="E62" s="143">
        <v>1</v>
      </c>
      <c r="F62" s="143">
        <f t="shared" si="0"/>
        <v>1</v>
      </c>
      <c r="G62" s="220" t="s">
        <v>1733</v>
      </c>
      <c r="H62" s="215">
        <v>600</v>
      </c>
      <c r="I62" s="215">
        <v>150</v>
      </c>
      <c r="J62" s="189" t="s">
        <v>1677</v>
      </c>
      <c r="K62" s="221">
        <v>55</v>
      </c>
      <c r="L62" s="215">
        <v>1.5</v>
      </c>
      <c r="M62" s="223" t="s">
        <v>1678</v>
      </c>
      <c r="N62" s="215" t="s">
        <v>1657</v>
      </c>
      <c r="O62" s="215" t="s">
        <v>1658</v>
      </c>
      <c r="P62" s="215"/>
      <c r="Q62" s="223"/>
      <c r="R62" s="307">
        <v>1</v>
      </c>
      <c r="S62" s="470" t="s">
        <v>3309</v>
      </c>
      <c r="T62" s="471" t="s">
        <v>3291</v>
      </c>
      <c r="U62" s="471" t="s">
        <v>3214</v>
      </c>
      <c r="V62" s="471" t="s">
        <v>772</v>
      </c>
      <c r="W62" s="517">
        <v>8381500</v>
      </c>
      <c r="X62" s="517"/>
      <c r="Y62" s="517">
        <v>629700</v>
      </c>
      <c r="Z62" s="306"/>
      <c r="AA62" s="306"/>
      <c r="AB62" s="306">
        <f t="shared" si="1"/>
        <v>9011200</v>
      </c>
      <c r="AC62" s="306">
        <f t="shared" si="2"/>
        <v>9011200</v>
      </c>
      <c r="AD62" s="306">
        <f t="shared" si="3"/>
        <v>9011200</v>
      </c>
      <c r="AE62" s="306" t="s">
        <v>3304</v>
      </c>
    </row>
    <row r="63" spans="1:31" ht="15">
      <c r="A63" s="178"/>
      <c r="B63" s="219" t="s">
        <v>541</v>
      </c>
      <c r="C63" s="233"/>
      <c r="D63" s="42"/>
      <c r="E63" s="78"/>
      <c r="F63" s="143">
        <f t="shared" si="0"/>
        <v>0</v>
      </c>
      <c r="G63" s="220"/>
      <c r="H63" s="215"/>
      <c r="I63" s="215"/>
      <c r="J63" s="189"/>
      <c r="K63" s="221"/>
      <c r="L63" s="215"/>
      <c r="M63" s="223"/>
      <c r="N63" s="215"/>
      <c r="O63" s="215"/>
      <c r="P63" s="215"/>
      <c r="Q63" s="223"/>
      <c r="R63" s="307">
        <v>0</v>
      </c>
      <c r="S63" s="470">
        <v>0</v>
      </c>
      <c r="T63" s="471">
        <v>0</v>
      </c>
      <c r="U63" s="471">
        <v>0</v>
      </c>
      <c r="V63" s="471">
        <v>0</v>
      </c>
      <c r="W63" s="517">
        <v>0</v>
      </c>
      <c r="X63" s="517"/>
      <c r="Y63" s="517">
        <v>0</v>
      </c>
      <c r="Z63" s="306"/>
      <c r="AA63" s="306"/>
      <c r="AB63" s="306">
        <f t="shared" si="1"/>
        <v>0</v>
      </c>
      <c r="AC63" s="306">
        <f t="shared" si="2"/>
        <v>0</v>
      </c>
      <c r="AD63" s="306">
        <f t="shared" si="3"/>
        <v>0</v>
      </c>
      <c r="AE63" s="306">
        <v>0</v>
      </c>
    </row>
    <row r="64" spans="1:31" ht="60">
      <c r="A64" s="215">
        <v>45</v>
      </c>
      <c r="B64" s="225" t="s">
        <v>1734</v>
      </c>
      <c r="C64" s="187" t="s">
        <v>4</v>
      </c>
      <c r="D64" s="42">
        <v>1</v>
      </c>
      <c r="E64" s="143">
        <v>1</v>
      </c>
      <c r="F64" s="143">
        <f t="shared" si="0"/>
        <v>1</v>
      </c>
      <c r="G64" s="220" t="s">
        <v>1735</v>
      </c>
      <c r="H64" s="215">
        <v>1300</v>
      </c>
      <c r="I64" s="215">
        <v>150</v>
      </c>
      <c r="J64" s="189" t="s">
        <v>1677</v>
      </c>
      <c r="K64" s="221">
        <v>55</v>
      </c>
      <c r="L64" s="215">
        <v>0.55000000000000004</v>
      </c>
      <c r="M64" s="223" t="s">
        <v>1656</v>
      </c>
      <c r="N64" s="215" t="s">
        <v>1657</v>
      </c>
      <c r="O64" s="215" t="s">
        <v>1658</v>
      </c>
      <c r="P64" s="215"/>
      <c r="Q64" s="223"/>
      <c r="R64" s="307">
        <v>1</v>
      </c>
      <c r="S64" s="470" t="s">
        <v>3296</v>
      </c>
      <c r="T64" s="471" t="s">
        <v>3297</v>
      </c>
      <c r="U64" s="471" t="s">
        <v>3214</v>
      </c>
      <c r="V64" s="471" t="s">
        <v>772</v>
      </c>
      <c r="W64" s="517">
        <v>3972600</v>
      </c>
      <c r="X64" s="517"/>
      <c r="Y64" s="517">
        <v>629700</v>
      </c>
      <c r="Z64" s="306"/>
      <c r="AA64" s="306"/>
      <c r="AB64" s="306">
        <f t="shared" si="1"/>
        <v>4602300</v>
      </c>
      <c r="AC64" s="306">
        <f t="shared" si="2"/>
        <v>4602300</v>
      </c>
      <c r="AD64" s="306">
        <f t="shared" si="3"/>
        <v>4602300</v>
      </c>
      <c r="AE64" s="306" t="s">
        <v>3308</v>
      </c>
    </row>
    <row r="65" spans="1:31" ht="60">
      <c r="A65" s="215">
        <f>A64+1</f>
        <v>46</v>
      </c>
      <c r="B65" s="225" t="s">
        <v>1736</v>
      </c>
      <c r="C65" s="187" t="s">
        <v>4</v>
      </c>
      <c r="D65" s="42">
        <v>1</v>
      </c>
      <c r="E65" s="143">
        <v>1</v>
      </c>
      <c r="F65" s="143">
        <f t="shared" si="0"/>
        <v>1</v>
      </c>
      <c r="G65" s="220" t="s">
        <v>1737</v>
      </c>
      <c r="H65" s="215">
        <v>600</v>
      </c>
      <c r="I65" s="215">
        <v>150</v>
      </c>
      <c r="J65" s="189" t="s">
        <v>1677</v>
      </c>
      <c r="K65" s="221">
        <v>55</v>
      </c>
      <c r="L65" s="215">
        <v>0.55000000000000004</v>
      </c>
      <c r="M65" s="223" t="s">
        <v>1656</v>
      </c>
      <c r="N65" s="215" t="s">
        <v>1657</v>
      </c>
      <c r="O65" s="215" t="s">
        <v>1658</v>
      </c>
      <c r="P65" s="215"/>
      <c r="Q65" s="223"/>
      <c r="R65" s="307">
        <v>1</v>
      </c>
      <c r="S65" s="470" t="s">
        <v>3279</v>
      </c>
      <c r="T65" s="471" t="s">
        <v>3280</v>
      </c>
      <c r="U65" s="471" t="s">
        <v>3214</v>
      </c>
      <c r="V65" s="471" t="s">
        <v>772</v>
      </c>
      <c r="W65" s="517">
        <v>3429900</v>
      </c>
      <c r="X65" s="517"/>
      <c r="Y65" s="517">
        <v>629700</v>
      </c>
      <c r="Z65" s="306"/>
      <c r="AA65" s="306"/>
      <c r="AB65" s="306">
        <f t="shared" si="1"/>
        <v>4059600</v>
      </c>
      <c r="AC65" s="306">
        <f t="shared" si="2"/>
        <v>4059600</v>
      </c>
      <c r="AD65" s="306">
        <f t="shared" si="3"/>
        <v>4059600</v>
      </c>
      <c r="AE65" s="306" t="s">
        <v>3304</v>
      </c>
    </row>
    <row r="66" spans="1:31" ht="30">
      <c r="A66" s="215">
        <f t="shared" ref="A66:A72" si="8">A65+1</f>
        <v>47</v>
      </c>
      <c r="B66" s="225" t="s">
        <v>1715</v>
      </c>
      <c r="C66" s="187" t="s">
        <v>4</v>
      </c>
      <c r="D66" s="42">
        <v>1</v>
      </c>
      <c r="E66" s="143">
        <v>1</v>
      </c>
      <c r="F66" s="143">
        <f t="shared" si="0"/>
        <v>1</v>
      </c>
      <c r="G66" s="220" t="s">
        <v>1738</v>
      </c>
      <c r="H66" s="215">
        <v>150</v>
      </c>
      <c r="I66" s="215">
        <v>20</v>
      </c>
      <c r="J66" s="189" t="s">
        <v>1655</v>
      </c>
      <c r="K66" s="221">
        <v>55</v>
      </c>
      <c r="L66" s="215">
        <v>0.37</v>
      </c>
      <c r="M66" s="223" t="s">
        <v>1656</v>
      </c>
      <c r="N66" s="215" t="s">
        <v>1657</v>
      </c>
      <c r="O66" s="215" t="s">
        <v>1658</v>
      </c>
      <c r="P66" s="215"/>
      <c r="Q66" s="223"/>
      <c r="R66" s="307">
        <v>1</v>
      </c>
      <c r="S66" s="470" t="s">
        <v>3306</v>
      </c>
      <c r="T66" s="471" t="s">
        <v>3274</v>
      </c>
      <c r="U66" s="471" t="s">
        <v>3214</v>
      </c>
      <c r="V66" s="471" t="s">
        <v>772</v>
      </c>
      <c r="W66" s="517">
        <v>496600</v>
      </c>
      <c r="X66" s="517"/>
      <c r="Y66" s="517">
        <v>676100</v>
      </c>
      <c r="Z66" s="306"/>
      <c r="AA66" s="306"/>
      <c r="AB66" s="306">
        <f t="shared" si="1"/>
        <v>1172700</v>
      </c>
      <c r="AC66" s="306">
        <f t="shared" si="2"/>
        <v>1172700</v>
      </c>
      <c r="AD66" s="306">
        <f t="shared" si="3"/>
        <v>1172700</v>
      </c>
      <c r="AE66" s="306" t="s">
        <v>3307</v>
      </c>
    </row>
    <row r="67" spans="1:31" ht="45">
      <c r="A67" s="215">
        <f t="shared" si="8"/>
        <v>48</v>
      </c>
      <c r="B67" s="225" t="s">
        <v>1715</v>
      </c>
      <c r="C67" s="187" t="s">
        <v>4</v>
      </c>
      <c r="D67" s="42">
        <v>3</v>
      </c>
      <c r="E67" s="143">
        <v>3</v>
      </c>
      <c r="F67" s="143">
        <f t="shared" si="0"/>
        <v>3</v>
      </c>
      <c r="G67" s="220" t="s">
        <v>1739</v>
      </c>
      <c r="H67" s="215">
        <v>1000</v>
      </c>
      <c r="I67" s="215">
        <v>50</v>
      </c>
      <c r="J67" s="189" t="s">
        <v>1655</v>
      </c>
      <c r="K67" s="221">
        <v>55</v>
      </c>
      <c r="L67" s="215">
        <v>0.37</v>
      </c>
      <c r="M67" s="223" t="s">
        <v>1656</v>
      </c>
      <c r="N67" s="215" t="s">
        <v>1657</v>
      </c>
      <c r="O67" s="215" t="s">
        <v>1658</v>
      </c>
      <c r="P67" s="215"/>
      <c r="Q67" s="223"/>
      <c r="R67" s="307">
        <v>3</v>
      </c>
      <c r="S67" s="470" t="s">
        <v>3282</v>
      </c>
      <c r="T67" s="471" t="s">
        <v>3274</v>
      </c>
      <c r="U67" s="471" t="s">
        <v>3214</v>
      </c>
      <c r="V67" s="471" t="s">
        <v>772</v>
      </c>
      <c r="W67" s="517">
        <v>591600</v>
      </c>
      <c r="X67" s="517"/>
      <c r="Y67" s="517">
        <v>1317900</v>
      </c>
      <c r="Z67" s="306"/>
      <c r="AA67" s="306"/>
      <c r="AB67" s="306">
        <f t="shared" si="1"/>
        <v>1909500</v>
      </c>
      <c r="AC67" s="306">
        <f t="shared" si="2"/>
        <v>5728500</v>
      </c>
      <c r="AD67" s="306">
        <f t="shared" si="3"/>
        <v>5728500</v>
      </c>
      <c r="AE67" s="306" t="s">
        <v>3305</v>
      </c>
    </row>
    <row r="68" spans="1:31" ht="60">
      <c r="A68" s="215">
        <f t="shared" si="8"/>
        <v>49</v>
      </c>
      <c r="B68" s="225" t="s">
        <v>1740</v>
      </c>
      <c r="C68" s="187" t="s">
        <v>4</v>
      </c>
      <c r="D68" s="42">
        <v>1</v>
      </c>
      <c r="E68" s="143">
        <v>1</v>
      </c>
      <c r="F68" s="143">
        <f t="shared" si="0"/>
        <v>1</v>
      </c>
      <c r="G68" s="220" t="s">
        <v>1741</v>
      </c>
      <c r="H68" s="215">
        <v>600</v>
      </c>
      <c r="I68" s="215">
        <v>150</v>
      </c>
      <c r="J68" s="189" t="s">
        <v>1677</v>
      </c>
      <c r="K68" s="221">
        <v>55</v>
      </c>
      <c r="L68" s="215">
        <v>0.37</v>
      </c>
      <c r="M68" s="223" t="s">
        <v>1678</v>
      </c>
      <c r="N68" s="215" t="s">
        <v>1657</v>
      </c>
      <c r="O68" s="215" t="s">
        <v>1658</v>
      </c>
      <c r="P68" s="215"/>
      <c r="Q68" s="223"/>
      <c r="R68" s="307">
        <v>1</v>
      </c>
      <c r="S68" s="470" t="s">
        <v>3279</v>
      </c>
      <c r="T68" s="471" t="s">
        <v>3280</v>
      </c>
      <c r="U68" s="471" t="s">
        <v>3214</v>
      </c>
      <c r="V68" s="471" t="s">
        <v>772</v>
      </c>
      <c r="W68" s="517">
        <v>3429900</v>
      </c>
      <c r="X68" s="517"/>
      <c r="Y68" s="517">
        <v>629700</v>
      </c>
      <c r="Z68" s="306"/>
      <c r="AA68" s="306"/>
      <c r="AB68" s="306">
        <f t="shared" si="1"/>
        <v>4059600</v>
      </c>
      <c r="AC68" s="306">
        <f t="shared" si="2"/>
        <v>4059600</v>
      </c>
      <c r="AD68" s="306">
        <f t="shared" si="3"/>
        <v>4059600</v>
      </c>
      <c r="AE68" s="306" t="s">
        <v>3304</v>
      </c>
    </row>
    <row r="69" spans="1:31" ht="45">
      <c r="A69" s="215">
        <f t="shared" si="8"/>
        <v>50</v>
      </c>
      <c r="B69" s="225" t="s">
        <v>1740</v>
      </c>
      <c r="C69" s="187" t="s">
        <v>4</v>
      </c>
      <c r="D69" s="42">
        <v>1</v>
      </c>
      <c r="E69" s="143">
        <v>1</v>
      </c>
      <c r="F69" s="143">
        <f t="shared" si="0"/>
        <v>1</v>
      </c>
      <c r="G69" s="220" t="s">
        <v>1742</v>
      </c>
      <c r="H69" s="215">
        <v>2200</v>
      </c>
      <c r="I69" s="215">
        <v>250</v>
      </c>
      <c r="J69" s="189" t="s">
        <v>1677</v>
      </c>
      <c r="K69" s="221">
        <v>55</v>
      </c>
      <c r="L69" s="215">
        <v>1.1000000000000001</v>
      </c>
      <c r="M69" s="223" t="s">
        <v>1678</v>
      </c>
      <c r="N69" s="215" t="s">
        <v>1657</v>
      </c>
      <c r="O69" s="215" t="s">
        <v>1658</v>
      </c>
      <c r="P69" s="215"/>
      <c r="Q69" s="223"/>
      <c r="R69" s="307">
        <v>1</v>
      </c>
      <c r="S69" s="470" t="s">
        <v>3290</v>
      </c>
      <c r="T69" s="471" t="s">
        <v>3221</v>
      </c>
      <c r="U69" s="471" t="s">
        <v>3214</v>
      </c>
      <c r="V69" s="471" t="s">
        <v>772</v>
      </c>
      <c r="W69" s="517">
        <v>10009400</v>
      </c>
      <c r="X69" s="517"/>
      <c r="Y69" s="517">
        <v>1050900</v>
      </c>
      <c r="Z69" s="306"/>
      <c r="AA69" s="306"/>
      <c r="AB69" s="306">
        <f t="shared" si="1"/>
        <v>11060300</v>
      </c>
      <c r="AC69" s="306">
        <f t="shared" si="2"/>
        <v>11060300</v>
      </c>
      <c r="AD69" s="306">
        <f t="shared" si="3"/>
        <v>11060300</v>
      </c>
      <c r="AE69" s="306" t="s">
        <v>3303</v>
      </c>
    </row>
    <row r="70" spans="1:31" ht="45">
      <c r="A70" s="215">
        <f t="shared" si="8"/>
        <v>51</v>
      </c>
      <c r="B70" s="225" t="s">
        <v>1740</v>
      </c>
      <c r="C70" s="187" t="s">
        <v>4</v>
      </c>
      <c r="D70" s="42">
        <v>1</v>
      </c>
      <c r="E70" s="143">
        <v>1</v>
      </c>
      <c r="F70" s="143">
        <f t="shared" si="0"/>
        <v>1</v>
      </c>
      <c r="G70" s="220" t="s">
        <v>1743</v>
      </c>
      <c r="H70" s="215">
        <v>4500</v>
      </c>
      <c r="I70" s="215">
        <v>300</v>
      </c>
      <c r="J70" s="189" t="s">
        <v>1677</v>
      </c>
      <c r="K70" s="221">
        <v>55</v>
      </c>
      <c r="L70" s="215">
        <v>1.5</v>
      </c>
      <c r="M70" s="223" t="s">
        <v>1678</v>
      </c>
      <c r="N70" s="215" t="s">
        <v>1657</v>
      </c>
      <c r="O70" s="215" t="s">
        <v>1658</v>
      </c>
      <c r="P70" s="215"/>
      <c r="Q70" s="223"/>
      <c r="R70" s="307">
        <v>1</v>
      </c>
      <c r="S70" s="470" t="s">
        <v>3285</v>
      </c>
      <c r="T70" s="471" t="s">
        <v>3286</v>
      </c>
      <c r="U70" s="471" t="s">
        <v>3214</v>
      </c>
      <c r="V70" s="471" t="s">
        <v>772</v>
      </c>
      <c r="W70" s="517">
        <v>21075000</v>
      </c>
      <c r="X70" s="517"/>
      <c r="Y70" s="517">
        <v>2101700</v>
      </c>
      <c r="Z70" s="306"/>
      <c r="AA70" s="306"/>
      <c r="AB70" s="306">
        <f t="shared" si="1"/>
        <v>23176700</v>
      </c>
      <c r="AC70" s="306">
        <f t="shared" si="2"/>
        <v>23176700</v>
      </c>
      <c r="AD70" s="306">
        <f t="shared" si="3"/>
        <v>23176700</v>
      </c>
      <c r="AE70" s="306" t="s">
        <v>3289</v>
      </c>
    </row>
    <row r="71" spans="1:31" ht="45">
      <c r="A71" s="215">
        <f t="shared" si="8"/>
        <v>52</v>
      </c>
      <c r="B71" s="225" t="s">
        <v>1740</v>
      </c>
      <c r="C71" s="187" t="s">
        <v>4</v>
      </c>
      <c r="D71" s="42">
        <v>1</v>
      </c>
      <c r="E71" s="143">
        <v>1</v>
      </c>
      <c r="F71" s="143">
        <f t="shared" si="0"/>
        <v>1</v>
      </c>
      <c r="G71" s="220" t="s">
        <v>1744</v>
      </c>
      <c r="H71" s="215">
        <v>6500</v>
      </c>
      <c r="I71" s="215">
        <v>300</v>
      </c>
      <c r="J71" s="189" t="s">
        <v>1677</v>
      </c>
      <c r="K71" s="221">
        <v>55</v>
      </c>
      <c r="L71" s="215">
        <v>1.5</v>
      </c>
      <c r="M71" s="223" t="s">
        <v>1678</v>
      </c>
      <c r="N71" s="215" t="s">
        <v>1657</v>
      </c>
      <c r="O71" s="215" t="s">
        <v>1658</v>
      </c>
      <c r="P71" s="215"/>
      <c r="Q71" s="223"/>
      <c r="R71" s="307">
        <v>1</v>
      </c>
      <c r="S71" s="470" t="s">
        <v>3243</v>
      </c>
      <c r="T71" s="471" t="s">
        <v>3221</v>
      </c>
      <c r="U71" s="471" t="s">
        <v>3214</v>
      </c>
      <c r="V71" s="471" t="s">
        <v>772</v>
      </c>
      <c r="W71" s="517">
        <v>15051700</v>
      </c>
      <c r="X71" s="517"/>
      <c r="Y71" s="517">
        <v>2776700</v>
      </c>
      <c r="Z71" s="306"/>
      <c r="AA71" s="306"/>
      <c r="AB71" s="306">
        <f t="shared" si="1"/>
        <v>17828400</v>
      </c>
      <c r="AC71" s="306">
        <f t="shared" si="2"/>
        <v>17828400</v>
      </c>
      <c r="AD71" s="306">
        <f t="shared" si="3"/>
        <v>17828400</v>
      </c>
      <c r="AE71" s="306" t="s">
        <v>3288</v>
      </c>
    </row>
    <row r="72" spans="1:31" ht="45">
      <c r="A72" s="215">
        <f t="shared" si="8"/>
        <v>53</v>
      </c>
      <c r="B72" s="225" t="s">
        <v>1740</v>
      </c>
      <c r="C72" s="187" t="s">
        <v>4</v>
      </c>
      <c r="D72" s="42">
        <v>1</v>
      </c>
      <c r="E72" s="143">
        <v>1</v>
      </c>
      <c r="F72" s="143">
        <f t="shared" si="0"/>
        <v>1</v>
      </c>
      <c r="G72" s="220" t="s">
        <v>1745</v>
      </c>
      <c r="H72" s="215">
        <v>5000</v>
      </c>
      <c r="I72" s="215">
        <v>350</v>
      </c>
      <c r="J72" s="189" t="s">
        <v>1677</v>
      </c>
      <c r="K72" s="221">
        <v>55</v>
      </c>
      <c r="L72" s="215">
        <v>1.5</v>
      </c>
      <c r="M72" s="223" t="s">
        <v>1678</v>
      </c>
      <c r="N72" s="215" t="s">
        <v>1657</v>
      </c>
      <c r="O72" s="215" t="s">
        <v>1658</v>
      </c>
      <c r="P72" s="215"/>
      <c r="Q72" s="223"/>
      <c r="R72" s="307">
        <v>1</v>
      </c>
      <c r="S72" s="470" t="s">
        <v>3285</v>
      </c>
      <c r="T72" s="471" t="s">
        <v>3286</v>
      </c>
      <c r="U72" s="471" t="s">
        <v>3214</v>
      </c>
      <c r="V72" s="471" t="s">
        <v>772</v>
      </c>
      <c r="W72" s="517">
        <v>21075000</v>
      </c>
      <c r="X72" s="517"/>
      <c r="Y72" s="517">
        <v>2101700</v>
      </c>
      <c r="Z72" s="306"/>
      <c r="AA72" s="306"/>
      <c r="AB72" s="306">
        <f t="shared" si="1"/>
        <v>23176700</v>
      </c>
      <c r="AC72" s="306">
        <f t="shared" si="2"/>
        <v>23176700</v>
      </c>
      <c r="AD72" s="306">
        <f t="shared" si="3"/>
        <v>23176700</v>
      </c>
      <c r="AE72" s="306" t="s">
        <v>3302</v>
      </c>
    </row>
    <row r="73" spans="1:31" ht="15">
      <c r="A73" s="178"/>
      <c r="B73" s="219" t="s">
        <v>542</v>
      </c>
      <c r="C73" s="233"/>
      <c r="D73" s="42"/>
      <c r="E73" s="78"/>
      <c r="F73" s="143">
        <f t="shared" si="0"/>
        <v>0</v>
      </c>
      <c r="G73" s="220"/>
      <c r="H73" s="215"/>
      <c r="I73" s="215"/>
      <c r="J73" s="189"/>
      <c r="K73" s="221"/>
      <c r="L73" s="215"/>
      <c r="M73" s="223"/>
      <c r="N73" s="215"/>
      <c r="O73" s="215"/>
      <c r="P73" s="224"/>
      <c r="Q73" s="223"/>
      <c r="R73" s="307">
        <v>0</v>
      </c>
      <c r="S73" s="470">
        <v>0</v>
      </c>
      <c r="T73" s="471">
        <v>0</v>
      </c>
      <c r="U73" s="471">
        <v>0</v>
      </c>
      <c r="V73" s="471">
        <v>0</v>
      </c>
      <c r="W73" s="517">
        <v>0</v>
      </c>
      <c r="X73" s="517"/>
      <c r="Y73" s="517">
        <v>0</v>
      </c>
      <c r="Z73" s="306"/>
      <c r="AA73" s="306"/>
      <c r="AB73" s="306">
        <f t="shared" si="1"/>
        <v>0</v>
      </c>
      <c r="AC73" s="306">
        <f t="shared" si="2"/>
        <v>0</v>
      </c>
      <c r="AD73" s="306">
        <f t="shared" si="3"/>
        <v>0</v>
      </c>
      <c r="AE73" s="306">
        <v>0</v>
      </c>
    </row>
    <row r="74" spans="1:31" ht="60">
      <c r="A74" s="215">
        <v>50</v>
      </c>
      <c r="B74" s="225" t="s">
        <v>1734</v>
      </c>
      <c r="C74" s="187" t="s">
        <v>4</v>
      </c>
      <c r="D74" s="42">
        <v>1</v>
      </c>
      <c r="E74" s="143">
        <v>1</v>
      </c>
      <c r="F74" s="143">
        <f t="shared" si="0"/>
        <v>1</v>
      </c>
      <c r="G74" s="220" t="s">
        <v>1746</v>
      </c>
      <c r="H74" s="215">
        <v>1300</v>
      </c>
      <c r="I74" s="215">
        <v>250</v>
      </c>
      <c r="J74" s="189" t="s">
        <v>1677</v>
      </c>
      <c r="K74" s="221">
        <v>55</v>
      </c>
      <c r="L74" s="215">
        <v>0.75</v>
      </c>
      <c r="M74" s="223" t="s">
        <v>1656</v>
      </c>
      <c r="N74" s="215" t="s">
        <v>1657</v>
      </c>
      <c r="O74" s="215" t="s">
        <v>1658</v>
      </c>
      <c r="P74" s="224"/>
      <c r="Q74" s="223"/>
      <c r="R74" s="307">
        <v>1</v>
      </c>
      <c r="S74" s="470" t="s">
        <v>3296</v>
      </c>
      <c r="T74" s="471" t="s">
        <v>3297</v>
      </c>
      <c r="U74" s="471" t="s">
        <v>3214</v>
      </c>
      <c r="V74" s="471" t="s">
        <v>772</v>
      </c>
      <c r="W74" s="517">
        <v>3972600</v>
      </c>
      <c r="X74" s="517"/>
      <c r="Y74" s="517">
        <v>629700</v>
      </c>
      <c r="Z74" s="306"/>
      <c r="AA74" s="306"/>
      <c r="AB74" s="306">
        <f t="shared" si="1"/>
        <v>4602300</v>
      </c>
      <c r="AC74" s="306">
        <f t="shared" si="2"/>
        <v>4602300</v>
      </c>
      <c r="AD74" s="306">
        <f t="shared" si="3"/>
        <v>4602300</v>
      </c>
      <c r="AE74" s="306" t="s">
        <v>3301</v>
      </c>
    </row>
    <row r="75" spans="1:31" ht="45">
      <c r="A75" s="215">
        <f>A74+1</f>
        <v>51</v>
      </c>
      <c r="B75" s="225" t="s">
        <v>1736</v>
      </c>
      <c r="C75" s="187" t="s">
        <v>4</v>
      </c>
      <c r="D75" s="42">
        <v>1</v>
      </c>
      <c r="E75" s="143">
        <v>1</v>
      </c>
      <c r="F75" s="143">
        <f t="shared" si="0"/>
        <v>1</v>
      </c>
      <c r="G75" s="220" t="s">
        <v>1747</v>
      </c>
      <c r="H75" s="215">
        <v>2000</v>
      </c>
      <c r="I75" s="215">
        <v>250</v>
      </c>
      <c r="J75" s="189" t="s">
        <v>1677</v>
      </c>
      <c r="K75" s="221">
        <v>55</v>
      </c>
      <c r="L75" s="215">
        <v>0.75</v>
      </c>
      <c r="M75" s="223" t="s">
        <v>1656</v>
      </c>
      <c r="N75" s="215" t="s">
        <v>1657</v>
      </c>
      <c r="O75" s="215" t="s">
        <v>1658</v>
      </c>
      <c r="P75" s="224"/>
      <c r="Q75" s="223"/>
      <c r="R75" s="307">
        <v>1</v>
      </c>
      <c r="S75" s="470" t="s">
        <v>3290</v>
      </c>
      <c r="T75" s="471" t="s">
        <v>3291</v>
      </c>
      <c r="U75" s="471" t="s">
        <v>3214</v>
      </c>
      <c r="V75" s="471" t="s">
        <v>772</v>
      </c>
      <c r="W75" s="517">
        <v>10009400</v>
      </c>
      <c r="X75" s="517"/>
      <c r="Y75" s="517">
        <v>1050900</v>
      </c>
      <c r="Z75" s="306"/>
      <c r="AA75" s="306"/>
      <c r="AB75" s="306">
        <f t="shared" si="1"/>
        <v>11060300</v>
      </c>
      <c r="AC75" s="306">
        <f t="shared" si="2"/>
        <v>11060300</v>
      </c>
      <c r="AD75" s="306">
        <f t="shared" si="3"/>
        <v>11060300</v>
      </c>
      <c r="AE75" s="306" t="s">
        <v>3300</v>
      </c>
    </row>
    <row r="76" spans="1:31" ht="60">
      <c r="A76" s="215">
        <f t="shared" ref="A76:A84" si="9">A75+1</f>
        <v>52</v>
      </c>
      <c r="B76" s="225" t="s">
        <v>1748</v>
      </c>
      <c r="C76" s="187" t="s">
        <v>4</v>
      </c>
      <c r="D76" s="42">
        <v>1</v>
      </c>
      <c r="E76" s="143">
        <v>1</v>
      </c>
      <c r="F76" s="143">
        <f t="shared" si="0"/>
        <v>1</v>
      </c>
      <c r="G76" s="220" t="s">
        <v>1749</v>
      </c>
      <c r="H76" s="215">
        <v>750</v>
      </c>
      <c r="I76" s="215">
        <v>250</v>
      </c>
      <c r="J76" s="189" t="s">
        <v>1677</v>
      </c>
      <c r="K76" s="221">
        <v>55</v>
      </c>
      <c r="L76" s="215">
        <v>0.37</v>
      </c>
      <c r="M76" s="223" t="s">
        <v>1656</v>
      </c>
      <c r="N76" s="215" t="s">
        <v>1657</v>
      </c>
      <c r="O76" s="215" t="s">
        <v>1658</v>
      </c>
      <c r="P76" s="224"/>
      <c r="Q76" s="223"/>
      <c r="R76" s="307">
        <v>1</v>
      </c>
      <c r="S76" s="470" t="s">
        <v>3279</v>
      </c>
      <c r="T76" s="471" t="s">
        <v>3280</v>
      </c>
      <c r="U76" s="471" t="s">
        <v>3214</v>
      </c>
      <c r="V76" s="471" t="s">
        <v>772</v>
      </c>
      <c r="W76" s="517">
        <v>3429900</v>
      </c>
      <c r="X76" s="517"/>
      <c r="Y76" s="517">
        <v>629700</v>
      </c>
      <c r="Z76" s="306"/>
      <c r="AA76" s="306"/>
      <c r="AB76" s="306">
        <f t="shared" si="1"/>
        <v>4059600</v>
      </c>
      <c r="AC76" s="306">
        <f t="shared" si="2"/>
        <v>4059600</v>
      </c>
      <c r="AD76" s="306">
        <f t="shared" si="3"/>
        <v>4059600</v>
      </c>
      <c r="AE76" s="306" t="s">
        <v>3299</v>
      </c>
    </row>
    <row r="77" spans="1:31" ht="60">
      <c r="A77" s="215">
        <f t="shared" si="9"/>
        <v>53</v>
      </c>
      <c r="B77" s="225" t="s">
        <v>1750</v>
      </c>
      <c r="C77" s="187" t="s">
        <v>4</v>
      </c>
      <c r="D77" s="42">
        <v>1</v>
      </c>
      <c r="E77" s="143">
        <v>1</v>
      </c>
      <c r="F77" s="143">
        <f t="shared" si="0"/>
        <v>1</v>
      </c>
      <c r="G77" s="220" t="s">
        <v>1751</v>
      </c>
      <c r="H77" s="215">
        <v>1200</v>
      </c>
      <c r="I77" s="215">
        <v>250</v>
      </c>
      <c r="J77" s="189" t="s">
        <v>1677</v>
      </c>
      <c r="K77" s="221">
        <v>55</v>
      </c>
      <c r="L77" s="215">
        <v>0.75</v>
      </c>
      <c r="M77" s="223" t="s">
        <v>1656</v>
      </c>
      <c r="N77" s="215" t="s">
        <v>1657</v>
      </c>
      <c r="O77" s="215" t="s">
        <v>1658</v>
      </c>
      <c r="P77" s="224"/>
      <c r="Q77" s="223"/>
      <c r="R77" s="307">
        <v>1</v>
      </c>
      <c r="S77" s="470" t="s">
        <v>3296</v>
      </c>
      <c r="T77" s="471" t="s">
        <v>3297</v>
      </c>
      <c r="U77" s="471" t="s">
        <v>3214</v>
      </c>
      <c r="V77" s="471" t="s">
        <v>772</v>
      </c>
      <c r="W77" s="517">
        <v>3972600</v>
      </c>
      <c r="X77" s="517"/>
      <c r="Y77" s="517">
        <v>629700</v>
      </c>
      <c r="Z77" s="306"/>
      <c r="AA77" s="306"/>
      <c r="AB77" s="306">
        <f t="shared" si="1"/>
        <v>4602300</v>
      </c>
      <c r="AC77" s="306">
        <f t="shared" si="2"/>
        <v>4602300</v>
      </c>
      <c r="AD77" s="306">
        <f t="shared" si="3"/>
        <v>4602300</v>
      </c>
      <c r="AE77" s="306" t="s">
        <v>3298</v>
      </c>
    </row>
    <row r="78" spans="1:31" ht="60">
      <c r="A78" s="215">
        <f t="shared" si="9"/>
        <v>54</v>
      </c>
      <c r="B78" s="225" t="s">
        <v>1752</v>
      </c>
      <c r="C78" s="187" t="s">
        <v>4</v>
      </c>
      <c r="D78" s="42">
        <v>1</v>
      </c>
      <c r="E78" s="143">
        <v>1</v>
      </c>
      <c r="F78" s="143">
        <f t="shared" si="0"/>
        <v>1</v>
      </c>
      <c r="G78" s="220" t="s">
        <v>1753</v>
      </c>
      <c r="H78" s="215">
        <v>700</v>
      </c>
      <c r="I78" s="215">
        <v>250</v>
      </c>
      <c r="J78" s="189" t="s">
        <v>1677</v>
      </c>
      <c r="K78" s="221">
        <v>55</v>
      </c>
      <c r="L78" s="215">
        <v>0.37</v>
      </c>
      <c r="M78" s="223" t="s">
        <v>1656</v>
      </c>
      <c r="N78" s="215" t="s">
        <v>1657</v>
      </c>
      <c r="O78" s="215" t="s">
        <v>1658</v>
      </c>
      <c r="P78" s="224"/>
      <c r="Q78" s="223"/>
      <c r="R78" s="307">
        <v>1</v>
      </c>
      <c r="S78" s="470" t="s">
        <v>3279</v>
      </c>
      <c r="T78" s="471" t="s">
        <v>3280</v>
      </c>
      <c r="U78" s="471" t="s">
        <v>3214</v>
      </c>
      <c r="V78" s="471" t="s">
        <v>772</v>
      </c>
      <c r="W78" s="517">
        <v>3429900</v>
      </c>
      <c r="X78" s="517"/>
      <c r="Y78" s="517">
        <v>629700</v>
      </c>
      <c r="Z78" s="306"/>
      <c r="AA78" s="306"/>
      <c r="AB78" s="306">
        <f t="shared" ref="AB78:AB100" si="10">+W78+X78+Y78+Z78+AA78</f>
        <v>4059600</v>
      </c>
      <c r="AC78" s="306">
        <f t="shared" ref="AC78:AC100" si="11">+AB78*F78</f>
        <v>4059600</v>
      </c>
      <c r="AD78" s="306">
        <f t="shared" ref="AD78:AD100" si="12">+AB78*R78</f>
        <v>4059600</v>
      </c>
      <c r="AE78" s="306" t="s">
        <v>3295</v>
      </c>
    </row>
    <row r="79" spans="1:31" ht="45">
      <c r="A79" s="215">
        <f t="shared" si="9"/>
        <v>55</v>
      </c>
      <c r="B79" s="225" t="s">
        <v>1754</v>
      </c>
      <c r="C79" s="187" t="s">
        <v>4</v>
      </c>
      <c r="D79" s="42">
        <v>1</v>
      </c>
      <c r="E79" s="143">
        <v>1</v>
      </c>
      <c r="F79" s="143">
        <f t="shared" ref="F79:F142" si="13">E79</f>
        <v>1</v>
      </c>
      <c r="G79" s="220" t="s">
        <v>1755</v>
      </c>
      <c r="H79" s="215">
        <v>9500</v>
      </c>
      <c r="I79" s="215">
        <v>300</v>
      </c>
      <c r="J79" s="189" t="s">
        <v>1677</v>
      </c>
      <c r="K79" s="221">
        <v>55</v>
      </c>
      <c r="L79" s="215">
        <v>4</v>
      </c>
      <c r="M79" s="223" t="s">
        <v>1678</v>
      </c>
      <c r="N79" s="215" t="s">
        <v>1657</v>
      </c>
      <c r="O79" s="215" t="s">
        <v>1658</v>
      </c>
      <c r="P79" s="224"/>
      <c r="Q79" s="223"/>
      <c r="R79" s="307">
        <v>1</v>
      </c>
      <c r="S79" s="470" t="s">
        <v>3293</v>
      </c>
      <c r="T79" s="471" t="s">
        <v>3221</v>
      </c>
      <c r="U79" s="471" t="s">
        <v>3214</v>
      </c>
      <c r="V79" s="471" t="s">
        <v>772</v>
      </c>
      <c r="W79" s="517">
        <v>19121500</v>
      </c>
      <c r="X79" s="517"/>
      <c r="Y79" s="517">
        <v>3182700</v>
      </c>
      <c r="Z79" s="306"/>
      <c r="AA79" s="306"/>
      <c r="AB79" s="306">
        <f t="shared" si="10"/>
        <v>22304200</v>
      </c>
      <c r="AC79" s="306">
        <f t="shared" si="11"/>
        <v>22304200</v>
      </c>
      <c r="AD79" s="306">
        <f t="shared" si="12"/>
        <v>22304200</v>
      </c>
      <c r="AE79" s="306" t="s">
        <v>3294</v>
      </c>
    </row>
    <row r="80" spans="1:31" ht="45">
      <c r="A80" s="215">
        <f t="shared" si="9"/>
        <v>56</v>
      </c>
      <c r="B80" s="225" t="s">
        <v>1756</v>
      </c>
      <c r="C80" s="187" t="s">
        <v>4</v>
      </c>
      <c r="D80" s="42">
        <v>1</v>
      </c>
      <c r="E80" s="143">
        <v>1</v>
      </c>
      <c r="F80" s="143">
        <f t="shared" si="13"/>
        <v>1</v>
      </c>
      <c r="G80" s="220" t="s">
        <v>1757</v>
      </c>
      <c r="H80" s="215">
        <v>2200</v>
      </c>
      <c r="I80" s="215">
        <v>300</v>
      </c>
      <c r="J80" s="189" t="s">
        <v>1677</v>
      </c>
      <c r="K80" s="221">
        <v>55</v>
      </c>
      <c r="L80" s="215">
        <v>1.1000000000000001</v>
      </c>
      <c r="M80" s="223" t="s">
        <v>1678</v>
      </c>
      <c r="N80" s="215" t="s">
        <v>1657</v>
      </c>
      <c r="O80" s="215" t="s">
        <v>1658</v>
      </c>
      <c r="P80" s="215" t="s">
        <v>1670</v>
      </c>
      <c r="Q80" s="223"/>
      <c r="R80" s="307">
        <v>1</v>
      </c>
      <c r="S80" s="470" t="s">
        <v>3290</v>
      </c>
      <c r="T80" s="471" t="s">
        <v>3291</v>
      </c>
      <c r="U80" s="471" t="s">
        <v>3214</v>
      </c>
      <c r="V80" s="471" t="s">
        <v>772</v>
      </c>
      <c r="W80" s="517">
        <v>10009400</v>
      </c>
      <c r="X80" s="517"/>
      <c r="Y80" s="517">
        <v>1050900</v>
      </c>
      <c r="Z80" s="306"/>
      <c r="AA80" s="306"/>
      <c r="AB80" s="306">
        <f t="shared" si="10"/>
        <v>11060300</v>
      </c>
      <c r="AC80" s="306">
        <f t="shared" si="11"/>
        <v>11060300</v>
      </c>
      <c r="AD80" s="306">
        <f t="shared" si="12"/>
        <v>11060300</v>
      </c>
      <c r="AE80" s="306" t="s">
        <v>3292</v>
      </c>
    </row>
    <row r="81" spans="1:31" ht="45">
      <c r="A81" s="215">
        <f t="shared" si="9"/>
        <v>57</v>
      </c>
      <c r="B81" s="225" t="s">
        <v>1756</v>
      </c>
      <c r="C81" s="187" t="s">
        <v>4</v>
      </c>
      <c r="D81" s="42">
        <v>1</v>
      </c>
      <c r="E81" s="143">
        <v>1</v>
      </c>
      <c r="F81" s="143">
        <f t="shared" si="13"/>
        <v>1</v>
      </c>
      <c r="G81" s="220" t="s">
        <v>1758</v>
      </c>
      <c r="H81" s="215">
        <v>4500</v>
      </c>
      <c r="I81" s="215">
        <v>300</v>
      </c>
      <c r="J81" s="189" t="s">
        <v>1677</v>
      </c>
      <c r="K81" s="221">
        <v>55</v>
      </c>
      <c r="L81" s="215">
        <v>1.5</v>
      </c>
      <c r="M81" s="223" t="s">
        <v>1678</v>
      </c>
      <c r="N81" s="215" t="s">
        <v>1657</v>
      </c>
      <c r="O81" s="215" t="s">
        <v>1658</v>
      </c>
      <c r="P81" s="215"/>
      <c r="Q81" s="223"/>
      <c r="R81" s="307">
        <v>1</v>
      </c>
      <c r="S81" s="470" t="s">
        <v>3285</v>
      </c>
      <c r="T81" s="471" t="s">
        <v>3286</v>
      </c>
      <c r="U81" s="471" t="s">
        <v>3214</v>
      </c>
      <c r="V81" s="471" t="s">
        <v>772</v>
      </c>
      <c r="W81" s="517">
        <v>21075000</v>
      </c>
      <c r="X81" s="517"/>
      <c r="Y81" s="517">
        <v>2101700</v>
      </c>
      <c r="Z81" s="306"/>
      <c r="AA81" s="306"/>
      <c r="AB81" s="306">
        <f t="shared" si="10"/>
        <v>23176700</v>
      </c>
      <c r="AC81" s="306">
        <f t="shared" si="11"/>
        <v>23176700</v>
      </c>
      <c r="AD81" s="306">
        <f t="shared" si="12"/>
        <v>23176700</v>
      </c>
      <c r="AE81" s="306" t="s">
        <v>3289</v>
      </c>
    </row>
    <row r="82" spans="1:31" ht="45">
      <c r="A82" s="215">
        <f t="shared" si="9"/>
        <v>58</v>
      </c>
      <c r="B82" s="225" t="s">
        <v>1756</v>
      </c>
      <c r="C82" s="187" t="s">
        <v>4</v>
      </c>
      <c r="D82" s="42">
        <v>1</v>
      </c>
      <c r="E82" s="143">
        <v>1</v>
      </c>
      <c r="F82" s="143">
        <f t="shared" si="13"/>
        <v>1</v>
      </c>
      <c r="G82" s="220" t="s">
        <v>1759</v>
      </c>
      <c r="H82" s="215">
        <v>6500</v>
      </c>
      <c r="I82" s="215">
        <v>300</v>
      </c>
      <c r="J82" s="189" t="s">
        <v>1677</v>
      </c>
      <c r="K82" s="221">
        <v>55</v>
      </c>
      <c r="L82" s="215">
        <v>1.5</v>
      </c>
      <c r="M82" s="223" t="s">
        <v>1678</v>
      </c>
      <c r="N82" s="215" t="s">
        <v>1657</v>
      </c>
      <c r="O82" s="215" t="s">
        <v>1658</v>
      </c>
      <c r="P82" s="215"/>
      <c r="Q82" s="223"/>
      <c r="R82" s="307">
        <v>1</v>
      </c>
      <c r="S82" s="470" t="s">
        <v>3243</v>
      </c>
      <c r="T82" s="471" t="s">
        <v>3221</v>
      </c>
      <c r="U82" s="471" t="s">
        <v>3214</v>
      </c>
      <c r="V82" s="471" t="s">
        <v>772</v>
      </c>
      <c r="W82" s="517">
        <v>15051700</v>
      </c>
      <c r="X82" s="517"/>
      <c r="Y82" s="517">
        <v>2776700</v>
      </c>
      <c r="Z82" s="306"/>
      <c r="AA82" s="306"/>
      <c r="AB82" s="306">
        <f t="shared" si="10"/>
        <v>17828400</v>
      </c>
      <c r="AC82" s="306">
        <f t="shared" si="11"/>
        <v>17828400</v>
      </c>
      <c r="AD82" s="306">
        <f t="shared" si="12"/>
        <v>17828400</v>
      </c>
      <c r="AE82" s="306" t="s">
        <v>3288</v>
      </c>
    </row>
    <row r="83" spans="1:31" ht="45">
      <c r="A83" s="215">
        <f t="shared" si="9"/>
        <v>59</v>
      </c>
      <c r="B83" s="225" t="s">
        <v>1756</v>
      </c>
      <c r="C83" s="187" t="s">
        <v>4</v>
      </c>
      <c r="D83" s="42">
        <v>2</v>
      </c>
      <c r="E83" s="143">
        <v>2</v>
      </c>
      <c r="F83" s="143">
        <f t="shared" si="13"/>
        <v>2</v>
      </c>
      <c r="G83" s="220" t="s">
        <v>1760</v>
      </c>
      <c r="H83" s="215">
        <v>4000</v>
      </c>
      <c r="I83" s="215">
        <v>300</v>
      </c>
      <c r="J83" s="189" t="s">
        <v>1677</v>
      </c>
      <c r="K83" s="221">
        <v>55</v>
      </c>
      <c r="L83" s="215">
        <v>1.5</v>
      </c>
      <c r="M83" s="223" t="s">
        <v>1678</v>
      </c>
      <c r="N83" s="215" t="s">
        <v>1657</v>
      </c>
      <c r="O83" s="215" t="s">
        <v>1658</v>
      </c>
      <c r="P83" s="215"/>
      <c r="Q83" s="223"/>
      <c r="R83" s="307">
        <v>2</v>
      </c>
      <c r="S83" s="470" t="s">
        <v>3285</v>
      </c>
      <c r="T83" s="471" t="s">
        <v>3286</v>
      </c>
      <c r="U83" s="471" t="s">
        <v>3214</v>
      </c>
      <c r="V83" s="471" t="s">
        <v>772</v>
      </c>
      <c r="W83" s="517">
        <v>20862200</v>
      </c>
      <c r="X83" s="517"/>
      <c r="Y83" s="517">
        <v>2101700</v>
      </c>
      <c r="Z83" s="306"/>
      <c r="AA83" s="306"/>
      <c r="AB83" s="306">
        <f t="shared" si="10"/>
        <v>22963900</v>
      </c>
      <c r="AC83" s="306">
        <f t="shared" si="11"/>
        <v>45927800</v>
      </c>
      <c r="AD83" s="306">
        <f t="shared" si="12"/>
        <v>45927800</v>
      </c>
      <c r="AE83" s="306" t="s">
        <v>3287</v>
      </c>
    </row>
    <row r="84" spans="1:31" ht="45">
      <c r="A84" s="215">
        <f t="shared" si="9"/>
        <v>60</v>
      </c>
      <c r="B84" s="225" t="s">
        <v>1761</v>
      </c>
      <c r="C84" s="187" t="s">
        <v>4</v>
      </c>
      <c r="D84" s="42">
        <v>1</v>
      </c>
      <c r="E84" s="143">
        <v>1</v>
      </c>
      <c r="F84" s="143">
        <f t="shared" si="13"/>
        <v>1</v>
      </c>
      <c r="G84" s="220" t="s">
        <v>1762</v>
      </c>
      <c r="H84" s="215">
        <v>26000</v>
      </c>
      <c r="I84" s="215">
        <v>300</v>
      </c>
      <c r="J84" s="189" t="s">
        <v>1677</v>
      </c>
      <c r="K84" s="221">
        <v>55</v>
      </c>
      <c r="L84" s="215">
        <v>15</v>
      </c>
      <c r="M84" s="223" t="s">
        <v>1678</v>
      </c>
      <c r="N84" s="215" t="s">
        <v>1657</v>
      </c>
      <c r="O84" s="215" t="s">
        <v>1658</v>
      </c>
      <c r="P84" s="215"/>
      <c r="Q84" s="223"/>
      <c r="R84" s="307">
        <v>1</v>
      </c>
      <c r="S84" s="470" t="s">
        <v>3241</v>
      </c>
      <c r="T84" s="471" t="s">
        <v>3221</v>
      </c>
      <c r="U84" s="471" t="s">
        <v>3214</v>
      </c>
      <c r="V84" s="471" t="s">
        <v>772</v>
      </c>
      <c r="W84" s="517">
        <v>34030600</v>
      </c>
      <c r="X84" s="517"/>
      <c r="Y84" s="517">
        <v>3719700</v>
      </c>
      <c r="Z84" s="306"/>
      <c r="AA84" s="306"/>
      <c r="AB84" s="306">
        <f t="shared" si="10"/>
        <v>37750300</v>
      </c>
      <c r="AC84" s="306">
        <f t="shared" si="11"/>
        <v>37750300</v>
      </c>
      <c r="AD84" s="306">
        <f t="shared" si="12"/>
        <v>37750300</v>
      </c>
      <c r="AE84" s="306" t="s">
        <v>3284</v>
      </c>
    </row>
    <row r="85" spans="1:31" ht="15">
      <c r="A85" s="178"/>
      <c r="B85" s="219" t="s">
        <v>686</v>
      </c>
      <c r="C85" s="234"/>
      <c r="D85" s="42"/>
      <c r="E85" s="78"/>
      <c r="F85" s="143">
        <f t="shared" si="13"/>
        <v>0</v>
      </c>
      <c r="G85" s="220"/>
      <c r="H85" s="215"/>
      <c r="I85" s="215"/>
      <c r="J85" s="189"/>
      <c r="K85" s="221"/>
      <c r="L85" s="215"/>
      <c r="M85" s="223"/>
      <c r="N85" s="215"/>
      <c r="O85" s="215"/>
      <c r="P85" s="224"/>
      <c r="Q85" s="223"/>
      <c r="R85" s="307">
        <v>0</v>
      </c>
      <c r="S85" s="470">
        <v>0</v>
      </c>
      <c r="T85" s="471">
        <v>0</v>
      </c>
      <c r="U85" s="471">
        <v>0</v>
      </c>
      <c r="V85" s="471">
        <v>0</v>
      </c>
      <c r="W85" s="517">
        <v>0</v>
      </c>
      <c r="X85" s="517"/>
      <c r="Y85" s="517">
        <v>0</v>
      </c>
      <c r="Z85" s="306"/>
      <c r="AA85" s="306"/>
      <c r="AB85" s="306">
        <f t="shared" si="10"/>
        <v>0</v>
      </c>
      <c r="AC85" s="306">
        <f t="shared" si="11"/>
        <v>0</v>
      </c>
      <c r="AD85" s="306">
        <f t="shared" si="12"/>
        <v>0</v>
      </c>
      <c r="AE85" s="306">
        <v>0</v>
      </c>
    </row>
    <row r="86" spans="1:31" ht="30">
      <c r="A86" s="215">
        <v>61</v>
      </c>
      <c r="B86" s="225" t="s">
        <v>1763</v>
      </c>
      <c r="C86" s="187" t="s">
        <v>4</v>
      </c>
      <c r="D86" s="42">
        <v>1</v>
      </c>
      <c r="E86" s="143">
        <v>1</v>
      </c>
      <c r="F86" s="143">
        <f t="shared" si="13"/>
        <v>1</v>
      </c>
      <c r="G86" s="220" t="s">
        <v>1764</v>
      </c>
      <c r="H86" s="215">
        <v>650</v>
      </c>
      <c r="I86" s="215">
        <v>25</v>
      </c>
      <c r="J86" s="189" t="s">
        <v>1655</v>
      </c>
      <c r="K86" s="221">
        <v>55</v>
      </c>
      <c r="L86" s="215">
        <v>0.37</v>
      </c>
      <c r="M86" s="223" t="s">
        <v>1656</v>
      </c>
      <c r="N86" s="215" t="s">
        <v>1657</v>
      </c>
      <c r="O86" s="215" t="s">
        <v>1658</v>
      </c>
      <c r="P86" s="215" t="s">
        <v>1670</v>
      </c>
      <c r="Q86" s="223"/>
      <c r="R86" s="307">
        <v>1</v>
      </c>
      <c r="S86" s="470" t="s">
        <v>3282</v>
      </c>
      <c r="T86" s="471" t="s">
        <v>3274</v>
      </c>
      <c r="U86" s="471" t="s">
        <v>3214</v>
      </c>
      <c r="V86" s="471" t="s">
        <v>772</v>
      </c>
      <c r="W86" s="517">
        <v>591600</v>
      </c>
      <c r="X86" s="517"/>
      <c r="Y86" s="517">
        <v>852400</v>
      </c>
      <c r="Z86" s="306"/>
      <c r="AA86" s="306"/>
      <c r="AB86" s="306">
        <f t="shared" si="10"/>
        <v>1444000</v>
      </c>
      <c r="AC86" s="306">
        <f t="shared" si="11"/>
        <v>1444000</v>
      </c>
      <c r="AD86" s="306">
        <f t="shared" si="12"/>
        <v>1444000</v>
      </c>
      <c r="AE86" s="306" t="s">
        <v>3283</v>
      </c>
    </row>
    <row r="87" spans="1:31" ht="60">
      <c r="A87" s="215">
        <v>62</v>
      </c>
      <c r="B87" s="225" t="s">
        <v>1765</v>
      </c>
      <c r="C87" s="187" t="s">
        <v>4</v>
      </c>
      <c r="D87" s="42">
        <v>1</v>
      </c>
      <c r="E87" s="143">
        <v>1</v>
      </c>
      <c r="F87" s="143">
        <f t="shared" si="13"/>
        <v>1</v>
      </c>
      <c r="G87" s="220" t="s">
        <v>1766</v>
      </c>
      <c r="H87" s="215">
        <v>700</v>
      </c>
      <c r="I87" s="215">
        <v>150</v>
      </c>
      <c r="J87" s="189" t="s">
        <v>1677</v>
      </c>
      <c r="K87" s="221">
        <v>55</v>
      </c>
      <c r="L87" s="215">
        <v>0.37</v>
      </c>
      <c r="M87" s="223" t="s">
        <v>1656</v>
      </c>
      <c r="N87" s="215" t="s">
        <v>1657</v>
      </c>
      <c r="O87" s="215" t="s">
        <v>1658</v>
      </c>
      <c r="P87" s="215"/>
      <c r="Q87" s="223"/>
      <c r="R87" s="307">
        <v>1</v>
      </c>
      <c r="S87" s="470" t="s">
        <v>3279</v>
      </c>
      <c r="T87" s="471" t="s">
        <v>3280</v>
      </c>
      <c r="U87" s="471" t="s">
        <v>3214</v>
      </c>
      <c r="V87" s="471" t="s">
        <v>772</v>
      </c>
      <c r="W87" s="517">
        <v>3429900</v>
      </c>
      <c r="X87" s="517"/>
      <c r="Y87" s="517">
        <v>852400</v>
      </c>
      <c r="Z87" s="306"/>
      <c r="AA87" s="306"/>
      <c r="AB87" s="306">
        <f t="shared" si="10"/>
        <v>4282300</v>
      </c>
      <c r="AC87" s="306">
        <f t="shared" si="11"/>
        <v>4282300</v>
      </c>
      <c r="AD87" s="306">
        <f t="shared" si="12"/>
        <v>4282300</v>
      </c>
      <c r="AE87" s="306" t="s">
        <v>3281</v>
      </c>
    </row>
    <row r="88" spans="1:31" ht="30">
      <c r="A88" s="215">
        <v>63</v>
      </c>
      <c r="B88" s="225" t="s">
        <v>1767</v>
      </c>
      <c r="C88" s="187" t="s">
        <v>4</v>
      </c>
      <c r="D88" s="42">
        <v>3</v>
      </c>
      <c r="E88" s="143">
        <v>3</v>
      </c>
      <c r="F88" s="143">
        <f t="shared" si="13"/>
        <v>3</v>
      </c>
      <c r="G88" s="220" t="s">
        <v>1768</v>
      </c>
      <c r="H88" s="215">
        <v>100</v>
      </c>
      <c r="I88" s="215">
        <v>50</v>
      </c>
      <c r="J88" s="189" t="s">
        <v>1704</v>
      </c>
      <c r="K88" s="221">
        <v>55</v>
      </c>
      <c r="L88" s="215">
        <v>0.03</v>
      </c>
      <c r="M88" s="223" t="s">
        <v>1656</v>
      </c>
      <c r="N88" s="215" t="s">
        <v>1657</v>
      </c>
      <c r="O88" s="215" t="s">
        <v>1658</v>
      </c>
      <c r="P88" s="215"/>
      <c r="Q88" s="223"/>
      <c r="R88" s="307">
        <v>3</v>
      </c>
      <c r="S88" s="470" t="s">
        <v>3277</v>
      </c>
      <c r="T88" s="471" t="s">
        <v>3211</v>
      </c>
      <c r="U88" s="471" t="s">
        <v>3214</v>
      </c>
      <c r="V88" s="471" t="s">
        <v>772</v>
      </c>
      <c r="W88" s="517">
        <v>1364800</v>
      </c>
      <c r="X88" s="517"/>
      <c r="Y88" s="517">
        <v>347600</v>
      </c>
      <c r="Z88" s="306"/>
      <c r="AA88" s="306"/>
      <c r="AB88" s="306">
        <f t="shared" si="10"/>
        <v>1712400</v>
      </c>
      <c r="AC88" s="306">
        <f t="shared" si="11"/>
        <v>5137200</v>
      </c>
      <c r="AD88" s="306">
        <f t="shared" si="12"/>
        <v>5137200</v>
      </c>
      <c r="AE88" s="306" t="s">
        <v>3278</v>
      </c>
    </row>
    <row r="89" spans="1:31" ht="15">
      <c r="A89" s="178"/>
      <c r="B89" s="219" t="s">
        <v>687</v>
      </c>
      <c r="C89" s="187" t="s">
        <v>4</v>
      </c>
      <c r="D89" s="42"/>
      <c r="E89" s="78"/>
      <c r="F89" s="143">
        <f t="shared" si="13"/>
        <v>0</v>
      </c>
      <c r="G89" s="220"/>
      <c r="H89" s="215"/>
      <c r="I89" s="215"/>
      <c r="J89" s="189"/>
      <c r="K89" s="221"/>
      <c r="L89" s="215"/>
      <c r="M89" s="223"/>
      <c r="N89" s="215"/>
      <c r="O89" s="215"/>
      <c r="P89" s="224"/>
      <c r="Q89" s="223"/>
      <c r="R89" s="307">
        <v>0</v>
      </c>
      <c r="S89" s="470">
        <v>0</v>
      </c>
      <c r="T89" s="471">
        <v>0</v>
      </c>
      <c r="U89" s="471">
        <v>0</v>
      </c>
      <c r="V89" s="471">
        <v>0</v>
      </c>
      <c r="W89" s="517">
        <v>0</v>
      </c>
      <c r="X89" s="517"/>
      <c r="Y89" s="517">
        <v>0</v>
      </c>
      <c r="Z89" s="306"/>
      <c r="AA89" s="306"/>
      <c r="AB89" s="306">
        <f t="shared" si="10"/>
        <v>0</v>
      </c>
      <c r="AC89" s="306">
        <f t="shared" si="11"/>
        <v>0</v>
      </c>
      <c r="AD89" s="306">
        <f t="shared" si="12"/>
        <v>0</v>
      </c>
      <c r="AE89" s="306">
        <v>0</v>
      </c>
    </row>
    <row r="90" spans="1:31" ht="45">
      <c r="A90" s="215">
        <v>64</v>
      </c>
      <c r="B90" s="225" t="s">
        <v>1769</v>
      </c>
      <c r="C90" s="187" t="s">
        <v>4</v>
      </c>
      <c r="D90" s="42">
        <v>1</v>
      </c>
      <c r="E90" s="143">
        <v>1</v>
      </c>
      <c r="F90" s="143">
        <f t="shared" si="13"/>
        <v>1</v>
      </c>
      <c r="G90" s="220" t="s">
        <v>1770</v>
      </c>
      <c r="H90" s="215">
        <v>3500</v>
      </c>
      <c r="I90" s="215">
        <v>50</v>
      </c>
      <c r="J90" s="189" t="s">
        <v>1655</v>
      </c>
      <c r="K90" s="221">
        <v>55</v>
      </c>
      <c r="L90" s="215">
        <v>0.75</v>
      </c>
      <c r="M90" s="223" t="s">
        <v>1656</v>
      </c>
      <c r="N90" s="215" t="s">
        <v>1657</v>
      </c>
      <c r="O90" s="215" t="s">
        <v>1658</v>
      </c>
      <c r="P90" s="215" t="s">
        <v>1670</v>
      </c>
      <c r="Q90" s="223"/>
      <c r="R90" s="307">
        <v>1</v>
      </c>
      <c r="S90" s="470" t="s">
        <v>3269</v>
      </c>
      <c r="T90" s="471" t="s">
        <v>3270</v>
      </c>
      <c r="U90" s="471" t="s">
        <v>3214</v>
      </c>
      <c r="V90" s="471" t="s">
        <v>772</v>
      </c>
      <c r="W90" s="517">
        <v>4281500</v>
      </c>
      <c r="X90" s="517"/>
      <c r="Y90" s="517">
        <v>1595900</v>
      </c>
      <c r="Z90" s="306"/>
      <c r="AA90" s="306"/>
      <c r="AB90" s="306">
        <f t="shared" si="10"/>
        <v>5877400</v>
      </c>
      <c r="AC90" s="306">
        <f t="shared" si="11"/>
        <v>5877400</v>
      </c>
      <c r="AD90" s="306">
        <f t="shared" si="12"/>
        <v>5877400</v>
      </c>
      <c r="AE90" s="306" t="s">
        <v>3271</v>
      </c>
    </row>
    <row r="91" spans="1:31" ht="15">
      <c r="A91" s="178"/>
      <c r="B91" s="219" t="s">
        <v>688</v>
      </c>
      <c r="C91" s="187" t="s">
        <v>4</v>
      </c>
      <c r="D91" s="42"/>
      <c r="E91" s="78"/>
      <c r="F91" s="143">
        <f t="shared" si="13"/>
        <v>0</v>
      </c>
      <c r="G91" s="220"/>
      <c r="H91" s="215"/>
      <c r="I91" s="215"/>
      <c r="J91" s="189"/>
      <c r="K91" s="221"/>
      <c r="L91" s="215"/>
      <c r="M91" s="223"/>
      <c r="N91" s="215"/>
      <c r="O91" s="215"/>
      <c r="P91" s="224"/>
      <c r="Q91" s="223"/>
      <c r="R91" s="307">
        <v>0</v>
      </c>
      <c r="S91" s="470">
        <v>0</v>
      </c>
      <c r="T91" s="471">
        <v>0</v>
      </c>
      <c r="U91" s="471">
        <v>0</v>
      </c>
      <c r="V91" s="471">
        <v>0</v>
      </c>
      <c r="W91" s="517">
        <v>0</v>
      </c>
      <c r="X91" s="517"/>
      <c r="Y91" s="517">
        <v>0</v>
      </c>
      <c r="Z91" s="306"/>
      <c r="AA91" s="306"/>
      <c r="AB91" s="306">
        <f t="shared" si="10"/>
        <v>0</v>
      </c>
      <c r="AC91" s="306">
        <f t="shared" si="11"/>
        <v>0</v>
      </c>
      <c r="AD91" s="306">
        <f t="shared" si="12"/>
        <v>0</v>
      </c>
      <c r="AE91" s="306">
        <v>0</v>
      </c>
    </row>
    <row r="92" spans="1:31" ht="45">
      <c r="A92" s="215">
        <v>65</v>
      </c>
      <c r="B92" s="225" t="s">
        <v>1771</v>
      </c>
      <c r="C92" s="187" t="s">
        <v>4</v>
      </c>
      <c r="D92" s="42">
        <v>2</v>
      </c>
      <c r="E92" s="143">
        <v>2</v>
      </c>
      <c r="F92" s="143">
        <f t="shared" si="13"/>
        <v>2</v>
      </c>
      <c r="G92" s="225" t="s">
        <v>1772</v>
      </c>
      <c r="H92" s="215">
        <v>7000</v>
      </c>
      <c r="I92" s="215">
        <v>450</v>
      </c>
      <c r="J92" s="189" t="s">
        <v>1773</v>
      </c>
      <c r="K92" s="221">
        <v>55</v>
      </c>
      <c r="L92" s="215">
        <v>3.7</v>
      </c>
      <c r="M92" s="223" t="s">
        <v>1656</v>
      </c>
      <c r="N92" s="215" t="s">
        <v>1657</v>
      </c>
      <c r="O92" s="215" t="s">
        <v>1658</v>
      </c>
      <c r="P92" s="215" t="s">
        <v>1670</v>
      </c>
      <c r="Q92" s="223"/>
      <c r="R92" s="307">
        <v>2</v>
      </c>
      <c r="S92" s="470" t="s">
        <v>3262</v>
      </c>
      <c r="T92" s="471" t="s">
        <v>3263</v>
      </c>
      <c r="U92" s="471" t="s">
        <v>3214</v>
      </c>
      <c r="V92" s="471" t="s">
        <v>772</v>
      </c>
      <c r="W92" s="517">
        <v>20546000</v>
      </c>
      <c r="X92" s="517"/>
      <c r="Y92" s="517">
        <v>5304800</v>
      </c>
      <c r="Z92" s="306"/>
      <c r="AA92" s="306"/>
      <c r="AB92" s="306">
        <f t="shared" si="10"/>
        <v>25850800</v>
      </c>
      <c r="AC92" s="306">
        <f t="shared" si="11"/>
        <v>51701600</v>
      </c>
      <c r="AD92" s="306">
        <f t="shared" si="12"/>
        <v>51701600</v>
      </c>
      <c r="AE92" s="306" t="s">
        <v>3276</v>
      </c>
    </row>
    <row r="93" spans="1:31" ht="15">
      <c r="A93" s="178"/>
      <c r="B93" s="219" t="s">
        <v>1774</v>
      </c>
      <c r="C93" s="187" t="s">
        <v>4</v>
      </c>
      <c r="D93" s="42"/>
      <c r="E93" s="78"/>
      <c r="F93" s="143">
        <f t="shared" si="13"/>
        <v>0</v>
      </c>
      <c r="G93" s="220"/>
      <c r="H93" s="215"/>
      <c r="I93" s="215"/>
      <c r="J93" s="189"/>
      <c r="K93" s="221"/>
      <c r="L93" s="215"/>
      <c r="M93" s="223"/>
      <c r="N93" s="215"/>
      <c r="O93" s="215"/>
      <c r="P93" s="224"/>
      <c r="Q93" s="223"/>
      <c r="R93" s="307">
        <v>0</v>
      </c>
      <c r="S93" s="470">
        <v>0</v>
      </c>
      <c r="T93" s="471">
        <v>0</v>
      </c>
      <c r="U93" s="471">
        <v>0</v>
      </c>
      <c r="V93" s="471">
        <v>0</v>
      </c>
      <c r="W93" s="517">
        <v>0</v>
      </c>
      <c r="X93" s="517"/>
      <c r="Y93" s="517">
        <v>0</v>
      </c>
      <c r="Z93" s="306"/>
      <c r="AA93" s="306"/>
      <c r="AB93" s="306">
        <f t="shared" si="10"/>
        <v>0</v>
      </c>
      <c r="AC93" s="306">
        <f t="shared" si="11"/>
        <v>0</v>
      </c>
      <c r="AD93" s="306">
        <f t="shared" si="12"/>
        <v>0</v>
      </c>
      <c r="AE93" s="306">
        <v>0</v>
      </c>
    </row>
    <row r="94" spans="1:31" ht="45">
      <c r="A94" s="215">
        <v>66</v>
      </c>
      <c r="B94" s="225" t="s">
        <v>1775</v>
      </c>
      <c r="C94" s="187" t="s">
        <v>4</v>
      </c>
      <c r="D94" s="42">
        <v>1</v>
      </c>
      <c r="E94" s="143">
        <v>1</v>
      </c>
      <c r="F94" s="143">
        <f t="shared" si="13"/>
        <v>1</v>
      </c>
      <c r="G94" s="220" t="s">
        <v>1776</v>
      </c>
      <c r="H94" s="215">
        <v>1200</v>
      </c>
      <c r="I94" s="215">
        <v>50</v>
      </c>
      <c r="J94" s="189" t="s">
        <v>1655</v>
      </c>
      <c r="K94" s="221">
        <v>55</v>
      </c>
      <c r="L94" s="215">
        <v>0.37</v>
      </c>
      <c r="M94" s="223" t="s">
        <v>1656</v>
      </c>
      <c r="N94" s="215" t="s">
        <v>1657</v>
      </c>
      <c r="O94" s="215" t="s">
        <v>1658</v>
      </c>
      <c r="P94" s="215" t="s">
        <v>1670</v>
      </c>
      <c r="Q94" s="223"/>
      <c r="R94" s="307">
        <v>1</v>
      </c>
      <c r="S94" s="470" t="s">
        <v>3273</v>
      </c>
      <c r="T94" s="471" t="s">
        <v>3274</v>
      </c>
      <c r="U94" s="471" t="s">
        <v>3214</v>
      </c>
      <c r="V94" s="471" t="s">
        <v>772</v>
      </c>
      <c r="W94" s="517">
        <v>735400</v>
      </c>
      <c r="X94" s="517"/>
      <c r="Y94" s="517">
        <v>1317900</v>
      </c>
      <c r="Z94" s="306"/>
      <c r="AA94" s="306"/>
      <c r="AB94" s="306">
        <f t="shared" si="10"/>
        <v>2053300</v>
      </c>
      <c r="AC94" s="306">
        <f t="shared" si="11"/>
        <v>2053300</v>
      </c>
      <c r="AD94" s="306">
        <f t="shared" si="12"/>
        <v>2053300</v>
      </c>
      <c r="AE94" s="306" t="s">
        <v>3275</v>
      </c>
    </row>
    <row r="95" spans="1:31" ht="45">
      <c r="A95" s="215">
        <v>67</v>
      </c>
      <c r="B95" s="225" t="s">
        <v>1777</v>
      </c>
      <c r="C95" s="187" t="s">
        <v>4</v>
      </c>
      <c r="D95" s="42">
        <v>1</v>
      </c>
      <c r="E95" s="143">
        <v>1</v>
      </c>
      <c r="F95" s="143">
        <f t="shared" si="13"/>
        <v>1</v>
      </c>
      <c r="G95" s="220" t="s">
        <v>1778</v>
      </c>
      <c r="H95" s="215">
        <v>2200</v>
      </c>
      <c r="I95" s="215">
        <v>50</v>
      </c>
      <c r="J95" s="189" t="s">
        <v>1655</v>
      </c>
      <c r="K95" s="221">
        <v>55</v>
      </c>
      <c r="L95" s="215">
        <v>0.37</v>
      </c>
      <c r="M95" s="223" t="s">
        <v>1656</v>
      </c>
      <c r="N95" s="215" t="s">
        <v>1657</v>
      </c>
      <c r="O95" s="215" t="s">
        <v>1658</v>
      </c>
      <c r="P95" s="215"/>
      <c r="Q95" s="223"/>
      <c r="R95" s="307">
        <v>1</v>
      </c>
      <c r="S95" s="470" t="s">
        <v>3269</v>
      </c>
      <c r="T95" s="471" t="s">
        <v>3270</v>
      </c>
      <c r="U95" s="471" t="s">
        <v>3214</v>
      </c>
      <c r="V95" s="471" t="s">
        <v>772</v>
      </c>
      <c r="W95" s="517">
        <v>4281500</v>
      </c>
      <c r="X95" s="517"/>
      <c r="Y95" s="517">
        <v>1317900</v>
      </c>
      <c r="Z95" s="306"/>
      <c r="AA95" s="306"/>
      <c r="AB95" s="306">
        <f t="shared" si="10"/>
        <v>5599400</v>
      </c>
      <c r="AC95" s="306">
        <f t="shared" si="11"/>
        <v>5599400</v>
      </c>
      <c r="AD95" s="306">
        <f t="shared" si="12"/>
        <v>5599400</v>
      </c>
      <c r="AE95" s="306" t="s">
        <v>3272</v>
      </c>
    </row>
    <row r="96" spans="1:31" ht="45">
      <c r="A96" s="215">
        <v>68</v>
      </c>
      <c r="B96" s="225" t="s">
        <v>1769</v>
      </c>
      <c r="C96" s="187" t="s">
        <v>4</v>
      </c>
      <c r="D96" s="42">
        <v>2</v>
      </c>
      <c r="E96" s="143">
        <v>2</v>
      </c>
      <c r="F96" s="143">
        <f t="shared" si="13"/>
        <v>2</v>
      </c>
      <c r="G96" s="220" t="s">
        <v>1779</v>
      </c>
      <c r="H96" s="215">
        <v>3500</v>
      </c>
      <c r="I96" s="215">
        <v>50</v>
      </c>
      <c r="J96" s="189" t="s">
        <v>1655</v>
      </c>
      <c r="K96" s="221">
        <v>55</v>
      </c>
      <c r="L96" s="215">
        <v>0.55000000000000004</v>
      </c>
      <c r="M96" s="223" t="s">
        <v>1656</v>
      </c>
      <c r="N96" s="215" t="s">
        <v>1657</v>
      </c>
      <c r="O96" s="215" t="s">
        <v>1658</v>
      </c>
      <c r="P96" s="215"/>
      <c r="Q96" s="223"/>
      <c r="R96" s="307">
        <v>2</v>
      </c>
      <c r="S96" s="470" t="s">
        <v>3269</v>
      </c>
      <c r="T96" s="471" t="s">
        <v>3270</v>
      </c>
      <c r="U96" s="471" t="s">
        <v>3214</v>
      </c>
      <c r="V96" s="471" t="s">
        <v>772</v>
      </c>
      <c r="W96" s="517">
        <v>4281500</v>
      </c>
      <c r="X96" s="517"/>
      <c r="Y96" s="517">
        <v>1595900</v>
      </c>
      <c r="Z96" s="306"/>
      <c r="AA96" s="306"/>
      <c r="AB96" s="306">
        <f t="shared" si="10"/>
        <v>5877400</v>
      </c>
      <c r="AC96" s="306">
        <f t="shared" si="11"/>
        <v>11754800</v>
      </c>
      <c r="AD96" s="306">
        <f t="shared" si="12"/>
        <v>11754800</v>
      </c>
      <c r="AE96" s="306" t="s">
        <v>3271</v>
      </c>
    </row>
    <row r="97" spans="1:31" ht="45">
      <c r="A97" s="215">
        <v>69</v>
      </c>
      <c r="B97" s="225" t="s">
        <v>1780</v>
      </c>
      <c r="C97" s="187" t="s">
        <v>4</v>
      </c>
      <c r="D97" s="42">
        <v>2</v>
      </c>
      <c r="E97" s="143">
        <v>2</v>
      </c>
      <c r="F97" s="143">
        <f t="shared" si="13"/>
        <v>2</v>
      </c>
      <c r="G97" s="220" t="s">
        <v>1781</v>
      </c>
      <c r="H97" s="215">
        <v>30000</v>
      </c>
      <c r="I97" s="215">
        <v>550</v>
      </c>
      <c r="J97" s="189" t="s">
        <v>1773</v>
      </c>
      <c r="K97" s="221">
        <v>55</v>
      </c>
      <c r="L97" s="215">
        <v>15</v>
      </c>
      <c r="M97" s="223" t="s">
        <v>1678</v>
      </c>
      <c r="N97" s="215" t="s">
        <v>1657</v>
      </c>
      <c r="O97" s="215" t="s">
        <v>1658</v>
      </c>
      <c r="P97" s="215"/>
      <c r="Q97" s="223"/>
      <c r="R97" s="307">
        <v>2</v>
      </c>
      <c r="S97" s="470" t="s">
        <v>3267</v>
      </c>
      <c r="T97" s="471" t="s">
        <v>3263</v>
      </c>
      <c r="U97" s="471" t="s">
        <v>3214</v>
      </c>
      <c r="V97" s="471" t="s">
        <v>772</v>
      </c>
      <c r="W97" s="517">
        <v>65670300</v>
      </c>
      <c r="X97" s="517"/>
      <c r="Y97" s="517">
        <v>16907400</v>
      </c>
      <c r="Z97" s="306"/>
      <c r="AA97" s="306"/>
      <c r="AB97" s="306">
        <f t="shared" si="10"/>
        <v>82577700</v>
      </c>
      <c r="AC97" s="306">
        <f t="shared" si="11"/>
        <v>165155400</v>
      </c>
      <c r="AD97" s="306">
        <f t="shared" si="12"/>
        <v>165155400</v>
      </c>
      <c r="AE97" s="306" t="s">
        <v>3268</v>
      </c>
    </row>
    <row r="98" spans="1:31" ht="15">
      <c r="A98" s="178"/>
      <c r="B98" s="219" t="s">
        <v>1782</v>
      </c>
      <c r="C98" s="187" t="s">
        <v>4</v>
      </c>
      <c r="D98" s="42"/>
      <c r="E98" s="78"/>
      <c r="F98" s="143">
        <f t="shared" si="13"/>
        <v>0</v>
      </c>
      <c r="G98" s="220"/>
      <c r="H98" s="215"/>
      <c r="I98" s="215"/>
      <c r="J98" s="189"/>
      <c r="K98" s="221"/>
      <c r="L98" s="215"/>
      <c r="M98" s="223"/>
      <c r="N98" s="215"/>
      <c r="O98" s="215"/>
      <c r="P98" s="215"/>
      <c r="Q98" s="223"/>
      <c r="R98" s="307">
        <v>0</v>
      </c>
      <c r="S98" s="470">
        <v>0</v>
      </c>
      <c r="T98" s="471">
        <v>0</v>
      </c>
      <c r="U98" s="471">
        <v>0</v>
      </c>
      <c r="V98" s="471">
        <v>0</v>
      </c>
      <c r="W98" s="517">
        <v>0</v>
      </c>
      <c r="X98" s="517"/>
      <c r="Y98" s="517">
        <v>0</v>
      </c>
      <c r="Z98" s="306"/>
      <c r="AA98" s="306"/>
      <c r="AB98" s="306">
        <f t="shared" si="10"/>
        <v>0</v>
      </c>
      <c r="AC98" s="306">
        <f t="shared" si="11"/>
        <v>0</v>
      </c>
      <c r="AD98" s="306">
        <f t="shared" si="12"/>
        <v>0</v>
      </c>
      <c r="AE98" s="306">
        <v>0</v>
      </c>
    </row>
    <row r="99" spans="1:31" ht="45">
      <c r="A99" s="215">
        <v>70</v>
      </c>
      <c r="B99" s="225" t="s">
        <v>1783</v>
      </c>
      <c r="C99" s="187" t="s">
        <v>4</v>
      </c>
      <c r="D99" s="42">
        <v>2</v>
      </c>
      <c r="E99" s="143">
        <v>2</v>
      </c>
      <c r="F99" s="143">
        <f t="shared" si="13"/>
        <v>2</v>
      </c>
      <c r="G99" s="220" t="s">
        <v>1784</v>
      </c>
      <c r="H99" s="215">
        <v>50000</v>
      </c>
      <c r="I99" s="215">
        <v>600</v>
      </c>
      <c r="J99" s="189" t="s">
        <v>1773</v>
      </c>
      <c r="K99" s="221">
        <v>55</v>
      </c>
      <c r="L99" s="215">
        <v>22</v>
      </c>
      <c r="M99" s="223" t="s">
        <v>1678</v>
      </c>
      <c r="N99" s="215" t="s">
        <v>1657</v>
      </c>
      <c r="O99" s="215" t="s">
        <v>1658</v>
      </c>
      <c r="P99" s="215"/>
      <c r="Q99" s="223"/>
      <c r="R99" s="307">
        <v>2</v>
      </c>
      <c r="S99" s="470" t="s">
        <v>3265</v>
      </c>
      <c r="T99" s="471" t="s">
        <v>3263</v>
      </c>
      <c r="U99" s="471" t="s">
        <v>3214</v>
      </c>
      <c r="V99" s="471" t="s">
        <v>772</v>
      </c>
      <c r="W99" s="517">
        <v>84595500</v>
      </c>
      <c r="X99" s="517"/>
      <c r="Y99" s="517">
        <v>21680200</v>
      </c>
      <c r="Z99" s="306"/>
      <c r="AA99" s="306"/>
      <c r="AB99" s="306">
        <f t="shared" si="10"/>
        <v>106275700</v>
      </c>
      <c r="AC99" s="306">
        <f t="shared" si="11"/>
        <v>212551400</v>
      </c>
      <c r="AD99" s="306">
        <f t="shared" si="12"/>
        <v>212551400</v>
      </c>
      <c r="AE99" s="306" t="s">
        <v>3266</v>
      </c>
    </row>
    <row r="100" spans="1:31" ht="45">
      <c r="A100" s="215">
        <v>71</v>
      </c>
      <c r="B100" s="225" t="s">
        <v>1771</v>
      </c>
      <c r="C100" s="187" t="s">
        <v>4</v>
      </c>
      <c r="D100" s="42">
        <v>2</v>
      </c>
      <c r="E100" s="143">
        <v>2</v>
      </c>
      <c r="F100" s="143">
        <f t="shared" si="13"/>
        <v>2</v>
      </c>
      <c r="G100" s="220" t="s">
        <v>1785</v>
      </c>
      <c r="H100" s="215">
        <v>4500</v>
      </c>
      <c r="I100" s="215">
        <v>400</v>
      </c>
      <c r="J100" s="189" t="s">
        <v>1773</v>
      </c>
      <c r="K100" s="221">
        <v>55</v>
      </c>
      <c r="L100" s="215">
        <v>4</v>
      </c>
      <c r="M100" s="223" t="s">
        <v>1678</v>
      </c>
      <c r="N100" s="215" t="s">
        <v>1657</v>
      </c>
      <c r="O100" s="215" t="s">
        <v>1658</v>
      </c>
      <c r="P100" s="215"/>
      <c r="Q100" s="223"/>
      <c r="R100" s="307">
        <v>2</v>
      </c>
      <c r="S100" s="470" t="s">
        <v>3262</v>
      </c>
      <c r="T100" s="471" t="s">
        <v>3263</v>
      </c>
      <c r="U100" s="471" t="s">
        <v>3214</v>
      </c>
      <c r="V100" s="471" t="s">
        <v>772</v>
      </c>
      <c r="W100" s="517">
        <v>20546000</v>
      </c>
      <c r="X100" s="517"/>
      <c r="Y100" s="517">
        <v>5304800</v>
      </c>
      <c r="Z100" s="306"/>
      <c r="AA100" s="306"/>
      <c r="AB100" s="306">
        <f t="shared" si="10"/>
        <v>25850800</v>
      </c>
      <c r="AC100" s="306">
        <f t="shared" si="11"/>
        <v>51701600</v>
      </c>
      <c r="AD100" s="306">
        <f t="shared" si="12"/>
        <v>51701600</v>
      </c>
      <c r="AE100" s="306" t="s">
        <v>3264</v>
      </c>
    </row>
    <row r="101" spans="1:31" ht="15">
      <c r="A101" s="240" t="s">
        <v>5</v>
      </c>
      <c r="B101" s="235" t="s">
        <v>1786</v>
      </c>
      <c r="C101" s="236"/>
      <c r="D101" s="237"/>
      <c r="E101" s="238"/>
      <c r="F101" s="239">
        <f t="shared" si="13"/>
        <v>0</v>
      </c>
      <c r="G101" s="235"/>
      <c r="H101" s="240"/>
      <c r="I101" s="240"/>
      <c r="J101" s="235"/>
      <c r="K101" s="235"/>
      <c r="L101" s="235"/>
      <c r="M101" s="235"/>
      <c r="N101" s="235"/>
      <c r="O101" s="235"/>
      <c r="P101" s="235"/>
      <c r="Q101" s="235"/>
      <c r="R101" s="241"/>
      <c r="S101" s="472"/>
      <c r="T101" s="472"/>
      <c r="U101" s="472"/>
      <c r="V101" s="472"/>
      <c r="W101" s="241"/>
      <c r="X101" s="241"/>
      <c r="Y101" s="241"/>
      <c r="Z101" s="241"/>
      <c r="AA101" s="241"/>
      <c r="AB101" s="241"/>
      <c r="AC101" s="241"/>
      <c r="AD101" s="241"/>
      <c r="AE101" s="241"/>
    </row>
    <row r="102" spans="1:31" ht="15">
      <c r="A102" s="188"/>
      <c r="B102" s="185" t="s">
        <v>1652</v>
      </c>
      <c r="C102" s="187"/>
      <c r="D102" s="42"/>
      <c r="E102" s="78"/>
      <c r="F102" s="143">
        <f t="shared" si="13"/>
        <v>0</v>
      </c>
      <c r="G102" s="188"/>
      <c r="H102" s="215"/>
      <c r="I102" s="215"/>
      <c r="J102" s="188"/>
      <c r="K102" s="188"/>
      <c r="L102" s="188"/>
      <c r="M102" s="188"/>
      <c r="N102" s="188"/>
      <c r="O102" s="188"/>
      <c r="P102" s="188"/>
      <c r="Q102" s="188"/>
      <c r="R102" s="307">
        <v>0</v>
      </c>
      <c r="S102" s="470">
        <v>0</v>
      </c>
      <c r="T102" s="471">
        <v>0</v>
      </c>
      <c r="U102" s="471">
        <v>0</v>
      </c>
      <c r="V102" s="471">
        <v>0</v>
      </c>
      <c r="W102" s="517">
        <v>0</v>
      </c>
      <c r="X102" s="517"/>
      <c r="Y102" s="517">
        <v>0</v>
      </c>
      <c r="Z102" s="306"/>
      <c r="AA102" s="306"/>
      <c r="AB102" s="306">
        <f t="shared" ref="AB102:AB144" si="14">+W102+X102+Y102+Z102+AA102</f>
        <v>0</v>
      </c>
      <c r="AC102" s="306">
        <f t="shared" ref="AC102:AC144" si="15">+AB102*F102</f>
        <v>0</v>
      </c>
      <c r="AD102" s="306">
        <f t="shared" ref="AD102:AD144" si="16">+AB102*R102</f>
        <v>0</v>
      </c>
      <c r="AE102" s="306">
        <v>0</v>
      </c>
    </row>
    <row r="103" spans="1:31" ht="45">
      <c r="A103" s="188">
        <v>1</v>
      </c>
      <c r="B103" s="242" t="s">
        <v>1787</v>
      </c>
      <c r="C103" s="187" t="s">
        <v>4</v>
      </c>
      <c r="D103" s="42">
        <v>2</v>
      </c>
      <c r="E103" s="143">
        <v>2</v>
      </c>
      <c r="F103" s="143">
        <f t="shared" si="13"/>
        <v>2</v>
      </c>
      <c r="G103" s="188" t="s">
        <v>1788</v>
      </c>
      <c r="H103" s="215" t="s">
        <v>1789</v>
      </c>
      <c r="I103" s="215" t="s">
        <v>1790</v>
      </c>
      <c r="J103" s="188" t="s">
        <v>1791</v>
      </c>
      <c r="K103" s="188" t="s">
        <v>1792</v>
      </c>
      <c r="L103" s="188" t="s">
        <v>1793</v>
      </c>
      <c r="M103" s="188" t="s">
        <v>1678</v>
      </c>
      <c r="N103" s="188" t="s">
        <v>1794</v>
      </c>
      <c r="O103" s="188" t="s">
        <v>1795</v>
      </c>
      <c r="P103" s="188" t="s">
        <v>1670</v>
      </c>
      <c r="Q103" s="188"/>
      <c r="R103" s="307">
        <v>2</v>
      </c>
      <c r="S103" s="470" t="s">
        <v>3261</v>
      </c>
      <c r="T103" s="471" t="s">
        <v>3254</v>
      </c>
      <c r="U103" s="471" t="s">
        <v>3214</v>
      </c>
      <c r="V103" s="471" t="s">
        <v>772</v>
      </c>
      <c r="W103" s="517">
        <v>82831300</v>
      </c>
      <c r="X103" s="517"/>
      <c r="Y103" s="517">
        <v>5207800</v>
      </c>
      <c r="Z103" s="306"/>
      <c r="AA103" s="306"/>
      <c r="AB103" s="306">
        <f t="shared" si="14"/>
        <v>88039100</v>
      </c>
      <c r="AC103" s="306">
        <f t="shared" si="15"/>
        <v>176078200</v>
      </c>
      <c r="AD103" s="306">
        <f t="shared" si="16"/>
        <v>176078200</v>
      </c>
      <c r="AE103" s="306" t="s">
        <v>3257</v>
      </c>
    </row>
    <row r="104" spans="1:31" ht="45">
      <c r="A104" s="188">
        <v>2</v>
      </c>
      <c r="B104" s="242" t="s">
        <v>1787</v>
      </c>
      <c r="C104" s="187" t="s">
        <v>4</v>
      </c>
      <c r="D104" s="42">
        <v>1</v>
      </c>
      <c r="E104" s="143">
        <v>1</v>
      </c>
      <c r="F104" s="143">
        <f t="shared" si="13"/>
        <v>1</v>
      </c>
      <c r="G104" s="188" t="s">
        <v>1796</v>
      </c>
      <c r="H104" s="215" t="s">
        <v>1797</v>
      </c>
      <c r="I104" s="215" t="s">
        <v>1798</v>
      </c>
      <c r="J104" s="188" t="s">
        <v>1791</v>
      </c>
      <c r="K104" s="188" t="s">
        <v>1792</v>
      </c>
      <c r="L104" s="188" t="s">
        <v>1799</v>
      </c>
      <c r="M104" s="188" t="s">
        <v>1678</v>
      </c>
      <c r="N104" s="188" t="s">
        <v>1794</v>
      </c>
      <c r="O104" s="188" t="s">
        <v>1795</v>
      </c>
      <c r="P104" s="188" t="s">
        <v>1670</v>
      </c>
      <c r="Q104" s="188"/>
      <c r="R104" s="307">
        <v>1</v>
      </c>
      <c r="S104" s="470" t="s">
        <v>3259</v>
      </c>
      <c r="T104" s="471" t="s">
        <v>3254</v>
      </c>
      <c r="U104" s="471" t="s">
        <v>3214</v>
      </c>
      <c r="V104" s="471" t="s">
        <v>772</v>
      </c>
      <c r="W104" s="517">
        <v>173886900</v>
      </c>
      <c r="X104" s="517"/>
      <c r="Y104" s="517">
        <v>5207800</v>
      </c>
      <c r="Z104" s="306"/>
      <c r="AA104" s="306"/>
      <c r="AB104" s="306">
        <f t="shared" si="14"/>
        <v>179094700</v>
      </c>
      <c r="AC104" s="306">
        <f t="shared" si="15"/>
        <v>179094700</v>
      </c>
      <c r="AD104" s="306">
        <f t="shared" si="16"/>
        <v>179094700</v>
      </c>
      <c r="AE104" s="306" t="s">
        <v>3260</v>
      </c>
    </row>
    <row r="105" spans="1:31" ht="45">
      <c r="A105" s="188">
        <v>3</v>
      </c>
      <c r="B105" s="242" t="s">
        <v>1800</v>
      </c>
      <c r="C105" s="187" t="s">
        <v>4</v>
      </c>
      <c r="D105" s="42">
        <v>1</v>
      </c>
      <c r="E105" s="143">
        <v>1</v>
      </c>
      <c r="F105" s="143">
        <f t="shared" si="13"/>
        <v>1</v>
      </c>
      <c r="G105" s="188" t="s">
        <v>1801</v>
      </c>
      <c r="H105" s="215">
        <v>13500</v>
      </c>
      <c r="I105" s="215">
        <v>450</v>
      </c>
      <c r="J105" s="188" t="s">
        <v>1677</v>
      </c>
      <c r="K105" s="188">
        <v>55</v>
      </c>
      <c r="L105" s="188">
        <v>5.5</v>
      </c>
      <c r="M105" s="188" t="s">
        <v>1678</v>
      </c>
      <c r="N105" s="188" t="s">
        <v>1794</v>
      </c>
      <c r="O105" s="188" t="s">
        <v>1795</v>
      </c>
      <c r="P105" s="188"/>
      <c r="Q105" s="188"/>
      <c r="R105" s="307">
        <v>1</v>
      </c>
      <c r="S105" s="470" t="s">
        <v>3246</v>
      </c>
      <c r="T105" s="471" t="s">
        <v>3221</v>
      </c>
      <c r="U105" s="471" t="s">
        <v>3214</v>
      </c>
      <c r="V105" s="471" t="s">
        <v>772</v>
      </c>
      <c r="W105" s="517">
        <v>20925800</v>
      </c>
      <c r="X105" s="517"/>
      <c r="Y105" s="517">
        <v>3719700</v>
      </c>
      <c r="Z105" s="306"/>
      <c r="AA105" s="306"/>
      <c r="AB105" s="306">
        <f t="shared" si="14"/>
        <v>24645500</v>
      </c>
      <c r="AC105" s="306">
        <f t="shared" si="15"/>
        <v>24645500</v>
      </c>
      <c r="AD105" s="306">
        <f t="shared" si="16"/>
        <v>24645500</v>
      </c>
      <c r="AE105" s="306" t="s">
        <v>3258</v>
      </c>
    </row>
    <row r="106" spans="1:31" ht="15">
      <c r="A106" s="188"/>
      <c r="B106" s="243" t="s">
        <v>1681</v>
      </c>
      <c r="C106" s="187"/>
      <c r="D106" s="42"/>
      <c r="E106" s="143"/>
      <c r="F106" s="143">
        <f t="shared" si="13"/>
        <v>0</v>
      </c>
      <c r="G106" s="188"/>
      <c r="H106" s="215"/>
      <c r="I106" s="215"/>
      <c r="J106" s="188"/>
      <c r="K106" s="188"/>
      <c r="L106" s="188"/>
      <c r="M106" s="188"/>
      <c r="N106" s="188"/>
      <c r="O106" s="188"/>
      <c r="P106" s="188"/>
      <c r="Q106" s="188"/>
      <c r="R106" s="307">
        <v>0</v>
      </c>
      <c r="S106" s="470">
        <v>0</v>
      </c>
      <c r="T106" s="471">
        <v>0</v>
      </c>
      <c r="U106" s="471">
        <v>0</v>
      </c>
      <c r="V106" s="471">
        <v>0</v>
      </c>
      <c r="W106" s="517">
        <v>0</v>
      </c>
      <c r="X106" s="517"/>
      <c r="Y106" s="517">
        <v>0</v>
      </c>
      <c r="Z106" s="306"/>
      <c r="AA106" s="306"/>
      <c r="AB106" s="306">
        <f t="shared" si="14"/>
        <v>0</v>
      </c>
      <c r="AC106" s="306">
        <f t="shared" si="15"/>
        <v>0</v>
      </c>
      <c r="AD106" s="306">
        <f t="shared" si="16"/>
        <v>0</v>
      </c>
      <c r="AE106" s="306">
        <v>0</v>
      </c>
    </row>
    <row r="107" spans="1:31" ht="45">
      <c r="A107" s="188">
        <v>1</v>
      </c>
      <c r="B107" s="242" t="s">
        <v>1787</v>
      </c>
      <c r="C107" s="187" t="s">
        <v>4</v>
      </c>
      <c r="D107" s="42">
        <v>2</v>
      </c>
      <c r="E107" s="143">
        <v>2</v>
      </c>
      <c r="F107" s="143">
        <f t="shared" si="13"/>
        <v>2</v>
      </c>
      <c r="G107" s="188" t="s">
        <v>1802</v>
      </c>
      <c r="H107" s="215" t="s">
        <v>1789</v>
      </c>
      <c r="I107" s="215" t="s">
        <v>1790</v>
      </c>
      <c r="J107" s="188" t="s">
        <v>1791</v>
      </c>
      <c r="K107" s="188" t="s">
        <v>1792</v>
      </c>
      <c r="L107" s="188" t="s">
        <v>1793</v>
      </c>
      <c r="M107" s="188" t="s">
        <v>1678</v>
      </c>
      <c r="N107" s="188" t="s">
        <v>1794</v>
      </c>
      <c r="O107" s="188" t="s">
        <v>1795</v>
      </c>
      <c r="P107" s="188" t="s">
        <v>1670</v>
      </c>
      <c r="Q107" s="188"/>
      <c r="R107" s="307">
        <v>2</v>
      </c>
      <c r="S107" s="470" t="s">
        <v>3256</v>
      </c>
      <c r="T107" s="471" t="s">
        <v>3254</v>
      </c>
      <c r="U107" s="471" t="s">
        <v>3214</v>
      </c>
      <c r="V107" s="471" t="s">
        <v>772</v>
      </c>
      <c r="W107" s="517">
        <v>82831300</v>
      </c>
      <c r="X107" s="517"/>
      <c r="Y107" s="517">
        <v>5207800</v>
      </c>
      <c r="Z107" s="306"/>
      <c r="AA107" s="306"/>
      <c r="AB107" s="306">
        <f t="shared" si="14"/>
        <v>88039100</v>
      </c>
      <c r="AC107" s="306">
        <f t="shared" si="15"/>
        <v>176078200</v>
      </c>
      <c r="AD107" s="306">
        <f t="shared" si="16"/>
        <v>176078200</v>
      </c>
      <c r="AE107" s="306" t="s">
        <v>3257</v>
      </c>
    </row>
    <row r="108" spans="1:31" ht="45">
      <c r="A108" s="188">
        <v>2</v>
      </c>
      <c r="B108" s="242" t="s">
        <v>1787</v>
      </c>
      <c r="C108" s="187" t="s">
        <v>4</v>
      </c>
      <c r="D108" s="42">
        <v>1</v>
      </c>
      <c r="E108" s="143">
        <v>1</v>
      </c>
      <c r="F108" s="143">
        <f t="shared" si="13"/>
        <v>1</v>
      </c>
      <c r="G108" s="188" t="s">
        <v>1803</v>
      </c>
      <c r="H108" s="215" t="s">
        <v>1804</v>
      </c>
      <c r="I108" s="215" t="s">
        <v>1798</v>
      </c>
      <c r="J108" s="188" t="s">
        <v>1791</v>
      </c>
      <c r="K108" s="188" t="s">
        <v>1792</v>
      </c>
      <c r="L108" s="188" t="s">
        <v>1799</v>
      </c>
      <c r="M108" s="188" t="s">
        <v>1678</v>
      </c>
      <c r="N108" s="188" t="s">
        <v>1794</v>
      </c>
      <c r="O108" s="188" t="s">
        <v>1795</v>
      </c>
      <c r="P108" s="188" t="s">
        <v>1670</v>
      </c>
      <c r="Q108" s="188"/>
      <c r="R108" s="307">
        <v>1</v>
      </c>
      <c r="S108" s="470" t="s">
        <v>3253</v>
      </c>
      <c r="T108" s="471" t="s">
        <v>3254</v>
      </c>
      <c r="U108" s="471" t="s">
        <v>3214</v>
      </c>
      <c r="V108" s="471" t="s">
        <v>772</v>
      </c>
      <c r="W108" s="517">
        <v>173886900</v>
      </c>
      <c r="X108" s="517"/>
      <c r="Y108" s="517">
        <v>5207800</v>
      </c>
      <c r="Z108" s="306"/>
      <c r="AA108" s="306"/>
      <c r="AB108" s="306">
        <f t="shared" si="14"/>
        <v>179094700</v>
      </c>
      <c r="AC108" s="306">
        <f t="shared" si="15"/>
        <v>179094700</v>
      </c>
      <c r="AD108" s="306">
        <f t="shared" si="16"/>
        <v>179094700</v>
      </c>
      <c r="AE108" s="306" t="s">
        <v>3255</v>
      </c>
    </row>
    <row r="109" spans="1:31" ht="60">
      <c r="A109" s="188">
        <v>3</v>
      </c>
      <c r="B109" s="242" t="s">
        <v>1805</v>
      </c>
      <c r="C109" s="187" t="s">
        <v>4</v>
      </c>
      <c r="D109" s="42">
        <v>2</v>
      </c>
      <c r="E109" s="143">
        <v>2</v>
      </c>
      <c r="F109" s="143">
        <f t="shared" si="13"/>
        <v>2</v>
      </c>
      <c r="G109" s="188" t="s">
        <v>1806</v>
      </c>
      <c r="H109" s="215">
        <v>23000</v>
      </c>
      <c r="I109" s="215">
        <v>900</v>
      </c>
      <c r="J109" s="188" t="s">
        <v>1677</v>
      </c>
      <c r="K109" s="188" t="s">
        <v>1792</v>
      </c>
      <c r="L109" s="188">
        <v>11</v>
      </c>
      <c r="M109" s="188" t="s">
        <v>1678</v>
      </c>
      <c r="N109" s="188" t="s">
        <v>1794</v>
      </c>
      <c r="O109" s="188" t="s">
        <v>1795</v>
      </c>
      <c r="P109" s="188" t="s">
        <v>1670</v>
      </c>
      <c r="Q109" s="188"/>
      <c r="R109" s="307">
        <v>2</v>
      </c>
      <c r="S109" s="470" t="s">
        <v>3227</v>
      </c>
      <c r="T109" s="471" t="s">
        <v>3251</v>
      </c>
      <c r="U109" s="471" t="s">
        <v>3214</v>
      </c>
      <c r="V109" s="471" t="s">
        <v>772</v>
      </c>
      <c r="W109" s="517">
        <v>53375700</v>
      </c>
      <c r="X109" s="517"/>
      <c r="Y109" s="517">
        <v>3719700</v>
      </c>
      <c r="Z109" s="306"/>
      <c r="AA109" s="306"/>
      <c r="AB109" s="306">
        <f t="shared" si="14"/>
        <v>57095400</v>
      </c>
      <c r="AC109" s="306">
        <f t="shared" si="15"/>
        <v>114190800</v>
      </c>
      <c r="AD109" s="306">
        <f t="shared" si="16"/>
        <v>114190800</v>
      </c>
      <c r="AE109" s="306" t="s">
        <v>3252</v>
      </c>
    </row>
    <row r="110" spans="1:31" ht="45">
      <c r="A110" s="188">
        <v>4</v>
      </c>
      <c r="B110" s="242" t="s">
        <v>1807</v>
      </c>
      <c r="C110" s="187" t="s">
        <v>4</v>
      </c>
      <c r="D110" s="42">
        <v>1</v>
      </c>
      <c r="E110" s="143">
        <v>1</v>
      </c>
      <c r="F110" s="143">
        <f t="shared" si="13"/>
        <v>1</v>
      </c>
      <c r="G110" s="188" t="s">
        <v>1808</v>
      </c>
      <c r="H110" s="215">
        <v>27000</v>
      </c>
      <c r="I110" s="215">
        <v>500</v>
      </c>
      <c r="J110" s="188" t="s">
        <v>1677</v>
      </c>
      <c r="K110" s="188">
        <v>55</v>
      </c>
      <c r="L110" s="188">
        <v>15</v>
      </c>
      <c r="M110" s="188" t="s">
        <v>1678</v>
      </c>
      <c r="N110" s="188" t="s">
        <v>1794</v>
      </c>
      <c r="O110" s="188" t="s">
        <v>1795</v>
      </c>
      <c r="P110" s="188"/>
      <c r="Q110" s="188"/>
      <c r="R110" s="307">
        <v>1</v>
      </c>
      <c r="S110" s="470" t="s">
        <v>3229</v>
      </c>
      <c r="T110" s="471" t="s">
        <v>3221</v>
      </c>
      <c r="U110" s="471" t="s">
        <v>3214</v>
      </c>
      <c r="V110" s="471" t="s">
        <v>772</v>
      </c>
      <c r="W110" s="517">
        <v>41209700</v>
      </c>
      <c r="X110" s="517"/>
      <c r="Y110" s="517">
        <v>3719700</v>
      </c>
      <c r="Z110" s="306"/>
      <c r="AA110" s="306"/>
      <c r="AB110" s="306">
        <f t="shared" si="14"/>
        <v>44929400</v>
      </c>
      <c r="AC110" s="306">
        <f t="shared" si="15"/>
        <v>44929400</v>
      </c>
      <c r="AD110" s="306">
        <f t="shared" si="16"/>
        <v>44929400</v>
      </c>
      <c r="AE110" s="306" t="s">
        <v>3250</v>
      </c>
    </row>
    <row r="111" spans="1:31" ht="45">
      <c r="A111" s="188">
        <v>5</v>
      </c>
      <c r="B111" s="242" t="s">
        <v>1809</v>
      </c>
      <c r="C111" s="187" t="s">
        <v>4</v>
      </c>
      <c r="D111" s="42">
        <v>1</v>
      </c>
      <c r="E111" s="143">
        <v>1</v>
      </c>
      <c r="F111" s="143">
        <f t="shared" si="13"/>
        <v>1</v>
      </c>
      <c r="G111" s="188" t="s">
        <v>1810</v>
      </c>
      <c r="H111" s="215">
        <v>20500</v>
      </c>
      <c r="I111" s="215">
        <v>450</v>
      </c>
      <c r="J111" s="188" t="s">
        <v>1677</v>
      </c>
      <c r="K111" s="188">
        <v>55</v>
      </c>
      <c r="L111" s="188">
        <v>11</v>
      </c>
      <c r="M111" s="188" t="s">
        <v>1678</v>
      </c>
      <c r="N111" s="188" t="s">
        <v>1794</v>
      </c>
      <c r="O111" s="188" t="s">
        <v>1795</v>
      </c>
      <c r="P111" s="188"/>
      <c r="Q111" s="188"/>
      <c r="R111" s="307">
        <v>1</v>
      </c>
      <c r="S111" s="470" t="s">
        <v>3229</v>
      </c>
      <c r="T111" s="471" t="s">
        <v>3221</v>
      </c>
      <c r="U111" s="471" t="s">
        <v>3214</v>
      </c>
      <c r="V111" s="471" t="s">
        <v>772</v>
      </c>
      <c r="W111" s="517">
        <v>31615800</v>
      </c>
      <c r="X111" s="517"/>
      <c r="Y111" s="517">
        <v>3719700</v>
      </c>
      <c r="Z111" s="306"/>
      <c r="AA111" s="306"/>
      <c r="AB111" s="306">
        <f t="shared" si="14"/>
        <v>35335500</v>
      </c>
      <c r="AC111" s="306">
        <f t="shared" si="15"/>
        <v>35335500</v>
      </c>
      <c r="AD111" s="306">
        <f t="shared" si="16"/>
        <v>35335500</v>
      </c>
      <c r="AE111" s="306" t="s">
        <v>3249</v>
      </c>
    </row>
    <row r="112" spans="1:31" ht="45">
      <c r="A112" s="188">
        <v>6</v>
      </c>
      <c r="B112" s="242" t="s">
        <v>1807</v>
      </c>
      <c r="C112" s="187" t="s">
        <v>4</v>
      </c>
      <c r="D112" s="42">
        <v>1</v>
      </c>
      <c r="E112" s="143">
        <v>1</v>
      </c>
      <c r="F112" s="143">
        <f t="shared" si="13"/>
        <v>1</v>
      </c>
      <c r="G112" s="188" t="s">
        <v>1811</v>
      </c>
      <c r="H112" s="215">
        <v>21000</v>
      </c>
      <c r="I112" s="215">
        <v>450</v>
      </c>
      <c r="J112" s="188" t="s">
        <v>1677</v>
      </c>
      <c r="K112" s="188">
        <v>55</v>
      </c>
      <c r="L112" s="188">
        <v>11</v>
      </c>
      <c r="M112" s="188" t="s">
        <v>1678</v>
      </c>
      <c r="N112" s="188" t="s">
        <v>1794</v>
      </c>
      <c r="O112" s="188" t="s">
        <v>1795</v>
      </c>
      <c r="P112" s="188"/>
      <c r="Q112" s="188"/>
      <c r="R112" s="307">
        <v>1</v>
      </c>
      <c r="S112" s="470" t="s">
        <v>3229</v>
      </c>
      <c r="T112" s="471" t="s">
        <v>3221</v>
      </c>
      <c r="U112" s="471" t="s">
        <v>3214</v>
      </c>
      <c r="V112" s="471" t="s">
        <v>772</v>
      </c>
      <c r="W112" s="517">
        <v>31615800</v>
      </c>
      <c r="X112" s="517"/>
      <c r="Y112" s="517">
        <v>3719700</v>
      </c>
      <c r="Z112" s="306"/>
      <c r="AA112" s="306"/>
      <c r="AB112" s="306">
        <f t="shared" si="14"/>
        <v>35335500</v>
      </c>
      <c r="AC112" s="306">
        <f t="shared" si="15"/>
        <v>35335500</v>
      </c>
      <c r="AD112" s="306">
        <f t="shared" si="16"/>
        <v>35335500</v>
      </c>
      <c r="AE112" s="306" t="s">
        <v>3248</v>
      </c>
    </row>
    <row r="113" spans="1:31" ht="15">
      <c r="A113" s="188"/>
      <c r="B113" s="243" t="s">
        <v>538</v>
      </c>
      <c r="C113" s="187"/>
      <c r="D113" s="42"/>
      <c r="E113" s="143"/>
      <c r="F113" s="143">
        <f t="shared" si="13"/>
        <v>0</v>
      </c>
      <c r="G113" s="188"/>
      <c r="H113" s="215"/>
      <c r="I113" s="215"/>
      <c r="J113" s="188"/>
      <c r="K113" s="188"/>
      <c r="L113" s="188"/>
      <c r="M113" s="188"/>
      <c r="N113" s="188"/>
      <c r="O113" s="188"/>
      <c r="P113" s="188"/>
      <c r="Q113" s="188"/>
      <c r="R113" s="307">
        <v>0</v>
      </c>
      <c r="S113" s="470">
        <v>0</v>
      </c>
      <c r="T113" s="471">
        <v>0</v>
      </c>
      <c r="U113" s="471">
        <v>0</v>
      </c>
      <c r="V113" s="471">
        <v>0</v>
      </c>
      <c r="W113" s="517">
        <v>0</v>
      </c>
      <c r="X113" s="517"/>
      <c r="Y113" s="517">
        <v>0</v>
      </c>
      <c r="Z113" s="306"/>
      <c r="AA113" s="306"/>
      <c r="AB113" s="306">
        <f t="shared" si="14"/>
        <v>0</v>
      </c>
      <c r="AC113" s="306">
        <f t="shared" si="15"/>
        <v>0</v>
      </c>
      <c r="AD113" s="306">
        <f t="shared" si="16"/>
        <v>0</v>
      </c>
      <c r="AE113" s="306">
        <v>0</v>
      </c>
    </row>
    <row r="114" spans="1:31" ht="45">
      <c r="A114" s="188">
        <v>9</v>
      </c>
      <c r="B114" s="242" t="s">
        <v>1812</v>
      </c>
      <c r="C114" s="187" t="s">
        <v>4</v>
      </c>
      <c r="D114" s="42">
        <v>1</v>
      </c>
      <c r="E114" s="143">
        <v>1</v>
      </c>
      <c r="F114" s="143">
        <f t="shared" si="13"/>
        <v>1</v>
      </c>
      <c r="G114" s="188" t="s">
        <v>1813</v>
      </c>
      <c r="H114" s="215">
        <v>10000</v>
      </c>
      <c r="I114" s="215">
        <v>200</v>
      </c>
      <c r="J114" s="188" t="s">
        <v>1677</v>
      </c>
      <c r="K114" s="188">
        <v>55</v>
      </c>
      <c r="L114" s="188">
        <v>3.5</v>
      </c>
      <c r="M114" s="188" t="s">
        <v>1678</v>
      </c>
      <c r="N114" s="188" t="s">
        <v>1794</v>
      </c>
      <c r="O114" s="188" t="s">
        <v>1795</v>
      </c>
      <c r="P114" s="188"/>
      <c r="Q114" s="188"/>
      <c r="R114" s="307">
        <v>1</v>
      </c>
      <c r="S114" s="470" t="s">
        <v>3246</v>
      </c>
      <c r="T114" s="471" t="s">
        <v>3221</v>
      </c>
      <c r="U114" s="471" t="s">
        <v>3214</v>
      </c>
      <c r="V114" s="471" t="s">
        <v>772</v>
      </c>
      <c r="W114" s="517">
        <v>19650600</v>
      </c>
      <c r="X114" s="517"/>
      <c r="Y114" s="517">
        <v>3182700</v>
      </c>
      <c r="Z114" s="306"/>
      <c r="AA114" s="306"/>
      <c r="AB114" s="306">
        <f t="shared" si="14"/>
        <v>22833300</v>
      </c>
      <c r="AC114" s="306">
        <f t="shared" si="15"/>
        <v>22833300</v>
      </c>
      <c r="AD114" s="306">
        <f t="shared" si="16"/>
        <v>22833300</v>
      </c>
      <c r="AE114" s="306" t="s">
        <v>3247</v>
      </c>
    </row>
    <row r="115" spans="1:31" ht="15">
      <c r="A115" s="188"/>
      <c r="B115" s="243" t="s">
        <v>542</v>
      </c>
      <c r="C115" s="187"/>
      <c r="D115" s="42"/>
      <c r="E115" s="143"/>
      <c r="F115" s="143">
        <f t="shared" si="13"/>
        <v>0</v>
      </c>
      <c r="G115" s="188"/>
      <c r="H115" s="215"/>
      <c r="I115" s="215"/>
      <c r="J115" s="188"/>
      <c r="K115" s="188"/>
      <c r="L115" s="188"/>
      <c r="M115" s="188"/>
      <c r="N115" s="188"/>
      <c r="O115" s="188"/>
      <c r="P115" s="188"/>
      <c r="Q115" s="188"/>
      <c r="R115" s="307">
        <v>0</v>
      </c>
      <c r="S115" s="470">
        <v>0</v>
      </c>
      <c r="T115" s="471">
        <v>0</v>
      </c>
      <c r="U115" s="471">
        <v>0</v>
      </c>
      <c r="V115" s="471">
        <v>0</v>
      </c>
      <c r="W115" s="517">
        <v>0</v>
      </c>
      <c r="X115" s="517"/>
      <c r="Y115" s="517">
        <v>0</v>
      </c>
      <c r="Z115" s="306"/>
      <c r="AA115" s="306"/>
      <c r="AB115" s="306">
        <f t="shared" si="14"/>
        <v>0</v>
      </c>
      <c r="AC115" s="306">
        <f t="shared" si="15"/>
        <v>0</v>
      </c>
      <c r="AD115" s="306">
        <f t="shared" si="16"/>
        <v>0</v>
      </c>
      <c r="AE115" s="306">
        <v>0</v>
      </c>
    </row>
    <row r="116" spans="1:31" ht="45">
      <c r="A116" s="188">
        <v>10</v>
      </c>
      <c r="B116" s="242" t="s">
        <v>1814</v>
      </c>
      <c r="C116" s="187" t="s">
        <v>4</v>
      </c>
      <c r="D116" s="42">
        <v>1</v>
      </c>
      <c r="E116" s="143">
        <v>1</v>
      </c>
      <c r="F116" s="143">
        <f t="shared" si="13"/>
        <v>1</v>
      </c>
      <c r="G116" s="188" t="s">
        <v>1815</v>
      </c>
      <c r="H116" s="215">
        <v>17000</v>
      </c>
      <c r="I116" s="215">
        <v>450</v>
      </c>
      <c r="J116" s="188" t="s">
        <v>1677</v>
      </c>
      <c r="K116" s="188">
        <v>55</v>
      </c>
      <c r="L116" s="188">
        <v>11</v>
      </c>
      <c r="M116" s="188" t="s">
        <v>1678</v>
      </c>
      <c r="N116" s="188" t="s">
        <v>1794</v>
      </c>
      <c r="O116" s="188" t="s">
        <v>1795</v>
      </c>
      <c r="P116" s="188"/>
      <c r="Q116" s="188"/>
      <c r="R116" s="307">
        <v>1</v>
      </c>
      <c r="S116" s="470" t="s">
        <v>3241</v>
      </c>
      <c r="T116" s="471" t="s">
        <v>3221</v>
      </c>
      <c r="U116" s="471" t="s">
        <v>3214</v>
      </c>
      <c r="V116" s="471" t="s">
        <v>772</v>
      </c>
      <c r="W116" s="517">
        <v>26908400</v>
      </c>
      <c r="X116" s="517"/>
      <c r="Y116" s="517">
        <v>3719700</v>
      </c>
      <c r="Z116" s="306"/>
      <c r="AA116" s="306"/>
      <c r="AB116" s="306">
        <f t="shared" si="14"/>
        <v>30628100</v>
      </c>
      <c r="AC116" s="306">
        <f t="shared" si="15"/>
        <v>30628100</v>
      </c>
      <c r="AD116" s="306">
        <f t="shared" si="16"/>
        <v>30628100</v>
      </c>
      <c r="AE116" s="306" t="s">
        <v>3245</v>
      </c>
    </row>
    <row r="117" spans="1:31" ht="45">
      <c r="A117" s="188">
        <v>11</v>
      </c>
      <c r="B117" s="242" t="s">
        <v>1816</v>
      </c>
      <c r="C117" s="187" t="s">
        <v>4</v>
      </c>
      <c r="D117" s="42">
        <v>1</v>
      </c>
      <c r="E117" s="143">
        <v>1</v>
      </c>
      <c r="F117" s="143">
        <f t="shared" si="13"/>
        <v>1</v>
      </c>
      <c r="G117" s="188" t="s">
        <v>1817</v>
      </c>
      <c r="H117" s="215">
        <v>8000</v>
      </c>
      <c r="I117" s="215">
        <v>350</v>
      </c>
      <c r="J117" s="188" t="s">
        <v>1677</v>
      </c>
      <c r="K117" s="188">
        <v>55</v>
      </c>
      <c r="L117" s="188">
        <v>4</v>
      </c>
      <c r="M117" s="188" t="s">
        <v>1678</v>
      </c>
      <c r="N117" s="188" t="s">
        <v>1794</v>
      </c>
      <c r="O117" s="188" t="s">
        <v>1795</v>
      </c>
      <c r="P117" s="188"/>
      <c r="Q117" s="188"/>
      <c r="R117" s="307">
        <v>1</v>
      </c>
      <c r="S117" s="470" t="s">
        <v>3243</v>
      </c>
      <c r="T117" s="471" t="s">
        <v>3221</v>
      </c>
      <c r="U117" s="471" t="s">
        <v>3214</v>
      </c>
      <c r="V117" s="471" t="s">
        <v>772</v>
      </c>
      <c r="W117" s="517">
        <v>16856000</v>
      </c>
      <c r="X117" s="517"/>
      <c r="Y117" s="517">
        <v>3100100</v>
      </c>
      <c r="Z117" s="306"/>
      <c r="AA117" s="306"/>
      <c r="AB117" s="306">
        <f t="shared" si="14"/>
        <v>19956100</v>
      </c>
      <c r="AC117" s="306">
        <f t="shared" si="15"/>
        <v>19956100</v>
      </c>
      <c r="AD117" s="306">
        <f t="shared" si="16"/>
        <v>19956100</v>
      </c>
      <c r="AE117" s="306" t="s">
        <v>3244</v>
      </c>
    </row>
    <row r="118" spans="1:31" ht="45">
      <c r="A118" s="188">
        <v>12</v>
      </c>
      <c r="B118" s="242" t="s">
        <v>1816</v>
      </c>
      <c r="C118" s="187" t="s">
        <v>4</v>
      </c>
      <c r="D118" s="42">
        <v>2</v>
      </c>
      <c r="E118" s="143">
        <v>2</v>
      </c>
      <c r="F118" s="143">
        <f t="shared" si="13"/>
        <v>2</v>
      </c>
      <c r="G118" s="188" t="s">
        <v>1818</v>
      </c>
      <c r="H118" s="215">
        <v>18500</v>
      </c>
      <c r="I118" s="215">
        <v>400</v>
      </c>
      <c r="J118" s="188" t="s">
        <v>1677</v>
      </c>
      <c r="K118" s="188">
        <v>55</v>
      </c>
      <c r="L118" s="188">
        <v>11</v>
      </c>
      <c r="M118" s="188" t="s">
        <v>1678</v>
      </c>
      <c r="N118" s="188" t="s">
        <v>1794</v>
      </c>
      <c r="O118" s="188" t="s">
        <v>1795</v>
      </c>
      <c r="P118" s="188"/>
      <c r="Q118" s="188"/>
      <c r="R118" s="307">
        <v>2</v>
      </c>
      <c r="S118" s="470" t="s">
        <v>3241</v>
      </c>
      <c r="T118" s="471" t="s">
        <v>3221</v>
      </c>
      <c r="U118" s="471" t="s">
        <v>3214</v>
      </c>
      <c r="V118" s="471" t="s">
        <v>772</v>
      </c>
      <c r="W118" s="517">
        <v>26908400</v>
      </c>
      <c r="X118" s="517"/>
      <c r="Y118" s="517">
        <v>3719700</v>
      </c>
      <c r="Z118" s="306"/>
      <c r="AA118" s="306"/>
      <c r="AB118" s="306">
        <f t="shared" si="14"/>
        <v>30628100</v>
      </c>
      <c r="AC118" s="306">
        <f t="shared" si="15"/>
        <v>61256200</v>
      </c>
      <c r="AD118" s="306">
        <f t="shared" si="16"/>
        <v>61256200</v>
      </c>
      <c r="AE118" s="306" t="s">
        <v>3242</v>
      </c>
    </row>
    <row r="119" spans="1:31" ht="45">
      <c r="A119" s="188">
        <v>13</v>
      </c>
      <c r="B119" s="242" t="s">
        <v>1819</v>
      </c>
      <c r="C119" s="187" t="s">
        <v>4</v>
      </c>
      <c r="D119" s="42">
        <v>2</v>
      </c>
      <c r="E119" s="143">
        <v>2</v>
      </c>
      <c r="F119" s="143">
        <f t="shared" si="13"/>
        <v>2</v>
      </c>
      <c r="G119" s="188" t="s">
        <v>1820</v>
      </c>
      <c r="H119" s="215">
        <v>15500</v>
      </c>
      <c r="I119" s="215">
        <v>450</v>
      </c>
      <c r="J119" s="188" t="s">
        <v>1677</v>
      </c>
      <c r="K119" s="188">
        <v>55</v>
      </c>
      <c r="L119" s="188">
        <v>11</v>
      </c>
      <c r="M119" s="188" t="s">
        <v>1678</v>
      </c>
      <c r="N119" s="188" t="s">
        <v>1794</v>
      </c>
      <c r="O119" s="188" t="s">
        <v>1795</v>
      </c>
      <c r="P119" s="188"/>
      <c r="Q119" s="188"/>
      <c r="R119" s="307">
        <v>2</v>
      </c>
      <c r="S119" s="470" t="s">
        <v>3225</v>
      </c>
      <c r="T119" s="471" t="s">
        <v>3221</v>
      </c>
      <c r="U119" s="471" t="s">
        <v>3214</v>
      </c>
      <c r="V119" s="471" t="s">
        <v>772</v>
      </c>
      <c r="W119" s="517">
        <v>22418100</v>
      </c>
      <c r="X119" s="517"/>
      <c r="Y119" s="517">
        <v>3719700</v>
      </c>
      <c r="Z119" s="306"/>
      <c r="AA119" s="306"/>
      <c r="AB119" s="306">
        <f t="shared" si="14"/>
        <v>26137800</v>
      </c>
      <c r="AC119" s="306">
        <f t="shared" si="15"/>
        <v>52275600</v>
      </c>
      <c r="AD119" s="306">
        <f t="shared" si="16"/>
        <v>52275600</v>
      </c>
      <c r="AE119" s="306" t="s">
        <v>3226</v>
      </c>
    </row>
    <row r="120" spans="1:31" ht="45">
      <c r="A120" s="188">
        <v>14</v>
      </c>
      <c r="B120" s="242" t="s">
        <v>1821</v>
      </c>
      <c r="C120" s="187" t="s">
        <v>4</v>
      </c>
      <c r="D120" s="42">
        <v>1</v>
      </c>
      <c r="E120" s="143">
        <v>1</v>
      </c>
      <c r="F120" s="143">
        <f t="shared" si="13"/>
        <v>1</v>
      </c>
      <c r="G120" s="188" t="s">
        <v>1822</v>
      </c>
      <c r="H120" s="215">
        <v>33500</v>
      </c>
      <c r="I120" s="215">
        <v>650</v>
      </c>
      <c r="J120" s="188" t="s">
        <v>1677</v>
      </c>
      <c r="K120" s="188" t="s">
        <v>1792</v>
      </c>
      <c r="L120" s="188">
        <v>11</v>
      </c>
      <c r="M120" s="188" t="s">
        <v>1678</v>
      </c>
      <c r="N120" s="188" t="s">
        <v>1794</v>
      </c>
      <c r="O120" s="188" t="s">
        <v>1795</v>
      </c>
      <c r="P120" s="188" t="s">
        <v>1670</v>
      </c>
      <c r="Q120" s="188"/>
      <c r="R120" s="307">
        <v>1</v>
      </c>
      <c r="S120" s="470" t="s">
        <v>3229</v>
      </c>
      <c r="T120" s="471" t="s">
        <v>3239</v>
      </c>
      <c r="U120" s="471" t="s">
        <v>3214</v>
      </c>
      <c r="V120" s="471" t="s">
        <v>772</v>
      </c>
      <c r="W120" s="517">
        <v>50662500</v>
      </c>
      <c r="X120" s="517"/>
      <c r="Y120" s="517">
        <v>3719700</v>
      </c>
      <c r="Z120" s="306"/>
      <c r="AA120" s="306"/>
      <c r="AB120" s="306">
        <f t="shared" si="14"/>
        <v>54382200</v>
      </c>
      <c r="AC120" s="306">
        <f t="shared" si="15"/>
        <v>54382200</v>
      </c>
      <c r="AD120" s="306">
        <f t="shared" si="16"/>
        <v>54382200</v>
      </c>
      <c r="AE120" s="306" t="s">
        <v>3240</v>
      </c>
    </row>
    <row r="121" spans="1:31" ht="45">
      <c r="A121" s="188">
        <v>15</v>
      </c>
      <c r="B121" s="242" t="s">
        <v>1823</v>
      </c>
      <c r="C121" s="187" t="s">
        <v>4</v>
      </c>
      <c r="D121" s="42">
        <v>1</v>
      </c>
      <c r="E121" s="143">
        <v>1</v>
      </c>
      <c r="F121" s="143">
        <f t="shared" si="13"/>
        <v>1</v>
      </c>
      <c r="G121" s="188" t="s">
        <v>1824</v>
      </c>
      <c r="H121" s="215">
        <v>54000</v>
      </c>
      <c r="I121" s="215">
        <v>650</v>
      </c>
      <c r="J121" s="188" t="s">
        <v>1791</v>
      </c>
      <c r="K121" s="188" t="s">
        <v>1792</v>
      </c>
      <c r="L121" s="188">
        <v>11</v>
      </c>
      <c r="M121" s="188" t="s">
        <v>1678</v>
      </c>
      <c r="N121" s="188" t="s">
        <v>1794</v>
      </c>
      <c r="O121" s="188" t="s">
        <v>1795</v>
      </c>
      <c r="P121" s="188" t="s">
        <v>1670</v>
      </c>
      <c r="Q121" s="188"/>
      <c r="R121" s="307">
        <v>1</v>
      </c>
      <c r="S121" s="470" t="s">
        <v>3236</v>
      </c>
      <c r="T121" s="471" t="s">
        <v>3237</v>
      </c>
      <c r="U121" s="471" t="s">
        <v>3214</v>
      </c>
      <c r="V121" s="471" t="s">
        <v>772</v>
      </c>
      <c r="W121" s="517">
        <v>92680200</v>
      </c>
      <c r="X121" s="517"/>
      <c r="Y121" s="517">
        <v>24314000</v>
      </c>
      <c r="Z121" s="306"/>
      <c r="AA121" s="306"/>
      <c r="AB121" s="306">
        <f t="shared" si="14"/>
        <v>116994200</v>
      </c>
      <c r="AC121" s="306">
        <f t="shared" si="15"/>
        <v>116994200</v>
      </c>
      <c r="AD121" s="306">
        <f t="shared" si="16"/>
        <v>116994200</v>
      </c>
      <c r="AE121" s="306" t="s">
        <v>3238</v>
      </c>
    </row>
    <row r="122" spans="1:31" ht="15">
      <c r="A122" s="188"/>
      <c r="B122" s="243" t="s">
        <v>687</v>
      </c>
      <c r="C122" s="187"/>
      <c r="D122" s="42"/>
      <c r="E122" s="143"/>
      <c r="F122" s="143">
        <f t="shared" si="13"/>
        <v>0</v>
      </c>
      <c r="G122" s="188"/>
      <c r="H122" s="215"/>
      <c r="I122" s="215"/>
      <c r="J122" s="188"/>
      <c r="K122" s="188"/>
      <c r="L122" s="188"/>
      <c r="M122" s="188"/>
      <c r="N122" s="188"/>
      <c r="O122" s="188"/>
      <c r="P122" s="188"/>
      <c r="Q122" s="188"/>
      <c r="R122" s="307">
        <v>0</v>
      </c>
      <c r="S122" s="470">
        <v>0</v>
      </c>
      <c r="T122" s="471">
        <v>0</v>
      </c>
      <c r="U122" s="471">
        <v>0</v>
      </c>
      <c r="V122" s="471">
        <v>0</v>
      </c>
      <c r="W122" s="517">
        <v>0</v>
      </c>
      <c r="X122" s="517"/>
      <c r="Y122" s="517">
        <v>0</v>
      </c>
      <c r="Z122" s="306"/>
      <c r="AA122" s="306"/>
      <c r="AB122" s="306">
        <f t="shared" si="14"/>
        <v>0</v>
      </c>
      <c r="AC122" s="306">
        <f t="shared" si="15"/>
        <v>0</v>
      </c>
      <c r="AD122" s="306">
        <f t="shared" si="16"/>
        <v>0</v>
      </c>
      <c r="AE122" s="306">
        <v>0</v>
      </c>
    </row>
    <row r="123" spans="1:31" ht="45">
      <c r="A123" s="188">
        <v>16</v>
      </c>
      <c r="B123" s="242" t="s">
        <v>1814</v>
      </c>
      <c r="C123" s="187" t="s">
        <v>4</v>
      </c>
      <c r="D123" s="42">
        <v>1</v>
      </c>
      <c r="E123" s="143">
        <v>1</v>
      </c>
      <c r="F123" s="143">
        <f t="shared" si="13"/>
        <v>1</v>
      </c>
      <c r="G123" s="188" t="s">
        <v>1825</v>
      </c>
      <c r="H123" s="215">
        <v>36000</v>
      </c>
      <c r="I123" s="215">
        <v>700</v>
      </c>
      <c r="J123" s="188" t="s">
        <v>1677</v>
      </c>
      <c r="K123" s="188">
        <v>55</v>
      </c>
      <c r="L123" s="188">
        <v>15</v>
      </c>
      <c r="M123" s="188" t="s">
        <v>1678</v>
      </c>
      <c r="N123" s="188" t="s">
        <v>1794</v>
      </c>
      <c r="O123" s="188" t="s">
        <v>1795</v>
      </c>
      <c r="P123" s="188"/>
      <c r="Q123" s="188"/>
      <c r="R123" s="307">
        <v>1</v>
      </c>
      <c r="S123" s="470" t="s">
        <v>3229</v>
      </c>
      <c r="T123" s="471" t="s">
        <v>3221</v>
      </c>
      <c r="U123" s="471" t="s">
        <v>3214</v>
      </c>
      <c r="V123" s="471" t="s">
        <v>772</v>
      </c>
      <c r="W123" s="517">
        <v>45670200</v>
      </c>
      <c r="X123" s="517"/>
      <c r="Y123" s="517">
        <v>12194200</v>
      </c>
      <c r="Z123" s="306"/>
      <c r="AA123" s="306"/>
      <c r="AB123" s="306">
        <f t="shared" si="14"/>
        <v>57864400</v>
      </c>
      <c r="AC123" s="306">
        <f t="shared" si="15"/>
        <v>57864400</v>
      </c>
      <c r="AD123" s="306">
        <f t="shared" si="16"/>
        <v>57864400</v>
      </c>
      <c r="AE123" s="306" t="s">
        <v>3230</v>
      </c>
    </row>
    <row r="124" spans="1:31" ht="45">
      <c r="A124" s="188">
        <v>17</v>
      </c>
      <c r="B124" s="242" t="s">
        <v>1826</v>
      </c>
      <c r="C124" s="187" t="s">
        <v>4</v>
      </c>
      <c r="D124" s="42">
        <v>1</v>
      </c>
      <c r="E124" s="143">
        <v>1</v>
      </c>
      <c r="F124" s="143">
        <f t="shared" si="13"/>
        <v>1</v>
      </c>
      <c r="G124" s="188" t="s">
        <v>1827</v>
      </c>
      <c r="H124" s="215">
        <v>26000</v>
      </c>
      <c r="I124" s="215">
        <v>700</v>
      </c>
      <c r="J124" s="188" t="s">
        <v>1677</v>
      </c>
      <c r="K124" s="188">
        <v>55</v>
      </c>
      <c r="L124" s="188">
        <v>11</v>
      </c>
      <c r="M124" s="188" t="s">
        <v>1678</v>
      </c>
      <c r="N124" s="188" t="s">
        <v>1794</v>
      </c>
      <c r="O124" s="188" t="s">
        <v>1795</v>
      </c>
      <c r="P124" s="188"/>
      <c r="Q124" s="188"/>
      <c r="R124" s="307">
        <v>1</v>
      </c>
      <c r="S124" s="470" t="s">
        <v>3227</v>
      </c>
      <c r="T124" s="471" t="s">
        <v>3221</v>
      </c>
      <c r="U124" s="471" t="s">
        <v>3214</v>
      </c>
      <c r="V124" s="471" t="s">
        <v>772</v>
      </c>
      <c r="W124" s="517">
        <v>41898800</v>
      </c>
      <c r="X124" s="517"/>
      <c r="Y124" s="517">
        <v>11160000</v>
      </c>
      <c r="Z124" s="306"/>
      <c r="AA124" s="306"/>
      <c r="AB124" s="306">
        <f t="shared" si="14"/>
        <v>53058800</v>
      </c>
      <c r="AC124" s="306">
        <f t="shared" si="15"/>
        <v>53058800</v>
      </c>
      <c r="AD124" s="306">
        <f t="shared" si="16"/>
        <v>53058800</v>
      </c>
      <c r="AE124" s="306" t="s">
        <v>3228</v>
      </c>
    </row>
    <row r="125" spans="1:31" ht="45">
      <c r="A125" s="188">
        <v>18</v>
      </c>
      <c r="B125" s="242" t="s">
        <v>1828</v>
      </c>
      <c r="C125" s="187" t="s">
        <v>4</v>
      </c>
      <c r="D125" s="42">
        <v>1</v>
      </c>
      <c r="E125" s="143">
        <v>1</v>
      </c>
      <c r="F125" s="143">
        <f t="shared" si="13"/>
        <v>1</v>
      </c>
      <c r="G125" s="188" t="s">
        <v>1829</v>
      </c>
      <c r="H125" s="215">
        <v>62000</v>
      </c>
      <c r="I125" s="215">
        <v>800</v>
      </c>
      <c r="J125" s="188" t="s">
        <v>1677</v>
      </c>
      <c r="K125" s="188">
        <v>55</v>
      </c>
      <c r="L125" s="188">
        <v>33</v>
      </c>
      <c r="M125" s="188" t="s">
        <v>1678</v>
      </c>
      <c r="N125" s="188" t="s">
        <v>1794</v>
      </c>
      <c r="O125" s="188" t="s">
        <v>1795</v>
      </c>
      <c r="P125" s="188"/>
      <c r="Q125" s="188"/>
      <c r="R125" s="307">
        <v>1</v>
      </c>
      <c r="S125" s="470" t="s">
        <v>3220</v>
      </c>
      <c r="T125" s="471" t="s">
        <v>3221</v>
      </c>
      <c r="U125" s="471" t="s">
        <v>3214</v>
      </c>
      <c r="V125" s="471" t="s">
        <v>772</v>
      </c>
      <c r="W125" s="517">
        <v>70156800</v>
      </c>
      <c r="X125" s="517"/>
      <c r="Y125" s="517">
        <v>18908800</v>
      </c>
      <c r="Z125" s="306"/>
      <c r="AA125" s="306"/>
      <c r="AB125" s="306">
        <f t="shared" si="14"/>
        <v>89065600</v>
      </c>
      <c r="AC125" s="306">
        <f t="shared" si="15"/>
        <v>89065600</v>
      </c>
      <c r="AD125" s="306">
        <f t="shared" si="16"/>
        <v>89065600</v>
      </c>
      <c r="AE125" s="306" t="s">
        <v>3222</v>
      </c>
    </row>
    <row r="126" spans="1:31" ht="45">
      <c r="A126" s="188">
        <v>19</v>
      </c>
      <c r="B126" s="242" t="s">
        <v>1830</v>
      </c>
      <c r="C126" s="187" t="s">
        <v>4</v>
      </c>
      <c r="D126" s="42">
        <v>1</v>
      </c>
      <c r="E126" s="143">
        <v>1</v>
      </c>
      <c r="F126" s="143">
        <f t="shared" si="13"/>
        <v>1</v>
      </c>
      <c r="G126" s="188" t="s">
        <v>1831</v>
      </c>
      <c r="H126" s="215">
        <v>43000</v>
      </c>
      <c r="I126" s="215">
        <v>900</v>
      </c>
      <c r="J126" s="188" t="s">
        <v>1791</v>
      </c>
      <c r="K126" s="188" t="s">
        <v>1792</v>
      </c>
      <c r="L126" s="188">
        <v>11</v>
      </c>
      <c r="M126" s="188" t="s">
        <v>1678</v>
      </c>
      <c r="N126" s="188" t="s">
        <v>1794</v>
      </c>
      <c r="O126" s="188" t="s">
        <v>1795</v>
      </c>
      <c r="P126" s="188" t="s">
        <v>1670</v>
      </c>
      <c r="Q126" s="188"/>
      <c r="R126" s="307">
        <v>1</v>
      </c>
      <c r="S126" s="470" t="s">
        <v>3234</v>
      </c>
      <c r="T126" s="471" t="s">
        <v>3232</v>
      </c>
      <c r="U126" s="471" t="s">
        <v>3214</v>
      </c>
      <c r="V126" s="471" t="s">
        <v>772</v>
      </c>
      <c r="W126" s="517">
        <v>84567800</v>
      </c>
      <c r="X126" s="517"/>
      <c r="Y126" s="517">
        <v>22089400</v>
      </c>
      <c r="Z126" s="306"/>
      <c r="AA126" s="306"/>
      <c r="AB126" s="306">
        <f t="shared" si="14"/>
        <v>106657200</v>
      </c>
      <c r="AC126" s="306">
        <f t="shared" si="15"/>
        <v>106657200</v>
      </c>
      <c r="AD126" s="306">
        <f t="shared" si="16"/>
        <v>106657200</v>
      </c>
      <c r="AE126" s="306" t="s">
        <v>3219</v>
      </c>
    </row>
    <row r="127" spans="1:31" ht="15">
      <c r="A127" s="188"/>
      <c r="B127" s="243" t="s">
        <v>688</v>
      </c>
      <c r="C127" s="187"/>
      <c r="D127" s="42"/>
      <c r="E127" s="143"/>
      <c r="F127" s="143">
        <f t="shared" si="13"/>
        <v>0</v>
      </c>
      <c r="G127" s="188"/>
      <c r="H127" s="215"/>
      <c r="I127" s="215"/>
      <c r="J127" s="188"/>
      <c r="K127" s="188"/>
      <c r="L127" s="188"/>
      <c r="M127" s="188"/>
      <c r="N127" s="188"/>
      <c r="O127" s="188"/>
      <c r="P127" s="188"/>
      <c r="Q127" s="188"/>
      <c r="R127" s="307">
        <v>0</v>
      </c>
      <c r="S127" s="470">
        <v>0</v>
      </c>
      <c r="T127" s="471">
        <v>0</v>
      </c>
      <c r="U127" s="471">
        <v>0</v>
      </c>
      <c r="V127" s="471">
        <v>0</v>
      </c>
      <c r="W127" s="517">
        <v>0</v>
      </c>
      <c r="X127" s="517"/>
      <c r="Y127" s="517">
        <v>0</v>
      </c>
      <c r="Z127" s="306"/>
      <c r="AA127" s="306"/>
      <c r="AB127" s="306">
        <f t="shared" si="14"/>
        <v>0</v>
      </c>
      <c r="AC127" s="306">
        <f t="shared" si="15"/>
        <v>0</v>
      </c>
      <c r="AD127" s="306">
        <f t="shared" si="16"/>
        <v>0</v>
      </c>
      <c r="AE127" s="306">
        <v>0</v>
      </c>
    </row>
    <row r="128" spans="1:31" ht="45">
      <c r="A128" s="188">
        <v>20</v>
      </c>
      <c r="B128" s="242" t="s">
        <v>1819</v>
      </c>
      <c r="C128" s="187" t="s">
        <v>4</v>
      </c>
      <c r="D128" s="42">
        <v>1</v>
      </c>
      <c r="E128" s="143">
        <v>1</v>
      </c>
      <c r="F128" s="143">
        <f t="shared" si="13"/>
        <v>1</v>
      </c>
      <c r="G128" s="188" t="s">
        <v>1832</v>
      </c>
      <c r="H128" s="215">
        <v>15500</v>
      </c>
      <c r="I128" s="215">
        <v>450</v>
      </c>
      <c r="J128" s="188" t="s">
        <v>1677</v>
      </c>
      <c r="K128" s="188">
        <v>55</v>
      </c>
      <c r="L128" s="188">
        <v>11</v>
      </c>
      <c r="M128" s="188" t="s">
        <v>1678</v>
      </c>
      <c r="N128" s="188" t="s">
        <v>1794</v>
      </c>
      <c r="O128" s="188" t="s">
        <v>1795</v>
      </c>
      <c r="P128" s="188"/>
      <c r="Q128" s="188"/>
      <c r="R128" s="307">
        <v>1</v>
      </c>
      <c r="S128" s="470" t="s">
        <v>3225</v>
      </c>
      <c r="T128" s="471" t="s">
        <v>3221</v>
      </c>
      <c r="U128" s="471" t="s">
        <v>3214</v>
      </c>
      <c r="V128" s="471" t="s">
        <v>772</v>
      </c>
      <c r="W128" s="517">
        <v>22418100</v>
      </c>
      <c r="X128" s="517"/>
      <c r="Y128" s="517">
        <v>5818100</v>
      </c>
      <c r="Z128" s="306"/>
      <c r="AA128" s="306"/>
      <c r="AB128" s="306">
        <f t="shared" si="14"/>
        <v>28236200</v>
      </c>
      <c r="AC128" s="306">
        <f t="shared" si="15"/>
        <v>28236200</v>
      </c>
      <c r="AD128" s="306">
        <f t="shared" si="16"/>
        <v>28236200</v>
      </c>
      <c r="AE128" s="306" t="s">
        <v>3226</v>
      </c>
    </row>
    <row r="129" spans="1:31" ht="45">
      <c r="A129" s="188">
        <v>21</v>
      </c>
      <c r="B129" s="242" t="s">
        <v>1833</v>
      </c>
      <c r="C129" s="187" t="s">
        <v>4</v>
      </c>
      <c r="D129" s="42">
        <v>1</v>
      </c>
      <c r="E129" s="143">
        <v>2</v>
      </c>
      <c r="F129" s="143">
        <f t="shared" si="13"/>
        <v>2</v>
      </c>
      <c r="G129" s="188" t="s">
        <v>1834</v>
      </c>
      <c r="H129" s="215">
        <v>29000</v>
      </c>
      <c r="I129" s="215">
        <v>700</v>
      </c>
      <c r="J129" s="188" t="s">
        <v>1677</v>
      </c>
      <c r="K129" s="188">
        <v>55</v>
      </c>
      <c r="L129" s="188">
        <v>11</v>
      </c>
      <c r="M129" s="188" t="s">
        <v>1678</v>
      </c>
      <c r="N129" s="188" t="s">
        <v>1794</v>
      </c>
      <c r="O129" s="188" t="s">
        <v>1795</v>
      </c>
      <c r="P129" s="188"/>
      <c r="Q129" s="188"/>
      <c r="R129" s="307">
        <v>2</v>
      </c>
      <c r="S129" s="470" t="s">
        <v>3227</v>
      </c>
      <c r="T129" s="471" t="s">
        <v>3221</v>
      </c>
      <c r="U129" s="471" t="s">
        <v>3214</v>
      </c>
      <c r="V129" s="471" t="s">
        <v>772</v>
      </c>
      <c r="W129" s="517">
        <v>41898800</v>
      </c>
      <c r="X129" s="517"/>
      <c r="Y129" s="517">
        <v>11160000</v>
      </c>
      <c r="Z129" s="306"/>
      <c r="AA129" s="306"/>
      <c r="AB129" s="306">
        <f t="shared" si="14"/>
        <v>53058800</v>
      </c>
      <c r="AC129" s="306">
        <f t="shared" si="15"/>
        <v>106117600</v>
      </c>
      <c r="AD129" s="306">
        <f t="shared" si="16"/>
        <v>106117600</v>
      </c>
      <c r="AE129" s="306" t="s">
        <v>3235</v>
      </c>
    </row>
    <row r="130" spans="1:31" ht="45">
      <c r="A130" s="188">
        <v>22</v>
      </c>
      <c r="B130" s="242" t="s">
        <v>1833</v>
      </c>
      <c r="C130" s="187" t="s">
        <v>4</v>
      </c>
      <c r="D130" s="42">
        <v>1</v>
      </c>
      <c r="E130" s="143">
        <v>1</v>
      </c>
      <c r="F130" s="143">
        <f t="shared" si="13"/>
        <v>1</v>
      </c>
      <c r="G130" s="188" t="s">
        <v>1835</v>
      </c>
      <c r="H130" s="215">
        <v>58000</v>
      </c>
      <c r="I130" s="215">
        <v>700</v>
      </c>
      <c r="J130" s="188" t="s">
        <v>1677</v>
      </c>
      <c r="K130" s="188">
        <v>55</v>
      </c>
      <c r="L130" s="188">
        <v>33</v>
      </c>
      <c r="M130" s="188" t="s">
        <v>1678</v>
      </c>
      <c r="N130" s="188" t="s">
        <v>1794</v>
      </c>
      <c r="O130" s="188" t="s">
        <v>1795</v>
      </c>
      <c r="P130" s="188"/>
      <c r="Q130" s="188"/>
      <c r="R130" s="307">
        <v>1</v>
      </c>
      <c r="S130" s="470" t="s">
        <v>3223</v>
      </c>
      <c r="T130" s="471" t="s">
        <v>3221</v>
      </c>
      <c r="U130" s="471" t="s">
        <v>3214</v>
      </c>
      <c r="V130" s="471" t="s">
        <v>772</v>
      </c>
      <c r="W130" s="517">
        <v>57147000</v>
      </c>
      <c r="X130" s="517"/>
      <c r="Y130" s="517">
        <v>15341300</v>
      </c>
      <c r="Z130" s="306"/>
      <c r="AA130" s="306"/>
      <c r="AB130" s="306">
        <f t="shared" si="14"/>
        <v>72488300</v>
      </c>
      <c r="AC130" s="306">
        <f t="shared" si="15"/>
        <v>72488300</v>
      </c>
      <c r="AD130" s="306">
        <f t="shared" si="16"/>
        <v>72488300</v>
      </c>
      <c r="AE130" s="306" t="s">
        <v>3224</v>
      </c>
    </row>
    <row r="131" spans="1:31" ht="45">
      <c r="A131" s="188">
        <v>23</v>
      </c>
      <c r="B131" s="242" t="s">
        <v>1836</v>
      </c>
      <c r="C131" s="187" t="s">
        <v>4</v>
      </c>
      <c r="D131" s="42">
        <v>1</v>
      </c>
      <c r="E131" s="143">
        <v>1</v>
      </c>
      <c r="F131" s="143">
        <f t="shared" si="13"/>
        <v>1</v>
      </c>
      <c r="G131" s="188" t="s">
        <v>1837</v>
      </c>
      <c r="H131" s="215">
        <v>32500</v>
      </c>
      <c r="I131" s="215">
        <v>700</v>
      </c>
      <c r="J131" s="188" t="s">
        <v>1677</v>
      </c>
      <c r="K131" s="188">
        <v>55</v>
      </c>
      <c r="L131" s="188">
        <v>11</v>
      </c>
      <c r="M131" s="188" t="s">
        <v>1678</v>
      </c>
      <c r="N131" s="188" t="s">
        <v>1794</v>
      </c>
      <c r="O131" s="188" t="s">
        <v>1795</v>
      </c>
      <c r="P131" s="188"/>
      <c r="Q131" s="188"/>
      <c r="R131" s="307">
        <v>1</v>
      </c>
      <c r="S131" s="470" t="s">
        <v>3229</v>
      </c>
      <c r="T131" s="471" t="s">
        <v>3221</v>
      </c>
      <c r="U131" s="471" t="s">
        <v>3214</v>
      </c>
      <c r="V131" s="471" t="s">
        <v>772</v>
      </c>
      <c r="W131" s="517">
        <v>45670200</v>
      </c>
      <c r="X131" s="517"/>
      <c r="Y131" s="517">
        <v>12194200</v>
      </c>
      <c r="Z131" s="306"/>
      <c r="AA131" s="306"/>
      <c r="AB131" s="306">
        <f t="shared" si="14"/>
        <v>57864400</v>
      </c>
      <c r="AC131" s="306">
        <f t="shared" si="15"/>
        <v>57864400</v>
      </c>
      <c r="AD131" s="306">
        <f t="shared" si="16"/>
        <v>57864400</v>
      </c>
      <c r="AE131" s="306" t="s">
        <v>3233</v>
      </c>
    </row>
    <row r="132" spans="1:31" ht="45">
      <c r="A132" s="188">
        <v>24</v>
      </c>
      <c r="B132" s="242" t="s">
        <v>1830</v>
      </c>
      <c r="C132" s="187" t="s">
        <v>4</v>
      </c>
      <c r="D132" s="42">
        <v>1</v>
      </c>
      <c r="E132" s="143">
        <v>1</v>
      </c>
      <c r="F132" s="143">
        <f t="shared" si="13"/>
        <v>1</v>
      </c>
      <c r="G132" s="188" t="s">
        <v>1838</v>
      </c>
      <c r="H132" s="215">
        <v>43000</v>
      </c>
      <c r="I132" s="215">
        <v>900</v>
      </c>
      <c r="J132" s="188" t="s">
        <v>1791</v>
      </c>
      <c r="K132" s="188" t="s">
        <v>1792</v>
      </c>
      <c r="L132" s="188">
        <v>33</v>
      </c>
      <c r="M132" s="188" t="s">
        <v>1678</v>
      </c>
      <c r="N132" s="188" t="s">
        <v>1794</v>
      </c>
      <c r="O132" s="188" t="s">
        <v>1795</v>
      </c>
      <c r="P132" s="188"/>
      <c r="Q132" s="188"/>
      <c r="R132" s="307">
        <v>1</v>
      </c>
      <c r="S132" s="470" t="s">
        <v>3234</v>
      </c>
      <c r="T132" s="471" t="s">
        <v>3232</v>
      </c>
      <c r="U132" s="471" t="s">
        <v>3214</v>
      </c>
      <c r="V132" s="471" t="s">
        <v>772</v>
      </c>
      <c r="W132" s="517">
        <v>84567800</v>
      </c>
      <c r="X132" s="517"/>
      <c r="Y132" s="517">
        <v>22089400</v>
      </c>
      <c r="Z132" s="306"/>
      <c r="AA132" s="306"/>
      <c r="AB132" s="306">
        <f t="shared" si="14"/>
        <v>106657200</v>
      </c>
      <c r="AC132" s="306">
        <f t="shared" si="15"/>
        <v>106657200</v>
      </c>
      <c r="AD132" s="306">
        <f t="shared" si="16"/>
        <v>106657200</v>
      </c>
      <c r="AE132" s="306" t="s">
        <v>3219</v>
      </c>
    </row>
    <row r="133" spans="1:31" ht="15">
      <c r="A133" s="188"/>
      <c r="B133" s="243" t="s">
        <v>1774</v>
      </c>
      <c r="C133" s="187"/>
      <c r="D133" s="42"/>
      <c r="E133" s="143"/>
      <c r="F133" s="143">
        <f t="shared" si="13"/>
        <v>0</v>
      </c>
      <c r="G133" s="188"/>
      <c r="H133" s="215"/>
      <c r="I133" s="215"/>
      <c r="J133" s="188"/>
      <c r="K133" s="188"/>
      <c r="L133" s="188"/>
      <c r="M133" s="188"/>
      <c r="N133" s="188"/>
      <c r="O133" s="188"/>
      <c r="P133" s="188"/>
      <c r="Q133" s="188"/>
      <c r="R133" s="307">
        <v>0</v>
      </c>
      <c r="S133" s="470">
        <v>0</v>
      </c>
      <c r="T133" s="471">
        <v>0</v>
      </c>
      <c r="U133" s="471">
        <v>0</v>
      </c>
      <c r="V133" s="471">
        <v>0</v>
      </c>
      <c r="W133" s="517">
        <v>0</v>
      </c>
      <c r="X133" s="517"/>
      <c r="Y133" s="517">
        <v>0</v>
      </c>
      <c r="Z133" s="306"/>
      <c r="AA133" s="306"/>
      <c r="AB133" s="306">
        <f t="shared" si="14"/>
        <v>0</v>
      </c>
      <c r="AC133" s="306">
        <f t="shared" si="15"/>
        <v>0</v>
      </c>
      <c r="AD133" s="306">
        <f t="shared" si="16"/>
        <v>0</v>
      </c>
      <c r="AE133" s="306">
        <v>0</v>
      </c>
    </row>
    <row r="134" spans="1:31" ht="45">
      <c r="A134" s="188">
        <v>25</v>
      </c>
      <c r="B134" s="242" t="s">
        <v>1833</v>
      </c>
      <c r="C134" s="187" t="s">
        <v>4</v>
      </c>
      <c r="D134" s="42">
        <v>1</v>
      </c>
      <c r="E134" s="143">
        <v>1</v>
      </c>
      <c r="F134" s="143">
        <f t="shared" si="13"/>
        <v>1</v>
      </c>
      <c r="G134" s="188" t="s">
        <v>1839</v>
      </c>
      <c r="H134" s="215">
        <v>58000</v>
      </c>
      <c r="I134" s="215">
        <v>700</v>
      </c>
      <c r="J134" s="188" t="s">
        <v>1677</v>
      </c>
      <c r="K134" s="188">
        <v>55</v>
      </c>
      <c r="L134" s="188">
        <v>33</v>
      </c>
      <c r="M134" s="188" t="s">
        <v>1678</v>
      </c>
      <c r="N134" s="188" t="s">
        <v>1794</v>
      </c>
      <c r="O134" s="188" t="s">
        <v>1795</v>
      </c>
      <c r="P134" s="188"/>
      <c r="Q134" s="188"/>
      <c r="R134" s="307">
        <v>1</v>
      </c>
      <c r="S134" s="470" t="s">
        <v>3223</v>
      </c>
      <c r="T134" s="471" t="s">
        <v>3221</v>
      </c>
      <c r="U134" s="471" t="s">
        <v>3214</v>
      </c>
      <c r="V134" s="471" t="s">
        <v>772</v>
      </c>
      <c r="W134" s="517">
        <v>57147000</v>
      </c>
      <c r="X134" s="517"/>
      <c r="Y134" s="517">
        <v>15341300</v>
      </c>
      <c r="Z134" s="306"/>
      <c r="AA134" s="306"/>
      <c r="AB134" s="306">
        <f t="shared" si="14"/>
        <v>72488300</v>
      </c>
      <c r="AC134" s="306">
        <f t="shared" si="15"/>
        <v>72488300</v>
      </c>
      <c r="AD134" s="306">
        <f t="shared" si="16"/>
        <v>72488300</v>
      </c>
      <c r="AE134" s="306" t="s">
        <v>3224</v>
      </c>
    </row>
    <row r="135" spans="1:31" ht="45">
      <c r="A135" s="188">
        <v>26</v>
      </c>
      <c r="B135" s="242" t="s">
        <v>1836</v>
      </c>
      <c r="C135" s="187" t="s">
        <v>4</v>
      </c>
      <c r="D135" s="42">
        <v>1</v>
      </c>
      <c r="E135" s="143">
        <v>1</v>
      </c>
      <c r="F135" s="143">
        <f t="shared" si="13"/>
        <v>1</v>
      </c>
      <c r="G135" s="188" t="s">
        <v>1840</v>
      </c>
      <c r="H135" s="215">
        <v>32500</v>
      </c>
      <c r="I135" s="215">
        <v>700</v>
      </c>
      <c r="J135" s="188" t="s">
        <v>1677</v>
      </c>
      <c r="K135" s="188">
        <v>55</v>
      </c>
      <c r="L135" s="188">
        <v>11</v>
      </c>
      <c r="M135" s="188" t="s">
        <v>1678</v>
      </c>
      <c r="N135" s="188" t="s">
        <v>1794</v>
      </c>
      <c r="O135" s="188" t="s">
        <v>1795</v>
      </c>
      <c r="P135" s="188"/>
      <c r="Q135" s="188"/>
      <c r="R135" s="307">
        <v>1</v>
      </c>
      <c r="S135" s="470" t="s">
        <v>3229</v>
      </c>
      <c r="T135" s="471" t="s">
        <v>3221</v>
      </c>
      <c r="U135" s="471" t="s">
        <v>3214</v>
      </c>
      <c r="V135" s="471" t="s">
        <v>772</v>
      </c>
      <c r="W135" s="517">
        <v>45670200</v>
      </c>
      <c r="X135" s="517"/>
      <c r="Y135" s="517">
        <v>12194200</v>
      </c>
      <c r="Z135" s="306"/>
      <c r="AA135" s="306"/>
      <c r="AB135" s="306">
        <f t="shared" si="14"/>
        <v>57864400</v>
      </c>
      <c r="AC135" s="306">
        <f t="shared" si="15"/>
        <v>57864400</v>
      </c>
      <c r="AD135" s="306">
        <f t="shared" si="16"/>
        <v>57864400</v>
      </c>
      <c r="AE135" s="306" t="s">
        <v>3233</v>
      </c>
    </row>
    <row r="136" spans="1:31" ht="45">
      <c r="A136" s="188">
        <v>27</v>
      </c>
      <c r="B136" s="242" t="s">
        <v>1830</v>
      </c>
      <c r="C136" s="187" t="s">
        <v>4</v>
      </c>
      <c r="D136" s="42">
        <v>1</v>
      </c>
      <c r="E136" s="143">
        <v>1</v>
      </c>
      <c r="F136" s="143">
        <f t="shared" si="13"/>
        <v>1</v>
      </c>
      <c r="G136" s="188" t="s">
        <v>1841</v>
      </c>
      <c r="H136" s="215">
        <v>43000</v>
      </c>
      <c r="I136" s="215">
        <v>900</v>
      </c>
      <c r="J136" s="188" t="s">
        <v>1791</v>
      </c>
      <c r="K136" s="188" t="s">
        <v>1792</v>
      </c>
      <c r="L136" s="188">
        <v>33</v>
      </c>
      <c r="M136" s="188" t="s">
        <v>1678</v>
      </c>
      <c r="N136" s="188" t="s">
        <v>1794</v>
      </c>
      <c r="O136" s="188" t="s">
        <v>1795</v>
      </c>
      <c r="P136" s="188"/>
      <c r="Q136" s="188"/>
      <c r="R136" s="307">
        <v>1</v>
      </c>
      <c r="S136" s="470" t="s">
        <v>3231</v>
      </c>
      <c r="T136" s="471" t="s">
        <v>3232</v>
      </c>
      <c r="U136" s="471" t="s">
        <v>3214</v>
      </c>
      <c r="V136" s="471" t="s">
        <v>772</v>
      </c>
      <c r="W136" s="517">
        <v>84567800</v>
      </c>
      <c r="X136" s="517"/>
      <c r="Y136" s="517">
        <v>22089400</v>
      </c>
      <c r="Z136" s="306"/>
      <c r="AA136" s="306"/>
      <c r="AB136" s="306">
        <f t="shared" si="14"/>
        <v>106657200</v>
      </c>
      <c r="AC136" s="306">
        <f t="shared" si="15"/>
        <v>106657200</v>
      </c>
      <c r="AD136" s="306">
        <f t="shared" si="16"/>
        <v>106657200</v>
      </c>
      <c r="AE136" s="306" t="s">
        <v>3219</v>
      </c>
    </row>
    <row r="137" spans="1:31" ht="15">
      <c r="A137" s="188"/>
      <c r="B137" s="243" t="s">
        <v>1782</v>
      </c>
      <c r="C137" s="187"/>
      <c r="D137" s="42"/>
      <c r="E137" s="143"/>
      <c r="F137" s="143">
        <f t="shared" si="13"/>
        <v>0</v>
      </c>
      <c r="G137" s="188"/>
      <c r="H137" s="215"/>
      <c r="I137" s="215"/>
      <c r="J137" s="188"/>
      <c r="K137" s="188"/>
      <c r="L137" s="188"/>
      <c r="M137" s="188"/>
      <c r="N137" s="188"/>
      <c r="O137" s="188"/>
      <c r="P137" s="188"/>
      <c r="Q137" s="188"/>
      <c r="R137" s="307">
        <v>0</v>
      </c>
      <c r="S137" s="470">
        <v>0</v>
      </c>
      <c r="T137" s="471">
        <v>0</v>
      </c>
      <c r="U137" s="471">
        <v>0</v>
      </c>
      <c r="V137" s="471">
        <v>0</v>
      </c>
      <c r="W137" s="517">
        <v>0</v>
      </c>
      <c r="X137" s="517"/>
      <c r="Y137" s="517">
        <v>0</v>
      </c>
      <c r="Z137" s="306"/>
      <c r="AA137" s="306"/>
      <c r="AB137" s="306">
        <f t="shared" si="14"/>
        <v>0</v>
      </c>
      <c r="AC137" s="306">
        <f t="shared" si="15"/>
        <v>0</v>
      </c>
      <c r="AD137" s="306">
        <f t="shared" si="16"/>
        <v>0</v>
      </c>
      <c r="AE137" s="306">
        <v>0</v>
      </c>
    </row>
    <row r="138" spans="1:31" ht="45">
      <c r="A138" s="188">
        <v>28</v>
      </c>
      <c r="B138" s="242" t="s">
        <v>1842</v>
      </c>
      <c r="C138" s="187" t="s">
        <v>4</v>
      </c>
      <c r="D138" s="42">
        <v>1</v>
      </c>
      <c r="E138" s="143">
        <v>1</v>
      </c>
      <c r="F138" s="143">
        <f t="shared" si="13"/>
        <v>1</v>
      </c>
      <c r="G138" s="188" t="s">
        <v>1843</v>
      </c>
      <c r="H138" s="215">
        <v>36000</v>
      </c>
      <c r="I138" s="215">
        <v>700</v>
      </c>
      <c r="J138" s="188" t="s">
        <v>1677</v>
      </c>
      <c r="K138" s="188">
        <v>55</v>
      </c>
      <c r="L138" s="188">
        <v>18.5</v>
      </c>
      <c r="M138" s="188" t="s">
        <v>1678</v>
      </c>
      <c r="N138" s="188" t="s">
        <v>1794</v>
      </c>
      <c r="O138" s="188" t="s">
        <v>1795</v>
      </c>
      <c r="P138" s="188"/>
      <c r="Q138" s="188"/>
      <c r="R138" s="307">
        <v>1</v>
      </c>
      <c r="S138" s="470" t="s">
        <v>3229</v>
      </c>
      <c r="T138" s="471" t="s">
        <v>3221</v>
      </c>
      <c r="U138" s="471" t="s">
        <v>3214</v>
      </c>
      <c r="V138" s="471" t="s">
        <v>772</v>
      </c>
      <c r="W138" s="517">
        <v>45670200</v>
      </c>
      <c r="X138" s="517"/>
      <c r="Y138" s="517">
        <v>12194200</v>
      </c>
      <c r="Z138" s="306"/>
      <c r="AA138" s="306"/>
      <c r="AB138" s="306">
        <f t="shared" si="14"/>
        <v>57864400</v>
      </c>
      <c r="AC138" s="306">
        <f t="shared" si="15"/>
        <v>57864400</v>
      </c>
      <c r="AD138" s="306">
        <f t="shared" si="16"/>
        <v>57864400</v>
      </c>
      <c r="AE138" s="306" t="s">
        <v>3230</v>
      </c>
    </row>
    <row r="139" spans="1:31" ht="45">
      <c r="A139" s="188">
        <v>29</v>
      </c>
      <c r="B139" s="242" t="s">
        <v>1826</v>
      </c>
      <c r="C139" s="187" t="s">
        <v>4</v>
      </c>
      <c r="D139" s="42">
        <v>1</v>
      </c>
      <c r="E139" s="143">
        <v>1</v>
      </c>
      <c r="F139" s="143">
        <f t="shared" si="13"/>
        <v>1</v>
      </c>
      <c r="G139" s="188" t="s">
        <v>1844</v>
      </c>
      <c r="H139" s="215">
        <v>26000</v>
      </c>
      <c r="I139" s="215">
        <v>700</v>
      </c>
      <c r="J139" s="188" t="s">
        <v>1677</v>
      </c>
      <c r="K139" s="188">
        <v>55</v>
      </c>
      <c r="L139" s="188">
        <v>18.5</v>
      </c>
      <c r="M139" s="188" t="s">
        <v>1678</v>
      </c>
      <c r="N139" s="188" t="s">
        <v>1794</v>
      </c>
      <c r="O139" s="188" t="s">
        <v>1795</v>
      </c>
      <c r="P139" s="188"/>
      <c r="Q139" s="188"/>
      <c r="R139" s="307">
        <v>1</v>
      </c>
      <c r="S139" s="470" t="s">
        <v>3227</v>
      </c>
      <c r="T139" s="471" t="s">
        <v>3221</v>
      </c>
      <c r="U139" s="471" t="s">
        <v>3214</v>
      </c>
      <c r="V139" s="471" t="s">
        <v>772</v>
      </c>
      <c r="W139" s="517">
        <v>41898800</v>
      </c>
      <c r="X139" s="517"/>
      <c r="Y139" s="517">
        <v>11160000</v>
      </c>
      <c r="Z139" s="306"/>
      <c r="AA139" s="306"/>
      <c r="AB139" s="306">
        <f t="shared" si="14"/>
        <v>53058800</v>
      </c>
      <c r="AC139" s="306">
        <f t="shared" si="15"/>
        <v>53058800</v>
      </c>
      <c r="AD139" s="306">
        <f t="shared" si="16"/>
        <v>53058800</v>
      </c>
      <c r="AE139" s="306" t="s">
        <v>3228</v>
      </c>
    </row>
    <row r="140" spans="1:31" ht="45">
      <c r="A140" s="188">
        <v>30</v>
      </c>
      <c r="B140" s="242" t="s">
        <v>1819</v>
      </c>
      <c r="C140" s="187" t="s">
        <v>4</v>
      </c>
      <c r="D140" s="42">
        <v>1</v>
      </c>
      <c r="E140" s="143">
        <v>1</v>
      </c>
      <c r="F140" s="143">
        <f t="shared" si="13"/>
        <v>1</v>
      </c>
      <c r="G140" s="188" t="s">
        <v>1845</v>
      </c>
      <c r="H140" s="215">
        <v>15500</v>
      </c>
      <c r="I140" s="215">
        <v>450</v>
      </c>
      <c r="J140" s="188" t="s">
        <v>1677</v>
      </c>
      <c r="K140" s="188">
        <v>55</v>
      </c>
      <c r="L140" s="188">
        <v>11</v>
      </c>
      <c r="M140" s="188" t="s">
        <v>1678</v>
      </c>
      <c r="N140" s="188" t="s">
        <v>1794</v>
      </c>
      <c r="O140" s="188" t="s">
        <v>1795</v>
      </c>
      <c r="P140" s="188"/>
      <c r="Q140" s="188"/>
      <c r="R140" s="307">
        <v>1</v>
      </c>
      <c r="S140" s="470" t="s">
        <v>3225</v>
      </c>
      <c r="T140" s="471" t="s">
        <v>3221</v>
      </c>
      <c r="U140" s="471" t="s">
        <v>3214</v>
      </c>
      <c r="V140" s="471" t="s">
        <v>772</v>
      </c>
      <c r="W140" s="517">
        <v>22418100</v>
      </c>
      <c r="X140" s="517"/>
      <c r="Y140" s="517">
        <v>5818100</v>
      </c>
      <c r="Z140" s="306"/>
      <c r="AA140" s="306"/>
      <c r="AB140" s="306">
        <f t="shared" si="14"/>
        <v>28236200</v>
      </c>
      <c r="AC140" s="306">
        <f t="shared" si="15"/>
        <v>28236200</v>
      </c>
      <c r="AD140" s="306">
        <f t="shared" si="16"/>
        <v>28236200</v>
      </c>
      <c r="AE140" s="306" t="s">
        <v>3226</v>
      </c>
    </row>
    <row r="141" spans="1:31" ht="45">
      <c r="A141" s="188">
        <v>31</v>
      </c>
      <c r="B141" s="242" t="s">
        <v>1833</v>
      </c>
      <c r="C141" s="187" t="s">
        <v>4</v>
      </c>
      <c r="D141" s="42">
        <v>1</v>
      </c>
      <c r="E141" s="143">
        <v>1</v>
      </c>
      <c r="F141" s="143">
        <f t="shared" si="13"/>
        <v>1</v>
      </c>
      <c r="G141" s="188" t="s">
        <v>1846</v>
      </c>
      <c r="H141" s="215">
        <v>58000</v>
      </c>
      <c r="I141" s="215">
        <v>700</v>
      </c>
      <c r="J141" s="188" t="s">
        <v>1677</v>
      </c>
      <c r="K141" s="188">
        <v>55</v>
      </c>
      <c r="L141" s="188">
        <v>33</v>
      </c>
      <c r="M141" s="188" t="s">
        <v>1678</v>
      </c>
      <c r="N141" s="188" t="s">
        <v>1794</v>
      </c>
      <c r="O141" s="188" t="s">
        <v>1795</v>
      </c>
      <c r="P141" s="188"/>
      <c r="Q141" s="188"/>
      <c r="R141" s="307">
        <v>1</v>
      </c>
      <c r="S141" s="470" t="s">
        <v>3223</v>
      </c>
      <c r="T141" s="471" t="s">
        <v>3221</v>
      </c>
      <c r="U141" s="471" t="s">
        <v>3214</v>
      </c>
      <c r="V141" s="471" t="s">
        <v>772</v>
      </c>
      <c r="W141" s="517">
        <v>57147000</v>
      </c>
      <c r="X141" s="517"/>
      <c r="Y141" s="517">
        <v>15341300</v>
      </c>
      <c r="Z141" s="306"/>
      <c r="AA141" s="306"/>
      <c r="AB141" s="306">
        <f t="shared" si="14"/>
        <v>72488300</v>
      </c>
      <c r="AC141" s="306">
        <f t="shared" si="15"/>
        <v>72488300</v>
      </c>
      <c r="AD141" s="306">
        <f t="shared" si="16"/>
        <v>72488300</v>
      </c>
      <c r="AE141" s="306" t="s">
        <v>3224</v>
      </c>
    </row>
    <row r="142" spans="1:31" ht="45">
      <c r="A142" s="188">
        <v>32</v>
      </c>
      <c r="B142" s="242" t="s">
        <v>1847</v>
      </c>
      <c r="C142" s="187" t="s">
        <v>4</v>
      </c>
      <c r="D142" s="42">
        <v>1</v>
      </c>
      <c r="E142" s="143">
        <v>1</v>
      </c>
      <c r="F142" s="143">
        <f t="shared" si="13"/>
        <v>1</v>
      </c>
      <c r="G142" s="188" t="s">
        <v>1848</v>
      </c>
      <c r="H142" s="215">
        <v>62000</v>
      </c>
      <c r="I142" s="215">
        <v>800</v>
      </c>
      <c r="J142" s="188" t="s">
        <v>1677</v>
      </c>
      <c r="K142" s="188">
        <v>55</v>
      </c>
      <c r="L142" s="188">
        <v>33</v>
      </c>
      <c r="M142" s="188" t="s">
        <v>1678</v>
      </c>
      <c r="N142" s="188" t="s">
        <v>1794</v>
      </c>
      <c r="O142" s="188" t="s">
        <v>1795</v>
      </c>
      <c r="P142" s="188"/>
      <c r="Q142" s="188"/>
      <c r="R142" s="307">
        <v>1</v>
      </c>
      <c r="S142" s="470" t="s">
        <v>3220</v>
      </c>
      <c r="T142" s="471" t="s">
        <v>3221</v>
      </c>
      <c r="U142" s="471" t="s">
        <v>3214</v>
      </c>
      <c r="V142" s="471" t="s">
        <v>772</v>
      </c>
      <c r="W142" s="517">
        <v>70156800</v>
      </c>
      <c r="X142" s="517"/>
      <c r="Y142" s="517">
        <v>18908800</v>
      </c>
      <c r="Z142" s="306"/>
      <c r="AA142" s="306"/>
      <c r="AB142" s="306">
        <f t="shared" si="14"/>
        <v>89065600</v>
      </c>
      <c r="AC142" s="306">
        <f t="shared" si="15"/>
        <v>89065600</v>
      </c>
      <c r="AD142" s="306">
        <f t="shared" si="16"/>
        <v>89065600</v>
      </c>
      <c r="AE142" s="306" t="s">
        <v>3222</v>
      </c>
    </row>
    <row r="143" spans="1:31" ht="45">
      <c r="A143" s="188">
        <v>33</v>
      </c>
      <c r="B143" s="242" t="s">
        <v>1830</v>
      </c>
      <c r="C143" s="187" t="s">
        <v>4</v>
      </c>
      <c r="D143" s="42">
        <v>1</v>
      </c>
      <c r="E143" s="143">
        <v>1</v>
      </c>
      <c r="F143" s="143">
        <f t="shared" ref="F143:F144" si="17">E143</f>
        <v>1</v>
      </c>
      <c r="G143" s="188" t="s">
        <v>1849</v>
      </c>
      <c r="H143" s="215">
        <v>43000</v>
      </c>
      <c r="I143" s="215">
        <v>900</v>
      </c>
      <c r="J143" s="188" t="s">
        <v>1791</v>
      </c>
      <c r="K143" s="188" t="s">
        <v>1792</v>
      </c>
      <c r="L143" s="188">
        <v>33</v>
      </c>
      <c r="M143" s="188" t="s">
        <v>1678</v>
      </c>
      <c r="N143" s="188" t="s">
        <v>1794</v>
      </c>
      <c r="O143" s="188" t="s">
        <v>1795</v>
      </c>
      <c r="P143" s="188"/>
      <c r="Q143" s="188"/>
      <c r="R143" s="307">
        <v>1</v>
      </c>
      <c r="S143" s="470" t="s">
        <v>3218</v>
      </c>
      <c r="T143" s="471" t="s">
        <v>3216</v>
      </c>
      <c r="U143" s="471" t="s">
        <v>3214</v>
      </c>
      <c r="V143" s="471" t="s">
        <v>772</v>
      </c>
      <c r="W143" s="517">
        <v>84567800</v>
      </c>
      <c r="X143" s="517"/>
      <c r="Y143" s="517">
        <v>22089400</v>
      </c>
      <c r="Z143" s="306"/>
      <c r="AA143" s="306"/>
      <c r="AB143" s="306">
        <f t="shared" si="14"/>
        <v>106657200</v>
      </c>
      <c r="AC143" s="306">
        <f t="shared" si="15"/>
        <v>106657200</v>
      </c>
      <c r="AD143" s="306">
        <f t="shared" si="16"/>
        <v>106657200</v>
      </c>
      <c r="AE143" s="306" t="s">
        <v>3219</v>
      </c>
    </row>
    <row r="144" spans="1:31" ht="45">
      <c r="A144" s="188">
        <v>34</v>
      </c>
      <c r="B144" s="242" t="s">
        <v>1850</v>
      </c>
      <c r="C144" s="187" t="s">
        <v>4</v>
      </c>
      <c r="D144" s="42">
        <v>1</v>
      </c>
      <c r="E144" s="143">
        <v>1</v>
      </c>
      <c r="F144" s="143">
        <f t="shared" si="17"/>
        <v>1</v>
      </c>
      <c r="G144" s="188" t="s">
        <v>1851</v>
      </c>
      <c r="H144" s="215">
        <v>54000</v>
      </c>
      <c r="I144" s="215">
        <v>1200</v>
      </c>
      <c r="J144" s="188" t="s">
        <v>1791</v>
      </c>
      <c r="K144" s="188" t="s">
        <v>1792</v>
      </c>
      <c r="L144" s="188">
        <v>33</v>
      </c>
      <c r="M144" s="188" t="s">
        <v>1678</v>
      </c>
      <c r="N144" s="188" t="s">
        <v>1794</v>
      </c>
      <c r="O144" s="188" t="s">
        <v>1795</v>
      </c>
      <c r="P144" s="188"/>
      <c r="Q144" s="188"/>
      <c r="R144" s="307">
        <v>1</v>
      </c>
      <c r="S144" s="470" t="s">
        <v>3215</v>
      </c>
      <c r="T144" s="471" t="s">
        <v>3216</v>
      </c>
      <c r="U144" s="471" t="s">
        <v>3214</v>
      </c>
      <c r="V144" s="471" t="s">
        <v>772</v>
      </c>
      <c r="W144" s="517">
        <v>134449900</v>
      </c>
      <c r="X144" s="517"/>
      <c r="Y144" s="517">
        <v>35767800</v>
      </c>
      <c r="Z144" s="306"/>
      <c r="AA144" s="306"/>
      <c r="AB144" s="306">
        <f t="shared" si="14"/>
        <v>170217700</v>
      </c>
      <c r="AC144" s="306">
        <f t="shared" si="15"/>
        <v>170217700</v>
      </c>
      <c r="AD144" s="306">
        <f t="shared" si="16"/>
        <v>170217700</v>
      </c>
      <c r="AE144" s="306" t="s">
        <v>3217</v>
      </c>
    </row>
    <row r="145" spans="1:31" ht="15">
      <c r="A145" s="385" t="s">
        <v>19</v>
      </c>
      <c r="B145" s="383" t="s">
        <v>1191</v>
      </c>
      <c r="C145" s="244"/>
      <c r="D145" s="408"/>
      <c r="E145" s="244"/>
      <c r="F145" s="200"/>
      <c r="G145" s="200"/>
      <c r="H145" s="200"/>
      <c r="I145" s="200"/>
      <c r="J145" s="200"/>
      <c r="K145" s="198"/>
      <c r="L145" s="199"/>
      <c r="M145" s="200"/>
      <c r="N145" s="200"/>
      <c r="O145" s="200"/>
      <c r="P145" s="200"/>
      <c r="Q145" s="200"/>
      <c r="R145" s="200"/>
      <c r="S145" s="473"/>
      <c r="T145" s="523"/>
      <c r="U145" s="524"/>
      <c r="V145" s="524"/>
      <c r="W145" s="507"/>
      <c r="X145" s="507"/>
      <c r="Y145" s="507"/>
      <c r="Z145" s="408"/>
      <c r="AA145" s="408"/>
      <c r="AB145" s="408"/>
      <c r="AC145" s="408"/>
      <c r="AD145" s="408"/>
      <c r="AE145" s="408"/>
    </row>
    <row r="146" spans="1:31" ht="90">
      <c r="A146" s="303">
        <v>0</v>
      </c>
      <c r="B146" s="194" t="s">
        <v>3163</v>
      </c>
      <c r="C146" s="190" t="s">
        <v>706</v>
      </c>
      <c r="D146" s="190"/>
      <c r="E146" s="190"/>
      <c r="F146" s="303">
        <v>0</v>
      </c>
      <c r="G146" s="190"/>
      <c r="H146" s="190"/>
      <c r="I146" s="190"/>
      <c r="J146" s="190"/>
      <c r="K146" s="186"/>
      <c r="L146" s="187"/>
      <c r="M146" s="190"/>
      <c r="N146" s="193"/>
      <c r="O146" s="193"/>
      <c r="P146" s="193"/>
      <c r="Q146" s="193"/>
      <c r="R146" s="308">
        <v>0</v>
      </c>
      <c r="S146" s="309" t="s">
        <v>3161</v>
      </c>
      <c r="T146" s="303" t="s">
        <v>3162</v>
      </c>
      <c r="U146" s="303" t="s">
        <v>3160</v>
      </c>
      <c r="V146" s="303" t="s">
        <v>772</v>
      </c>
      <c r="W146" s="517">
        <v>9270300</v>
      </c>
      <c r="X146" s="517"/>
      <c r="Y146" s="517">
        <v>736700</v>
      </c>
      <c r="Z146" s="306"/>
      <c r="AA146" s="306"/>
      <c r="AB146" s="306">
        <f t="shared" ref="AB146" si="18">+W146+X146+Y146+Z146+AA146</f>
        <v>10007000</v>
      </c>
      <c r="AC146" s="306">
        <f t="shared" ref="AC146" si="19">+AB146*F146</f>
        <v>0</v>
      </c>
      <c r="AD146" s="306">
        <f t="shared" ref="AD146" si="20">+AB146*R146</f>
        <v>0</v>
      </c>
      <c r="AE146" s="306">
        <v>0</v>
      </c>
    </row>
    <row r="147" spans="1:31" ht="15">
      <c r="A147" s="189"/>
      <c r="B147" s="194" t="s">
        <v>1192</v>
      </c>
      <c r="C147" s="190"/>
      <c r="D147" s="190"/>
      <c r="E147" s="190"/>
      <c r="F147" s="190"/>
      <c r="G147" s="190"/>
      <c r="H147" s="190"/>
      <c r="I147" s="190"/>
      <c r="J147" s="190"/>
      <c r="K147" s="186"/>
      <c r="L147" s="187"/>
      <c r="M147" s="190"/>
      <c r="N147" s="193"/>
      <c r="O147" s="193"/>
      <c r="P147" s="193"/>
      <c r="Q147" s="193"/>
      <c r="R147" s="193"/>
      <c r="S147" s="303"/>
      <c r="T147" s="454"/>
      <c r="U147" s="509"/>
      <c r="V147" s="509"/>
      <c r="W147" s="508"/>
      <c r="X147" s="508"/>
      <c r="Y147" s="508"/>
      <c r="Z147" s="111"/>
      <c r="AA147" s="111"/>
      <c r="AB147" s="111"/>
      <c r="AC147" s="111"/>
      <c r="AD147" s="111"/>
      <c r="AE147" s="111"/>
    </row>
    <row r="148" spans="1:31" ht="15">
      <c r="A148" s="389" t="s">
        <v>21</v>
      </c>
      <c r="B148" s="390" t="s">
        <v>1193</v>
      </c>
      <c r="C148" s="401"/>
      <c r="D148" s="416"/>
      <c r="E148" s="401"/>
      <c r="F148" s="417"/>
      <c r="G148" s="417"/>
      <c r="H148" s="417"/>
      <c r="I148" s="417"/>
      <c r="J148" s="417"/>
      <c r="K148" s="418"/>
      <c r="L148" s="419"/>
      <c r="M148" s="417"/>
      <c r="N148" s="417"/>
      <c r="O148" s="417"/>
      <c r="P148" s="417"/>
      <c r="Q148" s="417"/>
      <c r="R148" s="417"/>
      <c r="S148" s="474"/>
      <c r="T148" s="525"/>
      <c r="U148" s="526"/>
      <c r="V148" s="526"/>
      <c r="W148" s="510"/>
      <c r="X148" s="510"/>
      <c r="Y148" s="510"/>
      <c r="Z148" s="416"/>
      <c r="AA148" s="416"/>
      <c r="AB148" s="416"/>
      <c r="AC148" s="420">
        <f>SUBTOTAL(9,AC8:AC147)</f>
        <v>4227522600</v>
      </c>
      <c r="AD148" s="420">
        <f>SUBTOTAL(9,AD8:AD147)</f>
        <v>4227522600</v>
      </c>
      <c r="AE148" s="416"/>
    </row>
  </sheetData>
  <autoFilter ref="A8:AE147" xr:uid="{1A4319DC-3641-491B-B96C-0EBAEA15C348}"/>
  <mergeCells count="18">
    <mergeCell ref="Q55:Q56"/>
    <mergeCell ref="P6:P7"/>
    <mergeCell ref="Q6:Q7"/>
    <mergeCell ref="R6:R7"/>
    <mergeCell ref="S6:V6"/>
    <mergeCell ref="A5:Q5"/>
    <mergeCell ref="R5:AE5"/>
    <mergeCell ref="A6:A7"/>
    <mergeCell ref="B6:B7"/>
    <mergeCell ref="C6:C7"/>
    <mergeCell ref="D6:D7"/>
    <mergeCell ref="E6:E7"/>
    <mergeCell ref="F6:F7"/>
    <mergeCell ref="G6:G7"/>
    <mergeCell ref="O6:O7"/>
    <mergeCell ref="AE6:AE7"/>
    <mergeCell ref="W6:AB6"/>
    <mergeCell ref="AC6:AD6"/>
  </mergeCells>
  <conditionalFormatting sqref="C145 K145:K148 C148">
    <cfRule type="cellIs" dxfId="0" priority="2" operator="equal">
      <formula>0</formula>
    </cfRule>
  </conditionalFormatting>
  <pageMargins left="0.70866141732283472" right="0.70866141732283472" top="0.74803149606299213" bottom="0.74803149606299213" header="0.31496062992125984" footer="0.31496062992125984"/>
  <pageSetup paperSize="9" scale="44" fitToHeight="0" orientation="landscape" r:id="rId1"/>
  <headerFooter>
    <oddFooter>&amp;L&amp;A&amp;CSEAREFICO&amp;RTrang &amp;P/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610C3-94CD-4A39-AB0B-71391189EDEE}">
  <sheetPr codeName="Sheet8">
    <tabColor theme="5" tint="0.79998168889431442"/>
    <outlinePr summaryBelow="0"/>
    <pageSetUpPr fitToPage="1"/>
  </sheetPr>
  <dimension ref="A1:Y1116"/>
  <sheetViews>
    <sheetView topLeftCell="F1" zoomScaleNormal="100" zoomScaleSheetLayoutView="55" workbookViewId="0">
      <pane ySplit="8" topLeftCell="A1104" activePane="bottomLeft" state="frozen"/>
      <selection activeCell="S52" sqref="S52"/>
      <selection pane="bottomLeft" activeCell="Y1116" sqref="Y1116"/>
    </sheetView>
  </sheetViews>
  <sheetFormatPr defaultColWidth="9.140625" defaultRowHeight="15"/>
  <cols>
    <col min="1" max="1" width="6.28515625" style="286" customWidth="1"/>
    <col min="2" max="2" width="58.140625" style="246" customWidth="1"/>
    <col min="3" max="3" width="9.42578125" style="286" customWidth="1"/>
    <col min="4" max="4" width="10.28515625" style="205" customWidth="1"/>
    <col min="5" max="5" width="15.85546875" style="246" customWidth="1"/>
    <col min="6" max="6" width="10.7109375" style="31" bestFit="1" customWidth="1"/>
    <col min="7" max="7" width="23" style="300" customWidth="1"/>
    <col min="8" max="8" width="16.5703125" style="330" bestFit="1" customWidth="1"/>
    <col min="9" max="9" width="17.140625" style="330" customWidth="1"/>
    <col min="10" max="10" width="13.140625" style="330" bestFit="1" customWidth="1"/>
    <col min="11" max="11" width="14.7109375" style="31" bestFit="1" customWidth="1"/>
    <col min="12" max="12" width="6.42578125" style="31" customWidth="1"/>
    <col min="13" max="13" width="13.7109375" style="31" bestFit="1" customWidth="1"/>
    <col min="14" max="15" width="8.85546875" style="31" customWidth="1"/>
    <col min="16" max="16" width="20.140625" style="31" customWidth="1"/>
    <col min="17" max="17" width="18.7109375" style="31" customWidth="1"/>
    <col min="18" max="18" width="18.5703125" style="31" customWidth="1"/>
    <col min="19" max="19" width="19.85546875" style="114" customWidth="1"/>
    <col min="23" max="25" width="9.140625" style="511"/>
  </cols>
  <sheetData>
    <row r="1" spans="1:25">
      <c r="A1" s="92" t="s">
        <v>672</v>
      </c>
      <c r="B1" s="175"/>
      <c r="C1" s="207"/>
      <c r="D1" s="245"/>
      <c r="E1" s="175"/>
    </row>
    <row r="2" spans="1:25">
      <c r="A2" s="92" t="s">
        <v>670</v>
      </c>
      <c r="B2" s="175"/>
      <c r="C2" s="207"/>
      <c r="D2" s="245"/>
      <c r="E2" s="175"/>
    </row>
    <row r="3" spans="1:25">
      <c r="A3" s="92" t="s">
        <v>1562</v>
      </c>
      <c r="B3" s="175"/>
      <c r="C3" s="207"/>
      <c r="D3" s="245"/>
      <c r="E3" s="175"/>
    </row>
    <row r="4" spans="1:25">
      <c r="A4" s="92"/>
      <c r="B4" s="175"/>
      <c r="C4" s="207"/>
      <c r="D4" s="245"/>
      <c r="E4" s="175"/>
      <c r="F4" s="35"/>
      <c r="G4" s="119"/>
      <c r="H4" s="297"/>
      <c r="I4" s="297"/>
      <c r="J4" s="297"/>
      <c r="K4" s="35"/>
      <c r="L4" s="35"/>
      <c r="M4" s="35"/>
      <c r="N4" s="35"/>
      <c r="O4" s="35"/>
      <c r="P4" s="35"/>
      <c r="Q4" s="35"/>
      <c r="R4" s="35"/>
      <c r="S4" s="35"/>
    </row>
    <row r="5" spans="1:25" s="313" customFormat="1" ht="14.45" customHeight="1">
      <c r="A5" s="606" t="s">
        <v>1166</v>
      </c>
      <c r="B5" s="606"/>
      <c r="C5" s="606"/>
      <c r="D5" s="606"/>
      <c r="E5" s="606"/>
      <c r="F5" s="590" t="s">
        <v>4093</v>
      </c>
      <c r="G5" s="590"/>
      <c r="H5" s="590"/>
      <c r="I5" s="590"/>
      <c r="J5" s="590"/>
      <c r="K5" s="590"/>
      <c r="L5" s="590"/>
      <c r="M5" s="590"/>
      <c r="N5" s="590"/>
      <c r="O5" s="590"/>
      <c r="P5" s="590"/>
      <c r="Q5" s="590"/>
      <c r="R5" s="590"/>
      <c r="S5" s="590"/>
      <c r="W5" s="499"/>
      <c r="X5" s="499"/>
      <c r="Y5" s="499"/>
    </row>
    <row r="6" spans="1:25" s="313" customFormat="1" ht="27.6" customHeight="1">
      <c r="A6" s="623" t="s">
        <v>0</v>
      </c>
      <c r="B6" s="623" t="s">
        <v>1</v>
      </c>
      <c r="C6" s="623" t="s">
        <v>1571</v>
      </c>
      <c r="D6" s="625" t="s">
        <v>1165</v>
      </c>
      <c r="E6" s="623" t="s">
        <v>1644</v>
      </c>
      <c r="F6" s="584" t="s">
        <v>1167</v>
      </c>
      <c r="G6" s="602" t="s">
        <v>1168</v>
      </c>
      <c r="H6" s="602"/>
      <c r="I6" s="602"/>
      <c r="J6" s="602"/>
      <c r="K6" s="602" t="s">
        <v>1169</v>
      </c>
      <c r="L6" s="602"/>
      <c r="M6" s="602"/>
      <c r="N6" s="602"/>
      <c r="O6" s="602"/>
      <c r="P6" s="602"/>
      <c r="Q6" s="576" t="s">
        <v>1170</v>
      </c>
      <c r="R6" s="577"/>
      <c r="S6" s="578" t="s">
        <v>543</v>
      </c>
      <c r="W6" s="499"/>
      <c r="X6" s="499"/>
      <c r="Y6" s="499"/>
    </row>
    <row r="7" spans="1:25" s="313" customFormat="1" ht="33" customHeight="1">
      <c r="A7" s="624"/>
      <c r="B7" s="624"/>
      <c r="C7" s="624"/>
      <c r="D7" s="626"/>
      <c r="E7" s="624"/>
      <c r="F7" s="584"/>
      <c r="G7" s="475" t="s">
        <v>1171</v>
      </c>
      <c r="H7" s="475" t="s">
        <v>799</v>
      </c>
      <c r="I7" s="475" t="s">
        <v>1008</v>
      </c>
      <c r="J7" s="475" t="s">
        <v>721</v>
      </c>
      <c r="K7" s="475" t="s">
        <v>765</v>
      </c>
      <c r="L7" s="475" t="s">
        <v>1172</v>
      </c>
      <c r="M7" s="475" t="s">
        <v>1173</v>
      </c>
      <c r="N7" s="475" t="s">
        <v>1174</v>
      </c>
      <c r="O7" s="475" t="s">
        <v>766</v>
      </c>
      <c r="P7" s="475" t="s">
        <v>1175</v>
      </c>
      <c r="Q7" s="475" t="s">
        <v>1176</v>
      </c>
      <c r="R7" s="475" t="s">
        <v>1177</v>
      </c>
      <c r="S7" s="578"/>
      <c r="W7" s="499"/>
      <c r="X7" s="499"/>
      <c r="Y7" s="499"/>
    </row>
    <row r="8" spans="1:25" s="313" customFormat="1" ht="28.5">
      <c r="A8" s="483">
        <v>1</v>
      </c>
      <c r="B8" s="483">
        <v>2</v>
      </c>
      <c r="C8" s="483">
        <v>3</v>
      </c>
      <c r="D8" s="484">
        <v>4</v>
      </c>
      <c r="E8" s="483">
        <v>5</v>
      </c>
      <c r="F8" s="479">
        <v>6</v>
      </c>
      <c r="G8" s="478">
        <v>7</v>
      </c>
      <c r="H8" s="478">
        <v>8</v>
      </c>
      <c r="I8" s="478">
        <v>9</v>
      </c>
      <c r="J8" s="478">
        <v>10</v>
      </c>
      <c r="K8" s="479">
        <v>11</v>
      </c>
      <c r="L8" s="479">
        <v>12</v>
      </c>
      <c r="M8" s="479">
        <v>13</v>
      </c>
      <c r="N8" s="479">
        <v>14</v>
      </c>
      <c r="O8" s="479">
        <v>15</v>
      </c>
      <c r="P8" s="479" t="s">
        <v>1178</v>
      </c>
      <c r="Q8" s="479" t="s">
        <v>1179</v>
      </c>
      <c r="R8" s="479" t="s">
        <v>1180</v>
      </c>
      <c r="S8" s="479">
        <v>19</v>
      </c>
      <c r="W8" s="499"/>
      <c r="X8" s="499"/>
      <c r="Y8" s="499"/>
    </row>
    <row r="9" spans="1:25">
      <c r="A9" s="382" t="s">
        <v>2</v>
      </c>
      <c r="B9" s="383" t="s">
        <v>1010</v>
      </c>
      <c r="C9" s="244"/>
      <c r="D9" s="384"/>
      <c r="E9" s="244"/>
      <c r="F9" s="201"/>
      <c r="G9" s="458"/>
      <c r="H9" s="524"/>
      <c r="I9" s="524"/>
      <c r="J9" s="524"/>
      <c r="K9" s="201"/>
      <c r="L9" s="201"/>
      <c r="M9" s="201"/>
      <c r="N9" s="201"/>
      <c r="O9" s="201"/>
      <c r="P9" s="201"/>
      <c r="Q9" s="201"/>
      <c r="R9" s="201"/>
      <c r="S9" s="310"/>
    </row>
    <row r="10" spans="1:25">
      <c r="A10" s="247"/>
      <c r="B10" s="250" t="s">
        <v>1852</v>
      </c>
      <c r="C10" s="247"/>
      <c r="D10" s="248"/>
      <c r="E10" s="247"/>
      <c r="F10" s="201"/>
      <c r="G10" s="458"/>
      <c r="H10" s="524"/>
      <c r="I10" s="524"/>
      <c r="J10" s="524"/>
      <c r="K10" s="201"/>
      <c r="L10" s="201"/>
      <c r="M10" s="201"/>
      <c r="N10" s="201"/>
      <c r="O10" s="201"/>
      <c r="P10" s="201"/>
      <c r="Q10" s="201"/>
      <c r="R10" s="201"/>
      <c r="S10" s="310"/>
    </row>
    <row r="11" spans="1:25">
      <c r="A11" s="249" t="s">
        <v>1853</v>
      </c>
      <c r="B11" s="250" t="s">
        <v>1854</v>
      </c>
      <c r="C11" s="249"/>
      <c r="D11" s="251"/>
      <c r="E11" s="250"/>
      <c r="F11" s="201"/>
      <c r="G11" s="458"/>
      <c r="H11" s="524"/>
      <c r="I11" s="524"/>
      <c r="J11" s="524"/>
      <c r="K11" s="201"/>
      <c r="L11" s="201"/>
      <c r="M11" s="201"/>
      <c r="N11" s="201"/>
      <c r="O11" s="201"/>
      <c r="P11" s="201"/>
      <c r="Q11" s="201"/>
      <c r="R11" s="201"/>
      <c r="S11" s="310"/>
    </row>
    <row r="12" spans="1:25">
      <c r="A12" s="252" t="s">
        <v>3</v>
      </c>
      <c r="B12" s="253" t="s">
        <v>1855</v>
      </c>
      <c r="C12" s="252"/>
      <c r="D12" s="254"/>
      <c r="E12" s="253"/>
      <c r="F12" s="38"/>
      <c r="G12" s="459"/>
      <c r="H12" s="528"/>
      <c r="I12" s="528"/>
      <c r="J12" s="528"/>
      <c r="K12" s="38"/>
      <c r="L12" s="38"/>
      <c r="M12" s="38"/>
      <c r="N12" s="38"/>
      <c r="O12" s="38"/>
      <c r="P12" s="38"/>
      <c r="Q12" s="38"/>
      <c r="R12" s="38"/>
      <c r="S12" s="115"/>
    </row>
    <row r="13" spans="1:25">
      <c r="A13" s="255" t="s">
        <v>1856</v>
      </c>
      <c r="B13" s="256" t="s">
        <v>1857</v>
      </c>
      <c r="C13" s="79"/>
      <c r="D13" s="143"/>
      <c r="E13" s="79"/>
      <c r="F13" s="43"/>
      <c r="G13" s="113"/>
      <c r="H13" s="509"/>
      <c r="I13" s="509"/>
      <c r="J13" s="509"/>
      <c r="K13" s="43"/>
      <c r="L13" s="43"/>
      <c r="M13" s="43"/>
      <c r="N13" s="43"/>
      <c r="O13" s="43"/>
      <c r="P13" s="43"/>
      <c r="Q13" s="43"/>
      <c r="R13" s="43"/>
      <c r="S13" s="311"/>
    </row>
    <row r="14" spans="1:25">
      <c r="A14" s="79" t="s">
        <v>1858</v>
      </c>
      <c r="B14" s="257" t="s">
        <v>1859</v>
      </c>
      <c r="C14" s="79"/>
      <c r="D14" s="143"/>
      <c r="E14" s="76"/>
      <c r="F14" s="43"/>
      <c r="G14" s="113"/>
      <c r="H14" s="509"/>
      <c r="I14" s="509"/>
      <c r="J14" s="509"/>
      <c r="K14" s="43"/>
      <c r="L14" s="43"/>
      <c r="M14" s="43"/>
      <c r="N14" s="43"/>
      <c r="O14" s="43"/>
      <c r="P14" s="43"/>
      <c r="Q14" s="43"/>
      <c r="R14" s="43"/>
      <c r="S14" s="311"/>
    </row>
    <row r="15" spans="1:25" ht="45">
      <c r="A15" s="79"/>
      <c r="B15" s="77" t="s">
        <v>1860</v>
      </c>
      <c r="C15" s="76" t="s">
        <v>1861</v>
      </c>
      <c r="D15" s="143">
        <v>87</v>
      </c>
      <c r="E15" s="76"/>
      <c r="F15" s="113">
        <f>D15</f>
        <v>87</v>
      </c>
      <c r="G15" s="112" t="s">
        <v>3769</v>
      </c>
      <c r="H15" s="120" t="s">
        <v>3193</v>
      </c>
      <c r="I15" s="120" t="s">
        <v>3768</v>
      </c>
      <c r="J15" s="120" t="s">
        <v>772</v>
      </c>
      <c r="K15" s="112">
        <v>1115700</v>
      </c>
      <c r="L15" s="113"/>
      <c r="M15" s="113">
        <v>448000</v>
      </c>
      <c r="N15" s="113"/>
      <c r="O15" s="113"/>
      <c r="P15" s="299">
        <f>K15+L15+M15+N15+O15</f>
        <v>1563700</v>
      </c>
      <c r="Q15" s="299">
        <f>+P15*D15</f>
        <v>136041900</v>
      </c>
      <c r="R15" s="299">
        <f>+P15*F15</f>
        <v>136041900</v>
      </c>
      <c r="S15" s="112">
        <v>0</v>
      </c>
    </row>
    <row r="16" spans="1:25" ht="45">
      <c r="A16" s="76"/>
      <c r="B16" s="77" t="s">
        <v>1862</v>
      </c>
      <c r="C16" s="76" t="s">
        <v>1861</v>
      </c>
      <c r="D16" s="143">
        <v>112</v>
      </c>
      <c r="E16" s="76"/>
      <c r="F16" s="113">
        <f t="shared" ref="F16:F79" si="0">D16</f>
        <v>112</v>
      </c>
      <c r="G16" s="112" t="s">
        <v>3770</v>
      </c>
      <c r="H16" s="120" t="s">
        <v>3193</v>
      </c>
      <c r="I16" s="120" t="s">
        <v>3768</v>
      </c>
      <c r="J16" s="120" t="s">
        <v>772</v>
      </c>
      <c r="K16" s="112">
        <v>1487500</v>
      </c>
      <c r="L16" s="113"/>
      <c r="M16" s="113">
        <v>597300</v>
      </c>
      <c r="N16" s="113"/>
      <c r="O16" s="113"/>
      <c r="P16" s="299">
        <f t="shared" ref="P16:P79" si="1">K16+L16+M16+N16+O16</f>
        <v>2084800</v>
      </c>
      <c r="Q16" s="299">
        <f t="shared" ref="Q16:Q79" si="2">+P16*D16</f>
        <v>233497600</v>
      </c>
      <c r="R16" s="299">
        <f t="shared" ref="R16:R79" si="3">+P16*F16</f>
        <v>233497600</v>
      </c>
      <c r="S16" s="112">
        <v>0</v>
      </c>
    </row>
    <row r="17" spans="1:19" ht="45">
      <c r="A17" s="76"/>
      <c r="B17" s="77" t="s">
        <v>1863</v>
      </c>
      <c r="C17" s="76" t="s">
        <v>1861</v>
      </c>
      <c r="D17" s="143">
        <v>93</v>
      </c>
      <c r="E17" s="76"/>
      <c r="F17" s="113">
        <f t="shared" si="0"/>
        <v>93</v>
      </c>
      <c r="G17" s="112" t="s">
        <v>3771</v>
      </c>
      <c r="H17" s="120" t="s">
        <v>3193</v>
      </c>
      <c r="I17" s="120" t="s">
        <v>3768</v>
      </c>
      <c r="J17" s="120" t="s">
        <v>772</v>
      </c>
      <c r="K17" s="112">
        <v>1859400</v>
      </c>
      <c r="L17" s="113"/>
      <c r="M17" s="113">
        <v>746600</v>
      </c>
      <c r="N17" s="113"/>
      <c r="O17" s="113"/>
      <c r="P17" s="299">
        <f t="shared" si="1"/>
        <v>2606000</v>
      </c>
      <c r="Q17" s="299">
        <f t="shared" si="2"/>
        <v>242358000</v>
      </c>
      <c r="R17" s="299">
        <f t="shared" si="3"/>
        <v>242358000</v>
      </c>
      <c r="S17" s="112">
        <v>0</v>
      </c>
    </row>
    <row r="18" spans="1:19" ht="45">
      <c r="A18" s="76"/>
      <c r="B18" s="77" t="s">
        <v>1864</v>
      </c>
      <c r="C18" s="76" t="s">
        <v>1861</v>
      </c>
      <c r="D18" s="143">
        <v>23</v>
      </c>
      <c r="E18" s="76"/>
      <c r="F18" s="113">
        <f t="shared" si="0"/>
        <v>23</v>
      </c>
      <c r="G18" s="112" t="s">
        <v>3772</v>
      </c>
      <c r="H18" s="120" t="s">
        <v>3193</v>
      </c>
      <c r="I18" s="120" t="s">
        <v>3768</v>
      </c>
      <c r="J18" s="120" t="s">
        <v>772</v>
      </c>
      <c r="K18" s="112">
        <v>1921400</v>
      </c>
      <c r="L18" s="113"/>
      <c r="M18" s="113">
        <v>771500</v>
      </c>
      <c r="N18" s="113"/>
      <c r="O18" s="113"/>
      <c r="P18" s="299">
        <f t="shared" si="1"/>
        <v>2692900</v>
      </c>
      <c r="Q18" s="299">
        <f t="shared" si="2"/>
        <v>61936700</v>
      </c>
      <c r="R18" s="299">
        <f t="shared" si="3"/>
        <v>61936700</v>
      </c>
      <c r="S18" s="112">
        <v>0</v>
      </c>
    </row>
    <row r="19" spans="1:19" ht="45">
      <c r="A19" s="76"/>
      <c r="B19" s="77" t="s">
        <v>1865</v>
      </c>
      <c r="C19" s="76" t="s">
        <v>1861</v>
      </c>
      <c r="D19" s="143">
        <v>125</v>
      </c>
      <c r="E19" s="76"/>
      <c r="F19" s="113">
        <f t="shared" si="0"/>
        <v>125</v>
      </c>
      <c r="G19" s="112" t="s">
        <v>3773</v>
      </c>
      <c r="H19" s="120" t="s">
        <v>3193</v>
      </c>
      <c r="I19" s="120" t="s">
        <v>3768</v>
      </c>
      <c r="J19" s="120" t="s">
        <v>772</v>
      </c>
      <c r="K19" s="112">
        <v>2107300</v>
      </c>
      <c r="L19" s="113"/>
      <c r="M19" s="113">
        <v>846100</v>
      </c>
      <c r="N19" s="113"/>
      <c r="O19" s="113"/>
      <c r="P19" s="299">
        <f t="shared" si="1"/>
        <v>2953400</v>
      </c>
      <c r="Q19" s="299">
        <f t="shared" si="2"/>
        <v>369175000</v>
      </c>
      <c r="R19" s="299">
        <f t="shared" si="3"/>
        <v>369175000</v>
      </c>
      <c r="S19" s="112">
        <v>0</v>
      </c>
    </row>
    <row r="20" spans="1:19" ht="45">
      <c r="A20" s="76"/>
      <c r="B20" s="77" t="s">
        <v>1866</v>
      </c>
      <c r="C20" s="76" t="s">
        <v>1861</v>
      </c>
      <c r="D20" s="143">
        <v>46</v>
      </c>
      <c r="E20" s="76"/>
      <c r="F20" s="113">
        <f t="shared" si="0"/>
        <v>46</v>
      </c>
      <c r="G20" s="112" t="s">
        <v>3774</v>
      </c>
      <c r="H20" s="120" t="s">
        <v>3189</v>
      </c>
      <c r="I20" s="120" t="s">
        <v>3768</v>
      </c>
      <c r="J20" s="120" t="s">
        <v>772</v>
      </c>
      <c r="K20" s="112">
        <v>2422000</v>
      </c>
      <c r="L20" s="113"/>
      <c r="M20" s="113">
        <v>871000</v>
      </c>
      <c r="N20" s="113"/>
      <c r="O20" s="113"/>
      <c r="P20" s="299">
        <f t="shared" si="1"/>
        <v>3293000</v>
      </c>
      <c r="Q20" s="299">
        <f t="shared" si="2"/>
        <v>151478000</v>
      </c>
      <c r="R20" s="299">
        <f t="shared" si="3"/>
        <v>151478000</v>
      </c>
      <c r="S20" s="112">
        <v>0</v>
      </c>
    </row>
    <row r="21" spans="1:19" ht="45">
      <c r="A21" s="76"/>
      <c r="B21" s="77" t="s">
        <v>1867</v>
      </c>
      <c r="C21" s="76" t="s">
        <v>1861</v>
      </c>
      <c r="D21" s="143">
        <v>32</v>
      </c>
      <c r="E21" s="76"/>
      <c r="F21" s="113">
        <f t="shared" si="0"/>
        <v>32</v>
      </c>
      <c r="G21" s="112" t="s">
        <v>3775</v>
      </c>
      <c r="H21" s="120" t="s">
        <v>3189</v>
      </c>
      <c r="I21" s="120" t="s">
        <v>3768</v>
      </c>
      <c r="J21" s="120" t="s">
        <v>772</v>
      </c>
      <c r="K21" s="112">
        <v>2629600</v>
      </c>
      <c r="L21" s="113"/>
      <c r="M21" s="113">
        <v>945700</v>
      </c>
      <c r="N21" s="113"/>
      <c r="O21" s="113"/>
      <c r="P21" s="299">
        <f t="shared" si="1"/>
        <v>3575300</v>
      </c>
      <c r="Q21" s="299">
        <f t="shared" si="2"/>
        <v>114409600</v>
      </c>
      <c r="R21" s="299">
        <f t="shared" si="3"/>
        <v>114409600</v>
      </c>
      <c r="S21" s="112">
        <v>0</v>
      </c>
    </row>
    <row r="22" spans="1:19" ht="45">
      <c r="A22" s="76"/>
      <c r="B22" s="77" t="s">
        <v>1868</v>
      </c>
      <c r="C22" s="76" t="s">
        <v>1861</v>
      </c>
      <c r="D22" s="143">
        <v>16</v>
      </c>
      <c r="E22" s="76"/>
      <c r="F22" s="113">
        <f t="shared" si="0"/>
        <v>16</v>
      </c>
      <c r="G22" s="112" t="s">
        <v>3776</v>
      </c>
      <c r="H22" s="120" t="s">
        <v>3189</v>
      </c>
      <c r="I22" s="120" t="s">
        <v>3768</v>
      </c>
      <c r="J22" s="120" t="s">
        <v>772</v>
      </c>
      <c r="K22" s="112">
        <v>2698800</v>
      </c>
      <c r="L22" s="113"/>
      <c r="M22" s="113">
        <v>970600</v>
      </c>
      <c r="N22" s="113"/>
      <c r="O22" s="113"/>
      <c r="P22" s="299">
        <f t="shared" si="1"/>
        <v>3669400</v>
      </c>
      <c r="Q22" s="299">
        <f t="shared" si="2"/>
        <v>58710400</v>
      </c>
      <c r="R22" s="299">
        <f t="shared" si="3"/>
        <v>58710400</v>
      </c>
      <c r="S22" s="112">
        <v>0</v>
      </c>
    </row>
    <row r="23" spans="1:19" ht="45">
      <c r="A23" s="76"/>
      <c r="B23" s="77" t="s">
        <v>1869</v>
      </c>
      <c r="C23" s="76" t="s">
        <v>1861</v>
      </c>
      <c r="D23" s="147">
        <v>7</v>
      </c>
      <c r="E23" s="76"/>
      <c r="F23" s="113">
        <f t="shared" si="0"/>
        <v>7</v>
      </c>
      <c r="G23" s="112" t="s">
        <v>3777</v>
      </c>
      <c r="H23" s="120" t="s">
        <v>3189</v>
      </c>
      <c r="I23" s="120" t="s">
        <v>3768</v>
      </c>
      <c r="J23" s="120" t="s">
        <v>772</v>
      </c>
      <c r="K23" s="112">
        <v>6781500</v>
      </c>
      <c r="L23" s="113"/>
      <c r="M23" s="113">
        <v>2438800</v>
      </c>
      <c r="N23" s="113"/>
      <c r="O23" s="113"/>
      <c r="P23" s="299">
        <f t="shared" si="1"/>
        <v>9220300</v>
      </c>
      <c r="Q23" s="299">
        <f t="shared" si="2"/>
        <v>64542100</v>
      </c>
      <c r="R23" s="299">
        <f t="shared" si="3"/>
        <v>64542100</v>
      </c>
      <c r="S23" s="112">
        <v>0</v>
      </c>
    </row>
    <row r="24" spans="1:19" ht="45">
      <c r="A24" s="76"/>
      <c r="B24" s="77" t="s">
        <v>1870</v>
      </c>
      <c r="C24" s="76" t="s">
        <v>1861</v>
      </c>
      <c r="D24" s="143">
        <v>7</v>
      </c>
      <c r="E24" s="76"/>
      <c r="F24" s="113">
        <f t="shared" si="0"/>
        <v>7</v>
      </c>
      <c r="G24" s="112" t="s">
        <v>3778</v>
      </c>
      <c r="H24" s="120" t="s">
        <v>3189</v>
      </c>
      <c r="I24" s="120" t="s">
        <v>3768</v>
      </c>
      <c r="J24" s="120" t="s">
        <v>772</v>
      </c>
      <c r="K24" s="112">
        <v>2906400</v>
      </c>
      <c r="L24" s="113"/>
      <c r="M24" s="113">
        <v>1045200</v>
      </c>
      <c r="N24" s="113"/>
      <c r="O24" s="113"/>
      <c r="P24" s="299">
        <f t="shared" si="1"/>
        <v>3951600</v>
      </c>
      <c r="Q24" s="299">
        <f t="shared" si="2"/>
        <v>27661200</v>
      </c>
      <c r="R24" s="299">
        <f t="shared" si="3"/>
        <v>27661200</v>
      </c>
      <c r="S24" s="112">
        <v>0</v>
      </c>
    </row>
    <row r="25" spans="1:19" ht="45">
      <c r="A25" s="76"/>
      <c r="B25" s="77" t="s">
        <v>1871</v>
      </c>
      <c r="C25" s="76" t="s">
        <v>1861</v>
      </c>
      <c r="D25" s="143">
        <v>58</v>
      </c>
      <c r="E25" s="76"/>
      <c r="F25" s="113">
        <f t="shared" si="0"/>
        <v>58</v>
      </c>
      <c r="G25" s="112" t="s">
        <v>3779</v>
      </c>
      <c r="H25" s="120" t="s">
        <v>3189</v>
      </c>
      <c r="I25" s="120" t="s">
        <v>3768</v>
      </c>
      <c r="J25" s="120" t="s">
        <v>772</v>
      </c>
      <c r="K25" s="112">
        <v>2975600</v>
      </c>
      <c r="L25" s="113"/>
      <c r="M25" s="113">
        <v>1070100</v>
      </c>
      <c r="N25" s="113"/>
      <c r="O25" s="113"/>
      <c r="P25" s="299">
        <f t="shared" si="1"/>
        <v>4045700</v>
      </c>
      <c r="Q25" s="299">
        <f t="shared" si="2"/>
        <v>234650600</v>
      </c>
      <c r="R25" s="299">
        <f t="shared" si="3"/>
        <v>234650600</v>
      </c>
      <c r="S25" s="112">
        <v>0</v>
      </c>
    </row>
    <row r="26" spans="1:19" ht="45">
      <c r="A26" s="76"/>
      <c r="B26" s="77" t="s">
        <v>1872</v>
      </c>
      <c r="C26" s="76" t="s">
        <v>1861</v>
      </c>
      <c r="D26" s="143">
        <v>9</v>
      </c>
      <c r="E26" s="76"/>
      <c r="F26" s="113">
        <f t="shared" si="0"/>
        <v>9</v>
      </c>
      <c r="G26" s="112" t="s">
        <v>3780</v>
      </c>
      <c r="H26" s="120" t="s">
        <v>3205</v>
      </c>
      <c r="I26" s="120" t="s">
        <v>3768</v>
      </c>
      <c r="J26" s="120" t="s">
        <v>772</v>
      </c>
      <c r="K26" s="112">
        <v>5370400</v>
      </c>
      <c r="L26" s="113"/>
      <c r="M26" s="113">
        <v>1742000</v>
      </c>
      <c r="N26" s="113"/>
      <c r="O26" s="113"/>
      <c r="P26" s="299">
        <f t="shared" si="1"/>
        <v>7112400</v>
      </c>
      <c r="Q26" s="299">
        <f t="shared" si="2"/>
        <v>64011600</v>
      </c>
      <c r="R26" s="299">
        <f t="shared" si="3"/>
        <v>64011600</v>
      </c>
      <c r="S26" s="112">
        <v>0</v>
      </c>
    </row>
    <row r="27" spans="1:19" ht="45">
      <c r="A27" s="88"/>
      <c r="B27" s="87" t="s">
        <v>1873</v>
      </c>
      <c r="C27" s="88" t="s">
        <v>7</v>
      </c>
      <c r="D27" s="147">
        <v>12</v>
      </c>
      <c r="E27" s="87"/>
      <c r="F27" s="113">
        <f t="shared" si="0"/>
        <v>12</v>
      </c>
      <c r="G27" s="112" t="s">
        <v>3781</v>
      </c>
      <c r="H27" s="120" t="s">
        <v>3193</v>
      </c>
      <c r="I27" s="120" t="s">
        <v>3768</v>
      </c>
      <c r="J27" s="120" t="s">
        <v>772</v>
      </c>
      <c r="K27" s="112">
        <v>1611500</v>
      </c>
      <c r="L27" s="113"/>
      <c r="M27" s="113">
        <v>647100</v>
      </c>
      <c r="N27" s="113"/>
      <c r="O27" s="113"/>
      <c r="P27" s="299">
        <f t="shared" si="1"/>
        <v>2258600</v>
      </c>
      <c r="Q27" s="299">
        <f t="shared" si="2"/>
        <v>27103200</v>
      </c>
      <c r="R27" s="299">
        <f t="shared" si="3"/>
        <v>27103200</v>
      </c>
      <c r="S27" s="112">
        <v>0</v>
      </c>
    </row>
    <row r="28" spans="1:19" ht="45">
      <c r="A28" s="88"/>
      <c r="B28" s="87" t="s">
        <v>1874</v>
      </c>
      <c r="C28" s="88" t="s">
        <v>7</v>
      </c>
      <c r="D28" s="147">
        <v>4</v>
      </c>
      <c r="E28" s="87"/>
      <c r="F28" s="113">
        <f t="shared" si="0"/>
        <v>4</v>
      </c>
      <c r="G28" s="112" t="s">
        <v>3782</v>
      </c>
      <c r="H28" s="120" t="s">
        <v>3193</v>
      </c>
      <c r="I28" s="120" t="s">
        <v>3768</v>
      </c>
      <c r="J28" s="120" t="s">
        <v>772</v>
      </c>
      <c r="K28" s="112">
        <v>2107300</v>
      </c>
      <c r="L28" s="113"/>
      <c r="M28" s="113">
        <v>846100</v>
      </c>
      <c r="N28" s="113"/>
      <c r="O28" s="113"/>
      <c r="P28" s="299">
        <f t="shared" si="1"/>
        <v>2953400</v>
      </c>
      <c r="Q28" s="299">
        <f t="shared" si="2"/>
        <v>11813600</v>
      </c>
      <c r="R28" s="299">
        <f t="shared" si="3"/>
        <v>11813600</v>
      </c>
      <c r="S28" s="112">
        <v>0</v>
      </c>
    </row>
    <row r="29" spans="1:19" ht="28.5">
      <c r="A29" s="79" t="s">
        <v>1875</v>
      </c>
      <c r="B29" s="80" t="s">
        <v>1876</v>
      </c>
      <c r="C29" s="79"/>
      <c r="D29" s="143"/>
      <c r="E29" s="76"/>
      <c r="F29" s="113">
        <f t="shared" si="0"/>
        <v>0</v>
      </c>
      <c r="G29" s="112">
        <v>0</v>
      </c>
      <c r="H29" s="120">
        <v>0</v>
      </c>
      <c r="I29" s="120">
        <v>0</v>
      </c>
      <c r="J29" s="120">
        <v>0</v>
      </c>
      <c r="K29" s="112">
        <v>0</v>
      </c>
      <c r="L29" s="113"/>
      <c r="M29" s="113">
        <v>0</v>
      </c>
      <c r="N29" s="113"/>
      <c r="O29" s="113"/>
      <c r="P29" s="299">
        <f t="shared" si="1"/>
        <v>0</v>
      </c>
      <c r="Q29" s="299">
        <f t="shared" si="2"/>
        <v>0</v>
      </c>
      <c r="R29" s="299">
        <f t="shared" si="3"/>
        <v>0</v>
      </c>
      <c r="S29" s="112">
        <v>0</v>
      </c>
    </row>
    <row r="30" spans="1:19" ht="60">
      <c r="A30" s="76"/>
      <c r="B30" s="77" t="s">
        <v>1863</v>
      </c>
      <c r="C30" s="76" t="s">
        <v>1877</v>
      </c>
      <c r="D30" s="143">
        <v>4</v>
      </c>
      <c r="E30" s="76"/>
      <c r="F30" s="113">
        <f t="shared" si="0"/>
        <v>4</v>
      </c>
      <c r="G30" s="112" t="s">
        <v>3783</v>
      </c>
      <c r="H30" s="120" t="s">
        <v>3193</v>
      </c>
      <c r="I30" s="120" t="s">
        <v>3768</v>
      </c>
      <c r="J30" s="120" t="s">
        <v>772</v>
      </c>
      <c r="K30" s="112">
        <v>4315900</v>
      </c>
      <c r="L30" s="113"/>
      <c r="M30" s="113">
        <v>597300</v>
      </c>
      <c r="N30" s="113"/>
      <c r="O30" s="113"/>
      <c r="P30" s="299">
        <f t="shared" si="1"/>
        <v>4913200</v>
      </c>
      <c r="Q30" s="299">
        <f t="shared" si="2"/>
        <v>19652800</v>
      </c>
      <c r="R30" s="299">
        <f t="shared" si="3"/>
        <v>19652800</v>
      </c>
      <c r="S30" s="112">
        <v>0</v>
      </c>
    </row>
    <row r="31" spans="1:19" ht="45">
      <c r="A31" s="76"/>
      <c r="B31" s="77" t="s">
        <v>1864</v>
      </c>
      <c r="C31" s="76" t="s">
        <v>1877</v>
      </c>
      <c r="D31" s="143">
        <v>2</v>
      </c>
      <c r="E31" s="76"/>
      <c r="F31" s="113">
        <f t="shared" si="0"/>
        <v>2</v>
      </c>
      <c r="G31" s="112" t="s">
        <v>3784</v>
      </c>
      <c r="H31" s="120" t="s">
        <v>3193</v>
      </c>
      <c r="I31" s="120" t="s">
        <v>3768</v>
      </c>
      <c r="J31" s="120" t="s">
        <v>772</v>
      </c>
      <c r="K31" s="112">
        <v>13410100</v>
      </c>
      <c r="L31" s="113"/>
      <c r="M31" s="113">
        <v>617200</v>
      </c>
      <c r="N31" s="113"/>
      <c r="O31" s="113"/>
      <c r="P31" s="299">
        <f t="shared" si="1"/>
        <v>14027300</v>
      </c>
      <c r="Q31" s="299">
        <f t="shared" si="2"/>
        <v>28054600</v>
      </c>
      <c r="R31" s="299">
        <f t="shared" si="3"/>
        <v>28054600</v>
      </c>
      <c r="S31" s="112">
        <v>0</v>
      </c>
    </row>
    <row r="32" spans="1:19" ht="45">
      <c r="A32" s="76"/>
      <c r="B32" s="77" t="s">
        <v>1865</v>
      </c>
      <c r="C32" s="76" t="s">
        <v>1877</v>
      </c>
      <c r="D32" s="143">
        <v>4</v>
      </c>
      <c r="E32" s="76"/>
      <c r="F32" s="113">
        <f t="shared" si="0"/>
        <v>4</v>
      </c>
      <c r="G32" s="112" t="s">
        <v>3785</v>
      </c>
      <c r="H32" s="120" t="s">
        <v>3189</v>
      </c>
      <c r="I32" s="120" t="s">
        <v>3768</v>
      </c>
      <c r="J32" s="120" t="s">
        <v>772</v>
      </c>
      <c r="K32" s="112">
        <v>16344600</v>
      </c>
      <c r="L32" s="113"/>
      <c r="M32" s="113">
        <v>676900</v>
      </c>
      <c r="N32" s="113"/>
      <c r="O32" s="113"/>
      <c r="P32" s="299">
        <f t="shared" si="1"/>
        <v>17021500</v>
      </c>
      <c r="Q32" s="299">
        <f t="shared" si="2"/>
        <v>68086000</v>
      </c>
      <c r="R32" s="299">
        <f t="shared" si="3"/>
        <v>68086000</v>
      </c>
      <c r="S32" s="112">
        <v>0</v>
      </c>
    </row>
    <row r="33" spans="1:19" ht="60">
      <c r="A33" s="88"/>
      <c r="B33" s="87" t="s">
        <v>1878</v>
      </c>
      <c r="C33" s="88" t="s">
        <v>1877</v>
      </c>
      <c r="D33" s="147">
        <v>5</v>
      </c>
      <c r="E33" s="87"/>
      <c r="F33" s="113">
        <f t="shared" si="0"/>
        <v>5</v>
      </c>
      <c r="G33" s="112" t="s">
        <v>3786</v>
      </c>
      <c r="H33" s="120" t="s">
        <v>3189</v>
      </c>
      <c r="I33" s="120" t="s">
        <v>3768</v>
      </c>
      <c r="J33" s="120" t="s">
        <v>772</v>
      </c>
      <c r="K33" s="112">
        <v>10274900</v>
      </c>
      <c r="L33" s="113"/>
      <c r="M33" s="113">
        <v>856100</v>
      </c>
      <c r="N33" s="113"/>
      <c r="O33" s="113"/>
      <c r="P33" s="299">
        <f t="shared" si="1"/>
        <v>11131000</v>
      </c>
      <c r="Q33" s="299">
        <f t="shared" si="2"/>
        <v>55655000</v>
      </c>
      <c r="R33" s="299">
        <f t="shared" si="3"/>
        <v>55655000</v>
      </c>
      <c r="S33" s="112">
        <v>0</v>
      </c>
    </row>
    <row r="34" spans="1:19" ht="60">
      <c r="A34" s="88"/>
      <c r="B34" s="87" t="s">
        <v>1879</v>
      </c>
      <c r="C34" s="88" t="s">
        <v>1877</v>
      </c>
      <c r="D34" s="147">
        <v>2</v>
      </c>
      <c r="E34" s="87"/>
      <c r="F34" s="113">
        <f t="shared" si="0"/>
        <v>2</v>
      </c>
      <c r="G34" s="112" t="s">
        <v>3787</v>
      </c>
      <c r="H34" s="120" t="s">
        <v>3193</v>
      </c>
      <c r="I34" s="120" t="s">
        <v>3768</v>
      </c>
      <c r="J34" s="120" t="s">
        <v>772</v>
      </c>
      <c r="K34" s="112">
        <v>2613900</v>
      </c>
      <c r="L34" s="113"/>
      <c r="M34" s="113">
        <v>477800</v>
      </c>
      <c r="N34" s="113"/>
      <c r="O34" s="113"/>
      <c r="P34" s="299">
        <f t="shared" si="1"/>
        <v>3091700</v>
      </c>
      <c r="Q34" s="299">
        <f t="shared" si="2"/>
        <v>6183400</v>
      </c>
      <c r="R34" s="299">
        <f t="shared" si="3"/>
        <v>6183400</v>
      </c>
      <c r="S34" s="112">
        <v>0</v>
      </c>
    </row>
    <row r="35" spans="1:19" ht="60">
      <c r="A35" s="88"/>
      <c r="B35" s="87" t="s">
        <v>1880</v>
      </c>
      <c r="C35" s="88" t="s">
        <v>1877</v>
      </c>
      <c r="D35" s="147">
        <v>2</v>
      </c>
      <c r="E35" s="87"/>
      <c r="F35" s="113">
        <f t="shared" si="0"/>
        <v>2</v>
      </c>
      <c r="G35" s="112" t="s">
        <v>3788</v>
      </c>
      <c r="H35" s="120" t="s">
        <v>3189</v>
      </c>
      <c r="I35" s="120" t="s">
        <v>3768</v>
      </c>
      <c r="J35" s="120" t="s">
        <v>772</v>
      </c>
      <c r="K35" s="112">
        <v>8295400</v>
      </c>
      <c r="L35" s="113"/>
      <c r="M35" s="113">
        <v>970600</v>
      </c>
      <c r="N35" s="113"/>
      <c r="O35" s="113"/>
      <c r="P35" s="299">
        <f t="shared" si="1"/>
        <v>9266000</v>
      </c>
      <c r="Q35" s="299">
        <f t="shared" si="2"/>
        <v>18532000</v>
      </c>
      <c r="R35" s="299">
        <f t="shared" si="3"/>
        <v>18532000</v>
      </c>
      <c r="S35" s="112">
        <v>0</v>
      </c>
    </row>
    <row r="36" spans="1:19" ht="60">
      <c r="A36" s="88"/>
      <c r="B36" s="87" t="s">
        <v>1881</v>
      </c>
      <c r="C36" s="88" t="s">
        <v>1877</v>
      </c>
      <c r="D36" s="147">
        <v>1</v>
      </c>
      <c r="E36" s="87"/>
      <c r="F36" s="113">
        <f t="shared" si="0"/>
        <v>1</v>
      </c>
      <c r="G36" s="112" t="s">
        <v>3789</v>
      </c>
      <c r="H36" s="120" t="s">
        <v>3189</v>
      </c>
      <c r="I36" s="120" t="s">
        <v>3768</v>
      </c>
      <c r="J36" s="120" t="s">
        <v>772</v>
      </c>
      <c r="K36" s="112">
        <v>10037300</v>
      </c>
      <c r="L36" s="113"/>
      <c r="M36" s="113">
        <v>836200</v>
      </c>
      <c r="N36" s="113"/>
      <c r="O36" s="113"/>
      <c r="P36" s="299">
        <f t="shared" si="1"/>
        <v>10873500</v>
      </c>
      <c r="Q36" s="299">
        <f t="shared" si="2"/>
        <v>10873500</v>
      </c>
      <c r="R36" s="299">
        <f t="shared" si="3"/>
        <v>10873500</v>
      </c>
      <c r="S36" s="112">
        <v>0</v>
      </c>
    </row>
    <row r="37" spans="1:19">
      <c r="A37" s="79" t="s">
        <v>1882</v>
      </c>
      <c r="B37" s="80" t="s">
        <v>1883</v>
      </c>
      <c r="C37" s="79"/>
      <c r="D37" s="143"/>
      <c r="E37" s="76"/>
      <c r="F37" s="113">
        <f t="shared" si="0"/>
        <v>0</v>
      </c>
      <c r="G37" s="112">
        <v>0</v>
      </c>
      <c r="H37" s="120">
        <v>0</v>
      </c>
      <c r="I37" s="120">
        <v>0</v>
      </c>
      <c r="J37" s="120">
        <v>0</v>
      </c>
      <c r="K37" s="112">
        <v>0</v>
      </c>
      <c r="L37" s="113"/>
      <c r="M37" s="113">
        <v>0</v>
      </c>
      <c r="N37" s="113"/>
      <c r="O37" s="113"/>
      <c r="P37" s="299">
        <f t="shared" si="1"/>
        <v>0</v>
      </c>
      <c r="Q37" s="299">
        <f t="shared" si="2"/>
        <v>0</v>
      </c>
      <c r="R37" s="299">
        <f t="shared" si="3"/>
        <v>0</v>
      </c>
      <c r="S37" s="112">
        <v>0</v>
      </c>
    </row>
    <row r="38" spans="1:19" ht="60">
      <c r="A38" s="79"/>
      <c r="B38" s="77" t="s">
        <v>1884</v>
      </c>
      <c r="C38" s="76" t="s">
        <v>1877</v>
      </c>
      <c r="D38" s="143">
        <v>4</v>
      </c>
      <c r="E38" s="76"/>
      <c r="F38" s="113">
        <f t="shared" si="0"/>
        <v>4</v>
      </c>
      <c r="G38" s="112" t="s">
        <v>3790</v>
      </c>
      <c r="H38" s="120" t="s">
        <v>3193</v>
      </c>
      <c r="I38" s="120" t="s">
        <v>3768</v>
      </c>
      <c r="J38" s="120" t="s">
        <v>772</v>
      </c>
      <c r="K38" s="112">
        <v>450400</v>
      </c>
      <c r="L38" s="113"/>
      <c r="M38" s="113">
        <v>136900</v>
      </c>
      <c r="N38" s="113"/>
      <c r="O38" s="113"/>
      <c r="P38" s="299">
        <f t="shared" si="1"/>
        <v>587300</v>
      </c>
      <c r="Q38" s="299">
        <f t="shared" si="2"/>
        <v>2349200</v>
      </c>
      <c r="R38" s="299">
        <f t="shared" si="3"/>
        <v>2349200</v>
      </c>
      <c r="S38" s="112">
        <v>0</v>
      </c>
    </row>
    <row r="39" spans="1:19" ht="60">
      <c r="A39" s="76"/>
      <c r="B39" s="77" t="s">
        <v>1885</v>
      </c>
      <c r="C39" s="76" t="s">
        <v>1877</v>
      </c>
      <c r="D39" s="143">
        <v>4</v>
      </c>
      <c r="E39" s="76"/>
      <c r="F39" s="113">
        <f t="shared" si="0"/>
        <v>4</v>
      </c>
      <c r="G39" s="112" t="s">
        <v>3791</v>
      </c>
      <c r="H39" s="120" t="s">
        <v>3193</v>
      </c>
      <c r="I39" s="120" t="s">
        <v>3768</v>
      </c>
      <c r="J39" s="120" t="s">
        <v>772</v>
      </c>
      <c r="K39" s="112">
        <v>563200</v>
      </c>
      <c r="L39" s="113"/>
      <c r="M39" s="113">
        <v>174200</v>
      </c>
      <c r="N39" s="113"/>
      <c r="O39" s="113"/>
      <c r="P39" s="299">
        <f t="shared" si="1"/>
        <v>737400</v>
      </c>
      <c r="Q39" s="299">
        <f t="shared" si="2"/>
        <v>2949600</v>
      </c>
      <c r="R39" s="299">
        <f t="shared" si="3"/>
        <v>2949600</v>
      </c>
      <c r="S39" s="112">
        <v>0</v>
      </c>
    </row>
    <row r="40" spans="1:19" ht="60">
      <c r="A40" s="76"/>
      <c r="B40" s="77" t="s">
        <v>1886</v>
      </c>
      <c r="C40" s="76" t="s">
        <v>1877</v>
      </c>
      <c r="D40" s="143">
        <v>0</v>
      </c>
      <c r="E40" s="76"/>
      <c r="F40" s="113">
        <f t="shared" si="0"/>
        <v>0</v>
      </c>
      <c r="G40" s="112" t="s">
        <v>3792</v>
      </c>
      <c r="H40" s="120" t="s">
        <v>3193</v>
      </c>
      <c r="I40" s="120" t="s">
        <v>3768</v>
      </c>
      <c r="J40" s="120" t="s">
        <v>772</v>
      </c>
      <c r="K40" s="112">
        <v>591000</v>
      </c>
      <c r="L40" s="113"/>
      <c r="M40" s="113">
        <v>183400</v>
      </c>
      <c r="N40" s="113"/>
      <c r="O40" s="113"/>
      <c r="P40" s="299">
        <f t="shared" si="1"/>
        <v>774400</v>
      </c>
      <c r="Q40" s="299">
        <f t="shared" si="2"/>
        <v>0</v>
      </c>
      <c r="R40" s="299">
        <f t="shared" si="3"/>
        <v>0</v>
      </c>
      <c r="S40" s="112">
        <v>0</v>
      </c>
    </row>
    <row r="41" spans="1:19" ht="60">
      <c r="A41" s="76"/>
      <c r="B41" s="77" t="s">
        <v>1887</v>
      </c>
      <c r="C41" s="76" t="s">
        <v>1877</v>
      </c>
      <c r="D41" s="143">
        <v>1</v>
      </c>
      <c r="E41" s="76"/>
      <c r="F41" s="113">
        <f t="shared" si="0"/>
        <v>1</v>
      </c>
      <c r="G41" s="112" t="s">
        <v>3793</v>
      </c>
      <c r="H41" s="120" t="s">
        <v>3193</v>
      </c>
      <c r="I41" s="120" t="s">
        <v>3768</v>
      </c>
      <c r="J41" s="120" t="s">
        <v>772</v>
      </c>
      <c r="K41" s="112">
        <v>576200</v>
      </c>
      <c r="L41" s="113"/>
      <c r="M41" s="113">
        <v>178500</v>
      </c>
      <c r="N41" s="113"/>
      <c r="O41" s="113"/>
      <c r="P41" s="299">
        <f t="shared" si="1"/>
        <v>754700</v>
      </c>
      <c r="Q41" s="299">
        <f t="shared" si="2"/>
        <v>754700</v>
      </c>
      <c r="R41" s="299">
        <f t="shared" si="3"/>
        <v>754700</v>
      </c>
      <c r="S41" s="112">
        <v>0</v>
      </c>
    </row>
    <row r="42" spans="1:19" ht="60">
      <c r="A42" s="76"/>
      <c r="B42" s="77" t="s">
        <v>1888</v>
      </c>
      <c r="C42" s="76" t="s">
        <v>1877</v>
      </c>
      <c r="D42" s="143">
        <v>3</v>
      </c>
      <c r="E42" s="76"/>
      <c r="F42" s="113">
        <f t="shared" si="0"/>
        <v>3</v>
      </c>
      <c r="G42" s="112" t="s">
        <v>3794</v>
      </c>
      <c r="H42" s="120" t="s">
        <v>3189</v>
      </c>
      <c r="I42" s="120" t="s">
        <v>3768</v>
      </c>
      <c r="J42" s="120" t="s">
        <v>772</v>
      </c>
      <c r="K42" s="112">
        <v>697800</v>
      </c>
      <c r="L42" s="113"/>
      <c r="M42" s="113">
        <v>195900</v>
      </c>
      <c r="N42" s="113"/>
      <c r="O42" s="113"/>
      <c r="P42" s="299">
        <f t="shared" si="1"/>
        <v>893700</v>
      </c>
      <c r="Q42" s="299">
        <f t="shared" si="2"/>
        <v>2681100</v>
      </c>
      <c r="R42" s="299">
        <f t="shared" si="3"/>
        <v>2681100</v>
      </c>
      <c r="S42" s="112">
        <v>0</v>
      </c>
    </row>
    <row r="43" spans="1:19" ht="60">
      <c r="A43" s="76"/>
      <c r="B43" s="77" t="s">
        <v>1889</v>
      </c>
      <c r="C43" s="76" t="s">
        <v>1877</v>
      </c>
      <c r="D43" s="143">
        <v>1</v>
      </c>
      <c r="E43" s="76"/>
      <c r="F43" s="113">
        <f t="shared" si="0"/>
        <v>1</v>
      </c>
      <c r="G43" s="112" t="s">
        <v>3795</v>
      </c>
      <c r="H43" s="120" t="s">
        <v>3189</v>
      </c>
      <c r="I43" s="120" t="s">
        <v>3768</v>
      </c>
      <c r="J43" s="120" t="s">
        <v>772</v>
      </c>
      <c r="K43" s="112">
        <v>718400</v>
      </c>
      <c r="L43" s="113"/>
      <c r="M43" s="113">
        <v>202000</v>
      </c>
      <c r="N43" s="113"/>
      <c r="O43" s="113"/>
      <c r="P43" s="299">
        <f t="shared" si="1"/>
        <v>920400</v>
      </c>
      <c r="Q43" s="299">
        <f t="shared" si="2"/>
        <v>920400</v>
      </c>
      <c r="R43" s="299">
        <f t="shared" si="3"/>
        <v>920400</v>
      </c>
      <c r="S43" s="112">
        <v>0</v>
      </c>
    </row>
    <row r="44" spans="1:19" ht="60">
      <c r="A44" s="76"/>
      <c r="B44" s="77" t="s">
        <v>1890</v>
      </c>
      <c r="C44" s="76" t="s">
        <v>1877</v>
      </c>
      <c r="D44" s="143">
        <v>1</v>
      </c>
      <c r="E44" s="76"/>
      <c r="F44" s="113">
        <f t="shared" si="0"/>
        <v>1</v>
      </c>
      <c r="G44" s="112" t="s">
        <v>3796</v>
      </c>
      <c r="H44" s="120" t="s">
        <v>3189</v>
      </c>
      <c r="I44" s="120" t="s">
        <v>3768</v>
      </c>
      <c r="J44" s="120" t="s">
        <v>772</v>
      </c>
      <c r="K44" s="112">
        <v>732400</v>
      </c>
      <c r="L44" s="113"/>
      <c r="M44" s="113">
        <v>206200</v>
      </c>
      <c r="N44" s="113"/>
      <c r="O44" s="113"/>
      <c r="P44" s="299">
        <f t="shared" si="1"/>
        <v>938600</v>
      </c>
      <c r="Q44" s="299">
        <f t="shared" si="2"/>
        <v>938600</v>
      </c>
      <c r="R44" s="299">
        <f t="shared" si="3"/>
        <v>938600</v>
      </c>
      <c r="S44" s="112">
        <v>0</v>
      </c>
    </row>
    <row r="45" spans="1:19" ht="60">
      <c r="A45" s="76"/>
      <c r="B45" s="77" t="s">
        <v>1891</v>
      </c>
      <c r="C45" s="76" t="s">
        <v>1877</v>
      </c>
      <c r="D45" s="143">
        <v>1</v>
      </c>
      <c r="E45" s="76"/>
      <c r="F45" s="113">
        <f t="shared" si="0"/>
        <v>1</v>
      </c>
      <c r="G45" s="112" t="s">
        <v>3797</v>
      </c>
      <c r="H45" s="120" t="s">
        <v>3189</v>
      </c>
      <c r="I45" s="120" t="s">
        <v>3768</v>
      </c>
      <c r="J45" s="120" t="s">
        <v>772</v>
      </c>
      <c r="K45" s="112">
        <v>737600</v>
      </c>
      <c r="L45" s="113"/>
      <c r="M45" s="113">
        <v>249200</v>
      </c>
      <c r="N45" s="113"/>
      <c r="O45" s="113"/>
      <c r="P45" s="299">
        <f t="shared" si="1"/>
        <v>986800</v>
      </c>
      <c r="Q45" s="299">
        <f t="shared" si="2"/>
        <v>986800</v>
      </c>
      <c r="R45" s="299">
        <f t="shared" si="3"/>
        <v>986800</v>
      </c>
      <c r="S45" s="112">
        <v>0</v>
      </c>
    </row>
    <row r="46" spans="1:19" ht="60">
      <c r="A46" s="76"/>
      <c r="B46" s="77" t="s">
        <v>1892</v>
      </c>
      <c r="C46" s="76" t="s">
        <v>1877</v>
      </c>
      <c r="D46" s="143">
        <v>2</v>
      </c>
      <c r="E46" s="76"/>
      <c r="F46" s="113">
        <f t="shared" si="0"/>
        <v>2</v>
      </c>
      <c r="G46" s="112" t="s">
        <v>3798</v>
      </c>
      <c r="H46" s="120" t="s">
        <v>3189</v>
      </c>
      <c r="I46" s="120" t="s">
        <v>3768</v>
      </c>
      <c r="J46" s="120" t="s">
        <v>772</v>
      </c>
      <c r="K46" s="112">
        <v>802400</v>
      </c>
      <c r="L46" s="113"/>
      <c r="M46" s="113">
        <v>226900</v>
      </c>
      <c r="N46" s="113"/>
      <c r="O46" s="113"/>
      <c r="P46" s="299">
        <f t="shared" si="1"/>
        <v>1029300</v>
      </c>
      <c r="Q46" s="299">
        <f t="shared" si="2"/>
        <v>2058600</v>
      </c>
      <c r="R46" s="299">
        <f t="shared" si="3"/>
        <v>2058600</v>
      </c>
      <c r="S46" s="112">
        <v>0</v>
      </c>
    </row>
    <row r="47" spans="1:19" ht="60">
      <c r="A47" s="76"/>
      <c r="B47" s="77" t="s">
        <v>1893</v>
      </c>
      <c r="C47" s="76" t="s">
        <v>1877</v>
      </c>
      <c r="D47" s="143">
        <v>2</v>
      </c>
      <c r="E47" s="76"/>
      <c r="F47" s="113">
        <f t="shared" si="0"/>
        <v>2</v>
      </c>
      <c r="G47" s="112" t="s">
        <v>3799</v>
      </c>
      <c r="H47" s="120" t="s">
        <v>3189</v>
      </c>
      <c r="I47" s="120" t="s">
        <v>3768</v>
      </c>
      <c r="J47" s="120" t="s">
        <v>772</v>
      </c>
      <c r="K47" s="112">
        <v>821600</v>
      </c>
      <c r="L47" s="113"/>
      <c r="M47" s="113">
        <v>279100</v>
      </c>
      <c r="N47" s="113"/>
      <c r="O47" s="113"/>
      <c r="P47" s="299">
        <f t="shared" si="1"/>
        <v>1100700</v>
      </c>
      <c r="Q47" s="299">
        <f t="shared" si="2"/>
        <v>2201400</v>
      </c>
      <c r="R47" s="299">
        <f t="shared" si="3"/>
        <v>2201400</v>
      </c>
      <c r="S47" s="112">
        <v>0</v>
      </c>
    </row>
    <row r="48" spans="1:19" ht="60">
      <c r="A48" s="76"/>
      <c r="B48" s="77" t="s">
        <v>1894</v>
      </c>
      <c r="C48" s="76" t="s">
        <v>1877</v>
      </c>
      <c r="D48" s="143">
        <v>2</v>
      </c>
      <c r="E48" s="76"/>
      <c r="F48" s="113">
        <f t="shared" si="0"/>
        <v>2</v>
      </c>
      <c r="G48" s="112" t="s">
        <v>3800</v>
      </c>
      <c r="H48" s="120" t="s">
        <v>3189</v>
      </c>
      <c r="I48" s="120" t="s">
        <v>3768</v>
      </c>
      <c r="J48" s="120" t="s">
        <v>772</v>
      </c>
      <c r="K48" s="112">
        <v>886800</v>
      </c>
      <c r="L48" s="113"/>
      <c r="M48" s="113">
        <v>251900</v>
      </c>
      <c r="N48" s="113"/>
      <c r="O48" s="113"/>
      <c r="P48" s="299">
        <f t="shared" si="1"/>
        <v>1138700</v>
      </c>
      <c r="Q48" s="299">
        <f t="shared" si="2"/>
        <v>2277400</v>
      </c>
      <c r="R48" s="299">
        <f t="shared" si="3"/>
        <v>2277400</v>
      </c>
      <c r="S48" s="112">
        <v>0</v>
      </c>
    </row>
    <row r="49" spans="1:19" ht="60">
      <c r="A49" s="88"/>
      <c r="B49" s="87" t="s">
        <v>1895</v>
      </c>
      <c r="C49" s="88" t="s">
        <v>1877</v>
      </c>
      <c r="D49" s="147">
        <v>1</v>
      </c>
      <c r="E49" s="87"/>
      <c r="F49" s="113">
        <f t="shared" si="0"/>
        <v>1</v>
      </c>
      <c r="G49" s="112" t="s">
        <v>3801</v>
      </c>
      <c r="H49" s="120" t="s">
        <v>3193</v>
      </c>
      <c r="I49" s="120" t="s">
        <v>3768</v>
      </c>
      <c r="J49" s="120" t="s">
        <v>772</v>
      </c>
      <c r="K49" s="112">
        <v>509100</v>
      </c>
      <c r="L49" s="113"/>
      <c r="M49" s="113">
        <v>156300</v>
      </c>
      <c r="N49" s="113"/>
      <c r="O49" s="113"/>
      <c r="P49" s="299">
        <f t="shared" si="1"/>
        <v>665400</v>
      </c>
      <c r="Q49" s="299">
        <f t="shared" si="2"/>
        <v>665400</v>
      </c>
      <c r="R49" s="299">
        <f t="shared" si="3"/>
        <v>665400</v>
      </c>
      <c r="S49" s="112">
        <v>0</v>
      </c>
    </row>
    <row r="50" spans="1:19" ht="60">
      <c r="A50" s="88"/>
      <c r="B50" s="87" t="s">
        <v>1896</v>
      </c>
      <c r="C50" s="88" t="s">
        <v>1877</v>
      </c>
      <c r="D50" s="147">
        <v>1</v>
      </c>
      <c r="E50" s="87"/>
      <c r="F50" s="113">
        <f t="shared" si="0"/>
        <v>1</v>
      </c>
      <c r="G50" s="112" t="s">
        <v>3802</v>
      </c>
      <c r="H50" s="120" t="s">
        <v>3193</v>
      </c>
      <c r="I50" s="120" t="s">
        <v>3768</v>
      </c>
      <c r="J50" s="120" t="s">
        <v>772</v>
      </c>
      <c r="K50" s="112">
        <v>572000</v>
      </c>
      <c r="L50" s="113"/>
      <c r="M50" s="113">
        <v>177100</v>
      </c>
      <c r="N50" s="113"/>
      <c r="O50" s="113"/>
      <c r="P50" s="299">
        <f t="shared" si="1"/>
        <v>749100</v>
      </c>
      <c r="Q50" s="299">
        <f t="shared" si="2"/>
        <v>749100</v>
      </c>
      <c r="R50" s="299">
        <f t="shared" si="3"/>
        <v>749100</v>
      </c>
      <c r="S50" s="112">
        <v>0</v>
      </c>
    </row>
    <row r="51" spans="1:19" ht="60">
      <c r="A51" s="88"/>
      <c r="B51" s="87" t="s">
        <v>1897</v>
      </c>
      <c r="C51" s="88" t="s">
        <v>1877</v>
      </c>
      <c r="D51" s="147">
        <v>1</v>
      </c>
      <c r="E51" s="87"/>
      <c r="F51" s="113">
        <f t="shared" si="0"/>
        <v>1</v>
      </c>
      <c r="G51" s="112" t="s">
        <v>3803</v>
      </c>
      <c r="H51" s="120" t="s">
        <v>3189</v>
      </c>
      <c r="I51" s="120" t="s">
        <v>3768</v>
      </c>
      <c r="J51" s="120" t="s">
        <v>772</v>
      </c>
      <c r="K51" s="112">
        <v>886400</v>
      </c>
      <c r="L51" s="113"/>
      <c r="M51" s="113">
        <v>251800</v>
      </c>
      <c r="N51" s="113"/>
      <c r="O51" s="113"/>
      <c r="P51" s="299">
        <f t="shared" si="1"/>
        <v>1138200</v>
      </c>
      <c r="Q51" s="299">
        <f t="shared" si="2"/>
        <v>1138200</v>
      </c>
      <c r="R51" s="299">
        <f t="shared" si="3"/>
        <v>1138200</v>
      </c>
      <c r="S51" s="112">
        <v>0</v>
      </c>
    </row>
    <row r="52" spans="1:19" ht="60">
      <c r="A52" s="88"/>
      <c r="B52" s="87" t="s">
        <v>1898</v>
      </c>
      <c r="C52" s="88" t="s">
        <v>1877</v>
      </c>
      <c r="D52" s="147">
        <v>4</v>
      </c>
      <c r="E52" s="87"/>
      <c r="F52" s="113">
        <f t="shared" si="0"/>
        <v>4</v>
      </c>
      <c r="G52" s="112" t="s">
        <v>3804</v>
      </c>
      <c r="H52" s="120" t="s">
        <v>3189</v>
      </c>
      <c r="I52" s="120" t="s">
        <v>3768</v>
      </c>
      <c r="J52" s="120" t="s">
        <v>772</v>
      </c>
      <c r="K52" s="112">
        <v>1475200</v>
      </c>
      <c r="L52" s="113"/>
      <c r="M52" s="113">
        <v>511400</v>
      </c>
      <c r="N52" s="113"/>
      <c r="O52" s="113"/>
      <c r="P52" s="299">
        <f t="shared" si="1"/>
        <v>1986600</v>
      </c>
      <c r="Q52" s="299">
        <f t="shared" si="2"/>
        <v>7946400</v>
      </c>
      <c r="R52" s="299">
        <f t="shared" si="3"/>
        <v>7946400</v>
      </c>
      <c r="S52" s="112">
        <v>0</v>
      </c>
    </row>
    <row r="53" spans="1:19" ht="60">
      <c r="A53" s="88"/>
      <c r="B53" s="87" t="s">
        <v>1899</v>
      </c>
      <c r="C53" s="88" t="s">
        <v>1877</v>
      </c>
      <c r="D53" s="147">
        <v>1</v>
      </c>
      <c r="E53" s="87"/>
      <c r="F53" s="113">
        <f t="shared" si="0"/>
        <v>1</v>
      </c>
      <c r="G53" s="112" t="s">
        <v>3805</v>
      </c>
      <c r="H53" s="120" t="s">
        <v>3205</v>
      </c>
      <c r="I53" s="120" t="s">
        <v>3768</v>
      </c>
      <c r="J53" s="120" t="s">
        <v>772</v>
      </c>
      <c r="K53" s="112">
        <v>2177300</v>
      </c>
      <c r="L53" s="113"/>
      <c r="M53" s="113">
        <v>686400</v>
      </c>
      <c r="N53" s="113"/>
      <c r="O53" s="113"/>
      <c r="P53" s="299">
        <f t="shared" si="1"/>
        <v>2863700</v>
      </c>
      <c r="Q53" s="299">
        <f t="shared" si="2"/>
        <v>2863700</v>
      </c>
      <c r="R53" s="299">
        <f t="shared" si="3"/>
        <v>2863700</v>
      </c>
      <c r="S53" s="112">
        <v>0</v>
      </c>
    </row>
    <row r="54" spans="1:19">
      <c r="A54" s="79">
        <v>1.4</v>
      </c>
      <c r="B54" s="80" t="s">
        <v>1900</v>
      </c>
      <c r="C54" s="79"/>
      <c r="D54" s="143"/>
      <c r="E54" s="79"/>
      <c r="F54" s="113">
        <f t="shared" si="0"/>
        <v>0</v>
      </c>
      <c r="G54" s="112">
        <v>0</v>
      </c>
      <c r="H54" s="120">
        <v>0</v>
      </c>
      <c r="I54" s="120">
        <v>0</v>
      </c>
      <c r="J54" s="120">
        <v>0</v>
      </c>
      <c r="K54" s="112">
        <v>0</v>
      </c>
      <c r="L54" s="113"/>
      <c r="M54" s="113">
        <v>0</v>
      </c>
      <c r="N54" s="113"/>
      <c r="O54" s="113"/>
      <c r="P54" s="299">
        <f t="shared" si="1"/>
        <v>0</v>
      </c>
      <c r="Q54" s="299">
        <f t="shared" si="2"/>
        <v>0</v>
      </c>
      <c r="R54" s="299">
        <f t="shared" si="3"/>
        <v>0</v>
      </c>
      <c r="S54" s="112">
        <v>0</v>
      </c>
    </row>
    <row r="55" spans="1:19" ht="60">
      <c r="A55" s="79"/>
      <c r="B55" s="77" t="s">
        <v>1901</v>
      </c>
      <c r="C55" s="76" t="s">
        <v>1877</v>
      </c>
      <c r="D55" s="143">
        <v>2</v>
      </c>
      <c r="E55" s="79"/>
      <c r="F55" s="113">
        <f t="shared" si="0"/>
        <v>2</v>
      </c>
      <c r="G55" s="112" t="s">
        <v>3806</v>
      </c>
      <c r="H55" s="120" t="s">
        <v>3189</v>
      </c>
      <c r="I55" s="120" t="s">
        <v>3768</v>
      </c>
      <c r="J55" s="120" t="s">
        <v>772</v>
      </c>
      <c r="K55" s="112">
        <v>4741700</v>
      </c>
      <c r="L55" s="113"/>
      <c r="M55" s="113">
        <v>676900</v>
      </c>
      <c r="N55" s="113"/>
      <c r="O55" s="113"/>
      <c r="P55" s="299">
        <f t="shared" si="1"/>
        <v>5418600</v>
      </c>
      <c r="Q55" s="299">
        <f t="shared" si="2"/>
        <v>10837200</v>
      </c>
      <c r="R55" s="299">
        <f t="shared" si="3"/>
        <v>10837200</v>
      </c>
      <c r="S55" s="112">
        <v>0</v>
      </c>
    </row>
    <row r="56" spans="1:19" ht="60">
      <c r="A56" s="79"/>
      <c r="B56" s="77" t="s">
        <v>1902</v>
      </c>
      <c r="C56" s="76" t="s">
        <v>1877</v>
      </c>
      <c r="D56" s="143">
        <v>2</v>
      </c>
      <c r="E56" s="79"/>
      <c r="F56" s="113">
        <f t="shared" si="0"/>
        <v>2</v>
      </c>
      <c r="G56" s="112" t="s">
        <v>3807</v>
      </c>
      <c r="H56" s="120" t="s">
        <v>3189</v>
      </c>
      <c r="I56" s="120" t="s">
        <v>3768</v>
      </c>
      <c r="J56" s="120" t="s">
        <v>772</v>
      </c>
      <c r="K56" s="112">
        <v>5823800</v>
      </c>
      <c r="L56" s="113"/>
      <c r="M56" s="113">
        <v>676900</v>
      </c>
      <c r="N56" s="113"/>
      <c r="O56" s="113"/>
      <c r="P56" s="299">
        <f t="shared" si="1"/>
        <v>6500700</v>
      </c>
      <c r="Q56" s="299">
        <f t="shared" si="2"/>
        <v>13001400</v>
      </c>
      <c r="R56" s="299">
        <f t="shared" si="3"/>
        <v>13001400</v>
      </c>
      <c r="S56" s="112">
        <v>0</v>
      </c>
    </row>
    <row r="57" spans="1:19" ht="60">
      <c r="A57" s="79"/>
      <c r="B57" s="77" t="s">
        <v>1903</v>
      </c>
      <c r="C57" s="76" t="s">
        <v>1877</v>
      </c>
      <c r="D57" s="143">
        <v>2</v>
      </c>
      <c r="E57" s="79"/>
      <c r="F57" s="113">
        <f t="shared" si="0"/>
        <v>2</v>
      </c>
      <c r="G57" s="112" t="s">
        <v>3808</v>
      </c>
      <c r="H57" s="120" t="s">
        <v>3189</v>
      </c>
      <c r="I57" s="120" t="s">
        <v>3768</v>
      </c>
      <c r="J57" s="120" t="s">
        <v>772</v>
      </c>
      <c r="K57" s="112">
        <v>10205600</v>
      </c>
      <c r="L57" s="113"/>
      <c r="M57" s="113">
        <v>856100</v>
      </c>
      <c r="N57" s="113"/>
      <c r="O57" s="113"/>
      <c r="P57" s="299">
        <f t="shared" si="1"/>
        <v>11061700</v>
      </c>
      <c r="Q57" s="299">
        <f t="shared" si="2"/>
        <v>22123400</v>
      </c>
      <c r="R57" s="299">
        <f t="shared" si="3"/>
        <v>22123400</v>
      </c>
      <c r="S57" s="112">
        <v>0</v>
      </c>
    </row>
    <row r="58" spans="1:19" ht="60">
      <c r="A58" s="79"/>
      <c r="B58" s="77" t="s">
        <v>1904</v>
      </c>
      <c r="C58" s="76" t="s">
        <v>1877</v>
      </c>
      <c r="D58" s="143">
        <v>1</v>
      </c>
      <c r="E58" s="79"/>
      <c r="F58" s="113">
        <f t="shared" si="0"/>
        <v>1</v>
      </c>
      <c r="G58" s="112" t="s">
        <v>3809</v>
      </c>
      <c r="H58" s="120" t="s">
        <v>3205</v>
      </c>
      <c r="I58" s="120" t="s">
        <v>3768</v>
      </c>
      <c r="J58" s="120" t="s">
        <v>772</v>
      </c>
      <c r="K58" s="112">
        <v>19611000</v>
      </c>
      <c r="L58" s="113"/>
      <c r="M58" s="113">
        <v>1234400</v>
      </c>
      <c r="N58" s="113"/>
      <c r="O58" s="113"/>
      <c r="P58" s="299">
        <f t="shared" si="1"/>
        <v>20845400</v>
      </c>
      <c r="Q58" s="299">
        <f t="shared" si="2"/>
        <v>20845400</v>
      </c>
      <c r="R58" s="299">
        <f t="shared" si="3"/>
        <v>20845400</v>
      </c>
      <c r="S58" s="112">
        <v>0</v>
      </c>
    </row>
    <row r="59" spans="1:19">
      <c r="A59" s="79">
        <v>1.5</v>
      </c>
      <c r="B59" s="257" t="s">
        <v>1905</v>
      </c>
      <c r="C59" s="79"/>
      <c r="D59" s="143"/>
      <c r="E59" s="76"/>
      <c r="F59" s="113">
        <f t="shared" si="0"/>
        <v>0</v>
      </c>
      <c r="G59" s="112">
        <v>0</v>
      </c>
      <c r="H59" s="120">
        <v>0</v>
      </c>
      <c r="I59" s="120">
        <v>0</v>
      </c>
      <c r="J59" s="120">
        <v>0</v>
      </c>
      <c r="K59" s="112">
        <v>0</v>
      </c>
      <c r="L59" s="113"/>
      <c r="M59" s="113">
        <v>0</v>
      </c>
      <c r="N59" s="113"/>
      <c r="O59" s="113"/>
      <c r="P59" s="299">
        <f t="shared" si="1"/>
        <v>0</v>
      </c>
      <c r="Q59" s="299">
        <f t="shared" si="2"/>
        <v>0</v>
      </c>
      <c r="R59" s="299">
        <f t="shared" si="3"/>
        <v>0</v>
      </c>
      <c r="S59" s="112">
        <v>0</v>
      </c>
    </row>
    <row r="60" spans="1:19" ht="60">
      <c r="A60" s="76"/>
      <c r="B60" s="77" t="s">
        <v>1906</v>
      </c>
      <c r="C60" s="76" t="s">
        <v>1877</v>
      </c>
      <c r="D60" s="143">
        <v>123</v>
      </c>
      <c r="E60" s="76"/>
      <c r="F60" s="113">
        <f t="shared" si="0"/>
        <v>123</v>
      </c>
      <c r="G60" s="112" t="s">
        <v>3737</v>
      </c>
      <c r="H60" s="120">
        <v>0</v>
      </c>
      <c r="I60" s="120" t="s">
        <v>3190</v>
      </c>
      <c r="J60" s="120" t="s">
        <v>772</v>
      </c>
      <c r="K60" s="112">
        <v>600300</v>
      </c>
      <c r="L60" s="113"/>
      <c r="M60" s="113">
        <v>393000</v>
      </c>
      <c r="N60" s="113"/>
      <c r="O60" s="113"/>
      <c r="P60" s="299">
        <f t="shared" si="1"/>
        <v>993300</v>
      </c>
      <c r="Q60" s="299">
        <f t="shared" si="2"/>
        <v>122175900</v>
      </c>
      <c r="R60" s="299">
        <f t="shared" si="3"/>
        <v>122175900</v>
      </c>
      <c r="S60" s="112">
        <v>0</v>
      </c>
    </row>
    <row r="61" spans="1:19">
      <c r="A61" s="90">
        <v>1.6</v>
      </c>
      <c r="B61" s="91" t="s">
        <v>1907</v>
      </c>
      <c r="C61" s="90">
        <v>0</v>
      </c>
      <c r="D61" s="258"/>
      <c r="E61" s="91"/>
      <c r="F61" s="113">
        <f t="shared" si="0"/>
        <v>0</v>
      </c>
      <c r="G61" s="112">
        <v>0</v>
      </c>
      <c r="H61" s="120">
        <v>0</v>
      </c>
      <c r="I61" s="120">
        <v>0</v>
      </c>
      <c r="J61" s="120">
        <v>0</v>
      </c>
      <c r="K61" s="112">
        <v>0</v>
      </c>
      <c r="L61" s="113"/>
      <c r="M61" s="113">
        <v>0</v>
      </c>
      <c r="N61" s="113"/>
      <c r="O61" s="113"/>
      <c r="P61" s="299">
        <f t="shared" si="1"/>
        <v>0</v>
      </c>
      <c r="Q61" s="299">
        <f t="shared" si="2"/>
        <v>0</v>
      </c>
      <c r="R61" s="299">
        <f t="shared" si="3"/>
        <v>0</v>
      </c>
      <c r="S61" s="112">
        <v>0</v>
      </c>
    </row>
    <row r="62" spans="1:19" ht="60">
      <c r="A62" s="88"/>
      <c r="B62" s="87" t="s">
        <v>1908</v>
      </c>
      <c r="C62" s="88" t="s">
        <v>1877</v>
      </c>
      <c r="D62" s="147">
        <v>123</v>
      </c>
      <c r="E62" s="87"/>
      <c r="F62" s="113">
        <f t="shared" si="0"/>
        <v>123</v>
      </c>
      <c r="G62" s="112" t="s">
        <v>3810</v>
      </c>
      <c r="H62" s="120" t="s">
        <v>3193</v>
      </c>
      <c r="I62" s="120" t="s">
        <v>3768</v>
      </c>
      <c r="J62" s="120" t="s">
        <v>772</v>
      </c>
      <c r="K62" s="112">
        <v>432600</v>
      </c>
      <c r="L62" s="113"/>
      <c r="M62" s="113">
        <v>142900</v>
      </c>
      <c r="N62" s="113"/>
      <c r="O62" s="113"/>
      <c r="P62" s="299">
        <f t="shared" si="1"/>
        <v>575500</v>
      </c>
      <c r="Q62" s="299">
        <f t="shared" si="2"/>
        <v>70786500</v>
      </c>
      <c r="R62" s="299">
        <f t="shared" si="3"/>
        <v>70786500</v>
      </c>
      <c r="S62" s="112">
        <v>0</v>
      </c>
    </row>
    <row r="63" spans="1:19">
      <c r="A63" s="90">
        <v>1.7</v>
      </c>
      <c r="B63" s="91" t="s">
        <v>1909</v>
      </c>
      <c r="C63" s="90">
        <v>0</v>
      </c>
      <c r="D63" s="258"/>
      <c r="E63" s="91"/>
      <c r="F63" s="113">
        <f t="shared" si="0"/>
        <v>0</v>
      </c>
      <c r="G63" s="112">
        <v>0</v>
      </c>
      <c r="H63" s="120">
        <v>0</v>
      </c>
      <c r="I63" s="120">
        <v>0</v>
      </c>
      <c r="J63" s="120">
        <v>0</v>
      </c>
      <c r="K63" s="112">
        <v>0</v>
      </c>
      <c r="L63" s="113"/>
      <c r="M63" s="113">
        <v>0</v>
      </c>
      <c r="N63" s="113"/>
      <c r="O63" s="113"/>
      <c r="P63" s="299">
        <f t="shared" si="1"/>
        <v>0</v>
      </c>
      <c r="Q63" s="299">
        <f t="shared" si="2"/>
        <v>0</v>
      </c>
      <c r="R63" s="299">
        <f t="shared" si="3"/>
        <v>0</v>
      </c>
      <c r="S63" s="112">
        <v>0</v>
      </c>
    </row>
    <row r="64" spans="1:19" ht="60">
      <c r="A64" s="88"/>
      <c r="B64" s="87" t="s">
        <v>1910</v>
      </c>
      <c r="C64" s="88" t="s">
        <v>1877</v>
      </c>
      <c r="D64" s="147">
        <v>1</v>
      </c>
      <c r="E64" s="87"/>
      <c r="F64" s="113">
        <f t="shared" si="0"/>
        <v>1</v>
      </c>
      <c r="G64" s="112" t="s">
        <v>3811</v>
      </c>
      <c r="H64" s="120" t="s">
        <v>3193</v>
      </c>
      <c r="I64" s="120" t="s">
        <v>3768</v>
      </c>
      <c r="J64" s="120" t="s">
        <v>772</v>
      </c>
      <c r="K64" s="112">
        <v>1126600</v>
      </c>
      <c r="L64" s="113"/>
      <c r="M64" s="113">
        <v>423000</v>
      </c>
      <c r="N64" s="113"/>
      <c r="O64" s="113"/>
      <c r="P64" s="299">
        <f t="shared" si="1"/>
        <v>1549600</v>
      </c>
      <c r="Q64" s="299">
        <f t="shared" si="2"/>
        <v>1549600</v>
      </c>
      <c r="R64" s="299">
        <f t="shared" si="3"/>
        <v>1549600</v>
      </c>
      <c r="S64" s="112">
        <v>0</v>
      </c>
    </row>
    <row r="65" spans="1:19" ht="60">
      <c r="A65" s="88"/>
      <c r="B65" s="87" t="s">
        <v>1911</v>
      </c>
      <c r="C65" s="88" t="s">
        <v>1877</v>
      </c>
      <c r="D65" s="147">
        <v>1</v>
      </c>
      <c r="E65" s="87"/>
      <c r="F65" s="113">
        <f t="shared" si="0"/>
        <v>1</v>
      </c>
      <c r="G65" s="112" t="s">
        <v>3812</v>
      </c>
      <c r="H65" s="120" t="s">
        <v>3193</v>
      </c>
      <c r="I65" s="120" t="s">
        <v>3768</v>
      </c>
      <c r="J65" s="120" t="s">
        <v>772</v>
      </c>
      <c r="K65" s="112">
        <v>1346300</v>
      </c>
      <c r="L65" s="113"/>
      <c r="M65" s="113">
        <v>510200</v>
      </c>
      <c r="N65" s="113"/>
      <c r="O65" s="113"/>
      <c r="P65" s="299">
        <f t="shared" si="1"/>
        <v>1856500</v>
      </c>
      <c r="Q65" s="299">
        <f t="shared" si="2"/>
        <v>1856500</v>
      </c>
      <c r="R65" s="299">
        <f t="shared" si="3"/>
        <v>1856500</v>
      </c>
      <c r="S65" s="112">
        <v>0</v>
      </c>
    </row>
    <row r="66" spans="1:19" ht="75">
      <c r="A66" s="88"/>
      <c r="B66" s="87" t="s">
        <v>1912</v>
      </c>
      <c r="C66" s="88" t="s">
        <v>1877</v>
      </c>
      <c r="D66" s="147">
        <v>1</v>
      </c>
      <c r="E66" s="87"/>
      <c r="F66" s="113">
        <f t="shared" si="0"/>
        <v>1</v>
      </c>
      <c r="G66" s="112" t="s">
        <v>3813</v>
      </c>
      <c r="H66" s="120" t="s">
        <v>3193</v>
      </c>
      <c r="I66" s="120" t="s">
        <v>3768</v>
      </c>
      <c r="J66" s="120" t="s">
        <v>772</v>
      </c>
      <c r="K66" s="112">
        <v>3396700</v>
      </c>
      <c r="L66" s="113"/>
      <c r="M66" s="113">
        <v>756600</v>
      </c>
      <c r="N66" s="113"/>
      <c r="O66" s="113"/>
      <c r="P66" s="299">
        <f t="shared" si="1"/>
        <v>4153300</v>
      </c>
      <c r="Q66" s="299">
        <f t="shared" si="2"/>
        <v>4153300</v>
      </c>
      <c r="R66" s="299">
        <f t="shared" si="3"/>
        <v>4153300</v>
      </c>
      <c r="S66" s="112">
        <v>0</v>
      </c>
    </row>
    <row r="67" spans="1:19">
      <c r="A67" s="79">
        <v>1.8</v>
      </c>
      <c r="B67" s="257" t="s">
        <v>1913</v>
      </c>
      <c r="C67" s="79"/>
      <c r="D67" s="143"/>
      <c r="E67" s="76"/>
      <c r="F67" s="113">
        <f t="shared" si="0"/>
        <v>0</v>
      </c>
      <c r="G67" s="112">
        <v>0</v>
      </c>
      <c r="H67" s="120">
        <v>0</v>
      </c>
      <c r="I67" s="120">
        <v>0</v>
      </c>
      <c r="J67" s="120">
        <v>0</v>
      </c>
      <c r="K67" s="112">
        <v>0</v>
      </c>
      <c r="L67" s="113"/>
      <c r="M67" s="113">
        <v>0</v>
      </c>
      <c r="N67" s="113"/>
      <c r="O67" s="113"/>
      <c r="P67" s="299">
        <f t="shared" si="1"/>
        <v>0</v>
      </c>
      <c r="Q67" s="299">
        <f t="shared" si="2"/>
        <v>0</v>
      </c>
      <c r="R67" s="299">
        <f t="shared" si="3"/>
        <v>0</v>
      </c>
      <c r="S67" s="112">
        <v>0</v>
      </c>
    </row>
    <row r="68" spans="1:19" ht="30">
      <c r="A68" s="79"/>
      <c r="B68" s="77" t="s">
        <v>1871</v>
      </c>
      <c r="C68" s="76" t="s">
        <v>1877</v>
      </c>
      <c r="D68" s="143">
        <v>1</v>
      </c>
      <c r="E68" s="76"/>
      <c r="F68" s="113">
        <f t="shared" si="0"/>
        <v>1</v>
      </c>
      <c r="G68" s="112" t="s">
        <v>3657</v>
      </c>
      <c r="H68" s="120" t="s">
        <v>3386</v>
      </c>
      <c r="I68" s="120" t="s">
        <v>3190</v>
      </c>
      <c r="J68" s="120" t="s">
        <v>772</v>
      </c>
      <c r="K68" s="112">
        <v>1691400</v>
      </c>
      <c r="L68" s="113"/>
      <c r="M68" s="113">
        <v>561300</v>
      </c>
      <c r="N68" s="113"/>
      <c r="O68" s="113"/>
      <c r="P68" s="299">
        <f t="shared" si="1"/>
        <v>2252700</v>
      </c>
      <c r="Q68" s="299">
        <f t="shared" si="2"/>
        <v>2252700</v>
      </c>
      <c r="R68" s="299">
        <f t="shared" si="3"/>
        <v>2252700</v>
      </c>
      <c r="S68" s="112">
        <v>0</v>
      </c>
    </row>
    <row r="69" spans="1:19" ht="30">
      <c r="A69" s="79"/>
      <c r="B69" s="77" t="s">
        <v>1914</v>
      </c>
      <c r="C69" s="76" t="s">
        <v>1877</v>
      </c>
      <c r="D69" s="143">
        <v>1</v>
      </c>
      <c r="E69" s="76"/>
      <c r="F69" s="113">
        <f t="shared" si="0"/>
        <v>1</v>
      </c>
      <c r="G69" s="112" t="s">
        <v>3736</v>
      </c>
      <c r="H69" s="120" t="s">
        <v>3386</v>
      </c>
      <c r="I69" s="120" t="s">
        <v>3190</v>
      </c>
      <c r="J69" s="120" t="s">
        <v>772</v>
      </c>
      <c r="K69" s="112">
        <v>1655400</v>
      </c>
      <c r="L69" s="113"/>
      <c r="M69" s="113">
        <v>606600</v>
      </c>
      <c r="N69" s="113"/>
      <c r="O69" s="113"/>
      <c r="P69" s="299">
        <f t="shared" si="1"/>
        <v>2262000</v>
      </c>
      <c r="Q69" s="299">
        <f t="shared" si="2"/>
        <v>2262000</v>
      </c>
      <c r="R69" s="299">
        <f t="shared" si="3"/>
        <v>2262000</v>
      </c>
      <c r="S69" s="112">
        <v>0</v>
      </c>
    </row>
    <row r="70" spans="1:19" ht="30">
      <c r="A70" s="79"/>
      <c r="B70" s="77" t="s">
        <v>1915</v>
      </c>
      <c r="C70" s="76" t="s">
        <v>1877</v>
      </c>
      <c r="D70" s="143">
        <v>3</v>
      </c>
      <c r="E70" s="76"/>
      <c r="F70" s="113">
        <f t="shared" si="0"/>
        <v>3</v>
      </c>
      <c r="G70" s="112" t="s">
        <v>3735</v>
      </c>
      <c r="H70" s="120" t="s">
        <v>3386</v>
      </c>
      <c r="I70" s="120" t="s">
        <v>3190</v>
      </c>
      <c r="J70" s="120" t="s">
        <v>772</v>
      </c>
      <c r="K70" s="112">
        <v>1354600</v>
      </c>
      <c r="L70" s="113"/>
      <c r="M70" s="113">
        <v>606600</v>
      </c>
      <c r="N70" s="113"/>
      <c r="O70" s="113"/>
      <c r="P70" s="299">
        <f t="shared" si="1"/>
        <v>1961200</v>
      </c>
      <c r="Q70" s="299">
        <f t="shared" si="2"/>
        <v>5883600</v>
      </c>
      <c r="R70" s="299">
        <f t="shared" si="3"/>
        <v>5883600</v>
      </c>
      <c r="S70" s="112">
        <v>0</v>
      </c>
    </row>
    <row r="71" spans="1:19" ht="30">
      <c r="A71" s="88"/>
      <c r="B71" s="87" t="s">
        <v>1916</v>
      </c>
      <c r="C71" s="88" t="s">
        <v>1877</v>
      </c>
      <c r="D71" s="147">
        <v>1</v>
      </c>
      <c r="E71" s="87"/>
      <c r="F71" s="113">
        <f t="shared" si="0"/>
        <v>1</v>
      </c>
      <c r="G71" s="112" t="s">
        <v>3734</v>
      </c>
      <c r="H71" s="120" t="s">
        <v>3386</v>
      </c>
      <c r="I71" s="120" t="s">
        <v>3190</v>
      </c>
      <c r="J71" s="120" t="s">
        <v>772</v>
      </c>
      <c r="K71" s="112">
        <v>2022500</v>
      </c>
      <c r="L71" s="113"/>
      <c r="M71" s="113">
        <v>561300</v>
      </c>
      <c r="N71" s="113"/>
      <c r="O71" s="113"/>
      <c r="P71" s="299">
        <f t="shared" si="1"/>
        <v>2583800</v>
      </c>
      <c r="Q71" s="299">
        <f t="shared" si="2"/>
        <v>2583800</v>
      </c>
      <c r="R71" s="299">
        <f t="shared" si="3"/>
        <v>2583800</v>
      </c>
      <c r="S71" s="112">
        <v>0</v>
      </c>
    </row>
    <row r="72" spans="1:19">
      <c r="A72" s="79">
        <v>1.9</v>
      </c>
      <c r="B72" s="257" t="s">
        <v>1917</v>
      </c>
      <c r="C72" s="79"/>
      <c r="D72" s="143"/>
      <c r="E72" s="76"/>
      <c r="F72" s="113">
        <f t="shared" si="0"/>
        <v>0</v>
      </c>
      <c r="G72" s="112">
        <v>0</v>
      </c>
      <c r="H72" s="120">
        <v>0</v>
      </c>
      <c r="I72" s="120">
        <v>0</v>
      </c>
      <c r="J72" s="120">
        <v>0</v>
      </c>
      <c r="K72" s="112">
        <v>0</v>
      </c>
      <c r="L72" s="113"/>
      <c r="M72" s="113">
        <v>0</v>
      </c>
      <c r="N72" s="113"/>
      <c r="O72" s="113"/>
      <c r="P72" s="299">
        <f t="shared" si="1"/>
        <v>0</v>
      </c>
      <c r="Q72" s="299">
        <f t="shared" si="2"/>
        <v>0</v>
      </c>
      <c r="R72" s="299">
        <f t="shared" si="3"/>
        <v>0</v>
      </c>
      <c r="S72" s="112">
        <v>0</v>
      </c>
    </row>
    <row r="73" spans="1:19" ht="105">
      <c r="A73" s="79"/>
      <c r="B73" s="77" t="s">
        <v>1871</v>
      </c>
      <c r="C73" s="76" t="s">
        <v>1877</v>
      </c>
      <c r="D73" s="143">
        <v>1</v>
      </c>
      <c r="E73" s="76"/>
      <c r="F73" s="113">
        <f t="shared" si="0"/>
        <v>1</v>
      </c>
      <c r="G73" s="112" t="s">
        <v>3686</v>
      </c>
      <c r="H73" s="120" t="s">
        <v>3386</v>
      </c>
      <c r="I73" s="120" t="s">
        <v>3190</v>
      </c>
      <c r="J73" s="120" t="s">
        <v>772</v>
      </c>
      <c r="K73" s="112">
        <v>16576200</v>
      </c>
      <c r="L73" s="113"/>
      <c r="M73" s="113">
        <v>561300</v>
      </c>
      <c r="N73" s="113"/>
      <c r="O73" s="113"/>
      <c r="P73" s="299">
        <f t="shared" si="1"/>
        <v>17137500</v>
      </c>
      <c r="Q73" s="299">
        <f t="shared" si="2"/>
        <v>17137500</v>
      </c>
      <c r="R73" s="299">
        <f t="shared" si="3"/>
        <v>17137500</v>
      </c>
      <c r="S73" s="112" t="s">
        <v>3751</v>
      </c>
    </row>
    <row r="74" spans="1:19" ht="105">
      <c r="A74" s="79"/>
      <c r="B74" s="77" t="s">
        <v>1914</v>
      </c>
      <c r="C74" s="76" t="s">
        <v>1877</v>
      </c>
      <c r="D74" s="143">
        <v>1</v>
      </c>
      <c r="E74" s="76"/>
      <c r="F74" s="113">
        <f t="shared" si="0"/>
        <v>1</v>
      </c>
      <c r="G74" s="112" t="s">
        <v>3733</v>
      </c>
      <c r="H74" s="120" t="s">
        <v>3386</v>
      </c>
      <c r="I74" s="120" t="s">
        <v>3190</v>
      </c>
      <c r="J74" s="120" t="s">
        <v>772</v>
      </c>
      <c r="K74" s="112">
        <v>19374400</v>
      </c>
      <c r="L74" s="113"/>
      <c r="M74" s="113">
        <v>606400</v>
      </c>
      <c r="N74" s="113"/>
      <c r="O74" s="113"/>
      <c r="P74" s="299">
        <f t="shared" si="1"/>
        <v>19980800</v>
      </c>
      <c r="Q74" s="299">
        <f t="shared" si="2"/>
        <v>19980800</v>
      </c>
      <c r="R74" s="299">
        <f t="shared" si="3"/>
        <v>19980800</v>
      </c>
      <c r="S74" s="112" t="s">
        <v>3751</v>
      </c>
    </row>
    <row r="75" spans="1:19" ht="105">
      <c r="A75" s="79"/>
      <c r="B75" s="77" t="s">
        <v>1915</v>
      </c>
      <c r="C75" s="76" t="s">
        <v>1877</v>
      </c>
      <c r="D75" s="143">
        <v>1</v>
      </c>
      <c r="E75" s="76"/>
      <c r="F75" s="113">
        <f t="shared" si="0"/>
        <v>1</v>
      </c>
      <c r="G75" s="112" t="s">
        <v>3732</v>
      </c>
      <c r="H75" s="120" t="s">
        <v>3386</v>
      </c>
      <c r="I75" s="120" t="s">
        <v>3190</v>
      </c>
      <c r="J75" s="120" t="s">
        <v>772</v>
      </c>
      <c r="K75" s="112">
        <v>13586600</v>
      </c>
      <c r="L75" s="113"/>
      <c r="M75" s="113">
        <v>606600</v>
      </c>
      <c r="N75" s="113"/>
      <c r="O75" s="113"/>
      <c r="P75" s="299">
        <f t="shared" si="1"/>
        <v>14193200</v>
      </c>
      <c r="Q75" s="299">
        <f t="shared" si="2"/>
        <v>14193200</v>
      </c>
      <c r="R75" s="299">
        <f t="shared" si="3"/>
        <v>14193200</v>
      </c>
      <c r="S75" s="112" t="s">
        <v>3751</v>
      </c>
    </row>
    <row r="76" spans="1:19" ht="105">
      <c r="A76" s="79"/>
      <c r="B76" s="77" t="s">
        <v>1918</v>
      </c>
      <c r="C76" s="76" t="s">
        <v>1877</v>
      </c>
      <c r="D76" s="143">
        <v>1</v>
      </c>
      <c r="E76" s="76"/>
      <c r="F76" s="113">
        <f t="shared" si="0"/>
        <v>1</v>
      </c>
      <c r="G76" s="112" t="s">
        <v>3731</v>
      </c>
      <c r="H76" s="120" t="s">
        <v>3386</v>
      </c>
      <c r="I76" s="120" t="s">
        <v>3190</v>
      </c>
      <c r="J76" s="120" t="s">
        <v>772</v>
      </c>
      <c r="K76" s="112">
        <v>20926100</v>
      </c>
      <c r="L76" s="113"/>
      <c r="M76" s="113">
        <v>606600</v>
      </c>
      <c r="N76" s="113"/>
      <c r="O76" s="113"/>
      <c r="P76" s="299">
        <f t="shared" si="1"/>
        <v>21532700</v>
      </c>
      <c r="Q76" s="299">
        <f t="shared" si="2"/>
        <v>21532700</v>
      </c>
      <c r="R76" s="299">
        <f t="shared" si="3"/>
        <v>21532700</v>
      </c>
      <c r="S76" s="112" t="s">
        <v>3751</v>
      </c>
    </row>
    <row r="77" spans="1:19">
      <c r="A77" s="259">
        <v>1.1000000000000001</v>
      </c>
      <c r="B77" s="257" t="s">
        <v>1919</v>
      </c>
      <c r="C77" s="79"/>
      <c r="D77" s="143"/>
      <c r="E77" s="76"/>
      <c r="F77" s="113">
        <f t="shared" si="0"/>
        <v>0</v>
      </c>
      <c r="G77" s="112">
        <v>0</v>
      </c>
      <c r="H77" s="120">
        <v>0</v>
      </c>
      <c r="I77" s="120">
        <v>0</v>
      </c>
      <c r="J77" s="120">
        <v>0</v>
      </c>
      <c r="K77" s="112">
        <v>0</v>
      </c>
      <c r="L77" s="113"/>
      <c r="M77" s="113">
        <v>0</v>
      </c>
      <c r="N77" s="113"/>
      <c r="O77" s="113"/>
      <c r="P77" s="299">
        <f t="shared" si="1"/>
        <v>0</v>
      </c>
      <c r="Q77" s="299">
        <f t="shared" si="2"/>
        <v>0</v>
      </c>
      <c r="R77" s="299">
        <f t="shared" si="3"/>
        <v>0</v>
      </c>
      <c r="S77" s="112">
        <v>0</v>
      </c>
    </row>
    <row r="78" spans="1:19" ht="30">
      <c r="A78" s="79"/>
      <c r="B78" s="77" t="s">
        <v>1870</v>
      </c>
      <c r="C78" s="76" t="s">
        <v>1877</v>
      </c>
      <c r="D78" s="143">
        <v>1</v>
      </c>
      <c r="E78" s="76"/>
      <c r="F78" s="113">
        <f t="shared" si="0"/>
        <v>1</v>
      </c>
      <c r="G78" s="112" t="s">
        <v>3730</v>
      </c>
      <c r="H78" s="120" t="s">
        <v>3386</v>
      </c>
      <c r="I78" s="120" t="s">
        <v>3190</v>
      </c>
      <c r="J78" s="120" t="s">
        <v>772</v>
      </c>
      <c r="K78" s="112">
        <v>1648200</v>
      </c>
      <c r="L78" s="113"/>
      <c r="M78" s="113">
        <v>2232000</v>
      </c>
      <c r="N78" s="113"/>
      <c r="O78" s="113"/>
      <c r="P78" s="299">
        <f t="shared" si="1"/>
        <v>3880200</v>
      </c>
      <c r="Q78" s="299">
        <f t="shared" si="2"/>
        <v>3880200</v>
      </c>
      <c r="R78" s="299">
        <f t="shared" si="3"/>
        <v>3880200</v>
      </c>
      <c r="S78" s="112">
        <v>0</v>
      </c>
    </row>
    <row r="79" spans="1:19" ht="30">
      <c r="A79" s="79"/>
      <c r="B79" s="77" t="s">
        <v>1868</v>
      </c>
      <c r="C79" s="76" t="s">
        <v>1877</v>
      </c>
      <c r="D79" s="143">
        <v>2</v>
      </c>
      <c r="E79" s="76"/>
      <c r="F79" s="113">
        <f t="shared" si="0"/>
        <v>2</v>
      </c>
      <c r="G79" s="112" t="s">
        <v>3729</v>
      </c>
      <c r="H79" s="120" t="s">
        <v>3386</v>
      </c>
      <c r="I79" s="120" t="s">
        <v>3190</v>
      </c>
      <c r="J79" s="120" t="s">
        <v>772</v>
      </c>
      <c r="K79" s="112">
        <v>1515800</v>
      </c>
      <c r="L79" s="113"/>
      <c r="M79" s="113">
        <v>1984000</v>
      </c>
      <c r="N79" s="113"/>
      <c r="O79" s="113"/>
      <c r="P79" s="299">
        <f t="shared" si="1"/>
        <v>3499800</v>
      </c>
      <c r="Q79" s="299">
        <f t="shared" si="2"/>
        <v>6999600</v>
      </c>
      <c r="R79" s="299">
        <f t="shared" si="3"/>
        <v>6999600</v>
      </c>
      <c r="S79" s="112">
        <v>0</v>
      </c>
    </row>
    <row r="80" spans="1:19" ht="30">
      <c r="A80" s="79"/>
      <c r="B80" s="77" t="s">
        <v>1867</v>
      </c>
      <c r="C80" s="76" t="s">
        <v>1877</v>
      </c>
      <c r="D80" s="143">
        <v>1</v>
      </c>
      <c r="E80" s="76"/>
      <c r="F80" s="113">
        <f t="shared" ref="F80:F87" si="4">D80</f>
        <v>1</v>
      </c>
      <c r="G80" s="112" t="s">
        <v>3728</v>
      </c>
      <c r="H80" s="120" t="s">
        <v>3386</v>
      </c>
      <c r="I80" s="120" t="s">
        <v>3190</v>
      </c>
      <c r="J80" s="120" t="s">
        <v>772</v>
      </c>
      <c r="K80" s="112">
        <v>1451000</v>
      </c>
      <c r="L80" s="113"/>
      <c r="M80" s="113">
        <v>1984000</v>
      </c>
      <c r="N80" s="113"/>
      <c r="O80" s="113"/>
      <c r="P80" s="299">
        <f t="shared" ref="P80:P87" si="5">K80+L80+M80+N80+O80</f>
        <v>3435000</v>
      </c>
      <c r="Q80" s="299">
        <f t="shared" ref="Q80:Q87" si="6">+P80*D80</f>
        <v>3435000</v>
      </c>
      <c r="R80" s="299">
        <f t="shared" ref="R80:R87" si="7">+P80*F80</f>
        <v>3435000</v>
      </c>
      <c r="S80" s="112">
        <v>0</v>
      </c>
    </row>
    <row r="81" spans="1:19" ht="30">
      <c r="A81" s="79"/>
      <c r="B81" s="77" t="s">
        <v>1865</v>
      </c>
      <c r="C81" s="76" t="s">
        <v>1877</v>
      </c>
      <c r="D81" s="143">
        <v>2</v>
      </c>
      <c r="E81" s="76"/>
      <c r="F81" s="113">
        <f t="shared" si="4"/>
        <v>2</v>
      </c>
      <c r="G81" s="112" t="s">
        <v>3727</v>
      </c>
      <c r="H81" s="120" t="s">
        <v>3386</v>
      </c>
      <c r="I81" s="120" t="s">
        <v>3190</v>
      </c>
      <c r="J81" s="120" t="s">
        <v>772</v>
      </c>
      <c r="K81" s="112">
        <v>1299900</v>
      </c>
      <c r="L81" s="113"/>
      <c r="M81" s="113">
        <v>1736000</v>
      </c>
      <c r="N81" s="113"/>
      <c r="O81" s="113"/>
      <c r="P81" s="299">
        <f t="shared" si="5"/>
        <v>3035900</v>
      </c>
      <c r="Q81" s="299">
        <f t="shared" si="6"/>
        <v>6071800</v>
      </c>
      <c r="R81" s="299">
        <f t="shared" si="7"/>
        <v>6071800</v>
      </c>
      <c r="S81" s="112">
        <v>0</v>
      </c>
    </row>
    <row r="82" spans="1:19" ht="30">
      <c r="A82" s="79"/>
      <c r="B82" s="77" t="s">
        <v>1863</v>
      </c>
      <c r="C82" s="76" t="s">
        <v>1877</v>
      </c>
      <c r="D82" s="143">
        <v>2</v>
      </c>
      <c r="E82" s="76"/>
      <c r="F82" s="113">
        <f t="shared" si="4"/>
        <v>2</v>
      </c>
      <c r="G82" s="112" t="s">
        <v>3726</v>
      </c>
      <c r="H82" s="120" t="s">
        <v>3386</v>
      </c>
      <c r="I82" s="120" t="s">
        <v>3190</v>
      </c>
      <c r="J82" s="120" t="s">
        <v>772</v>
      </c>
      <c r="K82" s="112">
        <v>1148700</v>
      </c>
      <c r="L82" s="113"/>
      <c r="M82" s="113">
        <v>1488100</v>
      </c>
      <c r="N82" s="113"/>
      <c r="O82" s="113"/>
      <c r="P82" s="299">
        <f t="shared" si="5"/>
        <v>2636800</v>
      </c>
      <c r="Q82" s="299">
        <f t="shared" si="6"/>
        <v>5273600</v>
      </c>
      <c r="R82" s="299">
        <f t="shared" si="7"/>
        <v>5273600</v>
      </c>
      <c r="S82" s="112">
        <v>0</v>
      </c>
    </row>
    <row r="83" spans="1:19" ht="30">
      <c r="A83" s="79"/>
      <c r="B83" s="77" t="s">
        <v>1860</v>
      </c>
      <c r="C83" s="76" t="s">
        <v>1877</v>
      </c>
      <c r="D83" s="143">
        <v>3</v>
      </c>
      <c r="E83" s="76"/>
      <c r="F83" s="113">
        <f t="shared" si="4"/>
        <v>3</v>
      </c>
      <c r="G83" s="112" t="s">
        <v>3725</v>
      </c>
      <c r="H83" s="120" t="s">
        <v>3202</v>
      </c>
      <c r="I83" s="120" t="s">
        <v>3190</v>
      </c>
      <c r="J83" s="120" t="s">
        <v>772</v>
      </c>
      <c r="K83" s="112">
        <v>620500</v>
      </c>
      <c r="L83" s="113"/>
      <c r="M83" s="113">
        <v>169800</v>
      </c>
      <c r="N83" s="113"/>
      <c r="O83" s="113"/>
      <c r="P83" s="299">
        <f t="shared" si="5"/>
        <v>790300</v>
      </c>
      <c r="Q83" s="299">
        <f t="shared" si="6"/>
        <v>2370900</v>
      </c>
      <c r="R83" s="299">
        <f t="shared" si="7"/>
        <v>2370900</v>
      </c>
      <c r="S83" s="112">
        <v>0</v>
      </c>
    </row>
    <row r="84" spans="1:19" ht="57">
      <c r="A84" s="79">
        <v>1.1100000000000001</v>
      </c>
      <c r="B84" s="257" t="s">
        <v>1920</v>
      </c>
      <c r="C84" s="79"/>
      <c r="D84" s="143"/>
      <c r="E84" s="76"/>
      <c r="F84" s="113">
        <f t="shared" si="4"/>
        <v>0</v>
      </c>
      <c r="G84" s="112">
        <v>0</v>
      </c>
      <c r="H84" s="120">
        <v>0</v>
      </c>
      <c r="I84" s="120">
        <v>0</v>
      </c>
      <c r="J84" s="120">
        <v>0</v>
      </c>
      <c r="K84" s="112">
        <v>0</v>
      </c>
      <c r="L84" s="113"/>
      <c r="M84" s="113">
        <v>0</v>
      </c>
      <c r="N84" s="113"/>
      <c r="O84" s="113"/>
      <c r="P84" s="299">
        <f t="shared" si="5"/>
        <v>0</v>
      </c>
      <c r="Q84" s="299">
        <f t="shared" si="6"/>
        <v>0</v>
      </c>
      <c r="R84" s="299">
        <f t="shared" si="7"/>
        <v>0</v>
      </c>
      <c r="S84" s="112">
        <v>0</v>
      </c>
    </row>
    <row r="85" spans="1:19" ht="90">
      <c r="A85" s="76"/>
      <c r="B85" s="77" t="s">
        <v>1921</v>
      </c>
      <c r="C85" s="76" t="s">
        <v>1877</v>
      </c>
      <c r="D85" s="143">
        <v>8</v>
      </c>
      <c r="E85" s="622" t="s">
        <v>1922</v>
      </c>
      <c r="F85" s="113">
        <f t="shared" si="4"/>
        <v>8</v>
      </c>
      <c r="G85" s="112" t="s">
        <v>3206</v>
      </c>
      <c r="H85" s="120" t="s">
        <v>3205</v>
      </c>
      <c r="I85" s="120" t="s">
        <v>3479</v>
      </c>
      <c r="J85" s="120" t="s">
        <v>772</v>
      </c>
      <c r="K85" s="112">
        <v>9415300</v>
      </c>
      <c r="L85" s="113"/>
      <c r="M85" s="113">
        <v>1960400</v>
      </c>
      <c r="N85" s="113"/>
      <c r="O85" s="113"/>
      <c r="P85" s="299">
        <f t="shared" si="5"/>
        <v>11375700</v>
      </c>
      <c r="Q85" s="299">
        <f t="shared" si="6"/>
        <v>91005600</v>
      </c>
      <c r="R85" s="299">
        <f t="shared" si="7"/>
        <v>91005600</v>
      </c>
      <c r="S85" s="112" t="s">
        <v>1922</v>
      </c>
    </row>
    <row r="86" spans="1:19" ht="90">
      <c r="A86" s="76"/>
      <c r="B86" s="77" t="s">
        <v>1923</v>
      </c>
      <c r="C86" s="76" t="s">
        <v>1877</v>
      </c>
      <c r="D86" s="143">
        <v>4</v>
      </c>
      <c r="E86" s="622"/>
      <c r="F86" s="113">
        <f t="shared" si="4"/>
        <v>4</v>
      </c>
      <c r="G86" s="112" t="s">
        <v>3204</v>
      </c>
      <c r="H86" s="120" t="s">
        <v>3205</v>
      </c>
      <c r="I86" s="120" t="s">
        <v>3479</v>
      </c>
      <c r="J86" s="120" t="s">
        <v>772</v>
      </c>
      <c r="K86" s="112">
        <v>16827400</v>
      </c>
      <c r="L86" s="113"/>
      <c r="M86" s="113">
        <v>3503700</v>
      </c>
      <c r="N86" s="113"/>
      <c r="O86" s="113"/>
      <c r="P86" s="299">
        <f t="shared" si="5"/>
        <v>20331100</v>
      </c>
      <c r="Q86" s="299">
        <f t="shared" si="6"/>
        <v>81324400</v>
      </c>
      <c r="R86" s="299">
        <f t="shared" si="7"/>
        <v>81324400</v>
      </c>
      <c r="S86" s="112">
        <v>0</v>
      </c>
    </row>
    <row r="87" spans="1:19">
      <c r="A87" s="259">
        <v>1.1200000000000001</v>
      </c>
      <c r="B87" s="257" t="s">
        <v>1924</v>
      </c>
      <c r="C87" s="76" t="s">
        <v>1877</v>
      </c>
      <c r="D87" s="143">
        <v>12</v>
      </c>
      <c r="E87" s="76"/>
      <c r="F87" s="113">
        <f t="shared" si="4"/>
        <v>12</v>
      </c>
      <c r="G87" s="112">
        <v>0</v>
      </c>
      <c r="H87" s="120">
        <v>0</v>
      </c>
      <c r="I87" s="120">
        <v>0</v>
      </c>
      <c r="J87" s="120" t="s">
        <v>772</v>
      </c>
      <c r="K87" s="112">
        <v>729600</v>
      </c>
      <c r="L87" s="113"/>
      <c r="M87" s="113">
        <v>38800</v>
      </c>
      <c r="N87" s="113"/>
      <c r="O87" s="113"/>
      <c r="P87" s="299">
        <f t="shared" si="5"/>
        <v>768400</v>
      </c>
      <c r="Q87" s="299">
        <f t="shared" si="6"/>
        <v>9220800</v>
      </c>
      <c r="R87" s="299">
        <f t="shared" si="7"/>
        <v>9220800</v>
      </c>
      <c r="S87" s="112">
        <v>0</v>
      </c>
    </row>
    <row r="88" spans="1:19">
      <c r="A88" s="260" t="s">
        <v>1925</v>
      </c>
      <c r="B88" s="261" t="s">
        <v>1926</v>
      </c>
      <c r="C88" s="262"/>
      <c r="D88" s="263"/>
      <c r="E88" s="262"/>
      <c r="F88" s="264"/>
      <c r="G88" s="460"/>
      <c r="H88" s="529"/>
      <c r="I88" s="529"/>
      <c r="J88" s="529"/>
      <c r="K88" s="264"/>
      <c r="L88" s="264"/>
      <c r="M88" s="264"/>
      <c r="N88" s="264"/>
      <c r="O88" s="264"/>
      <c r="P88" s="264"/>
      <c r="Q88" s="264"/>
      <c r="R88" s="264"/>
      <c r="S88" s="312"/>
    </row>
    <row r="89" spans="1:19">
      <c r="A89" s="79">
        <v>2.1</v>
      </c>
      <c r="B89" s="257" t="s">
        <v>1927</v>
      </c>
      <c r="C89" s="79"/>
      <c r="D89" s="143"/>
      <c r="E89" s="76"/>
      <c r="F89" s="113">
        <f t="shared" ref="F89:F152" si="8">D89</f>
        <v>0</v>
      </c>
      <c r="G89" s="112">
        <v>0</v>
      </c>
      <c r="H89" s="120">
        <v>0</v>
      </c>
      <c r="I89" s="120">
        <v>0</v>
      </c>
      <c r="J89" s="120">
        <v>0</v>
      </c>
      <c r="K89" s="112">
        <v>0</v>
      </c>
      <c r="L89" s="113"/>
      <c r="M89" s="113">
        <v>0</v>
      </c>
      <c r="N89" s="113"/>
      <c r="O89" s="113"/>
      <c r="P89" s="299">
        <f t="shared" ref="P89:P152" si="9">K89+L89+M89+N89+O89</f>
        <v>0</v>
      </c>
      <c r="Q89" s="299">
        <f t="shared" ref="Q89:Q152" si="10">+P89*D89</f>
        <v>0</v>
      </c>
      <c r="R89" s="299">
        <f t="shared" ref="R89:R152" si="11">+P89*F89</f>
        <v>0</v>
      </c>
      <c r="S89" s="112">
        <v>0</v>
      </c>
    </row>
    <row r="90" spans="1:19" ht="45">
      <c r="A90" s="79"/>
      <c r="B90" s="77" t="s">
        <v>1928</v>
      </c>
      <c r="C90" s="76" t="s">
        <v>1861</v>
      </c>
      <c r="D90" s="143">
        <v>265</v>
      </c>
      <c r="E90" s="76"/>
      <c r="F90" s="113">
        <f t="shared" si="8"/>
        <v>265</v>
      </c>
      <c r="G90" s="112" t="s">
        <v>3814</v>
      </c>
      <c r="H90" s="120" t="s">
        <v>3193</v>
      </c>
      <c r="I90" s="120" t="s">
        <v>3768</v>
      </c>
      <c r="J90" s="120" t="s">
        <v>772</v>
      </c>
      <c r="K90" s="112">
        <v>1053700</v>
      </c>
      <c r="L90" s="113"/>
      <c r="M90" s="113">
        <v>423100</v>
      </c>
      <c r="N90" s="113"/>
      <c r="O90" s="113"/>
      <c r="P90" s="299">
        <f t="shared" si="9"/>
        <v>1476800</v>
      </c>
      <c r="Q90" s="299">
        <f t="shared" si="10"/>
        <v>391352000</v>
      </c>
      <c r="R90" s="299">
        <f t="shared" si="11"/>
        <v>391352000</v>
      </c>
      <c r="S90" s="112">
        <v>0</v>
      </c>
    </row>
    <row r="91" spans="1:19" ht="45">
      <c r="A91" s="79"/>
      <c r="B91" s="77" t="s">
        <v>1929</v>
      </c>
      <c r="C91" s="76" t="s">
        <v>1861</v>
      </c>
      <c r="D91" s="143">
        <v>119</v>
      </c>
      <c r="E91" s="76"/>
      <c r="F91" s="113">
        <f t="shared" si="8"/>
        <v>119</v>
      </c>
      <c r="G91" s="112" t="s">
        <v>3815</v>
      </c>
      <c r="H91" s="120" t="s">
        <v>3193</v>
      </c>
      <c r="I91" s="120" t="s">
        <v>3768</v>
      </c>
      <c r="J91" s="120" t="s">
        <v>772</v>
      </c>
      <c r="K91" s="112">
        <v>1363600</v>
      </c>
      <c r="L91" s="113"/>
      <c r="M91" s="113">
        <v>547500</v>
      </c>
      <c r="N91" s="113"/>
      <c r="O91" s="113"/>
      <c r="P91" s="299">
        <f t="shared" si="9"/>
        <v>1911100</v>
      </c>
      <c r="Q91" s="299">
        <f t="shared" si="10"/>
        <v>227420900</v>
      </c>
      <c r="R91" s="299">
        <f t="shared" si="11"/>
        <v>227420900</v>
      </c>
      <c r="S91" s="112">
        <v>0</v>
      </c>
    </row>
    <row r="92" spans="1:19" ht="45">
      <c r="A92" s="79"/>
      <c r="B92" s="77" t="s">
        <v>1930</v>
      </c>
      <c r="C92" s="76" t="s">
        <v>1861</v>
      </c>
      <c r="D92" s="143">
        <v>18</v>
      </c>
      <c r="E92" s="76"/>
      <c r="F92" s="113">
        <f t="shared" si="8"/>
        <v>18</v>
      </c>
      <c r="G92" s="112" t="s">
        <v>3816</v>
      </c>
      <c r="H92" s="120" t="s">
        <v>3193</v>
      </c>
      <c r="I92" s="120" t="s">
        <v>3768</v>
      </c>
      <c r="J92" s="120" t="s">
        <v>772</v>
      </c>
      <c r="K92" s="112">
        <v>1487500</v>
      </c>
      <c r="L92" s="113"/>
      <c r="M92" s="113">
        <v>597300</v>
      </c>
      <c r="N92" s="113"/>
      <c r="O92" s="113"/>
      <c r="P92" s="299">
        <f t="shared" si="9"/>
        <v>2084800</v>
      </c>
      <c r="Q92" s="299">
        <f t="shared" si="10"/>
        <v>37526400</v>
      </c>
      <c r="R92" s="299">
        <f t="shared" si="11"/>
        <v>37526400</v>
      </c>
      <c r="S92" s="112">
        <v>0</v>
      </c>
    </row>
    <row r="93" spans="1:19" ht="45">
      <c r="A93" s="79"/>
      <c r="B93" s="77" t="s">
        <v>1931</v>
      </c>
      <c r="C93" s="76" t="s">
        <v>1861</v>
      </c>
      <c r="D93" s="143">
        <v>47</v>
      </c>
      <c r="E93" s="76"/>
      <c r="F93" s="113">
        <f t="shared" si="8"/>
        <v>47</v>
      </c>
      <c r="G93" s="112" t="s">
        <v>3817</v>
      </c>
      <c r="H93" s="120" t="s">
        <v>3193</v>
      </c>
      <c r="I93" s="120" t="s">
        <v>3768</v>
      </c>
      <c r="J93" s="120" t="s">
        <v>772</v>
      </c>
      <c r="K93" s="112">
        <v>1611500</v>
      </c>
      <c r="L93" s="113"/>
      <c r="M93" s="113">
        <v>647100</v>
      </c>
      <c r="N93" s="113"/>
      <c r="O93" s="113"/>
      <c r="P93" s="299">
        <f t="shared" si="9"/>
        <v>2258600</v>
      </c>
      <c r="Q93" s="299">
        <f t="shared" si="10"/>
        <v>106154200</v>
      </c>
      <c r="R93" s="299">
        <f t="shared" si="11"/>
        <v>106154200</v>
      </c>
      <c r="S93" s="112">
        <v>0</v>
      </c>
    </row>
    <row r="94" spans="1:19" ht="45">
      <c r="A94" s="79"/>
      <c r="B94" s="77" t="s">
        <v>1914</v>
      </c>
      <c r="C94" s="76" t="s">
        <v>1861</v>
      </c>
      <c r="D94" s="147">
        <v>2</v>
      </c>
      <c r="E94" s="76"/>
      <c r="F94" s="113">
        <f t="shared" si="8"/>
        <v>2</v>
      </c>
      <c r="G94" s="112" t="s">
        <v>3818</v>
      </c>
      <c r="H94" s="120" t="s">
        <v>3193</v>
      </c>
      <c r="I94" s="120" t="s">
        <v>3768</v>
      </c>
      <c r="J94" s="120" t="s">
        <v>772</v>
      </c>
      <c r="K94" s="112">
        <v>2479100</v>
      </c>
      <c r="L94" s="113"/>
      <c r="M94" s="113">
        <v>995500</v>
      </c>
      <c r="N94" s="113"/>
      <c r="O94" s="113"/>
      <c r="P94" s="299">
        <f t="shared" si="9"/>
        <v>3474600</v>
      </c>
      <c r="Q94" s="299">
        <f t="shared" si="10"/>
        <v>6949200</v>
      </c>
      <c r="R94" s="299">
        <f t="shared" si="11"/>
        <v>6949200</v>
      </c>
      <c r="S94" s="112">
        <v>0</v>
      </c>
    </row>
    <row r="95" spans="1:19" ht="45">
      <c r="A95" s="79"/>
      <c r="B95" s="77" t="s">
        <v>1932</v>
      </c>
      <c r="C95" s="76" t="s">
        <v>1861</v>
      </c>
      <c r="D95" s="143">
        <v>17</v>
      </c>
      <c r="E95" s="76"/>
      <c r="F95" s="113">
        <f t="shared" si="8"/>
        <v>17</v>
      </c>
      <c r="G95" s="112" t="s">
        <v>3819</v>
      </c>
      <c r="H95" s="120" t="s">
        <v>3193</v>
      </c>
      <c r="I95" s="120" t="s">
        <v>3768</v>
      </c>
      <c r="J95" s="120" t="s">
        <v>772</v>
      </c>
      <c r="K95" s="112">
        <v>1983400</v>
      </c>
      <c r="L95" s="113"/>
      <c r="M95" s="113">
        <v>796400</v>
      </c>
      <c r="N95" s="113"/>
      <c r="O95" s="113"/>
      <c r="P95" s="299">
        <f t="shared" si="9"/>
        <v>2779800</v>
      </c>
      <c r="Q95" s="299">
        <f t="shared" si="10"/>
        <v>47256600</v>
      </c>
      <c r="R95" s="299">
        <f t="shared" si="11"/>
        <v>47256600</v>
      </c>
      <c r="S95" s="112">
        <v>0</v>
      </c>
    </row>
    <row r="96" spans="1:19" ht="45">
      <c r="A96" s="79"/>
      <c r="B96" s="77" t="s">
        <v>1863</v>
      </c>
      <c r="C96" s="76" t="s">
        <v>1861</v>
      </c>
      <c r="D96" s="147">
        <v>44</v>
      </c>
      <c r="E96" s="76"/>
      <c r="F96" s="113">
        <f t="shared" si="8"/>
        <v>44</v>
      </c>
      <c r="G96" s="112" t="s">
        <v>3820</v>
      </c>
      <c r="H96" s="120" t="s">
        <v>3193</v>
      </c>
      <c r="I96" s="120" t="s">
        <v>3768</v>
      </c>
      <c r="J96" s="120" t="s">
        <v>772</v>
      </c>
      <c r="K96" s="112">
        <v>1859400</v>
      </c>
      <c r="L96" s="113"/>
      <c r="M96" s="113">
        <v>746600</v>
      </c>
      <c r="N96" s="113"/>
      <c r="O96" s="113"/>
      <c r="P96" s="299">
        <f t="shared" si="9"/>
        <v>2606000</v>
      </c>
      <c r="Q96" s="299">
        <f t="shared" si="10"/>
        <v>114664000</v>
      </c>
      <c r="R96" s="299">
        <f t="shared" si="11"/>
        <v>114664000</v>
      </c>
      <c r="S96" s="112">
        <v>0</v>
      </c>
    </row>
    <row r="97" spans="1:19" ht="45">
      <c r="A97" s="79"/>
      <c r="B97" s="77" t="s">
        <v>1933</v>
      </c>
      <c r="C97" s="76" t="s">
        <v>1861</v>
      </c>
      <c r="D97" s="147">
        <v>15</v>
      </c>
      <c r="E97" s="76"/>
      <c r="F97" s="113">
        <f t="shared" si="8"/>
        <v>15</v>
      </c>
      <c r="G97" s="112" t="s">
        <v>3821</v>
      </c>
      <c r="H97" s="120" t="s">
        <v>3193</v>
      </c>
      <c r="I97" s="120" t="s">
        <v>3768</v>
      </c>
      <c r="J97" s="120" t="s">
        <v>772</v>
      </c>
      <c r="K97" s="112">
        <v>1921400</v>
      </c>
      <c r="L97" s="113"/>
      <c r="M97" s="113">
        <v>771500</v>
      </c>
      <c r="N97" s="113"/>
      <c r="O97" s="113"/>
      <c r="P97" s="299">
        <f t="shared" si="9"/>
        <v>2692900</v>
      </c>
      <c r="Q97" s="299">
        <f t="shared" si="10"/>
        <v>40393500</v>
      </c>
      <c r="R97" s="299">
        <f t="shared" si="11"/>
        <v>40393500</v>
      </c>
      <c r="S97" s="112">
        <v>0</v>
      </c>
    </row>
    <row r="98" spans="1:19" ht="45">
      <c r="A98" s="79"/>
      <c r="B98" s="77" t="s">
        <v>1934</v>
      </c>
      <c r="C98" s="76" t="s">
        <v>1861</v>
      </c>
      <c r="D98" s="143">
        <v>180</v>
      </c>
      <c r="E98" s="76"/>
      <c r="F98" s="113">
        <f t="shared" si="8"/>
        <v>180</v>
      </c>
      <c r="G98" s="112" t="s">
        <v>3822</v>
      </c>
      <c r="H98" s="120" t="s">
        <v>3189</v>
      </c>
      <c r="I98" s="120" t="s">
        <v>3768</v>
      </c>
      <c r="J98" s="120" t="s">
        <v>772</v>
      </c>
      <c r="K98" s="112">
        <v>2491300</v>
      </c>
      <c r="L98" s="113"/>
      <c r="M98" s="113">
        <v>895900</v>
      </c>
      <c r="N98" s="113"/>
      <c r="O98" s="113"/>
      <c r="P98" s="299">
        <f t="shared" si="9"/>
        <v>3387200</v>
      </c>
      <c r="Q98" s="299">
        <f t="shared" si="10"/>
        <v>609696000</v>
      </c>
      <c r="R98" s="299">
        <f t="shared" si="11"/>
        <v>609696000</v>
      </c>
      <c r="S98" s="112">
        <v>0</v>
      </c>
    </row>
    <row r="99" spans="1:19" ht="45">
      <c r="A99" s="79"/>
      <c r="B99" s="77" t="s">
        <v>1935</v>
      </c>
      <c r="C99" s="76" t="s">
        <v>1861</v>
      </c>
      <c r="D99" s="143">
        <v>11</v>
      </c>
      <c r="E99" s="76"/>
      <c r="F99" s="113">
        <f t="shared" si="8"/>
        <v>11</v>
      </c>
      <c r="G99" s="112" t="s">
        <v>3823</v>
      </c>
      <c r="H99" s="120" t="s">
        <v>3189</v>
      </c>
      <c r="I99" s="120" t="s">
        <v>3768</v>
      </c>
      <c r="J99" s="120" t="s">
        <v>772</v>
      </c>
      <c r="K99" s="112">
        <v>2768000</v>
      </c>
      <c r="L99" s="113"/>
      <c r="M99" s="113">
        <v>995500</v>
      </c>
      <c r="N99" s="113"/>
      <c r="O99" s="113"/>
      <c r="P99" s="299">
        <f t="shared" si="9"/>
        <v>3763500</v>
      </c>
      <c r="Q99" s="299">
        <f t="shared" si="10"/>
        <v>41398500</v>
      </c>
      <c r="R99" s="299">
        <f t="shared" si="11"/>
        <v>41398500</v>
      </c>
      <c r="S99" s="112">
        <v>0</v>
      </c>
    </row>
    <row r="100" spans="1:19" ht="45">
      <c r="A100" s="79"/>
      <c r="B100" s="77" t="s">
        <v>1936</v>
      </c>
      <c r="C100" s="76" t="s">
        <v>1861</v>
      </c>
      <c r="D100" s="143">
        <v>83</v>
      </c>
      <c r="E100" s="76"/>
      <c r="F100" s="113">
        <f t="shared" si="8"/>
        <v>83</v>
      </c>
      <c r="G100" s="112" t="s">
        <v>3824</v>
      </c>
      <c r="H100" s="120" t="s">
        <v>3189</v>
      </c>
      <c r="I100" s="120" t="s">
        <v>3768</v>
      </c>
      <c r="J100" s="120" t="s">
        <v>772</v>
      </c>
      <c r="K100" s="112">
        <v>3044800</v>
      </c>
      <c r="L100" s="113"/>
      <c r="M100" s="113">
        <v>1095000</v>
      </c>
      <c r="N100" s="113"/>
      <c r="O100" s="113"/>
      <c r="P100" s="299">
        <f t="shared" si="9"/>
        <v>4139800</v>
      </c>
      <c r="Q100" s="299">
        <f t="shared" si="10"/>
        <v>343603400</v>
      </c>
      <c r="R100" s="299">
        <f t="shared" si="11"/>
        <v>343603400</v>
      </c>
      <c r="S100" s="112">
        <v>0</v>
      </c>
    </row>
    <row r="101" spans="1:19" ht="45">
      <c r="A101" s="88"/>
      <c r="B101" s="87" t="s">
        <v>1937</v>
      </c>
      <c r="C101" s="88" t="s">
        <v>7</v>
      </c>
      <c r="D101" s="147">
        <v>16</v>
      </c>
      <c r="E101" s="87"/>
      <c r="F101" s="113">
        <f t="shared" si="8"/>
        <v>16</v>
      </c>
      <c r="G101" s="112" t="s">
        <v>3825</v>
      </c>
      <c r="H101" s="120" t="s">
        <v>3189</v>
      </c>
      <c r="I101" s="120" t="s">
        <v>3768</v>
      </c>
      <c r="J101" s="120" t="s">
        <v>772</v>
      </c>
      <c r="K101" s="112">
        <v>2629600</v>
      </c>
      <c r="L101" s="113"/>
      <c r="M101" s="113">
        <v>945700</v>
      </c>
      <c r="N101" s="113"/>
      <c r="O101" s="113"/>
      <c r="P101" s="299">
        <f t="shared" si="9"/>
        <v>3575300</v>
      </c>
      <c r="Q101" s="299">
        <f t="shared" si="10"/>
        <v>57204800</v>
      </c>
      <c r="R101" s="299">
        <f t="shared" si="11"/>
        <v>57204800</v>
      </c>
      <c r="S101" s="112">
        <v>0</v>
      </c>
    </row>
    <row r="102" spans="1:19" ht="45">
      <c r="A102" s="88"/>
      <c r="B102" s="87" t="s">
        <v>1938</v>
      </c>
      <c r="C102" s="88" t="s">
        <v>7</v>
      </c>
      <c r="D102" s="147">
        <v>12</v>
      </c>
      <c r="E102" s="87"/>
      <c r="F102" s="113">
        <f t="shared" si="8"/>
        <v>12</v>
      </c>
      <c r="G102" s="112" t="s">
        <v>3826</v>
      </c>
      <c r="H102" s="120" t="s">
        <v>3189</v>
      </c>
      <c r="I102" s="120" t="s">
        <v>3768</v>
      </c>
      <c r="J102" s="120" t="s">
        <v>772</v>
      </c>
      <c r="K102" s="112">
        <v>2768000</v>
      </c>
      <c r="L102" s="113"/>
      <c r="M102" s="113">
        <v>995500</v>
      </c>
      <c r="N102" s="113"/>
      <c r="O102" s="113"/>
      <c r="P102" s="299">
        <f t="shared" si="9"/>
        <v>3763500</v>
      </c>
      <c r="Q102" s="299">
        <f t="shared" si="10"/>
        <v>45162000</v>
      </c>
      <c r="R102" s="299">
        <f t="shared" si="11"/>
        <v>45162000</v>
      </c>
      <c r="S102" s="112">
        <v>0</v>
      </c>
    </row>
    <row r="103" spans="1:19" ht="45">
      <c r="A103" s="88"/>
      <c r="B103" s="87" t="s">
        <v>1939</v>
      </c>
      <c r="C103" s="88" t="s">
        <v>7</v>
      </c>
      <c r="D103" s="147">
        <v>18</v>
      </c>
      <c r="E103" s="87"/>
      <c r="F103" s="113">
        <f t="shared" si="8"/>
        <v>18</v>
      </c>
      <c r="G103" s="112" t="s">
        <v>3827</v>
      </c>
      <c r="H103" s="120" t="s">
        <v>3193</v>
      </c>
      <c r="I103" s="120" t="s">
        <v>3768</v>
      </c>
      <c r="J103" s="120" t="s">
        <v>772</v>
      </c>
      <c r="K103" s="112">
        <v>1921400</v>
      </c>
      <c r="L103" s="113"/>
      <c r="M103" s="113">
        <v>771500</v>
      </c>
      <c r="N103" s="113"/>
      <c r="O103" s="113"/>
      <c r="P103" s="299">
        <f t="shared" si="9"/>
        <v>2692900</v>
      </c>
      <c r="Q103" s="299">
        <f t="shared" si="10"/>
        <v>48472200</v>
      </c>
      <c r="R103" s="299">
        <f t="shared" si="11"/>
        <v>48472200</v>
      </c>
      <c r="S103" s="112">
        <v>0</v>
      </c>
    </row>
    <row r="104" spans="1:19" ht="45">
      <c r="A104" s="88"/>
      <c r="B104" s="87" t="s">
        <v>1940</v>
      </c>
      <c r="C104" s="88" t="s">
        <v>7</v>
      </c>
      <c r="D104" s="147">
        <v>37</v>
      </c>
      <c r="E104" s="87"/>
      <c r="F104" s="113">
        <f t="shared" si="8"/>
        <v>37</v>
      </c>
      <c r="G104" s="112" t="s">
        <v>3828</v>
      </c>
      <c r="H104" s="120" t="s">
        <v>3193</v>
      </c>
      <c r="I104" s="120" t="s">
        <v>3768</v>
      </c>
      <c r="J104" s="120" t="s">
        <v>772</v>
      </c>
      <c r="K104" s="112">
        <v>1735500</v>
      </c>
      <c r="L104" s="113"/>
      <c r="M104" s="113">
        <v>696800</v>
      </c>
      <c r="N104" s="113"/>
      <c r="O104" s="113"/>
      <c r="P104" s="299">
        <f t="shared" si="9"/>
        <v>2432300</v>
      </c>
      <c r="Q104" s="299">
        <f t="shared" si="10"/>
        <v>89995100</v>
      </c>
      <c r="R104" s="299">
        <f t="shared" si="11"/>
        <v>89995100</v>
      </c>
      <c r="S104" s="112">
        <v>0</v>
      </c>
    </row>
    <row r="105" spans="1:19" ht="45">
      <c r="A105" s="88"/>
      <c r="B105" s="87" t="s">
        <v>1941</v>
      </c>
      <c r="C105" s="88" t="s">
        <v>7</v>
      </c>
      <c r="D105" s="147">
        <v>19</v>
      </c>
      <c r="E105" s="87"/>
      <c r="F105" s="113">
        <f t="shared" si="8"/>
        <v>19</v>
      </c>
      <c r="G105" s="112" t="s">
        <v>3829</v>
      </c>
      <c r="H105" s="120" t="s">
        <v>3193</v>
      </c>
      <c r="I105" s="120" t="s">
        <v>3768</v>
      </c>
      <c r="J105" s="120" t="s">
        <v>772</v>
      </c>
      <c r="K105" s="112">
        <v>1673500</v>
      </c>
      <c r="L105" s="113"/>
      <c r="M105" s="113">
        <v>672000</v>
      </c>
      <c r="N105" s="113"/>
      <c r="O105" s="113"/>
      <c r="P105" s="299">
        <f t="shared" si="9"/>
        <v>2345500</v>
      </c>
      <c r="Q105" s="299">
        <f t="shared" si="10"/>
        <v>44564500</v>
      </c>
      <c r="R105" s="299">
        <f t="shared" si="11"/>
        <v>44564500</v>
      </c>
      <c r="S105" s="112">
        <v>0</v>
      </c>
    </row>
    <row r="106" spans="1:19" ht="45">
      <c r="A106" s="88"/>
      <c r="B106" s="87" t="s">
        <v>1942</v>
      </c>
      <c r="C106" s="88" t="s">
        <v>7</v>
      </c>
      <c r="D106" s="147">
        <v>10</v>
      </c>
      <c r="E106" s="87"/>
      <c r="F106" s="113">
        <f t="shared" si="8"/>
        <v>10</v>
      </c>
      <c r="G106" s="112" t="s">
        <v>3830</v>
      </c>
      <c r="H106" s="120" t="s">
        <v>3193</v>
      </c>
      <c r="I106" s="120" t="s">
        <v>3768</v>
      </c>
      <c r="J106" s="120" t="s">
        <v>772</v>
      </c>
      <c r="K106" s="112">
        <v>1921400</v>
      </c>
      <c r="L106" s="113"/>
      <c r="M106" s="113">
        <v>771500</v>
      </c>
      <c r="N106" s="113"/>
      <c r="O106" s="113"/>
      <c r="P106" s="299">
        <f t="shared" si="9"/>
        <v>2692900</v>
      </c>
      <c r="Q106" s="299">
        <f t="shared" si="10"/>
        <v>26929000</v>
      </c>
      <c r="R106" s="299">
        <f t="shared" si="11"/>
        <v>26929000</v>
      </c>
      <c r="S106" s="112">
        <v>0</v>
      </c>
    </row>
    <row r="107" spans="1:19">
      <c r="A107" s="90">
        <v>2.2000000000000002</v>
      </c>
      <c r="B107" s="265" t="s">
        <v>1943</v>
      </c>
      <c r="C107" s="79"/>
      <c r="D107" s="143"/>
      <c r="E107" s="76"/>
      <c r="F107" s="113">
        <f t="shared" si="8"/>
        <v>0</v>
      </c>
      <c r="G107" s="112">
        <v>0</v>
      </c>
      <c r="H107" s="120">
        <v>0</v>
      </c>
      <c r="I107" s="120">
        <v>0</v>
      </c>
      <c r="J107" s="120">
        <v>0</v>
      </c>
      <c r="K107" s="112">
        <v>0</v>
      </c>
      <c r="L107" s="113"/>
      <c r="M107" s="113">
        <v>0</v>
      </c>
      <c r="N107" s="113"/>
      <c r="O107" s="113"/>
      <c r="P107" s="299">
        <f t="shared" si="9"/>
        <v>0</v>
      </c>
      <c r="Q107" s="299">
        <f t="shared" si="10"/>
        <v>0</v>
      </c>
      <c r="R107" s="299">
        <f t="shared" si="11"/>
        <v>0</v>
      </c>
      <c r="S107" s="112">
        <v>0</v>
      </c>
    </row>
    <row r="108" spans="1:19" ht="45">
      <c r="A108" s="88"/>
      <c r="B108" s="87" t="s">
        <v>1914</v>
      </c>
      <c r="C108" s="88" t="s">
        <v>7</v>
      </c>
      <c r="D108" s="147">
        <v>80</v>
      </c>
      <c r="E108" s="87"/>
      <c r="F108" s="113">
        <f t="shared" si="8"/>
        <v>80</v>
      </c>
      <c r="G108" s="112" t="s">
        <v>3818</v>
      </c>
      <c r="H108" s="120" t="s">
        <v>3193</v>
      </c>
      <c r="I108" s="120" t="s">
        <v>3768</v>
      </c>
      <c r="J108" s="120" t="s">
        <v>772</v>
      </c>
      <c r="K108" s="112">
        <v>2479100</v>
      </c>
      <c r="L108" s="113"/>
      <c r="M108" s="113">
        <v>995500</v>
      </c>
      <c r="N108" s="113"/>
      <c r="O108" s="113"/>
      <c r="P108" s="299">
        <f t="shared" si="9"/>
        <v>3474600</v>
      </c>
      <c r="Q108" s="299">
        <f t="shared" si="10"/>
        <v>277968000</v>
      </c>
      <c r="R108" s="299">
        <f t="shared" si="11"/>
        <v>277968000</v>
      </c>
      <c r="S108" s="112">
        <v>0</v>
      </c>
    </row>
    <row r="109" spans="1:19">
      <c r="A109" s="88"/>
      <c r="B109" s="87" t="s">
        <v>1944</v>
      </c>
      <c r="C109" s="88"/>
      <c r="D109" s="147"/>
      <c r="E109" s="87"/>
      <c r="F109" s="113">
        <f t="shared" si="8"/>
        <v>0</v>
      </c>
      <c r="G109" s="112">
        <v>0</v>
      </c>
      <c r="H109" s="120">
        <v>0</v>
      </c>
      <c r="I109" s="120">
        <v>0</v>
      </c>
      <c r="J109" s="120">
        <v>0</v>
      </c>
      <c r="K109" s="112">
        <v>0</v>
      </c>
      <c r="L109" s="113"/>
      <c r="M109" s="113">
        <v>0</v>
      </c>
      <c r="N109" s="113"/>
      <c r="O109" s="113"/>
      <c r="P109" s="299">
        <f t="shared" si="9"/>
        <v>0</v>
      </c>
      <c r="Q109" s="299">
        <f t="shared" si="10"/>
        <v>0</v>
      </c>
      <c r="R109" s="299">
        <f t="shared" si="11"/>
        <v>0</v>
      </c>
      <c r="S109" s="112">
        <v>0</v>
      </c>
    </row>
    <row r="110" spans="1:19" ht="60">
      <c r="A110" s="88"/>
      <c r="B110" s="87" t="s">
        <v>1945</v>
      </c>
      <c r="C110" s="88" t="s">
        <v>1877</v>
      </c>
      <c r="D110" s="147">
        <v>1</v>
      </c>
      <c r="E110" s="87"/>
      <c r="F110" s="113">
        <f t="shared" si="8"/>
        <v>1</v>
      </c>
      <c r="G110" s="112" t="s">
        <v>3831</v>
      </c>
      <c r="H110" s="120" t="s">
        <v>3193</v>
      </c>
      <c r="I110" s="120" t="s">
        <v>3768</v>
      </c>
      <c r="J110" s="120" t="s">
        <v>772</v>
      </c>
      <c r="K110" s="112">
        <v>2424800</v>
      </c>
      <c r="L110" s="113"/>
      <c r="M110" s="113">
        <v>796400</v>
      </c>
      <c r="N110" s="113"/>
      <c r="O110" s="113"/>
      <c r="P110" s="299">
        <f t="shared" si="9"/>
        <v>3221200</v>
      </c>
      <c r="Q110" s="299">
        <f t="shared" si="10"/>
        <v>3221200</v>
      </c>
      <c r="R110" s="299">
        <f t="shared" si="11"/>
        <v>3221200</v>
      </c>
      <c r="S110" s="112">
        <v>0</v>
      </c>
    </row>
    <row r="111" spans="1:19">
      <c r="A111" s="90">
        <v>2.2999999999999998</v>
      </c>
      <c r="B111" s="91" t="s">
        <v>1946</v>
      </c>
      <c r="C111" s="90"/>
      <c r="D111" s="258"/>
      <c r="E111" s="91"/>
      <c r="F111" s="113">
        <f t="shared" si="8"/>
        <v>0</v>
      </c>
      <c r="G111" s="112">
        <v>0</v>
      </c>
      <c r="H111" s="120">
        <v>0</v>
      </c>
      <c r="I111" s="120">
        <v>0</v>
      </c>
      <c r="J111" s="120">
        <v>0</v>
      </c>
      <c r="K111" s="112">
        <v>0</v>
      </c>
      <c r="L111" s="113"/>
      <c r="M111" s="113">
        <v>0</v>
      </c>
      <c r="N111" s="113"/>
      <c r="O111" s="113"/>
      <c r="P111" s="299">
        <f t="shared" si="9"/>
        <v>0</v>
      </c>
      <c r="Q111" s="299">
        <f t="shared" si="10"/>
        <v>0</v>
      </c>
      <c r="R111" s="299">
        <f t="shared" si="11"/>
        <v>0</v>
      </c>
      <c r="S111" s="112">
        <v>0</v>
      </c>
    </row>
    <row r="112" spans="1:19">
      <c r="A112" s="88"/>
      <c r="B112" s="87" t="s">
        <v>1936</v>
      </c>
      <c r="C112" s="88" t="s">
        <v>7</v>
      </c>
      <c r="D112" s="147">
        <v>46</v>
      </c>
      <c r="E112" s="87"/>
      <c r="F112" s="113">
        <f t="shared" si="8"/>
        <v>46</v>
      </c>
      <c r="G112" s="112" t="s">
        <v>3586</v>
      </c>
      <c r="H112" s="120" t="s">
        <v>3205</v>
      </c>
      <c r="I112" s="120" t="s">
        <v>3479</v>
      </c>
      <c r="J112" s="120" t="s">
        <v>772</v>
      </c>
      <c r="K112" s="112">
        <v>2148500</v>
      </c>
      <c r="L112" s="113"/>
      <c r="M112" s="113">
        <v>886600</v>
      </c>
      <c r="N112" s="113"/>
      <c r="O112" s="113"/>
      <c r="P112" s="299">
        <f t="shared" si="9"/>
        <v>3035100</v>
      </c>
      <c r="Q112" s="299">
        <f t="shared" si="10"/>
        <v>139614600</v>
      </c>
      <c r="R112" s="299">
        <f t="shared" si="11"/>
        <v>139614600</v>
      </c>
      <c r="S112" s="112">
        <v>0</v>
      </c>
    </row>
    <row r="113" spans="1:19" ht="28.5">
      <c r="A113" s="79">
        <v>2.4</v>
      </c>
      <c r="B113" s="80" t="s">
        <v>1947</v>
      </c>
      <c r="C113" s="79"/>
      <c r="D113" s="143"/>
      <c r="E113" s="79"/>
      <c r="F113" s="113">
        <f t="shared" si="8"/>
        <v>0</v>
      </c>
      <c r="G113" s="112">
        <v>0</v>
      </c>
      <c r="H113" s="120">
        <v>0</v>
      </c>
      <c r="I113" s="120">
        <v>0</v>
      </c>
      <c r="J113" s="120">
        <v>0</v>
      </c>
      <c r="K113" s="112">
        <v>0</v>
      </c>
      <c r="L113" s="113"/>
      <c r="M113" s="113">
        <v>0</v>
      </c>
      <c r="N113" s="113"/>
      <c r="O113" s="113"/>
      <c r="P113" s="299">
        <f t="shared" si="9"/>
        <v>0</v>
      </c>
      <c r="Q113" s="299">
        <f t="shared" si="10"/>
        <v>0</v>
      </c>
      <c r="R113" s="299">
        <f t="shared" si="11"/>
        <v>0</v>
      </c>
      <c r="S113" s="112">
        <v>0</v>
      </c>
    </row>
    <row r="114" spans="1:19" ht="60">
      <c r="A114" s="79"/>
      <c r="B114" s="77" t="s">
        <v>1928</v>
      </c>
      <c r="C114" s="76" t="s">
        <v>1877</v>
      </c>
      <c r="D114" s="143">
        <v>10</v>
      </c>
      <c r="E114" s="79"/>
      <c r="F114" s="113">
        <f t="shared" si="8"/>
        <v>10</v>
      </c>
      <c r="G114" s="112" t="s">
        <v>3832</v>
      </c>
      <c r="H114" s="120" t="s">
        <v>3193</v>
      </c>
      <c r="I114" s="120" t="s">
        <v>3768</v>
      </c>
      <c r="J114" s="120" t="s">
        <v>772</v>
      </c>
      <c r="K114" s="112">
        <v>1266500</v>
      </c>
      <c r="L114" s="113"/>
      <c r="M114" s="113">
        <v>478500</v>
      </c>
      <c r="N114" s="113"/>
      <c r="O114" s="113"/>
      <c r="P114" s="299">
        <f t="shared" si="9"/>
        <v>1745000</v>
      </c>
      <c r="Q114" s="299">
        <f t="shared" si="10"/>
        <v>17450000</v>
      </c>
      <c r="R114" s="299">
        <f t="shared" si="11"/>
        <v>17450000</v>
      </c>
      <c r="S114" s="112">
        <v>0</v>
      </c>
    </row>
    <row r="115" spans="1:19" ht="60">
      <c r="A115" s="79"/>
      <c r="B115" s="77" t="s">
        <v>1929</v>
      </c>
      <c r="C115" s="76" t="s">
        <v>1877</v>
      </c>
      <c r="D115" s="147">
        <v>8</v>
      </c>
      <c r="E115" s="79"/>
      <c r="F115" s="113">
        <f t="shared" si="8"/>
        <v>8</v>
      </c>
      <c r="G115" s="112" t="s">
        <v>3833</v>
      </c>
      <c r="H115" s="120" t="s">
        <v>3193</v>
      </c>
      <c r="I115" s="120" t="s">
        <v>3768</v>
      </c>
      <c r="J115" s="120" t="s">
        <v>772</v>
      </c>
      <c r="K115" s="112">
        <v>2141100</v>
      </c>
      <c r="L115" s="113"/>
      <c r="M115" s="113">
        <v>438000</v>
      </c>
      <c r="N115" s="113"/>
      <c r="O115" s="113"/>
      <c r="P115" s="299">
        <f t="shared" si="9"/>
        <v>2579100</v>
      </c>
      <c r="Q115" s="299">
        <f t="shared" si="10"/>
        <v>20632800</v>
      </c>
      <c r="R115" s="299">
        <f t="shared" si="11"/>
        <v>20632800</v>
      </c>
      <c r="S115" s="112">
        <v>0</v>
      </c>
    </row>
    <row r="116" spans="1:19" ht="60">
      <c r="A116" s="79"/>
      <c r="B116" s="77" t="s">
        <v>1936</v>
      </c>
      <c r="C116" s="76" t="s">
        <v>1877</v>
      </c>
      <c r="D116" s="143">
        <v>4</v>
      </c>
      <c r="E116" s="79"/>
      <c r="F116" s="113">
        <f t="shared" si="8"/>
        <v>4</v>
      </c>
      <c r="G116" s="112" t="s">
        <v>3834</v>
      </c>
      <c r="H116" s="120" t="s">
        <v>3189</v>
      </c>
      <c r="I116" s="120" t="s">
        <v>3768</v>
      </c>
      <c r="J116" s="120" t="s">
        <v>772</v>
      </c>
      <c r="K116" s="112">
        <v>9351100</v>
      </c>
      <c r="L116" s="113"/>
      <c r="M116" s="113">
        <v>1095000</v>
      </c>
      <c r="N116" s="113"/>
      <c r="O116" s="113"/>
      <c r="P116" s="299">
        <f t="shared" si="9"/>
        <v>10446100</v>
      </c>
      <c r="Q116" s="299">
        <f t="shared" si="10"/>
        <v>41784400</v>
      </c>
      <c r="R116" s="299">
        <f t="shared" si="11"/>
        <v>41784400</v>
      </c>
      <c r="S116" s="112">
        <v>0</v>
      </c>
    </row>
    <row r="117" spans="1:19" ht="60">
      <c r="A117" s="88"/>
      <c r="B117" s="87" t="s">
        <v>1934</v>
      </c>
      <c r="C117" s="88" t="s">
        <v>1877</v>
      </c>
      <c r="D117" s="147">
        <v>11</v>
      </c>
      <c r="E117" s="87"/>
      <c r="F117" s="113">
        <f t="shared" si="8"/>
        <v>11</v>
      </c>
      <c r="G117" s="112" t="s">
        <v>3835</v>
      </c>
      <c r="H117" s="120" t="s">
        <v>3189</v>
      </c>
      <c r="I117" s="120" t="s">
        <v>3768</v>
      </c>
      <c r="J117" s="120" t="s">
        <v>772</v>
      </c>
      <c r="K117" s="112">
        <v>6711900</v>
      </c>
      <c r="L117" s="113"/>
      <c r="M117" s="113">
        <v>716700</v>
      </c>
      <c r="N117" s="113"/>
      <c r="O117" s="113"/>
      <c r="P117" s="299">
        <f t="shared" si="9"/>
        <v>7428600</v>
      </c>
      <c r="Q117" s="299">
        <f t="shared" si="10"/>
        <v>81714600</v>
      </c>
      <c r="R117" s="299">
        <f t="shared" si="11"/>
        <v>81714600</v>
      </c>
      <c r="S117" s="112">
        <v>0</v>
      </c>
    </row>
    <row r="118" spans="1:19" ht="60">
      <c r="A118" s="88"/>
      <c r="B118" s="87" t="s">
        <v>1863</v>
      </c>
      <c r="C118" s="88" t="s">
        <v>1877</v>
      </c>
      <c r="D118" s="147">
        <v>1</v>
      </c>
      <c r="E118" s="87"/>
      <c r="F118" s="113">
        <f t="shared" si="8"/>
        <v>1</v>
      </c>
      <c r="G118" s="112" t="s">
        <v>3836</v>
      </c>
      <c r="H118" s="120" t="s">
        <v>3193</v>
      </c>
      <c r="I118" s="120" t="s">
        <v>3768</v>
      </c>
      <c r="J118" s="120" t="s">
        <v>772</v>
      </c>
      <c r="K118" s="112">
        <v>4315900</v>
      </c>
      <c r="L118" s="113"/>
      <c r="M118" s="113">
        <v>597300</v>
      </c>
      <c r="N118" s="113"/>
      <c r="O118" s="113"/>
      <c r="P118" s="299">
        <f t="shared" si="9"/>
        <v>4913200</v>
      </c>
      <c r="Q118" s="299">
        <f t="shared" si="10"/>
        <v>4913200</v>
      </c>
      <c r="R118" s="299">
        <f t="shared" si="11"/>
        <v>4913200</v>
      </c>
      <c r="S118" s="112">
        <v>0</v>
      </c>
    </row>
    <row r="119" spans="1:19" ht="60">
      <c r="A119" s="88"/>
      <c r="B119" s="87" t="s">
        <v>1931</v>
      </c>
      <c r="C119" s="88" t="s">
        <v>1877</v>
      </c>
      <c r="D119" s="147">
        <v>1</v>
      </c>
      <c r="E119" s="87"/>
      <c r="F119" s="113">
        <f t="shared" si="8"/>
        <v>1</v>
      </c>
      <c r="G119" s="112" t="s">
        <v>3837</v>
      </c>
      <c r="H119" s="120" t="s">
        <v>3193</v>
      </c>
      <c r="I119" s="120" t="s">
        <v>3768</v>
      </c>
      <c r="J119" s="120" t="s">
        <v>772</v>
      </c>
      <c r="K119" s="112">
        <v>3133900</v>
      </c>
      <c r="L119" s="113"/>
      <c r="M119" s="113">
        <v>517700</v>
      </c>
      <c r="N119" s="113"/>
      <c r="O119" s="113"/>
      <c r="P119" s="299">
        <f t="shared" si="9"/>
        <v>3651600</v>
      </c>
      <c r="Q119" s="299">
        <f t="shared" si="10"/>
        <v>3651600</v>
      </c>
      <c r="R119" s="299">
        <f t="shared" si="11"/>
        <v>3651600</v>
      </c>
      <c r="S119" s="112">
        <v>0</v>
      </c>
    </row>
    <row r="120" spans="1:19" ht="60">
      <c r="A120" s="88"/>
      <c r="B120" s="87" t="s">
        <v>1914</v>
      </c>
      <c r="C120" s="88" t="s">
        <v>1877</v>
      </c>
      <c r="D120" s="147">
        <v>1</v>
      </c>
      <c r="E120" s="87"/>
      <c r="F120" s="113">
        <f t="shared" si="8"/>
        <v>1</v>
      </c>
      <c r="G120" s="112" t="s">
        <v>3838</v>
      </c>
      <c r="H120" s="120" t="s">
        <v>3189</v>
      </c>
      <c r="I120" s="120" t="s">
        <v>3768</v>
      </c>
      <c r="J120" s="120" t="s">
        <v>772</v>
      </c>
      <c r="K120" s="112">
        <v>5339400</v>
      </c>
      <c r="L120" s="113"/>
      <c r="M120" s="113">
        <v>796400</v>
      </c>
      <c r="N120" s="113"/>
      <c r="O120" s="113"/>
      <c r="P120" s="299">
        <f t="shared" si="9"/>
        <v>6135800</v>
      </c>
      <c r="Q120" s="299">
        <f t="shared" si="10"/>
        <v>6135800</v>
      </c>
      <c r="R120" s="299">
        <f t="shared" si="11"/>
        <v>6135800</v>
      </c>
      <c r="S120" s="112">
        <v>0</v>
      </c>
    </row>
    <row r="121" spans="1:19">
      <c r="A121" s="79">
        <v>2.5</v>
      </c>
      <c r="B121" s="80" t="s">
        <v>1948</v>
      </c>
      <c r="C121" s="79"/>
      <c r="D121" s="143"/>
      <c r="E121" s="79"/>
      <c r="F121" s="113">
        <f t="shared" si="8"/>
        <v>0</v>
      </c>
      <c r="G121" s="112">
        <v>0</v>
      </c>
      <c r="H121" s="120">
        <v>0</v>
      </c>
      <c r="I121" s="120">
        <v>0</v>
      </c>
      <c r="J121" s="120">
        <v>0</v>
      </c>
      <c r="K121" s="112">
        <v>0</v>
      </c>
      <c r="L121" s="113"/>
      <c r="M121" s="113">
        <v>0</v>
      </c>
      <c r="N121" s="113"/>
      <c r="O121" s="113"/>
      <c r="P121" s="299">
        <f t="shared" si="9"/>
        <v>0</v>
      </c>
      <c r="Q121" s="299">
        <f t="shared" si="10"/>
        <v>0</v>
      </c>
      <c r="R121" s="299">
        <f t="shared" si="11"/>
        <v>0</v>
      </c>
      <c r="S121" s="112">
        <v>0</v>
      </c>
    </row>
    <row r="122" spans="1:19" ht="60">
      <c r="A122" s="79"/>
      <c r="B122" s="77" t="s">
        <v>1949</v>
      </c>
      <c r="C122" s="76" t="s">
        <v>1877</v>
      </c>
      <c r="D122" s="143">
        <v>1</v>
      </c>
      <c r="E122" s="79"/>
      <c r="F122" s="113">
        <f t="shared" si="8"/>
        <v>1</v>
      </c>
      <c r="G122" s="112" t="s">
        <v>3839</v>
      </c>
      <c r="H122" s="120" t="s">
        <v>3193</v>
      </c>
      <c r="I122" s="120" t="s">
        <v>3768</v>
      </c>
      <c r="J122" s="120" t="s">
        <v>772</v>
      </c>
      <c r="K122" s="112">
        <v>605500</v>
      </c>
      <c r="L122" s="113"/>
      <c r="M122" s="113">
        <v>188200</v>
      </c>
      <c r="N122" s="113"/>
      <c r="O122" s="113"/>
      <c r="P122" s="299">
        <f t="shared" si="9"/>
        <v>793700</v>
      </c>
      <c r="Q122" s="299">
        <f t="shared" si="10"/>
        <v>793700</v>
      </c>
      <c r="R122" s="299">
        <f t="shared" si="11"/>
        <v>793700</v>
      </c>
      <c r="S122" s="112">
        <v>0</v>
      </c>
    </row>
    <row r="123" spans="1:19" ht="60">
      <c r="A123" s="79"/>
      <c r="B123" s="77" t="s">
        <v>1950</v>
      </c>
      <c r="C123" s="76" t="s">
        <v>1877</v>
      </c>
      <c r="D123" s="143">
        <v>1</v>
      </c>
      <c r="E123" s="79"/>
      <c r="F123" s="113">
        <f t="shared" si="8"/>
        <v>1</v>
      </c>
      <c r="G123" s="112" t="s">
        <v>3840</v>
      </c>
      <c r="H123" s="120" t="s">
        <v>3189</v>
      </c>
      <c r="I123" s="120" t="s">
        <v>3768</v>
      </c>
      <c r="J123" s="120" t="s">
        <v>772</v>
      </c>
      <c r="K123" s="112">
        <v>736200</v>
      </c>
      <c r="L123" s="113"/>
      <c r="M123" s="113">
        <v>248800</v>
      </c>
      <c r="N123" s="113"/>
      <c r="O123" s="113"/>
      <c r="P123" s="299">
        <f t="shared" si="9"/>
        <v>985000</v>
      </c>
      <c r="Q123" s="299">
        <f t="shared" si="10"/>
        <v>985000</v>
      </c>
      <c r="R123" s="299">
        <f t="shared" si="11"/>
        <v>985000</v>
      </c>
      <c r="S123" s="112">
        <v>0</v>
      </c>
    </row>
    <row r="124" spans="1:19" ht="60">
      <c r="A124" s="79"/>
      <c r="B124" s="77" t="s">
        <v>1951</v>
      </c>
      <c r="C124" s="76" t="s">
        <v>1877</v>
      </c>
      <c r="D124" s="143">
        <v>1</v>
      </c>
      <c r="E124" s="79"/>
      <c r="F124" s="113">
        <f t="shared" si="8"/>
        <v>1</v>
      </c>
      <c r="G124" s="112" t="s">
        <v>3841</v>
      </c>
      <c r="H124" s="120" t="s">
        <v>3189</v>
      </c>
      <c r="I124" s="120" t="s">
        <v>3768</v>
      </c>
      <c r="J124" s="120" t="s">
        <v>772</v>
      </c>
      <c r="K124" s="112">
        <v>757700</v>
      </c>
      <c r="L124" s="113"/>
      <c r="M124" s="113">
        <v>213600</v>
      </c>
      <c r="N124" s="113"/>
      <c r="O124" s="113"/>
      <c r="P124" s="299">
        <f t="shared" si="9"/>
        <v>971300</v>
      </c>
      <c r="Q124" s="299">
        <f t="shared" si="10"/>
        <v>971300</v>
      </c>
      <c r="R124" s="299">
        <f t="shared" si="11"/>
        <v>971300</v>
      </c>
      <c r="S124" s="112">
        <v>0</v>
      </c>
    </row>
    <row r="125" spans="1:19" ht="60">
      <c r="A125" s="79"/>
      <c r="B125" s="77" t="s">
        <v>1952</v>
      </c>
      <c r="C125" s="76" t="s">
        <v>1877</v>
      </c>
      <c r="D125" s="143">
        <v>1</v>
      </c>
      <c r="E125" s="79"/>
      <c r="F125" s="113">
        <f t="shared" si="8"/>
        <v>1</v>
      </c>
      <c r="G125" s="112" t="s">
        <v>3842</v>
      </c>
      <c r="H125" s="120" t="s">
        <v>3189</v>
      </c>
      <c r="I125" s="120" t="s">
        <v>3768</v>
      </c>
      <c r="J125" s="120" t="s">
        <v>772</v>
      </c>
      <c r="K125" s="112">
        <v>896400</v>
      </c>
      <c r="L125" s="113"/>
      <c r="M125" s="113">
        <v>305700</v>
      </c>
      <c r="N125" s="113"/>
      <c r="O125" s="113"/>
      <c r="P125" s="299">
        <f t="shared" si="9"/>
        <v>1202100</v>
      </c>
      <c r="Q125" s="299">
        <f t="shared" si="10"/>
        <v>1202100</v>
      </c>
      <c r="R125" s="299">
        <f t="shared" si="11"/>
        <v>1202100</v>
      </c>
      <c r="S125" s="112">
        <v>0</v>
      </c>
    </row>
    <row r="126" spans="1:19" ht="60">
      <c r="A126" s="88"/>
      <c r="B126" s="87" t="s">
        <v>1953</v>
      </c>
      <c r="C126" s="88" t="s">
        <v>1877</v>
      </c>
      <c r="D126" s="147">
        <v>1</v>
      </c>
      <c r="E126" s="87"/>
      <c r="F126" s="113">
        <f t="shared" si="8"/>
        <v>1</v>
      </c>
      <c r="G126" s="112" t="s">
        <v>3843</v>
      </c>
      <c r="H126" s="120" t="s">
        <v>3189</v>
      </c>
      <c r="I126" s="120" t="s">
        <v>3768</v>
      </c>
      <c r="J126" s="120" t="s">
        <v>772</v>
      </c>
      <c r="K126" s="112">
        <v>965400</v>
      </c>
      <c r="L126" s="113"/>
      <c r="M126" s="113">
        <v>275200</v>
      </c>
      <c r="N126" s="113"/>
      <c r="O126" s="113"/>
      <c r="P126" s="299">
        <f t="shared" si="9"/>
        <v>1240600</v>
      </c>
      <c r="Q126" s="299">
        <f t="shared" si="10"/>
        <v>1240600</v>
      </c>
      <c r="R126" s="299">
        <f t="shared" si="11"/>
        <v>1240600</v>
      </c>
      <c r="S126" s="112">
        <v>0</v>
      </c>
    </row>
    <row r="127" spans="1:19" ht="60">
      <c r="A127" s="88"/>
      <c r="B127" s="87" t="s">
        <v>1954</v>
      </c>
      <c r="C127" s="88" t="s">
        <v>1877</v>
      </c>
      <c r="D127" s="147">
        <v>1</v>
      </c>
      <c r="E127" s="87"/>
      <c r="F127" s="113">
        <f t="shared" si="8"/>
        <v>1</v>
      </c>
      <c r="G127" s="112" t="s">
        <v>3844</v>
      </c>
      <c r="H127" s="120" t="s">
        <v>3189</v>
      </c>
      <c r="I127" s="120" t="s">
        <v>3768</v>
      </c>
      <c r="J127" s="120" t="s">
        <v>772</v>
      </c>
      <c r="K127" s="112">
        <v>964400</v>
      </c>
      <c r="L127" s="113"/>
      <c r="M127" s="113">
        <v>274900</v>
      </c>
      <c r="N127" s="113"/>
      <c r="O127" s="113"/>
      <c r="P127" s="299">
        <f t="shared" si="9"/>
        <v>1239300</v>
      </c>
      <c r="Q127" s="299">
        <f t="shared" si="10"/>
        <v>1239300</v>
      </c>
      <c r="R127" s="299">
        <f t="shared" si="11"/>
        <v>1239300</v>
      </c>
      <c r="S127" s="112">
        <v>0</v>
      </c>
    </row>
    <row r="128" spans="1:19" ht="60">
      <c r="A128" s="88"/>
      <c r="B128" s="87" t="s">
        <v>1955</v>
      </c>
      <c r="C128" s="88" t="s">
        <v>1877</v>
      </c>
      <c r="D128" s="147">
        <v>2</v>
      </c>
      <c r="E128" s="87"/>
      <c r="F128" s="113">
        <f t="shared" si="8"/>
        <v>2</v>
      </c>
      <c r="G128" s="112" t="s">
        <v>3845</v>
      </c>
      <c r="H128" s="120" t="s">
        <v>3193</v>
      </c>
      <c r="I128" s="120" t="s">
        <v>3768</v>
      </c>
      <c r="J128" s="120" t="s">
        <v>772</v>
      </c>
      <c r="K128" s="112">
        <v>557300</v>
      </c>
      <c r="L128" s="113"/>
      <c r="M128" s="113">
        <v>172300</v>
      </c>
      <c r="N128" s="113"/>
      <c r="O128" s="113"/>
      <c r="P128" s="299">
        <f t="shared" si="9"/>
        <v>729600</v>
      </c>
      <c r="Q128" s="299">
        <f t="shared" si="10"/>
        <v>1459200</v>
      </c>
      <c r="R128" s="299">
        <f t="shared" si="11"/>
        <v>1459200</v>
      </c>
      <c r="S128" s="112">
        <v>0</v>
      </c>
    </row>
    <row r="129" spans="1:19" ht="60">
      <c r="A129" s="88"/>
      <c r="B129" s="87" t="s">
        <v>1956</v>
      </c>
      <c r="C129" s="88" t="s">
        <v>1877</v>
      </c>
      <c r="D129" s="147">
        <v>3</v>
      </c>
      <c r="E129" s="87"/>
      <c r="F129" s="113">
        <f t="shared" si="8"/>
        <v>3</v>
      </c>
      <c r="G129" s="112" t="s">
        <v>3846</v>
      </c>
      <c r="H129" s="120" t="s">
        <v>3193</v>
      </c>
      <c r="I129" s="120" t="s">
        <v>3768</v>
      </c>
      <c r="J129" s="120" t="s">
        <v>772</v>
      </c>
      <c r="K129" s="112">
        <v>574000</v>
      </c>
      <c r="L129" s="113"/>
      <c r="M129" s="113">
        <v>177800</v>
      </c>
      <c r="N129" s="113"/>
      <c r="O129" s="113"/>
      <c r="P129" s="299">
        <f t="shared" si="9"/>
        <v>751800</v>
      </c>
      <c r="Q129" s="299">
        <f t="shared" si="10"/>
        <v>2255400</v>
      </c>
      <c r="R129" s="299">
        <f t="shared" si="11"/>
        <v>2255400</v>
      </c>
      <c r="S129" s="112">
        <v>0</v>
      </c>
    </row>
    <row r="130" spans="1:19" ht="60">
      <c r="A130" s="88"/>
      <c r="B130" s="87" t="s">
        <v>1957</v>
      </c>
      <c r="C130" s="88" t="s">
        <v>1877</v>
      </c>
      <c r="D130" s="147">
        <v>1</v>
      </c>
      <c r="E130" s="87"/>
      <c r="F130" s="113">
        <f t="shared" si="8"/>
        <v>1</v>
      </c>
      <c r="G130" s="112" t="s">
        <v>3847</v>
      </c>
      <c r="H130" s="120" t="s">
        <v>3189</v>
      </c>
      <c r="I130" s="120" t="s">
        <v>3768</v>
      </c>
      <c r="J130" s="120" t="s">
        <v>772</v>
      </c>
      <c r="K130" s="112">
        <v>739900</v>
      </c>
      <c r="L130" s="113"/>
      <c r="M130" s="113">
        <v>208400</v>
      </c>
      <c r="N130" s="113"/>
      <c r="O130" s="113"/>
      <c r="P130" s="299">
        <f t="shared" si="9"/>
        <v>948300</v>
      </c>
      <c r="Q130" s="299">
        <f t="shared" si="10"/>
        <v>948300</v>
      </c>
      <c r="R130" s="299">
        <f t="shared" si="11"/>
        <v>948300</v>
      </c>
      <c r="S130" s="112">
        <v>0</v>
      </c>
    </row>
    <row r="131" spans="1:19" ht="60">
      <c r="A131" s="88"/>
      <c r="B131" s="87" t="s">
        <v>1958</v>
      </c>
      <c r="C131" s="88" t="s">
        <v>1877</v>
      </c>
      <c r="D131" s="147">
        <v>1</v>
      </c>
      <c r="E131" s="87"/>
      <c r="F131" s="113">
        <f t="shared" si="8"/>
        <v>1</v>
      </c>
      <c r="G131" s="112" t="s">
        <v>3848</v>
      </c>
      <c r="H131" s="120" t="s">
        <v>3193</v>
      </c>
      <c r="I131" s="120" t="s">
        <v>3768</v>
      </c>
      <c r="J131" s="120" t="s">
        <v>772</v>
      </c>
      <c r="K131" s="112">
        <v>488300</v>
      </c>
      <c r="L131" s="113"/>
      <c r="M131" s="113">
        <v>149400</v>
      </c>
      <c r="N131" s="113"/>
      <c r="O131" s="113"/>
      <c r="P131" s="299">
        <f t="shared" si="9"/>
        <v>637700</v>
      </c>
      <c r="Q131" s="299">
        <f t="shared" si="10"/>
        <v>637700</v>
      </c>
      <c r="R131" s="299">
        <f t="shared" si="11"/>
        <v>637700</v>
      </c>
      <c r="S131" s="112">
        <v>0</v>
      </c>
    </row>
    <row r="132" spans="1:19" ht="60">
      <c r="A132" s="88"/>
      <c r="B132" s="87" t="s">
        <v>1959</v>
      </c>
      <c r="C132" s="88" t="s">
        <v>1877</v>
      </c>
      <c r="D132" s="147">
        <v>3</v>
      </c>
      <c r="E132" s="87"/>
      <c r="F132" s="113">
        <f t="shared" si="8"/>
        <v>3</v>
      </c>
      <c r="G132" s="112" t="s">
        <v>3849</v>
      </c>
      <c r="H132" s="120" t="s">
        <v>3193</v>
      </c>
      <c r="I132" s="120" t="s">
        <v>3768</v>
      </c>
      <c r="J132" s="120" t="s">
        <v>772</v>
      </c>
      <c r="K132" s="112">
        <v>496700</v>
      </c>
      <c r="L132" s="113"/>
      <c r="M132" s="113">
        <v>152200</v>
      </c>
      <c r="N132" s="113"/>
      <c r="O132" s="113"/>
      <c r="P132" s="299">
        <f t="shared" si="9"/>
        <v>648900</v>
      </c>
      <c r="Q132" s="299">
        <f t="shared" si="10"/>
        <v>1946700</v>
      </c>
      <c r="R132" s="299">
        <f t="shared" si="11"/>
        <v>1946700</v>
      </c>
      <c r="S132" s="112">
        <v>0</v>
      </c>
    </row>
    <row r="133" spans="1:19" ht="60">
      <c r="A133" s="88"/>
      <c r="B133" s="87" t="s">
        <v>1960</v>
      </c>
      <c r="C133" s="88" t="s">
        <v>1877</v>
      </c>
      <c r="D133" s="147">
        <v>1</v>
      </c>
      <c r="E133" s="87"/>
      <c r="F133" s="113">
        <f t="shared" si="8"/>
        <v>1</v>
      </c>
      <c r="G133" s="112" t="s">
        <v>3850</v>
      </c>
      <c r="H133" s="120" t="s">
        <v>3189</v>
      </c>
      <c r="I133" s="120" t="s">
        <v>3768</v>
      </c>
      <c r="J133" s="120" t="s">
        <v>772</v>
      </c>
      <c r="K133" s="112">
        <v>928000</v>
      </c>
      <c r="L133" s="113"/>
      <c r="M133" s="113">
        <v>264100</v>
      </c>
      <c r="N133" s="113"/>
      <c r="O133" s="113"/>
      <c r="P133" s="299">
        <f t="shared" si="9"/>
        <v>1192100</v>
      </c>
      <c r="Q133" s="299">
        <f t="shared" si="10"/>
        <v>1192100</v>
      </c>
      <c r="R133" s="299">
        <f t="shared" si="11"/>
        <v>1192100</v>
      </c>
      <c r="S133" s="112">
        <v>0</v>
      </c>
    </row>
    <row r="134" spans="1:19" ht="60">
      <c r="A134" s="88"/>
      <c r="B134" s="87" t="s">
        <v>1961</v>
      </c>
      <c r="C134" s="88" t="s">
        <v>1877</v>
      </c>
      <c r="D134" s="147">
        <v>1</v>
      </c>
      <c r="E134" s="87"/>
      <c r="F134" s="113">
        <f t="shared" si="8"/>
        <v>1</v>
      </c>
      <c r="G134" s="112" t="s">
        <v>3851</v>
      </c>
      <c r="H134" s="120" t="s">
        <v>3189</v>
      </c>
      <c r="I134" s="120" t="s">
        <v>3768</v>
      </c>
      <c r="J134" s="120" t="s">
        <v>772</v>
      </c>
      <c r="K134" s="112">
        <v>805700</v>
      </c>
      <c r="L134" s="113"/>
      <c r="M134" s="113">
        <v>227900</v>
      </c>
      <c r="N134" s="113"/>
      <c r="O134" s="113"/>
      <c r="P134" s="299">
        <f t="shared" si="9"/>
        <v>1033600</v>
      </c>
      <c r="Q134" s="299">
        <f t="shared" si="10"/>
        <v>1033600</v>
      </c>
      <c r="R134" s="299">
        <f t="shared" si="11"/>
        <v>1033600</v>
      </c>
      <c r="S134" s="112">
        <v>0</v>
      </c>
    </row>
    <row r="135" spans="1:19" ht="60">
      <c r="A135" s="88"/>
      <c r="B135" s="87" t="s">
        <v>1896</v>
      </c>
      <c r="C135" s="88" t="s">
        <v>1877</v>
      </c>
      <c r="D135" s="147">
        <v>3</v>
      </c>
      <c r="E135" s="87"/>
      <c r="F135" s="113">
        <f t="shared" si="8"/>
        <v>3</v>
      </c>
      <c r="G135" s="112" t="s">
        <v>3852</v>
      </c>
      <c r="H135" s="120" t="s">
        <v>3193</v>
      </c>
      <c r="I135" s="120" t="s">
        <v>3768</v>
      </c>
      <c r="J135" s="120" t="s">
        <v>772</v>
      </c>
      <c r="K135" s="112">
        <v>572000</v>
      </c>
      <c r="L135" s="113"/>
      <c r="M135" s="113">
        <v>177100</v>
      </c>
      <c r="N135" s="113"/>
      <c r="O135" s="113"/>
      <c r="P135" s="299">
        <f t="shared" si="9"/>
        <v>749100</v>
      </c>
      <c r="Q135" s="299">
        <f t="shared" si="10"/>
        <v>2247300</v>
      </c>
      <c r="R135" s="299">
        <f t="shared" si="11"/>
        <v>2247300</v>
      </c>
      <c r="S135" s="112">
        <v>0</v>
      </c>
    </row>
    <row r="136" spans="1:19" ht="60">
      <c r="A136" s="88"/>
      <c r="B136" s="87" t="s">
        <v>1962</v>
      </c>
      <c r="C136" s="88" t="s">
        <v>1877</v>
      </c>
      <c r="D136" s="147">
        <v>6</v>
      </c>
      <c r="E136" s="87"/>
      <c r="F136" s="113">
        <f t="shared" si="8"/>
        <v>6</v>
      </c>
      <c r="G136" s="112" t="s">
        <v>3853</v>
      </c>
      <c r="H136" s="120" t="s">
        <v>3193</v>
      </c>
      <c r="I136" s="120" t="s">
        <v>3768</v>
      </c>
      <c r="J136" s="120" t="s">
        <v>772</v>
      </c>
      <c r="K136" s="112">
        <v>412700</v>
      </c>
      <c r="L136" s="113"/>
      <c r="M136" s="113">
        <v>124400</v>
      </c>
      <c r="N136" s="113"/>
      <c r="O136" s="113"/>
      <c r="P136" s="299">
        <f t="shared" si="9"/>
        <v>537100</v>
      </c>
      <c r="Q136" s="299">
        <f t="shared" si="10"/>
        <v>3222600</v>
      </c>
      <c r="R136" s="299">
        <f t="shared" si="11"/>
        <v>3222600</v>
      </c>
      <c r="S136" s="112">
        <v>0</v>
      </c>
    </row>
    <row r="137" spans="1:19" ht="60">
      <c r="A137" s="88"/>
      <c r="B137" s="87" t="s">
        <v>1963</v>
      </c>
      <c r="C137" s="88" t="s">
        <v>1877</v>
      </c>
      <c r="D137" s="147">
        <v>2</v>
      </c>
      <c r="E137" s="87"/>
      <c r="F137" s="113">
        <f t="shared" si="8"/>
        <v>2</v>
      </c>
      <c r="G137" s="112" t="s">
        <v>3854</v>
      </c>
      <c r="H137" s="120" t="s">
        <v>3193</v>
      </c>
      <c r="I137" s="120" t="s">
        <v>3768</v>
      </c>
      <c r="J137" s="120" t="s">
        <v>772</v>
      </c>
      <c r="K137" s="112">
        <v>471500</v>
      </c>
      <c r="L137" s="113"/>
      <c r="M137" s="113">
        <v>143900</v>
      </c>
      <c r="N137" s="113"/>
      <c r="O137" s="113"/>
      <c r="P137" s="299">
        <f t="shared" si="9"/>
        <v>615400</v>
      </c>
      <c r="Q137" s="299">
        <f t="shared" si="10"/>
        <v>1230800</v>
      </c>
      <c r="R137" s="299">
        <f t="shared" si="11"/>
        <v>1230800</v>
      </c>
      <c r="S137" s="112">
        <v>0</v>
      </c>
    </row>
    <row r="138" spans="1:19" ht="60">
      <c r="A138" s="88"/>
      <c r="B138" s="87" t="s">
        <v>1964</v>
      </c>
      <c r="C138" s="88" t="s">
        <v>1877</v>
      </c>
      <c r="D138" s="147">
        <v>1</v>
      </c>
      <c r="E138" s="87"/>
      <c r="F138" s="113">
        <f t="shared" si="8"/>
        <v>1</v>
      </c>
      <c r="G138" s="112" t="s">
        <v>3855</v>
      </c>
      <c r="H138" s="120" t="s">
        <v>3193</v>
      </c>
      <c r="I138" s="120" t="s">
        <v>3768</v>
      </c>
      <c r="J138" s="120" t="s">
        <v>772</v>
      </c>
      <c r="K138" s="112">
        <v>522700</v>
      </c>
      <c r="L138" s="113"/>
      <c r="M138" s="113">
        <v>193000</v>
      </c>
      <c r="N138" s="113"/>
      <c r="O138" s="113"/>
      <c r="P138" s="299">
        <f t="shared" si="9"/>
        <v>715700</v>
      </c>
      <c r="Q138" s="299">
        <f t="shared" si="10"/>
        <v>715700</v>
      </c>
      <c r="R138" s="299">
        <f t="shared" si="11"/>
        <v>715700</v>
      </c>
      <c r="S138" s="112">
        <v>0</v>
      </c>
    </row>
    <row r="139" spans="1:19" ht="60">
      <c r="A139" s="88"/>
      <c r="B139" s="87" t="s">
        <v>1965</v>
      </c>
      <c r="C139" s="88" t="s">
        <v>1877</v>
      </c>
      <c r="D139" s="147">
        <v>2</v>
      </c>
      <c r="E139" s="87"/>
      <c r="F139" s="113">
        <f t="shared" si="8"/>
        <v>2</v>
      </c>
      <c r="G139" s="112" t="s">
        <v>3856</v>
      </c>
      <c r="H139" s="120" t="s">
        <v>3189</v>
      </c>
      <c r="I139" s="120" t="s">
        <v>3768</v>
      </c>
      <c r="J139" s="120" t="s">
        <v>772</v>
      </c>
      <c r="K139" s="112">
        <v>922100</v>
      </c>
      <c r="L139" s="113"/>
      <c r="M139" s="113">
        <v>314800</v>
      </c>
      <c r="N139" s="113"/>
      <c r="O139" s="113"/>
      <c r="P139" s="299">
        <f t="shared" si="9"/>
        <v>1236900</v>
      </c>
      <c r="Q139" s="299">
        <f t="shared" si="10"/>
        <v>2473800</v>
      </c>
      <c r="R139" s="299">
        <f t="shared" si="11"/>
        <v>2473800</v>
      </c>
      <c r="S139" s="112">
        <v>0</v>
      </c>
    </row>
    <row r="140" spans="1:19" ht="60">
      <c r="A140" s="88"/>
      <c r="B140" s="87" t="s">
        <v>1966</v>
      </c>
      <c r="C140" s="88" t="s">
        <v>1877</v>
      </c>
      <c r="D140" s="147">
        <v>2</v>
      </c>
      <c r="E140" s="87"/>
      <c r="F140" s="113">
        <f t="shared" si="8"/>
        <v>2</v>
      </c>
      <c r="G140" s="112" t="s">
        <v>3857</v>
      </c>
      <c r="H140" s="120" t="s">
        <v>3189</v>
      </c>
      <c r="I140" s="120" t="s">
        <v>3768</v>
      </c>
      <c r="J140" s="120" t="s">
        <v>772</v>
      </c>
      <c r="K140" s="112">
        <v>751800</v>
      </c>
      <c r="L140" s="113"/>
      <c r="M140" s="113">
        <v>211900</v>
      </c>
      <c r="N140" s="113"/>
      <c r="O140" s="113"/>
      <c r="P140" s="299">
        <f t="shared" si="9"/>
        <v>963700</v>
      </c>
      <c r="Q140" s="299">
        <f t="shared" si="10"/>
        <v>1927400</v>
      </c>
      <c r="R140" s="299">
        <f t="shared" si="11"/>
        <v>1927400</v>
      </c>
      <c r="S140" s="112">
        <v>0</v>
      </c>
    </row>
    <row r="141" spans="1:19" ht="60">
      <c r="A141" s="88"/>
      <c r="B141" s="87" t="s">
        <v>1967</v>
      </c>
      <c r="C141" s="88" t="s">
        <v>1877</v>
      </c>
      <c r="D141" s="147">
        <v>6</v>
      </c>
      <c r="E141" s="87"/>
      <c r="F141" s="113">
        <f t="shared" si="8"/>
        <v>6</v>
      </c>
      <c r="G141" s="112" t="s">
        <v>3858</v>
      </c>
      <c r="H141" s="120" t="s">
        <v>3189</v>
      </c>
      <c r="I141" s="120" t="s">
        <v>3768</v>
      </c>
      <c r="J141" s="120" t="s">
        <v>772</v>
      </c>
      <c r="K141" s="112">
        <v>742600</v>
      </c>
      <c r="L141" s="113"/>
      <c r="M141" s="113">
        <v>251000</v>
      </c>
      <c r="N141" s="113"/>
      <c r="O141" s="113"/>
      <c r="P141" s="299">
        <f t="shared" si="9"/>
        <v>993600</v>
      </c>
      <c r="Q141" s="299">
        <f t="shared" si="10"/>
        <v>5961600</v>
      </c>
      <c r="R141" s="299">
        <f t="shared" si="11"/>
        <v>5961600</v>
      </c>
      <c r="S141" s="112">
        <v>0</v>
      </c>
    </row>
    <row r="142" spans="1:19" ht="60">
      <c r="A142" s="88"/>
      <c r="B142" s="87" t="s">
        <v>1968</v>
      </c>
      <c r="C142" s="88" t="s">
        <v>1877</v>
      </c>
      <c r="D142" s="147">
        <v>1</v>
      </c>
      <c r="E142" s="87"/>
      <c r="F142" s="113">
        <f t="shared" si="8"/>
        <v>1</v>
      </c>
      <c r="G142" s="112" t="s">
        <v>3859</v>
      </c>
      <c r="H142" s="120" t="s">
        <v>3189</v>
      </c>
      <c r="I142" s="120" t="s">
        <v>3768</v>
      </c>
      <c r="J142" s="120" t="s">
        <v>772</v>
      </c>
      <c r="K142" s="112">
        <v>731700</v>
      </c>
      <c r="L142" s="113"/>
      <c r="M142" s="113">
        <v>247100</v>
      </c>
      <c r="N142" s="113"/>
      <c r="O142" s="113"/>
      <c r="P142" s="299">
        <f t="shared" si="9"/>
        <v>978800</v>
      </c>
      <c r="Q142" s="299">
        <f t="shared" si="10"/>
        <v>978800</v>
      </c>
      <c r="R142" s="299">
        <f t="shared" si="11"/>
        <v>978800</v>
      </c>
      <c r="S142" s="112">
        <v>0</v>
      </c>
    </row>
    <row r="143" spans="1:19" ht="60">
      <c r="A143" s="88"/>
      <c r="B143" s="87" t="s">
        <v>1969</v>
      </c>
      <c r="C143" s="88" t="s">
        <v>1877</v>
      </c>
      <c r="D143" s="147">
        <v>1</v>
      </c>
      <c r="E143" s="87"/>
      <c r="F143" s="113">
        <f t="shared" si="8"/>
        <v>1</v>
      </c>
      <c r="G143" s="112" t="s">
        <v>3860</v>
      </c>
      <c r="H143" s="120" t="s">
        <v>3189</v>
      </c>
      <c r="I143" s="120" t="s">
        <v>3768</v>
      </c>
      <c r="J143" s="120" t="s">
        <v>772</v>
      </c>
      <c r="K143" s="112">
        <v>796000</v>
      </c>
      <c r="L143" s="113"/>
      <c r="M143" s="113">
        <v>270000</v>
      </c>
      <c r="N143" s="113"/>
      <c r="O143" s="113"/>
      <c r="P143" s="299">
        <f t="shared" si="9"/>
        <v>1066000</v>
      </c>
      <c r="Q143" s="299">
        <f t="shared" si="10"/>
        <v>1066000</v>
      </c>
      <c r="R143" s="299">
        <f t="shared" si="11"/>
        <v>1066000</v>
      </c>
      <c r="S143" s="112">
        <v>0</v>
      </c>
    </row>
    <row r="144" spans="1:19" ht="60">
      <c r="A144" s="88"/>
      <c r="B144" s="87" t="s">
        <v>1970</v>
      </c>
      <c r="C144" s="88" t="s">
        <v>1877</v>
      </c>
      <c r="D144" s="147">
        <v>1</v>
      </c>
      <c r="E144" s="87"/>
      <c r="F144" s="113">
        <f t="shared" si="8"/>
        <v>1</v>
      </c>
      <c r="G144" s="112" t="s">
        <v>3861</v>
      </c>
      <c r="H144" s="120" t="s">
        <v>3189</v>
      </c>
      <c r="I144" s="120" t="s">
        <v>3768</v>
      </c>
      <c r="J144" s="120" t="s">
        <v>772</v>
      </c>
      <c r="K144" s="112">
        <v>1286700</v>
      </c>
      <c r="L144" s="113"/>
      <c r="M144" s="113">
        <v>444400</v>
      </c>
      <c r="N144" s="113"/>
      <c r="O144" s="113"/>
      <c r="P144" s="299">
        <f t="shared" si="9"/>
        <v>1731100</v>
      </c>
      <c r="Q144" s="299">
        <f t="shared" si="10"/>
        <v>1731100</v>
      </c>
      <c r="R144" s="299">
        <f t="shared" si="11"/>
        <v>1731100</v>
      </c>
      <c r="S144" s="112">
        <v>0</v>
      </c>
    </row>
    <row r="145" spans="1:19">
      <c r="A145" s="79">
        <v>2.6</v>
      </c>
      <c r="B145" s="80" t="s">
        <v>1971</v>
      </c>
      <c r="C145" s="79"/>
      <c r="D145" s="143"/>
      <c r="E145" s="79"/>
      <c r="F145" s="113">
        <f t="shared" si="8"/>
        <v>0</v>
      </c>
      <c r="G145" s="112">
        <v>0</v>
      </c>
      <c r="H145" s="120">
        <v>0</v>
      </c>
      <c r="I145" s="120">
        <v>0</v>
      </c>
      <c r="J145" s="120">
        <v>0</v>
      </c>
      <c r="K145" s="112">
        <v>0</v>
      </c>
      <c r="L145" s="113"/>
      <c r="M145" s="113">
        <v>0</v>
      </c>
      <c r="N145" s="113"/>
      <c r="O145" s="113"/>
      <c r="P145" s="299">
        <f t="shared" si="9"/>
        <v>0</v>
      </c>
      <c r="Q145" s="299">
        <f t="shared" si="10"/>
        <v>0</v>
      </c>
      <c r="R145" s="299">
        <f t="shared" si="11"/>
        <v>0</v>
      </c>
      <c r="S145" s="112">
        <v>0</v>
      </c>
    </row>
    <row r="146" spans="1:19" ht="60">
      <c r="A146" s="79"/>
      <c r="B146" s="77" t="s">
        <v>1972</v>
      </c>
      <c r="C146" s="76" t="s">
        <v>1877</v>
      </c>
      <c r="D146" s="143">
        <v>2</v>
      </c>
      <c r="E146" s="79"/>
      <c r="F146" s="113">
        <f t="shared" si="8"/>
        <v>2</v>
      </c>
      <c r="G146" s="112" t="s">
        <v>3862</v>
      </c>
      <c r="H146" s="120" t="s">
        <v>3193</v>
      </c>
      <c r="I146" s="120" t="s">
        <v>3768</v>
      </c>
      <c r="J146" s="120" t="s">
        <v>772</v>
      </c>
      <c r="K146" s="112">
        <v>4136100</v>
      </c>
      <c r="L146" s="113"/>
      <c r="M146" s="113">
        <v>617200</v>
      </c>
      <c r="N146" s="113"/>
      <c r="O146" s="113"/>
      <c r="P146" s="299">
        <f t="shared" si="9"/>
        <v>4753300</v>
      </c>
      <c r="Q146" s="299">
        <f t="shared" si="10"/>
        <v>9506600</v>
      </c>
      <c r="R146" s="299">
        <f t="shared" si="11"/>
        <v>9506600</v>
      </c>
      <c r="S146" s="112">
        <v>0</v>
      </c>
    </row>
    <row r="147" spans="1:19" ht="60">
      <c r="A147" s="76"/>
      <c r="B147" s="77" t="s">
        <v>1973</v>
      </c>
      <c r="C147" s="76" t="s">
        <v>1877</v>
      </c>
      <c r="D147" s="143">
        <v>1</v>
      </c>
      <c r="E147" s="76"/>
      <c r="F147" s="113">
        <f t="shared" si="8"/>
        <v>1</v>
      </c>
      <c r="G147" s="112" t="s">
        <v>3863</v>
      </c>
      <c r="H147" s="120" t="s">
        <v>3189</v>
      </c>
      <c r="I147" s="120" t="s">
        <v>3768</v>
      </c>
      <c r="J147" s="120" t="s">
        <v>772</v>
      </c>
      <c r="K147" s="112">
        <v>11170900</v>
      </c>
      <c r="L147" s="113"/>
      <c r="M147" s="113">
        <v>876000</v>
      </c>
      <c r="N147" s="113"/>
      <c r="O147" s="113"/>
      <c r="P147" s="299">
        <f t="shared" si="9"/>
        <v>12046900</v>
      </c>
      <c r="Q147" s="299">
        <f t="shared" si="10"/>
        <v>12046900</v>
      </c>
      <c r="R147" s="299">
        <f t="shared" si="11"/>
        <v>12046900</v>
      </c>
      <c r="S147" s="112">
        <v>0</v>
      </c>
    </row>
    <row r="148" spans="1:19" ht="60">
      <c r="A148" s="88"/>
      <c r="B148" s="87" t="s">
        <v>1974</v>
      </c>
      <c r="C148" s="88" t="s">
        <v>1877</v>
      </c>
      <c r="D148" s="147">
        <v>1</v>
      </c>
      <c r="E148" s="87"/>
      <c r="F148" s="113">
        <f t="shared" si="8"/>
        <v>1</v>
      </c>
      <c r="G148" s="112" t="s">
        <v>3864</v>
      </c>
      <c r="H148" s="120" t="s">
        <v>3189</v>
      </c>
      <c r="I148" s="120" t="s">
        <v>3768</v>
      </c>
      <c r="J148" s="120" t="s">
        <v>772</v>
      </c>
      <c r="K148" s="112">
        <v>7701500</v>
      </c>
      <c r="L148" s="113"/>
      <c r="M148" s="113">
        <v>945700</v>
      </c>
      <c r="N148" s="113"/>
      <c r="O148" s="113"/>
      <c r="P148" s="299">
        <f t="shared" si="9"/>
        <v>8647200</v>
      </c>
      <c r="Q148" s="299">
        <f t="shared" si="10"/>
        <v>8647200</v>
      </c>
      <c r="R148" s="299">
        <f t="shared" si="11"/>
        <v>8647200</v>
      </c>
      <c r="S148" s="112">
        <v>0</v>
      </c>
    </row>
    <row r="149" spans="1:19" ht="60">
      <c r="A149" s="88"/>
      <c r="B149" s="87" t="s">
        <v>1975</v>
      </c>
      <c r="C149" s="88" t="s">
        <v>1877</v>
      </c>
      <c r="D149" s="147">
        <v>2</v>
      </c>
      <c r="E149" s="87"/>
      <c r="F149" s="113">
        <f t="shared" si="8"/>
        <v>2</v>
      </c>
      <c r="G149" s="112" t="s">
        <v>3865</v>
      </c>
      <c r="H149" s="120" t="s">
        <v>3189</v>
      </c>
      <c r="I149" s="120" t="s">
        <v>3768</v>
      </c>
      <c r="J149" s="120" t="s">
        <v>772</v>
      </c>
      <c r="K149" s="112">
        <v>8097100</v>
      </c>
      <c r="L149" s="113"/>
      <c r="M149" s="113">
        <v>895900</v>
      </c>
      <c r="N149" s="113"/>
      <c r="O149" s="113"/>
      <c r="P149" s="299">
        <f t="shared" si="9"/>
        <v>8993000</v>
      </c>
      <c r="Q149" s="299">
        <f t="shared" si="10"/>
        <v>17986000</v>
      </c>
      <c r="R149" s="299">
        <f t="shared" si="11"/>
        <v>17986000</v>
      </c>
      <c r="S149" s="112">
        <v>0</v>
      </c>
    </row>
    <row r="150" spans="1:19" ht="60">
      <c r="A150" s="88"/>
      <c r="B150" s="87" t="s">
        <v>1976</v>
      </c>
      <c r="C150" s="88" t="s">
        <v>1877</v>
      </c>
      <c r="D150" s="147">
        <v>2</v>
      </c>
      <c r="E150" s="87"/>
      <c r="F150" s="113">
        <f t="shared" si="8"/>
        <v>2</v>
      </c>
      <c r="G150" s="112" t="s">
        <v>3866</v>
      </c>
      <c r="H150" s="120" t="s">
        <v>3193</v>
      </c>
      <c r="I150" s="120" t="s">
        <v>3768</v>
      </c>
      <c r="J150" s="120" t="s">
        <v>772</v>
      </c>
      <c r="K150" s="112">
        <v>3505900</v>
      </c>
      <c r="L150" s="113"/>
      <c r="M150" s="113">
        <v>597300</v>
      </c>
      <c r="N150" s="113"/>
      <c r="O150" s="113"/>
      <c r="P150" s="299">
        <f t="shared" si="9"/>
        <v>4103200</v>
      </c>
      <c r="Q150" s="299">
        <f t="shared" si="10"/>
        <v>8206400</v>
      </c>
      <c r="R150" s="299">
        <f t="shared" si="11"/>
        <v>8206400</v>
      </c>
      <c r="S150" s="112">
        <v>0</v>
      </c>
    </row>
    <row r="151" spans="1:19" ht="60">
      <c r="A151" s="88"/>
      <c r="B151" s="87" t="s">
        <v>1977</v>
      </c>
      <c r="C151" s="88" t="s">
        <v>1877</v>
      </c>
      <c r="D151" s="147">
        <v>1</v>
      </c>
      <c r="E151" s="87"/>
      <c r="F151" s="113">
        <f t="shared" si="8"/>
        <v>1</v>
      </c>
      <c r="G151" s="112" t="s">
        <v>3867</v>
      </c>
      <c r="H151" s="120" t="s">
        <v>3189</v>
      </c>
      <c r="I151" s="120" t="s">
        <v>3768</v>
      </c>
      <c r="J151" s="120" t="s">
        <v>772</v>
      </c>
      <c r="K151" s="112">
        <v>9867600</v>
      </c>
      <c r="L151" s="113"/>
      <c r="M151" s="113">
        <v>716700</v>
      </c>
      <c r="N151" s="113"/>
      <c r="O151" s="113"/>
      <c r="P151" s="299">
        <f t="shared" si="9"/>
        <v>10584300</v>
      </c>
      <c r="Q151" s="299">
        <f t="shared" si="10"/>
        <v>10584300</v>
      </c>
      <c r="R151" s="299">
        <f t="shared" si="11"/>
        <v>10584300</v>
      </c>
      <c r="S151" s="112">
        <v>0</v>
      </c>
    </row>
    <row r="152" spans="1:19">
      <c r="A152" s="79">
        <v>2.7</v>
      </c>
      <c r="B152" s="257" t="s">
        <v>1905</v>
      </c>
      <c r="C152" s="79"/>
      <c r="D152" s="143"/>
      <c r="E152" s="79"/>
      <c r="F152" s="113">
        <f t="shared" si="8"/>
        <v>0</v>
      </c>
      <c r="G152" s="112">
        <v>0</v>
      </c>
      <c r="H152" s="120">
        <v>0</v>
      </c>
      <c r="I152" s="120">
        <v>0</v>
      </c>
      <c r="J152" s="120">
        <v>0</v>
      </c>
      <c r="K152" s="112">
        <v>0</v>
      </c>
      <c r="L152" s="113"/>
      <c r="M152" s="113">
        <v>0</v>
      </c>
      <c r="N152" s="113"/>
      <c r="O152" s="113"/>
      <c r="P152" s="299">
        <f t="shared" si="9"/>
        <v>0</v>
      </c>
      <c r="Q152" s="299">
        <f t="shared" si="10"/>
        <v>0</v>
      </c>
      <c r="R152" s="299">
        <f t="shared" si="11"/>
        <v>0</v>
      </c>
      <c r="S152" s="112">
        <v>0</v>
      </c>
    </row>
    <row r="153" spans="1:19" ht="60">
      <c r="A153" s="76"/>
      <c r="B153" s="77" t="s">
        <v>1978</v>
      </c>
      <c r="C153" s="76" t="s">
        <v>1877</v>
      </c>
      <c r="D153" s="143">
        <v>72</v>
      </c>
      <c r="E153" s="76"/>
      <c r="F153" s="113">
        <f t="shared" ref="F153:F190" si="12">D153</f>
        <v>72</v>
      </c>
      <c r="G153" s="112" t="s">
        <v>3701</v>
      </c>
      <c r="H153" s="120">
        <v>0</v>
      </c>
      <c r="I153" s="120" t="s">
        <v>3190</v>
      </c>
      <c r="J153" s="120" t="s">
        <v>772</v>
      </c>
      <c r="K153" s="112">
        <v>685300</v>
      </c>
      <c r="L153" s="113"/>
      <c r="M153" s="113">
        <v>185700</v>
      </c>
      <c r="N153" s="113"/>
      <c r="O153" s="113"/>
      <c r="P153" s="299">
        <f t="shared" ref="P153:P190" si="13">K153+L153+M153+N153+O153</f>
        <v>871000</v>
      </c>
      <c r="Q153" s="299">
        <f t="shared" ref="Q153:Q190" si="14">+P153*D153</f>
        <v>62712000</v>
      </c>
      <c r="R153" s="299">
        <f t="shared" ref="R153:R190" si="15">+P153*F153</f>
        <v>62712000</v>
      </c>
      <c r="S153" s="112">
        <v>0</v>
      </c>
    </row>
    <row r="154" spans="1:19" ht="60">
      <c r="A154" s="76"/>
      <c r="B154" s="77" t="s">
        <v>1979</v>
      </c>
      <c r="C154" s="76" t="s">
        <v>1877</v>
      </c>
      <c r="D154" s="143">
        <v>31</v>
      </c>
      <c r="E154" s="76"/>
      <c r="F154" s="113">
        <f t="shared" si="12"/>
        <v>31</v>
      </c>
      <c r="G154" s="112" t="s">
        <v>3700</v>
      </c>
      <c r="H154" s="120">
        <v>0</v>
      </c>
      <c r="I154" s="120" t="s">
        <v>3190</v>
      </c>
      <c r="J154" s="120" t="s">
        <v>772</v>
      </c>
      <c r="K154" s="112">
        <v>1140100</v>
      </c>
      <c r="L154" s="113"/>
      <c r="M154" s="113">
        <v>435100</v>
      </c>
      <c r="N154" s="113"/>
      <c r="O154" s="113"/>
      <c r="P154" s="299">
        <f t="shared" si="13"/>
        <v>1575200</v>
      </c>
      <c r="Q154" s="299">
        <f t="shared" si="14"/>
        <v>48831200</v>
      </c>
      <c r="R154" s="299">
        <f t="shared" si="15"/>
        <v>48831200</v>
      </c>
      <c r="S154" s="112">
        <v>0</v>
      </c>
    </row>
    <row r="155" spans="1:19">
      <c r="A155" s="90">
        <v>2.8</v>
      </c>
      <c r="B155" s="91" t="s">
        <v>1980</v>
      </c>
      <c r="C155" s="88"/>
      <c r="D155" s="147"/>
      <c r="E155" s="87"/>
      <c r="F155" s="113">
        <f t="shared" si="12"/>
        <v>0</v>
      </c>
      <c r="G155" s="112">
        <v>0</v>
      </c>
      <c r="H155" s="120">
        <v>0</v>
      </c>
      <c r="I155" s="120">
        <v>0</v>
      </c>
      <c r="J155" s="120">
        <v>0</v>
      </c>
      <c r="K155" s="112">
        <v>0</v>
      </c>
      <c r="L155" s="113"/>
      <c r="M155" s="113">
        <v>0</v>
      </c>
      <c r="N155" s="113"/>
      <c r="O155" s="113"/>
      <c r="P155" s="299">
        <f t="shared" si="13"/>
        <v>0</v>
      </c>
      <c r="Q155" s="299">
        <f t="shared" si="14"/>
        <v>0</v>
      </c>
      <c r="R155" s="299">
        <f t="shared" si="15"/>
        <v>0</v>
      </c>
      <c r="S155" s="112">
        <v>0</v>
      </c>
    </row>
    <row r="156" spans="1:19" ht="60">
      <c r="A156" s="88"/>
      <c r="B156" s="87" t="s">
        <v>1981</v>
      </c>
      <c r="C156" s="88" t="s">
        <v>1877</v>
      </c>
      <c r="D156" s="147">
        <v>72</v>
      </c>
      <c r="E156" s="87"/>
      <c r="F156" s="113">
        <f t="shared" si="12"/>
        <v>72</v>
      </c>
      <c r="G156" s="112" t="s">
        <v>3868</v>
      </c>
      <c r="H156" s="120" t="s">
        <v>3193</v>
      </c>
      <c r="I156" s="120" t="s">
        <v>3768</v>
      </c>
      <c r="J156" s="120" t="s">
        <v>772</v>
      </c>
      <c r="K156" s="112">
        <v>301900</v>
      </c>
      <c r="L156" s="113"/>
      <c r="M156" s="113">
        <v>95800</v>
      </c>
      <c r="N156" s="113"/>
      <c r="O156" s="113"/>
      <c r="P156" s="299">
        <f t="shared" si="13"/>
        <v>397700</v>
      </c>
      <c r="Q156" s="299">
        <f t="shared" si="14"/>
        <v>28634400</v>
      </c>
      <c r="R156" s="299">
        <f t="shared" si="15"/>
        <v>28634400</v>
      </c>
      <c r="S156" s="112">
        <v>0</v>
      </c>
    </row>
    <row r="157" spans="1:19" ht="60">
      <c r="A157" s="88"/>
      <c r="B157" s="87" t="s">
        <v>1982</v>
      </c>
      <c r="C157" s="88" t="s">
        <v>1877</v>
      </c>
      <c r="D157" s="147">
        <v>31</v>
      </c>
      <c r="E157" s="87"/>
      <c r="F157" s="113">
        <f t="shared" si="12"/>
        <v>31</v>
      </c>
      <c r="G157" s="112" t="s">
        <v>3869</v>
      </c>
      <c r="H157" s="120" t="s">
        <v>3193</v>
      </c>
      <c r="I157" s="120" t="s">
        <v>3768</v>
      </c>
      <c r="J157" s="120" t="s">
        <v>772</v>
      </c>
      <c r="K157" s="112">
        <v>525100</v>
      </c>
      <c r="L157" s="113"/>
      <c r="M157" s="113">
        <v>176300</v>
      </c>
      <c r="N157" s="113"/>
      <c r="O157" s="113"/>
      <c r="P157" s="299">
        <f t="shared" si="13"/>
        <v>701400</v>
      </c>
      <c r="Q157" s="299">
        <f t="shared" si="14"/>
        <v>21743400</v>
      </c>
      <c r="R157" s="299">
        <f t="shared" si="15"/>
        <v>21743400</v>
      </c>
      <c r="S157" s="112">
        <v>0</v>
      </c>
    </row>
    <row r="158" spans="1:19" ht="28.5">
      <c r="A158" s="79">
        <v>2.9</v>
      </c>
      <c r="B158" s="257" t="s">
        <v>1983</v>
      </c>
      <c r="C158" s="79"/>
      <c r="D158" s="143"/>
      <c r="E158" s="79"/>
      <c r="F158" s="113">
        <f t="shared" si="12"/>
        <v>0</v>
      </c>
      <c r="G158" s="112">
        <v>0</v>
      </c>
      <c r="H158" s="120">
        <v>0</v>
      </c>
      <c r="I158" s="120">
        <v>0</v>
      </c>
      <c r="J158" s="120">
        <v>0</v>
      </c>
      <c r="K158" s="112">
        <v>0</v>
      </c>
      <c r="L158" s="113"/>
      <c r="M158" s="113">
        <v>0</v>
      </c>
      <c r="N158" s="113"/>
      <c r="O158" s="113"/>
      <c r="P158" s="299">
        <f t="shared" si="13"/>
        <v>0</v>
      </c>
      <c r="Q158" s="299">
        <f t="shared" si="14"/>
        <v>0</v>
      </c>
      <c r="R158" s="299">
        <f t="shared" si="15"/>
        <v>0</v>
      </c>
      <c r="S158" s="112">
        <v>0</v>
      </c>
    </row>
    <row r="159" spans="1:19" ht="105">
      <c r="A159" s="79"/>
      <c r="B159" s="77" t="s">
        <v>1934</v>
      </c>
      <c r="C159" s="76" t="s">
        <v>1877</v>
      </c>
      <c r="D159" s="143">
        <v>6</v>
      </c>
      <c r="E159" s="79"/>
      <c r="F159" s="113">
        <f t="shared" si="12"/>
        <v>6</v>
      </c>
      <c r="G159" s="112" t="s">
        <v>3724</v>
      </c>
      <c r="H159" s="120" t="s">
        <v>3386</v>
      </c>
      <c r="I159" s="120" t="s">
        <v>3190</v>
      </c>
      <c r="J159" s="120" t="s">
        <v>772</v>
      </c>
      <c r="K159" s="112">
        <v>14690600</v>
      </c>
      <c r="L159" s="113"/>
      <c r="M159" s="113">
        <v>561300</v>
      </c>
      <c r="N159" s="113"/>
      <c r="O159" s="113"/>
      <c r="P159" s="299">
        <f t="shared" si="13"/>
        <v>15251900</v>
      </c>
      <c r="Q159" s="299">
        <f t="shared" si="14"/>
        <v>91511400</v>
      </c>
      <c r="R159" s="299">
        <f t="shared" si="15"/>
        <v>91511400</v>
      </c>
      <c r="S159" s="112" t="s">
        <v>3751</v>
      </c>
    </row>
    <row r="160" spans="1:19" ht="105">
      <c r="A160" s="79"/>
      <c r="B160" s="77" t="s">
        <v>1984</v>
      </c>
      <c r="C160" s="76" t="s">
        <v>1877</v>
      </c>
      <c r="D160" s="147">
        <v>1</v>
      </c>
      <c r="E160" s="79"/>
      <c r="F160" s="113">
        <f t="shared" si="12"/>
        <v>1</v>
      </c>
      <c r="G160" s="112" t="s">
        <v>3723</v>
      </c>
      <c r="H160" s="120" t="s">
        <v>3386</v>
      </c>
      <c r="I160" s="120" t="s">
        <v>3190</v>
      </c>
      <c r="J160" s="120" t="s">
        <v>772</v>
      </c>
      <c r="K160" s="112">
        <v>17075700</v>
      </c>
      <c r="L160" s="113"/>
      <c r="M160" s="113">
        <v>561300</v>
      </c>
      <c r="N160" s="113"/>
      <c r="O160" s="113"/>
      <c r="P160" s="299">
        <f t="shared" si="13"/>
        <v>17637000</v>
      </c>
      <c r="Q160" s="299">
        <f t="shared" si="14"/>
        <v>17637000</v>
      </c>
      <c r="R160" s="299">
        <f t="shared" si="15"/>
        <v>17637000</v>
      </c>
      <c r="S160" s="112" t="s">
        <v>3751</v>
      </c>
    </row>
    <row r="161" spans="1:19" ht="105">
      <c r="A161" s="79"/>
      <c r="B161" s="77" t="s">
        <v>1936</v>
      </c>
      <c r="C161" s="76" t="s">
        <v>1877</v>
      </c>
      <c r="D161" s="147">
        <v>4</v>
      </c>
      <c r="E161" s="79"/>
      <c r="F161" s="113">
        <f t="shared" si="12"/>
        <v>4</v>
      </c>
      <c r="G161" s="112" t="s">
        <v>3722</v>
      </c>
      <c r="H161" s="120" t="s">
        <v>3386</v>
      </c>
      <c r="I161" s="120" t="s">
        <v>3190</v>
      </c>
      <c r="J161" s="120" t="s">
        <v>772</v>
      </c>
      <c r="K161" s="112">
        <v>17153400</v>
      </c>
      <c r="L161" s="113"/>
      <c r="M161" s="113">
        <v>561300</v>
      </c>
      <c r="N161" s="113"/>
      <c r="O161" s="113"/>
      <c r="P161" s="299">
        <f t="shared" si="13"/>
        <v>17714700</v>
      </c>
      <c r="Q161" s="299">
        <f t="shared" si="14"/>
        <v>70858800</v>
      </c>
      <c r="R161" s="299">
        <f t="shared" si="15"/>
        <v>70858800</v>
      </c>
      <c r="S161" s="112" t="s">
        <v>3751</v>
      </c>
    </row>
    <row r="162" spans="1:19">
      <c r="A162" s="266">
        <v>2.1</v>
      </c>
      <c r="B162" s="91" t="s">
        <v>1985</v>
      </c>
      <c r="C162" s="88">
        <v>0</v>
      </c>
      <c r="D162" s="147"/>
      <c r="E162" s="87"/>
      <c r="F162" s="113">
        <f t="shared" si="12"/>
        <v>0</v>
      </c>
      <c r="G162" s="112">
        <v>0</v>
      </c>
      <c r="H162" s="120">
        <v>0</v>
      </c>
      <c r="I162" s="120">
        <v>0</v>
      </c>
      <c r="J162" s="120">
        <v>0</v>
      </c>
      <c r="K162" s="112">
        <v>0</v>
      </c>
      <c r="L162" s="113"/>
      <c r="M162" s="113">
        <v>0</v>
      </c>
      <c r="N162" s="113"/>
      <c r="O162" s="113"/>
      <c r="P162" s="299">
        <f t="shared" si="13"/>
        <v>0</v>
      </c>
      <c r="Q162" s="299">
        <f t="shared" si="14"/>
        <v>0</v>
      </c>
      <c r="R162" s="299">
        <f t="shared" si="15"/>
        <v>0</v>
      </c>
      <c r="S162" s="112">
        <v>0</v>
      </c>
    </row>
    <row r="163" spans="1:19" ht="75">
      <c r="A163" s="88"/>
      <c r="B163" s="87" t="s">
        <v>1986</v>
      </c>
      <c r="C163" s="88" t="s">
        <v>1877</v>
      </c>
      <c r="D163" s="147">
        <v>2</v>
      </c>
      <c r="E163" s="87"/>
      <c r="F163" s="113">
        <f t="shared" si="12"/>
        <v>2</v>
      </c>
      <c r="G163" s="112" t="s">
        <v>3870</v>
      </c>
      <c r="H163" s="120" t="s">
        <v>3189</v>
      </c>
      <c r="I163" s="120" t="s">
        <v>3768</v>
      </c>
      <c r="J163" s="120" t="s">
        <v>772</v>
      </c>
      <c r="K163" s="112">
        <v>1944100</v>
      </c>
      <c r="L163" s="113"/>
      <c r="M163" s="113">
        <v>669500</v>
      </c>
      <c r="N163" s="113"/>
      <c r="O163" s="113"/>
      <c r="P163" s="299">
        <f t="shared" si="13"/>
        <v>2613600</v>
      </c>
      <c r="Q163" s="299">
        <f t="shared" si="14"/>
        <v>5227200</v>
      </c>
      <c r="R163" s="299">
        <f t="shared" si="15"/>
        <v>5227200</v>
      </c>
      <c r="S163" s="112">
        <v>0</v>
      </c>
    </row>
    <row r="164" spans="1:19" ht="75">
      <c r="A164" s="88"/>
      <c r="B164" s="87" t="s">
        <v>1987</v>
      </c>
      <c r="C164" s="88" t="s">
        <v>1877</v>
      </c>
      <c r="D164" s="147">
        <v>1</v>
      </c>
      <c r="E164" s="87"/>
      <c r="F164" s="113">
        <f t="shared" si="12"/>
        <v>1</v>
      </c>
      <c r="G164" s="112" t="s">
        <v>3871</v>
      </c>
      <c r="H164" s="120" t="s">
        <v>3189</v>
      </c>
      <c r="I164" s="120" t="s">
        <v>3768</v>
      </c>
      <c r="J164" s="120" t="s">
        <v>772</v>
      </c>
      <c r="K164" s="112">
        <v>1828200</v>
      </c>
      <c r="L164" s="113"/>
      <c r="M164" s="113">
        <v>628200</v>
      </c>
      <c r="N164" s="113"/>
      <c r="O164" s="113"/>
      <c r="P164" s="299">
        <f t="shared" si="13"/>
        <v>2456400</v>
      </c>
      <c r="Q164" s="299">
        <f t="shared" si="14"/>
        <v>2456400</v>
      </c>
      <c r="R164" s="299">
        <f t="shared" si="15"/>
        <v>2456400</v>
      </c>
      <c r="S164" s="112">
        <v>0</v>
      </c>
    </row>
    <row r="165" spans="1:19" ht="60">
      <c r="A165" s="88"/>
      <c r="B165" s="87" t="s">
        <v>1988</v>
      </c>
      <c r="C165" s="88" t="s">
        <v>1877</v>
      </c>
      <c r="D165" s="147">
        <v>1</v>
      </c>
      <c r="E165" s="87"/>
      <c r="F165" s="113">
        <f t="shared" si="12"/>
        <v>1</v>
      </c>
      <c r="G165" s="112" t="s">
        <v>3872</v>
      </c>
      <c r="H165" s="120" t="s">
        <v>3193</v>
      </c>
      <c r="I165" s="120" t="s">
        <v>3768</v>
      </c>
      <c r="J165" s="120" t="s">
        <v>772</v>
      </c>
      <c r="K165" s="112">
        <v>750700</v>
      </c>
      <c r="L165" s="113"/>
      <c r="M165" s="113">
        <v>273800</v>
      </c>
      <c r="N165" s="113"/>
      <c r="O165" s="113"/>
      <c r="P165" s="299">
        <f t="shared" si="13"/>
        <v>1024500</v>
      </c>
      <c r="Q165" s="299">
        <f t="shared" si="14"/>
        <v>1024500</v>
      </c>
      <c r="R165" s="299">
        <f t="shared" si="15"/>
        <v>1024500</v>
      </c>
      <c r="S165" s="112">
        <v>0</v>
      </c>
    </row>
    <row r="166" spans="1:19" ht="60">
      <c r="A166" s="88"/>
      <c r="B166" s="87" t="s">
        <v>1989</v>
      </c>
      <c r="C166" s="88" t="s">
        <v>1877</v>
      </c>
      <c r="D166" s="147">
        <v>2</v>
      </c>
      <c r="E166" s="87"/>
      <c r="F166" s="113">
        <f t="shared" si="12"/>
        <v>2</v>
      </c>
      <c r="G166" s="112" t="s">
        <v>3873</v>
      </c>
      <c r="H166" s="120" t="s">
        <v>3193</v>
      </c>
      <c r="I166" s="120" t="s">
        <v>3768</v>
      </c>
      <c r="J166" s="120" t="s">
        <v>772</v>
      </c>
      <c r="K166" s="112">
        <v>540600</v>
      </c>
      <c r="L166" s="113"/>
      <c r="M166" s="113">
        <v>190400</v>
      </c>
      <c r="N166" s="113"/>
      <c r="O166" s="113"/>
      <c r="P166" s="299">
        <f t="shared" si="13"/>
        <v>731000</v>
      </c>
      <c r="Q166" s="299">
        <f t="shared" si="14"/>
        <v>1462000</v>
      </c>
      <c r="R166" s="299">
        <f t="shared" si="15"/>
        <v>1462000</v>
      </c>
      <c r="S166" s="112">
        <v>0</v>
      </c>
    </row>
    <row r="167" spans="1:19" ht="60">
      <c r="A167" s="88"/>
      <c r="B167" s="87" t="s">
        <v>1990</v>
      </c>
      <c r="C167" s="88" t="s">
        <v>1877</v>
      </c>
      <c r="D167" s="147">
        <v>1</v>
      </c>
      <c r="E167" s="87"/>
      <c r="F167" s="113">
        <f t="shared" si="12"/>
        <v>1</v>
      </c>
      <c r="G167" s="112" t="s">
        <v>3874</v>
      </c>
      <c r="H167" s="120" t="s">
        <v>3193</v>
      </c>
      <c r="I167" s="120" t="s">
        <v>3768</v>
      </c>
      <c r="J167" s="120" t="s">
        <v>772</v>
      </c>
      <c r="K167" s="112">
        <v>1130000</v>
      </c>
      <c r="L167" s="113"/>
      <c r="M167" s="113">
        <v>424300</v>
      </c>
      <c r="N167" s="113"/>
      <c r="O167" s="113"/>
      <c r="P167" s="299">
        <f t="shared" si="13"/>
        <v>1554300</v>
      </c>
      <c r="Q167" s="299">
        <f t="shared" si="14"/>
        <v>1554300</v>
      </c>
      <c r="R167" s="299">
        <f t="shared" si="15"/>
        <v>1554300</v>
      </c>
      <c r="S167" s="112">
        <v>0</v>
      </c>
    </row>
    <row r="168" spans="1:19">
      <c r="A168" s="90">
        <v>2.11</v>
      </c>
      <c r="B168" s="91" t="s">
        <v>1991</v>
      </c>
      <c r="C168" s="88"/>
      <c r="D168" s="147"/>
      <c r="E168" s="87"/>
      <c r="F168" s="113">
        <f t="shared" si="12"/>
        <v>0</v>
      </c>
      <c r="G168" s="112">
        <v>0</v>
      </c>
      <c r="H168" s="120">
        <v>0</v>
      </c>
      <c r="I168" s="120">
        <v>0</v>
      </c>
      <c r="J168" s="120">
        <v>0</v>
      </c>
      <c r="K168" s="112">
        <v>0</v>
      </c>
      <c r="L168" s="113"/>
      <c r="M168" s="113">
        <v>0</v>
      </c>
      <c r="N168" s="113"/>
      <c r="O168" s="113"/>
      <c r="P168" s="299">
        <f t="shared" si="13"/>
        <v>0</v>
      </c>
      <c r="Q168" s="299">
        <f t="shared" si="14"/>
        <v>0</v>
      </c>
      <c r="R168" s="299">
        <f t="shared" si="15"/>
        <v>0</v>
      </c>
      <c r="S168" s="112">
        <v>0</v>
      </c>
    </row>
    <row r="169" spans="1:19" ht="60">
      <c r="A169" s="88"/>
      <c r="B169" s="87" t="s">
        <v>1992</v>
      </c>
      <c r="C169" s="88" t="s">
        <v>1877</v>
      </c>
      <c r="D169" s="147">
        <v>1</v>
      </c>
      <c r="E169" s="87"/>
      <c r="F169" s="113">
        <f t="shared" si="12"/>
        <v>1</v>
      </c>
      <c r="G169" s="112" t="s">
        <v>3875</v>
      </c>
      <c r="H169" s="120" t="s">
        <v>3193</v>
      </c>
      <c r="I169" s="120" t="s">
        <v>3768</v>
      </c>
      <c r="J169" s="120" t="s">
        <v>772</v>
      </c>
      <c r="K169" s="112">
        <v>715500</v>
      </c>
      <c r="L169" s="113"/>
      <c r="M169" s="113">
        <v>269500</v>
      </c>
      <c r="N169" s="113"/>
      <c r="O169" s="113"/>
      <c r="P169" s="299">
        <f t="shared" si="13"/>
        <v>985000</v>
      </c>
      <c r="Q169" s="299">
        <f t="shared" si="14"/>
        <v>985000</v>
      </c>
      <c r="R169" s="299">
        <f t="shared" si="15"/>
        <v>985000</v>
      </c>
      <c r="S169" s="112">
        <v>0</v>
      </c>
    </row>
    <row r="170" spans="1:19" ht="60">
      <c r="A170" s="88"/>
      <c r="B170" s="87" t="s">
        <v>1993</v>
      </c>
      <c r="C170" s="88" t="s">
        <v>1877</v>
      </c>
      <c r="D170" s="147">
        <v>1</v>
      </c>
      <c r="E170" s="87"/>
      <c r="F170" s="113">
        <f t="shared" si="12"/>
        <v>1</v>
      </c>
      <c r="G170" s="112" t="s">
        <v>3876</v>
      </c>
      <c r="H170" s="120" t="s">
        <v>3189</v>
      </c>
      <c r="I170" s="120" t="s">
        <v>3768</v>
      </c>
      <c r="J170" s="120" t="s">
        <v>772</v>
      </c>
      <c r="K170" s="112">
        <v>826800</v>
      </c>
      <c r="L170" s="113"/>
      <c r="M170" s="113">
        <v>280900</v>
      </c>
      <c r="N170" s="113"/>
      <c r="O170" s="113"/>
      <c r="P170" s="299">
        <f t="shared" si="13"/>
        <v>1107700</v>
      </c>
      <c r="Q170" s="299">
        <f t="shared" si="14"/>
        <v>1107700</v>
      </c>
      <c r="R170" s="299">
        <f t="shared" si="15"/>
        <v>1107700</v>
      </c>
      <c r="S170" s="112">
        <v>0</v>
      </c>
    </row>
    <row r="171" spans="1:19">
      <c r="A171" s="259">
        <v>2.12</v>
      </c>
      <c r="B171" s="257" t="s">
        <v>1924</v>
      </c>
      <c r="C171" s="76" t="s">
        <v>1877</v>
      </c>
      <c r="D171" s="143">
        <v>2</v>
      </c>
      <c r="E171" s="79"/>
      <c r="F171" s="113">
        <f t="shared" si="12"/>
        <v>2</v>
      </c>
      <c r="G171" s="112">
        <v>0</v>
      </c>
      <c r="H171" s="120">
        <v>0</v>
      </c>
      <c r="I171" s="120">
        <v>0</v>
      </c>
      <c r="J171" s="120" t="s">
        <v>772</v>
      </c>
      <c r="K171" s="112">
        <v>729600</v>
      </c>
      <c r="L171" s="113"/>
      <c r="M171" s="113">
        <v>38800</v>
      </c>
      <c r="N171" s="113"/>
      <c r="O171" s="113"/>
      <c r="P171" s="299">
        <f t="shared" si="13"/>
        <v>768400</v>
      </c>
      <c r="Q171" s="299">
        <f t="shared" si="14"/>
        <v>1536800</v>
      </c>
      <c r="R171" s="299">
        <f t="shared" si="15"/>
        <v>1536800</v>
      </c>
      <c r="S171" s="112">
        <v>0</v>
      </c>
    </row>
    <row r="172" spans="1:19">
      <c r="A172" s="259">
        <v>2.13</v>
      </c>
      <c r="B172" s="257" t="s">
        <v>1994</v>
      </c>
      <c r="C172" s="76" t="s">
        <v>17</v>
      </c>
      <c r="D172" s="143">
        <v>1</v>
      </c>
      <c r="E172" s="79"/>
      <c r="F172" s="113">
        <f t="shared" si="12"/>
        <v>1</v>
      </c>
      <c r="G172" s="112">
        <v>0</v>
      </c>
      <c r="H172" s="120">
        <v>0</v>
      </c>
      <c r="I172" s="120">
        <v>0</v>
      </c>
      <c r="J172" s="120" t="s">
        <v>806</v>
      </c>
      <c r="K172" s="112">
        <v>0</v>
      </c>
      <c r="L172" s="113"/>
      <c r="M172" s="113">
        <v>0</v>
      </c>
      <c r="N172" s="113"/>
      <c r="O172" s="113"/>
      <c r="P172" s="299">
        <f t="shared" si="13"/>
        <v>0</v>
      </c>
      <c r="Q172" s="299">
        <f t="shared" si="14"/>
        <v>0</v>
      </c>
      <c r="R172" s="299">
        <f t="shared" si="15"/>
        <v>0</v>
      </c>
      <c r="S172" s="112">
        <v>0</v>
      </c>
    </row>
    <row r="173" spans="1:19">
      <c r="A173" s="90">
        <v>2.14</v>
      </c>
      <c r="B173" s="91" t="s">
        <v>1995</v>
      </c>
      <c r="C173" s="90"/>
      <c r="D173" s="258"/>
      <c r="E173" s="91"/>
      <c r="F173" s="113">
        <f t="shared" si="12"/>
        <v>0</v>
      </c>
      <c r="G173" s="112">
        <v>0</v>
      </c>
      <c r="H173" s="120">
        <v>0</v>
      </c>
      <c r="I173" s="120">
        <v>0</v>
      </c>
      <c r="J173" s="120">
        <v>0</v>
      </c>
      <c r="K173" s="112">
        <v>0</v>
      </c>
      <c r="L173" s="113"/>
      <c r="M173" s="113">
        <v>0</v>
      </c>
      <c r="N173" s="113"/>
      <c r="O173" s="113"/>
      <c r="P173" s="299">
        <f t="shared" si="13"/>
        <v>0</v>
      </c>
      <c r="Q173" s="299">
        <f t="shared" si="14"/>
        <v>0</v>
      </c>
      <c r="R173" s="299">
        <f t="shared" si="15"/>
        <v>0</v>
      </c>
      <c r="S173" s="112">
        <v>0</v>
      </c>
    </row>
    <row r="174" spans="1:19" ht="45">
      <c r="A174" s="88"/>
      <c r="B174" s="87" t="s">
        <v>1996</v>
      </c>
      <c r="C174" s="88" t="s">
        <v>7</v>
      </c>
      <c r="D174" s="147">
        <v>2</v>
      </c>
      <c r="E174" s="87"/>
      <c r="F174" s="113">
        <f t="shared" si="12"/>
        <v>2</v>
      </c>
      <c r="G174" s="112" t="s">
        <v>3877</v>
      </c>
      <c r="H174" s="120" t="s">
        <v>3193</v>
      </c>
      <c r="I174" s="120" t="s">
        <v>3768</v>
      </c>
      <c r="J174" s="120" t="s">
        <v>772</v>
      </c>
      <c r="K174" s="112">
        <v>2035100</v>
      </c>
      <c r="L174" s="113"/>
      <c r="M174" s="113">
        <v>501600</v>
      </c>
      <c r="N174" s="113"/>
      <c r="O174" s="113"/>
      <c r="P174" s="299">
        <f t="shared" si="13"/>
        <v>2536700</v>
      </c>
      <c r="Q174" s="299">
        <f t="shared" si="14"/>
        <v>5073400</v>
      </c>
      <c r="R174" s="299">
        <f t="shared" si="15"/>
        <v>5073400</v>
      </c>
      <c r="S174" s="112">
        <v>0</v>
      </c>
    </row>
    <row r="175" spans="1:19" ht="45">
      <c r="A175" s="88"/>
      <c r="B175" s="87" t="s">
        <v>1997</v>
      </c>
      <c r="C175" s="88" t="s">
        <v>7</v>
      </c>
      <c r="D175" s="147">
        <v>1</v>
      </c>
      <c r="E175" s="87"/>
      <c r="F175" s="113">
        <f t="shared" si="12"/>
        <v>1</v>
      </c>
      <c r="G175" s="112" t="s">
        <v>3878</v>
      </c>
      <c r="H175" s="120" t="s">
        <v>3193</v>
      </c>
      <c r="I175" s="120" t="s">
        <v>3768</v>
      </c>
      <c r="J175" s="120" t="s">
        <v>772</v>
      </c>
      <c r="K175" s="112">
        <v>2463500</v>
      </c>
      <c r="L175" s="113"/>
      <c r="M175" s="113">
        <v>607200</v>
      </c>
      <c r="N175" s="113"/>
      <c r="O175" s="113"/>
      <c r="P175" s="299">
        <f t="shared" si="13"/>
        <v>3070700</v>
      </c>
      <c r="Q175" s="299">
        <f t="shared" si="14"/>
        <v>3070700</v>
      </c>
      <c r="R175" s="299">
        <f t="shared" si="15"/>
        <v>3070700</v>
      </c>
      <c r="S175" s="112">
        <v>0</v>
      </c>
    </row>
    <row r="176" spans="1:19" ht="45">
      <c r="A176" s="88"/>
      <c r="B176" s="87" t="s">
        <v>1998</v>
      </c>
      <c r="C176" s="88" t="s">
        <v>7</v>
      </c>
      <c r="D176" s="147">
        <v>51</v>
      </c>
      <c r="E176" s="87"/>
      <c r="F176" s="113">
        <f t="shared" si="12"/>
        <v>51</v>
      </c>
      <c r="G176" s="112" t="s">
        <v>3879</v>
      </c>
      <c r="H176" s="120" t="s">
        <v>3189</v>
      </c>
      <c r="I176" s="120" t="s">
        <v>3768</v>
      </c>
      <c r="J176" s="120" t="s">
        <v>772</v>
      </c>
      <c r="K176" s="112">
        <v>5030400</v>
      </c>
      <c r="L176" s="113"/>
      <c r="M176" s="113">
        <v>1161500</v>
      </c>
      <c r="N176" s="113"/>
      <c r="O176" s="113"/>
      <c r="P176" s="299">
        <f t="shared" si="13"/>
        <v>6191900</v>
      </c>
      <c r="Q176" s="299">
        <f t="shared" si="14"/>
        <v>315786900</v>
      </c>
      <c r="R176" s="299">
        <f t="shared" si="15"/>
        <v>315786900</v>
      </c>
      <c r="S176" s="112">
        <v>0</v>
      </c>
    </row>
    <row r="177" spans="1:19" ht="45">
      <c r="A177" s="88"/>
      <c r="B177" s="87" t="s">
        <v>1999</v>
      </c>
      <c r="C177" s="88" t="s">
        <v>7</v>
      </c>
      <c r="D177" s="147">
        <v>7</v>
      </c>
      <c r="E177" s="87"/>
      <c r="F177" s="113">
        <f t="shared" si="12"/>
        <v>7</v>
      </c>
      <c r="G177" s="112" t="s">
        <v>3880</v>
      </c>
      <c r="H177" s="120" t="s">
        <v>3189</v>
      </c>
      <c r="I177" s="120" t="s">
        <v>3768</v>
      </c>
      <c r="J177" s="120" t="s">
        <v>772</v>
      </c>
      <c r="K177" s="112">
        <v>4115900</v>
      </c>
      <c r="L177" s="113"/>
      <c r="M177" s="113">
        <v>950300</v>
      </c>
      <c r="N177" s="113"/>
      <c r="O177" s="113"/>
      <c r="P177" s="299">
        <f t="shared" si="13"/>
        <v>5066200</v>
      </c>
      <c r="Q177" s="299">
        <f t="shared" si="14"/>
        <v>35463400</v>
      </c>
      <c r="R177" s="299">
        <f t="shared" si="15"/>
        <v>35463400</v>
      </c>
      <c r="S177" s="112">
        <v>0</v>
      </c>
    </row>
    <row r="178" spans="1:19">
      <c r="A178" s="90">
        <v>2.15</v>
      </c>
      <c r="B178" s="91" t="s">
        <v>2000</v>
      </c>
      <c r="C178" s="90"/>
      <c r="D178" s="258"/>
      <c r="E178" s="91"/>
      <c r="F178" s="113">
        <f t="shared" si="12"/>
        <v>0</v>
      </c>
      <c r="G178" s="112">
        <v>0</v>
      </c>
      <c r="H178" s="120">
        <v>0</v>
      </c>
      <c r="I178" s="120">
        <v>0</v>
      </c>
      <c r="J178" s="120">
        <v>0</v>
      </c>
      <c r="K178" s="112">
        <v>0</v>
      </c>
      <c r="L178" s="113"/>
      <c r="M178" s="113">
        <v>0</v>
      </c>
      <c r="N178" s="113"/>
      <c r="O178" s="113"/>
      <c r="P178" s="299">
        <f t="shared" si="13"/>
        <v>0</v>
      </c>
      <c r="Q178" s="299">
        <f t="shared" si="14"/>
        <v>0</v>
      </c>
      <c r="R178" s="299">
        <f t="shared" si="15"/>
        <v>0</v>
      </c>
      <c r="S178" s="112">
        <v>0</v>
      </c>
    </row>
    <row r="179" spans="1:19" ht="60">
      <c r="A179" s="88"/>
      <c r="B179" s="87" t="s">
        <v>1998</v>
      </c>
      <c r="C179" s="88" t="s">
        <v>1877</v>
      </c>
      <c r="D179" s="147">
        <v>7</v>
      </c>
      <c r="E179" s="87"/>
      <c r="F179" s="113">
        <f t="shared" si="12"/>
        <v>7</v>
      </c>
      <c r="G179" s="112" t="s">
        <v>3881</v>
      </c>
      <c r="H179" s="120" t="s">
        <v>3189</v>
      </c>
      <c r="I179" s="120" t="s">
        <v>3768</v>
      </c>
      <c r="J179" s="120" t="s">
        <v>772</v>
      </c>
      <c r="K179" s="112">
        <v>15409900</v>
      </c>
      <c r="L179" s="113"/>
      <c r="M179" s="113">
        <v>1161500</v>
      </c>
      <c r="N179" s="113"/>
      <c r="O179" s="113"/>
      <c r="P179" s="299">
        <f t="shared" si="13"/>
        <v>16571400</v>
      </c>
      <c r="Q179" s="299">
        <f t="shared" si="14"/>
        <v>115999800</v>
      </c>
      <c r="R179" s="299">
        <f t="shared" si="15"/>
        <v>115999800</v>
      </c>
      <c r="S179" s="112">
        <v>0</v>
      </c>
    </row>
    <row r="180" spans="1:19" ht="60">
      <c r="A180" s="88"/>
      <c r="B180" s="87" t="s">
        <v>1999</v>
      </c>
      <c r="C180" s="88" t="s">
        <v>1877</v>
      </c>
      <c r="D180" s="147">
        <v>2</v>
      </c>
      <c r="E180" s="87"/>
      <c r="F180" s="113">
        <f t="shared" si="12"/>
        <v>2</v>
      </c>
      <c r="G180" s="112" t="s">
        <v>3882</v>
      </c>
      <c r="H180" s="120" t="s">
        <v>3189</v>
      </c>
      <c r="I180" s="120" t="s">
        <v>3768</v>
      </c>
      <c r="J180" s="120" t="s">
        <v>772</v>
      </c>
      <c r="K180" s="112">
        <v>11049400</v>
      </c>
      <c r="L180" s="113"/>
      <c r="M180" s="113">
        <v>760300</v>
      </c>
      <c r="N180" s="113"/>
      <c r="O180" s="113"/>
      <c r="P180" s="299">
        <f t="shared" si="13"/>
        <v>11809700</v>
      </c>
      <c r="Q180" s="299">
        <f t="shared" si="14"/>
        <v>23619400</v>
      </c>
      <c r="R180" s="299">
        <f t="shared" si="15"/>
        <v>23619400</v>
      </c>
      <c r="S180" s="112">
        <v>0</v>
      </c>
    </row>
    <row r="181" spans="1:19" ht="60">
      <c r="A181" s="88"/>
      <c r="B181" s="87" t="s">
        <v>2001</v>
      </c>
      <c r="C181" s="88" t="s">
        <v>1877</v>
      </c>
      <c r="D181" s="147">
        <v>9</v>
      </c>
      <c r="E181" s="87"/>
      <c r="F181" s="113">
        <f t="shared" si="12"/>
        <v>9</v>
      </c>
      <c r="G181" s="112" t="s">
        <v>3883</v>
      </c>
      <c r="H181" s="120" t="s">
        <v>3193</v>
      </c>
      <c r="I181" s="120" t="s">
        <v>3768</v>
      </c>
      <c r="J181" s="120" t="s">
        <v>772</v>
      </c>
      <c r="K181" s="112">
        <v>7659200</v>
      </c>
      <c r="L181" s="113"/>
      <c r="M181" s="113">
        <v>654700</v>
      </c>
      <c r="N181" s="113"/>
      <c r="O181" s="113"/>
      <c r="P181" s="299">
        <f t="shared" si="13"/>
        <v>8313900</v>
      </c>
      <c r="Q181" s="299">
        <f t="shared" si="14"/>
        <v>74825100</v>
      </c>
      <c r="R181" s="299">
        <f t="shared" si="15"/>
        <v>74825100</v>
      </c>
      <c r="S181" s="112">
        <v>0</v>
      </c>
    </row>
    <row r="182" spans="1:19" ht="60">
      <c r="A182" s="88"/>
      <c r="B182" s="87" t="s">
        <v>1997</v>
      </c>
      <c r="C182" s="88" t="s">
        <v>1877</v>
      </c>
      <c r="D182" s="147">
        <v>1</v>
      </c>
      <c r="E182" s="87"/>
      <c r="F182" s="113">
        <f t="shared" si="12"/>
        <v>1</v>
      </c>
      <c r="G182" s="112" t="s">
        <v>3884</v>
      </c>
      <c r="H182" s="120" t="s">
        <v>3193</v>
      </c>
      <c r="I182" s="120" t="s">
        <v>3768</v>
      </c>
      <c r="J182" s="120" t="s">
        <v>772</v>
      </c>
      <c r="K182" s="112">
        <v>4289000</v>
      </c>
      <c r="L182" s="113"/>
      <c r="M182" s="113">
        <v>485700</v>
      </c>
      <c r="N182" s="113"/>
      <c r="O182" s="113"/>
      <c r="P182" s="299">
        <f t="shared" si="13"/>
        <v>4774700</v>
      </c>
      <c r="Q182" s="299">
        <f t="shared" si="14"/>
        <v>4774700</v>
      </c>
      <c r="R182" s="299">
        <f t="shared" si="15"/>
        <v>4774700</v>
      </c>
      <c r="S182" s="112">
        <v>0</v>
      </c>
    </row>
    <row r="183" spans="1:19">
      <c r="A183" s="90">
        <v>2.16</v>
      </c>
      <c r="B183" s="91" t="s">
        <v>2002</v>
      </c>
      <c r="C183" s="90"/>
      <c r="D183" s="258"/>
      <c r="E183" s="91"/>
      <c r="F183" s="113">
        <f t="shared" si="12"/>
        <v>0</v>
      </c>
      <c r="G183" s="112">
        <v>0</v>
      </c>
      <c r="H183" s="120">
        <v>0</v>
      </c>
      <c r="I183" s="120">
        <v>0</v>
      </c>
      <c r="J183" s="120">
        <v>0</v>
      </c>
      <c r="K183" s="112">
        <v>0</v>
      </c>
      <c r="L183" s="113"/>
      <c r="M183" s="113">
        <v>0</v>
      </c>
      <c r="N183" s="113"/>
      <c r="O183" s="113"/>
      <c r="P183" s="299">
        <f t="shared" si="13"/>
        <v>0</v>
      </c>
      <c r="Q183" s="299">
        <f t="shared" si="14"/>
        <v>0</v>
      </c>
      <c r="R183" s="299">
        <f t="shared" si="15"/>
        <v>0</v>
      </c>
      <c r="S183" s="112">
        <v>0</v>
      </c>
    </row>
    <row r="184" spans="1:19" ht="60">
      <c r="A184" s="88"/>
      <c r="B184" s="87" t="s">
        <v>2003</v>
      </c>
      <c r="C184" s="88" t="s">
        <v>1877</v>
      </c>
      <c r="D184" s="147">
        <v>4</v>
      </c>
      <c r="E184" s="87"/>
      <c r="F184" s="113">
        <f t="shared" si="12"/>
        <v>4</v>
      </c>
      <c r="G184" s="112" t="s">
        <v>3885</v>
      </c>
      <c r="H184" s="120" t="s">
        <v>3193</v>
      </c>
      <c r="I184" s="120" t="s">
        <v>3768</v>
      </c>
      <c r="J184" s="120" t="s">
        <v>772</v>
      </c>
      <c r="K184" s="112">
        <v>2927000</v>
      </c>
      <c r="L184" s="113"/>
      <c r="M184" s="113">
        <v>550100</v>
      </c>
      <c r="N184" s="113"/>
      <c r="O184" s="113"/>
      <c r="P184" s="299">
        <f t="shared" si="13"/>
        <v>3477100</v>
      </c>
      <c r="Q184" s="299">
        <f t="shared" si="14"/>
        <v>13908400</v>
      </c>
      <c r="R184" s="299">
        <f t="shared" si="15"/>
        <v>13908400</v>
      </c>
      <c r="S184" s="112">
        <v>0</v>
      </c>
    </row>
    <row r="185" spans="1:19">
      <c r="A185" s="90">
        <v>2.17</v>
      </c>
      <c r="B185" s="91" t="s">
        <v>2004</v>
      </c>
      <c r="C185" s="90"/>
      <c r="D185" s="258"/>
      <c r="E185" s="91"/>
      <c r="F185" s="113">
        <f t="shared" si="12"/>
        <v>0</v>
      </c>
      <c r="G185" s="112">
        <v>0</v>
      </c>
      <c r="H185" s="120">
        <v>0</v>
      </c>
      <c r="I185" s="120">
        <v>0</v>
      </c>
      <c r="J185" s="120">
        <v>0</v>
      </c>
      <c r="K185" s="112">
        <v>0</v>
      </c>
      <c r="L185" s="113"/>
      <c r="M185" s="113">
        <v>0</v>
      </c>
      <c r="N185" s="113"/>
      <c r="O185" s="113"/>
      <c r="P185" s="299">
        <f t="shared" si="13"/>
        <v>0</v>
      </c>
      <c r="Q185" s="299">
        <f t="shared" si="14"/>
        <v>0</v>
      </c>
      <c r="R185" s="299">
        <f t="shared" si="15"/>
        <v>0</v>
      </c>
      <c r="S185" s="112">
        <v>0</v>
      </c>
    </row>
    <row r="186" spans="1:19" ht="30">
      <c r="A186" s="88"/>
      <c r="B186" s="87" t="s">
        <v>2001</v>
      </c>
      <c r="C186" s="88" t="s">
        <v>1877</v>
      </c>
      <c r="D186" s="147">
        <v>2</v>
      </c>
      <c r="E186" s="87"/>
      <c r="F186" s="113">
        <f t="shared" si="12"/>
        <v>2</v>
      </c>
      <c r="G186" s="112" t="s">
        <v>3720</v>
      </c>
      <c r="H186" s="120" t="s">
        <v>3721</v>
      </c>
      <c r="I186" s="120" t="s">
        <v>3190</v>
      </c>
      <c r="J186" s="120" t="s">
        <v>772</v>
      </c>
      <c r="K186" s="112">
        <v>1777800</v>
      </c>
      <c r="L186" s="113"/>
      <c r="M186" s="113">
        <v>606400</v>
      </c>
      <c r="N186" s="113"/>
      <c r="O186" s="113"/>
      <c r="P186" s="299">
        <f t="shared" si="13"/>
        <v>2384200</v>
      </c>
      <c r="Q186" s="299">
        <f t="shared" si="14"/>
        <v>4768400</v>
      </c>
      <c r="R186" s="299">
        <f t="shared" si="15"/>
        <v>4768400</v>
      </c>
      <c r="S186" s="112">
        <v>0</v>
      </c>
    </row>
    <row r="187" spans="1:19">
      <c r="A187" s="90">
        <v>2.1800000000000002</v>
      </c>
      <c r="B187" s="91" t="s">
        <v>2005</v>
      </c>
      <c r="C187" s="90"/>
      <c r="D187" s="258"/>
      <c r="E187" s="91"/>
      <c r="F187" s="113">
        <f t="shared" si="12"/>
        <v>0</v>
      </c>
      <c r="G187" s="112">
        <v>0</v>
      </c>
      <c r="H187" s="120">
        <v>0</v>
      </c>
      <c r="I187" s="120">
        <v>0</v>
      </c>
      <c r="J187" s="120">
        <v>0</v>
      </c>
      <c r="K187" s="112">
        <v>0</v>
      </c>
      <c r="L187" s="113"/>
      <c r="M187" s="113">
        <v>0</v>
      </c>
      <c r="N187" s="113"/>
      <c r="O187" s="113"/>
      <c r="P187" s="299">
        <f t="shared" si="13"/>
        <v>0</v>
      </c>
      <c r="Q187" s="299">
        <f t="shared" si="14"/>
        <v>0</v>
      </c>
      <c r="R187" s="299">
        <f t="shared" si="15"/>
        <v>0</v>
      </c>
      <c r="S187" s="112">
        <v>0</v>
      </c>
    </row>
    <row r="188" spans="1:19" ht="60">
      <c r="A188" s="88"/>
      <c r="B188" s="87" t="s">
        <v>2006</v>
      </c>
      <c r="C188" s="88" t="s">
        <v>1877</v>
      </c>
      <c r="D188" s="147">
        <v>1</v>
      </c>
      <c r="E188" s="87"/>
      <c r="F188" s="113">
        <f t="shared" si="12"/>
        <v>1</v>
      </c>
      <c r="G188" s="112" t="s">
        <v>3886</v>
      </c>
      <c r="H188" s="120" t="s">
        <v>3193</v>
      </c>
      <c r="I188" s="120" t="s">
        <v>3768</v>
      </c>
      <c r="J188" s="120" t="s">
        <v>772</v>
      </c>
      <c r="K188" s="112">
        <v>5943800</v>
      </c>
      <c r="L188" s="113"/>
      <c r="M188" s="113">
        <v>1444500</v>
      </c>
      <c r="N188" s="113"/>
      <c r="O188" s="113"/>
      <c r="P188" s="299">
        <f t="shared" si="13"/>
        <v>7388300</v>
      </c>
      <c r="Q188" s="299">
        <f t="shared" si="14"/>
        <v>7388300</v>
      </c>
      <c r="R188" s="299">
        <f t="shared" si="15"/>
        <v>7388300</v>
      </c>
      <c r="S188" s="112">
        <v>0</v>
      </c>
    </row>
    <row r="189" spans="1:19" ht="28.5">
      <c r="A189" s="90">
        <v>2.19</v>
      </c>
      <c r="B189" s="91" t="s">
        <v>2007</v>
      </c>
      <c r="C189" s="90"/>
      <c r="D189" s="258"/>
      <c r="E189" s="91"/>
      <c r="F189" s="113">
        <f t="shared" si="12"/>
        <v>0</v>
      </c>
      <c r="G189" s="112">
        <v>0</v>
      </c>
      <c r="H189" s="120">
        <v>0</v>
      </c>
      <c r="I189" s="120">
        <v>0</v>
      </c>
      <c r="J189" s="120">
        <v>0</v>
      </c>
      <c r="K189" s="112">
        <v>0</v>
      </c>
      <c r="L189" s="113"/>
      <c r="M189" s="113">
        <v>0</v>
      </c>
      <c r="N189" s="113"/>
      <c r="O189" s="113"/>
      <c r="P189" s="299">
        <f t="shared" si="13"/>
        <v>0</v>
      </c>
      <c r="Q189" s="299">
        <f t="shared" si="14"/>
        <v>0</v>
      </c>
      <c r="R189" s="299">
        <f t="shared" si="15"/>
        <v>0</v>
      </c>
      <c r="S189" s="112">
        <v>0</v>
      </c>
    </row>
    <row r="190" spans="1:19" ht="90">
      <c r="A190" s="88"/>
      <c r="B190" s="87" t="s">
        <v>1936</v>
      </c>
      <c r="C190" s="88" t="s">
        <v>1877</v>
      </c>
      <c r="D190" s="147">
        <v>4</v>
      </c>
      <c r="E190" s="87"/>
      <c r="F190" s="113">
        <f t="shared" si="12"/>
        <v>4</v>
      </c>
      <c r="G190" s="112" t="s">
        <v>3718</v>
      </c>
      <c r="H190" s="120" t="s">
        <v>3719</v>
      </c>
      <c r="I190" s="120" t="s">
        <v>3190</v>
      </c>
      <c r="J190" s="120" t="s">
        <v>772</v>
      </c>
      <c r="K190" s="112">
        <v>29804300</v>
      </c>
      <c r="L190" s="113"/>
      <c r="M190" s="113">
        <v>561300</v>
      </c>
      <c r="N190" s="113"/>
      <c r="O190" s="113"/>
      <c r="P190" s="299">
        <f t="shared" si="13"/>
        <v>30365600</v>
      </c>
      <c r="Q190" s="299">
        <f t="shared" si="14"/>
        <v>121462400</v>
      </c>
      <c r="R190" s="299">
        <f t="shared" si="15"/>
        <v>121462400</v>
      </c>
      <c r="S190" s="112" t="s">
        <v>3751</v>
      </c>
    </row>
    <row r="191" spans="1:19">
      <c r="A191" s="255" t="s">
        <v>2008</v>
      </c>
      <c r="B191" s="256" t="s">
        <v>2009</v>
      </c>
      <c r="C191" s="255"/>
      <c r="D191" s="164"/>
      <c r="E191" s="255"/>
      <c r="F191" s="267"/>
      <c r="G191" s="461"/>
      <c r="H191" s="530"/>
      <c r="I191" s="530"/>
      <c r="J191" s="530"/>
      <c r="K191" s="267"/>
      <c r="L191" s="267"/>
      <c r="M191" s="267"/>
      <c r="N191" s="267"/>
      <c r="O191" s="267"/>
      <c r="P191" s="267"/>
      <c r="Q191" s="267"/>
      <c r="R191" s="267"/>
      <c r="S191" s="267"/>
    </row>
    <row r="192" spans="1:19">
      <c r="A192" s="79">
        <v>3.1</v>
      </c>
      <c r="B192" s="257" t="s">
        <v>1995</v>
      </c>
      <c r="C192" s="79"/>
      <c r="D192" s="143"/>
      <c r="E192" s="79"/>
      <c r="F192" s="113">
        <f t="shared" ref="F192:F246" si="16">D192</f>
        <v>0</v>
      </c>
      <c r="G192" s="112">
        <v>0</v>
      </c>
      <c r="H192" s="120">
        <v>0</v>
      </c>
      <c r="I192" s="120">
        <v>0</v>
      </c>
      <c r="J192" s="120">
        <v>0</v>
      </c>
      <c r="K192" s="112">
        <v>0</v>
      </c>
      <c r="L192" s="113"/>
      <c r="M192" s="113">
        <v>0</v>
      </c>
      <c r="N192" s="113"/>
      <c r="O192" s="113"/>
      <c r="P192" s="299">
        <f t="shared" ref="P192:P246" si="17">K192+L192+M192+N192+O192</f>
        <v>0</v>
      </c>
      <c r="Q192" s="299">
        <f t="shared" ref="Q192:Q246" si="18">+P192*D192</f>
        <v>0</v>
      </c>
      <c r="R192" s="299">
        <f t="shared" ref="R192:R246" si="19">+P192*F192</f>
        <v>0</v>
      </c>
      <c r="S192" s="112">
        <v>0</v>
      </c>
    </row>
    <row r="193" spans="1:19" ht="45">
      <c r="A193" s="76"/>
      <c r="B193" s="77" t="s">
        <v>2010</v>
      </c>
      <c r="C193" s="76" t="s">
        <v>1861</v>
      </c>
      <c r="D193" s="147">
        <v>110</v>
      </c>
      <c r="E193" s="79"/>
      <c r="F193" s="113">
        <f t="shared" si="16"/>
        <v>110</v>
      </c>
      <c r="G193" s="112" t="s">
        <v>3887</v>
      </c>
      <c r="H193" s="120" t="s">
        <v>3193</v>
      </c>
      <c r="I193" s="120" t="s">
        <v>3768</v>
      </c>
      <c r="J193" s="120" t="s">
        <v>772</v>
      </c>
      <c r="K193" s="112">
        <v>3427500</v>
      </c>
      <c r="L193" s="113"/>
      <c r="M193" s="113">
        <v>844700</v>
      </c>
      <c r="N193" s="113"/>
      <c r="O193" s="113"/>
      <c r="P193" s="299">
        <f t="shared" si="17"/>
        <v>4272200</v>
      </c>
      <c r="Q193" s="299">
        <f t="shared" si="18"/>
        <v>469942000</v>
      </c>
      <c r="R193" s="299">
        <f t="shared" si="19"/>
        <v>469942000</v>
      </c>
      <c r="S193" s="112">
        <v>0</v>
      </c>
    </row>
    <row r="194" spans="1:19">
      <c r="A194" s="79">
        <v>3.2</v>
      </c>
      <c r="B194" s="257" t="s">
        <v>2011</v>
      </c>
      <c r="C194" s="79"/>
      <c r="D194" s="143"/>
      <c r="E194" s="79"/>
      <c r="F194" s="113">
        <f t="shared" si="16"/>
        <v>0</v>
      </c>
      <c r="G194" s="112">
        <v>0</v>
      </c>
      <c r="H194" s="120">
        <v>0</v>
      </c>
      <c r="I194" s="120">
        <v>0</v>
      </c>
      <c r="J194" s="120">
        <v>0</v>
      </c>
      <c r="K194" s="112">
        <v>0</v>
      </c>
      <c r="L194" s="113"/>
      <c r="M194" s="113">
        <v>0</v>
      </c>
      <c r="N194" s="113"/>
      <c r="O194" s="113"/>
      <c r="P194" s="299">
        <f t="shared" si="17"/>
        <v>0</v>
      </c>
      <c r="Q194" s="299">
        <f t="shared" si="18"/>
        <v>0</v>
      </c>
      <c r="R194" s="299">
        <f t="shared" si="19"/>
        <v>0</v>
      </c>
      <c r="S194" s="112">
        <v>0</v>
      </c>
    </row>
    <row r="195" spans="1:19" ht="45">
      <c r="A195" s="79"/>
      <c r="B195" s="77" t="s">
        <v>2012</v>
      </c>
      <c r="C195" s="76" t="s">
        <v>1861</v>
      </c>
      <c r="D195" s="143">
        <v>2</v>
      </c>
      <c r="E195" s="79"/>
      <c r="F195" s="113">
        <f t="shared" si="16"/>
        <v>2</v>
      </c>
      <c r="G195" s="112" t="s">
        <v>3888</v>
      </c>
      <c r="H195" s="120" t="s">
        <v>3193</v>
      </c>
      <c r="I195" s="120" t="s">
        <v>3768</v>
      </c>
      <c r="J195" s="120" t="s">
        <v>772</v>
      </c>
      <c r="K195" s="112">
        <v>1177600</v>
      </c>
      <c r="L195" s="113"/>
      <c r="M195" s="113">
        <v>467100</v>
      </c>
      <c r="N195" s="113"/>
      <c r="O195" s="113"/>
      <c r="P195" s="299">
        <f t="shared" si="17"/>
        <v>1644700</v>
      </c>
      <c r="Q195" s="299">
        <f t="shared" si="18"/>
        <v>3289400</v>
      </c>
      <c r="R195" s="299">
        <f t="shared" si="19"/>
        <v>3289400</v>
      </c>
      <c r="S195" s="112">
        <v>0</v>
      </c>
    </row>
    <row r="196" spans="1:19" ht="45">
      <c r="A196" s="76"/>
      <c r="B196" s="77" t="s">
        <v>2013</v>
      </c>
      <c r="C196" s="76" t="s">
        <v>1861</v>
      </c>
      <c r="D196" s="143">
        <v>1314</v>
      </c>
      <c r="E196" s="79"/>
      <c r="F196" s="113">
        <f t="shared" si="16"/>
        <v>1314</v>
      </c>
      <c r="G196" s="112" t="s">
        <v>3889</v>
      </c>
      <c r="H196" s="120" t="s">
        <v>3193</v>
      </c>
      <c r="I196" s="120" t="s">
        <v>3768</v>
      </c>
      <c r="J196" s="120" t="s">
        <v>772</v>
      </c>
      <c r="K196" s="112">
        <v>1239600</v>
      </c>
      <c r="L196" s="113"/>
      <c r="M196" s="113">
        <v>491700</v>
      </c>
      <c r="N196" s="113"/>
      <c r="O196" s="113"/>
      <c r="P196" s="299">
        <f t="shared" si="17"/>
        <v>1731300</v>
      </c>
      <c r="Q196" s="299">
        <f t="shared" si="18"/>
        <v>2274928200</v>
      </c>
      <c r="R196" s="299">
        <f t="shared" si="19"/>
        <v>2274928200</v>
      </c>
      <c r="S196" s="112">
        <v>0</v>
      </c>
    </row>
    <row r="197" spans="1:19" ht="45">
      <c r="A197" s="76"/>
      <c r="B197" s="77" t="s">
        <v>2014</v>
      </c>
      <c r="C197" s="76" t="s">
        <v>1861</v>
      </c>
      <c r="D197" s="147">
        <v>25</v>
      </c>
      <c r="E197" s="79"/>
      <c r="F197" s="113">
        <f t="shared" si="16"/>
        <v>25</v>
      </c>
      <c r="G197" s="112" t="s">
        <v>3890</v>
      </c>
      <c r="H197" s="120" t="s">
        <v>3193</v>
      </c>
      <c r="I197" s="120" t="s">
        <v>3768</v>
      </c>
      <c r="J197" s="120" t="s">
        <v>772</v>
      </c>
      <c r="K197" s="112">
        <v>1673500</v>
      </c>
      <c r="L197" s="113"/>
      <c r="M197" s="113">
        <v>663800</v>
      </c>
      <c r="N197" s="113"/>
      <c r="O197" s="113"/>
      <c r="P197" s="299">
        <f t="shared" si="17"/>
        <v>2337300</v>
      </c>
      <c r="Q197" s="299">
        <f t="shared" si="18"/>
        <v>58432500</v>
      </c>
      <c r="R197" s="299">
        <f t="shared" si="19"/>
        <v>58432500</v>
      </c>
      <c r="S197" s="112">
        <v>0</v>
      </c>
    </row>
    <row r="198" spans="1:19" ht="45">
      <c r="A198" s="76"/>
      <c r="B198" s="77" t="s">
        <v>2015</v>
      </c>
      <c r="C198" s="76" t="s">
        <v>1861</v>
      </c>
      <c r="D198" s="147">
        <v>25</v>
      </c>
      <c r="E198" s="79"/>
      <c r="F198" s="113">
        <f t="shared" si="16"/>
        <v>25</v>
      </c>
      <c r="G198" s="112" t="s">
        <v>3891</v>
      </c>
      <c r="H198" s="120" t="s">
        <v>3193</v>
      </c>
      <c r="I198" s="120" t="s">
        <v>3768</v>
      </c>
      <c r="J198" s="120" t="s">
        <v>772</v>
      </c>
      <c r="K198" s="112">
        <v>1673500</v>
      </c>
      <c r="L198" s="113"/>
      <c r="M198" s="113">
        <v>663800</v>
      </c>
      <c r="N198" s="113"/>
      <c r="O198" s="113"/>
      <c r="P198" s="299">
        <f t="shared" si="17"/>
        <v>2337300</v>
      </c>
      <c r="Q198" s="299">
        <f t="shared" si="18"/>
        <v>58432500</v>
      </c>
      <c r="R198" s="299">
        <f t="shared" si="19"/>
        <v>58432500</v>
      </c>
      <c r="S198" s="112">
        <v>0</v>
      </c>
    </row>
    <row r="199" spans="1:19" ht="45">
      <c r="A199" s="76"/>
      <c r="B199" s="77" t="s">
        <v>2016</v>
      </c>
      <c r="C199" s="76" t="s">
        <v>1861</v>
      </c>
      <c r="D199" s="147">
        <v>6</v>
      </c>
      <c r="E199" s="79"/>
      <c r="F199" s="113">
        <f t="shared" si="16"/>
        <v>6</v>
      </c>
      <c r="G199" s="112" t="s">
        <v>3892</v>
      </c>
      <c r="H199" s="120" t="s">
        <v>3193</v>
      </c>
      <c r="I199" s="120" t="s">
        <v>3768</v>
      </c>
      <c r="J199" s="120" t="s">
        <v>772</v>
      </c>
      <c r="K199" s="112">
        <v>1735500</v>
      </c>
      <c r="L199" s="113"/>
      <c r="M199" s="113">
        <v>688400</v>
      </c>
      <c r="N199" s="113"/>
      <c r="O199" s="113"/>
      <c r="P199" s="299">
        <f t="shared" si="17"/>
        <v>2423900</v>
      </c>
      <c r="Q199" s="299">
        <f t="shared" si="18"/>
        <v>14543400</v>
      </c>
      <c r="R199" s="299">
        <f t="shared" si="19"/>
        <v>14543400</v>
      </c>
      <c r="S199" s="112">
        <v>0</v>
      </c>
    </row>
    <row r="200" spans="1:19" ht="45">
      <c r="A200" s="76"/>
      <c r="B200" s="77" t="s">
        <v>2017</v>
      </c>
      <c r="C200" s="76" t="s">
        <v>1861</v>
      </c>
      <c r="D200" s="147">
        <v>63</v>
      </c>
      <c r="E200" s="79"/>
      <c r="F200" s="113">
        <f t="shared" si="16"/>
        <v>63</v>
      </c>
      <c r="G200" s="112" t="s">
        <v>3893</v>
      </c>
      <c r="H200" s="120" t="s">
        <v>3193</v>
      </c>
      <c r="I200" s="120" t="s">
        <v>3768</v>
      </c>
      <c r="J200" s="120" t="s">
        <v>772</v>
      </c>
      <c r="K200" s="112">
        <v>1921400</v>
      </c>
      <c r="L200" s="113"/>
      <c r="M200" s="113">
        <v>762100</v>
      </c>
      <c r="N200" s="113"/>
      <c r="O200" s="113"/>
      <c r="P200" s="299">
        <f t="shared" si="17"/>
        <v>2683500</v>
      </c>
      <c r="Q200" s="299">
        <f t="shared" si="18"/>
        <v>169060500</v>
      </c>
      <c r="R200" s="299">
        <f t="shared" si="19"/>
        <v>169060500</v>
      </c>
      <c r="S200" s="112">
        <v>0</v>
      </c>
    </row>
    <row r="201" spans="1:19" ht="45">
      <c r="A201" s="76"/>
      <c r="B201" s="77" t="s">
        <v>2018</v>
      </c>
      <c r="C201" s="76" t="s">
        <v>1861</v>
      </c>
      <c r="D201" s="143">
        <v>82</v>
      </c>
      <c r="E201" s="79"/>
      <c r="F201" s="113">
        <f t="shared" si="16"/>
        <v>82</v>
      </c>
      <c r="G201" s="112" t="s">
        <v>3894</v>
      </c>
      <c r="H201" s="120" t="s">
        <v>3193</v>
      </c>
      <c r="I201" s="120" t="s">
        <v>3768</v>
      </c>
      <c r="J201" s="120" t="s">
        <v>772</v>
      </c>
      <c r="K201" s="112">
        <v>1425500</v>
      </c>
      <c r="L201" s="113"/>
      <c r="M201" s="113">
        <v>565500</v>
      </c>
      <c r="N201" s="113"/>
      <c r="O201" s="113"/>
      <c r="P201" s="299">
        <f t="shared" si="17"/>
        <v>1991000</v>
      </c>
      <c r="Q201" s="299">
        <f t="shared" si="18"/>
        <v>163262000</v>
      </c>
      <c r="R201" s="299">
        <f t="shared" si="19"/>
        <v>163262000</v>
      </c>
      <c r="S201" s="112">
        <v>0</v>
      </c>
    </row>
    <row r="202" spans="1:19" ht="45">
      <c r="A202" s="76"/>
      <c r="B202" s="77" t="s">
        <v>2019</v>
      </c>
      <c r="C202" s="76" t="s">
        <v>1861</v>
      </c>
      <c r="D202" s="147">
        <v>29</v>
      </c>
      <c r="E202" s="79"/>
      <c r="F202" s="113">
        <f t="shared" si="16"/>
        <v>29</v>
      </c>
      <c r="G202" s="112" t="s">
        <v>3895</v>
      </c>
      <c r="H202" s="120" t="s">
        <v>3193</v>
      </c>
      <c r="I202" s="120" t="s">
        <v>3768</v>
      </c>
      <c r="J202" s="120" t="s">
        <v>772</v>
      </c>
      <c r="K202" s="112">
        <v>1487500</v>
      </c>
      <c r="L202" s="113"/>
      <c r="M202" s="113">
        <v>590000</v>
      </c>
      <c r="N202" s="113"/>
      <c r="O202" s="113"/>
      <c r="P202" s="299">
        <f t="shared" si="17"/>
        <v>2077500</v>
      </c>
      <c r="Q202" s="299">
        <f t="shared" si="18"/>
        <v>60247500</v>
      </c>
      <c r="R202" s="299">
        <f t="shared" si="19"/>
        <v>60247500</v>
      </c>
      <c r="S202" s="112">
        <v>0</v>
      </c>
    </row>
    <row r="203" spans="1:19" ht="45">
      <c r="A203" s="76"/>
      <c r="B203" s="77" t="s">
        <v>2020</v>
      </c>
      <c r="C203" s="76" t="s">
        <v>1861</v>
      </c>
      <c r="D203" s="147">
        <v>2</v>
      </c>
      <c r="E203" s="79"/>
      <c r="F203" s="113">
        <f t="shared" si="16"/>
        <v>2</v>
      </c>
      <c r="G203" s="112" t="s">
        <v>3896</v>
      </c>
      <c r="H203" s="120" t="s">
        <v>3193</v>
      </c>
      <c r="I203" s="120" t="s">
        <v>3768</v>
      </c>
      <c r="J203" s="120" t="s">
        <v>772</v>
      </c>
      <c r="K203" s="112">
        <v>1983400</v>
      </c>
      <c r="L203" s="113"/>
      <c r="M203" s="113">
        <v>786700</v>
      </c>
      <c r="N203" s="113"/>
      <c r="O203" s="113"/>
      <c r="P203" s="299">
        <f t="shared" si="17"/>
        <v>2770100</v>
      </c>
      <c r="Q203" s="299">
        <f t="shared" si="18"/>
        <v>5540200</v>
      </c>
      <c r="R203" s="299">
        <f t="shared" si="19"/>
        <v>5540200</v>
      </c>
      <c r="S203" s="112">
        <v>0</v>
      </c>
    </row>
    <row r="204" spans="1:19" ht="45">
      <c r="A204" s="76"/>
      <c r="B204" s="77" t="s">
        <v>1915</v>
      </c>
      <c r="C204" s="76" t="s">
        <v>1861</v>
      </c>
      <c r="D204" s="147">
        <v>2</v>
      </c>
      <c r="E204" s="79"/>
      <c r="F204" s="113">
        <f t="shared" si="16"/>
        <v>2</v>
      </c>
      <c r="G204" s="112" t="s">
        <v>3897</v>
      </c>
      <c r="H204" s="120" t="s">
        <v>3193</v>
      </c>
      <c r="I204" s="120" t="s">
        <v>3768</v>
      </c>
      <c r="J204" s="120" t="s">
        <v>772</v>
      </c>
      <c r="K204" s="112">
        <v>2107300</v>
      </c>
      <c r="L204" s="113"/>
      <c r="M204" s="113">
        <v>835900</v>
      </c>
      <c r="N204" s="113"/>
      <c r="O204" s="113"/>
      <c r="P204" s="299">
        <f t="shared" si="17"/>
        <v>2943200</v>
      </c>
      <c r="Q204" s="299">
        <f t="shared" si="18"/>
        <v>5886400</v>
      </c>
      <c r="R204" s="299">
        <f t="shared" si="19"/>
        <v>5886400</v>
      </c>
      <c r="S204" s="112">
        <v>0</v>
      </c>
    </row>
    <row r="205" spans="1:19" ht="45">
      <c r="A205" s="76"/>
      <c r="B205" s="77" t="s">
        <v>2021</v>
      </c>
      <c r="C205" s="76" t="s">
        <v>1861</v>
      </c>
      <c r="D205" s="147">
        <v>7</v>
      </c>
      <c r="E205" s="79"/>
      <c r="F205" s="113">
        <f t="shared" si="16"/>
        <v>7</v>
      </c>
      <c r="G205" s="112" t="s">
        <v>3898</v>
      </c>
      <c r="H205" s="120" t="s">
        <v>3193</v>
      </c>
      <c r="I205" s="120" t="s">
        <v>3768</v>
      </c>
      <c r="J205" s="120" t="s">
        <v>772</v>
      </c>
      <c r="K205" s="112">
        <v>2169300</v>
      </c>
      <c r="L205" s="113"/>
      <c r="M205" s="113">
        <v>860500</v>
      </c>
      <c r="N205" s="113"/>
      <c r="O205" s="113"/>
      <c r="P205" s="299">
        <f t="shared" si="17"/>
        <v>3029800</v>
      </c>
      <c r="Q205" s="299">
        <f t="shared" si="18"/>
        <v>21208600</v>
      </c>
      <c r="R205" s="299">
        <f t="shared" si="19"/>
        <v>21208600</v>
      </c>
      <c r="S205" s="112">
        <v>0</v>
      </c>
    </row>
    <row r="206" spans="1:19" ht="45">
      <c r="A206" s="88"/>
      <c r="B206" s="87" t="s">
        <v>2022</v>
      </c>
      <c r="C206" s="88" t="s">
        <v>7</v>
      </c>
      <c r="D206" s="147">
        <v>39</v>
      </c>
      <c r="E206" s="87"/>
      <c r="F206" s="113">
        <f t="shared" si="16"/>
        <v>39</v>
      </c>
      <c r="G206" s="112" t="s">
        <v>3899</v>
      </c>
      <c r="H206" s="120" t="s">
        <v>3193</v>
      </c>
      <c r="I206" s="120" t="s">
        <v>3768</v>
      </c>
      <c r="J206" s="120" t="s">
        <v>772</v>
      </c>
      <c r="K206" s="112">
        <v>1363600</v>
      </c>
      <c r="L206" s="113"/>
      <c r="M206" s="113">
        <v>540900</v>
      </c>
      <c r="N206" s="113"/>
      <c r="O206" s="113"/>
      <c r="P206" s="299">
        <f t="shared" si="17"/>
        <v>1904500</v>
      </c>
      <c r="Q206" s="299">
        <f t="shared" si="18"/>
        <v>74275500</v>
      </c>
      <c r="R206" s="299">
        <f t="shared" si="19"/>
        <v>74275500</v>
      </c>
      <c r="S206" s="112">
        <v>0</v>
      </c>
    </row>
    <row r="207" spans="1:19">
      <c r="A207" s="79">
        <v>3.3</v>
      </c>
      <c r="B207" s="80" t="s">
        <v>2023</v>
      </c>
      <c r="C207" s="79"/>
      <c r="D207" s="143"/>
      <c r="E207" s="76"/>
      <c r="F207" s="113">
        <f t="shared" si="16"/>
        <v>0</v>
      </c>
      <c r="G207" s="112">
        <v>0</v>
      </c>
      <c r="H207" s="120">
        <v>0</v>
      </c>
      <c r="I207" s="120">
        <v>0</v>
      </c>
      <c r="J207" s="120">
        <v>0</v>
      </c>
      <c r="K207" s="112">
        <v>0</v>
      </c>
      <c r="L207" s="113"/>
      <c r="M207" s="113">
        <v>0</v>
      </c>
      <c r="N207" s="113"/>
      <c r="O207" s="113"/>
      <c r="P207" s="299">
        <f t="shared" si="17"/>
        <v>0</v>
      </c>
      <c r="Q207" s="299">
        <f t="shared" si="18"/>
        <v>0</v>
      </c>
      <c r="R207" s="299">
        <f t="shared" si="19"/>
        <v>0</v>
      </c>
      <c r="S207" s="112">
        <v>0</v>
      </c>
    </row>
    <row r="208" spans="1:19" ht="60">
      <c r="A208" s="79"/>
      <c r="B208" s="77" t="s">
        <v>2015</v>
      </c>
      <c r="C208" s="76" t="s">
        <v>1877</v>
      </c>
      <c r="D208" s="143">
        <v>4</v>
      </c>
      <c r="E208" s="76"/>
      <c r="F208" s="113">
        <f t="shared" si="16"/>
        <v>4</v>
      </c>
      <c r="G208" s="112" t="s">
        <v>3900</v>
      </c>
      <c r="H208" s="120" t="s">
        <v>3193</v>
      </c>
      <c r="I208" s="120" t="s">
        <v>3768</v>
      </c>
      <c r="J208" s="120" t="s">
        <v>772</v>
      </c>
      <c r="K208" s="112">
        <v>2613900</v>
      </c>
      <c r="L208" s="113"/>
      <c r="M208" s="113">
        <v>531000</v>
      </c>
      <c r="N208" s="113"/>
      <c r="O208" s="113"/>
      <c r="P208" s="299">
        <f t="shared" si="17"/>
        <v>3144900</v>
      </c>
      <c r="Q208" s="299">
        <f t="shared" si="18"/>
        <v>12579600</v>
      </c>
      <c r="R208" s="299">
        <f t="shared" si="19"/>
        <v>12579600</v>
      </c>
      <c r="S208" s="112">
        <v>0</v>
      </c>
    </row>
    <row r="209" spans="1:19" ht="60">
      <c r="A209" s="76"/>
      <c r="B209" s="77" t="s">
        <v>2018</v>
      </c>
      <c r="C209" s="76" t="s">
        <v>1877</v>
      </c>
      <c r="D209" s="143">
        <v>10</v>
      </c>
      <c r="E209" s="76"/>
      <c r="F209" s="113">
        <f t="shared" si="16"/>
        <v>10</v>
      </c>
      <c r="G209" s="112" t="s">
        <v>3901</v>
      </c>
      <c r="H209" s="120" t="s">
        <v>3193</v>
      </c>
      <c r="I209" s="120" t="s">
        <v>3768</v>
      </c>
      <c r="J209" s="120" t="s">
        <v>772</v>
      </c>
      <c r="K209" s="112">
        <v>2507500</v>
      </c>
      <c r="L209" s="113"/>
      <c r="M209" s="113">
        <v>452400</v>
      </c>
      <c r="N209" s="113"/>
      <c r="O209" s="113"/>
      <c r="P209" s="299">
        <f t="shared" si="17"/>
        <v>2959900</v>
      </c>
      <c r="Q209" s="299">
        <f t="shared" si="18"/>
        <v>29599000</v>
      </c>
      <c r="R209" s="299">
        <f t="shared" si="19"/>
        <v>29599000</v>
      </c>
      <c r="S209" s="112">
        <v>0</v>
      </c>
    </row>
    <row r="210" spans="1:19" ht="60">
      <c r="A210" s="88"/>
      <c r="B210" s="87" t="s">
        <v>2024</v>
      </c>
      <c r="C210" s="88" t="s">
        <v>1877</v>
      </c>
      <c r="D210" s="147">
        <v>17</v>
      </c>
      <c r="E210" s="87"/>
      <c r="F210" s="113">
        <f t="shared" si="16"/>
        <v>17</v>
      </c>
      <c r="G210" s="112" t="s">
        <v>3902</v>
      </c>
      <c r="H210" s="120" t="s">
        <v>3193</v>
      </c>
      <c r="I210" s="120" t="s">
        <v>3768</v>
      </c>
      <c r="J210" s="120" t="s">
        <v>772</v>
      </c>
      <c r="K210" s="112">
        <v>2046600</v>
      </c>
      <c r="L210" s="113"/>
      <c r="M210" s="113">
        <v>413000</v>
      </c>
      <c r="N210" s="113"/>
      <c r="O210" s="113"/>
      <c r="P210" s="299">
        <f t="shared" si="17"/>
        <v>2459600</v>
      </c>
      <c r="Q210" s="299">
        <f t="shared" si="18"/>
        <v>41813200</v>
      </c>
      <c r="R210" s="299">
        <f t="shared" si="19"/>
        <v>41813200</v>
      </c>
      <c r="S210" s="112">
        <v>0</v>
      </c>
    </row>
    <row r="211" spans="1:19" ht="60">
      <c r="A211" s="88"/>
      <c r="B211" s="87" t="s">
        <v>2025</v>
      </c>
      <c r="C211" s="88" t="s">
        <v>1877</v>
      </c>
      <c r="D211" s="147">
        <v>2</v>
      </c>
      <c r="E211" s="87"/>
      <c r="F211" s="113">
        <f t="shared" si="16"/>
        <v>2</v>
      </c>
      <c r="G211" s="112" t="s">
        <v>3903</v>
      </c>
      <c r="H211" s="120" t="s">
        <v>3193</v>
      </c>
      <c r="I211" s="120" t="s">
        <v>3768</v>
      </c>
      <c r="J211" s="120" t="s">
        <v>772</v>
      </c>
      <c r="K211" s="112">
        <v>1952000</v>
      </c>
      <c r="L211" s="113"/>
      <c r="M211" s="113">
        <v>393400</v>
      </c>
      <c r="N211" s="113"/>
      <c r="O211" s="113"/>
      <c r="P211" s="299">
        <f t="shared" si="17"/>
        <v>2345400</v>
      </c>
      <c r="Q211" s="299">
        <f t="shared" si="18"/>
        <v>4690800</v>
      </c>
      <c r="R211" s="299">
        <f t="shared" si="19"/>
        <v>4690800</v>
      </c>
      <c r="S211" s="112">
        <v>0</v>
      </c>
    </row>
    <row r="212" spans="1:19" ht="60">
      <c r="A212" s="88"/>
      <c r="B212" s="87" t="s">
        <v>2026</v>
      </c>
      <c r="C212" s="88" t="s">
        <v>1877</v>
      </c>
      <c r="D212" s="147">
        <v>1</v>
      </c>
      <c r="E212" s="87"/>
      <c r="F212" s="113">
        <f t="shared" si="16"/>
        <v>1</v>
      </c>
      <c r="G212" s="112" t="s">
        <v>3904</v>
      </c>
      <c r="H212" s="120" t="s">
        <v>3193</v>
      </c>
      <c r="I212" s="120" t="s">
        <v>3768</v>
      </c>
      <c r="J212" s="120" t="s">
        <v>772</v>
      </c>
      <c r="K212" s="112">
        <v>3843100</v>
      </c>
      <c r="L212" s="113"/>
      <c r="M212" s="113">
        <v>629400</v>
      </c>
      <c r="N212" s="113"/>
      <c r="O212" s="113"/>
      <c r="P212" s="299">
        <f t="shared" si="17"/>
        <v>4472500</v>
      </c>
      <c r="Q212" s="299">
        <f t="shared" si="18"/>
        <v>4472500</v>
      </c>
      <c r="R212" s="299">
        <f t="shared" si="19"/>
        <v>4472500</v>
      </c>
      <c r="S212" s="112">
        <v>0</v>
      </c>
    </row>
    <row r="213" spans="1:19" ht="60">
      <c r="A213" s="88"/>
      <c r="B213" s="87" t="s">
        <v>2027</v>
      </c>
      <c r="C213" s="88" t="s">
        <v>1877</v>
      </c>
      <c r="D213" s="147">
        <v>1</v>
      </c>
      <c r="E213" s="87"/>
      <c r="F213" s="113">
        <f t="shared" si="16"/>
        <v>1</v>
      </c>
      <c r="G213" s="112" t="s">
        <v>3905</v>
      </c>
      <c r="H213" s="120" t="s">
        <v>3193</v>
      </c>
      <c r="I213" s="120" t="s">
        <v>3768</v>
      </c>
      <c r="J213" s="120" t="s">
        <v>772</v>
      </c>
      <c r="K213" s="112">
        <v>5231900</v>
      </c>
      <c r="L213" s="113"/>
      <c r="M213" s="113">
        <v>688400</v>
      </c>
      <c r="N213" s="113"/>
      <c r="O213" s="113"/>
      <c r="P213" s="299">
        <f t="shared" si="17"/>
        <v>5920300</v>
      </c>
      <c r="Q213" s="299">
        <f t="shared" si="18"/>
        <v>5920300</v>
      </c>
      <c r="R213" s="299">
        <f t="shared" si="19"/>
        <v>5920300</v>
      </c>
      <c r="S213" s="112">
        <v>0</v>
      </c>
    </row>
    <row r="214" spans="1:19">
      <c r="A214" s="79">
        <v>3.4</v>
      </c>
      <c r="B214" s="80" t="s">
        <v>2028</v>
      </c>
      <c r="C214" s="79"/>
      <c r="D214" s="143"/>
      <c r="E214" s="76"/>
      <c r="F214" s="113">
        <f t="shared" si="16"/>
        <v>0</v>
      </c>
      <c r="G214" s="112">
        <v>0</v>
      </c>
      <c r="H214" s="120">
        <v>0</v>
      </c>
      <c r="I214" s="120">
        <v>0</v>
      </c>
      <c r="J214" s="120">
        <v>0</v>
      </c>
      <c r="K214" s="112">
        <v>0</v>
      </c>
      <c r="L214" s="113"/>
      <c r="M214" s="113">
        <v>0</v>
      </c>
      <c r="N214" s="113"/>
      <c r="O214" s="113"/>
      <c r="P214" s="299">
        <f t="shared" si="17"/>
        <v>0</v>
      </c>
      <c r="Q214" s="299">
        <f t="shared" si="18"/>
        <v>0</v>
      </c>
      <c r="R214" s="299">
        <f t="shared" si="19"/>
        <v>0</v>
      </c>
      <c r="S214" s="112">
        <v>0</v>
      </c>
    </row>
    <row r="215" spans="1:19" ht="60">
      <c r="A215" s="88"/>
      <c r="B215" s="87" t="s">
        <v>2029</v>
      </c>
      <c r="C215" s="88" t="s">
        <v>1877</v>
      </c>
      <c r="D215" s="147">
        <v>17</v>
      </c>
      <c r="E215" s="87"/>
      <c r="F215" s="113">
        <f t="shared" si="16"/>
        <v>17</v>
      </c>
      <c r="G215" s="112" t="s">
        <v>3906</v>
      </c>
      <c r="H215" s="120" t="s">
        <v>3193</v>
      </c>
      <c r="I215" s="120" t="s">
        <v>3768</v>
      </c>
      <c r="J215" s="120" t="s">
        <v>772</v>
      </c>
      <c r="K215" s="112">
        <v>433600</v>
      </c>
      <c r="L215" s="113"/>
      <c r="M215" s="113">
        <v>129800</v>
      </c>
      <c r="N215" s="113"/>
      <c r="O215" s="113"/>
      <c r="P215" s="299">
        <f t="shared" si="17"/>
        <v>563400</v>
      </c>
      <c r="Q215" s="299">
        <f t="shared" si="18"/>
        <v>9577800</v>
      </c>
      <c r="R215" s="299">
        <f t="shared" si="19"/>
        <v>9577800</v>
      </c>
      <c r="S215" s="112">
        <v>0</v>
      </c>
    </row>
    <row r="216" spans="1:19" ht="60">
      <c r="A216" s="88"/>
      <c r="B216" s="87" t="s">
        <v>2030</v>
      </c>
      <c r="C216" s="88" t="s">
        <v>1877</v>
      </c>
      <c r="D216" s="147">
        <v>3</v>
      </c>
      <c r="E216" s="87"/>
      <c r="F216" s="113">
        <f t="shared" si="16"/>
        <v>3</v>
      </c>
      <c r="G216" s="112" t="s">
        <v>3907</v>
      </c>
      <c r="H216" s="120" t="s">
        <v>3193</v>
      </c>
      <c r="I216" s="120" t="s">
        <v>3768</v>
      </c>
      <c r="J216" s="120" t="s">
        <v>772</v>
      </c>
      <c r="K216" s="112">
        <v>444300</v>
      </c>
      <c r="L216" s="113"/>
      <c r="M216" s="113">
        <v>133300</v>
      </c>
      <c r="N216" s="113"/>
      <c r="O216" s="113"/>
      <c r="P216" s="299">
        <f t="shared" si="17"/>
        <v>577600</v>
      </c>
      <c r="Q216" s="299">
        <f t="shared" si="18"/>
        <v>1732800</v>
      </c>
      <c r="R216" s="299">
        <f t="shared" si="19"/>
        <v>1732800</v>
      </c>
      <c r="S216" s="112">
        <v>0</v>
      </c>
    </row>
    <row r="217" spans="1:19" ht="60">
      <c r="A217" s="88"/>
      <c r="B217" s="87" t="s">
        <v>2031</v>
      </c>
      <c r="C217" s="88" t="s">
        <v>1877</v>
      </c>
      <c r="D217" s="147">
        <v>1</v>
      </c>
      <c r="E217" s="87"/>
      <c r="F217" s="113">
        <f t="shared" si="16"/>
        <v>1</v>
      </c>
      <c r="G217" s="112" t="s">
        <v>3908</v>
      </c>
      <c r="H217" s="120" t="s">
        <v>3193</v>
      </c>
      <c r="I217" s="120" t="s">
        <v>3768</v>
      </c>
      <c r="J217" s="120" t="s">
        <v>772</v>
      </c>
      <c r="K217" s="112">
        <v>724300</v>
      </c>
      <c r="L217" s="113"/>
      <c r="M217" s="113">
        <v>269700</v>
      </c>
      <c r="N217" s="113"/>
      <c r="O217" s="113"/>
      <c r="P217" s="299">
        <f t="shared" si="17"/>
        <v>994000</v>
      </c>
      <c r="Q217" s="299">
        <f t="shared" si="18"/>
        <v>994000</v>
      </c>
      <c r="R217" s="299">
        <f t="shared" si="19"/>
        <v>994000</v>
      </c>
      <c r="S217" s="112">
        <v>0</v>
      </c>
    </row>
    <row r="218" spans="1:19">
      <c r="A218" s="79">
        <v>3.5</v>
      </c>
      <c r="B218" s="80" t="s">
        <v>2032</v>
      </c>
      <c r="C218" s="79"/>
      <c r="D218" s="143"/>
      <c r="E218" s="79"/>
      <c r="F218" s="113">
        <f t="shared" si="16"/>
        <v>0</v>
      </c>
      <c r="G218" s="112">
        <v>0</v>
      </c>
      <c r="H218" s="120">
        <v>0</v>
      </c>
      <c r="I218" s="120">
        <v>0</v>
      </c>
      <c r="J218" s="120">
        <v>0</v>
      </c>
      <c r="K218" s="112">
        <v>0</v>
      </c>
      <c r="L218" s="113"/>
      <c r="M218" s="113">
        <v>0</v>
      </c>
      <c r="N218" s="113"/>
      <c r="O218" s="113"/>
      <c r="P218" s="299">
        <f t="shared" si="17"/>
        <v>0</v>
      </c>
      <c r="Q218" s="299">
        <f t="shared" si="18"/>
        <v>0</v>
      </c>
      <c r="R218" s="299">
        <f t="shared" si="19"/>
        <v>0</v>
      </c>
      <c r="S218" s="112">
        <v>0</v>
      </c>
    </row>
    <row r="219" spans="1:19" ht="60">
      <c r="A219" s="76"/>
      <c r="B219" s="77" t="s">
        <v>2033</v>
      </c>
      <c r="C219" s="76" t="s">
        <v>1877</v>
      </c>
      <c r="D219" s="143">
        <v>11</v>
      </c>
      <c r="E219" s="76"/>
      <c r="F219" s="113">
        <f t="shared" si="16"/>
        <v>11</v>
      </c>
      <c r="G219" s="112" t="s">
        <v>3909</v>
      </c>
      <c r="H219" s="120" t="s">
        <v>3193</v>
      </c>
      <c r="I219" s="120" t="s">
        <v>3768</v>
      </c>
      <c r="J219" s="120" t="s">
        <v>772</v>
      </c>
      <c r="K219" s="112">
        <v>2747100</v>
      </c>
      <c r="L219" s="113"/>
      <c r="M219" s="113">
        <v>1053200</v>
      </c>
      <c r="N219" s="113"/>
      <c r="O219" s="113"/>
      <c r="P219" s="299">
        <f t="shared" si="17"/>
        <v>3800300</v>
      </c>
      <c r="Q219" s="299">
        <f t="shared" si="18"/>
        <v>41803300</v>
      </c>
      <c r="R219" s="299">
        <f t="shared" si="19"/>
        <v>41803300</v>
      </c>
      <c r="S219" s="112">
        <v>0</v>
      </c>
    </row>
    <row r="220" spans="1:19" ht="60">
      <c r="A220" s="76"/>
      <c r="B220" s="77" t="s">
        <v>2034</v>
      </c>
      <c r="C220" s="76" t="s">
        <v>1877</v>
      </c>
      <c r="D220" s="143">
        <v>3</v>
      </c>
      <c r="E220" s="79"/>
      <c r="F220" s="113">
        <f t="shared" si="16"/>
        <v>3</v>
      </c>
      <c r="G220" s="112" t="s">
        <v>3910</v>
      </c>
      <c r="H220" s="120" t="s">
        <v>3193</v>
      </c>
      <c r="I220" s="120" t="s">
        <v>3768</v>
      </c>
      <c r="J220" s="120" t="s">
        <v>772</v>
      </c>
      <c r="K220" s="112">
        <v>3241300</v>
      </c>
      <c r="L220" s="113"/>
      <c r="M220" s="113">
        <v>1246900</v>
      </c>
      <c r="N220" s="113"/>
      <c r="O220" s="113"/>
      <c r="P220" s="299">
        <f t="shared" si="17"/>
        <v>4488200</v>
      </c>
      <c r="Q220" s="299">
        <f t="shared" si="18"/>
        <v>13464600</v>
      </c>
      <c r="R220" s="299">
        <f t="shared" si="19"/>
        <v>13464600</v>
      </c>
      <c r="S220" s="112">
        <v>0</v>
      </c>
    </row>
    <row r="221" spans="1:19" ht="60">
      <c r="A221" s="76"/>
      <c r="B221" s="77" t="s">
        <v>2035</v>
      </c>
      <c r="C221" s="76" t="s">
        <v>1877</v>
      </c>
      <c r="D221" s="143">
        <v>3</v>
      </c>
      <c r="E221" s="79"/>
      <c r="F221" s="113">
        <f t="shared" si="16"/>
        <v>3</v>
      </c>
      <c r="G221" s="112" t="s">
        <v>3911</v>
      </c>
      <c r="H221" s="120" t="s">
        <v>3193</v>
      </c>
      <c r="I221" s="120" t="s">
        <v>3768</v>
      </c>
      <c r="J221" s="120" t="s">
        <v>772</v>
      </c>
      <c r="K221" s="112">
        <v>3735500</v>
      </c>
      <c r="L221" s="113"/>
      <c r="M221" s="113">
        <v>1440700</v>
      </c>
      <c r="N221" s="113"/>
      <c r="O221" s="113"/>
      <c r="P221" s="299">
        <f t="shared" si="17"/>
        <v>5176200</v>
      </c>
      <c r="Q221" s="299">
        <f t="shared" si="18"/>
        <v>15528600</v>
      </c>
      <c r="R221" s="299">
        <f t="shared" si="19"/>
        <v>15528600</v>
      </c>
      <c r="S221" s="112">
        <v>0</v>
      </c>
    </row>
    <row r="222" spans="1:19" ht="60">
      <c r="A222" s="88"/>
      <c r="B222" s="87" t="s">
        <v>2036</v>
      </c>
      <c r="C222" s="88" t="s">
        <v>1877</v>
      </c>
      <c r="D222" s="147">
        <v>56</v>
      </c>
      <c r="E222" s="87"/>
      <c r="F222" s="113">
        <f t="shared" si="16"/>
        <v>56</v>
      </c>
      <c r="G222" s="112" t="s">
        <v>3912</v>
      </c>
      <c r="H222" s="120" t="s">
        <v>3193</v>
      </c>
      <c r="I222" s="120" t="s">
        <v>3768</v>
      </c>
      <c r="J222" s="120" t="s">
        <v>772</v>
      </c>
      <c r="K222" s="112">
        <v>3340800</v>
      </c>
      <c r="L222" s="113"/>
      <c r="M222" s="113">
        <v>1285900</v>
      </c>
      <c r="N222" s="113"/>
      <c r="O222" s="113"/>
      <c r="P222" s="299">
        <f t="shared" si="17"/>
        <v>4626700</v>
      </c>
      <c r="Q222" s="299">
        <f t="shared" si="18"/>
        <v>259095200</v>
      </c>
      <c r="R222" s="299">
        <f t="shared" si="19"/>
        <v>259095200</v>
      </c>
      <c r="S222" s="112">
        <v>0</v>
      </c>
    </row>
    <row r="223" spans="1:19" ht="60">
      <c r="A223" s="88"/>
      <c r="B223" s="87" t="s">
        <v>2037</v>
      </c>
      <c r="C223" s="88" t="s">
        <v>1877</v>
      </c>
      <c r="D223" s="147">
        <v>3</v>
      </c>
      <c r="E223" s="87"/>
      <c r="F223" s="113">
        <f t="shared" si="16"/>
        <v>3</v>
      </c>
      <c r="G223" s="112" t="s">
        <v>3913</v>
      </c>
      <c r="H223" s="120" t="s">
        <v>3193</v>
      </c>
      <c r="I223" s="120" t="s">
        <v>3768</v>
      </c>
      <c r="J223" s="120" t="s">
        <v>772</v>
      </c>
      <c r="K223" s="112">
        <v>3194700</v>
      </c>
      <c r="L223" s="113"/>
      <c r="M223" s="113">
        <v>1228700</v>
      </c>
      <c r="N223" s="113"/>
      <c r="O223" s="113"/>
      <c r="P223" s="299">
        <f t="shared" si="17"/>
        <v>4423400</v>
      </c>
      <c r="Q223" s="299">
        <f t="shared" si="18"/>
        <v>13270200</v>
      </c>
      <c r="R223" s="299">
        <f t="shared" si="19"/>
        <v>13270200</v>
      </c>
      <c r="S223" s="112">
        <v>0</v>
      </c>
    </row>
    <row r="224" spans="1:19">
      <c r="A224" s="79">
        <v>3.6</v>
      </c>
      <c r="B224" s="80" t="s">
        <v>2038</v>
      </c>
      <c r="C224" s="79"/>
      <c r="D224" s="143"/>
      <c r="E224" s="76"/>
      <c r="F224" s="113">
        <f t="shared" si="16"/>
        <v>0</v>
      </c>
      <c r="G224" s="112">
        <v>0</v>
      </c>
      <c r="H224" s="120">
        <v>0</v>
      </c>
      <c r="I224" s="120">
        <v>0</v>
      </c>
      <c r="J224" s="120">
        <v>0</v>
      </c>
      <c r="K224" s="112">
        <v>0</v>
      </c>
      <c r="L224" s="113"/>
      <c r="M224" s="113">
        <v>0</v>
      </c>
      <c r="N224" s="113"/>
      <c r="O224" s="113"/>
      <c r="P224" s="299">
        <f t="shared" si="17"/>
        <v>0</v>
      </c>
      <c r="Q224" s="299">
        <f t="shared" si="18"/>
        <v>0</v>
      </c>
      <c r="R224" s="299">
        <f t="shared" si="19"/>
        <v>0</v>
      </c>
      <c r="S224" s="112">
        <v>0</v>
      </c>
    </row>
    <row r="225" spans="1:19" ht="60">
      <c r="A225" s="79"/>
      <c r="B225" s="77" t="s">
        <v>2014</v>
      </c>
      <c r="C225" s="76" t="s">
        <v>1861</v>
      </c>
      <c r="D225" s="143">
        <v>3</v>
      </c>
      <c r="E225" s="76"/>
      <c r="F225" s="113">
        <f t="shared" si="16"/>
        <v>3</v>
      </c>
      <c r="G225" s="112" t="s">
        <v>3585</v>
      </c>
      <c r="H225" s="120" t="s">
        <v>3193</v>
      </c>
      <c r="I225" s="120" t="s">
        <v>3479</v>
      </c>
      <c r="J225" s="120" t="s">
        <v>772</v>
      </c>
      <c r="K225" s="112">
        <v>845200</v>
      </c>
      <c r="L225" s="113"/>
      <c r="M225" s="113">
        <v>296500</v>
      </c>
      <c r="N225" s="113"/>
      <c r="O225" s="113"/>
      <c r="P225" s="299">
        <f t="shared" si="17"/>
        <v>1141700</v>
      </c>
      <c r="Q225" s="299">
        <f t="shared" si="18"/>
        <v>3425100</v>
      </c>
      <c r="R225" s="299">
        <f t="shared" si="19"/>
        <v>3425100</v>
      </c>
      <c r="S225" s="112">
        <v>0</v>
      </c>
    </row>
    <row r="226" spans="1:19" ht="60">
      <c r="A226" s="79"/>
      <c r="B226" s="77" t="s">
        <v>2039</v>
      </c>
      <c r="C226" s="76" t="s">
        <v>1861</v>
      </c>
      <c r="D226" s="143">
        <v>4</v>
      </c>
      <c r="E226" s="76"/>
      <c r="F226" s="113">
        <f t="shared" si="16"/>
        <v>4</v>
      </c>
      <c r="G226" s="112" t="s">
        <v>3584</v>
      </c>
      <c r="H226" s="120" t="s">
        <v>3193</v>
      </c>
      <c r="I226" s="120" t="s">
        <v>3479</v>
      </c>
      <c r="J226" s="120" t="s">
        <v>772</v>
      </c>
      <c r="K226" s="112">
        <v>880600</v>
      </c>
      <c r="L226" s="113"/>
      <c r="M226" s="113">
        <v>329900</v>
      </c>
      <c r="N226" s="113"/>
      <c r="O226" s="113"/>
      <c r="P226" s="299">
        <f t="shared" si="17"/>
        <v>1210500</v>
      </c>
      <c r="Q226" s="299">
        <f t="shared" si="18"/>
        <v>4842000</v>
      </c>
      <c r="R226" s="299">
        <f t="shared" si="19"/>
        <v>4842000</v>
      </c>
      <c r="S226" s="112">
        <v>0</v>
      </c>
    </row>
    <row r="227" spans="1:19" ht="60">
      <c r="A227" s="88"/>
      <c r="B227" s="87" t="s">
        <v>1874</v>
      </c>
      <c r="C227" s="88" t="s">
        <v>1877</v>
      </c>
      <c r="D227" s="147">
        <v>1</v>
      </c>
      <c r="E227" s="87"/>
      <c r="F227" s="113">
        <f t="shared" si="16"/>
        <v>1</v>
      </c>
      <c r="G227" s="112" t="s">
        <v>3583</v>
      </c>
      <c r="H227" s="120" t="s">
        <v>3193</v>
      </c>
      <c r="I227" s="120" t="s">
        <v>3479</v>
      </c>
      <c r="J227" s="120" t="s">
        <v>772</v>
      </c>
      <c r="K227" s="112">
        <v>1822800</v>
      </c>
      <c r="L227" s="113"/>
      <c r="M227" s="113">
        <v>528900</v>
      </c>
      <c r="N227" s="113"/>
      <c r="O227" s="113"/>
      <c r="P227" s="299">
        <f t="shared" si="17"/>
        <v>2351700</v>
      </c>
      <c r="Q227" s="299">
        <f t="shared" si="18"/>
        <v>2351700</v>
      </c>
      <c r="R227" s="299">
        <f t="shared" si="19"/>
        <v>2351700</v>
      </c>
      <c r="S227" s="112">
        <v>0</v>
      </c>
    </row>
    <row r="228" spans="1:19">
      <c r="A228" s="79">
        <v>3.7</v>
      </c>
      <c r="B228" s="257" t="s">
        <v>1905</v>
      </c>
      <c r="C228" s="79"/>
      <c r="D228" s="143"/>
      <c r="E228" s="76"/>
      <c r="F228" s="113">
        <f t="shared" si="16"/>
        <v>0</v>
      </c>
      <c r="G228" s="112">
        <v>0</v>
      </c>
      <c r="H228" s="120">
        <v>0</v>
      </c>
      <c r="I228" s="120">
        <v>0</v>
      </c>
      <c r="J228" s="120">
        <v>0</v>
      </c>
      <c r="K228" s="112">
        <v>0</v>
      </c>
      <c r="L228" s="113"/>
      <c r="M228" s="113">
        <v>0</v>
      </c>
      <c r="N228" s="113"/>
      <c r="O228" s="113"/>
      <c r="P228" s="299">
        <f t="shared" si="17"/>
        <v>0</v>
      </c>
      <c r="Q228" s="299">
        <f t="shared" si="18"/>
        <v>0</v>
      </c>
      <c r="R228" s="299">
        <f t="shared" si="19"/>
        <v>0</v>
      </c>
      <c r="S228" s="112">
        <v>0</v>
      </c>
    </row>
    <row r="229" spans="1:19" ht="60">
      <c r="A229" s="76"/>
      <c r="B229" s="77" t="s">
        <v>1978</v>
      </c>
      <c r="C229" s="76" t="s">
        <v>1877</v>
      </c>
      <c r="D229" s="143">
        <v>173</v>
      </c>
      <c r="E229" s="76"/>
      <c r="F229" s="113">
        <f t="shared" si="16"/>
        <v>173</v>
      </c>
      <c r="G229" s="112" t="s">
        <v>3701</v>
      </c>
      <c r="H229" s="120">
        <v>0</v>
      </c>
      <c r="I229" s="120" t="s">
        <v>3190</v>
      </c>
      <c r="J229" s="120" t="s">
        <v>772</v>
      </c>
      <c r="K229" s="112">
        <v>685300</v>
      </c>
      <c r="L229" s="113"/>
      <c r="M229" s="113">
        <v>185700</v>
      </c>
      <c r="N229" s="113"/>
      <c r="O229" s="113"/>
      <c r="P229" s="299">
        <f t="shared" si="17"/>
        <v>871000</v>
      </c>
      <c r="Q229" s="299">
        <f t="shared" si="18"/>
        <v>150683000</v>
      </c>
      <c r="R229" s="299">
        <f t="shared" si="19"/>
        <v>150683000</v>
      </c>
      <c r="S229" s="112">
        <v>0</v>
      </c>
    </row>
    <row r="230" spans="1:19" ht="60">
      <c r="A230" s="88"/>
      <c r="B230" s="87" t="s">
        <v>1979</v>
      </c>
      <c r="C230" s="88" t="s">
        <v>1877</v>
      </c>
      <c r="D230" s="147">
        <v>3</v>
      </c>
      <c r="E230" s="87"/>
      <c r="F230" s="113">
        <f t="shared" si="16"/>
        <v>3</v>
      </c>
      <c r="G230" s="112" t="s">
        <v>3700</v>
      </c>
      <c r="H230" s="120">
        <v>0</v>
      </c>
      <c r="I230" s="120" t="s">
        <v>3190</v>
      </c>
      <c r="J230" s="120" t="s">
        <v>772</v>
      </c>
      <c r="K230" s="112">
        <v>1140100</v>
      </c>
      <c r="L230" s="113"/>
      <c r="M230" s="113">
        <v>435100</v>
      </c>
      <c r="N230" s="113"/>
      <c r="O230" s="113"/>
      <c r="P230" s="299">
        <f t="shared" si="17"/>
        <v>1575200</v>
      </c>
      <c r="Q230" s="299">
        <f t="shared" si="18"/>
        <v>4725600</v>
      </c>
      <c r="R230" s="299">
        <f t="shared" si="19"/>
        <v>4725600</v>
      </c>
      <c r="S230" s="112">
        <v>0</v>
      </c>
    </row>
    <row r="231" spans="1:19">
      <c r="A231" s="90">
        <v>3.8</v>
      </c>
      <c r="B231" s="91" t="s">
        <v>2040</v>
      </c>
      <c r="C231" s="90"/>
      <c r="D231" s="258"/>
      <c r="E231" s="91"/>
      <c r="F231" s="113">
        <f t="shared" si="16"/>
        <v>0</v>
      </c>
      <c r="G231" s="112">
        <v>0</v>
      </c>
      <c r="H231" s="120">
        <v>0</v>
      </c>
      <c r="I231" s="120">
        <v>0</v>
      </c>
      <c r="J231" s="120">
        <v>0</v>
      </c>
      <c r="K231" s="112">
        <v>0</v>
      </c>
      <c r="L231" s="113"/>
      <c r="M231" s="113">
        <v>0</v>
      </c>
      <c r="N231" s="113"/>
      <c r="O231" s="113"/>
      <c r="P231" s="299">
        <f t="shared" si="17"/>
        <v>0</v>
      </c>
      <c r="Q231" s="299">
        <f t="shared" si="18"/>
        <v>0</v>
      </c>
      <c r="R231" s="299">
        <f t="shared" si="19"/>
        <v>0</v>
      </c>
      <c r="S231" s="112">
        <v>0</v>
      </c>
    </row>
    <row r="232" spans="1:19" ht="60">
      <c r="A232" s="88"/>
      <c r="B232" s="87" t="s">
        <v>1981</v>
      </c>
      <c r="C232" s="88" t="s">
        <v>1877</v>
      </c>
      <c r="D232" s="147">
        <v>173</v>
      </c>
      <c r="E232" s="87"/>
      <c r="F232" s="113">
        <f t="shared" si="16"/>
        <v>173</v>
      </c>
      <c r="G232" s="112" t="s">
        <v>3914</v>
      </c>
      <c r="H232" s="120" t="s">
        <v>3193</v>
      </c>
      <c r="I232" s="120" t="s">
        <v>3768</v>
      </c>
      <c r="J232" s="120" t="s">
        <v>772</v>
      </c>
      <c r="K232" s="112">
        <v>386500</v>
      </c>
      <c r="L232" s="113"/>
      <c r="M232" s="113">
        <v>124800</v>
      </c>
      <c r="N232" s="113"/>
      <c r="O232" s="113"/>
      <c r="P232" s="299">
        <f t="shared" si="17"/>
        <v>511300</v>
      </c>
      <c r="Q232" s="299">
        <f t="shared" si="18"/>
        <v>88454900</v>
      </c>
      <c r="R232" s="299">
        <f t="shared" si="19"/>
        <v>88454900</v>
      </c>
      <c r="S232" s="112">
        <v>0</v>
      </c>
    </row>
    <row r="233" spans="1:19" ht="60">
      <c r="A233" s="88"/>
      <c r="B233" s="87" t="s">
        <v>2041</v>
      </c>
      <c r="C233" s="88" t="s">
        <v>1877</v>
      </c>
      <c r="D233" s="147">
        <v>3</v>
      </c>
      <c r="E233" s="87"/>
      <c r="F233" s="113">
        <f t="shared" si="16"/>
        <v>3</v>
      </c>
      <c r="G233" s="112" t="s">
        <v>3915</v>
      </c>
      <c r="H233" s="120" t="s">
        <v>3193</v>
      </c>
      <c r="I233" s="120" t="s">
        <v>3768</v>
      </c>
      <c r="J233" s="120" t="s">
        <v>772</v>
      </c>
      <c r="K233" s="112">
        <v>525100</v>
      </c>
      <c r="L233" s="113"/>
      <c r="M233" s="113">
        <v>174200</v>
      </c>
      <c r="N233" s="113"/>
      <c r="O233" s="113"/>
      <c r="P233" s="299">
        <f t="shared" si="17"/>
        <v>699300</v>
      </c>
      <c r="Q233" s="299">
        <f t="shared" si="18"/>
        <v>2097900</v>
      </c>
      <c r="R233" s="299">
        <f t="shared" si="19"/>
        <v>2097900</v>
      </c>
      <c r="S233" s="112">
        <v>0</v>
      </c>
    </row>
    <row r="234" spans="1:19" ht="28.5">
      <c r="A234" s="79">
        <v>3.9</v>
      </c>
      <c r="B234" s="257" t="s">
        <v>2042</v>
      </c>
      <c r="C234" s="79"/>
      <c r="D234" s="143"/>
      <c r="E234" s="76"/>
      <c r="F234" s="113">
        <f t="shared" si="16"/>
        <v>0</v>
      </c>
      <c r="G234" s="112">
        <v>0</v>
      </c>
      <c r="H234" s="120">
        <v>0</v>
      </c>
      <c r="I234" s="120">
        <v>0</v>
      </c>
      <c r="J234" s="120">
        <v>0</v>
      </c>
      <c r="K234" s="112">
        <v>0</v>
      </c>
      <c r="L234" s="113"/>
      <c r="M234" s="113">
        <v>0</v>
      </c>
      <c r="N234" s="113"/>
      <c r="O234" s="113"/>
      <c r="P234" s="299">
        <f t="shared" si="17"/>
        <v>0</v>
      </c>
      <c r="Q234" s="299">
        <f t="shared" si="18"/>
        <v>0</v>
      </c>
      <c r="R234" s="299">
        <f t="shared" si="19"/>
        <v>0</v>
      </c>
      <c r="S234" s="112">
        <v>0</v>
      </c>
    </row>
    <row r="235" spans="1:19" ht="105">
      <c r="A235" s="79"/>
      <c r="B235" s="77" t="s">
        <v>2043</v>
      </c>
      <c r="C235" s="76" t="s">
        <v>1877</v>
      </c>
      <c r="D235" s="147">
        <v>2</v>
      </c>
      <c r="E235" s="76"/>
      <c r="F235" s="113">
        <f t="shared" si="16"/>
        <v>2</v>
      </c>
      <c r="G235" s="112" t="s">
        <v>3717</v>
      </c>
      <c r="H235" s="120" t="s">
        <v>3386</v>
      </c>
      <c r="I235" s="120" t="s">
        <v>3190</v>
      </c>
      <c r="J235" s="120" t="s">
        <v>772</v>
      </c>
      <c r="K235" s="112">
        <v>8315500</v>
      </c>
      <c r="L235" s="113"/>
      <c r="M235" s="113">
        <v>477600</v>
      </c>
      <c r="N235" s="113"/>
      <c r="O235" s="113"/>
      <c r="P235" s="299">
        <f t="shared" si="17"/>
        <v>8793100</v>
      </c>
      <c r="Q235" s="299">
        <f t="shared" si="18"/>
        <v>17586200</v>
      </c>
      <c r="R235" s="299">
        <f t="shared" si="19"/>
        <v>17586200</v>
      </c>
      <c r="S235" s="112" t="s">
        <v>3751</v>
      </c>
    </row>
    <row r="236" spans="1:19" ht="105">
      <c r="A236" s="79"/>
      <c r="B236" s="77" t="s">
        <v>2018</v>
      </c>
      <c r="C236" s="76" t="s">
        <v>1877</v>
      </c>
      <c r="D236" s="147">
        <v>6</v>
      </c>
      <c r="E236" s="76"/>
      <c r="F236" s="113">
        <f t="shared" si="16"/>
        <v>6</v>
      </c>
      <c r="G236" s="112" t="s">
        <v>3716</v>
      </c>
      <c r="H236" s="120" t="s">
        <v>3386</v>
      </c>
      <c r="I236" s="120" t="s">
        <v>3190</v>
      </c>
      <c r="J236" s="120" t="s">
        <v>772</v>
      </c>
      <c r="K236" s="112">
        <v>9690100</v>
      </c>
      <c r="L236" s="113"/>
      <c r="M236" s="113">
        <v>606600</v>
      </c>
      <c r="N236" s="113"/>
      <c r="O236" s="113"/>
      <c r="P236" s="299">
        <f t="shared" si="17"/>
        <v>10296700</v>
      </c>
      <c r="Q236" s="299">
        <f t="shared" si="18"/>
        <v>61780200</v>
      </c>
      <c r="R236" s="299">
        <f t="shared" si="19"/>
        <v>61780200</v>
      </c>
      <c r="S236" s="112" t="s">
        <v>3751</v>
      </c>
    </row>
    <row r="237" spans="1:19" ht="105">
      <c r="A237" s="79"/>
      <c r="B237" s="77" t="s">
        <v>2044</v>
      </c>
      <c r="C237" s="76" t="s">
        <v>1877</v>
      </c>
      <c r="D237" s="147">
        <v>57</v>
      </c>
      <c r="E237" s="76"/>
      <c r="F237" s="113">
        <f t="shared" si="16"/>
        <v>57</v>
      </c>
      <c r="G237" s="112" t="s">
        <v>3690</v>
      </c>
      <c r="H237" s="120" t="s">
        <v>3386</v>
      </c>
      <c r="I237" s="120" t="s">
        <v>3190</v>
      </c>
      <c r="J237" s="120" t="s">
        <v>772</v>
      </c>
      <c r="K237" s="112">
        <v>10497700</v>
      </c>
      <c r="L237" s="113"/>
      <c r="M237" s="113">
        <v>606600</v>
      </c>
      <c r="N237" s="113"/>
      <c r="O237" s="113"/>
      <c r="P237" s="299">
        <f t="shared" si="17"/>
        <v>11104300</v>
      </c>
      <c r="Q237" s="299">
        <f t="shared" si="18"/>
        <v>632945100</v>
      </c>
      <c r="R237" s="299">
        <f t="shared" si="19"/>
        <v>632945100</v>
      </c>
      <c r="S237" s="112" t="s">
        <v>3751</v>
      </c>
    </row>
    <row r="238" spans="1:19" ht="105">
      <c r="A238" s="79"/>
      <c r="B238" s="77" t="s">
        <v>2045</v>
      </c>
      <c r="C238" s="76" t="s">
        <v>1877</v>
      </c>
      <c r="D238" s="147">
        <v>2</v>
      </c>
      <c r="E238" s="76"/>
      <c r="F238" s="113">
        <f t="shared" si="16"/>
        <v>2</v>
      </c>
      <c r="G238" s="112" t="s">
        <v>3715</v>
      </c>
      <c r="H238" s="120" t="s">
        <v>3386</v>
      </c>
      <c r="I238" s="120" t="s">
        <v>3190</v>
      </c>
      <c r="J238" s="120" t="s">
        <v>772</v>
      </c>
      <c r="K238" s="112">
        <v>8545800</v>
      </c>
      <c r="L238" s="113"/>
      <c r="M238" s="113">
        <v>415100</v>
      </c>
      <c r="N238" s="113"/>
      <c r="O238" s="113"/>
      <c r="P238" s="299">
        <f t="shared" si="17"/>
        <v>8960900</v>
      </c>
      <c r="Q238" s="299">
        <f t="shared" si="18"/>
        <v>17921800</v>
      </c>
      <c r="R238" s="299">
        <f t="shared" si="19"/>
        <v>17921800</v>
      </c>
      <c r="S238" s="112" t="s">
        <v>3751</v>
      </c>
    </row>
    <row r="239" spans="1:19" ht="105">
      <c r="A239" s="88"/>
      <c r="B239" s="87" t="s">
        <v>2022</v>
      </c>
      <c r="C239" s="88" t="s">
        <v>1877</v>
      </c>
      <c r="D239" s="147">
        <v>17</v>
      </c>
      <c r="E239" s="87"/>
      <c r="F239" s="113">
        <f t="shared" si="16"/>
        <v>17</v>
      </c>
      <c r="G239" s="112" t="s">
        <v>3714</v>
      </c>
      <c r="H239" s="120" t="s">
        <v>3386</v>
      </c>
      <c r="I239" s="120" t="s">
        <v>3190</v>
      </c>
      <c r="J239" s="120" t="s">
        <v>772</v>
      </c>
      <c r="K239" s="112">
        <v>9303000</v>
      </c>
      <c r="L239" s="113"/>
      <c r="M239" s="113">
        <v>606600</v>
      </c>
      <c r="N239" s="113"/>
      <c r="O239" s="113"/>
      <c r="P239" s="299">
        <f t="shared" si="17"/>
        <v>9909600</v>
      </c>
      <c r="Q239" s="299">
        <f t="shared" si="18"/>
        <v>168463200</v>
      </c>
      <c r="R239" s="299">
        <f t="shared" si="19"/>
        <v>168463200</v>
      </c>
      <c r="S239" s="112" t="s">
        <v>3751</v>
      </c>
    </row>
    <row r="240" spans="1:19">
      <c r="A240" s="259">
        <v>3.1</v>
      </c>
      <c r="B240" s="257" t="s">
        <v>1924</v>
      </c>
      <c r="C240" s="76" t="s">
        <v>1877</v>
      </c>
      <c r="D240" s="147">
        <v>9</v>
      </c>
      <c r="E240" s="76"/>
      <c r="F240" s="113">
        <f t="shared" si="16"/>
        <v>9</v>
      </c>
      <c r="G240" s="112">
        <v>0</v>
      </c>
      <c r="H240" s="120">
        <v>0</v>
      </c>
      <c r="I240" s="120">
        <v>0</v>
      </c>
      <c r="J240" s="120" t="s">
        <v>772</v>
      </c>
      <c r="K240" s="112">
        <v>729600</v>
      </c>
      <c r="L240" s="113"/>
      <c r="M240" s="113">
        <v>38800</v>
      </c>
      <c r="N240" s="113"/>
      <c r="O240" s="113"/>
      <c r="P240" s="299">
        <f t="shared" si="17"/>
        <v>768400</v>
      </c>
      <c r="Q240" s="299">
        <f t="shared" si="18"/>
        <v>6915600</v>
      </c>
      <c r="R240" s="299">
        <f t="shared" si="19"/>
        <v>6915600</v>
      </c>
      <c r="S240" s="112">
        <v>0</v>
      </c>
    </row>
    <row r="241" spans="1:19">
      <c r="A241" s="259">
        <v>3.11</v>
      </c>
      <c r="B241" s="257" t="s">
        <v>1994</v>
      </c>
      <c r="C241" s="76" t="s">
        <v>17</v>
      </c>
      <c r="D241" s="143">
        <v>1</v>
      </c>
      <c r="E241" s="79"/>
      <c r="F241" s="113">
        <f t="shared" si="16"/>
        <v>1</v>
      </c>
      <c r="G241" s="112">
        <v>0</v>
      </c>
      <c r="H241" s="120">
        <v>0</v>
      </c>
      <c r="I241" s="120">
        <v>0</v>
      </c>
      <c r="J241" s="120" t="s">
        <v>806</v>
      </c>
      <c r="K241" s="112">
        <v>0</v>
      </c>
      <c r="L241" s="113"/>
      <c r="M241" s="113">
        <v>0</v>
      </c>
      <c r="N241" s="113"/>
      <c r="O241" s="113"/>
      <c r="P241" s="299">
        <f t="shared" si="17"/>
        <v>0</v>
      </c>
      <c r="Q241" s="299">
        <f t="shared" si="18"/>
        <v>0</v>
      </c>
      <c r="R241" s="299">
        <f t="shared" si="19"/>
        <v>0</v>
      </c>
      <c r="S241" s="112">
        <v>0</v>
      </c>
    </row>
    <row r="242" spans="1:19">
      <c r="A242" s="90">
        <v>3.12</v>
      </c>
      <c r="B242" s="91" t="s">
        <v>1946</v>
      </c>
      <c r="C242" s="90"/>
      <c r="D242" s="258"/>
      <c r="E242" s="91"/>
      <c r="F242" s="113">
        <f t="shared" si="16"/>
        <v>0</v>
      </c>
      <c r="G242" s="112">
        <v>0</v>
      </c>
      <c r="H242" s="120">
        <v>0</v>
      </c>
      <c r="I242" s="120">
        <v>0</v>
      </c>
      <c r="J242" s="120">
        <v>0</v>
      </c>
      <c r="K242" s="112">
        <v>0</v>
      </c>
      <c r="L242" s="113"/>
      <c r="M242" s="113">
        <v>0</v>
      </c>
      <c r="N242" s="113"/>
      <c r="O242" s="113"/>
      <c r="P242" s="299">
        <f t="shared" si="17"/>
        <v>0</v>
      </c>
      <c r="Q242" s="299">
        <f t="shared" si="18"/>
        <v>0</v>
      </c>
      <c r="R242" s="299">
        <f t="shared" si="19"/>
        <v>0</v>
      </c>
      <c r="S242" s="112">
        <v>0</v>
      </c>
    </row>
    <row r="243" spans="1:19">
      <c r="A243" s="88"/>
      <c r="B243" s="87" t="s">
        <v>2017</v>
      </c>
      <c r="C243" s="88" t="s">
        <v>7</v>
      </c>
      <c r="D243" s="147">
        <v>67</v>
      </c>
      <c r="E243" s="87"/>
      <c r="F243" s="113">
        <f t="shared" si="16"/>
        <v>67</v>
      </c>
      <c r="G243" s="112" t="s">
        <v>3582</v>
      </c>
      <c r="H243" s="120" t="s">
        <v>3205</v>
      </c>
      <c r="I243" s="120" t="s">
        <v>3479</v>
      </c>
      <c r="J243" s="120" t="s">
        <v>772</v>
      </c>
      <c r="K243" s="112">
        <v>1513800</v>
      </c>
      <c r="L243" s="113"/>
      <c r="M243" s="113">
        <v>624700</v>
      </c>
      <c r="N243" s="113"/>
      <c r="O243" s="113"/>
      <c r="P243" s="299">
        <f t="shared" si="17"/>
        <v>2138500</v>
      </c>
      <c r="Q243" s="299">
        <f t="shared" si="18"/>
        <v>143279500</v>
      </c>
      <c r="R243" s="299">
        <f t="shared" si="19"/>
        <v>143279500</v>
      </c>
      <c r="S243" s="112">
        <v>0</v>
      </c>
    </row>
    <row r="244" spans="1:19">
      <c r="A244" s="88"/>
      <c r="B244" s="87" t="s">
        <v>2020</v>
      </c>
      <c r="C244" s="88" t="s">
        <v>7</v>
      </c>
      <c r="D244" s="147">
        <v>64</v>
      </c>
      <c r="E244" s="87"/>
      <c r="F244" s="113">
        <f t="shared" si="16"/>
        <v>64</v>
      </c>
      <c r="G244" s="112" t="s">
        <v>3581</v>
      </c>
      <c r="H244" s="120" t="s">
        <v>3205</v>
      </c>
      <c r="I244" s="120" t="s">
        <v>3479</v>
      </c>
      <c r="J244" s="120" t="s">
        <v>772</v>
      </c>
      <c r="K244" s="112">
        <v>1562600</v>
      </c>
      <c r="L244" s="113"/>
      <c r="M244" s="113">
        <v>644800</v>
      </c>
      <c r="N244" s="113"/>
      <c r="O244" s="113"/>
      <c r="P244" s="299">
        <f t="shared" si="17"/>
        <v>2207400</v>
      </c>
      <c r="Q244" s="299">
        <f t="shared" si="18"/>
        <v>141273600</v>
      </c>
      <c r="R244" s="299">
        <f t="shared" si="19"/>
        <v>141273600</v>
      </c>
      <c r="S244" s="112">
        <v>0</v>
      </c>
    </row>
    <row r="245" spans="1:19">
      <c r="A245" s="88"/>
      <c r="B245" s="87" t="s">
        <v>1915</v>
      </c>
      <c r="C245" s="88" t="s">
        <v>7</v>
      </c>
      <c r="D245" s="147">
        <v>76</v>
      </c>
      <c r="E245" s="87"/>
      <c r="F245" s="113">
        <f t="shared" si="16"/>
        <v>76</v>
      </c>
      <c r="G245" s="112" t="s">
        <v>3580</v>
      </c>
      <c r="H245" s="120" t="s">
        <v>3205</v>
      </c>
      <c r="I245" s="120" t="s">
        <v>3479</v>
      </c>
      <c r="J245" s="120" t="s">
        <v>772</v>
      </c>
      <c r="K245" s="112">
        <v>1660200</v>
      </c>
      <c r="L245" s="113"/>
      <c r="M245" s="113">
        <v>685100</v>
      </c>
      <c r="N245" s="113"/>
      <c r="O245" s="113"/>
      <c r="P245" s="299">
        <f t="shared" si="17"/>
        <v>2345300</v>
      </c>
      <c r="Q245" s="299">
        <f t="shared" si="18"/>
        <v>178242800</v>
      </c>
      <c r="R245" s="299">
        <f t="shared" si="19"/>
        <v>178242800</v>
      </c>
      <c r="S245" s="112">
        <v>0</v>
      </c>
    </row>
    <row r="246" spans="1:19">
      <c r="A246" s="88"/>
      <c r="B246" s="87" t="s">
        <v>2021</v>
      </c>
      <c r="C246" s="88" t="s">
        <v>7</v>
      </c>
      <c r="D246" s="147">
        <v>73</v>
      </c>
      <c r="E246" s="87"/>
      <c r="F246" s="113">
        <f t="shared" si="16"/>
        <v>73</v>
      </c>
      <c r="G246" s="112" t="s">
        <v>3579</v>
      </c>
      <c r="H246" s="120" t="s">
        <v>3205</v>
      </c>
      <c r="I246" s="120" t="s">
        <v>3479</v>
      </c>
      <c r="J246" s="120" t="s">
        <v>772</v>
      </c>
      <c r="K246" s="112">
        <v>1709000</v>
      </c>
      <c r="L246" s="113"/>
      <c r="M246" s="113">
        <v>705300</v>
      </c>
      <c r="N246" s="113"/>
      <c r="O246" s="113"/>
      <c r="P246" s="299">
        <f t="shared" si="17"/>
        <v>2414300</v>
      </c>
      <c r="Q246" s="299">
        <f t="shared" si="18"/>
        <v>176243900</v>
      </c>
      <c r="R246" s="299">
        <f t="shared" si="19"/>
        <v>176243900</v>
      </c>
      <c r="S246" s="112">
        <v>0</v>
      </c>
    </row>
    <row r="247" spans="1:19">
      <c r="A247" s="255" t="s">
        <v>2046</v>
      </c>
      <c r="B247" s="168" t="s">
        <v>2047</v>
      </c>
      <c r="C247" s="255"/>
      <c r="D247" s="164"/>
      <c r="E247" s="255"/>
      <c r="F247" s="268"/>
      <c r="G247" s="462"/>
      <c r="H247" s="531"/>
      <c r="I247" s="531"/>
      <c r="J247" s="531"/>
      <c r="K247" s="268"/>
      <c r="L247" s="268"/>
      <c r="M247" s="268"/>
      <c r="N247" s="268"/>
      <c r="O247" s="268"/>
      <c r="P247" s="268"/>
      <c r="Q247" s="268"/>
      <c r="R247" s="268"/>
      <c r="S247" s="268"/>
    </row>
    <row r="248" spans="1:19">
      <c r="A248" s="79">
        <v>4.0999999999999996</v>
      </c>
      <c r="B248" s="257" t="s">
        <v>1859</v>
      </c>
      <c r="C248" s="79"/>
      <c r="D248" s="143"/>
      <c r="E248" s="79"/>
      <c r="F248" s="113">
        <f t="shared" ref="F248:F311" si="20">D248</f>
        <v>0</v>
      </c>
      <c r="G248" s="112">
        <v>0</v>
      </c>
      <c r="H248" s="120">
        <v>0</v>
      </c>
      <c r="I248" s="120">
        <v>0</v>
      </c>
      <c r="J248" s="120">
        <v>0</v>
      </c>
      <c r="K248" s="112">
        <v>0</v>
      </c>
      <c r="L248" s="113"/>
      <c r="M248" s="113">
        <v>0</v>
      </c>
      <c r="N248" s="113"/>
      <c r="O248" s="113"/>
      <c r="P248" s="299">
        <f t="shared" ref="P248:P311" si="21">K248+L248+M248+N248+O248</f>
        <v>0</v>
      </c>
      <c r="Q248" s="299">
        <f t="shared" ref="Q248:Q311" si="22">+P248*D248</f>
        <v>0</v>
      </c>
      <c r="R248" s="299">
        <f t="shared" ref="R248:R311" si="23">+P248*F248</f>
        <v>0</v>
      </c>
      <c r="S248" s="112">
        <v>0</v>
      </c>
    </row>
    <row r="249" spans="1:19" ht="45">
      <c r="A249" s="259"/>
      <c r="B249" s="77" t="s">
        <v>2048</v>
      </c>
      <c r="C249" s="76" t="s">
        <v>1861</v>
      </c>
      <c r="D249" s="147">
        <v>11</v>
      </c>
      <c r="E249" s="79"/>
      <c r="F249" s="113">
        <f t="shared" si="20"/>
        <v>11</v>
      </c>
      <c r="G249" s="112" t="s">
        <v>3916</v>
      </c>
      <c r="H249" s="120" t="s">
        <v>3193</v>
      </c>
      <c r="I249" s="120" t="s">
        <v>3768</v>
      </c>
      <c r="J249" s="120" t="s">
        <v>772</v>
      </c>
      <c r="K249" s="112">
        <v>867800</v>
      </c>
      <c r="L249" s="113"/>
      <c r="M249" s="113">
        <v>348400</v>
      </c>
      <c r="N249" s="113"/>
      <c r="O249" s="113"/>
      <c r="P249" s="299">
        <f t="shared" si="21"/>
        <v>1216200</v>
      </c>
      <c r="Q249" s="299">
        <f t="shared" si="22"/>
        <v>13378200</v>
      </c>
      <c r="R249" s="299">
        <f t="shared" si="23"/>
        <v>13378200</v>
      </c>
      <c r="S249" s="112">
        <v>0</v>
      </c>
    </row>
    <row r="250" spans="1:19" ht="45">
      <c r="A250" s="259"/>
      <c r="B250" s="77" t="s">
        <v>2049</v>
      </c>
      <c r="C250" s="76" t="s">
        <v>1861</v>
      </c>
      <c r="D250" s="147">
        <v>7</v>
      </c>
      <c r="E250" s="79"/>
      <c r="F250" s="113">
        <f t="shared" si="20"/>
        <v>7</v>
      </c>
      <c r="G250" s="112" t="s">
        <v>3917</v>
      </c>
      <c r="H250" s="120" t="s">
        <v>3193</v>
      </c>
      <c r="I250" s="120" t="s">
        <v>3768</v>
      </c>
      <c r="J250" s="120" t="s">
        <v>772</v>
      </c>
      <c r="K250" s="112">
        <v>1239600</v>
      </c>
      <c r="L250" s="113"/>
      <c r="M250" s="113">
        <v>497800</v>
      </c>
      <c r="N250" s="113"/>
      <c r="O250" s="113"/>
      <c r="P250" s="299">
        <f t="shared" si="21"/>
        <v>1737400</v>
      </c>
      <c r="Q250" s="299">
        <f t="shared" si="22"/>
        <v>12161800</v>
      </c>
      <c r="R250" s="299">
        <f t="shared" si="23"/>
        <v>12161800</v>
      </c>
      <c r="S250" s="112">
        <v>0</v>
      </c>
    </row>
    <row r="251" spans="1:19" ht="45">
      <c r="A251" s="259"/>
      <c r="B251" s="77" t="s">
        <v>2044</v>
      </c>
      <c r="C251" s="76" t="s">
        <v>1861</v>
      </c>
      <c r="D251" s="147">
        <v>61</v>
      </c>
      <c r="E251" s="79"/>
      <c r="F251" s="113">
        <f t="shared" si="20"/>
        <v>61</v>
      </c>
      <c r="G251" s="112" t="s">
        <v>3918</v>
      </c>
      <c r="H251" s="120" t="s">
        <v>3193</v>
      </c>
      <c r="I251" s="120" t="s">
        <v>3768</v>
      </c>
      <c r="J251" s="120" t="s">
        <v>772</v>
      </c>
      <c r="K251" s="112">
        <v>1549500</v>
      </c>
      <c r="L251" s="113"/>
      <c r="M251" s="113">
        <v>622200</v>
      </c>
      <c r="N251" s="113"/>
      <c r="O251" s="113"/>
      <c r="P251" s="299">
        <f t="shared" si="21"/>
        <v>2171700</v>
      </c>
      <c r="Q251" s="299">
        <f t="shared" si="22"/>
        <v>132473700</v>
      </c>
      <c r="R251" s="299">
        <f t="shared" si="23"/>
        <v>132473700</v>
      </c>
      <c r="S251" s="112">
        <v>0</v>
      </c>
    </row>
    <row r="252" spans="1:19" ht="45">
      <c r="A252" s="259"/>
      <c r="B252" s="77" t="s">
        <v>1931</v>
      </c>
      <c r="C252" s="76" t="s">
        <v>1861</v>
      </c>
      <c r="D252" s="147">
        <v>14</v>
      </c>
      <c r="E252" s="79"/>
      <c r="F252" s="113">
        <f t="shared" si="20"/>
        <v>14</v>
      </c>
      <c r="G252" s="112" t="s">
        <v>3919</v>
      </c>
      <c r="H252" s="120" t="s">
        <v>3193</v>
      </c>
      <c r="I252" s="120" t="s">
        <v>3768</v>
      </c>
      <c r="J252" s="120" t="s">
        <v>772</v>
      </c>
      <c r="K252" s="112">
        <v>1611500</v>
      </c>
      <c r="L252" s="113"/>
      <c r="M252" s="113">
        <v>647100</v>
      </c>
      <c r="N252" s="113"/>
      <c r="O252" s="113"/>
      <c r="P252" s="299">
        <f t="shared" si="21"/>
        <v>2258600</v>
      </c>
      <c r="Q252" s="299">
        <f t="shared" si="22"/>
        <v>31620400</v>
      </c>
      <c r="R252" s="299">
        <f t="shared" si="23"/>
        <v>31620400</v>
      </c>
      <c r="S252" s="112">
        <v>0</v>
      </c>
    </row>
    <row r="253" spans="1:19" ht="45">
      <c r="A253" s="259"/>
      <c r="B253" s="77" t="s">
        <v>2050</v>
      </c>
      <c r="C253" s="76" t="s">
        <v>1861</v>
      </c>
      <c r="D253" s="147">
        <v>4</v>
      </c>
      <c r="E253" s="79"/>
      <c r="F253" s="113">
        <f t="shared" si="20"/>
        <v>4</v>
      </c>
      <c r="G253" s="112" t="s">
        <v>3920</v>
      </c>
      <c r="H253" s="120" t="s">
        <v>3193</v>
      </c>
      <c r="I253" s="120" t="s">
        <v>3768</v>
      </c>
      <c r="J253" s="120" t="s">
        <v>772</v>
      </c>
      <c r="K253" s="112">
        <v>1673500</v>
      </c>
      <c r="L253" s="113"/>
      <c r="M253" s="113">
        <v>672000</v>
      </c>
      <c r="N253" s="113"/>
      <c r="O253" s="113"/>
      <c r="P253" s="299">
        <f t="shared" si="21"/>
        <v>2345500</v>
      </c>
      <c r="Q253" s="299">
        <f t="shared" si="22"/>
        <v>9382000</v>
      </c>
      <c r="R253" s="299">
        <f t="shared" si="23"/>
        <v>9382000</v>
      </c>
      <c r="S253" s="112">
        <v>0</v>
      </c>
    </row>
    <row r="254" spans="1:19" ht="45">
      <c r="A254" s="259"/>
      <c r="B254" s="77" t="s">
        <v>2051</v>
      </c>
      <c r="C254" s="76" t="s">
        <v>1861</v>
      </c>
      <c r="D254" s="147">
        <v>100</v>
      </c>
      <c r="E254" s="79"/>
      <c r="F254" s="113">
        <f t="shared" si="20"/>
        <v>100</v>
      </c>
      <c r="G254" s="112" t="s">
        <v>3921</v>
      </c>
      <c r="H254" s="120" t="s">
        <v>3193</v>
      </c>
      <c r="I254" s="120" t="s">
        <v>3768</v>
      </c>
      <c r="J254" s="120" t="s">
        <v>772</v>
      </c>
      <c r="K254" s="112">
        <v>1797400</v>
      </c>
      <c r="L254" s="113"/>
      <c r="M254" s="113">
        <v>721700</v>
      </c>
      <c r="N254" s="113"/>
      <c r="O254" s="113"/>
      <c r="P254" s="299">
        <f t="shared" si="21"/>
        <v>2519100</v>
      </c>
      <c r="Q254" s="299">
        <f t="shared" si="22"/>
        <v>251910000</v>
      </c>
      <c r="R254" s="299">
        <f t="shared" si="23"/>
        <v>251910000</v>
      </c>
      <c r="S254" s="112">
        <v>0</v>
      </c>
    </row>
    <row r="255" spans="1:19" ht="45">
      <c r="A255" s="259"/>
      <c r="B255" s="77" t="s">
        <v>1866</v>
      </c>
      <c r="C255" s="76" t="s">
        <v>1861</v>
      </c>
      <c r="D255" s="143">
        <v>33</v>
      </c>
      <c r="E255" s="79"/>
      <c r="F255" s="113">
        <f t="shared" si="20"/>
        <v>33</v>
      </c>
      <c r="G255" s="112" t="s">
        <v>3774</v>
      </c>
      <c r="H255" s="120" t="s">
        <v>3189</v>
      </c>
      <c r="I255" s="120" t="s">
        <v>3768</v>
      </c>
      <c r="J255" s="120" t="s">
        <v>772</v>
      </c>
      <c r="K255" s="112">
        <v>2422000</v>
      </c>
      <c r="L255" s="113"/>
      <c r="M255" s="113">
        <v>871000</v>
      </c>
      <c r="N255" s="113"/>
      <c r="O255" s="113"/>
      <c r="P255" s="299">
        <f t="shared" si="21"/>
        <v>3293000</v>
      </c>
      <c r="Q255" s="299">
        <f t="shared" si="22"/>
        <v>108669000</v>
      </c>
      <c r="R255" s="299">
        <f t="shared" si="23"/>
        <v>108669000</v>
      </c>
      <c r="S255" s="112">
        <v>0</v>
      </c>
    </row>
    <row r="256" spans="1:19" ht="45">
      <c r="A256" s="259"/>
      <c r="B256" s="77" t="s">
        <v>2052</v>
      </c>
      <c r="C256" s="76" t="s">
        <v>1861</v>
      </c>
      <c r="D256" s="147">
        <v>15</v>
      </c>
      <c r="E256" s="79"/>
      <c r="F256" s="113">
        <f t="shared" si="20"/>
        <v>15</v>
      </c>
      <c r="G256" s="112" t="s">
        <v>3922</v>
      </c>
      <c r="H256" s="120" t="s">
        <v>3189</v>
      </c>
      <c r="I256" s="120" t="s">
        <v>3768</v>
      </c>
      <c r="J256" s="120" t="s">
        <v>772</v>
      </c>
      <c r="K256" s="112">
        <v>3114000</v>
      </c>
      <c r="L256" s="113"/>
      <c r="M256" s="113">
        <v>1119900</v>
      </c>
      <c r="N256" s="113"/>
      <c r="O256" s="113"/>
      <c r="P256" s="299">
        <f t="shared" si="21"/>
        <v>4233900</v>
      </c>
      <c r="Q256" s="299">
        <f t="shared" si="22"/>
        <v>63508500</v>
      </c>
      <c r="R256" s="299">
        <f t="shared" si="23"/>
        <v>63508500</v>
      </c>
      <c r="S256" s="112">
        <v>0</v>
      </c>
    </row>
    <row r="257" spans="1:19" ht="45">
      <c r="A257" s="266"/>
      <c r="B257" s="87" t="s">
        <v>2053</v>
      </c>
      <c r="C257" s="88" t="s">
        <v>7</v>
      </c>
      <c r="D257" s="147">
        <v>5</v>
      </c>
      <c r="E257" s="87"/>
      <c r="F257" s="113">
        <f t="shared" si="20"/>
        <v>5</v>
      </c>
      <c r="G257" s="112" t="s">
        <v>3923</v>
      </c>
      <c r="H257" s="120" t="s">
        <v>3193</v>
      </c>
      <c r="I257" s="120" t="s">
        <v>3768</v>
      </c>
      <c r="J257" s="120" t="s">
        <v>772</v>
      </c>
      <c r="K257" s="112">
        <v>2169300</v>
      </c>
      <c r="L257" s="113"/>
      <c r="M257" s="113">
        <v>871000</v>
      </c>
      <c r="N257" s="113"/>
      <c r="O257" s="113"/>
      <c r="P257" s="299">
        <f t="shared" si="21"/>
        <v>3040300</v>
      </c>
      <c r="Q257" s="299">
        <f t="shared" si="22"/>
        <v>15201500</v>
      </c>
      <c r="R257" s="299">
        <f t="shared" si="23"/>
        <v>15201500</v>
      </c>
      <c r="S257" s="112">
        <v>0</v>
      </c>
    </row>
    <row r="258" spans="1:19" ht="45">
      <c r="A258" s="266"/>
      <c r="B258" s="87" t="s">
        <v>2054</v>
      </c>
      <c r="C258" s="88" t="s">
        <v>7</v>
      </c>
      <c r="D258" s="147">
        <v>24</v>
      </c>
      <c r="E258" s="87"/>
      <c r="F258" s="113">
        <f t="shared" si="20"/>
        <v>24</v>
      </c>
      <c r="G258" s="112" t="s">
        <v>3924</v>
      </c>
      <c r="H258" s="120" t="s">
        <v>3193</v>
      </c>
      <c r="I258" s="120" t="s">
        <v>3768</v>
      </c>
      <c r="J258" s="120" t="s">
        <v>772</v>
      </c>
      <c r="K258" s="112">
        <v>1797400</v>
      </c>
      <c r="L258" s="113"/>
      <c r="M258" s="113">
        <v>721700</v>
      </c>
      <c r="N258" s="113"/>
      <c r="O258" s="113"/>
      <c r="P258" s="299">
        <f t="shared" si="21"/>
        <v>2519100</v>
      </c>
      <c r="Q258" s="299">
        <f t="shared" si="22"/>
        <v>60458400</v>
      </c>
      <c r="R258" s="299">
        <f t="shared" si="23"/>
        <v>60458400</v>
      </c>
      <c r="S258" s="112">
        <v>0</v>
      </c>
    </row>
    <row r="259" spans="1:19" ht="45">
      <c r="A259" s="266"/>
      <c r="B259" s="87" t="s">
        <v>2055</v>
      </c>
      <c r="C259" s="88" t="s">
        <v>7</v>
      </c>
      <c r="D259" s="147">
        <v>7</v>
      </c>
      <c r="E259" s="87"/>
      <c r="F259" s="113">
        <f t="shared" si="20"/>
        <v>7</v>
      </c>
      <c r="G259" s="112" t="s">
        <v>3925</v>
      </c>
      <c r="H259" s="120" t="s">
        <v>3193</v>
      </c>
      <c r="I259" s="120" t="s">
        <v>3768</v>
      </c>
      <c r="J259" s="120" t="s">
        <v>772</v>
      </c>
      <c r="K259" s="112">
        <v>1487500</v>
      </c>
      <c r="L259" s="113"/>
      <c r="M259" s="113">
        <v>597300</v>
      </c>
      <c r="N259" s="113"/>
      <c r="O259" s="113"/>
      <c r="P259" s="299">
        <f t="shared" si="21"/>
        <v>2084800</v>
      </c>
      <c r="Q259" s="299">
        <f t="shared" si="22"/>
        <v>14593600</v>
      </c>
      <c r="R259" s="299">
        <f t="shared" si="23"/>
        <v>14593600</v>
      </c>
      <c r="S259" s="112">
        <v>0</v>
      </c>
    </row>
    <row r="260" spans="1:19" ht="45">
      <c r="A260" s="266"/>
      <c r="B260" s="87" t="s">
        <v>2056</v>
      </c>
      <c r="C260" s="88" t="s">
        <v>7</v>
      </c>
      <c r="D260" s="147">
        <v>8</v>
      </c>
      <c r="E260" s="87"/>
      <c r="F260" s="113">
        <f t="shared" si="20"/>
        <v>8</v>
      </c>
      <c r="G260" s="112" t="s">
        <v>3926</v>
      </c>
      <c r="H260" s="120" t="s">
        <v>3193</v>
      </c>
      <c r="I260" s="120" t="s">
        <v>3768</v>
      </c>
      <c r="J260" s="120" t="s">
        <v>772</v>
      </c>
      <c r="K260" s="112">
        <v>1425500</v>
      </c>
      <c r="L260" s="113"/>
      <c r="M260" s="113">
        <v>572400</v>
      </c>
      <c r="N260" s="113"/>
      <c r="O260" s="113"/>
      <c r="P260" s="299">
        <f t="shared" si="21"/>
        <v>1997900</v>
      </c>
      <c r="Q260" s="299">
        <f t="shared" si="22"/>
        <v>15983200</v>
      </c>
      <c r="R260" s="299">
        <f t="shared" si="23"/>
        <v>15983200</v>
      </c>
      <c r="S260" s="112">
        <v>0</v>
      </c>
    </row>
    <row r="261" spans="1:19" ht="45">
      <c r="A261" s="266"/>
      <c r="B261" s="87" t="s">
        <v>2057</v>
      </c>
      <c r="C261" s="88" t="s">
        <v>7</v>
      </c>
      <c r="D261" s="147">
        <v>11</v>
      </c>
      <c r="E261" s="87"/>
      <c r="F261" s="113">
        <f t="shared" si="20"/>
        <v>11</v>
      </c>
      <c r="G261" s="112" t="s">
        <v>3927</v>
      </c>
      <c r="H261" s="120" t="s">
        <v>3193</v>
      </c>
      <c r="I261" s="120" t="s">
        <v>3768</v>
      </c>
      <c r="J261" s="120" t="s">
        <v>772</v>
      </c>
      <c r="K261" s="112">
        <v>1363600</v>
      </c>
      <c r="L261" s="113"/>
      <c r="M261" s="113">
        <v>547500</v>
      </c>
      <c r="N261" s="113"/>
      <c r="O261" s="113"/>
      <c r="P261" s="299">
        <f t="shared" si="21"/>
        <v>1911100</v>
      </c>
      <c r="Q261" s="299">
        <f t="shared" si="22"/>
        <v>21022100</v>
      </c>
      <c r="R261" s="299">
        <f t="shared" si="23"/>
        <v>21022100</v>
      </c>
      <c r="S261" s="112">
        <v>0</v>
      </c>
    </row>
    <row r="262" spans="1:19" ht="45">
      <c r="A262" s="266"/>
      <c r="B262" s="87" t="s">
        <v>2058</v>
      </c>
      <c r="C262" s="88" t="s">
        <v>7</v>
      </c>
      <c r="D262" s="147">
        <v>2</v>
      </c>
      <c r="E262" s="87"/>
      <c r="F262" s="113">
        <f t="shared" si="20"/>
        <v>2</v>
      </c>
      <c r="G262" s="112" t="s">
        <v>3928</v>
      </c>
      <c r="H262" s="120" t="s">
        <v>3193</v>
      </c>
      <c r="I262" s="120" t="s">
        <v>3768</v>
      </c>
      <c r="J262" s="120" t="s">
        <v>772</v>
      </c>
      <c r="K262" s="112">
        <v>1549500</v>
      </c>
      <c r="L262" s="113"/>
      <c r="M262" s="113">
        <v>622200</v>
      </c>
      <c r="N262" s="113"/>
      <c r="O262" s="113"/>
      <c r="P262" s="299">
        <f t="shared" si="21"/>
        <v>2171700</v>
      </c>
      <c r="Q262" s="299">
        <f t="shared" si="22"/>
        <v>4343400</v>
      </c>
      <c r="R262" s="299">
        <f t="shared" si="23"/>
        <v>4343400</v>
      </c>
      <c r="S262" s="112">
        <v>0</v>
      </c>
    </row>
    <row r="263" spans="1:19" ht="45">
      <c r="A263" s="266"/>
      <c r="B263" s="87" t="s">
        <v>2059</v>
      </c>
      <c r="C263" s="88" t="s">
        <v>7</v>
      </c>
      <c r="D263" s="147">
        <v>34</v>
      </c>
      <c r="E263" s="87"/>
      <c r="F263" s="113">
        <f t="shared" si="20"/>
        <v>34</v>
      </c>
      <c r="G263" s="112" t="s">
        <v>3929</v>
      </c>
      <c r="H263" s="120" t="s">
        <v>3193</v>
      </c>
      <c r="I263" s="120" t="s">
        <v>3768</v>
      </c>
      <c r="J263" s="120" t="s">
        <v>772</v>
      </c>
      <c r="K263" s="112">
        <v>1115700</v>
      </c>
      <c r="L263" s="113"/>
      <c r="M263" s="113">
        <v>448000</v>
      </c>
      <c r="N263" s="113"/>
      <c r="O263" s="113"/>
      <c r="P263" s="299">
        <f t="shared" si="21"/>
        <v>1563700</v>
      </c>
      <c r="Q263" s="299">
        <f t="shared" si="22"/>
        <v>53165800</v>
      </c>
      <c r="R263" s="299">
        <f t="shared" si="23"/>
        <v>53165800</v>
      </c>
      <c r="S263" s="112">
        <v>0</v>
      </c>
    </row>
    <row r="264" spans="1:19" ht="45">
      <c r="A264" s="266"/>
      <c r="B264" s="87" t="s">
        <v>2060</v>
      </c>
      <c r="C264" s="88" t="s">
        <v>7</v>
      </c>
      <c r="D264" s="147">
        <v>6</v>
      </c>
      <c r="E264" s="87"/>
      <c r="F264" s="113">
        <f t="shared" si="20"/>
        <v>6</v>
      </c>
      <c r="G264" s="112" t="s">
        <v>3930</v>
      </c>
      <c r="H264" s="120" t="s">
        <v>3193</v>
      </c>
      <c r="I264" s="120" t="s">
        <v>3768</v>
      </c>
      <c r="J264" s="120" t="s">
        <v>772</v>
      </c>
      <c r="K264" s="112">
        <v>743800</v>
      </c>
      <c r="L264" s="113"/>
      <c r="M264" s="113">
        <v>298700</v>
      </c>
      <c r="N264" s="113"/>
      <c r="O264" s="113"/>
      <c r="P264" s="299">
        <f t="shared" si="21"/>
        <v>1042500</v>
      </c>
      <c r="Q264" s="299">
        <f t="shared" si="22"/>
        <v>6255000</v>
      </c>
      <c r="R264" s="299">
        <f t="shared" si="23"/>
        <v>6255000</v>
      </c>
      <c r="S264" s="112">
        <v>0</v>
      </c>
    </row>
    <row r="265" spans="1:19">
      <c r="A265" s="269">
        <v>4.2</v>
      </c>
      <c r="B265" s="91" t="s">
        <v>2061</v>
      </c>
      <c r="C265" s="90"/>
      <c r="D265" s="258"/>
      <c r="E265" s="91"/>
      <c r="F265" s="113">
        <f t="shared" si="20"/>
        <v>0</v>
      </c>
      <c r="G265" s="112">
        <v>0</v>
      </c>
      <c r="H265" s="120">
        <v>0</v>
      </c>
      <c r="I265" s="120">
        <v>0</v>
      </c>
      <c r="J265" s="120">
        <v>0</v>
      </c>
      <c r="K265" s="112">
        <v>0</v>
      </c>
      <c r="L265" s="113"/>
      <c r="M265" s="113">
        <v>0</v>
      </c>
      <c r="N265" s="113"/>
      <c r="O265" s="113"/>
      <c r="P265" s="299">
        <f t="shared" si="21"/>
        <v>0</v>
      </c>
      <c r="Q265" s="299">
        <f t="shared" si="22"/>
        <v>0</v>
      </c>
      <c r="R265" s="299">
        <f t="shared" si="23"/>
        <v>0</v>
      </c>
      <c r="S265" s="112">
        <v>0</v>
      </c>
    </row>
    <row r="266" spans="1:19" ht="75">
      <c r="A266" s="266"/>
      <c r="B266" s="87" t="s">
        <v>2062</v>
      </c>
      <c r="C266" s="88" t="s">
        <v>1877</v>
      </c>
      <c r="D266" s="147">
        <v>1</v>
      </c>
      <c r="E266" s="87"/>
      <c r="F266" s="113">
        <f t="shared" si="20"/>
        <v>1</v>
      </c>
      <c r="G266" s="112" t="s">
        <v>3713</v>
      </c>
      <c r="H266" s="120" t="s">
        <v>3386</v>
      </c>
      <c r="I266" s="120" t="s">
        <v>3190</v>
      </c>
      <c r="J266" s="120" t="s">
        <v>772</v>
      </c>
      <c r="K266" s="112">
        <v>9465600</v>
      </c>
      <c r="L266" s="113"/>
      <c r="M266" s="113">
        <v>561300</v>
      </c>
      <c r="N266" s="113"/>
      <c r="O266" s="113"/>
      <c r="P266" s="299">
        <f t="shared" si="21"/>
        <v>10026900</v>
      </c>
      <c r="Q266" s="299">
        <f t="shared" si="22"/>
        <v>10026900</v>
      </c>
      <c r="R266" s="299">
        <f t="shared" si="23"/>
        <v>10026900</v>
      </c>
      <c r="S266" s="112" t="s">
        <v>3749</v>
      </c>
    </row>
    <row r="267" spans="1:19" ht="75">
      <c r="A267" s="266"/>
      <c r="B267" s="87" t="s">
        <v>2054</v>
      </c>
      <c r="C267" s="88" t="s">
        <v>1877</v>
      </c>
      <c r="D267" s="147">
        <v>1</v>
      </c>
      <c r="E267" s="87"/>
      <c r="F267" s="113">
        <f t="shared" si="20"/>
        <v>1</v>
      </c>
      <c r="G267" s="112" t="s">
        <v>3699</v>
      </c>
      <c r="H267" s="120" t="s">
        <v>3386</v>
      </c>
      <c r="I267" s="120" t="s">
        <v>3190</v>
      </c>
      <c r="J267" s="120" t="s">
        <v>772</v>
      </c>
      <c r="K267" s="112">
        <v>7077600</v>
      </c>
      <c r="L267" s="113"/>
      <c r="M267" s="113">
        <v>606600</v>
      </c>
      <c r="N267" s="113"/>
      <c r="O267" s="113"/>
      <c r="P267" s="299">
        <f t="shared" si="21"/>
        <v>7684200</v>
      </c>
      <c r="Q267" s="299">
        <f t="shared" si="22"/>
        <v>7684200</v>
      </c>
      <c r="R267" s="299">
        <f t="shared" si="23"/>
        <v>7684200</v>
      </c>
      <c r="S267" s="112" t="s">
        <v>3749</v>
      </c>
    </row>
    <row r="268" spans="1:19" ht="75">
      <c r="A268" s="266"/>
      <c r="B268" s="87" t="s">
        <v>2063</v>
      </c>
      <c r="C268" s="88" t="s">
        <v>1877</v>
      </c>
      <c r="D268" s="147">
        <v>2</v>
      </c>
      <c r="E268" s="87"/>
      <c r="F268" s="113">
        <f t="shared" si="20"/>
        <v>2</v>
      </c>
      <c r="G268" s="112" t="s">
        <v>3712</v>
      </c>
      <c r="H268" s="120" t="s">
        <v>3386</v>
      </c>
      <c r="I268" s="120" t="s">
        <v>3190</v>
      </c>
      <c r="J268" s="120" t="s">
        <v>772</v>
      </c>
      <c r="K268" s="112">
        <v>7044500</v>
      </c>
      <c r="L268" s="113"/>
      <c r="M268" s="113">
        <v>561200</v>
      </c>
      <c r="N268" s="113"/>
      <c r="O268" s="113"/>
      <c r="P268" s="299">
        <f t="shared" si="21"/>
        <v>7605700</v>
      </c>
      <c r="Q268" s="299">
        <f t="shared" si="22"/>
        <v>15211400</v>
      </c>
      <c r="R268" s="299">
        <f t="shared" si="23"/>
        <v>15211400</v>
      </c>
      <c r="S268" s="112" t="s">
        <v>3749</v>
      </c>
    </row>
    <row r="269" spans="1:19" ht="75">
      <c r="A269" s="266"/>
      <c r="B269" s="87" t="s">
        <v>1941</v>
      </c>
      <c r="C269" s="88" t="s">
        <v>1877</v>
      </c>
      <c r="D269" s="147">
        <v>2</v>
      </c>
      <c r="E269" s="87"/>
      <c r="F269" s="113">
        <f t="shared" si="20"/>
        <v>2</v>
      </c>
      <c r="G269" s="112" t="s">
        <v>3711</v>
      </c>
      <c r="H269" s="120" t="s">
        <v>3386</v>
      </c>
      <c r="I269" s="120" t="s">
        <v>3190</v>
      </c>
      <c r="J269" s="120" t="s">
        <v>772</v>
      </c>
      <c r="K269" s="112">
        <v>6491800</v>
      </c>
      <c r="L269" s="113"/>
      <c r="M269" s="113">
        <v>606600</v>
      </c>
      <c r="N269" s="113"/>
      <c r="O269" s="113"/>
      <c r="P269" s="299">
        <f t="shared" si="21"/>
        <v>7098400</v>
      </c>
      <c r="Q269" s="299">
        <f t="shared" si="22"/>
        <v>14196800</v>
      </c>
      <c r="R269" s="299">
        <f t="shared" si="23"/>
        <v>14196800</v>
      </c>
      <c r="S269" s="112" t="s">
        <v>3749</v>
      </c>
    </row>
    <row r="270" spans="1:19" ht="75">
      <c r="A270" s="266"/>
      <c r="B270" s="87" t="s">
        <v>1873</v>
      </c>
      <c r="C270" s="88" t="s">
        <v>1877</v>
      </c>
      <c r="D270" s="147">
        <v>2</v>
      </c>
      <c r="E270" s="87"/>
      <c r="F270" s="113">
        <f t="shared" si="20"/>
        <v>2</v>
      </c>
      <c r="G270" s="112" t="s">
        <v>3710</v>
      </c>
      <c r="H270" s="120" t="s">
        <v>3386</v>
      </c>
      <c r="I270" s="120" t="s">
        <v>3190</v>
      </c>
      <c r="J270" s="120" t="s">
        <v>772</v>
      </c>
      <c r="K270" s="112">
        <v>6228400</v>
      </c>
      <c r="L270" s="113"/>
      <c r="M270" s="113">
        <v>606600</v>
      </c>
      <c r="N270" s="113"/>
      <c r="O270" s="113"/>
      <c r="P270" s="299">
        <f t="shared" si="21"/>
        <v>6835000</v>
      </c>
      <c r="Q270" s="299">
        <f t="shared" si="22"/>
        <v>13670000</v>
      </c>
      <c r="R270" s="299">
        <f t="shared" si="23"/>
        <v>13670000</v>
      </c>
      <c r="S270" s="112" t="s">
        <v>3749</v>
      </c>
    </row>
    <row r="271" spans="1:19" ht="75">
      <c r="A271" s="266"/>
      <c r="B271" s="87" t="s">
        <v>2064</v>
      </c>
      <c r="C271" s="88" t="s">
        <v>1877</v>
      </c>
      <c r="D271" s="147">
        <v>7</v>
      </c>
      <c r="E271" s="87"/>
      <c r="F271" s="113">
        <f t="shared" si="20"/>
        <v>7</v>
      </c>
      <c r="G271" s="112" t="s">
        <v>3709</v>
      </c>
      <c r="H271" s="120" t="s">
        <v>3386</v>
      </c>
      <c r="I271" s="120" t="s">
        <v>3190</v>
      </c>
      <c r="J271" s="120" t="s">
        <v>772</v>
      </c>
      <c r="K271" s="112">
        <v>5999500</v>
      </c>
      <c r="L271" s="113"/>
      <c r="M271" s="113">
        <v>606400</v>
      </c>
      <c r="N271" s="113"/>
      <c r="O271" s="113"/>
      <c r="P271" s="299">
        <f t="shared" si="21"/>
        <v>6605900</v>
      </c>
      <c r="Q271" s="299">
        <f t="shared" si="22"/>
        <v>46241300</v>
      </c>
      <c r="R271" s="299">
        <f t="shared" si="23"/>
        <v>46241300</v>
      </c>
      <c r="S271" s="112" t="s">
        <v>3749</v>
      </c>
    </row>
    <row r="272" spans="1:19" ht="75">
      <c r="A272" s="266"/>
      <c r="B272" s="87" t="s">
        <v>2055</v>
      </c>
      <c r="C272" s="88" t="s">
        <v>1877</v>
      </c>
      <c r="D272" s="147">
        <v>2</v>
      </c>
      <c r="E272" s="87"/>
      <c r="F272" s="113">
        <f t="shared" si="20"/>
        <v>2</v>
      </c>
      <c r="G272" s="112" t="s">
        <v>3708</v>
      </c>
      <c r="H272" s="120" t="s">
        <v>3386</v>
      </c>
      <c r="I272" s="120" t="s">
        <v>3190</v>
      </c>
      <c r="J272" s="120" t="s">
        <v>772</v>
      </c>
      <c r="K272" s="112">
        <v>5718800</v>
      </c>
      <c r="L272" s="113"/>
      <c r="M272" s="113">
        <v>606600</v>
      </c>
      <c r="N272" s="113"/>
      <c r="O272" s="113"/>
      <c r="P272" s="299">
        <f t="shared" si="21"/>
        <v>6325400</v>
      </c>
      <c r="Q272" s="299">
        <f t="shared" si="22"/>
        <v>12650800</v>
      </c>
      <c r="R272" s="299">
        <f t="shared" si="23"/>
        <v>12650800</v>
      </c>
      <c r="S272" s="112" t="s">
        <v>3749</v>
      </c>
    </row>
    <row r="273" spans="1:19" ht="75">
      <c r="A273" s="266"/>
      <c r="B273" s="87" t="s">
        <v>2056</v>
      </c>
      <c r="C273" s="88" t="s">
        <v>1877</v>
      </c>
      <c r="D273" s="147">
        <v>1</v>
      </c>
      <c r="E273" s="87"/>
      <c r="F273" s="113">
        <f t="shared" si="20"/>
        <v>1</v>
      </c>
      <c r="G273" s="112" t="s">
        <v>3707</v>
      </c>
      <c r="H273" s="120" t="s">
        <v>3386</v>
      </c>
      <c r="I273" s="120" t="s">
        <v>3190</v>
      </c>
      <c r="J273" s="120" t="s">
        <v>772</v>
      </c>
      <c r="K273" s="112">
        <v>4894000</v>
      </c>
      <c r="L273" s="113"/>
      <c r="M273" s="113">
        <v>606600</v>
      </c>
      <c r="N273" s="113"/>
      <c r="O273" s="113"/>
      <c r="P273" s="299">
        <f t="shared" si="21"/>
        <v>5500600</v>
      </c>
      <c r="Q273" s="299">
        <f t="shared" si="22"/>
        <v>5500600</v>
      </c>
      <c r="R273" s="299">
        <f t="shared" si="23"/>
        <v>5500600</v>
      </c>
      <c r="S273" s="112" t="s">
        <v>3749</v>
      </c>
    </row>
    <row r="274" spans="1:19" ht="75">
      <c r="A274" s="266"/>
      <c r="B274" s="87" t="s">
        <v>2058</v>
      </c>
      <c r="C274" s="88" t="s">
        <v>1877</v>
      </c>
      <c r="D274" s="147">
        <v>1</v>
      </c>
      <c r="E274" s="87"/>
      <c r="F274" s="113">
        <f t="shared" si="20"/>
        <v>1</v>
      </c>
      <c r="G274" s="112" t="s">
        <v>3706</v>
      </c>
      <c r="H274" s="120" t="s">
        <v>3386</v>
      </c>
      <c r="I274" s="120" t="s">
        <v>3190</v>
      </c>
      <c r="J274" s="120" t="s">
        <v>772</v>
      </c>
      <c r="K274" s="112">
        <v>5684300</v>
      </c>
      <c r="L274" s="113"/>
      <c r="M274" s="113">
        <v>606400</v>
      </c>
      <c r="N274" s="113"/>
      <c r="O274" s="113"/>
      <c r="P274" s="299">
        <f t="shared" si="21"/>
        <v>6290700</v>
      </c>
      <c r="Q274" s="299">
        <f t="shared" si="22"/>
        <v>6290700</v>
      </c>
      <c r="R274" s="299">
        <f t="shared" si="23"/>
        <v>6290700</v>
      </c>
      <c r="S274" s="112" t="s">
        <v>3749</v>
      </c>
    </row>
    <row r="275" spans="1:19" ht="75">
      <c r="A275" s="266"/>
      <c r="B275" s="87" t="s">
        <v>2059</v>
      </c>
      <c r="C275" s="88" t="s">
        <v>1877</v>
      </c>
      <c r="D275" s="147">
        <v>2</v>
      </c>
      <c r="E275" s="87"/>
      <c r="F275" s="113">
        <f t="shared" si="20"/>
        <v>2</v>
      </c>
      <c r="G275" s="112" t="s">
        <v>3694</v>
      </c>
      <c r="H275" s="120" t="s">
        <v>3386</v>
      </c>
      <c r="I275" s="120" t="s">
        <v>3190</v>
      </c>
      <c r="J275" s="120" t="s">
        <v>772</v>
      </c>
      <c r="K275" s="112">
        <v>4037700</v>
      </c>
      <c r="L275" s="113"/>
      <c r="M275" s="113">
        <v>477300</v>
      </c>
      <c r="N275" s="113"/>
      <c r="O275" s="113"/>
      <c r="P275" s="299">
        <f t="shared" si="21"/>
        <v>4515000</v>
      </c>
      <c r="Q275" s="299">
        <f t="shared" si="22"/>
        <v>9030000</v>
      </c>
      <c r="R275" s="299">
        <f t="shared" si="23"/>
        <v>9030000</v>
      </c>
      <c r="S275" s="112" t="s">
        <v>3749</v>
      </c>
    </row>
    <row r="276" spans="1:19" ht="28.5">
      <c r="A276" s="269">
        <v>4.3</v>
      </c>
      <c r="B276" s="91" t="s">
        <v>2065</v>
      </c>
      <c r="C276" s="88"/>
      <c r="D276" s="147"/>
      <c r="E276" s="87"/>
      <c r="F276" s="113">
        <f t="shared" si="20"/>
        <v>0</v>
      </c>
      <c r="G276" s="112">
        <v>0</v>
      </c>
      <c r="H276" s="120">
        <v>0</v>
      </c>
      <c r="I276" s="120">
        <v>0</v>
      </c>
      <c r="J276" s="120">
        <v>0</v>
      </c>
      <c r="K276" s="112">
        <v>0</v>
      </c>
      <c r="L276" s="113"/>
      <c r="M276" s="113">
        <v>0</v>
      </c>
      <c r="N276" s="113"/>
      <c r="O276" s="113"/>
      <c r="P276" s="299">
        <f t="shared" si="21"/>
        <v>0</v>
      </c>
      <c r="Q276" s="299">
        <f t="shared" si="22"/>
        <v>0</v>
      </c>
      <c r="R276" s="299">
        <f t="shared" si="23"/>
        <v>0</v>
      </c>
      <c r="S276" s="112">
        <v>0</v>
      </c>
    </row>
    <row r="277" spans="1:19" ht="105">
      <c r="A277" s="269"/>
      <c r="B277" s="87" t="s">
        <v>2063</v>
      </c>
      <c r="C277" s="88" t="s">
        <v>1877</v>
      </c>
      <c r="D277" s="147">
        <v>2</v>
      </c>
      <c r="E277" s="87"/>
      <c r="F277" s="113">
        <f t="shared" si="20"/>
        <v>2</v>
      </c>
      <c r="G277" s="112" t="s">
        <v>3688</v>
      </c>
      <c r="H277" s="120" t="s">
        <v>3386</v>
      </c>
      <c r="I277" s="120" t="s">
        <v>3190</v>
      </c>
      <c r="J277" s="120" t="s">
        <v>772</v>
      </c>
      <c r="K277" s="112">
        <v>11667900</v>
      </c>
      <c r="L277" s="113"/>
      <c r="M277" s="113">
        <v>561300</v>
      </c>
      <c r="N277" s="113"/>
      <c r="O277" s="113"/>
      <c r="P277" s="299">
        <f t="shared" si="21"/>
        <v>12229200</v>
      </c>
      <c r="Q277" s="299">
        <f t="shared" si="22"/>
        <v>24458400</v>
      </c>
      <c r="R277" s="299">
        <f t="shared" si="23"/>
        <v>24458400</v>
      </c>
      <c r="S277" s="112" t="s">
        <v>3751</v>
      </c>
    </row>
    <row r="278" spans="1:19" ht="105">
      <c r="A278" s="269"/>
      <c r="B278" s="87" t="s">
        <v>2062</v>
      </c>
      <c r="C278" s="88" t="s">
        <v>1877</v>
      </c>
      <c r="D278" s="147">
        <v>1</v>
      </c>
      <c r="E278" s="87"/>
      <c r="F278" s="113">
        <f t="shared" si="20"/>
        <v>1</v>
      </c>
      <c r="G278" s="112" t="s">
        <v>3705</v>
      </c>
      <c r="H278" s="120" t="s">
        <v>3386</v>
      </c>
      <c r="I278" s="120" t="s">
        <v>3190</v>
      </c>
      <c r="J278" s="120" t="s">
        <v>772</v>
      </c>
      <c r="K278" s="112">
        <v>14379700</v>
      </c>
      <c r="L278" s="113"/>
      <c r="M278" s="113">
        <v>561300</v>
      </c>
      <c r="N278" s="113"/>
      <c r="O278" s="113"/>
      <c r="P278" s="299">
        <f t="shared" si="21"/>
        <v>14941000</v>
      </c>
      <c r="Q278" s="299">
        <f t="shared" si="22"/>
        <v>14941000</v>
      </c>
      <c r="R278" s="299">
        <f t="shared" si="23"/>
        <v>14941000</v>
      </c>
      <c r="S278" s="112" t="s">
        <v>3751</v>
      </c>
    </row>
    <row r="279" spans="1:19" ht="28.5">
      <c r="A279" s="269">
        <v>4.4000000000000004</v>
      </c>
      <c r="B279" s="91" t="s">
        <v>1876</v>
      </c>
      <c r="C279" s="88"/>
      <c r="D279" s="147"/>
      <c r="E279" s="87"/>
      <c r="F279" s="113">
        <f t="shared" si="20"/>
        <v>0</v>
      </c>
      <c r="G279" s="112">
        <v>0</v>
      </c>
      <c r="H279" s="120">
        <v>0</v>
      </c>
      <c r="I279" s="120">
        <v>0</v>
      </c>
      <c r="J279" s="120">
        <v>0</v>
      </c>
      <c r="K279" s="112">
        <v>0</v>
      </c>
      <c r="L279" s="113"/>
      <c r="M279" s="113">
        <v>0</v>
      </c>
      <c r="N279" s="113"/>
      <c r="O279" s="113"/>
      <c r="P279" s="299">
        <f t="shared" si="21"/>
        <v>0</v>
      </c>
      <c r="Q279" s="299">
        <f t="shared" si="22"/>
        <v>0</v>
      </c>
      <c r="R279" s="299">
        <f t="shared" si="23"/>
        <v>0</v>
      </c>
      <c r="S279" s="112">
        <v>0</v>
      </c>
    </row>
    <row r="280" spans="1:19" ht="60">
      <c r="A280" s="269"/>
      <c r="B280" s="87" t="s">
        <v>2066</v>
      </c>
      <c r="C280" s="88" t="s">
        <v>1877</v>
      </c>
      <c r="D280" s="147">
        <v>1</v>
      </c>
      <c r="E280" s="87"/>
      <c r="F280" s="113">
        <f t="shared" si="20"/>
        <v>1</v>
      </c>
      <c r="G280" s="112" t="s">
        <v>3931</v>
      </c>
      <c r="H280" s="120" t="s">
        <v>3189</v>
      </c>
      <c r="I280" s="120" t="s">
        <v>3768</v>
      </c>
      <c r="J280" s="120" t="s">
        <v>772</v>
      </c>
      <c r="K280" s="112">
        <v>7978700</v>
      </c>
      <c r="L280" s="113"/>
      <c r="M280" s="113">
        <v>995500</v>
      </c>
      <c r="N280" s="113"/>
      <c r="O280" s="113"/>
      <c r="P280" s="299">
        <f t="shared" si="21"/>
        <v>8974200</v>
      </c>
      <c r="Q280" s="299">
        <f t="shared" si="22"/>
        <v>8974200</v>
      </c>
      <c r="R280" s="299">
        <f t="shared" si="23"/>
        <v>8974200</v>
      </c>
      <c r="S280" s="112">
        <v>0</v>
      </c>
    </row>
    <row r="281" spans="1:19" ht="60">
      <c r="A281" s="269"/>
      <c r="B281" s="87" t="s">
        <v>2054</v>
      </c>
      <c r="C281" s="88" t="s">
        <v>1877</v>
      </c>
      <c r="D281" s="147">
        <v>2</v>
      </c>
      <c r="E281" s="87"/>
      <c r="F281" s="113">
        <f t="shared" si="20"/>
        <v>2</v>
      </c>
      <c r="G281" s="112" t="s">
        <v>3932</v>
      </c>
      <c r="H281" s="120" t="s">
        <v>3193</v>
      </c>
      <c r="I281" s="120" t="s">
        <v>3768</v>
      </c>
      <c r="J281" s="120" t="s">
        <v>772</v>
      </c>
      <c r="K281" s="112">
        <v>4174000</v>
      </c>
      <c r="L281" s="113"/>
      <c r="M281" s="113">
        <v>577400</v>
      </c>
      <c r="N281" s="113"/>
      <c r="O281" s="113"/>
      <c r="P281" s="299">
        <f t="shared" si="21"/>
        <v>4751400</v>
      </c>
      <c r="Q281" s="299">
        <f t="shared" si="22"/>
        <v>9502800</v>
      </c>
      <c r="R281" s="299">
        <f t="shared" si="23"/>
        <v>9502800</v>
      </c>
      <c r="S281" s="112">
        <v>0</v>
      </c>
    </row>
    <row r="282" spans="1:19" ht="60">
      <c r="A282" s="269"/>
      <c r="B282" s="87" t="s">
        <v>2063</v>
      </c>
      <c r="C282" s="88" t="s">
        <v>1877</v>
      </c>
      <c r="D282" s="147">
        <v>11</v>
      </c>
      <c r="E282" s="87"/>
      <c r="F282" s="113">
        <f t="shared" si="20"/>
        <v>11</v>
      </c>
      <c r="G282" s="112" t="s">
        <v>3933</v>
      </c>
      <c r="H282" s="120" t="s">
        <v>3193</v>
      </c>
      <c r="I282" s="120" t="s">
        <v>3768</v>
      </c>
      <c r="J282" s="120" t="s">
        <v>772</v>
      </c>
      <c r="K282" s="112">
        <v>3831300</v>
      </c>
      <c r="L282" s="113"/>
      <c r="M282" s="113">
        <v>577400</v>
      </c>
      <c r="N282" s="113"/>
      <c r="O282" s="113"/>
      <c r="P282" s="299">
        <f t="shared" si="21"/>
        <v>4408700</v>
      </c>
      <c r="Q282" s="299">
        <f t="shared" si="22"/>
        <v>48495700</v>
      </c>
      <c r="R282" s="299">
        <f t="shared" si="23"/>
        <v>48495700</v>
      </c>
      <c r="S282" s="112">
        <v>0</v>
      </c>
    </row>
    <row r="283" spans="1:19" ht="60">
      <c r="A283" s="269"/>
      <c r="B283" s="87" t="s">
        <v>2064</v>
      </c>
      <c r="C283" s="88" t="s">
        <v>1877</v>
      </c>
      <c r="D283" s="147">
        <v>7</v>
      </c>
      <c r="E283" s="87"/>
      <c r="F283" s="113">
        <f t="shared" si="20"/>
        <v>7</v>
      </c>
      <c r="G283" s="112" t="s">
        <v>3934</v>
      </c>
      <c r="H283" s="120" t="s">
        <v>3193</v>
      </c>
      <c r="I283" s="120" t="s">
        <v>3768</v>
      </c>
      <c r="J283" s="120" t="s">
        <v>772</v>
      </c>
      <c r="K283" s="112">
        <v>3015800</v>
      </c>
      <c r="L283" s="113"/>
      <c r="M283" s="113">
        <v>497800</v>
      </c>
      <c r="N283" s="113"/>
      <c r="O283" s="113"/>
      <c r="P283" s="299">
        <f t="shared" si="21"/>
        <v>3513600</v>
      </c>
      <c r="Q283" s="299">
        <f t="shared" si="22"/>
        <v>24595200</v>
      </c>
      <c r="R283" s="299">
        <f t="shared" si="23"/>
        <v>24595200</v>
      </c>
      <c r="S283" s="112">
        <v>0</v>
      </c>
    </row>
    <row r="284" spans="1:19" ht="60">
      <c r="A284" s="269"/>
      <c r="B284" s="87" t="s">
        <v>2055</v>
      </c>
      <c r="C284" s="88" t="s">
        <v>1877</v>
      </c>
      <c r="D284" s="147">
        <v>1</v>
      </c>
      <c r="E284" s="87"/>
      <c r="F284" s="113">
        <f t="shared" si="20"/>
        <v>1</v>
      </c>
      <c r="G284" s="112" t="s">
        <v>3935</v>
      </c>
      <c r="H284" s="120" t="s">
        <v>3193</v>
      </c>
      <c r="I284" s="120" t="s">
        <v>3768</v>
      </c>
      <c r="J284" s="120" t="s">
        <v>772</v>
      </c>
      <c r="K284" s="112">
        <v>2897600</v>
      </c>
      <c r="L284" s="113"/>
      <c r="M284" s="113">
        <v>477800</v>
      </c>
      <c r="N284" s="113"/>
      <c r="O284" s="113"/>
      <c r="P284" s="299">
        <f t="shared" si="21"/>
        <v>3375400</v>
      </c>
      <c r="Q284" s="299">
        <f t="shared" si="22"/>
        <v>3375400</v>
      </c>
      <c r="R284" s="299">
        <f t="shared" si="23"/>
        <v>3375400</v>
      </c>
      <c r="S284" s="112">
        <v>0</v>
      </c>
    </row>
    <row r="285" spans="1:19" ht="60">
      <c r="A285" s="269"/>
      <c r="B285" s="87" t="s">
        <v>2067</v>
      </c>
      <c r="C285" s="88" t="s">
        <v>1877</v>
      </c>
      <c r="D285" s="147">
        <v>2</v>
      </c>
      <c r="E285" s="87"/>
      <c r="F285" s="113">
        <f t="shared" si="20"/>
        <v>2</v>
      </c>
      <c r="G285" s="112" t="s">
        <v>3936</v>
      </c>
      <c r="H285" s="120" t="s">
        <v>3193</v>
      </c>
      <c r="I285" s="120" t="s">
        <v>3768</v>
      </c>
      <c r="J285" s="120" t="s">
        <v>772</v>
      </c>
      <c r="K285" s="112">
        <v>1715600</v>
      </c>
      <c r="L285" s="113"/>
      <c r="M285" s="113">
        <v>398200</v>
      </c>
      <c r="N285" s="113"/>
      <c r="O285" s="113"/>
      <c r="P285" s="299">
        <f t="shared" si="21"/>
        <v>2113800</v>
      </c>
      <c r="Q285" s="299">
        <f t="shared" si="22"/>
        <v>4227600</v>
      </c>
      <c r="R285" s="299">
        <f t="shared" si="23"/>
        <v>4227600</v>
      </c>
      <c r="S285" s="112">
        <v>0</v>
      </c>
    </row>
    <row r="286" spans="1:19" ht="60">
      <c r="A286" s="269"/>
      <c r="B286" s="87" t="s">
        <v>2056</v>
      </c>
      <c r="C286" s="88" t="s">
        <v>1877</v>
      </c>
      <c r="D286" s="147">
        <v>2</v>
      </c>
      <c r="E286" s="87"/>
      <c r="F286" s="113">
        <f t="shared" si="20"/>
        <v>2</v>
      </c>
      <c r="G286" s="112" t="s">
        <v>3937</v>
      </c>
      <c r="H286" s="120" t="s">
        <v>3193</v>
      </c>
      <c r="I286" s="120" t="s">
        <v>3768</v>
      </c>
      <c r="J286" s="120" t="s">
        <v>772</v>
      </c>
      <c r="K286" s="112">
        <v>2235700</v>
      </c>
      <c r="L286" s="113"/>
      <c r="M286" s="113">
        <v>457900</v>
      </c>
      <c r="N286" s="113"/>
      <c r="O286" s="113"/>
      <c r="P286" s="299">
        <f t="shared" si="21"/>
        <v>2693600</v>
      </c>
      <c r="Q286" s="299">
        <f t="shared" si="22"/>
        <v>5387200</v>
      </c>
      <c r="R286" s="299">
        <f t="shared" si="23"/>
        <v>5387200</v>
      </c>
      <c r="S286" s="112">
        <v>0</v>
      </c>
    </row>
    <row r="287" spans="1:19" ht="60">
      <c r="A287" s="269"/>
      <c r="B287" s="87" t="s">
        <v>2059</v>
      </c>
      <c r="C287" s="88" t="s">
        <v>1877</v>
      </c>
      <c r="D287" s="147">
        <v>7</v>
      </c>
      <c r="E287" s="87"/>
      <c r="F287" s="113">
        <f t="shared" si="20"/>
        <v>7</v>
      </c>
      <c r="G287" s="112" t="s">
        <v>3938</v>
      </c>
      <c r="H287" s="120" t="s">
        <v>3193</v>
      </c>
      <c r="I287" s="120" t="s">
        <v>3768</v>
      </c>
      <c r="J287" s="120" t="s">
        <v>772</v>
      </c>
      <c r="K287" s="112">
        <v>1337400</v>
      </c>
      <c r="L287" s="113"/>
      <c r="M287" s="113">
        <v>506700</v>
      </c>
      <c r="N287" s="113"/>
      <c r="O287" s="113"/>
      <c r="P287" s="299">
        <f t="shared" si="21"/>
        <v>1844100</v>
      </c>
      <c r="Q287" s="299">
        <f t="shared" si="22"/>
        <v>12908700</v>
      </c>
      <c r="R287" s="299">
        <f t="shared" si="23"/>
        <v>12908700</v>
      </c>
      <c r="S287" s="112">
        <v>0</v>
      </c>
    </row>
    <row r="288" spans="1:19" ht="60">
      <c r="A288" s="269"/>
      <c r="B288" s="87" t="s">
        <v>2060</v>
      </c>
      <c r="C288" s="88" t="s">
        <v>1877</v>
      </c>
      <c r="D288" s="147">
        <v>2</v>
      </c>
      <c r="E288" s="87"/>
      <c r="F288" s="113">
        <f t="shared" si="20"/>
        <v>2</v>
      </c>
      <c r="G288" s="112" t="s">
        <v>3939</v>
      </c>
      <c r="H288" s="120" t="s">
        <v>3193</v>
      </c>
      <c r="I288" s="120" t="s">
        <v>3768</v>
      </c>
      <c r="J288" s="120" t="s">
        <v>772</v>
      </c>
      <c r="K288" s="112">
        <v>628300</v>
      </c>
      <c r="L288" s="113"/>
      <c r="M288" s="113">
        <v>225200</v>
      </c>
      <c r="N288" s="113"/>
      <c r="O288" s="113"/>
      <c r="P288" s="299">
        <f t="shared" si="21"/>
        <v>853500</v>
      </c>
      <c r="Q288" s="299">
        <f t="shared" si="22"/>
        <v>1707000</v>
      </c>
      <c r="R288" s="299">
        <f t="shared" si="23"/>
        <v>1707000</v>
      </c>
      <c r="S288" s="112">
        <v>0</v>
      </c>
    </row>
    <row r="289" spans="1:19" ht="28.5">
      <c r="A289" s="269">
        <v>4.5</v>
      </c>
      <c r="B289" s="91" t="s">
        <v>2068</v>
      </c>
      <c r="C289" s="88"/>
      <c r="D289" s="147"/>
      <c r="E289" s="87"/>
      <c r="F289" s="113">
        <f t="shared" si="20"/>
        <v>0</v>
      </c>
      <c r="G289" s="112">
        <v>0</v>
      </c>
      <c r="H289" s="120">
        <v>0</v>
      </c>
      <c r="I289" s="120">
        <v>0</v>
      </c>
      <c r="J289" s="120">
        <v>0</v>
      </c>
      <c r="K289" s="112">
        <v>0</v>
      </c>
      <c r="L289" s="113"/>
      <c r="M289" s="113">
        <v>0</v>
      </c>
      <c r="N289" s="113"/>
      <c r="O289" s="113"/>
      <c r="P289" s="299">
        <f t="shared" si="21"/>
        <v>0</v>
      </c>
      <c r="Q289" s="299">
        <f t="shared" si="22"/>
        <v>0</v>
      </c>
      <c r="R289" s="299">
        <f t="shared" si="23"/>
        <v>0</v>
      </c>
      <c r="S289" s="112">
        <v>0</v>
      </c>
    </row>
    <row r="290" spans="1:19" ht="60">
      <c r="A290" s="269"/>
      <c r="B290" s="87" t="s">
        <v>1941</v>
      </c>
      <c r="C290" s="88" t="s">
        <v>1877</v>
      </c>
      <c r="D290" s="147">
        <v>1</v>
      </c>
      <c r="E290" s="87"/>
      <c r="F290" s="113">
        <f t="shared" si="20"/>
        <v>1</v>
      </c>
      <c r="G290" s="112" t="s">
        <v>3940</v>
      </c>
      <c r="H290" s="120" t="s">
        <v>3193</v>
      </c>
      <c r="I290" s="120" t="s">
        <v>3768</v>
      </c>
      <c r="J290" s="120" t="s">
        <v>772</v>
      </c>
      <c r="K290" s="112">
        <v>5575800</v>
      </c>
      <c r="L290" s="113"/>
      <c r="M290" s="113">
        <v>570200</v>
      </c>
      <c r="N290" s="113"/>
      <c r="O290" s="113"/>
      <c r="P290" s="299">
        <f t="shared" si="21"/>
        <v>6146000</v>
      </c>
      <c r="Q290" s="299">
        <f t="shared" si="22"/>
        <v>6146000</v>
      </c>
      <c r="R290" s="299">
        <f t="shared" si="23"/>
        <v>6146000</v>
      </c>
      <c r="S290" s="112">
        <v>0</v>
      </c>
    </row>
    <row r="291" spans="1:19">
      <c r="A291" s="269">
        <v>4.5999999999999996</v>
      </c>
      <c r="B291" s="91" t="s">
        <v>2069</v>
      </c>
      <c r="C291" s="88"/>
      <c r="D291" s="147"/>
      <c r="E291" s="87"/>
      <c r="F291" s="113">
        <f t="shared" si="20"/>
        <v>0</v>
      </c>
      <c r="G291" s="112">
        <v>0</v>
      </c>
      <c r="H291" s="120">
        <v>0</v>
      </c>
      <c r="I291" s="120">
        <v>0</v>
      </c>
      <c r="J291" s="120">
        <v>0</v>
      </c>
      <c r="K291" s="112">
        <v>0</v>
      </c>
      <c r="L291" s="113"/>
      <c r="M291" s="113">
        <v>0</v>
      </c>
      <c r="N291" s="113"/>
      <c r="O291" s="113"/>
      <c r="P291" s="299">
        <f t="shared" si="21"/>
        <v>0</v>
      </c>
      <c r="Q291" s="299">
        <f t="shared" si="22"/>
        <v>0</v>
      </c>
      <c r="R291" s="299">
        <f t="shared" si="23"/>
        <v>0</v>
      </c>
      <c r="S291" s="112">
        <v>0</v>
      </c>
    </row>
    <row r="292" spans="1:19">
      <c r="A292" s="269"/>
      <c r="B292" s="87" t="s">
        <v>2060</v>
      </c>
      <c r="C292" s="88" t="s">
        <v>1877</v>
      </c>
      <c r="D292" s="147">
        <v>3</v>
      </c>
      <c r="E292" s="87"/>
      <c r="F292" s="113">
        <f t="shared" si="20"/>
        <v>3</v>
      </c>
      <c r="G292" s="112" t="s">
        <v>3503</v>
      </c>
      <c r="H292" s="120" t="s">
        <v>3360</v>
      </c>
      <c r="I292" s="120" t="s">
        <v>3479</v>
      </c>
      <c r="J292" s="120" t="s">
        <v>772</v>
      </c>
      <c r="K292" s="112">
        <v>296400</v>
      </c>
      <c r="L292" s="113"/>
      <c r="M292" s="113">
        <v>134500</v>
      </c>
      <c r="N292" s="113"/>
      <c r="O292" s="113"/>
      <c r="P292" s="299">
        <f t="shared" si="21"/>
        <v>430900</v>
      </c>
      <c r="Q292" s="299">
        <f t="shared" si="22"/>
        <v>1292700</v>
      </c>
      <c r="R292" s="299">
        <f t="shared" si="23"/>
        <v>1292700</v>
      </c>
      <c r="S292" s="112">
        <v>0</v>
      </c>
    </row>
    <row r="293" spans="1:19">
      <c r="A293" s="269">
        <v>4.7</v>
      </c>
      <c r="B293" s="243" t="s">
        <v>1883</v>
      </c>
      <c r="C293" s="88"/>
      <c r="D293" s="147"/>
      <c r="E293" s="87"/>
      <c r="F293" s="113">
        <f t="shared" si="20"/>
        <v>0</v>
      </c>
      <c r="G293" s="112">
        <v>0</v>
      </c>
      <c r="H293" s="120">
        <v>0</v>
      </c>
      <c r="I293" s="120">
        <v>0</v>
      </c>
      <c r="J293" s="120">
        <v>0</v>
      </c>
      <c r="K293" s="112">
        <v>0</v>
      </c>
      <c r="L293" s="113"/>
      <c r="M293" s="113">
        <v>0</v>
      </c>
      <c r="N293" s="113"/>
      <c r="O293" s="113"/>
      <c r="P293" s="299">
        <f t="shared" si="21"/>
        <v>0</v>
      </c>
      <c r="Q293" s="299">
        <f t="shared" si="22"/>
        <v>0</v>
      </c>
      <c r="R293" s="299">
        <f t="shared" si="23"/>
        <v>0</v>
      </c>
      <c r="S293" s="112">
        <v>0</v>
      </c>
    </row>
    <row r="294" spans="1:19" ht="60">
      <c r="A294" s="269"/>
      <c r="B294" s="87" t="s">
        <v>2070</v>
      </c>
      <c r="C294" s="88" t="s">
        <v>1877</v>
      </c>
      <c r="D294" s="147">
        <v>1</v>
      </c>
      <c r="E294" s="87"/>
      <c r="F294" s="113">
        <f t="shared" si="20"/>
        <v>1</v>
      </c>
      <c r="G294" s="112" t="s">
        <v>3941</v>
      </c>
      <c r="H294" s="120" t="s">
        <v>3189</v>
      </c>
      <c r="I294" s="120" t="s">
        <v>3768</v>
      </c>
      <c r="J294" s="120" t="s">
        <v>772</v>
      </c>
      <c r="K294" s="112">
        <v>717300</v>
      </c>
      <c r="L294" s="113"/>
      <c r="M294" s="113">
        <v>242000</v>
      </c>
      <c r="N294" s="113"/>
      <c r="O294" s="113"/>
      <c r="P294" s="299">
        <f t="shared" si="21"/>
        <v>959300</v>
      </c>
      <c r="Q294" s="299">
        <f t="shared" si="22"/>
        <v>959300</v>
      </c>
      <c r="R294" s="299">
        <f t="shared" si="23"/>
        <v>959300</v>
      </c>
      <c r="S294" s="112">
        <v>0</v>
      </c>
    </row>
    <row r="295" spans="1:19" ht="60">
      <c r="A295" s="269"/>
      <c r="B295" s="87" t="s">
        <v>2071</v>
      </c>
      <c r="C295" s="88" t="s">
        <v>1877</v>
      </c>
      <c r="D295" s="147">
        <v>1</v>
      </c>
      <c r="E295" s="87"/>
      <c r="F295" s="113">
        <f t="shared" si="20"/>
        <v>1</v>
      </c>
      <c r="G295" s="112" t="s">
        <v>3942</v>
      </c>
      <c r="H295" s="120" t="s">
        <v>3193</v>
      </c>
      <c r="I295" s="120" t="s">
        <v>3768</v>
      </c>
      <c r="J295" s="120" t="s">
        <v>772</v>
      </c>
      <c r="K295" s="112">
        <v>543700</v>
      </c>
      <c r="L295" s="113"/>
      <c r="M295" s="113">
        <v>167800</v>
      </c>
      <c r="N295" s="113"/>
      <c r="O295" s="113"/>
      <c r="P295" s="299">
        <f t="shared" si="21"/>
        <v>711500</v>
      </c>
      <c r="Q295" s="299">
        <f t="shared" si="22"/>
        <v>711500</v>
      </c>
      <c r="R295" s="299">
        <f t="shared" si="23"/>
        <v>711500</v>
      </c>
      <c r="S295" s="112">
        <v>0</v>
      </c>
    </row>
    <row r="296" spans="1:19" ht="60">
      <c r="A296" s="269"/>
      <c r="B296" s="87" t="s">
        <v>2072</v>
      </c>
      <c r="C296" s="88" t="s">
        <v>1877</v>
      </c>
      <c r="D296" s="147">
        <v>1</v>
      </c>
      <c r="E296" s="87"/>
      <c r="F296" s="113">
        <f t="shared" si="20"/>
        <v>1</v>
      </c>
      <c r="G296" s="112" t="s">
        <v>3943</v>
      </c>
      <c r="H296" s="120" t="s">
        <v>3193</v>
      </c>
      <c r="I296" s="120" t="s">
        <v>3768</v>
      </c>
      <c r="J296" s="120" t="s">
        <v>772</v>
      </c>
      <c r="K296" s="112">
        <v>421500</v>
      </c>
      <c r="L296" s="113"/>
      <c r="M296" s="113">
        <v>127400</v>
      </c>
      <c r="N296" s="113"/>
      <c r="O296" s="113"/>
      <c r="P296" s="299">
        <f t="shared" si="21"/>
        <v>548900</v>
      </c>
      <c r="Q296" s="299">
        <f t="shared" si="22"/>
        <v>548900</v>
      </c>
      <c r="R296" s="299">
        <f t="shared" si="23"/>
        <v>548900</v>
      </c>
      <c r="S296" s="112">
        <v>0</v>
      </c>
    </row>
    <row r="297" spans="1:19">
      <c r="A297" s="269">
        <v>4.8</v>
      </c>
      <c r="B297" s="243" t="s">
        <v>2073</v>
      </c>
      <c r="C297" s="88"/>
      <c r="D297" s="147"/>
      <c r="E297" s="87"/>
      <c r="F297" s="113">
        <f t="shared" si="20"/>
        <v>0</v>
      </c>
      <c r="G297" s="112">
        <v>0</v>
      </c>
      <c r="H297" s="120">
        <v>0</v>
      </c>
      <c r="I297" s="120">
        <v>0</v>
      </c>
      <c r="J297" s="120">
        <v>0</v>
      </c>
      <c r="K297" s="112">
        <v>0</v>
      </c>
      <c r="L297" s="113"/>
      <c r="M297" s="113">
        <v>0</v>
      </c>
      <c r="N297" s="113"/>
      <c r="O297" s="113"/>
      <c r="P297" s="299">
        <f t="shared" si="21"/>
        <v>0</v>
      </c>
      <c r="Q297" s="299">
        <f t="shared" si="22"/>
        <v>0</v>
      </c>
      <c r="R297" s="299">
        <f t="shared" si="23"/>
        <v>0</v>
      </c>
      <c r="S297" s="112">
        <v>0</v>
      </c>
    </row>
    <row r="298" spans="1:19" ht="60">
      <c r="A298" s="269"/>
      <c r="B298" s="87" t="s">
        <v>2074</v>
      </c>
      <c r="C298" s="88" t="s">
        <v>1877</v>
      </c>
      <c r="D298" s="147">
        <v>1</v>
      </c>
      <c r="E298" s="87"/>
      <c r="F298" s="113">
        <f t="shared" si="20"/>
        <v>1</v>
      </c>
      <c r="G298" s="112" t="s">
        <v>3944</v>
      </c>
      <c r="H298" s="120" t="s">
        <v>3193</v>
      </c>
      <c r="I298" s="120" t="s">
        <v>3768</v>
      </c>
      <c r="J298" s="120" t="s">
        <v>772</v>
      </c>
      <c r="K298" s="112">
        <v>420500</v>
      </c>
      <c r="L298" s="113"/>
      <c r="M298" s="113">
        <v>138600</v>
      </c>
      <c r="N298" s="113"/>
      <c r="O298" s="113"/>
      <c r="P298" s="299">
        <f t="shared" si="21"/>
        <v>559100</v>
      </c>
      <c r="Q298" s="299">
        <f t="shared" si="22"/>
        <v>559100</v>
      </c>
      <c r="R298" s="299">
        <f t="shared" si="23"/>
        <v>559100</v>
      </c>
      <c r="S298" s="112">
        <v>0</v>
      </c>
    </row>
    <row r="299" spans="1:19" ht="60">
      <c r="A299" s="269"/>
      <c r="B299" s="87" t="s">
        <v>2072</v>
      </c>
      <c r="C299" s="88" t="s">
        <v>1877</v>
      </c>
      <c r="D299" s="147">
        <v>1</v>
      </c>
      <c r="E299" s="87"/>
      <c r="F299" s="113">
        <f t="shared" si="20"/>
        <v>1</v>
      </c>
      <c r="G299" s="112" t="s">
        <v>3945</v>
      </c>
      <c r="H299" s="120" t="s">
        <v>3193</v>
      </c>
      <c r="I299" s="120" t="s">
        <v>3768</v>
      </c>
      <c r="J299" s="120" t="s">
        <v>772</v>
      </c>
      <c r="K299" s="112">
        <v>322200</v>
      </c>
      <c r="L299" s="113"/>
      <c r="M299" s="113">
        <v>103100</v>
      </c>
      <c r="N299" s="113"/>
      <c r="O299" s="113"/>
      <c r="P299" s="299">
        <f t="shared" si="21"/>
        <v>425300</v>
      </c>
      <c r="Q299" s="299">
        <f t="shared" si="22"/>
        <v>425300</v>
      </c>
      <c r="R299" s="299">
        <f t="shared" si="23"/>
        <v>425300</v>
      </c>
      <c r="S299" s="112">
        <v>0</v>
      </c>
    </row>
    <row r="300" spans="1:19" ht="60">
      <c r="A300" s="269"/>
      <c r="B300" s="87" t="s">
        <v>2071</v>
      </c>
      <c r="C300" s="88" t="s">
        <v>1877</v>
      </c>
      <c r="D300" s="147">
        <v>1</v>
      </c>
      <c r="E300" s="87"/>
      <c r="F300" s="113">
        <f t="shared" si="20"/>
        <v>1</v>
      </c>
      <c r="G300" s="112" t="s">
        <v>3946</v>
      </c>
      <c r="H300" s="120" t="s">
        <v>3193</v>
      </c>
      <c r="I300" s="120" t="s">
        <v>3768</v>
      </c>
      <c r="J300" s="120" t="s">
        <v>772</v>
      </c>
      <c r="K300" s="112">
        <v>411800</v>
      </c>
      <c r="L300" s="113"/>
      <c r="M300" s="113">
        <v>135400</v>
      </c>
      <c r="N300" s="113"/>
      <c r="O300" s="113"/>
      <c r="P300" s="299">
        <f t="shared" si="21"/>
        <v>547200</v>
      </c>
      <c r="Q300" s="299">
        <f t="shared" si="22"/>
        <v>547200</v>
      </c>
      <c r="R300" s="299">
        <f t="shared" si="23"/>
        <v>547200</v>
      </c>
      <c r="S300" s="112">
        <v>0</v>
      </c>
    </row>
    <row r="301" spans="1:19">
      <c r="A301" s="269">
        <v>4.9000000000000004</v>
      </c>
      <c r="B301" s="243" t="s">
        <v>1900</v>
      </c>
      <c r="C301" s="88"/>
      <c r="D301" s="147"/>
      <c r="E301" s="87"/>
      <c r="F301" s="113">
        <f t="shared" si="20"/>
        <v>0</v>
      </c>
      <c r="G301" s="112">
        <v>0</v>
      </c>
      <c r="H301" s="120">
        <v>0</v>
      </c>
      <c r="I301" s="120">
        <v>0</v>
      </c>
      <c r="J301" s="120">
        <v>0</v>
      </c>
      <c r="K301" s="112">
        <v>0</v>
      </c>
      <c r="L301" s="113"/>
      <c r="M301" s="113">
        <v>0</v>
      </c>
      <c r="N301" s="113"/>
      <c r="O301" s="113"/>
      <c r="P301" s="299">
        <f t="shared" si="21"/>
        <v>0</v>
      </c>
      <c r="Q301" s="299">
        <f t="shared" si="22"/>
        <v>0</v>
      </c>
      <c r="R301" s="299">
        <f t="shared" si="23"/>
        <v>0</v>
      </c>
      <c r="S301" s="112">
        <v>0</v>
      </c>
    </row>
    <row r="302" spans="1:19" ht="60">
      <c r="A302" s="269"/>
      <c r="B302" s="87" t="s">
        <v>2075</v>
      </c>
      <c r="C302" s="88" t="s">
        <v>1877</v>
      </c>
      <c r="D302" s="147">
        <v>1</v>
      </c>
      <c r="E302" s="87"/>
      <c r="F302" s="113">
        <f t="shared" si="20"/>
        <v>1</v>
      </c>
      <c r="G302" s="112" t="s">
        <v>3947</v>
      </c>
      <c r="H302" s="120" t="s">
        <v>3193</v>
      </c>
      <c r="I302" s="120" t="s">
        <v>3768</v>
      </c>
      <c r="J302" s="120" t="s">
        <v>772</v>
      </c>
      <c r="K302" s="112">
        <v>4406700</v>
      </c>
      <c r="L302" s="113"/>
      <c r="M302" s="113">
        <v>577400</v>
      </c>
      <c r="N302" s="113"/>
      <c r="O302" s="113"/>
      <c r="P302" s="299">
        <f t="shared" si="21"/>
        <v>4984100</v>
      </c>
      <c r="Q302" s="299">
        <f t="shared" si="22"/>
        <v>4984100</v>
      </c>
      <c r="R302" s="299">
        <f t="shared" si="23"/>
        <v>4984100</v>
      </c>
      <c r="S302" s="112">
        <v>0</v>
      </c>
    </row>
    <row r="303" spans="1:19">
      <c r="A303" s="266">
        <v>4.0999999999999996</v>
      </c>
      <c r="B303" s="242" t="s">
        <v>2076</v>
      </c>
      <c r="C303" s="88"/>
      <c r="D303" s="147"/>
      <c r="E303" s="87"/>
      <c r="F303" s="113">
        <f t="shared" si="20"/>
        <v>0</v>
      </c>
      <c r="G303" s="112">
        <v>0</v>
      </c>
      <c r="H303" s="120">
        <v>0</v>
      </c>
      <c r="I303" s="120">
        <v>0</v>
      </c>
      <c r="J303" s="120">
        <v>0</v>
      </c>
      <c r="K303" s="112">
        <v>0</v>
      </c>
      <c r="L303" s="113"/>
      <c r="M303" s="113">
        <v>0</v>
      </c>
      <c r="N303" s="113"/>
      <c r="O303" s="113"/>
      <c r="P303" s="299">
        <f t="shared" si="21"/>
        <v>0</v>
      </c>
      <c r="Q303" s="299">
        <f t="shared" si="22"/>
        <v>0</v>
      </c>
      <c r="R303" s="299">
        <f t="shared" si="23"/>
        <v>0</v>
      </c>
      <c r="S303" s="112">
        <v>0</v>
      </c>
    </row>
    <row r="304" spans="1:19" ht="60">
      <c r="A304" s="266"/>
      <c r="B304" s="87" t="s">
        <v>2077</v>
      </c>
      <c r="C304" s="88" t="s">
        <v>1877</v>
      </c>
      <c r="D304" s="147">
        <v>7</v>
      </c>
      <c r="E304" s="87"/>
      <c r="F304" s="113">
        <f t="shared" si="20"/>
        <v>7</v>
      </c>
      <c r="G304" s="112" t="s">
        <v>3948</v>
      </c>
      <c r="H304" s="120" t="s">
        <v>3189</v>
      </c>
      <c r="I304" s="120" t="s">
        <v>3768</v>
      </c>
      <c r="J304" s="120" t="s">
        <v>772</v>
      </c>
      <c r="K304" s="112">
        <v>8830300</v>
      </c>
      <c r="L304" s="113"/>
      <c r="M304" s="113">
        <v>3359600</v>
      </c>
      <c r="N304" s="113"/>
      <c r="O304" s="113"/>
      <c r="P304" s="299">
        <f t="shared" si="21"/>
        <v>12189900</v>
      </c>
      <c r="Q304" s="299">
        <f t="shared" si="22"/>
        <v>85329300</v>
      </c>
      <c r="R304" s="299">
        <f t="shared" si="23"/>
        <v>85329300</v>
      </c>
      <c r="S304" s="112">
        <v>0</v>
      </c>
    </row>
    <row r="305" spans="1:19">
      <c r="A305" s="266">
        <v>4.1100000000000003</v>
      </c>
      <c r="B305" s="242" t="s">
        <v>2078</v>
      </c>
      <c r="C305" s="88"/>
      <c r="D305" s="147"/>
      <c r="E305" s="87"/>
      <c r="F305" s="113">
        <f t="shared" si="20"/>
        <v>0</v>
      </c>
      <c r="G305" s="112">
        <v>0</v>
      </c>
      <c r="H305" s="120">
        <v>0</v>
      </c>
      <c r="I305" s="120">
        <v>0</v>
      </c>
      <c r="J305" s="120">
        <v>0</v>
      </c>
      <c r="K305" s="112">
        <v>0</v>
      </c>
      <c r="L305" s="113"/>
      <c r="M305" s="113">
        <v>0</v>
      </c>
      <c r="N305" s="113"/>
      <c r="O305" s="113"/>
      <c r="P305" s="299">
        <f t="shared" si="21"/>
        <v>0</v>
      </c>
      <c r="Q305" s="299">
        <f t="shared" si="22"/>
        <v>0</v>
      </c>
      <c r="R305" s="299">
        <f t="shared" si="23"/>
        <v>0</v>
      </c>
      <c r="S305" s="112">
        <v>0</v>
      </c>
    </row>
    <row r="306" spans="1:19" ht="60">
      <c r="A306" s="266"/>
      <c r="B306" s="87" t="s">
        <v>2079</v>
      </c>
      <c r="C306" s="88" t="s">
        <v>1877</v>
      </c>
      <c r="D306" s="147">
        <v>9</v>
      </c>
      <c r="E306" s="87"/>
      <c r="F306" s="113">
        <f t="shared" si="20"/>
        <v>9</v>
      </c>
      <c r="G306" s="112" t="s">
        <v>3704</v>
      </c>
      <c r="H306" s="120">
        <v>0</v>
      </c>
      <c r="I306" s="120" t="s">
        <v>3190</v>
      </c>
      <c r="J306" s="120" t="s">
        <v>772</v>
      </c>
      <c r="K306" s="112">
        <v>1367500</v>
      </c>
      <c r="L306" s="113"/>
      <c r="M306" s="113">
        <v>435100</v>
      </c>
      <c r="N306" s="113"/>
      <c r="O306" s="113"/>
      <c r="P306" s="299">
        <f t="shared" si="21"/>
        <v>1802600</v>
      </c>
      <c r="Q306" s="299">
        <f t="shared" si="22"/>
        <v>16223400</v>
      </c>
      <c r="R306" s="299">
        <f t="shared" si="23"/>
        <v>16223400</v>
      </c>
      <c r="S306" s="112">
        <v>0</v>
      </c>
    </row>
    <row r="307" spans="1:19" ht="60">
      <c r="A307" s="266"/>
      <c r="B307" s="87" t="s">
        <v>2080</v>
      </c>
      <c r="C307" s="88" t="s">
        <v>1877</v>
      </c>
      <c r="D307" s="147">
        <v>2</v>
      </c>
      <c r="E307" s="87"/>
      <c r="F307" s="113">
        <f t="shared" si="20"/>
        <v>2</v>
      </c>
      <c r="G307" s="112" t="s">
        <v>3703</v>
      </c>
      <c r="H307" s="120">
        <v>0</v>
      </c>
      <c r="I307" s="120" t="s">
        <v>3190</v>
      </c>
      <c r="J307" s="120" t="s">
        <v>772</v>
      </c>
      <c r="K307" s="112">
        <v>932800</v>
      </c>
      <c r="L307" s="113"/>
      <c r="M307" s="113">
        <v>188800</v>
      </c>
      <c r="N307" s="113"/>
      <c r="O307" s="113"/>
      <c r="P307" s="299">
        <f t="shared" si="21"/>
        <v>1121600</v>
      </c>
      <c r="Q307" s="299">
        <f t="shared" si="22"/>
        <v>2243200</v>
      </c>
      <c r="R307" s="299">
        <f t="shared" si="23"/>
        <v>2243200</v>
      </c>
      <c r="S307" s="112">
        <v>0</v>
      </c>
    </row>
    <row r="308" spans="1:19" ht="60">
      <c r="A308" s="266"/>
      <c r="B308" s="87" t="s">
        <v>2081</v>
      </c>
      <c r="C308" s="88" t="s">
        <v>1877</v>
      </c>
      <c r="D308" s="147">
        <v>3</v>
      </c>
      <c r="E308" s="87"/>
      <c r="F308" s="113">
        <f t="shared" si="20"/>
        <v>3</v>
      </c>
      <c r="G308" s="112" t="s">
        <v>3702</v>
      </c>
      <c r="H308" s="120">
        <v>0</v>
      </c>
      <c r="I308" s="120" t="s">
        <v>3190</v>
      </c>
      <c r="J308" s="120" t="s">
        <v>772</v>
      </c>
      <c r="K308" s="112">
        <v>220300</v>
      </c>
      <c r="L308" s="113"/>
      <c r="M308" s="113">
        <v>149800</v>
      </c>
      <c r="N308" s="113"/>
      <c r="O308" s="113"/>
      <c r="P308" s="299">
        <f t="shared" si="21"/>
        <v>370100</v>
      </c>
      <c r="Q308" s="299">
        <f t="shared" si="22"/>
        <v>1110300</v>
      </c>
      <c r="R308" s="299">
        <f t="shared" si="23"/>
        <v>1110300</v>
      </c>
      <c r="S308" s="112">
        <v>0</v>
      </c>
    </row>
    <row r="309" spans="1:19">
      <c r="A309" s="259">
        <v>4.12</v>
      </c>
      <c r="B309" s="257" t="s">
        <v>2082</v>
      </c>
      <c r="C309" s="79"/>
      <c r="D309" s="143"/>
      <c r="E309" s="79"/>
      <c r="F309" s="113">
        <f t="shared" si="20"/>
        <v>0</v>
      </c>
      <c r="G309" s="112">
        <v>0</v>
      </c>
      <c r="H309" s="120">
        <v>0</v>
      </c>
      <c r="I309" s="120">
        <v>0</v>
      </c>
      <c r="J309" s="120">
        <v>0</v>
      </c>
      <c r="K309" s="112">
        <v>0</v>
      </c>
      <c r="L309" s="113"/>
      <c r="M309" s="113">
        <v>0</v>
      </c>
      <c r="N309" s="113"/>
      <c r="O309" s="113"/>
      <c r="P309" s="299">
        <f t="shared" si="21"/>
        <v>0</v>
      </c>
      <c r="Q309" s="299">
        <f t="shared" si="22"/>
        <v>0</v>
      </c>
      <c r="R309" s="299">
        <f t="shared" si="23"/>
        <v>0</v>
      </c>
      <c r="S309" s="112">
        <v>0</v>
      </c>
    </row>
    <row r="310" spans="1:19" ht="45">
      <c r="A310" s="259"/>
      <c r="B310" s="77" t="s">
        <v>2083</v>
      </c>
      <c r="C310" s="76" t="s">
        <v>1861</v>
      </c>
      <c r="D310" s="143">
        <v>6</v>
      </c>
      <c r="E310" s="79"/>
      <c r="F310" s="113">
        <f t="shared" si="20"/>
        <v>6</v>
      </c>
      <c r="G310" s="112" t="s">
        <v>3949</v>
      </c>
      <c r="H310" s="120" t="s">
        <v>3193</v>
      </c>
      <c r="I310" s="120" t="s">
        <v>3768</v>
      </c>
      <c r="J310" s="120" t="s">
        <v>772</v>
      </c>
      <c r="K310" s="112">
        <v>867800</v>
      </c>
      <c r="L310" s="113"/>
      <c r="M310" s="113">
        <v>344200</v>
      </c>
      <c r="N310" s="113"/>
      <c r="O310" s="113"/>
      <c r="P310" s="299">
        <f t="shared" si="21"/>
        <v>1212000</v>
      </c>
      <c r="Q310" s="299">
        <f t="shared" si="22"/>
        <v>7272000</v>
      </c>
      <c r="R310" s="299">
        <f t="shared" si="23"/>
        <v>7272000</v>
      </c>
      <c r="S310" s="112">
        <v>0</v>
      </c>
    </row>
    <row r="311" spans="1:19" ht="45">
      <c r="A311" s="259"/>
      <c r="B311" s="77" t="s">
        <v>2048</v>
      </c>
      <c r="C311" s="76" t="s">
        <v>1861</v>
      </c>
      <c r="D311" s="147">
        <v>6</v>
      </c>
      <c r="E311" s="79"/>
      <c r="F311" s="113">
        <f t="shared" si="20"/>
        <v>6</v>
      </c>
      <c r="G311" s="112" t="s">
        <v>3950</v>
      </c>
      <c r="H311" s="120" t="s">
        <v>3193</v>
      </c>
      <c r="I311" s="120" t="s">
        <v>3768</v>
      </c>
      <c r="J311" s="120" t="s">
        <v>772</v>
      </c>
      <c r="K311" s="112">
        <v>867800</v>
      </c>
      <c r="L311" s="113"/>
      <c r="M311" s="113">
        <v>344200</v>
      </c>
      <c r="N311" s="113"/>
      <c r="O311" s="113"/>
      <c r="P311" s="299">
        <f t="shared" si="21"/>
        <v>1212000</v>
      </c>
      <c r="Q311" s="299">
        <f t="shared" si="22"/>
        <v>7272000</v>
      </c>
      <c r="R311" s="299">
        <f t="shared" si="23"/>
        <v>7272000</v>
      </c>
      <c r="S311" s="112">
        <v>0</v>
      </c>
    </row>
    <row r="312" spans="1:19" ht="45">
      <c r="A312" s="259"/>
      <c r="B312" s="77" t="s">
        <v>1860</v>
      </c>
      <c r="C312" s="76" t="s">
        <v>1861</v>
      </c>
      <c r="D312" s="143">
        <v>10</v>
      </c>
      <c r="E312" s="79"/>
      <c r="F312" s="113">
        <f t="shared" ref="F312:F375" si="24">D312</f>
        <v>10</v>
      </c>
      <c r="G312" s="112" t="s">
        <v>3951</v>
      </c>
      <c r="H312" s="120" t="s">
        <v>3193</v>
      </c>
      <c r="I312" s="120" t="s">
        <v>3768</v>
      </c>
      <c r="J312" s="120" t="s">
        <v>772</v>
      </c>
      <c r="K312" s="112">
        <v>1115700</v>
      </c>
      <c r="L312" s="113"/>
      <c r="M312" s="113">
        <v>442500</v>
      </c>
      <c r="N312" s="113"/>
      <c r="O312" s="113"/>
      <c r="P312" s="299">
        <f t="shared" ref="P312:P375" si="25">K312+L312+M312+N312+O312</f>
        <v>1558200</v>
      </c>
      <c r="Q312" s="299">
        <f t="shared" ref="Q312:Q375" si="26">+P312*D312</f>
        <v>15582000</v>
      </c>
      <c r="R312" s="299">
        <f t="shared" ref="R312:R375" si="27">+P312*F312</f>
        <v>15582000</v>
      </c>
      <c r="S312" s="112">
        <v>0</v>
      </c>
    </row>
    <row r="313" spans="1:19" ht="45">
      <c r="A313" s="259"/>
      <c r="B313" s="77" t="s">
        <v>2084</v>
      </c>
      <c r="C313" s="76" t="s">
        <v>1861</v>
      </c>
      <c r="D313" s="143">
        <v>2</v>
      </c>
      <c r="E313" s="79"/>
      <c r="F313" s="113">
        <f t="shared" si="24"/>
        <v>2</v>
      </c>
      <c r="G313" s="112" t="s">
        <v>3952</v>
      </c>
      <c r="H313" s="120" t="s">
        <v>3193</v>
      </c>
      <c r="I313" s="120" t="s">
        <v>3768</v>
      </c>
      <c r="J313" s="120" t="s">
        <v>772</v>
      </c>
      <c r="K313" s="112">
        <v>1301600</v>
      </c>
      <c r="L313" s="113"/>
      <c r="M313" s="113">
        <v>516300</v>
      </c>
      <c r="N313" s="113"/>
      <c r="O313" s="113"/>
      <c r="P313" s="299">
        <f t="shared" si="25"/>
        <v>1817900</v>
      </c>
      <c r="Q313" s="299">
        <f t="shared" si="26"/>
        <v>3635800</v>
      </c>
      <c r="R313" s="299">
        <f t="shared" si="27"/>
        <v>3635800</v>
      </c>
      <c r="S313" s="112">
        <v>0</v>
      </c>
    </row>
    <row r="314" spans="1:19" ht="45">
      <c r="A314" s="259"/>
      <c r="B314" s="77" t="s">
        <v>2085</v>
      </c>
      <c r="C314" s="76" t="s">
        <v>1861</v>
      </c>
      <c r="D314" s="143">
        <v>19</v>
      </c>
      <c r="E314" s="79"/>
      <c r="F314" s="113">
        <f t="shared" si="24"/>
        <v>19</v>
      </c>
      <c r="G314" s="112" t="s">
        <v>3953</v>
      </c>
      <c r="H314" s="120" t="s">
        <v>3193</v>
      </c>
      <c r="I314" s="120" t="s">
        <v>3768</v>
      </c>
      <c r="J314" s="120" t="s">
        <v>772</v>
      </c>
      <c r="K314" s="112">
        <v>1363600</v>
      </c>
      <c r="L314" s="113"/>
      <c r="M314" s="113">
        <v>540900</v>
      </c>
      <c r="N314" s="113"/>
      <c r="O314" s="113"/>
      <c r="P314" s="299">
        <f t="shared" si="25"/>
        <v>1904500</v>
      </c>
      <c r="Q314" s="299">
        <f t="shared" si="26"/>
        <v>36185500</v>
      </c>
      <c r="R314" s="299">
        <f t="shared" si="27"/>
        <v>36185500</v>
      </c>
      <c r="S314" s="112">
        <v>0</v>
      </c>
    </row>
    <row r="315" spans="1:19" ht="45">
      <c r="A315" s="259"/>
      <c r="B315" s="77" t="s">
        <v>2086</v>
      </c>
      <c r="C315" s="76" t="s">
        <v>1861</v>
      </c>
      <c r="D315" s="147">
        <v>5</v>
      </c>
      <c r="E315" s="79"/>
      <c r="F315" s="113">
        <f t="shared" si="24"/>
        <v>5</v>
      </c>
      <c r="G315" s="112" t="s">
        <v>3954</v>
      </c>
      <c r="H315" s="120" t="s">
        <v>3193</v>
      </c>
      <c r="I315" s="120" t="s">
        <v>3768</v>
      </c>
      <c r="J315" s="120" t="s">
        <v>772</v>
      </c>
      <c r="K315" s="112">
        <v>1611500</v>
      </c>
      <c r="L315" s="113"/>
      <c r="M315" s="113">
        <v>639200</v>
      </c>
      <c r="N315" s="113"/>
      <c r="O315" s="113"/>
      <c r="P315" s="299">
        <f t="shared" si="25"/>
        <v>2250700</v>
      </c>
      <c r="Q315" s="299">
        <f t="shared" si="26"/>
        <v>11253500</v>
      </c>
      <c r="R315" s="299">
        <f t="shared" si="27"/>
        <v>11253500</v>
      </c>
      <c r="S315" s="112">
        <v>0</v>
      </c>
    </row>
    <row r="316" spans="1:19" ht="45">
      <c r="A316" s="259"/>
      <c r="B316" s="77" t="s">
        <v>1929</v>
      </c>
      <c r="C316" s="76" t="s">
        <v>1861</v>
      </c>
      <c r="D316" s="143">
        <v>3</v>
      </c>
      <c r="E316" s="79"/>
      <c r="F316" s="113">
        <f t="shared" si="24"/>
        <v>3</v>
      </c>
      <c r="G316" s="112" t="s">
        <v>3955</v>
      </c>
      <c r="H316" s="120" t="s">
        <v>3193</v>
      </c>
      <c r="I316" s="120" t="s">
        <v>3768</v>
      </c>
      <c r="J316" s="120" t="s">
        <v>772</v>
      </c>
      <c r="K316" s="112">
        <v>1363600</v>
      </c>
      <c r="L316" s="113"/>
      <c r="M316" s="113">
        <v>540900</v>
      </c>
      <c r="N316" s="113"/>
      <c r="O316" s="113"/>
      <c r="P316" s="299">
        <f t="shared" si="25"/>
        <v>1904500</v>
      </c>
      <c r="Q316" s="299">
        <f t="shared" si="26"/>
        <v>5713500</v>
      </c>
      <c r="R316" s="299">
        <f t="shared" si="27"/>
        <v>5713500</v>
      </c>
      <c r="S316" s="112">
        <v>0</v>
      </c>
    </row>
    <row r="317" spans="1:19" ht="45">
      <c r="A317" s="259"/>
      <c r="B317" s="77" t="s">
        <v>2087</v>
      </c>
      <c r="C317" s="76" t="s">
        <v>1861</v>
      </c>
      <c r="D317" s="143">
        <v>59</v>
      </c>
      <c r="E317" s="79"/>
      <c r="F317" s="113">
        <f t="shared" si="24"/>
        <v>59</v>
      </c>
      <c r="G317" s="112" t="s">
        <v>3956</v>
      </c>
      <c r="H317" s="120" t="s">
        <v>3193</v>
      </c>
      <c r="I317" s="120" t="s">
        <v>3768</v>
      </c>
      <c r="J317" s="120" t="s">
        <v>772</v>
      </c>
      <c r="K317" s="112">
        <v>1549500</v>
      </c>
      <c r="L317" s="113"/>
      <c r="M317" s="113">
        <v>614600</v>
      </c>
      <c r="N317" s="113"/>
      <c r="O317" s="113"/>
      <c r="P317" s="299">
        <f t="shared" si="25"/>
        <v>2164100</v>
      </c>
      <c r="Q317" s="299">
        <f t="shared" si="26"/>
        <v>127681900</v>
      </c>
      <c r="R317" s="299">
        <f t="shared" si="27"/>
        <v>127681900</v>
      </c>
      <c r="S317" s="112">
        <v>0</v>
      </c>
    </row>
    <row r="318" spans="1:19" ht="45">
      <c r="A318" s="259"/>
      <c r="B318" s="77" t="s">
        <v>2017</v>
      </c>
      <c r="C318" s="76" t="s">
        <v>1861</v>
      </c>
      <c r="D318" s="147">
        <v>4</v>
      </c>
      <c r="E318" s="79"/>
      <c r="F318" s="113">
        <f t="shared" si="24"/>
        <v>4</v>
      </c>
      <c r="G318" s="112" t="s">
        <v>3893</v>
      </c>
      <c r="H318" s="120" t="s">
        <v>3193</v>
      </c>
      <c r="I318" s="120" t="s">
        <v>3768</v>
      </c>
      <c r="J318" s="120" t="s">
        <v>772</v>
      </c>
      <c r="K318" s="112">
        <v>1921400</v>
      </c>
      <c r="L318" s="113"/>
      <c r="M318" s="113">
        <v>762100</v>
      </c>
      <c r="N318" s="113"/>
      <c r="O318" s="113"/>
      <c r="P318" s="299">
        <f t="shared" si="25"/>
        <v>2683500</v>
      </c>
      <c r="Q318" s="299">
        <f t="shared" si="26"/>
        <v>10734000</v>
      </c>
      <c r="R318" s="299">
        <f t="shared" si="27"/>
        <v>10734000</v>
      </c>
      <c r="S318" s="112">
        <v>0</v>
      </c>
    </row>
    <row r="319" spans="1:19" ht="45">
      <c r="A319" s="259"/>
      <c r="B319" s="77" t="s">
        <v>2088</v>
      </c>
      <c r="C319" s="76" t="s">
        <v>1861</v>
      </c>
      <c r="D319" s="143">
        <v>17</v>
      </c>
      <c r="E319" s="79"/>
      <c r="F319" s="113">
        <f t="shared" si="24"/>
        <v>17</v>
      </c>
      <c r="G319" s="112" t="s">
        <v>3957</v>
      </c>
      <c r="H319" s="120" t="s">
        <v>3193</v>
      </c>
      <c r="I319" s="120" t="s">
        <v>3768</v>
      </c>
      <c r="J319" s="120" t="s">
        <v>772</v>
      </c>
      <c r="K319" s="112">
        <v>1549500</v>
      </c>
      <c r="L319" s="113"/>
      <c r="M319" s="113">
        <v>614600</v>
      </c>
      <c r="N319" s="113"/>
      <c r="O319" s="113"/>
      <c r="P319" s="299">
        <f t="shared" si="25"/>
        <v>2164100</v>
      </c>
      <c r="Q319" s="299">
        <f t="shared" si="26"/>
        <v>36789700</v>
      </c>
      <c r="R319" s="299">
        <f t="shared" si="27"/>
        <v>36789700</v>
      </c>
      <c r="S319" s="112">
        <v>0</v>
      </c>
    </row>
    <row r="320" spans="1:19" ht="45">
      <c r="A320" s="259"/>
      <c r="B320" s="77" t="s">
        <v>2089</v>
      </c>
      <c r="C320" s="76" t="s">
        <v>1861</v>
      </c>
      <c r="D320" s="147">
        <v>3</v>
      </c>
      <c r="E320" s="79"/>
      <c r="F320" s="113">
        <f t="shared" si="24"/>
        <v>3</v>
      </c>
      <c r="G320" s="112" t="s">
        <v>3958</v>
      </c>
      <c r="H320" s="120" t="s">
        <v>3193</v>
      </c>
      <c r="I320" s="120" t="s">
        <v>3768</v>
      </c>
      <c r="J320" s="120" t="s">
        <v>772</v>
      </c>
      <c r="K320" s="112">
        <v>1859400</v>
      </c>
      <c r="L320" s="113"/>
      <c r="M320" s="113">
        <v>737500</v>
      </c>
      <c r="N320" s="113"/>
      <c r="O320" s="113"/>
      <c r="P320" s="299">
        <f t="shared" si="25"/>
        <v>2596900</v>
      </c>
      <c r="Q320" s="299">
        <f t="shared" si="26"/>
        <v>7790700</v>
      </c>
      <c r="R320" s="299">
        <f t="shared" si="27"/>
        <v>7790700</v>
      </c>
      <c r="S320" s="112">
        <v>0</v>
      </c>
    </row>
    <row r="321" spans="1:19" ht="45">
      <c r="A321" s="259"/>
      <c r="B321" s="77" t="s">
        <v>1931</v>
      </c>
      <c r="C321" s="76" t="s">
        <v>1861</v>
      </c>
      <c r="D321" s="147">
        <v>2</v>
      </c>
      <c r="E321" s="79"/>
      <c r="F321" s="113">
        <f t="shared" si="24"/>
        <v>2</v>
      </c>
      <c r="G321" s="112" t="s">
        <v>3959</v>
      </c>
      <c r="H321" s="120" t="s">
        <v>3193</v>
      </c>
      <c r="I321" s="120" t="s">
        <v>3768</v>
      </c>
      <c r="J321" s="120" t="s">
        <v>772</v>
      </c>
      <c r="K321" s="112">
        <v>1611500</v>
      </c>
      <c r="L321" s="113"/>
      <c r="M321" s="113">
        <v>639200</v>
      </c>
      <c r="N321" s="113"/>
      <c r="O321" s="113"/>
      <c r="P321" s="299">
        <f t="shared" si="25"/>
        <v>2250700</v>
      </c>
      <c r="Q321" s="299">
        <f t="shared" si="26"/>
        <v>4501400</v>
      </c>
      <c r="R321" s="299">
        <f t="shared" si="27"/>
        <v>4501400</v>
      </c>
      <c r="S321" s="112">
        <v>0</v>
      </c>
    </row>
    <row r="322" spans="1:19" ht="45">
      <c r="A322" s="259"/>
      <c r="B322" s="77" t="s">
        <v>1931</v>
      </c>
      <c r="C322" s="76" t="s">
        <v>1861</v>
      </c>
      <c r="D322" s="143">
        <v>2</v>
      </c>
      <c r="E322" s="79"/>
      <c r="F322" s="113">
        <f t="shared" si="24"/>
        <v>2</v>
      </c>
      <c r="G322" s="112" t="s">
        <v>3959</v>
      </c>
      <c r="H322" s="120" t="s">
        <v>3193</v>
      </c>
      <c r="I322" s="120" t="s">
        <v>3768</v>
      </c>
      <c r="J322" s="120" t="s">
        <v>772</v>
      </c>
      <c r="K322" s="112">
        <v>1611500</v>
      </c>
      <c r="L322" s="113"/>
      <c r="M322" s="113">
        <v>639200</v>
      </c>
      <c r="N322" s="113"/>
      <c r="O322" s="113"/>
      <c r="P322" s="299">
        <f t="shared" si="25"/>
        <v>2250700</v>
      </c>
      <c r="Q322" s="299">
        <f t="shared" si="26"/>
        <v>4501400</v>
      </c>
      <c r="R322" s="299">
        <f t="shared" si="27"/>
        <v>4501400</v>
      </c>
      <c r="S322" s="112">
        <v>0</v>
      </c>
    </row>
    <row r="323" spans="1:19" ht="45">
      <c r="A323" s="259"/>
      <c r="B323" s="77" t="s">
        <v>2090</v>
      </c>
      <c r="C323" s="76" t="s">
        <v>1861</v>
      </c>
      <c r="D323" s="143">
        <v>22</v>
      </c>
      <c r="E323" s="79"/>
      <c r="F323" s="113">
        <f t="shared" si="24"/>
        <v>22</v>
      </c>
      <c r="G323" s="112" t="s">
        <v>3960</v>
      </c>
      <c r="H323" s="120" t="s">
        <v>3193</v>
      </c>
      <c r="I323" s="120" t="s">
        <v>3768</v>
      </c>
      <c r="J323" s="120" t="s">
        <v>772</v>
      </c>
      <c r="K323" s="112">
        <v>1859400</v>
      </c>
      <c r="L323" s="113"/>
      <c r="M323" s="113">
        <v>737500</v>
      </c>
      <c r="N323" s="113"/>
      <c r="O323" s="113"/>
      <c r="P323" s="299">
        <f t="shared" si="25"/>
        <v>2596900</v>
      </c>
      <c r="Q323" s="299">
        <f t="shared" si="26"/>
        <v>57131800</v>
      </c>
      <c r="R323" s="299">
        <f t="shared" si="27"/>
        <v>57131800</v>
      </c>
      <c r="S323" s="112">
        <v>0</v>
      </c>
    </row>
    <row r="324" spans="1:19" ht="45">
      <c r="A324" s="259"/>
      <c r="B324" s="77" t="s">
        <v>1915</v>
      </c>
      <c r="C324" s="76" t="s">
        <v>1861</v>
      </c>
      <c r="D324" s="147">
        <v>3</v>
      </c>
      <c r="E324" s="79"/>
      <c r="F324" s="113">
        <f t="shared" si="24"/>
        <v>3</v>
      </c>
      <c r="G324" s="112" t="s">
        <v>3897</v>
      </c>
      <c r="H324" s="120" t="s">
        <v>3193</v>
      </c>
      <c r="I324" s="120" t="s">
        <v>3768</v>
      </c>
      <c r="J324" s="120" t="s">
        <v>772</v>
      </c>
      <c r="K324" s="112">
        <v>2107300</v>
      </c>
      <c r="L324" s="113"/>
      <c r="M324" s="113">
        <v>835900</v>
      </c>
      <c r="N324" s="113"/>
      <c r="O324" s="113"/>
      <c r="P324" s="299">
        <f t="shared" si="25"/>
        <v>2943200</v>
      </c>
      <c r="Q324" s="299">
        <f t="shared" si="26"/>
        <v>8829600</v>
      </c>
      <c r="R324" s="299">
        <f t="shared" si="27"/>
        <v>8829600</v>
      </c>
      <c r="S324" s="112">
        <v>0</v>
      </c>
    </row>
    <row r="325" spans="1:19" ht="45">
      <c r="A325" s="259"/>
      <c r="B325" s="77" t="s">
        <v>2091</v>
      </c>
      <c r="C325" s="76" t="s">
        <v>1861</v>
      </c>
      <c r="D325" s="143">
        <v>108</v>
      </c>
      <c r="E325" s="79"/>
      <c r="F325" s="113">
        <f t="shared" si="24"/>
        <v>108</v>
      </c>
      <c r="G325" s="112" t="s">
        <v>3961</v>
      </c>
      <c r="H325" s="120" t="s">
        <v>3193</v>
      </c>
      <c r="I325" s="120" t="s">
        <v>3768</v>
      </c>
      <c r="J325" s="120" t="s">
        <v>772</v>
      </c>
      <c r="K325" s="112">
        <v>1797400</v>
      </c>
      <c r="L325" s="113"/>
      <c r="M325" s="113">
        <v>713000</v>
      </c>
      <c r="N325" s="113"/>
      <c r="O325" s="113"/>
      <c r="P325" s="299">
        <f t="shared" si="25"/>
        <v>2510400</v>
      </c>
      <c r="Q325" s="299">
        <f t="shared" si="26"/>
        <v>271123200</v>
      </c>
      <c r="R325" s="299">
        <f t="shared" si="27"/>
        <v>271123200</v>
      </c>
      <c r="S325" s="112">
        <v>0</v>
      </c>
    </row>
    <row r="326" spans="1:19" ht="45">
      <c r="A326" s="259"/>
      <c r="B326" s="77" t="s">
        <v>1918</v>
      </c>
      <c r="C326" s="76" t="s">
        <v>1861</v>
      </c>
      <c r="D326" s="143">
        <v>11</v>
      </c>
      <c r="E326" s="79"/>
      <c r="F326" s="113">
        <f t="shared" si="24"/>
        <v>11</v>
      </c>
      <c r="G326" s="112" t="s">
        <v>3962</v>
      </c>
      <c r="H326" s="120" t="s">
        <v>3189</v>
      </c>
      <c r="I326" s="120" t="s">
        <v>3768</v>
      </c>
      <c r="J326" s="120" t="s">
        <v>772</v>
      </c>
      <c r="K326" s="112">
        <v>3044800</v>
      </c>
      <c r="L326" s="113"/>
      <c r="M326" s="113">
        <v>1081700</v>
      </c>
      <c r="N326" s="113"/>
      <c r="O326" s="113"/>
      <c r="P326" s="299">
        <f t="shared" si="25"/>
        <v>4126500</v>
      </c>
      <c r="Q326" s="299">
        <f t="shared" si="26"/>
        <v>45391500</v>
      </c>
      <c r="R326" s="299">
        <f t="shared" si="27"/>
        <v>45391500</v>
      </c>
      <c r="S326" s="112">
        <v>0</v>
      </c>
    </row>
    <row r="327" spans="1:19" ht="45">
      <c r="A327" s="266"/>
      <c r="B327" s="87" t="s">
        <v>2021</v>
      </c>
      <c r="C327" s="88" t="s">
        <v>7</v>
      </c>
      <c r="D327" s="147">
        <v>14</v>
      </c>
      <c r="E327" s="87"/>
      <c r="F327" s="113">
        <f t="shared" si="24"/>
        <v>14</v>
      </c>
      <c r="G327" s="112" t="s">
        <v>3898</v>
      </c>
      <c r="H327" s="120" t="s">
        <v>3193</v>
      </c>
      <c r="I327" s="120" t="s">
        <v>3768</v>
      </c>
      <c r="J327" s="120" t="s">
        <v>772</v>
      </c>
      <c r="K327" s="112">
        <v>2169300</v>
      </c>
      <c r="L327" s="113"/>
      <c r="M327" s="113">
        <v>860500</v>
      </c>
      <c r="N327" s="113"/>
      <c r="O327" s="113"/>
      <c r="P327" s="299">
        <f t="shared" si="25"/>
        <v>3029800</v>
      </c>
      <c r="Q327" s="299">
        <f t="shared" si="26"/>
        <v>42417200</v>
      </c>
      <c r="R327" s="299">
        <f t="shared" si="27"/>
        <v>42417200</v>
      </c>
      <c r="S327" s="112">
        <v>0</v>
      </c>
    </row>
    <row r="328" spans="1:19" ht="45">
      <c r="A328" s="266"/>
      <c r="B328" s="87" t="s">
        <v>2092</v>
      </c>
      <c r="C328" s="88" t="s">
        <v>7</v>
      </c>
      <c r="D328" s="147">
        <v>3</v>
      </c>
      <c r="E328" s="87"/>
      <c r="F328" s="113">
        <f t="shared" si="24"/>
        <v>3</v>
      </c>
      <c r="G328" s="112" t="s">
        <v>3963</v>
      </c>
      <c r="H328" s="120" t="s">
        <v>3193</v>
      </c>
      <c r="I328" s="120" t="s">
        <v>3768</v>
      </c>
      <c r="J328" s="120" t="s">
        <v>772</v>
      </c>
      <c r="K328" s="112">
        <v>2107300</v>
      </c>
      <c r="L328" s="113"/>
      <c r="M328" s="113">
        <v>835900</v>
      </c>
      <c r="N328" s="113"/>
      <c r="O328" s="113"/>
      <c r="P328" s="299">
        <f t="shared" si="25"/>
        <v>2943200</v>
      </c>
      <c r="Q328" s="299">
        <f t="shared" si="26"/>
        <v>8829600</v>
      </c>
      <c r="R328" s="299">
        <f t="shared" si="27"/>
        <v>8829600</v>
      </c>
      <c r="S328" s="112">
        <v>0</v>
      </c>
    </row>
    <row r="329" spans="1:19" ht="45">
      <c r="A329" s="266"/>
      <c r="B329" s="87" t="s">
        <v>2093</v>
      </c>
      <c r="C329" s="88" t="s">
        <v>7</v>
      </c>
      <c r="D329" s="147">
        <v>27</v>
      </c>
      <c r="E329" s="87"/>
      <c r="F329" s="113">
        <f t="shared" si="24"/>
        <v>27</v>
      </c>
      <c r="G329" s="112" t="s">
        <v>3964</v>
      </c>
      <c r="H329" s="120" t="s">
        <v>3189</v>
      </c>
      <c r="I329" s="120" t="s">
        <v>3768</v>
      </c>
      <c r="J329" s="120" t="s">
        <v>772</v>
      </c>
      <c r="K329" s="112">
        <v>2906400</v>
      </c>
      <c r="L329" s="113"/>
      <c r="M329" s="113">
        <v>1032500</v>
      </c>
      <c r="N329" s="113"/>
      <c r="O329" s="113"/>
      <c r="P329" s="299">
        <f t="shared" si="25"/>
        <v>3938900</v>
      </c>
      <c r="Q329" s="299">
        <f t="shared" si="26"/>
        <v>106350300</v>
      </c>
      <c r="R329" s="299">
        <f t="shared" si="27"/>
        <v>106350300</v>
      </c>
      <c r="S329" s="112">
        <v>0</v>
      </c>
    </row>
    <row r="330" spans="1:19" ht="45">
      <c r="A330" s="266"/>
      <c r="B330" s="87" t="s">
        <v>2094</v>
      </c>
      <c r="C330" s="88" t="s">
        <v>7</v>
      </c>
      <c r="D330" s="147">
        <v>23</v>
      </c>
      <c r="E330" s="87"/>
      <c r="F330" s="113">
        <f t="shared" si="24"/>
        <v>23</v>
      </c>
      <c r="G330" s="112" t="s">
        <v>3965</v>
      </c>
      <c r="H330" s="120" t="s">
        <v>3189</v>
      </c>
      <c r="I330" s="120" t="s">
        <v>3768</v>
      </c>
      <c r="J330" s="120" t="s">
        <v>772</v>
      </c>
      <c r="K330" s="112">
        <v>2629600</v>
      </c>
      <c r="L330" s="113"/>
      <c r="M330" s="113">
        <v>934200</v>
      </c>
      <c r="N330" s="113"/>
      <c r="O330" s="113"/>
      <c r="P330" s="299">
        <f t="shared" si="25"/>
        <v>3563800</v>
      </c>
      <c r="Q330" s="299">
        <f t="shared" si="26"/>
        <v>81967400</v>
      </c>
      <c r="R330" s="299">
        <f t="shared" si="27"/>
        <v>81967400</v>
      </c>
      <c r="S330" s="112">
        <v>0</v>
      </c>
    </row>
    <row r="331" spans="1:19" ht="45">
      <c r="A331" s="266"/>
      <c r="B331" s="87" t="s">
        <v>2095</v>
      </c>
      <c r="C331" s="88" t="s">
        <v>7</v>
      </c>
      <c r="D331" s="147">
        <v>17</v>
      </c>
      <c r="E331" s="87"/>
      <c r="F331" s="113">
        <f t="shared" si="24"/>
        <v>17</v>
      </c>
      <c r="G331" s="112" t="s">
        <v>3966</v>
      </c>
      <c r="H331" s="120" t="s">
        <v>3189</v>
      </c>
      <c r="I331" s="120" t="s">
        <v>3768</v>
      </c>
      <c r="J331" s="120" t="s">
        <v>772</v>
      </c>
      <c r="K331" s="112">
        <v>2906400</v>
      </c>
      <c r="L331" s="113"/>
      <c r="M331" s="113">
        <v>1032500</v>
      </c>
      <c r="N331" s="113"/>
      <c r="O331" s="113"/>
      <c r="P331" s="299">
        <f t="shared" si="25"/>
        <v>3938900</v>
      </c>
      <c r="Q331" s="299">
        <f t="shared" si="26"/>
        <v>66961300</v>
      </c>
      <c r="R331" s="299">
        <f t="shared" si="27"/>
        <v>66961300</v>
      </c>
      <c r="S331" s="112">
        <v>0</v>
      </c>
    </row>
    <row r="332" spans="1:19" ht="45">
      <c r="A332" s="266"/>
      <c r="B332" s="87" t="s">
        <v>2096</v>
      </c>
      <c r="C332" s="88" t="s">
        <v>7</v>
      </c>
      <c r="D332" s="147">
        <v>23</v>
      </c>
      <c r="E332" s="87"/>
      <c r="F332" s="113">
        <f t="shared" si="24"/>
        <v>23</v>
      </c>
      <c r="G332" s="112" t="s">
        <v>3967</v>
      </c>
      <c r="H332" s="120" t="s">
        <v>3189</v>
      </c>
      <c r="I332" s="120" t="s">
        <v>3768</v>
      </c>
      <c r="J332" s="120" t="s">
        <v>772</v>
      </c>
      <c r="K332" s="112">
        <v>2698800</v>
      </c>
      <c r="L332" s="113"/>
      <c r="M332" s="113">
        <v>958800</v>
      </c>
      <c r="N332" s="113"/>
      <c r="O332" s="113"/>
      <c r="P332" s="299">
        <f t="shared" si="25"/>
        <v>3657600</v>
      </c>
      <c r="Q332" s="299">
        <f t="shared" si="26"/>
        <v>84124800</v>
      </c>
      <c r="R332" s="299">
        <f t="shared" si="27"/>
        <v>84124800</v>
      </c>
      <c r="S332" s="112">
        <v>0</v>
      </c>
    </row>
    <row r="333" spans="1:19" ht="45">
      <c r="A333" s="266"/>
      <c r="B333" s="87" t="s">
        <v>2097</v>
      </c>
      <c r="C333" s="88" t="s">
        <v>7</v>
      </c>
      <c r="D333" s="147">
        <v>26</v>
      </c>
      <c r="E333" s="87"/>
      <c r="F333" s="113">
        <f t="shared" si="24"/>
        <v>26</v>
      </c>
      <c r="G333" s="112" t="s">
        <v>3968</v>
      </c>
      <c r="H333" s="120" t="s">
        <v>3189</v>
      </c>
      <c r="I333" s="120" t="s">
        <v>3768</v>
      </c>
      <c r="J333" s="120" t="s">
        <v>772</v>
      </c>
      <c r="K333" s="112">
        <v>2145200</v>
      </c>
      <c r="L333" s="113"/>
      <c r="M333" s="113">
        <v>762100</v>
      </c>
      <c r="N333" s="113"/>
      <c r="O333" s="113"/>
      <c r="P333" s="299">
        <f t="shared" si="25"/>
        <v>2907300</v>
      </c>
      <c r="Q333" s="299">
        <f t="shared" si="26"/>
        <v>75589800</v>
      </c>
      <c r="R333" s="299">
        <f t="shared" si="27"/>
        <v>75589800</v>
      </c>
      <c r="S333" s="112">
        <v>0</v>
      </c>
    </row>
    <row r="334" spans="1:19" ht="45">
      <c r="A334" s="266"/>
      <c r="B334" s="87" t="s">
        <v>2098</v>
      </c>
      <c r="C334" s="88" t="s">
        <v>7</v>
      </c>
      <c r="D334" s="147">
        <v>23</v>
      </c>
      <c r="E334" s="87"/>
      <c r="F334" s="113">
        <f t="shared" si="24"/>
        <v>23</v>
      </c>
      <c r="G334" s="112" t="s">
        <v>3969</v>
      </c>
      <c r="H334" s="120" t="s">
        <v>3193</v>
      </c>
      <c r="I334" s="120" t="s">
        <v>3768</v>
      </c>
      <c r="J334" s="120" t="s">
        <v>772</v>
      </c>
      <c r="K334" s="112">
        <v>1983400</v>
      </c>
      <c r="L334" s="113"/>
      <c r="M334" s="113">
        <v>786700</v>
      </c>
      <c r="N334" s="113"/>
      <c r="O334" s="113"/>
      <c r="P334" s="299">
        <f t="shared" si="25"/>
        <v>2770100</v>
      </c>
      <c r="Q334" s="299">
        <f t="shared" si="26"/>
        <v>63712300</v>
      </c>
      <c r="R334" s="299">
        <f t="shared" si="27"/>
        <v>63712300</v>
      </c>
      <c r="S334" s="112">
        <v>0</v>
      </c>
    </row>
    <row r="335" spans="1:19" ht="45">
      <c r="A335" s="266"/>
      <c r="B335" s="87" t="s">
        <v>2014</v>
      </c>
      <c r="C335" s="88" t="s">
        <v>7</v>
      </c>
      <c r="D335" s="147">
        <v>23</v>
      </c>
      <c r="E335" s="87"/>
      <c r="F335" s="113">
        <f t="shared" si="24"/>
        <v>23</v>
      </c>
      <c r="G335" s="112" t="s">
        <v>3890</v>
      </c>
      <c r="H335" s="120" t="s">
        <v>3193</v>
      </c>
      <c r="I335" s="120" t="s">
        <v>3768</v>
      </c>
      <c r="J335" s="120" t="s">
        <v>772</v>
      </c>
      <c r="K335" s="112">
        <v>1673500</v>
      </c>
      <c r="L335" s="113"/>
      <c r="M335" s="113">
        <v>663800</v>
      </c>
      <c r="N335" s="113"/>
      <c r="O335" s="113"/>
      <c r="P335" s="299">
        <f t="shared" si="25"/>
        <v>2337300</v>
      </c>
      <c r="Q335" s="299">
        <f t="shared" si="26"/>
        <v>53757900</v>
      </c>
      <c r="R335" s="299">
        <f t="shared" si="27"/>
        <v>53757900</v>
      </c>
      <c r="S335" s="112">
        <v>0</v>
      </c>
    </row>
    <row r="336" spans="1:19" ht="45">
      <c r="A336" s="266"/>
      <c r="B336" s="87" t="s">
        <v>2099</v>
      </c>
      <c r="C336" s="88" t="s">
        <v>7</v>
      </c>
      <c r="D336" s="147">
        <v>46</v>
      </c>
      <c r="E336" s="87"/>
      <c r="F336" s="113">
        <f t="shared" si="24"/>
        <v>46</v>
      </c>
      <c r="G336" s="112" t="s">
        <v>3970</v>
      </c>
      <c r="H336" s="120" t="s">
        <v>3193</v>
      </c>
      <c r="I336" s="120" t="s">
        <v>3768</v>
      </c>
      <c r="J336" s="120" t="s">
        <v>772</v>
      </c>
      <c r="K336" s="112">
        <v>1487500</v>
      </c>
      <c r="L336" s="113"/>
      <c r="M336" s="113">
        <v>590000</v>
      </c>
      <c r="N336" s="113"/>
      <c r="O336" s="113"/>
      <c r="P336" s="299">
        <f t="shared" si="25"/>
        <v>2077500</v>
      </c>
      <c r="Q336" s="299">
        <f t="shared" si="26"/>
        <v>95565000</v>
      </c>
      <c r="R336" s="299">
        <f t="shared" si="27"/>
        <v>95565000</v>
      </c>
      <c r="S336" s="112">
        <v>0</v>
      </c>
    </row>
    <row r="337" spans="1:19" ht="45">
      <c r="A337" s="266"/>
      <c r="B337" s="87" t="s">
        <v>2100</v>
      </c>
      <c r="C337" s="88" t="s">
        <v>7</v>
      </c>
      <c r="D337" s="147">
        <v>21</v>
      </c>
      <c r="E337" s="87"/>
      <c r="F337" s="113">
        <f t="shared" si="24"/>
        <v>21</v>
      </c>
      <c r="G337" s="112" t="s">
        <v>3971</v>
      </c>
      <c r="H337" s="120" t="s">
        <v>3193</v>
      </c>
      <c r="I337" s="120" t="s">
        <v>3768</v>
      </c>
      <c r="J337" s="120" t="s">
        <v>772</v>
      </c>
      <c r="K337" s="112">
        <v>1363600</v>
      </c>
      <c r="L337" s="113"/>
      <c r="M337" s="113">
        <v>540900</v>
      </c>
      <c r="N337" s="113"/>
      <c r="O337" s="113"/>
      <c r="P337" s="299">
        <f t="shared" si="25"/>
        <v>1904500</v>
      </c>
      <c r="Q337" s="299">
        <f t="shared" si="26"/>
        <v>39994500</v>
      </c>
      <c r="R337" s="299">
        <f t="shared" si="27"/>
        <v>39994500</v>
      </c>
      <c r="S337" s="112">
        <v>0</v>
      </c>
    </row>
    <row r="338" spans="1:19" ht="45">
      <c r="A338" s="266"/>
      <c r="B338" s="87" t="s">
        <v>2101</v>
      </c>
      <c r="C338" s="88" t="s">
        <v>7</v>
      </c>
      <c r="D338" s="147">
        <v>2</v>
      </c>
      <c r="E338" s="87"/>
      <c r="F338" s="113">
        <f t="shared" si="24"/>
        <v>2</v>
      </c>
      <c r="G338" s="112" t="s">
        <v>3972</v>
      </c>
      <c r="H338" s="120" t="s">
        <v>3193</v>
      </c>
      <c r="I338" s="120" t="s">
        <v>3768</v>
      </c>
      <c r="J338" s="120" t="s">
        <v>772</v>
      </c>
      <c r="K338" s="112">
        <v>1053700</v>
      </c>
      <c r="L338" s="113"/>
      <c r="M338" s="113">
        <v>418000</v>
      </c>
      <c r="N338" s="113"/>
      <c r="O338" s="113"/>
      <c r="P338" s="299">
        <f t="shared" si="25"/>
        <v>1471700</v>
      </c>
      <c r="Q338" s="299">
        <f t="shared" si="26"/>
        <v>2943400</v>
      </c>
      <c r="R338" s="299">
        <f t="shared" si="27"/>
        <v>2943400</v>
      </c>
      <c r="S338" s="112">
        <v>0</v>
      </c>
    </row>
    <row r="339" spans="1:19" ht="45">
      <c r="A339" s="266"/>
      <c r="B339" s="87" t="s">
        <v>2102</v>
      </c>
      <c r="C339" s="88" t="s">
        <v>7</v>
      </c>
      <c r="D339" s="147">
        <v>27</v>
      </c>
      <c r="E339" s="87"/>
      <c r="F339" s="113">
        <f t="shared" si="24"/>
        <v>27</v>
      </c>
      <c r="G339" s="112" t="s">
        <v>3973</v>
      </c>
      <c r="H339" s="120" t="s">
        <v>3193</v>
      </c>
      <c r="I339" s="120" t="s">
        <v>3768</v>
      </c>
      <c r="J339" s="120" t="s">
        <v>772</v>
      </c>
      <c r="K339" s="112">
        <v>991800</v>
      </c>
      <c r="L339" s="113"/>
      <c r="M339" s="113">
        <v>393400</v>
      </c>
      <c r="N339" s="113"/>
      <c r="O339" s="113"/>
      <c r="P339" s="299">
        <f t="shared" si="25"/>
        <v>1385200</v>
      </c>
      <c r="Q339" s="299">
        <f t="shared" si="26"/>
        <v>37400400</v>
      </c>
      <c r="R339" s="299">
        <f t="shared" si="27"/>
        <v>37400400</v>
      </c>
      <c r="S339" s="112">
        <v>0</v>
      </c>
    </row>
    <row r="340" spans="1:19" ht="45">
      <c r="A340" s="266"/>
      <c r="B340" s="87" t="s">
        <v>2103</v>
      </c>
      <c r="C340" s="88" t="s">
        <v>7</v>
      </c>
      <c r="D340" s="147">
        <v>287</v>
      </c>
      <c r="E340" s="87"/>
      <c r="F340" s="113">
        <f t="shared" si="24"/>
        <v>287</v>
      </c>
      <c r="G340" s="112" t="s">
        <v>3974</v>
      </c>
      <c r="H340" s="120" t="s">
        <v>3193</v>
      </c>
      <c r="I340" s="120" t="s">
        <v>3768</v>
      </c>
      <c r="J340" s="120" t="s">
        <v>772</v>
      </c>
      <c r="K340" s="112">
        <v>681900</v>
      </c>
      <c r="L340" s="113"/>
      <c r="M340" s="113">
        <v>270500</v>
      </c>
      <c r="N340" s="113"/>
      <c r="O340" s="113"/>
      <c r="P340" s="299">
        <f t="shared" si="25"/>
        <v>952400</v>
      </c>
      <c r="Q340" s="299">
        <f t="shared" si="26"/>
        <v>273338800</v>
      </c>
      <c r="R340" s="299">
        <f t="shared" si="27"/>
        <v>273338800</v>
      </c>
      <c r="S340" s="112">
        <v>0</v>
      </c>
    </row>
    <row r="341" spans="1:19" ht="45">
      <c r="A341" s="266"/>
      <c r="B341" s="87" t="s">
        <v>2104</v>
      </c>
      <c r="C341" s="88" t="s">
        <v>7</v>
      </c>
      <c r="D341" s="147">
        <v>438</v>
      </c>
      <c r="E341" s="87"/>
      <c r="F341" s="113">
        <f t="shared" si="24"/>
        <v>438</v>
      </c>
      <c r="G341" s="112" t="s">
        <v>3975</v>
      </c>
      <c r="H341" s="120" t="s">
        <v>3193</v>
      </c>
      <c r="I341" s="120" t="s">
        <v>3768</v>
      </c>
      <c r="J341" s="120" t="s">
        <v>772</v>
      </c>
      <c r="K341" s="112">
        <v>495900</v>
      </c>
      <c r="L341" s="113"/>
      <c r="M341" s="113">
        <v>196700</v>
      </c>
      <c r="N341" s="113"/>
      <c r="O341" s="113"/>
      <c r="P341" s="299">
        <f t="shared" si="25"/>
        <v>692600</v>
      </c>
      <c r="Q341" s="299">
        <f t="shared" si="26"/>
        <v>303358800</v>
      </c>
      <c r="R341" s="299">
        <f t="shared" si="27"/>
        <v>303358800</v>
      </c>
      <c r="S341" s="112">
        <v>0</v>
      </c>
    </row>
    <row r="342" spans="1:19" ht="28.5">
      <c r="A342" s="259">
        <v>4.13</v>
      </c>
      <c r="B342" s="80" t="s">
        <v>2105</v>
      </c>
      <c r="C342" s="79"/>
      <c r="D342" s="143"/>
      <c r="E342" s="76"/>
      <c r="F342" s="113">
        <f t="shared" si="24"/>
        <v>0</v>
      </c>
      <c r="G342" s="112">
        <v>0</v>
      </c>
      <c r="H342" s="120">
        <v>0</v>
      </c>
      <c r="I342" s="120">
        <v>0</v>
      </c>
      <c r="J342" s="120">
        <v>0</v>
      </c>
      <c r="K342" s="112">
        <v>0</v>
      </c>
      <c r="L342" s="113"/>
      <c r="M342" s="113">
        <v>0</v>
      </c>
      <c r="N342" s="113"/>
      <c r="O342" s="113"/>
      <c r="P342" s="299">
        <f t="shared" si="25"/>
        <v>0</v>
      </c>
      <c r="Q342" s="299">
        <f t="shared" si="26"/>
        <v>0</v>
      </c>
      <c r="R342" s="299">
        <f t="shared" si="27"/>
        <v>0</v>
      </c>
      <c r="S342" s="112">
        <v>0</v>
      </c>
    </row>
    <row r="343" spans="1:19" ht="60">
      <c r="A343" s="259"/>
      <c r="B343" s="77" t="s">
        <v>1860</v>
      </c>
      <c r="C343" s="76" t="s">
        <v>1877</v>
      </c>
      <c r="D343" s="143">
        <v>5</v>
      </c>
      <c r="E343" s="76"/>
      <c r="F343" s="113">
        <f t="shared" si="24"/>
        <v>5</v>
      </c>
      <c r="G343" s="112" t="s">
        <v>3976</v>
      </c>
      <c r="H343" s="120" t="s">
        <v>3193</v>
      </c>
      <c r="I343" s="120" t="s">
        <v>3768</v>
      </c>
      <c r="J343" s="120" t="s">
        <v>772</v>
      </c>
      <c r="K343" s="112">
        <v>1337400</v>
      </c>
      <c r="L343" s="113"/>
      <c r="M343" s="113">
        <v>500500</v>
      </c>
      <c r="N343" s="113"/>
      <c r="O343" s="113"/>
      <c r="P343" s="299">
        <f t="shared" si="25"/>
        <v>1837900</v>
      </c>
      <c r="Q343" s="299">
        <f t="shared" si="26"/>
        <v>9189500</v>
      </c>
      <c r="R343" s="299">
        <f t="shared" si="27"/>
        <v>9189500</v>
      </c>
      <c r="S343" s="112">
        <v>0</v>
      </c>
    </row>
    <row r="344" spans="1:19" ht="60">
      <c r="A344" s="259"/>
      <c r="B344" s="77" t="s">
        <v>2085</v>
      </c>
      <c r="C344" s="76" t="s">
        <v>1877</v>
      </c>
      <c r="D344" s="143">
        <v>2</v>
      </c>
      <c r="E344" s="76"/>
      <c r="F344" s="113">
        <f t="shared" si="24"/>
        <v>2</v>
      </c>
      <c r="G344" s="112" t="s">
        <v>3977</v>
      </c>
      <c r="H344" s="120" t="s">
        <v>3193</v>
      </c>
      <c r="I344" s="120" t="s">
        <v>3768</v>
      </c>
      <c r="J344" s="120" t="s">
        <v>772</v>
      </c>
      <c r="K344" s="112">
        <v>1881100</v>
      </c>
      <c r="L344" s="113"/>
      <c r="M344" s="113">
        <v>432700</v>
      </c>
      <c r="N344" s="113"/>
      <c r="O344" s="113"/>
      <c r="P344" s="299">
        <f t="shared" si="25"/>
        <v>2313800</v>
      </c>
      <c r="Q344" s="299">
        <f t="shared" si="26"/>
        <v>4627600</v>
      </c>
      <c r="R344" s="299">
        <f t="shared" si="27"/>
        <v>4627600</v>
      </c>
      <c r="S344" s="112">
        <v>0</v>
      </c>
    </row>
    <row r="345" spans="1:19" ht="60">
      <c r="A345" s="259"/>
      <c r="B345" s="77" t="s">
        <v>2087</v>
      </c>
      <c r="C345" s="76" t="s">
        <v>1877</v>
      </c>
      <c r="D345" s="143">
        <v>2</v>
      </c>
      <c r="E345" s="76"/>
      <c r="F345" s="113">
        <f t="shared" si="24"/>
        <v>2</v>
      </c>
      <c r="G345" s="112" t="s">
        <v>3978</v>
      </c>
      <c r="H345" s="120" t="s">
        <v>3193</v>
      </c>
      <c r="I345" s="120" t="s">
        <v>3768</v>
      </c>
      <c r="J345" s="120" t="s">
        <v>772</v>
      </c>
      <c r="K345" s="112">
        <v>2572500</v>
      </c>
      <c r="L345" s="113"/>
      <c r="M345" s="113">
        <v>491700</v>
      </c>
      <c r="N345" s="113"/>
      <c r="O345" s="113"/>
      <c r="P345" s="299">
        <f t="shared" si="25"/>
        <v>3064200</v>
      </c>
      <c r="Q345" s="299">
        <f t="shared" si="26"/>
        <v>6128400</v>
      </c>
      <c r="R345" s="299">
        <f t="shared" si="27"/>
        <v>6128400</v>
      </c>
      <c r="S345" s="112">
        <v>0</v>
      </c>
    </row>
    <row r="346" spans="1:19" ht="60">
      <c r="A346" s="259"/>
      <c r="B346" s="77" t="s">
        <v>2088</v>
      </c>
      <c r="C346" s="76" t="s">
        <v>1877</v>
      </c>
      <c r="D346" s="143">
        <v>2</v>
      </c>
      <c r="E346" s="76"/>
      <c r="F346" s="113">
        <f t="shared" si="24"/>
        <v>2</v>
      </c>
      <c r="G346" s="112" t="s">
        <v>3979</v>
      </c>
      <c r="H346" s="120" t="s">
        <v>3193</v>
      </c>
      <c r="I346" s="120" t="s">
        <v>3768</v>
      </c>
      <c r="J346" s="120" t="s">
        <v>772</v>
      </c>
      <c r="K346" s="112">
        <v>2720300</v>
      </c>
      <c r="L346" s="113"/>
      <c r="M346" s="113">
        <v>491700</v>
      </c>
      <c r="N346" s="113"/>
      <c r="O346" s="113"/>
      <c r="P346" s="299">
        <f t="shared" si="25"/>
        <v>3212000</v>
      </c>
      <c r="Q346" s="299">
        <f t="shared" si="26"/>
        <v>6424000</v>
      </c>
      <c r="R346" s="299">
        <f t="shared" si="27"/>
        <v>6424000</v>
      </c>
      <c r="S346" s="112">
        <v>0</v>
      </c>
    </row>
    <row r="347" spans="1:19" ht="60">
      <c r="A347" s="266"/>
      <c r="B347" s="87" t="s">
        <v>2106</v>
      </c>
      <c r="C347" s="88" t="s">
        <v>1877</v>
      </c>
      <c r="D347" s="147">
        <v>1</v>
      </c>
      <c r="E347" s="87"/>
      <c r="F347" s="113">
        <f t="shared" si="24"/>
        <v>1</v>
      </c>
      <c r="G347" s="112" t="s">
        <v>3980</v>
      </c>
      <c r="H347" s="120" t="s">
        <v>3193</v>
      </c>
      <c r="I347" s="120" t="s">
        <v>3768</v>
      </c>
      <c r="J347" s="120" t="s">
        <v>772</v>
      </c>
      <c r="K347" s="112">
        <v>3606700</v>
      </c>
      <c r="L347" s="113"/>
      <c r="M347" s="113">
        <v>590000</v>
      </c>
      <c r="N347" s="113"/>
      <c r="O347" s="113"/>
      <c r="P347" s="299">
        <f t="shared" si="25"/>
        <v>4196700</v>
      </c>
      <c r="Q347" s="299">
        <f t="shared" si="26"/>
        <v>4196700</v>
      </c>
      <c r="R347" s="299">
        <f t="shared" si="27"/>
        <v>4196700</v>
      </c>
      <c r="S347" s="112">
        <v>0</v>
      </c>
    </row>
    <row r="348" spans="1:19" ht="60">
      <c r="A348" s="266"/>
      <c r="B348" s="87" t="s">
        <v>2057</v>
      </c>
      <c r="C348" s="88" t="s">
        <v>1877</v>
      </c>
      <c r="D348" s="147">
        <v>2</v>
      </c>
      <c r="E348" s="87"/>
      <c r="F348" s="113">
        <f t="shared" si="24"/>
        <v>2</v>
      </c>
      <c r="G348" s="112" t="s">
        <v>3981</v>
      </c>
      <c r="H348" s="120" t="s">
        <v>3193</v>
      </c>
      <c r="I348" s="120" t="s">
        <v>3768</v>
      </c>
      <c r="J348" s="120" t="s">
        <v>772</v>
      </c>
      <c r="K348" s="112">
        <v>2141100</v>
      </c>
      <c r="L348" s="113"/>
      <c r="M348" s="113">
        <v>432700</v>
      </c>
      <c r="N348" s="113"/>
      <c r="O348" s="113"/>
      <c r="P348" s="299">
        <f t="shared" si="25"/>
        <v>2573800</v>
      </c>
      <c r="Q348" s="299">
        <f t="shared" si="26"/>
        <v>5147600</v>
      </c>
      <c r="R348" s="299">
        <f t="shared" si="27"/>
        <v>5147600</v>
      </c>
      <c r="S348" s="112">
        <v>0</v>
      </c>
    </row>
    <row r="349" spans="1:19" ht="60">
      <c r="A349" s="266"/>
      <c r="B349" s="87" t="s">
        <v>2107</v>
      </c>
      <c r="C349" s="88" t="s">
        <v>1877</v>
      </c>
      <c r="D349" s="147">
        <v>2</v>
      </c>
      <c r="E349" s="87"/>
      <c r="F349" s="113">
        <f t="shared" si="24"/>
        <v>2</v>
      </c>
      <c r="G349" s="112" t="s">
        <v>3982</v>
      </c>
      <c r="H349" s="120" t="s">
        <v>3193</v>
      </c>
      <c r="I349" s="120" t="s">
        <v>3768</v>
      </c>
      <c r="J349" s="120" t="s">
        <v>772</v>
      </c>
      <c r="K349" s="112">
        <v>888300</v>
      </c>
      <c r="L349" s="113"/>
      <c r="M349" s="113">
        <v>324400</v>
      </c>
      <c r="N349" s="113"/>
      <c r="O349" s="113"/>
      <c r="P349" s="299">
        <f t="shared" si="25"/>
        <v>1212700</v>
      </c>
      <c r="Q349" s="299">
        <f t="shared" si="26"/>
        <v>2425400</v>
      </c>
      <c r="R349" s="299">
        <f t="shared" si="27"/>
        <v>2425400</v>
      </c>
      <c r="S349" s="112">
        <v>0</v>
      </c>
    </row>
    <row r="350" spans="1:19" ht="60">
      <c r="A350" s="266"/>
      <c r="B350" s="87" t="s">
        <v>2108</v>
      </c>
      <c r="C350" s="88" t="s">
        <v>1877</v>
      </c>
      <c r="D350" s="147">
        <v>3</v>
      </c>
      <c r="E350" s="87"/>
      <c r="F350" s="113">
        <f t="shared" si="24"/>
        <v>3</v>
      </c>
      <c r="G350" s="112" t="s">
        <v>3983</v>
      </c>
      <c r="H350" s="120" t="s">
        <v>3193</v>
      </c>
      <c r="I350" s="120" t="s">
        <v>3768</v>
      </c>
      <c r="J350" s="120" t="s">
        <v>772</v>
      </c>
      <c r="K350" s="112">
        <v>722800</v>
      </c>
      <c r="L350" s="113"/>
      <c r="M350" s="113">
        <v>259500</v>
      </c>
      <c r="N350" s="113"/>
      <c r="O350" s="113"/>
      <c r="P350" s="299">
        <f t="shared" si="25"/>
        <v>982300</v>
      </c>
      <c r="Q350" s="299">
        <f t="shared" si="26"/>
        <v>2946900</v>
      </c>
      <c r="R350" s="299">
        <f t="shared" si="27"/>
        <v>2946900</v>
      </c>
      <c r="S350" s="112">
        <v>0</v>
      </c>
    </row>
    <row r="351" spans="1:19" ht="60">
      <c r="A351" s="266"/>
      <c r="B351" s="87" t="s">
        <v>2103</v>
      </c>
      <c r="C351" s="88" t="s">
        <v>1877</v>
      </c>
      <c r="D351" s="147">
        <v>57</v>
      </c>
      <c r="E351" s="87"/>
      <c r="F351" s="113">
        <f t="shared" si="24"/>
        <v>57</v>
      </c>
      <c r="G351" s="112" t="s">
        <v>3984</v>
      </c>
      <c r="H351" s="120" t="s">
        <v>3193</v>
      </c>
      <c r="I351" s="120" t="s">
        <v>3768</v>
      </c>
      <c r="J351" s="120" t="s">
        <v>772</v>
      </c>
      <c r="K351" s="112">
        <v>451000</v>
      </c>
      <c r="L351" s="113"/>
      <c r="M351" s="113">
        <v>153000</v>
      </c>
      <c r="N351" s="113"/>
      <c r="O351" s="113"/>
      <c r="P351" s="299">
        <f t="shared" si="25"/>
        <v>604000</v>
      </c>
      <c r="Q351" s="299">
        <f t="shared" si="26"/>
        <v>34428000</v>
      </c>
      <c r="R351" s="299">
        <f t="shared" si="27"/>
        <v>34428000</v>
      </c>
      <c r="S351" s="112">
        <v>0</v>
      </c>
    </row>
    <row r="352" spans="1:19" ht="60">
      <c r="A352" s="266"/>
      <c r="B352" s="87" t="s">
        <v>2104</v>
      </c>
      <c r="C352" s="88" t="s">
        <v>1877</v>
      </c>
      <c r="D352" s="147">
        <v>47</v>
      </c>
      <c r="E352" s="87"/>
      <c r="F352" s="113">
        <f t="shared" si="24"/>
        <v>47</v>
      </c>
      <c r="G352" s="112" t="s">
        <v>3985</v>
      </c>
      <c r="H352" s="120" t="s">
        <v>3193</v>
      </c>
      <c r="I352" s="120" t="s">
        <v>3768</v>
      </c>
      <c r="J352" s="120" t="s">
        <v>772</v>
      </c>
      <c r="K352" s="112">
        <v>250000</v>
      </c>
      <c r="L352" s="113"/>
      <c r="M352" s="113">
        <v>74200</v>
      </c>
      <c r="N352" s="113"/>
      <c r="O352" s="113"/>
      <c r="P352" s="299">
        <f t="shared" si="25"/>
        <v>324200</v>
      </c>
      <c r="Q352" s="299">
        <f t="shared" si="26"/>
        <v>15237400</v>
      </c>
      <c r="R352" s="299">
        <f t="shared" si="27"/>
        <v>15237400</v>
      </c>
      <c r="S352" s="112">
        <v>0</v>
      </c>
    </row>
    <row r="353" spans="1:19">
      <c r="A353" s="259">
        <v>4.1399999999999997</v>
      </c>
      <c r="B353" s="80" t="s">
        <v>2109</v>
      </c>
      <c r="C353" s="79"/>
      <c r="D353" s="143"/>
      <c r="E353" s="76"/>
      <c r="F353" s="113">
        <f t="shared" si="24"/>
        <v>0</v>
      </c>
      <c r="G353" s="112">
        <v>0</v>
      </c>
      <c r="H353" s="120">
        <v>0</v>
      </c>
      <c r="I353" s="120">
        <v>0</v>
      </c>
      <c r="J353" s="120">
        <v>0</v>
      </c>
      <c r="K353" s="112">
        <v>0</v>
      </c>
      <c r="L353" s="113"/>
      <c r="M353" s="113">
        <v>0</v>
      </c>
      <c r="N353" s="113"/>
      <c r="O353" s="113"/>
      <c r="P353" s="299">
        <f t="shared" si="25"/>
        <v>0</v>
      </c>
      <c r="Q353" s="299">
        <f t="shared" si="26"/>
        <v>0</v>
      </c>
      <c r="R353" s="299">
        <f t="shared" si="27"/>
        <v>0</v>
      </c>
      <c r="S353" s="112">
        <v>0</v>
      </c>
    </row>
    <row r="354" spans="1:19" ht="60">
      <c r="A354" s="259"/>
      <c r="B354" s="77" t="s">
        <v>2110</v>
      </c>
      <c r="C354" s="76" t="s">
        <v>1877</v>
      </c>
      <c r="D354" s="143">
        <v>6</v>
      </c>
      <c r="E354" s="76"/>
      <c r="F354" s="113">
        <f t="shared" si="24"/>
        <v>6</v>
      </c>
      <c r="G354" s="112" t="s">
        <v>3986</v>
      </c>
      <c r="H354" s="120" t="s">
        <v>3193</v>
      </c>
      <c r="I354" s="120" t="s">
        <v>3768</v>
      </c>
      <c r="J354" s="120" t="s">
        <v>772</v>
      </c>
      <c r="K354" s="112">
        <v>2300800</v>
      </c>
      <c r="L354" s="113"/>
      <c r="M354" s="113">
        <v>693600</v>
      </c>
      <c r="N354" s="113"/>
      <c r="O354" s="113"/>
      <c r="P354" s="299">
        <f t="shared" si="25"/>
        <v>2994400</v>
      </c>
      <c r="Q354" s="299">
        <f t="shared" si="26"/>
        <v>17966400</v>
      </c>
      <c r="R354" s="299">
        <f t="shared" si="27"/>
        <v>17966400</v>
      </c>
      <c r="S354" s="112">
        <v>0</v>
      </c>
    </row>
    <row r="355" spans="1:19" ht="60">
      <c r="A355" s="259"/>
      <c r="B355" s="77" t="s">
        <v>2111</v>
      </c>
      <c r="C355" s="76" t="s">
        <v>1877</v>
      </c>
      <c r="D355" s="143">
        <v>4</v>
      </c>
      <c r="E355" s="76"/>
      <c r="F355" s="113">
        <f t="shared" si="24"/>
        <v>4</v>
      </c>
      <c r="G355" s="112" t="s">
        <v>3987</v>
      </c>
      <c r="H355" s="120" t="s">
        <v>3193</v>
      </c>
      <c r="I355" s="120" t="s">
        <v>3768</v>
      </c>
      <c r="J355" s="120" t="s">
        <v>772</v>
      </c>
      <c r="K355" s="112">
        <v>2238700</v>
      </c>
      <c r="L355" s="113"/>
      <c r="M355" s="113">
        <v>674500</v>
      </c>
      <c r="N355" s="113"/>
      <c r="O355" s="113"/>
      <c r="P355" s="299">
        <f t="shared" si="25"/>
        <v>2913200</v>
      </c>
      <c r="Q355" s="299">
        <f t="shared" si="26"/>
        <v>11652800</v>
      </c>
      <c r="R355" s="299">
        <f t="shared" si="27"/>
        <v>11652800</v>
      </c>
      <c r="S355" s="112">
        <v>0</v>
      </c>
    </row>
    <row r="356" spans="1:19" ht="60">
      <c r="A356" s="259"/>
      <c r="B356" s="77" t="s">
        <v>2112</v>
      </c>
      <c r="C356" s="76" t="s">
        <v>1877</v>
      </c>
      <c r="D356" s="143">
        <v>6</v>
      </c>
      <c r="E356" s="76"/>
      <c r="F356" s="113">
        <f t="shared" si="24"/>
        <v>6</v>
      </c>
      <c r="G356" s="112" t="s">
        <v>3988</v>
      </c>
      <c r="H356" s="120" t="s">
        <v>3193</v>
      </c>
      <c r="I356" s="120" t="s">
        <v>3768</v>
      </c>
      <c r="J356" s="120" t="s">
        <v>772</v>
      </c>
      <c r="K356" s="112">
        <v>2256300</v>
      </c>
      <c r="L356" s="113"/>
      <c r="M356" s="113">
        <v>679900</v>
      </c>
      <c r="N356" s="113"/>
      <c r="O356" s="113"/>
      <c r="P356" s="299">
        <f t="shared" si="25"/>
        <v>2936200</v>
      </c>
      <c r="Q356" s="299">
        <f t="shared" si="26"/>
        <v>17617200</v>
      </c>
      <c r="R356" s="299">
        <f t="shared" si="27"/>
        <v>17617200</v>
      </c>
      <c r="S356" s="112">
        <v>0</v>
      </c>
    </row>
    <row r="357" spans="1:19" ht="60">
      <c r="A357" s="266"/>
      <c r="B357" s="87" t="s">
        <v>2113</v>
      </c>
      <c r="C357" s="88" t="s">
        <v>1877</v>
      </c>
      <c r="D357" s="147">
        <v>2</v>
      </c>
      <c r="E357" s="87"/>
      <c r="F357" s="113">
        <f t="shared" si="24"/>
        <v>2</v>
      </c>
      <c r="G357" s="112" t="s">
        <v>3989</v>
      </c>
      <c r="H357" s="120" t="s">
        <v>3193</v>
      </c>
      <c r="I357" s="120" t="s">
        <v>3768</v>
      </c>
      <c r="J357" s="120" t="s">
        <v>772</v>
      </c>
      <c r="K357" s="112">
        <v>2211700</v>
      </c>
      <c r="L357" s="113"/>
      <c r="M357" s="113">
        <v>666300</v>
      </c>
      <c r="N357" s="113"/>
      <c r="O357" s="113"/>
      <c r="P357" s="299">
        <f t="shared" si="25"/>
        <v>2878000</v>
      </c>
      <c r="Q357" s="299">
        <f t="shared" si="26"/>
        <v>5756000</v>
      </c>
      <c r="R357" s="299">
        <f t="shared" si="27"/>
        <v>5756000</v>
      </c>
      <c r="S357" s="112">
        <v>0</v>
      </c>
    </row>
    <row r="358" spans="1:19" ht="60">
      <c r="A358" s="266"/>
      <c r="B358" s="87" t="s">
        <v>2114</v>
      </c>
      <c r="C358" s="88" t="s">
        <v>1877</v>
      </c>
      <c r="D358" s="147">
        <v>2</v>
      </c>
      <c r="E358" s="87"/>
      <c r="F358" s="113">
        <f t="shared" si="24"/>
        <v>2</v>
      </c>
      <c r="G358" s="112" t="s">
        <v>3990</v>
      </c>
      <c r="H358" s="120" t="s">
        <v>3193</v>
      </c>
      <c r="I358" s="120" t="s">
        <v>3768</v>
      </c>
      <c r="J358" s="120" t="s">
        <v>772</v>
      </c>
      <c r="K358" s="112">
        <v>2208100</v>
      </c>
      <c r="L358" s="113"/>
      <c r="M358" s="113">
        <v>665200</v>
      </c>
      <c r="N358" s="113"/>
      <c r="O358" s="113"/>
      <c r="P358" s="299">
        <f t="shared" si="25"/>
        <v>2873300</v>
      </c>
      <c r="Q358" s="299">
        <f t="shared" si="26"/>
        <v>5746600</v>
      </c>
      <c r="R358" s="299">
        <f t="shared" si="27"/>
        <v>5746600</v>
      </c>
      <c r="S358" s="112">
        <v>0</v>
      </c>
    </row>
    <row r="359" spans="1:19" ht="60">
      <c r="A359" s="266"/>
      <c r="B359" s="87" t="s">
        <v>2115</v>
      </c>
      <c r="C359" s="88" t="s">
        <v>1877</v>
      </c>
      <c r="D359" s="147">
        <v>4</v>
      </c>
      <c r="E359" s="87"/>
      <c r="F359" s="113">
        <f t="shared" si="24"/>
        <v>4</v>
      </c>
      <c r="G359" s="112" t="s">
        <v>3991</v>
      </c>
      <c r="H359" s="120" t="s">
        <v>3193</v>
      </c>
      <c r="I359" s="120" t="s">
        <v>3768</v>
      </c>
      <c r="J359" s="120" t="s">
        <v>772</v>
      </c>
      <c r="K359" s="112">
        <v>2229800</v>
      </c>
      <c r="L359" s="113"/>
      <c r="M359" s="113">
        <v>671800</v>
      </c>
      <c r="N359" s="113"/>
      <c r="O359" s="113"/>
      <c r="P359" s="299">
        <f t="shared" si="25"/>
        <v>2901600</v>
      </c>
      <c r="Q359" s="299">
        <f t="shared" si="26"/>
        <v>11606400</v>
      </c>
      <c r="R359" s="299">
        <f t="shared" si="27"/>
        <v>11606400</v>
      </c>
      <c r="S359" s="112">
        <v>0</v>
      </c>
    </row>
    <row r="360" spans="1:19" ht="60">
      <c r="A360" s="266"/>
      <c r="B360" s="87" t="s">
        <v>2116</v>
      </c>
      <c r="C360" s="88" t="s">
        <v>1877</v>
      </c>
      <c r="D360" s="147">
        <v>2</v>
      </c>
      <c r="E360" s="87"/>
      <c r="F360" s="113">
        <f t="shared" si="24"/>
        <v>2</v>
      </c>
      <c r="G360" s="112" t="s">
        <v>3992</v>
      </c>
      <c r="H360" s="120" t="s">
        <v>3193</v>
      </c>
      <c r="I360" s="120" t="s">
        <v>3768</v>
      </c>
      <c r="J360" s="120" t="s">
        <v>772</v>
      </c>
      <c r="K360" s="112">
        <v>2254700</v>
      </c>
      <c r="L360" s="113"/>
      <c r="M360" s="113">
        <v>679500</v>
      </c>
      <c r="N360" s="113"/>
      <c r="O360" s="113"/>
      <c r="P360" s="299">
        <f t="shared" si="25"/>
        <v>2934200</v>
      </c>
      <c r="Q360" s="299">
        <f t="shared" si="26"/>
        <v>5868400</v>
      </c>
      <c r="R360" s="299">
        <f t="shared" si="27"/>
        <v>5868400</v>
      </c>
      <c r="S360" s="112">
        <v>0</v>
      </c>
    </row>
    <row r="361" spans="1:19">
      <c r="A361" s="259">
        <v>4.1500000000000004</v>
      </c>
      <c r="B361" s="80" t="s">
        <v>2038</v>
      </c>
      <c r="C361" s="79"/>
      <c r="D361" s="143"/>
      <c r="E361" s="76"/>
      <c r="F361" s="113">
        <f t="shared" si="24"/>
        <v>0</v>
      </c>
      <c r="G361" s="112">
        <v>0</v>
      </c>
      <c r="H361" s="120">
        <v>0</v>
      </c>
      <c r="I361" s="120">
        <v>0</v>
      </c>
      <c r="J361" s="120">
        <v>0</v>
      </c>
      <c r="K361" s="112">
        <v>0</v>
      </c>
      <c r="L361" s="113"/>
      <c r="M361" s="113">
        <v>0</v>
      </c>
      <c r="N361" s="113"/>
      <c r="O361" s="113"/>
      <c r="P361" s="299">
        <f t="shared" si="25"/>
        <v>0</v>
      </c>
      <c r="Q361" s="299">
        <f t="shared" si="26"/>
        <v>0</v>
      </c>
      <c r="R361" s="299">
        <f t="shared" si="27"/>
        <v>0</v>
      </c>
      <c r="S361" s="112">
        <v>0</v>
      </c>
    </row>
    <row r="362" spans="1:19" ht="60">
      <c r="A362" s="259"/>
      <c r="B362" s="77" t="s">
        <v>1931</v>
      </c>
      <c r="C362" s="76" t="s">
        <v>1877</v>
      </c>
      <c r="D362" s="143">
        <v>3</v>
      </c>
      <c r="E362" s="76"/>
      <c r="F362" s="113">
        <f t="shared" si="24"/>
        <v>3</v>
      </c>
      <c r="G362" s="112" t="s">
        <v>3578</v>
      </c>
      <c r="H362" s="120" t="s">
        <v>3193</v>
      </c>
      <c r="I362" s="120" t="s">
        <v>3479</v>
      </c>
      <c r="J362" s="120" t="s">
        <v>772</v>
      </c>
      <c r="K362" s="112">
        <v>950000</v>
      </c>
      <c r="L362" s="113"/>
      <c r="M362" s="113">
        <v>397100</v>
      </c>
      <c r="N362" s="113"/>
      <c r="O362" s="113"/>
      <c r="P362" s="299">
        <f t="shared" si="25"/>
        <v>1347100</v>
      </c>
      <c r="Q362" s="299">
        <f t="shared" si="26"/>
        <v>4041300</v>
      </c>
      <c r="R362" s="299">
        <f t="shared" si="27"/>
        <v>4041300</v>
      </c>
      <c r="S362" s="112">
        <v>0</v>
      </c>
    </row>
    <row r="363" spans="1:19" ht="60">
      <c r="A363" s="259"/>
      <c r="B363" s="77" t="s">
        <v>2090</v>
      </c>
      <c r="C363" s="76" t="s">
        <v>1877</v>
      </c>
      <c r="D363" s="143">
        <v>2</v>
      </c>
      <c r="E363" s="76"/>
      <c r="F363" s="113">
        <f t="shared" si="24"/>
        <v>2</v>
      </c>
      <c r="G363" s="112" t="s">
        <v>3577</v>
      </c>
      <c r="H363" s="120" t="s">
        <v>3193</v>
      </c>
      <c r="I363" s="120" t="s">
        <v>3479</v>
      </c>
      <c r="J363" s="120" t="s">
        <v>772</v>
      </c>
      <c r="K363" s="112">
        <v>1153900</v>
      </c>
      <c r="L363" s="113"/>
      <c r="M363" s="113">
        <v>458200</v>
      </c>
      <c r="N363" s="113"/>
      <c r="O363" s="113"/>
      <c r="P363" s="299">
        <f t="shared" si="25"/>
        <v>1612100</v>
      </c>
      <c r="Q363" s="299">
        <f t="shared" si="26"/>
        <v>3224200</v>
      </c>
      <c r="R363" s="299">
        <f t="shared" si="27"/>
        <v>3224200</v>
      </c>
      <c r="S363" s="112">
        <v>0</v>
      </c>
    </row>
    <row r="364" spans="1:19" ht="60">
      <c r="A364" s="259"/>
      <c r="B364" s="77" t="s">
        <v>2117</v>
      </c>
      <c r="C364" s="76" t="s">
        <v>1877</v>
      </c>
      <c r="D364" s="143">
        <v>1</v>
      </c>
      <c r="E364" s="76"/>
      <c r="F364" s="113">
        <f t="shared" si="24"/>
        <v>1</v>
      </c>
      <c r="G364" s="112" t="s">
        <v>3576</v>
      </c>
      <c r="H364" s="120" t="s">
        <v>3193</v>
      </c>
      <c r="I364" s="120" t="s">
        <v>3479</v>
      </c>
      <c r="J364" s="120" t="s">
        <v>772</v>
      </c>
      <c r="K364" s="112">
        <v>1637300</v>
      </c>
      <c r="L364" s="113"/>
      <c r="M364" s="113">
        <v>560100</v>
      </c>
      <c r="N364" s="113"/>
      <c r="O364" s="113"/>
      <c r="P364" s="299">
        <f t="shared" si="25"/>
        <v>2197400</v>
      </c>
      <c r="Q364" s="299">
        <f t="shared" si="26"/>
        <v>2197400</v>
      </c>
      <c r="R364" s="299">
        <f t="shared" si="27"/>
        <v>2197400</v>
      </c>
      <c r="S364" s="112">
        <v>0</v>
      </c>
    </row>
    <row r="365" spans="1:19" ht="60">
      <c r="A365" s="259"/>
      <c r="B365" s="77" t="s">
        <v>1918</v>
      </c>
      <c r="C365" s="76" t="s">
        <v>1877</v>
      </c>
      <c r="D365" s="143">
        <v>3</v>
      </c>
      <c r="E365" s="76"/>
      <c r="F365" s="113">
        <f t="shared" si="24"/>
        <v>3</v>
      </c>
      <c r="G365" s="112" t="s">
        <v>3575</v>
      </c>
      <c r="H365" s="120" t="s">
        <v>3193</v>
      </c>
      <c r="I365" s="120" t="s">
        <v>3479</v>
      </c>
      <c r="J365" s="120" t="s">
        <v>772</v>
      </c>
      <c r="K365" s="112">
        <v>2126500</v>
      </c>
      <c r="L365" s="113"/>
      <c r="M365" s="113">
        <v>684500</v>
      </c>
      <c r="N365" s="113"/>
      <c r="O365" s="113"/>
      <c r="P365" s="299">
        <f t="shared" si="25"/>
        <v>2811000</v>
      </c>
      <c r="Q365" s="299">
        <f t="shared" si="26"/>
        <v>8433000</v>
      </c>
      <c r="R365" s="299">
        <f t="shared" si="27"/>
        <v>8433000</v>
      </c>
      <c r="S365" s="112">
        <v>0</v>
      </c>
    </row>
    <row r="366" spans="1:19" ht="60">
      <c r="A366" s="266"/>
      <c r="B366" s="87" t="s">
        <v>2118</v>
      </c>
      <c r="C366" s="88" t="s">
        <v>1877</v>
      </c>
      <c r="D366" s="147">
        <v>1</v>
      </c>
      <c r="E366" s="87"/>
      <c r="F366" s="113">
        <f t="shared" si="24"/>
        <v>1</v>
      </c>
      <c r="G366" s="112" t="s">
        <v>3574</v>
      </c>
      <c r="H366" s="120" t="s">
        <v>3193</v>
      </c>
      <c r="I366" s="120" t="s">
        <v>3479</v>
      </c>
      <c r="J366" s="120" t="s">
        <v>772</v>
      </c>
      <c r="K366" s="112">
        <v>771900</v>
      </c>
      <c r="L366" s="113"/>
      <c r="M366" s="113">
        <v>266500</v>
      </c>
      <c r="N366" s="113"/>
      <c r="O366" s="113"/>
      <c r="P366" s="299">
        <f t="shared" si="25"/>
        <v>1038400</v>
      </c>
      <c r="Q366" s="299">
        <f t="shared" si="26"/>
        <v>1038400</v>
      </c>
      <c r="R366" s="299">
        <f t="shared" si="27"/>
        <v>1038400</v>
      </c>
      <c r="S366" s="112">
        <v>0</v>
      </c>
    </row>
    <row r="367" spans="1:19" ht="60">
      <c r="A367" s="266"/>
      <c r="B367" s="87" t="s">
        <v>2119</v>
      </c>
      <c r="C367" s="88" t="s">
        <v>1877</v>
      </c>
      <c r="D367" s="147">
        <v>1</v>
      </c>
      <c r="E367" s="87"/>
      <c r="F367" s="113">
        <f t="shared" si="24"/>
        <v>1</v>
      </c>
      <c r="G367" s="112" t="s">
        <v>3573</v>
      </c>
      <c r="H367" s="120" t="s">
        <v>3193</v>
      </c>
      <c r="I367" s="120" t="s">
        <v>3479</v>
      </c>
      <c r="J367" s="120" t="s">
        <v>772</v>
      </c>
      <c r="K367" s="112">
        <v>1082700</v>
      </c>
      <c r="L367" s="113"/>
      <c r="M367" s="113">
        <v>412400</v>
      </c>
      <c r="N367" s="113"/>
      <c r="O367" s="113"/>
      <c r="P367" s="299">
        <f t="shared" si="25"/>
        <v>1495100</v>
      </c>
      <c r="Q367" s="299">
        <f t="shared" si="26"/>
        <v>1495100</v>
      </c>
      <c r="R367" s="299">
        <f t="shared" si="27"/>
        <v>1495100</v>
      </c>
      <c r="S367" s="112">
        <v>0</v>
      </c>
    </row>
    <row r="368" spans="1:19" ht="60">
      <c r="A368" s="266"/>
      <c r="B368" s="87" t="s">
        <v>2095</v>
      </c>
      <c r="C368" s="88" t="s">
        <v>1877</v>
      </c>
      <c r="D368" s="147">
        <v>1</v>
      </c>
      <c r="E368" s="87"/>
      <c r="F368" s="113">
        <f t="shared" si="24"/>
        <v>1</v>
      </c>
      <c r="G368" s="112" t="s">
        <v>3572</v>
      </c>
      <c r="H368" s="120" t="s">
        <v>3193</v>
      </c>
      <c r="I368" s="120" t="s">
        <v>3479</v>
      </c>
      <c r="J368" s="120" t="s">
        <v>772</v>
      </c>
      <c r="K368" s="112">
        <v>1828300</v>
      </c>
      <c r="L368" s="113"/>
      <c r="M368" s="113">
        <v>653400</v>
      </c>
      <c r="N368" s="113"/>
      <c r="O368" s="113"/>
      <c r="P368" s="299">
        <f t="shared" si="25"/>
        <v>2481700</v>
      </c>
      <c r="Q368" s="299">
        <f t="shared" si="26"/>
        <v>2481700</v>
      </c>
      <c r="R368" s="299">
        <f t="shared" si="27"/>
        <v>2481700</v>
      </c>
      <c r="S368" s="112">
        <v>0</v>
      </c>
    </row>
    <row r="369" spans="1:19" ht="45">
      <c r="A369" s="266"/>
      <c r="B369" s="87" t="s">
        <v>2120</v>
      </c>
      <c r="C369" s="88" t="s">
        <v>1877</v>
      </c>
      <c r="D369" s="147">
        <v>1</v>
      </c>
      <c r="E369" s="87"/>
      <c r="F369" s="113">
        <f t="shared" si="24"/>
        <v>1</v>
      </c>
      <c r="G369" s="112" t="s">
        <v>3571</v>
      </c>
      <c r="H369" s="120" t="s">
        <v>3193</v>
      </c>
      <c r="I369" s="120" t="s">
        <v>3479</v>
      </c>
      <c r="J369" s="120" t="s">
        <v>772</v>
      </c>
      <c r="K369" s="112">
        <v>11974900</v>
      </c>
      <c r="L369" s="113"/>
      <c r="M369" s="113">
        <v>653400</v>
      </c>
      <c r="N369" s="113"/>
      <c r="O369" s="113"/>
      <c r="P369" s="299">
        <f t="shared" si="25"/>
        <v>12628300</v>
      </c>
      <c r="Q369" s="299">
        <f t="shared" si="26"/>
        <v>12628300</v>
      </c>
      <c r="R369" s="299">
        <f t="shared" si="27"/>
        <v>12628300</v>
      </c>
      <c r="S369" s="112">
        <v>0</v>
      </c>
    </row>
    <row r="370" spans="1:19">
      <c r="A370" s="259">
        <v>4.16</v>
      </c>
      <c r="B370" s="80" t="s">
        <v>2121</v>
      </c>
      <c r="C370" s="79"/>
      <c r="D370" s="143"/>
      <c r="E370" s="76"/>
      <c r="F370" s="113">
        <f t="shared" si="24"/>
        <v>0</v>
      </c>
      <c r="G370" s="112">
        <v>0</v>
      </c>
      <c r="H370" s="120">
        <v>0</v>
      </c>
      <c r="I370" s="120">
        <v>0</v>
      </c>
      <c r="J370" s="120">
        <v>0</v>
      </c>
      <c r="K370" s="112">
        <v>0</v>
      </c>
      <c r="L370" s="113"/>
      <c r="M370" s="113">
        <v>0</v>
      </c>
      <c r="N370" s="113"/>
      <c r="O370" s="113"/>
      <c r="P370" s="299">
        <f t="shared" si="25"/>
        <v>0</v>
      </c>
      <c r="Q370" s="299">
        <f t="shared" si="26"/>
        <v>0</v>
      </c>
      <c r="R370" s="299">
        <f t="shared" si="27"/>
        <v>0</v>
      </c>
      <c r="S370" s="112">
        <v>0</v>
      </c>
    </row>
    <row r="371" spans="1:19" ht="60">
      <c r="A371" s="259"/>
      <c r="B371" s="77" t="s">
        <v>2122</v>
      </c>
      <c r="C371" s="76" t="s">
        <v>1877</v>
      </c>
      <c r="D371" s="147">
        <v>1</v>
      </c>
      <c r="E371" s="76"/>
      <c r="F371" s="113">
        <f t="shared" si="24"/>
        <v>1</v>
      </c>
      <c r="G371" s="112" t="s">
        <v>3993</v>
      </c>
      <c r="H371" s="120" t="s">
        <v>3193</v>
      </c>
      <c r="I371" s="120" t="s">
        <v>3768</v>
      </c>
      <c r="J371" s="120" t="s">
        <v>772</v>
      </c>
      <c r="K371" s="112">
        <v>3005900</v>
      </c>
      <c r="L371" s="113"/>
      <c r="M371" s="113">
        <v>1154600</v>
      </c>
      <c r="N371" s="113"/>
      <c r="O371" s="113"/>
      <c r="P371" s="299">
        <f t="shared" si="25"/>
        <v>4160500</v>
      </c>
      <c r="Q371" s="299">
        <f t="shared" si="26"/>
        <v>4160500</v>
      </c>
      <c r="R371" s="299">
        <f t="shared" si="27"/>
        <v>4160500</v>
      </c>
      <c r="S371" s="112">
        <v>0</v>
      </c>
    </row>
    <row r="372" spans="1:19">
      <c r="A372" s="259">
        <v>4.17</v>
      </c>
      <c r="B372" s="257" t="s">
        <v>2078</v>
      </c>
      <c r="C372" s="79"/>
      <c r="D372" s="143"/>
      <c r="E372" s="79"/>
      <c r="F372" s="113">
        <f t="shared" si="24"/>
        <v>0</v>
      </c>
      <c r="G372" s="112">
        <v>0</v>
      </c>
      <c r="H372" s="120">
        <v>0</v>
      </c>
      <c r="I372" s="120">
        <v>0</v>
      </c>
      <c r="J372" s="120">
        <v>0</v>
      </c>
      <c r="K372" s="112">
        <v>0</v>
      </c>
      <c r="L372" s="113"/>
      <c r="M372" s="113">
        <v>0</v>
      </c>
      <c r="N372" s="113"/>
      <c r="O372" s="113"/>
      <c r="P372" s="299">
        <f t="shared" si="25"/>
        <v>0</v>
      </c>
      <c r="Q372" s="299">
        <f t="shared" si="26"/>
        <v>0</v>
      </c>
      <c r="R372" s="299">
        <f t="shared" si="27"/>
        <v>0</v>
      </c>
      <c r="S372" s="112">
        <v>0</v>
      </c>
    </row>
    <row r="373" spans="1:19" ht="60">
      <c r="A373" s="259"/>
      <c r="B373" s="77" t="s">
        <v>2123</v>
      </c>
      <c r="C373" s="76" t="s">
        <v>1877</v>
      </c>
      <c r="D373" s="143">
        <v>50</v>
      </c>
      <c r="E373" s="79"/>
      <c r="F373" s="113">
        <f t="shared" si="24"/>
        <v>50</v>
      </c>
      <c r="G373" s="112" t="s">
        <v>3994</v>
      </c>
      <c r="H373" s="120" t="s">
        <v>3193</v>
      </c>
      <c r="I373" s="120" t="s">
        <v>3768</v>
      </c>
      <c r="J373" s="120" t="s">
        <v>772</v>
      </c>
      <c r="K373" s="112">
        <v>95200</v>
      </c>
      <c r="L373" s="113"/>
      <c r="M373" s="113">
        <v>23300</v>
      </c>
      <c r="N373" s="113"/>
      <c r="O373" s="113"/>
      <c r="P373" s="299">
        <f t="shared" si="25"/>
        <v>118500</v>
      </c>
      <c r="Q373" s="299">
        <f t="shared" si="26"/>
        <v>5925000</v>
      </c>
      <c r="R373" s="299">
        <f t="shared" si="27"/>
        <v>5925000</v>
      </c>
      <c r="S373" s="112">
        <v>0</v>
      </c>
    </row>
    <row r="374" spans="1:19" ht="60">
      <c r="A374" s="259"/>
      <c r="B374" s="77" t="s">
        <v>2124</v>
      </c>
      <c r="C374" s="76" t="s">
        <v>1877</v>
      </c>
      <c r="D374" s="143">
        <v>100</v>
      </c>
      <c r="E374" s="79"/>
      <c r="F374" s="113">
        <f t="shared" si="24"/>
        <v>100</v>
      </c>
      <c r="G374" s="112" t="s">
        <v>3995</v>
      </c>
      <c r="H374" s="120" t="s">
        <v>3193</v>
      </c>
      <c r="I374" s="120" t="s">
        <v>3768</v>
      </c>
      <c r="J374" s="120" t="s">
        <v>772</v>
      </c>
      <c r="K374" s="112">
        <v>133300</v>
      </c>
      <c r="L374" s="113"/>
      <c r="M374" s="113">
        <v>39000</v>
      </c>
      <c r="N374" s="113"/>
      <c r="O374" s="113"/>
      <c r="P374" s="299">
        <f t="shared" si="25"/>
        <v>172300</v>
      </c>
      <c r="Q374" s="299">
        <f t="shared" si="26"/>
        <v>17230000</v>
      </c>
      <c r="R374" s="299">
        <f t="shared" si="27"/>
        <v>17230000</v>
      </c>
      <c r="S374" s="112">
        <v>0</v>
      </c>
    </row>
    <row r="375" spans="1:19" ht="60">
      <c r="A375" s="259"/>
      <c r="B375" s="77" t="s">
        <v>2125</v>
      </c>
      <c r="C375" s="76" t="s">
        <v>1877</v>
      </c>
      <c r="D375" s="143">
        <v>156</v>
      </c>
      <c r="E375" s="79"/>
      <c r="F375" s="113">
        <f t="shared" si="24"/>
        <v>156</v>
      </c>
      <c r="G375" s="112" t="s">
        <v>3996</v>
      </c>
      <c r="H375" s="120" t="s">
        <v>3193</v>
      </c>
      <c r="I375" s="120" t="s">
        <v>3768</v>
      </c>
      <c r="J375" s="120" t="s">
        <v>772</v>
      </c>
      <c r="K375" s="112">
        <v>146700</v>
      </c>
      <c r="L375" s="113"/>
      <c r="M375" s="113">
        <v>44200</v>
      </c>
      <c r="N375" s="113"/>
      <c r="O375" s="113"/>
      <c r="P375" s="299">
        <f t="shared" si="25"/>
        <v>190900</v>
      </c>
      <c r="Q375" s="299">
        <f t="shared" si="26"/>
        <v>29780400</v>
      </c>
      <c r="R375" s="299">
        <f t="shared" si="27"/>
        <v>29780400</v>
      </c>
      <c r="S375" s="112">
        <v>0</v>
      </c>
    </row>
    <row r="376" spans="1:19" ht="60">
      <c r="A376" s="259"/>
      <c r="B376" s="77" t="s">
        <v>2126</v>
      </c>
      <c r="C376" s="76" t="s">
        <v>1877</v>
      </c>
      <c r="D376" s="147">
        <v>11</v>
      </c>
      <c r="E376" s="76"/>
      <c r="F376" s="113">
        <f t="shared" ref="F376:F439" si="28">D376</f>
        <v>11</v>
      </c>
      <c r="G376" s="112" t="s">
        <v>3997</v>
      </c>
      <c r="H376" s="120" t="s">
        <v>3193</v>
      </c>
      <c r="I376" s="120" t="s">
        <v>3768</v>
      </c>
      <c r="J376" s="120" t="s">
        <v>772</v>
      </c>
      <c r="K376" s="112">
        <v>131100</v>
      </c>
      <c r="L376" s="113"/>
      <c r="M376" s="113">
        <v>38100</v>
      </c>
      <c r="N376" s="113"/>
      <c r="O376" s="113"/>
      <c r="P376" s="299">
        <f t="shared" ref="P376:P439" si="29">K376+L376+M376+N376+O376</f>
        <v>169200</v>
      </c>
      <c r="Q376" s="299">
        <f t="shared" ref="Q376:Q439" si="30">+P376*D376</f>
        <v>1861200</v>
      </c>
      <c r="R376" s="299">
        <f t="shared" ref="R376:R439" si="31">+P376*F376</f>
        <v>1861200</v>
      </c>
      <c r="S376" s="112">
        <v>0</v>
      </c>
    </row>
    <row r="377" spans="1:19">
      <c r="A377" s="259">
        <v>4.18</v>
      </c>
      <c r="B377" s="257" t="s">
        <v>2127</v>
      </c>
      <c r="C377" s="79"/>
      <c r="D377" s="143"/>
      <c r="E377" s="79"/>
      <c r="F377" s="113">
        <f t="shared" si="28"/>
        <v>0</v>
      </c>
      <c r="G377" s="112">
        <v>0</v>
      </c>
      <c r="H377" s="120">
        <v>0</v>
      </c>
      <c r="I377" s="120">
        <v>0</v>
      </c>
      <c r="J377" s="120">
        <v>0</v>
      </c>
      <c r="K377" s="112">
        <v>0</v>
      </c>
      <c r="L377" s="113"/>
      <c r="M377" s="113">
        <v>0</v>
      </c>
      <c r="N377" s="113"/>
      <c r="O377" s="113"/>
      <c r="P377" s="299">
        <f t="shared" si="29"/>
        <v>0</v>
      </c>
      <c r="Q377" s="299">
        <f t="shared" si="30"/>
        <v>0</v>
      </c>
      <c r="R377" s="299">
        <f t="shared" si="31"/>
        <v>0</v>
      </c>
      <c r="S377" s="112">
        <v>0</v>
      </c>
    </row>
    <row r="378" spans="1:19" ht="75">
      <c r="A378" s="259"/>
      <c r="B378" s="77" t="s">
        <v>2091</v>
      </c>
      <c r="C378" s="76" t="s">
        <v>1877</v>
      </c>
      <c r="D378" s="147">
        <v>1</v>
      </c>
      <c r="E378" s="76"/>
      <c r="F378" s="113">
        <f t="shared" si="28"/>
        <v>1</v>
      </c>
      <c r="G378" s="112" t="s">
        <v>3699</v>
      </c>
      <c r="H378" s="120" t="s">
        <v>3386</v>
      </c>
      <c r="I378" s="120" t="s">
        <v>3190</v>
      </c>
      <c r="J378" s="120" t="s">
        <v>772</v>
      </c>
      <c r="K378" s="112">
        <v>7077600</v>
      </c>
      <c r="L378" s="113"/>
      <c r="M378" s="113">
        <v>606600</v>
      </c>
      <c r="N378" s="113"/>
      <c r="O378" s="113"/>
      <c r="P378" s="299">
        <f t="shared" si="29"/>
        <v>7684200</v>
      </c>
      <c r="Q378" s="299">
        <f t="shared" si="30"/>
        <v>7684200</v>
      </c>
      <c r="R378" s="299">
        <f t="shared" si="31"/>
        <v>7684200</v>
      </c>
      <c r="S378" s="112" t="s">
        <v>3749</v>
      </c>
    </row>
    <row r="379" spans="1:19" ht="75">
      <c r="A379" s="266"/>
      <c r="B379" s="87" t="s">
        <v>2128</v>
      </c>
      <c r="C379" s="88" t="s">
        <v>1877</v>
      </c>
      <c r="D379" s="147">
        <v>1</v>
      </c>
      <c r="E379" s="87"/>
      <c r="F379" s="113">
        <f t="shared" si="28"/>
        <v>1</v>
      </c>
      <c r="G379" s="112" t="s">
        <v>3698</v>
      </c>
      <c r="H379" s="120" t="s">
        <v>3386</v>
      </c>
      <c r="I379" s="120" t="s">
        <v>3190</v>
      </c>
      <c r="J379" s="120" t="s">
        <v>772</v>
      </c>
      <c r="K379" s="112">
        <v>2691800</v>
      </c>
      <c r="L379" s="113"/>
      <c r="M379" s="113">
        <v>338900</v>
      </c>
      <c r="N379" s="113"/>
      <c r="O379" s="113"/>
      <c r="P379" s="299">
        <f t="shared" si="29"/>
        <v>3030700</v>
      </c>
      <c r="Q379" s="299">
        <f t="shared" si="30"/>
        <v>3030700</v>
      </c>
      <c r="R379" s="299">
        <f t="shared" si="31"/>
        <v>3030700</v>
      </c>
      <c r="S379" s="112" t="s">
        <v>3749</v>
      </c>
    </row>
    <row r="380" spans="1:19" ht="75">
      <c r="A380" s="266"/>
      <c r="B380" s="87" t="s">
        <v>2103</v>
      </c>
      <c r="C380" s="88" t="s">
        <v>1877</v>
      </c>
      <c r="D380" s="147">
        <v>96</v>
      </c>
      <c r="E380" s="87"/>
      <c r="F380" s="113">
        <f t="shared" si="28"/>
        <v>96</v>
      </c>
      <c r="G380" s="112" t="s">
        <v>3697</v>
      </c>
      <c r="H380" s="120" t="s">
        <v>3386</v>
      </c>
      <c r="I380" s="120" t="s">
        <v>3190</v>
      </c>
      <c r="J380" s="120" t="s">
        <v>772</v>
      </c>
      <c r="K380" s="112">
        <v>2969600</v>
      </c>
      <c r="L380" s="113"/>
      <c r="M380" s="113">
        <v>338900</v>
      </c>
      <c r="N380" s="113"/>
      <c r="O380" s="113"/>
      <c r="P380" s="299">
        <f t="shared" si="29"/>
        <v>3308500</v>
      </c>
      <c r="Q380" s="299">
        <f t="shared" si="30"/>
        <v>317616000</v>
      </c>
      <c r="R380" s="299">
        <f t="shared" si="31"/>
        <v>317616000</v>
      </c>
      <c r="S380" s="112" t="s">
        <v>3749</v>
      </c>
    </row>
    <row r="381" spans="1:19" ht="75">
      <c r="A381" s="266"/>
      <c r="B381" s="87" t="s">
        <v>2129</v>
      </c>
      <c r="C381" s="88" t="s">
        <v>1877</v>
      </c>
      <c r="D381" s="147">
        <v>10</v>
      </c>
      <c r="E381" s="87"/>
      <c r="F381" s="113">
        <f t="shared" si="28"/>
        <v>10</v>
      </c>
      <c r="G381" s="112" t="s">
        <v>3696</v>
      </c>
      <c r="H381" s="120" t="s">
        <v>3386</v>
      </c>
      <c r="I381" s="120" t="s">
        <v>3190</v>
      </c>
      <c r="J381" s="120" t="s">
        <v>772</v>
      </c>
      <c r="K381" s="112">
        <v>3559700</v>
      </c>
      <c r="L381" s="113"/>
      <c r="M381" s="113">
        <v>415300</v>
      </c>
      <c r="N381" s="113"/>
      <c r="O381" s="113"/>
      <c r="P381" s="299">
        <f t="shared" si="29"/>
        <v>3975000</v>
      </c>
      <c r="Q381" s="299">
        <f t="shared" si="30"/>
        <v>39750000</v>
      </c>
      <c r="R381" s="299">
        <f t="shared" si="31"/>
        <v>39750000</v>
      </c>
      <c r="S381" s="112" t="s">
        <v>3749</v>
      </c>
    </row>
    <row r="382" spans="1:19" ht="75">
      <c r="A382" s="266"/>
      <c r="B382" s="87" t="s">
        <v>2130</v>
      </c>
      <c r="C382" s="88" t="s">
        <v>1877</v>
      </c>
      <c r="D382" s="147">
        <v>12</v>
      </c>
      <c r="E382" s="87"/>
      <c r="F382" s="113">
        <f t="shared" si="28"/>
        <v>12</v>
      </c>
      <c r="G382" s="112" t="s">
        <v>3695</v>
      </c>
      <c r="H382" s="120" t="s">
        <v>3386</v>
      </c>
      <c r="I382" s="120" t="s">
        <v>3190</v>
      </c>
      <c r="J382" s="120" t="s">
        <v>772</v>
      </c>
      <c r="K382" s="112">
        <v>4370100</v>
      </c>
      <c r="L382" s="113"/>
      <c r="M382" s="113">
        <v>415300</v>
      </c>
      <c r="N382" s="113"/>
      <c r="O382" s="113"/>
      <c r="P382" s="299">
        <f t="shared" si="29"/>
        <v>4785400</v>
      </c>
      <c r="Q382" s="299">
        <f t="shared" si="30"/>
        <v>57424800</v>
      </c>
      <c r="R382" s="299">
        <f t="shared" si="31"/>
        <v>57424800</v>
      </c>
      <c r="S382" s="112" t="s">
        <v>3749</v>
      </c>
    </row>
    <row r="383" spans="1:19" ht="75">
      <c r="A383" s="266"/>
      <c r="B383" s="87" t="s">
        <v>2059</v>
      </c>
      <c r="C383" s="88" t="s">
        <v>1877</v>
      </c>
      <c r="D383" s="147">
        <v>3</v>
      </c>
      <c r="E383" s="87"/>
      <c r="F383" s="113">
        <f t="shared" si="28"/>
        <v>3</v>
      </c>
      <c r="G383" s="112" t="s">
        <v>3694</v>
      </c>
      <c r="H383" s="120" t="s">
        <v>3386</v>
      </c>
      <c r="I383" s="120" t="s">
        <v>3190</v>
      </c>
      <c r="J383" s="120" t="s">
        <v>772</v>
      </c>
      <c r="K383" s="112">
        <v>4037700</v>
      </c>
      <c r="L383" s="113"/>
      <c r="M383" s="113">
        <v>477300</v>
      </c>
      <c r="N383" s="113"/>
      <c r="O383" s="113"/>
      <c r="P383" s="299">
        <f t="shared" si="29"/>
        <v>4515000</v>
      </c>
      <c r="Q383" s="299">
        <f t="shared" si="30"/>
        <v>13545000</v>
      </c>
      <c r="R383" s="299">
        <f t="shared" si="31"/>
        <v>13545000</v>
      </c>
      <c r="S383" s="112" t="s">
        <v>3749</v>
      </c>
    </row>
    <row r="384" spans="1:19" ht="75">
      <c r="A384" s="266"/>
      <c r="B384" s="87" t="s">
        <v>2131</v>
      </c>
      <c r="C384" s="88" t="s">
        <v>1877</v>
      </c>
      <c r="D384" s="147">
        <v>3</v>
      </c>
      <c r="E384" s="87"/>
      <c r="F384" s="113">
        <f t="shared" si="28"/>
        <v>3</v>
      </c>
      <c r="G384" s="112" t="s">
        <v>3693</v>
      </c>
      <c r="H384" s="120" t="s">
        <v>3386</v>
      </c>
      <c r="I384" s="120" t="s">
        <v>3190</v>
      </c>
      <c r="J384" s="120" t="s">
        <v>772</v>
      </c>
      <c r="K384" s="112">
        <v>5495800</v>
      </c>
      <c r="L384" s="113"/>
      <c r="M384" s="113">
        <v>477300</v>
      </c>
      <c r="N384" s="113"/>
      <c r="O384" s="113"/>
      <c r="P384" s="299">
        <f t="shared" si="29"/>
        <v>5973100</v>
      </c>
      <c r="Q384" s="299">
        <f t="shared" si="30"/>
        <v>17919300</v>
      </c>
      <c r="R384" s="299">
        <f t="shared" si="31"/>
        <v>17919300</v>
      </c>
      <c r="S384" s="112" t="s">
        <v>3749</v>
      </c>
    </row>
    <row r="385" spans="1:19" ht="75">
      <c r="A385" s="266"/>
      <c r="B385" s="87" t="s">
        <v>2132</v>
      </c>
      <c r="C385" s="88" t="s">
        <v>1877</v>
      </c>
      <c r="D385" s="147">
        <v>2</v>
      </c>
      <c r="E385" s="87"/>
      <c r="F385" s="113">
        <f t="shared" si="28"/>
        <v>2</v>
      </c>
      <c r="G385" s="112" t="s">
        <v>3692</v>
      </c>
      <c r="H385" s="120" t="s">
        <v>3386</v>
      </c>
      <c r="I385" s="120" t="s">
        <v>3190</v>
      </c>
      <c r="J385" s="120" t="s">
        <v>772</v>
      </c>
      <c r="K385" s="112">
        <v>4979000</v>
      </c>
      <c r="L385" s="113"/>
      <c r="M385" s="113">
        <v>606600</v>
      </c>
      <c r="N385" s="113"/>
      <c r="O385" s="113"/>
      <c r="P385" s="299">
        <f t="shared" si="29"/>
        <v>5585600</v>
      </c>
      <c r="Q385" s="299">
        <f t="shared" si="30"/>
        <v>11171200</v>
      </c>
      <c r="R385" s="299">
        <f t="shared" si="31"/>
        <v>11171200</v>
      </c>
      <c r="S385" s="112" t="s">
        <v>3749</v>
      </c>
    </row>
    <row r="386" spans="1:19" ht="75">
      <c r="A386" s="266"/>
      <c r="B386" s="87" t="s">
        <v>2133</v>
      </c>
      <c r="C386" s="88" t="s">
        <v>1877</v>
      </c>
      <c r="D386" s="147">
        <v>1</v>
      </c>
      <c r="E386" s="87"/>
      <c r="F386" s="113">
        <f t="shared" si="28"/>
        <v>1</v>
      </c>
      <c r="G386" s="112" t="s">
        <v>3691</v>
      </c>
      <c r="H386" s="120" t="s">
        <v>3386</v>
      </c>
      <c r="I386" s="120" t="s">
        <v>3190</v>
      </c>
      <c r="J386" s="120" t="s">
        <v>772</v>
      </c>
      <c r="K386" s="112">
        <v>5536000</v>
      </c>
      <c r="L386" s="113"/>
      <c r="M386" s="113">
        <v>606400</v>
      </c>
      <c r="N386" s="113"/>
      <c r="O386" s="113"/>
      <c r="P386" s="299">
        <f t="shared" si="29"/>
        <v>6142400</v>
      </c>
      <c r="Q386" s="299">
        <f t="shared" si="30"/>
        <v>6142400</v>
      </c>
      <c r="R386" s="299">
        <f t="shared" si="31"/>
        <v>6142400</v>
      </c>
      <c r="S386" s="112" t="s">
        <v>3749</v>
      </c>
    </row>
    <row r="387" spans="1:19" ht="28.5">
      <c r="A387" s="259">
        <v>4.1900000000000004</v>
      </c>
      <c r="B387" s="257" t="s">
        <v>2134</v>
      </c>
      <c r="C387" s="79"/>
      <c r="D387" s="143"/>
      <c r="E387" s="79"/>
      <c r="F387" s="113">
        <f t="shared" si="28"/>
        <v>0</v>
      </c>
      <c r="G387" s="112">
        <v>0</v>
      </c>
      <c r="H387" s="120">
        <v>0</v>
      </c>
      <c r="I387" s="120">
        <v>0</v>
      </c>
      <c r="J387" s="120">
        <v>0</v>
      </c>
      <c r="K387" s="112">
        <v>0</v>
      </c>
      <c r="L387" s="113"/>
      <c r="M387" s="113">
        <v>0</v>
      </c>
      <c r="N387" s="113"/>
      <c r="O387" s="113"/>
      <c r="P387" s="299">
        <f t="shared" si="29"/>
        <v>0</v>
      </c>
      <c r="Q387" s="299">
        <f t="shared" si="30"/>
        <v>0</v>
      </c>
      <c r="R387" s="299">
        <f t="shared" si="31"/>
        <v>0</v>
      </c>
      <c r="S387" s="112">
        <v>0</v>
      </c>
    </row>
    <row r="388" spans="1:19" ht="105">
      <c r="A388" s="259"/>
      <c r="B388" s="77" t="s">
        <v>2044</v>
      </c>
      <c r="C388" s="76" t="s">
        <v>1877</v>
      </c>
      <c r="D388" s="143">
        <v>1</v>
      </c>
      <c r="E388" s="76"/>
      <c r="F388" s="113">
        <f t="shared" si="28"/>
        <v>1</v>
      </c>
      <c r="G388" s="112" t="s">
        <v>3690</v>
      </c>
      <c r="H388" s="120" t="s">
        <v>3386</v>
      </c>
      <c r="I388" s="120" t="s">
        <v>3190</v>
      </c>
      <c r="J388" s="120" t="s">
        <v>772</v>
      </c>
      <c r="K388" s="112">
        <v>10497700</v>
      </c>
      <c r="L388" s="113"/>
      <c r="M388" s="113">
        <v>606600</v>
      </c>
      <c r="N388" s="113"/>
      <c r="O388" s="113"/>
      <c r="P388" s="299">
        <f t="shared" si="29"/>
        <v>11104300</v>
      </c>
      <c r="Q388" s="299">
        <f t="shared" si="30"/>
        <v>11104300</v>
      </c>
      <c r="R388" s="299">
        <f t="shared" si="31"/>
        <v>11104300</v>
      </c>
      <c r="S388" s="112" t="s">
        <v>3751</v>
      </c>
    </row>
    <row r="389" spans="1:19" ht="105">
      <c r="A389" s="259"/>
      <c r="B389" s="77" t="s">
        <v>1931</v>
      </c>
      <c r="C389" s="76" t="s">
        <v>1877</v>
      </c>
      <c r="D389" s="143">
        <v>1</v>
      </c>
      <c r="E389" s="76"/>
      <c r="F389" s="113">
        <f t="shared" si="28"/>
        <v>1</v>
      </c>
      <c r="G389" s="112" t="s">
        <v>3689</v>
      </c>
      <c r="H389" s="120" t="s">
        <v>3386</v>
      </c>
      <c r="I389" s="120" t="s">
        <v>3190</v>
      </c>
      <c r="J389" s="120" t="s">
        <v>772</v>
      </c>
      <c r="K389" s="112">
        <v>10753900</v>
      </c>
      <c r="L389" s="113"/>
      <c r="M389" s="113">
        <v>606400</v>
      </c>
      <c r="N389" s="113"/>
      <c r="O389" s="113"/>
      <c r="P389" s="299">
        <f t="shared" si="29"/>
        <v>11360300</v>
      </c>
      <c r="Q389" s="299">
        <f t="shared" si="30"/>
        <v>11360300</v>
      </c>
      <c r="R389" s="299">
        <f t="shared" si="31"/>
        <v>11360300</v>
      </c>
      <c r="S389" s="112" t="s">
        <v>3751</v>
      </c>
    </row>
    <row r="390" spans="1:19" ht="105">
      <c r="A390" s="259"/>
      <c r="B390" s="77" t="s">
        <v>2051</v>
      </c>
      <c r="C390" s="76" t="s">
        <v>1877</v>
      </c>
      <c r="D390" s="143">
        <v>1</v>
      </c>
      <c r="E390" s="76"/>
      <c r="F390" s="113">
        <f t="shared" si="28"/>
        <v>1</v>
      </c>
      <c r="G390" s="112" t="s">
        <v>3688</v>
      </c>
      <c r="H390" s="120" t="s">
        <v>3386</v>
      </c>
      <c r="I390" s="120" t="s">
        <v>3190</v>
      </c>
      <c r="J390" s="120" t="s">
        <v>772</v>
      </c>
      <c r="K390" s="112">
        <v>11667900</v>
      </c>
      <c r="L390" s="113"/>
      <c r="M390" s="113">
        <v>606400</v>
      </c>
      <c r="N390" s="113"/>
      <c r="O390" s="113"/>
      <c r="P390" s="299">
        <f t="shared" si="29"/>
        <v>12274300</v>
      </c>
      <c r="Q390" s="299">
        <f t="shared" si="30"/>
        <v>12274300</v>
      </c>
      <c r="R390" s="299">
        <f t="shared" si="31"/>
        <v>12274300</v>
      </c>
      <c r="S390" s="112" t="s">
        <v>3751</v>
      </c>
    </row>
    <row r="391" spans="1:19" ht="105">
      <c r="A391" s="259"/>
      <c r="B391" s="77" t="s">
        <v>2091</v>
      </c>
      <c r="C391" s="76" t="s">
        <v>1877</v>
      </c>
      <c r="D391" s="143">
        <v>1</v>
      </c>
      <c r="E391" s="76"/>
      <c r="F391" s="113">
        <f t="shared" si="28"/>
        <v>1</v>
      </c>
      <c r="G391" s="112" t="s">
        <v>3687</v>
      </c>
      <c r="H391" s="120" t="s">
        <v>3386</v>
      </c>
      <c r="I391" s="120" t="s">
        <v>3190</v>
      </c>
      <c r="J391" s="120" t="s">
        <v>772</v>
      </c>
      <c r="K391" s="112">
        <v>11705300</v>
      </c>
      <c r="L391" s="113"/>
      <c r="M391" s="113">
        <v>606600</v>
      </c>
      <c r="N391" s="113"/>
      <c r="O391" s="113"/>
      <c r="P391" s="299">
        <f t="shared" si="29"/>
        <v>12311900</v>
      </c>
      <c r="Q391" s="299">
        <f t="shared" si="30"/>
        <v>12311900</v>
      </c>
      <c r="R391" s="299">
        <f t="shared" si="31"/>
        <v>12311900</v>
      </c>
      <c r="S391" s="112" t="s">
        <v>3751</v>
      </c>
    </row>
    <row r="392" spans="1:19" ht="105">
      <c r="A392" s="259"/>
      <c r="B392" s="77" t="s">
        <v>1871</v>
      </c>
      <c r="C392" s="76" t="s">
        <v>1877</v>
      </c>
      <c r="D392" s="147">
        <v>2</v>
      </c>
      <c r="E392" s="76"/>
      <c r="F392" s="113">
        <f t="shared" si="28"/>
        <v>2</v>
      </c>
      <c r="G392" s="112" t="s">
        <v>3686</v>
      </c>
      <c r="H392" s="120" t="s">
        <v>3386</v>
      </c>
      <c r="I392" s="120" t="s">
        <v>3190</v>
      </c>
      <c r="J392" s="120" t="s">
        <v>772</v>
      </c>
      <c r="K392" s="112">
        <v>16576200</v>
      </c>
      <c r="L392" s="113"/>
      <c r="M392" s="113">
        <v>561300</v>
      </c>
      <c r="N392" s="113"/>
      <c r="O392" s="113"/>
      <c r="P392" s="299">
        <f t="shared" si="29"/>
        <v>17137500</v>
      </c>
      <c r="Q392" s="299">
        <f t="shared" si="30"/>
        <v>34275000</v>
      </c>
      <c r="R392" s="299">
        <f t="shared" si="31"/>
        <v>34275000</v>
      </c>
      <c r="S392" s="112" t="s">
        <v>3751</v>
      </c>
    </row>
    <row r="393" spans="1:19" ht="105">
      <c r="A393" s="266"/>
      <c r="B393" s="87" t="s">
        <v>2066</v>
      </c>
      <c r="C393" s="88" t="s">
        <v>1877</v>
      </c>
      <c r="D393" s="147">
        <v>1</v>
      </c>
      <c r="E393" s="87"/>
      <c r="F393" s="113">
        <f t="shared" si="28"/>
        <v>1</v>
      </c>
      <c r="G393" s="112" t="s">
        <v>3685</v>
      </c>
      <c r="H393" s="120" t="s">
        <v>3386</v>
      </c>
      <c r="I393" s="120" t="s">
        <v>3190</v>
      </c>
      <c r="J393" s="120" t="s">
        <v>772</v>
      </c>
      <c r="K393" s="112">
        <v>16210600</v>
      </c>
      <c r="L393" s="113"/>
      <c r="M393" s="113">
        <v>561300</v>
      </c>
      <c r="N393" s="113"/>
      <c r="O393" s="113"/>
      <c r="P393" s="299">
        <f t="shared" si="29"/>
        <v>16771900</v>
      </c>
      <c r="Q393" s="299">
        <f t="shared" si="30"/>
        <v>16771900</v>
      </c>
      <c r="R393" s="299">
        <f t="shared" si="31"/>
        <v>16771900</v>
      </c>
      <c r="S393" s="112" t="s">
        <v>3751</v>
      </c>
    </row>
    <row r="394" spans="1:19" ht="105">
      <c r="A394" s="266"/>
      <c r="B394" s="87" t="s">
        <v>2130</v>
      </c>
      <c r="C394" s="88" t="s">
        <v>1877</v>
      </c>
      <c r="D394" s="147">
        <v>1</v>
      </c>
      <c r="E394" s="87"/>
      <c r="F394" s="113">
        <f t="shared" si="28"/>
        <v>1</v>
      </c>
      <c r="G394" s="112" t="s">
        <v>3684</v>
      </c>
      <c r="H394" s="120" t="s">
        <v>3386</v>
      </c>
      <c r="I394" s="120" t="s">
        <v>3190</v>
      </c>
      <c r="J394" s="120" t="s">
        <v>772</v>
      </c>
      <c r="K394" s="112">
        <v>8672500</v>
      </c>
      <c r="L394" s="113"/>
      <c r="M394" s="113">
        <v>415300</v>
      </c>
      <c r="N394" s="113"/>
      <c r="O394" s="113"/>
      <c r="P394" s="299">
        <f t="shared" si="29"/>
        <v>9087800</v>
      </c>
      <c r="Q394" s="299">
        <f t="shared" si="30"/>
        <v>9087800</v>
      </c>
      <c r="R394" s="299">
        <f t="shared" si="31"/>
        <v>9087800</v>
      </c>
      <c r="S394" s="112" t="s">
        <v>3751</v>
      </c>
    </row>
    <row r="395" spans="1:19">
      <c r="A395" s="259">
        <v>4.2</v>
      </c>
      <c r="B395" s="80" t="s">
        <v>2135</v>
      </c>
      <c r="C395" s="79"/>
      <c r="D395" s="143"/>
      <c r="E395" s="79"/>
      <c r="F395" s="113">
        <f t="shared" si="28"/>
        <v>0</v>
      </c>
      <c r="G395" s="112">
        <v>0</v>
      </c>
      <c r="H395" s="120">
        <v>0</v>
      </c>
      <c r="I395" s="120">
        <v>0</v>
      </c>
      <c r="J395" s="120">
        <v>0</v>
      </c>
      <c r="K395" s="112">
        <v>0</v>
      </c>
      <c r="L395" s="113"/>
      <c r="M395" s="113">
        <v>0</v>
      </c>
      <c r="N395" s="113"/>
      <c r="O395" s="113"/>
      <c r="P395" s="299">
        <f t="shared" si="29"/>
        <v>0</v>
      </c>
      <c r="Q395" s="299">
        <f t="shared" si="30"/>
        <v>0</v>
      </c>
      <c r="R395" s="299">
        <f t="shared" si="31"/>
        <v>0</v>
      </c>
      <c r="S395" s="112">
        <v>0</v>
      </c>
    </row>
    <row r="396" spans="1:19" ht="30">
      <c r="A396" s="259"/>
      <c r="B396" s="77" t="s">
        <v>2136</v>
      </c>
      <c r="C396" s="76" t="s">
        <v>1877</v>
      </c>
      <c r="D396" s="143">
        <v>143</v>
      </c>
      <c r="E396" s="76"/>
      <c r="F396" s="113">
        <f t="shared" si="28"/>
        <v>143</v>
      </c>
      <c r="G396" s="112" t="s">
        <v>3683</v>
      </c>
      <c r="H396" s="120" t="s">
        <v>3191</v>
      </c>
      <c r="I396" s="120" t="s">
        <v>3190</v>
      </c>
      <c r="J396" s="120" t="s">
        <v>772</v>
      </c>
      <c r="K396" s="112">
        <v>246200</v>
      </c>
      <c r="L396" s="113"/>
      <c r="M396" s="113">
        <v>209100</v>
      </c>
      <c r="N396" s="113"/>
      <c r="O396" s="113"/>
      <c r="P396" s="299">
        <f t="shared" si="29"/>
        <v>455300</v>
      </c>
      <c r="Q396" s="299">
        <f t="shared" si="30"/>
        <v>65107900</v>
      </c>
      <c r="R396" s="299">
        <f t="shared" si="31"/>
        <v>65107900</v>
      </c>
      <c r="S396" s="112">
        <v>0</v>
      </c>
    </row>
    <row r="397" spans="1:19" ht="30">
      <c r="A397" s="259"/>
      <c r="B397" s="77" t="s">
        <v>1860</v>
      </c>
      <c r="C397" s="76" t="s">
        <v>1877</v>
      </c>
      <c r="D397" s="143">
        <v>2</v>
      </c>
      <c r="E397" s="76"/>
      <c r="F397" s="113">
        <f t="shared" si="28"/>
        <v>2</v>
      </c>
      <c r="G397" s="112" t="s">
        <v>3682</v>
      </c>
      <c r="H397" s="120" t="s">
        <v>3191</v>
      </c>
      <c r="I397" s="120" t="s">
        <v>3190</v>
      </c>
      <c r="J397" s="120" t="s">
        <v>772</v>
      </c>
      <c r="K397" s="112">
        <v>529800</v>
      </c>
      <c r="L397" s="113"/>
      <c r="M397" s="113">
        <v>477300</v>
      </c>
      <c r="N397" s="113"/>
      <c r="O397" s="113"/>
      <c r="P397" s="299">
        <f t="shared" si="29"/>
        <v>1007100</v>
      </c>
      <c r="Q397" s="299">
        <f t="shared" si="30"/>
        <v>2014200</v>
      </c>
      <c r="R397" s="299">
        <f t="shared" si="31"/>
        <v>2014200</v>
      </c>
      <c r="S397" s="112">
        <v>0</v>
      </c>
    </row>
    <row r="398" spans="1:19" ht="30">
      <c r="A398" s="259"/>
      <c r="B398" s="77" t="s">
        <v>2137</v>
      </c>
      <c r="C398" s="76" t="s">
        <v>1877</v>
      </c>
      <c r="D398" s="143">
        <v>6</v>
      </c>
      <c r="E398" s="76"/>
      <c r="F398" s="113">
        <f t="shared" si="28"/>
        <v>6</v>
      </c>
      <c r="G398" s="112" t="s">
        <v>3677</v>
      </c>
      <c r="H398" s="120" t="s">
        <v>3191</v>
      </c>
      <c r="I398" s="120" t="s">
        <v>3190</v>
      </c>
      <c r="J398" s="120" t="s">
        <v>772</v>
      </c>
      <c r="K398" s="112">
        <v>607500</v>
      </c>
      <c r="L398" s="113"/>
      <c r="M398" s="113">
        <v>477300</v>
      </c>
      <c r="N398" s="113"/>
      <c r="O398" s="113"/>
      <c r="P398" s="299">
        <f t="shared" si="29"/>
        <v>1084800</v>
      </c>
      <c r="Q398" s="299">
        <f t="shared" si="30"/>
        <v>6508800</v>
      </c>
      <c r="R398" s="299">
        <f t="shared" si="31"/>
        <v>6508800</v>
      </c>
      <c r="S398" s="112">
        <v>0</v>
      </c>
    </row>
    <row r="399" spans="1:19" ht="30">
      <c r="A399" s="259"/>
      <c r="B399" s="77" t="s">
        <v>1931</v>
      </c>
      <c r="C399" s="76" t="s">
        <v>1877</v>
      </c>
      <c r="D399" s="143">
        <v>2</v>
      </c>
      <c r="E399" s="76"/>
      <c r="F399" s="113">
        <f t="shared" si="28"/>
        <v>2</v>
      </c>
      <c r="G399" s="112" t="s">
        <v>3681</v>
      </c>
      <c r="H399" s="120" t="s">
        <v>3386</v>
      </c>
      <c r="I399" s="120" t="s">
        <v>3190</v>
      </c>
      <c r="J399" s="120" t="s">
        <v>772</v>
      </c>
      <c r="K399" s="112">
        <v>976000</v>
      </c>
      <c r="L399" s="113"/>
      <c r="M399" s="113">
        <v>606400</v>
      </c>
      <c r="N399" s="113"/>
      <c r="O399" s="113"/>
      <c r="P399" s="299">
        <f t="shared" si="29"/>
        <v>1582400</v>
      </c>
      <c r="Q399" s="299">
        <f t="shared" si="30"/>
        <v>3164800</v>
      </c>
      <c r="R399" s="299">
        <f t="shared" si="31"/>
        <v>3164800</v>
      </c>
      <c r="S399" s="112">
        <v>0</v>
      </c>
    </row>
    <row r="400" spans="1:19" ht="30">
      <c r="A400" s="259"/>
      <c r="B400" s="77" t="s">
        <v>2138</v>
      </c>
      <c r="C400" s="76" t="s">
        <v>1877</v>
      </c>
      <c r="D400" s="143">
        <v>1</v>
      </c>
      <c r="E400" s="76"/>
      <c r="F400" s="113">
        <f t="shared" si="28"/>
        <v>1</v>
      </c>
      <c r="G400" s="112" t="s">
        <v>3680</v>
      </c>
      <c r="H400" s="120" t="s">
        <v>3386</v>
      </c>
      <c r="I400" s="120" t="s">
        <v>3190</v>
      </c>
      <c r="J400" s="120" t="s">
        <v>772</v>
      </c>
      <c r="K400" s="112">
        <v>2044100</v>
      </c>
      <c r="L400" s="113"/>
      <c r="M400" s="113">
        <v>561300</v>
      </c>
      <c r="N400" s="113"/>
      <c r="O400" s="113"/>
      <c r="P400" s="299">
        <f t="shared" si="29"/>
        <v>2605400</v>
      </c>
      <c r="Q400" s="299">
        <f t="shared" si="30"/>
        <v>2605400</v>
      </c>
      <c r="R400" s="299">
        <f t="shared" si="31"/>
        <v>2605400</v>
      </c>
      <c r="S400" s="112">
        <v>0</v>
      </c>
    </row>
    <row r="401" spans="1:19" ht="30">
      <c r="A401" s="259"/>
      <c r="B401" s="77" t="s">
        <v>2139</v>
      </c>
      <c r="C401" s="76" t="s">
        <v>1877</v>
      </c>
      <c r="D401" s="147">
        <v>1</v>
      </c>
      <c r="E401" s="76"/>
      <c r="F401" s="113">
        <f t="shared" si="28"/>
        <v>1</v>
      </c>
      <c r="G401" s="112" t="s">
        <v>3678</v>
      </c>
      <c r="H401" s="120" t="s">
        <v>3386</v>
      </c>
      <c r="I401" s="120" t="s">
        <v>3190</v>
      </c>
      <c r="J401" s="120" t="s">
        <v>772</v>
      </c>
      <c r="K401" s="112">
        <v>2647200</v>
      </c>
      <c r="L401" s="113"/>
      <c r="M401" s="113">
        <v>679100</v>
      </c>
      <c r="N401" s="113"/>
      <c r="O401" s="113"/>
      <c r="P401" s="299">
        <f t="shared" si="29"/>
        <v>3326300</v>
      </c>
      <c r="Q401" s="299">
        <f t="shared" si="30"/>
        <v>3326300</v>
      </c>
      <c r="R401" s="299">
        <f t="shared" si="31"/>
        <v>3326300</v>
      </c>
      <c r="S401" s="112">
        <v>0</v>
      </c>
    </row>
    <row r="402" spans="1:19" ht="30">
      <c r="A402" s="266"/>
      <c r="B402" s="87" t="s">
        <v>2108</v>
      </c>
      <c r="C402" s="88" t="s">
        <v>1877</v>
      </c>
      <c r="D402" s="147">
        <v>4</v>
      </c>
      <c r="E402" s="87"/>
      <c r="F402" s="113">
        <f t="shared" si="28"/>
        <v>4</v>
      </c>
      <c r="G402" s="112" t="s">
        <v>3679</v>
      </c>
      <c r="H402" s="120" t="s">
        <v>3191</v>
      </c>
      <c r="I402" s="120" t="s">
        <v>3190</v>
      </c>
      <c r="J402" s="120" t="s">
        <v>772</v>
      </c>
      <c r="K402" s="112">
        <v>411700</v>
      </c>
      <c r="L402" s="113"/>
      <c r="M402" s="113">
        <v>338600</v>
      </c>
      <c r="N402" s="113"/>
      <c r="O402" s="113"/>
      <c r="P402" s="299">
        <f t="shared" si="29"/>
        <v>750300</v>
      </c>
      <c r="Q402" s="299">
        <f t="shared" si="30"/>
        <v>3001200</v>
      </c>
      <c r="R402" s="299">
        <f t="shared" si="31"/>
        <v>3001200</v>
      </c>
      <c r="S402" s="112">
        <v>0</v>
      </c>
    </row>
    <row r="403" spans="1:19" ht="30">
      <c r="A403" s="266"/>
      <c r="B403" s="87" t="s">
        <v>2140</v>
      </c>
      <c r="C403" s="88" t="s">
        <v>1877</v>
      </c>
      <c r="D403" s="147">
        <v>4</v>
      </c>
      <c r="E403" s="87"/>
      <c r="F403" s="113">
        <f t="shared" si="28"/>
        <v>4</v>
      </c>
      <c r="G403" s="112" t="s">
        <v>3678</v>
      </c>
      <c r="H403" s="120" t="s">
        <v>3386</v>
      </c>
      <c r="I403" s="120" t="s">
        <v>3190</v>
      </c>
      <c r="J403" s="120" t="s">
        <v>772</v>
      </c>
      <c r="K403" s="112">
        <v>2647200</v>
      </c>
      <c r="L403" s="113"/>
      <c r="M403" s="113">
        <v>679100</v>
      </c>
      <c r="N403" s="113"/>
      <c r="O403" s="113"/>
      <c r="P403" s="299">
        <f t="shared" si="29"/>
        <v>3326300</v>
      </c>
      <c r="Q403" s="299">
        <f t="shared" si="30"/>
        <v>13305200</v>
      </c>
      <c r="R403" s="299">
        <f t="shared" si="31"/>
        <v>13305200</v>
      </c>
      <c r="S403" s="112">
        <v>0</v>
      </c>
    </row>
    <row r="404" spans="1:19" ht="30">
      <c r="A404" s="266"/>
      <c r="B404" s="87" t="s">
        <v>2141</v>
      </c>
      <c r="C404" s="88" t="s">
        <v>1877</v>
      </c>
      <c r="D404" s="147">
        <v>2</v>
      </c>
      <c r="E404" s="87"/>
      <c r="F404" s="113">
        <f t="shared" si="28"/>
        <v>2</v>
      </c>
      <c r="G404" s="112" t="s">
        <v>3677</v>
      </c>
      <c r="H404" s="120" t="s">
        <v>3191</v>
      </c>
      <c r="I404" s="120" t="s">
        <v>3190</v>
      </c>
      <c r="J404" s="120" t="s">
        <v>772</v>
      </c>
      <c r="K404" s="112">
        <v>607500</v>
      </c>
      <c r="L404" s="113"/>
      <c r="M404" s="113">
        <v>477300</v>
      </c>
      <c r="N404" s="113"/>
      <c r="O404" s="113"/>
      <c r="P404" s="299">
        <f t="shared" si="29"/>
        <v>1084800</v>
      </c>
      <c r="Q404" s="299">
        <f t="shared" si="30"/>
        <v>2169600</v>
      </c>
      <c r="R404" s="299">
        <f t="shared" si="31"/>
        <v>2169600</v>
      </c>
      <c r="S404" s="112">
        <v>0</v>
      </c>
    </row>
    <row r="405" spans="1:19">
      <c r="A405" s="266">
        <v>4.21</v>
      </c>
      <c r="B405" s="91" t="s">
        <v>2142</v>
      </c>
      <c r="C405" s="88"/>
      <c r="D405" s="147"/>
      <c r="E405" s="87"/>
      <c r="F405" s="113">
        <f t="shared" si="28"/>
        <v>0</v>
      </c>
      <c r="G405" s="112">
        <v>0</v>
      </c>
      <c r="H405" s="120">
        <v>0</v>
      </c>
      <c r="I405" s="120">
        <v>0</v>
      </c>
      <c r="J405" s="120">
        <v>0</v>
      </c>
      <c r="K405" s="112">
        <v>0</v>
      </c>
      <c r="L405" s="113"/>
      <c r="M405" s="113">
        <v>0</v>
      </c>
      <c r="N405" s="113"/>
      <c r="O405" s="113"/>
      <c r="P405" s="299">
        <f t="shared" si="29"/>
        <v>0</v>
      </c>
      <c r="Q405" s="299">
        <f t="shared" si="30"/>
        <v>0</v>
      </c>
      <c r="R405" s="299">
        <f t="shared" si="31"/>
        <v>0</v>
      </c>
      <c r="S405" s="112">
        <v>0</v>
      </c>
    </row>
    <row r="406" spans="1:19" ht="30">
      <c r="A406" s="266"/>
      <c r="B406" s="87" t="s">
        <v>2108</v>
      </c>
      <c r="C406" s="88" t="s">
        <v>1877</v>
      </c>
      <c r="D406" s="147">
        <v>1</v>
      </c>
      <c r="E406" s="87"/>
      <c r="F406" s="113">
        <f t="shared" si="28"/>
        <v>1</v>
      </c>
      <c r="G406" s="112" t="s">
        <v>3679</v>
      </c>
      <c r="H406" s="120" t="s">
        <v>3191</v>
      </c>
      <c r="I406" s="120" t="s">
        <v>3190</v>
      </c>
      <c r="J406" s="120" t="s">
        <v>772</v>
      </c>
      <c r="K406" s="112">
        <v>411700</v>
      </c>
      <c r="L406" s="113"/>
      <c r="M406" s="113">
        <v>338600</v>
      </c>
      <c r="N406" s="113"/>
      <c r="O406" s="113"/>
      <c r="P406" s="299">
        <f t="shared" si="29"/>
        <v>750300</v>
      </c>
      <c r="Q406" s="299">
        <f t="shared" si="30"/>
        <v>750300</v>
      </c>
      <c r="R406" s="299">
        <f t="shared" si="31"/>
        <v>750300</v>
      </c>
      <c r="S406" s="112">
        <v>0</v>
      </c>
    </row>
    <row r="407" spans="1:19" ht="105">
      <c r="A407" s="266"/>
      <c r="B407" s="87" t="s">
        <v>2107</v>
      </c>
      <c r="C407" s="88" t="s">
        <v>1877</v>
      </c>
      <c r="D407" s="147">
        <v>1</v>
      </c>
      <c r="E407" s="87"/>
      <c r="F407" s="113">
        <f t="shared" si="28"/>
        <v>1</v>
      </c>
      <c r="G407" s="112" t="s">
        <v>3676</v>
      </c>
      <c r="H407" s="120" t="s">
        <v>3191</v>
      </c>
      <c r="I407" s="120" t="s">
        <v>3190</v>
      </c>
      <c r="J407" s="120" t="s">
        <v>772</v>
      </c>
      <c r="K407" s="112">
        <v>2130400</v>
      </c>
      <c r="L407" s="113"/>
      <c r="M407" s="113">
        <v>415300</v>
      </c>
      <c r="N407" s="113"/>
      <c r="O407" s="113"/>
      <c r="P407" s="299">
        <f t="shared" si="29"/>
        <v>2545700</v>
      </c>
      <c r="Q407" s="299">
        <f t="shared" si="30"/>
        <v>2545700</v>
      </c>
      <c r="R407" s="299">
        <f t="shared" si="31"/>
        <v>2545700</v>
      </c>
      <c r="S407" s="112">
        <v>0</v>
      </c>
    </row>
    <row r="408" spans="1:19" ht="30">
      <c r="A408" s="266"/>
      <c r="B408" s="87" t="s">
        <v>2088</v>
      </c>
      <c r="C408" s="88" t="s">
        <v>1877</v>
      </c>
      <c r="D408" s="147">
        <v>1</v>
      </c>
      <c r="E408" s="87"/>
      <c r="F408" s="113">
        <f t="shared" si="28"/>
        <v>1</v>
      </c>
      <c r="G408" s="112" t="s">
        <v>3675</v>
      </c>
      <c r="H408" s="120" t="s">
        <v>3202</v>
      </c>
      <c r="I408" s="120" t="s">
        <v>3190</v>
      </c>
      <c r="J408" s="120" t="s">
        <v>772</v>
      </c>
      <c r="K408" s="112">
        <v>836400</v>
      </c>
      <c r="L408" s="113"/>
      <c r="M408" s="113">
        <v>606400</v>
      </c>
      <c r="N408" s="113"/>
      <c r="O408" s="113"/>
      <c r="P408" s="299">
        <f t="shared" si="29"/>
        <v>1442800</v>
      </c>
      <c r="Q408" s="299">
        <f t="shared" si="30"/>
        <v>1442800</v>
      </c>
      <c r="R408" s="299">
        <f t="shared" si="31"/>
        <v>1442800</v>
      </c>
      <c r="S408" s="112">
        <v>0</v>
      </c>
    </row>
    <row r="409" spans="1:19">
      <c r="A409" s="259">
        <v>4.22</v>
      </c>
      <c r="B409" s="80" t="s">
        <v>1913</v>
      </c>
      <c r="C409" s="79"/>
      <c r="D409" s="143"/>
      <c r="E409" s="79"/>
      <c r="F409" s="113">
        <f t="shared" si="28"/>
        <v>0</v>
      </c>
      <c r="G409" s="112">
        <v>0</v>
      </c>
      <c r="H409" s="120">
        <v>0</v>
      </c>
      <c r="I409" s="120">
        <v>0</v>
      </c>
      <c r="J409" s="120">
        <v>0</v>
      </c>
      <c r="K409" s="112">
        <v>0</v>
      </c>
      <c r="L409" s="113"/>
      <c r="M409" s="113">
        <v>0</v>
      </c>
      <c r="N409" s="113"/>
      <c r="O409" s="113"/>
      <c r="P409" s="299">
        <f t="shared" si="29"/>
        <v>0</v>
      </c>
      <c r="Q409" s="299">
        <f t="shared" si="30"/>
        <v>0</v>
      </c>
      <c r="R409" s="299">
        <f t="shared" si="31"/>
        <v>0</v>
      </c>
      <c r="S409" s="112">
        <v>0</v>
      </c>
    </row>
    <row r="410" spans="1:19" ht="30">
      <c r="A410" s="259"/>
      <c r="B410" s="77" t="s">
        <v>2143</v>
      </c>
      <c r="C410" s="76" t="s">
        <v>1877</v>
      </c>
      <c r="D410" s="143">
        <v>1</v>
      </c>
      <c r="E410" s="79"/>
      <c r="F410" s="113">
        <f t="shared" si="28"/>
        <v>1</v>
      </c>
      <c r="G410" s="112" t="s">
        <v>3630</v>
      </c>
      <c r="H410" s="120" t="s">
        <v>3191</v>
      </c>
      <c r="I410" s="120" t="s">
        <v>3190</v>
      </c>
      <c r="J410" s="120" t="s">
        <v>772</v>
      </c>
      <c r="K410" s="112">
        <v>342700</v>
      </c>
      <c r="L410" s="113"/>
      <c r="M410" s="113">
        <v>338600</v>
      </c>
      <c r="N410" s="113"/>
      <c r="O410" s="113"/>
      <c r="P410" s="299">
        <f t="shared" si="29"/>
        <v>681300</v>
      </c>
      <c r="Q410" s="299">
        <f t="shared" si="30"/>
        <v>681300</v>
      </c>
      <c r="R410" s="299">
        <f t="shared" si="31"/>
        <v>681300</v>
      </c>
      <c r="S410" s="112">
        <v>0</v>
      </c>
    </row>
    <row r="411" spans="1:19" ht="30">
      <c r="A411" s="259"/>
      <c r="B411" s="77" t="s">
        <v>2144</v>
      </c>
      <c r="C411" s="76" t="s">
        <v>1877</v>
      </c>
      <c r="D411" s="143">
        <v>1</v>
      </c>
      <c r="E411" s="79"/>
      <c r="F411" s="113">
        <f t="shared" si="28"/>
        <v>1</v>
      </c>
      <c r="G411" s="112" t="s">
        <v>3674</v>
      </c>
      <c r="H411" s="120" t="s">
        <v>3191</v>
      </c>
      <c r="I411" s="120" t="s">
        <v>3190</v>
      </c>
      <c r="J411" s="120" t="s">
        <v>772</v>
      </c>
      <c r="K411" s="112">
        <v>478000</v>
      </c>
      <c r="L411" s="113"/>
      <c r="M411" s="113">
        <v>415100</v>
      </c>
      <c r="N411" s="113"/>
      <c r="O411" s="113"/>
      <c r="P411" s="299">
        <f t="shared" si="29"/>
        <v>893100</v>
      </c>
      <c r="Q411" s="299">
        <f t="shared" si="30"/>
        <v>893100</v>
      </c>
      <c r="R411" s="299">
        <f t="shared" si="31"/>
        <v>893100</v>
      </c>
      <c r="S411" s="112">
        <v>0</v>
      </c>
    </row>
    <row r="412" spans="1:19" ht="30">
      <c r="A412" s="259"/>
      <c r="B412" s="77" t="s">
        <v>2085</v>
      </c>
      <c r="C412" s="76" t="s">
        <v>1877</v>
      </c>
      <c r="D412" s="143">
        <v>1</v>
      </c>
      <c r="E412" s="79"/>
      <c r="F412" s="113">
        <f t="shared" si="28"/>
        <v>1</v>
      </c>
      <c r="G412" s="112" t="s">
        <v>3598</v>
      </c>
      <c r="H412" s="120" t="s">
        <v>3202</v>
      </c>
      <c r="I412" s="120" t="s">
        <v>3190</v>
      </c>
      <c r="J412" s="120" t="s">
        <v>772</v>
      </c>
      <c r="K412" s="112">
        <v>738500</v>
      </c>
      <c r="L412" s="113"/>
      <c r="M412" s="113">
        <v>606400</v>
      </c>
      <c r="N412" s="113"/>
      <c r="O412" s="113"/>
      <c r="P412" s="299">
        <f t="shared" si="29"/>
        <v>1344900</v>
      </c>
      <c r="Q412" s="299">
        <f t="shared" si="30"/>
        <v>1344900</v>
      </c>
      <c r="R412" s="299">
        <f t="shared" si="31"/>
        <v>1344900</v>
      </c>
      <c r="S412" s="112">
        <v>0</v>
      </c>
    </row>
    <row r="413" spans="1:19" ht="30">
      <c r="A413" s="259"/>
      <c r="B413" s="77" t="s">
        <v>2087</v>
      </c>
      <c r="C413" s="76" t="s">
        <v>1877</v>
      </c>
      <c r="D413" s="143">
        <v>2</v>
      </c>
      <c r="E413" s="79"/>
      <c r="F413" s="113">
        <f t="shared" si="28"/>
        <v>2</v>
      </c>
      <c r="G413" s="112" t="s">
        <v>3673</v>
      </c>
      <c r="H413" s="120" t="s">
        <v>3202</v>
      </c>
      <c r="I413" s="120" t="s">
        <v>3190</v>
      </c>
      <c r="J413" s="120" t="s">
        <v>772</v>
      </c>
      <c r="K413" s="112">
        <v>846500</v>
      </c>
      <c r="L413" s="113"/>
      <c r="M413" s="113">
        <v>606400</v>
      </c>
      <c r="N413" s="113"/>
      <c r="O413" s="113"/>
      <c r="P413" s="299">
        <f t="shared" si="29"/>
        <v>1452900</v>
      </c>
      <c r="Q413" s="299">
        <f t="shared" si="30"/>
        <v>2905800</v>
      </c>
      <c r="R413" s="299">
        <f t="shared" si="31"/>
        <v>2905800</v>
      </c>
      <c r="S413" s="112">
        <v>0</v>
      </c>
    </row>
    <row r="414" spans="1:19" ht="30">
      <c r="A414" s="259"/>
      <c r="B414" s="77" t="s">
        <v>2088</v>
      </c>
      <c r="C414" s="76" t="s">
        <v>1877</v>
      </c>
      <c r="D414" s="143">
        <v>2</v>
      </c>
      <c r="E414" s="79"/>
      <c r="F414" s="113">
        <f t="shared" si="28"/>
        <v>2</v>
      </c>
      <c r="G414" s="112" t="s">
        <v>3672</v>
      </c>
      <c r="H414" s="120" t="s">
        <v>3202</v>
      </c>
      <c r="I414" s="120" t="s">
        <v>3190</v>
      </c>
      <c r="J414" s="120" t="s">
        <v>772</v>
      </c>
      <c r="K414" s="112">
        <v>843600</v>
      </c>
      <c r="L414" s="113"/>
      <c r="M414" s="113">
        <v>606400</v>
      </c>
      <c r="N414" s="113"/>
      <c r="O414" s="113"/>
      <c r="P414" s="299">
        <f t="shared" si="29"/>
        <v>1450000</v>
      </c>
      <c r="Q414" s="299">
        <f t="shared" si="30"/>
        <v>2900000</v>
      </c>
      <c r="R414" s="299">
        <f t="shared" si="31"/>
        <v>2900000</v>
      </c>
      <c r="S414" s="112">
        <v>0</v>
      </c>
    </row>
    <row r="415" spans="1:19" ht="30">
      <c r="A415" s="259"/>
      <c r="B415" s="77" t="s">
        <v>2051</v>
      </c>
      <c r="C415" s="76" t="s">
        <v>1877</v>
      </c>
      <c r="D415" s="147">
        <v>1</v>
      </c>
      <c r="E415" s="79"/>
      <c r="F415" s="113">
        <f t="shared" si="28"/>
        <v>1</v>
      </c>
      <c r="G415" s="112" t="s">
        <v>3671</v>
      </c>
      <c r="H415" s="120" t="s">
        <v>3386</v>
      </c>
      <c r="I415" s="120" t="s">
        <v>3190</v>
      </c>
      <c r="J415" s="120" t="s">
        <v>772</v>
      </c>
      <c r="K415" s="112">
        <v>1079600</v>
      </c>
      <c r="L415" s="113"/>
      <c r="M415" s="113">
        <v>606600</v>
      </c>
      <c r="N415" s="113"/>
      <c r="O415" s="113"/>
      <c r="P415" s="299">
        <f t="shared" si="29"/>
        <v>1686200</v>
      </c>
      <c r="Q415" s="299">
        <f t="shared" si="30"/>
        <v>1686200</v>
      </c>
      <c r="R415" s="299">
        <f t="shared" si="31"/>
        <v>1686200</v>
      </c>
      <c r="S415" s="112">
        <v>0</v>
      </c>
    </row>
    <row r="416" spans="1:19" ht="30">
      <c r="A416" s="259"/>
      <c r="B416" s="77" t="s">
        <v>2091</v>
      </c>
      <c r="C416" s="76" t="s">
        <v>1877</v>
      </c>
      <c r="D416" s="143">
        <v>1</v>
      </c>
      <c r="E416" s="76"/>
      <c r="F416" s="113">
        <f t="shared" si="28"/>
        <v>1</v>
      </c>
      <c r="G416" s="112" t="s">
        <v>3670</v>
      </c>
      <c r="H416" s="120" t="s">
        <v>3386</v>
      </c>
      <c r="I416" s="120" t="s">
        <v>3190</v>
      </c>
      <c r="J416" s="120" t="s">
        <v>772</v>
      </c>
      <c r="K416" s="112">
        <v>1049400</v>
      </c>
      <c r="L416" s="113"/>
      <c r="M416" s="113">
        <v>606600</v>
      </c>
      <c r="N416" s="113"/>
      <c r="O416" s="113"/>
      <c r="P416" s="299">
        <f t="shared" si="29"/>
        <v>1656000</v>
      </c>
      <c r="Q416" s="299">
        <f t="shared" si="30"/>
        <v>1656000</v>
      </c>
      <c r="R416" s="299">
        <f t="shared" si="31"/>
        <v>1656000</v>
      </c>
      <c r="S416" s="112">
        <v>0</v>
      </c>
    </row>
    <row r="417" spans="1:19" ht="30">
      <c r="A417" s="259"/>
      <c r="B417" s="77" t="s">
        <v>1866</v>
      </c>
      <c r="C417" s="76" t="s">
        <v>1877</v>
      </c>
      <c r="D417" s="147">
        <v>1</v>
      </c>
      <c r="E417" s="76"/>
      <c r="F417" s="113">
        <f t="shared" si="28"/>
        <v>1</v>
      </c>
      <c r="G417" s="112" t="s">
        <v>3669</v>
      </c>
      <c r="H417" s="120" t="s">
        <v>3386</v>
      </c>
      <c r="I417" s="120" t="s">
        <v>3190</v>
      </c>
      <c r="J417" s="120" t="s">
        <v>772</v>
      </c>
      <c r="K417" s="112">
        <v>1331500</v>
      </c>
      <c r="L417" s="113"/>
      <c r="M417" s="113">
        <v>606600</v>
      </c>
      <c r="N417" s="113"/>
      <c r="O417" s="113"/>
      <c r="P417" s="299">
        <f t="shared" si="29"/>
        <v>1938100</v>
      </c>
      <c r="Q417" s="299">
        <f t="shared" si="30"/>
        <v>1938100</v>
      </c>
      <c r="R417" s="299">
        <f t="shared" si="31"/>
        <v>1938100</v>
      </c>
      <c r="S417" s="112">
        <v>0</v>
      </c>
    </row>
    <row r="418" spans="1:19" ht="30">
      <c r="A418" s="266"/>
      <c r="B418" s="87" t="s">
        <v>2108</v>
      </c>
      <c r="C418" s="88" t="s">
        <v>1877</v>
      </c>
      <c r="D418" s="147">
        <v>1</v>
      </c>
      <c r="E418" s="87"/>
      <c r="F418" s="113">
        <f t="shared" si="28"/>
        <v>1</v>
      </c>
      <c r="G418" s="112" t="s">
        <v>3668</v>
      </c>
      <c r="H418" s="120" t="s">
        <v>3191</v>
      </c>
      <c r="I418" s="120" t="s">
        <v>3190</v>
      </c>
      <c r="J418" s="120" t="s">
        <v>772</v>
      </c>
      <c r="K418" s="112">
        <v>390200</v>
      </c>
      <c r="L418" s="113"/>
      <c r="M418" s="113">
        <v>338600</v>
      </c>
      <c r="N418" s="113"/>
      <c r="O418" s="113"/>
      <c r="P418" s="299">
        <f t="shared" si="29"/>
        <v>728800</v>
      </c>
      <c r="Q418" s="299">
        <f t="shared" si="30"/>
        <v>728800</v>
      </c>
      <c r="R418" s="299">
        <f t="shared" si="31"/>
        <v>728800</v>
      </c>
      <c r="S418" s="112">
        <v>0</v>
      </c>
    </row>
    <row r="419" spans="1:19" ht="30">
      <c r="A419" s="266"/>
      <c r="B419" s="87" t="s">
        <v>2058</v>
      </c>
      <c r="C419" s="88" t="s">
        <v>1877</v>
      </c>
      <c r="D419" s="147">
        <v>1</v>
      </c>
      <c r="E419" s="87"/>
      <c r="F419" s="113">
        <f t="shared" si="28"/>
        <v>1</v>
      </c>
      <c r="G419" s="112" t="s">
        <v>3667</v>
      </c>
      <c r="H419" s="120" t="s">
        <v>3202</v>
      </c>
      <c r="I419" s="120" t="s">
        <v>3190</v>
      </c>
      <c r="J419" s="120" t="s">
        <v>772</v>
      </c>
      <c r="K419" s="112">
        <v>846500</v>
      </c>
      <c r="L419" s="113"/>
      <c r="M419" s="113">
        <v>606400</v>
      </c>
      <c r="N419" s="113"/>
      <c r="O419" s="113"/>
      <c r="P419" s="299">
        <f t="shared" si="29"/>
        <v>1452900</v>
      </c>
      <c r="Q419" s="299">
        <f t="shared" si="30"/>
        <v>1452900</v>
      </c>
      <c r="R419" s="299">
        <f t="shared" si="31"/>
        <v>1452900</v>
      </c>
      <c r="S419" s="112">
        <v>0</v>
      </c>
    </row>
    <row r="420" spans="1:19" ht="42.75">
      <c r="A420" s="259">
        <v>4.2300000000000004</v>
      </c>
      <c r="B420" s="257" t="s">
        <v>2145</v>
      </c>
      <c r="C420" s="79"/>
      <c r="D420" s="143"/>
      <c r="E420" s="79"/>
      <c r="F420" s="113">
        <f t="shared" si="28"/>
        <v>0</v>
      </c>
      <c r="G420" s="112">
        <v>0</v>
      </c>
      <c r="H420" s="120">
        <v>0</v>
      </c>
      <c r="I420" s="120">
        <v>0</v>
      </c>
      <c r="J420" s="120">
        <v>0</v>
      </c>
      <c r="K420" s="112">
        <v>0</v>
      </c>
      <c r="L420" s="113"/>
      <c r="M420" s="113">
        <v>0</v>
      </c>
      <c r="N420" s="113"/>
      <c r="O420" s="113"/>
      <c r="P420" s="299">
        <f t="shared" si="29"/>
        <v>0</v>
      </c>
      <c r="Q420" s="299">
        <f t="shared" si="30"/>
        <v>0</v>
      </c>
      <c r="R420" s="299">
        <f t="shared" si="31"/>
        <v>0</v>
      </c>
      <c r="S420" s="112">
        <v>0</v>
      </c>
    </row>
    <row r="421" spans="1:19" ht="60">
      <c r="A421" s="259"/>
      <c r="B421" s="77" t="s">
        <v>2146</v>
      </c>
      <c r="C421" s="76" t="s">
        <v>1877</v>
      </c>
      <c r="D421" s="143">
        <v>1</v>
      </c>
      <c r="E421" s="79"/>
      <c r="F421" s="113">
        <f t="shared" si="28"/>
        <v>1</v>
      </c>
      <c r="G421" s="112" t="s">
        <v>3641</v>
      </c>
      <c r="H421" s="120">
        <v>0</v>
      </c>
      <c r="I421" s="120" t="s">
        <v>3190</v>
      </c>
      <c r="J421" s="120" t="s">
        <v>772</v>
      </c>
      <c r="K421" s="112">
        <v>2914900</v>
      </c>
      <c r="L421" s="113"/>
      <c r="M421" s="113">
        <v>917900</v>
      </c>
      <c r="N421" s="113"/>
      <c r="O421" s="113"/>
      <c r="P421" s="299">
        <f t="shared" si="29"/>
        <v>3832800</v>
      </c>
      <c r="Q421" s="299">
        <f t="shared" si="30"/>
        <v>3832800</v>
      </c>
      <c r="R421" s="299">
        <f t="shared" si="31"/>
        <v>3832800</v>
      </c>
      <c r="S421" s="112">
        <v>0</v>
      </c>
    </row>
    <row r="422" spans="1:19" ht="60">
      <c r="A422" s="259"/>
      <c r="B422" s="77" t="s">
        <v>2147</v>
      </c>
      <c r="C422" s="76" t="s">
        <v>1877</v>
      </c>
      <c r="D422" s="143">
        <v>1</v>
      </c>
      <c r="E422" s="79"/>
      <c r="F422" s="113">
        <f t="shared" si="28"/>
        <v>1</v>
      </c>
      <c r="G422" s="112" t="s">
        <v>3666</v>
      </c>
      <c r="H422" s="120">
        <v>0</v>
      </c>
      <c r="I422" s="120" t="s">
        <v>3190</v>
      </c>
      <c r="J422" s="120" t="s">
        <v>772</v>
      </c>
      <c r="K422" s="112">
        <v>4761600</v>
      </c>
      <c r="L422" s="113"/>
      <c r="M422" s="113">
        <v>1092200</v>
      </c>
      <c r="N422" s="113"/>
      <c r="O422" s="113"/>
      <c r="P422" s="299">
        <f t="shared" si="29"/>
        <v>5853800</v>
      </c>
      <c r="Q422" s="299">
        <f t="shared" si="30"/>
        <v>5853800</v>
      </c>
      <c r="R422" s="299">
        <f t="shared" si="31"/>
        <v>5853800</v>
      </c>
      <c r="S422" s="112">
        <v>0</v>
      </c>
    </row>
    <row r="423" spans="1:19" ht="60">
      <c r="A423" s="266"/>
      <c r="B423" s="87" t="s">
        <v>2148</v>
      </c>
      <c r="C423" s="88" t="s">
        <v>1877</v>
      </c>
      <c r="D423" s="147">
        <v>1</v>
      </c>
      <c r="E423" s="87"/>
      <c r="F423" s="113">
        <f t="shared" si="28"/>
        <v>1</v>
      </c>
      <c r="G423" s="112" t="s">
        <v>3609</v>
      </c>
      <c r="H423" s="120">
        <v>0</v>
      </c>
      <c r="I423" s="120" t="s">
        <v>3190</v>
      </c>
      <c r="J423" s="120" t="s">
        <v>772</v>
      </c>
      <c r="K423" s="112">
        <v>1943300</v>
      </c>
      <c r="L423" s="113"/>
      <c r="M423" s="113">
        <v>619700</v>
      </c>
      <c r="N423" s="113"/>
      <c r="O423" s="113"/>
      <c r="P423" s="299">
        <f t="shared" si="29"/>
        <v>2563000</v>
      </c>
      <c r="Q423" s="299">
        <f t="shared" si="30"/>
        <v>2563000</v>
      </c>
      <c r="R423" s="299">
        <f t="shared" si="31"/>
        <v>2563000</v>
      </c>
      <c r="S423" s="112">
        <v>0</v>
      </c>
    </row>
    <row r="424" spans="1:19">
      <c r="A424" s="266">
        <v>4.24</v>
      </c>
      <c r="B424" s="91" t="s">
        <v>2149</v>
      </c>
      <c r="C424" s="88"/>
      <c r="D424" s="147"/>
      <c r="E424" s="87"/>
      <c r="F424" s="113">
        <f t="shared" si="28"/>
        <v>0</v>
      </c>
      <c r="G424" s="112">
        <v>0</v>
      </c>
      <c r="H424" s="120">
        <v>0</v>
      </c>
      <c r="I424" s="120">
        <v>0</v>
      </c>
      <c r="J424" s="120">
        <v>0</v>
      </c>
      <c r="K424" s="112">
        <v>0</v>
      </c>
      <c r="L424" s="113"/>
      <c r="M424" s="113">
        <v>0</v>
      </c>
      <c r="N424" s="113"/>
      <c r="O424" s="113"/>
      <c r="P424" s="299">
        <f t="shared" si="29"/>
        <v>0</v>
      </c>
      <c r="Q424" s="299">
        <f t="shared" si="30"/>
        <v>0</v>
      </c>
      <c r="R424" s="299">
        <f t="shared" si="31"/>
        <v>0</v>
      </c>
      <c r="S424" s="112">
        <v>0</v>
      </c>
    </row>
    <row r="425" spans="1:19" ht="60">
      <c r="A425" s="266"/>
      <c r="B425" s="87" t="s">
        <v>2150</v>
      </c>
      <c r="C425" s="88" t="s">
        <v>1877</v>
      </c>
      <c r="D425" s="147">
        <v>4</v>
      </c>
      <c r="E425" s="87"/>
      <c r="F425" s="113">
        <f t="shared" si="28"/>
        <v>4</v>
      </c>
      <c r="G425" s="112" t="s">
        <v>3994</v>
      </c>
      <c r="H425" s="120" t="s">
        <v>3193</v>
      </c>
      <c r="I425" s="120" t="s">
        <v>3768</v>
      </c>
      <c r="J425" s="120" t="s">
        <v>772</v>
      </c>
      <c r="K425" s="112">
        <v>104100</v>
      </c>
      <c r="L425" s="113"/>
      <c r="M425" s="113">
        <v>23300</v>
      </c>
      <c r="N425" s="113"/>
      <c r="O425" s="113"/>
      <c r="P425" s="299">
        <f t="shared" si="29"/>
        <v>127400</v>
      </c>
      <c r="Q425" s="299">
        <f t="shared" si="30"/>
        <v>509600</v>
      </c>
      <c r="R425" s="299">
        <f t="shared" si="31"/>
        <v>509600</v>
      </c>
      <c r="S425" s="112">
        <v>0</v>
      </c>
    </row>
    <row r="426" spans="1:19" ht="60">
      <c r="A426" s="266"/>
      <c r="B426" s="87" t="s">
        <v>2151</v>
      </c>
      <c r="C426" s="88" t="s">
        <v>1877</v>
      </c>
      <c r="D426" s="147">
        <v>50</v>
      </c>
      <c r="E426" s="87"/>
      <c r="F426" s="113">
        <f t="shared" si="28"/>
        <v>50</v>
      </c>
      <c r="G426" s="112" t="s">
        <v>3995</v>
      </c>
      <c r="H426" s="120" t="s">
        <v>3193</v>
      </c>
      <c r="I426" s="120" t="s">
        <v>3768</v>
      </c>
      <c r="J426" s="120" t="s">
        <v>772</v>
      </c>
      <c r="K426" s="112">
        <v>145700</v>
      </c>
      <c r="L426" s="113"/>
      <c r="M426" s="113">
        <v>39000</v>
      </c>
      <c r="N426" s="113"/>
      <c r="O426" s="113"/>
      <c r="P426" s="299">
        <f t="shared" si="29"/>
        <v>184700</v>
      </c>
      <c r="Q426" s="299">
        <f t="shared" si="30"/>
        <v>9235000</v>
      </c>
      <c r="R426" s="299">
        <f t="shared" si="31"/>
        <v>9235000</v>
      </c>
      <c r="S426" s="112">
        <v>0</v>
      </c>
    </row>
    <row r="427" spans="1:19" ht="60">
      <c r="A427" s="266"/>
      <c r="B427" s="87" t="s">
        <v>2152</v>
      </c>
      <c r="C427" s="88" t="s">
        <v>1877</v>
      </c>
      <c r="D427" s="147">
        <v>133</v>
      </c>
      <c r="E427" s="87"/>
      <c r="F427" s="113">
        <f t="shared" si="28"/>
        <v>133</v>
      </c>
      <c r="G427" s="112" t="s">
        <v>3996</v>
      </c>
      <c r="H427" s="120" t="s">
        <v>3193</v>
      </c>
      <c r="I427" s="120" t="s">
        <v>3768</v>
      </c>
      <c r="J427" s="120" t="s">
        <v>772</v>
      </c>
      <c r="K427" s="112">
        <v>160300</v>
      </c>
      <c r="L427" s="113"/>
      <c r="M427" s="113">
        <v>44200</v>
      </c>
      <c r="N427" s="113"/>
      <c r="O427" s="113"/>
      <c r="P427" s="299">
        <f t="shared" si="29"/>
        <v>204500</v>
      </c>
      <c r="Q427" s="299">
        <f t="shared" si="30"/>
        <v>27198500</v>
      </c>
      <c r="R427" s="299">
        <f t="shared" si="31"/>
        <v>27198500</v>
      </c>
      <c r="S427" s="112">
        <v>0</v>
      </c>
    </row>
    <row r="428" spans="1:19" ht="60">
      <c r="A428" s="266"/>
      <c r="B428" s="87" t="s">
        <v>2153</v>
      </c>
      <c r="C428" s="88" t="s">
        <v>1877</v>
      </c>
      <c r="D428" s="147">
        <v>1</v>
      </c>
      <c r="E428" s="87"/>
      <c r="F428" s="113">
        <f t="shared" si="28"/>
        <v>1</v>
      </c>
      <c r="G428" s="112" t="s">
        <v>3997</v>
      </c>
      <c r="H428" s="120" t="s">
        <v>3193</v>
      </c>
      <c r="I428" s="120" t="s">
        <v>3768</v>
      </c>
      <c r="J428" s="120" t="s">
        <v>772</v>
      </c>
      <c r="K428" s="112">
        <v>143300</v>
      </c>
      <c r="L428" s="113"/>
      <c r="M428" s="113">
        <v>38100</v>
      </c>
      <c r="N428" s="113"/>
      <c r="O428" s="113"/>
      <c r="P428" s="299">
        <f t="shared" si="29"/>
        <v>181400</v>
      </c>
      <c r="Q428" s="299">
        <f t="shared" si="30"/>
        <v>181400</v>
      </c>
      <c r="R428" s="299">
        <f t="shared" si="31"/>
        <v>181400</v>
      </c>
      <c r="S428" s="112">
        <v>0</v>
      </c>
    </row>
    <row r="429" spans="1:19" ht="60">
      <c r="A429" s="266"/>
      <c r="B429" s="87" t="s">
        <v>1981</v>
      </c>
      <c r="C429" s="88" t="s">
        <v>1877</v>
      </c>
      <c r="D429" s="147">
        <v>24</v>
      </c>
      <c r="E429" s="87"/>
      <c r="F429" s="113">
        <f t="shared" si="28"/>
        <v>24</v>
      </c>
      <c r="G429" s="112" t="s">
        <v>3914</v>
      </c>
      <c r="H429" s="120" t="s">
        <v>3193</v>
      </c>
      <c r="I429" s="120" t="s">
        <v>3768</v>
      </c>
      <c r="J429" s="120" t="s">
        <v>772</v>
      </c>
      <c r="K429" s="112">
        <v>386500</v>
      </c>
      <c r="L429" s="113"/>
      <c r="M429" s="113">
        <v>124800</v>
      </c>
      <c r="N429" s="113"/>
      <c r="O429" s="113"/>
      <c r="P429" s="299">
        <f t="shared" si="29"/>
        <v>511300</v>
      </c>
      <c r="Q429" s="299">
        <f t="shared" si="30"/>
        <v>12271200</v>
      </c>
      <c r="R429" s="299">
        <f t="shared" si="31"/>
        <v>12271200</v>
      </c>
      <c r="S429" s="112">
        <v>0</v>
      </c>
    </row>
    <row r="430" spans="1:19">
      <c r="A430" s="266">
        <v>4.25</v>
      </c>
      <c r="B430" s="91" t="s">
        <v>2154</v>
      </c>
      <c r="C430" s="88"/>
      <c r="D430" s="147"/>
      <c r="E430" s="87"/>
      <c r="F430" s="113">
        <f t="shared" si="28"/>
        <v>0</v>
      </c>
      <c r="G430" s="112">
        <v>0</v>
      </c>
      <c r="H430" s="120">
        <v>0</v>
      </c>
      <c r="I430" s="120">
        <v>0</v>
      </c>
      <c r="J430" s="120">
        <v>0</v>
      </c>
      <c r="K430" s="112">
        <v>0</v>
      </c>
      <c r="L430" s="113"/>
      <c r="M430" s="113">
        <v>0</v>
      </c>
      <c r="N430" s="113"/>
      <c r="O430" s="113"/>
      <c r="P430" s="299">
        <f t="shared" si="29"/>
        <v>0</v>
      </c>
      <c r="Q430" s="299">
        <f t="shared" si="30"/>
        <v>0</v>
      </c>
      <c r="R430" s="299">
        <f t="shared" si="31"/>
        <v>0</v>
      </c>
      <c r="S430" s="112">
        <v>0</v>
      </c>
    </row>
    <row r="431" spans="1:19" ht="45">
      <c r="A431" s="266"/>
      <c r="B431" s="87" t="s">
        <v>2148</v>
      </c>
      <c r="C431" s="88" t="s">
        <v>1877</v>
      </c>
      <c r="D431" s="147">
        <v>1</v>
      </c>
      <c r="E431" s="87"/>
      <c r="F431" s="113">
        <f t="shared" si="28"/>
        <v>1</v>
      </c>
      <c r="G431" s="112">
        <v>0</v>
      </c>
      <c r="H431" s="120" t="s">
        <v>3193</v>
      </c>
      <c r="I431" s="120" t="s">
        <v>3768</v>
      </c>
      <c r="J431" s="120" t="s">
        <v>772</v>
      </c>
      <c r="K431" s="112">
        <v>663600</v>
      </c>
      <c r="L431" s="113"/>
      <c r="M431" s="113">
        <v>491700</v>
      </c>
      <c r="N431" s="113"/>
      <c r="O431" s="113"/>
      <c r="P431" s="299">
        <f t="shared" si="29"/>
        <v>1155300</v>
      </c>
      <c r="Q431" s="299">
        <f t="shared" si="30"/>
        <v>1155300</v>
      </c>
      <c r="R431" s="299">
        <f t="shared" si="31"/>
        <v>1155300</v>
      </c>
      <c r="S431" s="112">
        <v>0</v>
      </c>
    </row>
    <row r="432" spans="1:19" ht="45">
      <c r="A432" s="266"/>
      <c r="B432" s="87" t="s">
        <v>2147</v>
      </c>
      <c r="C432" s="88" t="s">
        <v>1877</v>
      </c>
      <c r="D432" s="147">
        <v>1</v>
      </c>
      <c r="E432" s="87"/>
      <c r="F432" s="113">
        <f t="shared" si="28"/>
        <v>1</v>
      </c>
      <c r="G432" s="112">
        <v>0</v>
      </c>
      <c r="H432" s="120" t="s">
        <v>3191</v>
      </c>
      <c r="I432" s="120" t="s">
        <v>3768</v>
      </c>
      <c r="J432" s="120" t="s">
        <v>772</v>
      </c>
      <c r="K432" s="112">
        <v>2849800</v>
      </c>
      <c r="L432" s="113"/>
      <c r="M432" s="113">
        <v>795300</v>
      </c>
      <c r="N432" s="113"/>
      <c r="O432" s="113"/>
      <c r="P432" s="299">
        <f t="shared" si="29"/>
        <v>3645100</v>
      </c>
      <c r="Q432" s="299">
        <f t="shared" si="30"/>
        <v>3645100</v>
      </c>
      <c r="R432" s="299">
        <f t="shared" si="31"/>
        <v>3645100</v>
      </c>
      <c r="S432" s="112">
        <v>0</v>
      </c>
    </row>
    <row r="433" spans="1:19" ht="45">
      <c r="A433" s="266"/>
      <c r="B433" s="87" t="s">
        <v>2146</v>
      </c>
      <c r="C433" s="88" t="s">
        <v>1877</v>
      </c>
      <c r="D433" s="147">
        <v>1</v>
      </c>
      <c r="E433" s="90"/>
      <c r="F433" s="113">
        <f t="shared" si="28"/>
        <v>1</v>
      </c>
      <c r="G433" s="112">
        <v>0</v>
      </c>
      <c r="H433" s="120" t="s">
        <v>3191</v>
      </c>
      <c r="I433" s="120" t="s">
        <v>3768</v>
      </c>
      <c r="J433" s="120" t="s">
        <v>772</v>
      </c>
      <c r="K433" s="112">
        <v>2035000</v>
      </c>
      <c r="L433" s="113"/>
      <c r="M433" s="113">
        <v>669900</v>
      </c>
      <c r="N433" s="113"/>
      <c r="O433" s="113"/>
      <c r="P433" s="299">
        <f t="shared" si="29"/>
        <v>2704900</v>
      </c>
      <c r="Q433" s="299">
        <f t="shared" si="30"/>
        <v>2704900</v>
      </c>
      <c r="R433" s="299">
        <f t="shared" si="31"/>
        <v>2704900</v>
      </c>
      <c r="S433" s="112">
        <v>0</v>
      </c>
    </row>
    <row r="434" spans="1:19">
      <c r="A434" s="259">
        <v>4.26</v>
      </c>
      <c r="B434" s="257" t="s">
        <v>2155</v>
      </c>
      <c r="C434" s="76" t="s">
        <v>1877</v>
      </c>
      <c r="D434" s="143">
        <v>48</v>
      </c>
      <c r="E434" s="79"/>
      <c r="F434" s="113">
        <f t="shared" si="28"/>
        <v>48</v>
      </c>
      <c r="G434" s="112">
        <v>0</v>
      </c>
      <c r="H434" s="120">
        <v>0</v>
      </c>
      <c r="I434" s="120">
        <v>0</v>
      </c>
      <c r="J434" s="120" t="s">
        <v>772</v>
      </c>
      <c r="K434" s="112">
        <v>583700</v>
      </c>
      <c r="L434" s="113"/>
      <c r="M434" s="113">
        <v>38800</v>
      </c>
      <c r="N434" s="113"/>
      <c r="O434" s="113"/>
      <c r="P434" s="299">
        <f t="shared" si="29"/>
        <v>622500</v>
      </c>
      <c r="Q434" s="299">
        <f t="shared" si="30"/>
        <v>29880000</v>
      </c>
      <c r="R434" s="299">
        <f t="shared" si="31"/>
        <v>29880000</v>
      </c>
      <c r="S434" s="112">
        <v>0</v>
      </c>
    </row>
    <row r="435" spans="1:19">
      <c r="A435" s="259">
        <v>4.2699999999999996</v>
      </c>
      <c r="B435" s="257" t="s">
        <v>1994</v>
      </c>
      <c r="C435" s="76" t="s">
        <v>17</v>
      </c>
      <c r="D435" s="143">
        <v>1</v>
      </c>
      <c r="E435" s="79"/>
      <c r="F435" s="113">
        <f t="shared" si="28"/>
        <v>1</v>
      </c>
      <c r="G435" s="112">
        <v>0</v>
      </c>
      <c r="H435" s="120">
        <v>0</v>
      </c>
      <c r="I435" s="120">
        <v>0</v>
      </c>
      <c r="J435" s="120" t="s">
        <v>806</v>
      </c>
      <c r="K435" s="112">
        <v>0</v>
      </c>
      <c r="L435" s="113"/>
      <c r="M435" s="113">
        <v>0</v>
      </c>
      <c r="N435" s="113"/>
      <c r="O435" s="113"/>
      <c r="P435" s="299">
        <f t="shared" si="29"/>
        <v>0</v>
      </c>
      <c r="Q435" s="299">
        <f t="shared" si="30"/>
        <v>0</v>
      </c>
      <c r="R435" s="299">
        <f t="shared" si="31"/>
        <v>0</v>
      </c>
      <c r="S435" s="112">
        <v>0</v>
      </c>
    </row>
    <row r="436" spans="1:19">
      <c r="A436" s="266">
        <v>4.28</v>
      </c>
      <c r="B436" s="91" t="s">
        <v>1946</v>
      </c>
      <c r="C436" s="88"/>
      <c r="D436" s="147"/>
      <c r="E436" s="87"/>
      <c r="F436" s="113">
        <f t="shared" si="28"/>
        <v>0</v>
      </c>
      <c r="G436" s="112">
        <v>0</v>
      </c>
      <c r="H436" s="120">
        <v>0</v>
      </c>
      <c r="I436" s="120">
        <v>0</v>
      </c>
      <c r="J436" s="120">
        <v>0</v>
      </c>
      <c r="K436" s="112">
        <v>0</v>
      </c>
      <c r="L436" s="113"/>
      <c r="M436" s="113">
        <v>0</v>
      </c>
      <c r="N436" s="113"/>
      <c r="O436" s="113"/>
      <c r="P436" s="299">
        <f t="shared" si="29"/>
        <v>0</v>
      </c>
      <c r="Q436" s="299">
        <f t="shared" si="30"/>
        <v>0</v>
      </c>
      <c r="R436" s="299">
        <f t="shared" si="31"/>
        <v>0</v>
      </c>
      <c r="S436" s="112">
        <v>0</v>
      </c>
    </row>
    <row r="437" spans="1:19">
      <c r="A437" s="266"/>
      <c r="B437" s="87" t="s">
        <v>2156</v>
      </c>
      <c r="C437" s="88" t="s">
        <v>7</v>
      </c>
      <c r="D437" s="147">
        <v>26</v>
      </c>
      <c r="E437" s="87"/>
      <c r="F437" s="113">
        <f t="shared" si="28"/>
        <v>26</v>
      </c>
      <c r="G437" s="112" t="s">
        <v>3570</v>
      </c>
      <c r="H437" s="120" t="s">
        <v>3205</v>
      </c>
      <c r="I437" s="120" t="s">
        <v>3479</v>
      </c>
      <c r="J437" s="120" t="s">
        <v>772</v>
      </c>
      <c r="K437" s="112">
        <v>976600</v>
      </c>
      <c r="L437" s="113"/>
      <c r="M437" s="113">
        <v>403000</v>
      </c>
      <c r="N437" s="113"/>
      <c r="O437" s="113"/>
      <c r="P437" s="299">
        <f t="shared" si="29"/>
        <v>1379600</v>
      </c>
      <c r="Q437" s="299">
        <f t="shared" si="30"/>
        <v>35869600</v>
      </c>
      <c r="R437" s="299">
        <f t="shared" si="31"/>
        <v>35869600</v>
      </c>
      <c r="S437" s="112">
        <v>0</v>
      </c>
    </row>
    <row r="438" spans="1:19">
      <c r="A438" s="266"/>
      <c r="B438" s="87" t="s">
        <v>2157</v>
      </c>
      <c r="C438" s="88" t="s">
        <v>7</v>
      </c>
      <c r="D438" s="147">
        <v>23</v>
      </c>
      <c r="E438" s="87"/>
      <c r="F438" s="113">
        <f t="shared" si="28"/>
        <v>23</v>
      </c>
      <c r="G438" s="112" t="s">
        <v>3569</v>
      </c>
      <c r="H438" s="120" t="s">
        <v>3205</v>
      </c>
      <c r="I438" s="120" t="s">
        <v>3479</v>
      </c>
      <c r="J438" s="120" t="s">
        <v>772</v>
      </c>
      <c r="K438" s="112">
        <v>976600</v>
      </c>
      <c r="L438" s="113"/>
      <c r="M438" s="113">
        <v>403000</v>
      </c>
      <c r="N438" s="113"/>
      <c r="O438" s="113"/>
      <c r="P438" s="299">
        <f t="shared" si="29"/>
        <v>1379600</v>
      </c>
      <c r="Q438" s="299">
        <f t="shared" si="30"/>
        <v>31730800</v>
      </c>
      <c r="R438" s="299">
        <f t="shared" si="31"/>
        <v>31730800</v>
      </c>
      <c r="S438" s="112">
        <v>0</v>
      </c>
    </row>
    <row r="439" spans="1:19">
      <c r="A439" s="266"/>
      <c r="B439" s="87" t="s">
        <v>2158</v>
      </c>
      <c r="C439" s="88" t="s">
        <v>7</v>
      </c>
      <c r="D439" s="147">
        <v>25</v>
      </c>
      <c r="E439" s="87"/>
      <c r="F439" s="113">
        <f t="shared" si="28"/>
        <v>25</v>
      </c>
      <c r="G439" s="112" t="s">
        <v>3568</v>
      </c>
      <c r="H439" s="120" t="s">
        <v>3205</v>
      </c>
      <c r="I439" s="120" t="s">
        <v>3479</v>
      </c>
      <c r="J439" s="120" t="s">
        <v>772</v>
      </c>
      <c r="K439" s="112">
        <v>1074300</v>
      </c>
      <c r="L439" s="113"/>
      <c r="M439" s="113">
        <v>443300</v>
      </c>
      <c r="N439" s="113"/>
      <c r="O439" s="113"/>
      <c r="P439" s="299">
        <f t="shared" si="29"/>
        <v>1517600</v>
      </c>
      <c r="Q439" s="299">
        <f t="shared" si="30"/>
        <v>37940000</v>
      </c>
      <c r="R439" s="299">
        <f t="shared" si="31"/>
        <v>37940000</v>
      </c>
      <c r="S439" s="112">
        <v>0</v>
      </c>
    </row>
    <row r="440" spans="1:19">
      <c r="A440" s="266"/>
      <c r="B440" s="87" t="s">
        <v>2137</v>
      </c>
      <c r="C440" s="88" t="s">
        <v>7</v>
      </c>
      <c r="D440" s="147">
        <v>23</v>
      </c>
      <c r="E440" s="87"/>
      <c r="F440" s="113">
        <f t="shared" ref="F440:F454" si="32">D440</f>
        <v>23</v>
      </c>
      <c r="G440" s="112" t="s">
        <v>3567</v>
      </c>
      <c r="H440" s="120" t="s">
        <v>3205</v>
      </c>
      <c r="I440" s="120" t="s">
        <v>3479</v>
      </c>
      <c r="J440" s="120" t="s">
        <v>772</v>
      </c>
      <c r="K440" s="112">
        <v>976600</v>
      </c>
      <c r="L440" s="113"/>
      <c r="M440" s="113">
        <v>403000</v>
      </c>
      <c r="N440" s="113"/>
      <c r="O440" s="113"/>
      <c r="P440" s="299">
        <f t="shared" ref="P440:P454" si="33">K440+L440+M440+N440+O440</f>
        <v>1379600</v>
      </c>
      <c r="Q440" s="299">
        <f t="shared" ref="Q440:Q454" si="34">+P440*D440</f>
        <v>31730800</v>
      </c>
      <c r="R440" s="299">
        <f t="shared" ref="R440:R454" si="35">+P440*F440</f>
        <v>31730800</v>
      </c>
      <c r="S440" s="112">
        <v>0</v>
      </c>
    </row>
    <row r="441" spans="1:19">
      <c r="A441" s="266"/>
      <c r="B441" s="87" t="s">
        <v>2049</v>
      </c>
      <c r="C441" s="88" t="s">
        <v>7</v>
      </c>
      <c r="D441" s="147">
        <v>31</v>
      </c>
      <c r="E441" s="87"/>
      <c r="F441" s="113">
        <f t="shared" si="32"/>
        <v>31</v>
      </c>
      <c r="G441" s="112" t="s">
        <v>3566</v>
      </c>
      <c r="H441" s="120" t="s">
        <v>3205</v>
      </c>
      <c r="I441" s="120" t="s">
        <v>3479</v>
      </c>
      <c r="J441" s="120" t="s">
        <v>772</v>
      </c>
      <c r="K441" s="112">
        <v>976600</v>
      </c>
      <c r="L441" s="113"/>
      <c r="M441" s="113">
        <v>403000</v>
      </c>
      <c r="N441" s="113"/>
      <c r="O441" s="113"/>
      <c r="P441" s="299">
        <f t="shared" si="33"/>
        <v>1379600</v>
      </c>
      <c r="Q441" s="299">
        <f t="shared" si="34"/>
        <v>42767600</v>
      </c>
      <c r="R441" s="299">
        <f t="shared" si="35"/>
        <v>42767600</v>
      </c>
      <c r="S441" s="112">
        <v>0</v>
      </c>
    </row>
    <row r="442" spans="1:19">
      <c r="A442" s="266"/>
      <c r="B442" s="87" t="s">
        <v>2159</v>
      </c>
      <c r="C442" s="88" t="s">
        <v>7</v>
      </c>
      <c r="D442" s="147">
        <v>7</v>
      </c>
      <c r="E442" s="87"/>
      <c r="F442" s="113">
        <f t="shared" si="32"/>
        <v>7</v>
      </c>
      <c r="G442" s="112" t="s">
        <v>3565</v>
      </c>
      <c r="H442" s="120" t="s">
        <v>3205</v>
      </c>
      <c r="I442" s="120" t="s">
        <v>3479</v>
      </c>
      <c r="J442" s="120" t="s">
        <v>772</v>
      </c>
      <c r="K442" s="112">
        <v>1220800</v>
      </c>
      <c r="L442" s="113"/>
      <c r="M442" s="113">
        <v>503800</v>
      </c>
      <c r="N442" s="113"/>
      <c r="O442" s="113"/>
      <c r="P442" s="299">
        <f t="shared" si="33"/>
        <v>1724600</v>
      </c>
      <c r="Q442" s="299">
        <f t="shared" si="34"/>
        <v>12072200</v>
      </c>
      <c r="R442" s="299">
        <f t="shared" si="35"/>
        <v>12072200</v>
      </c>
      <c r="S442" s="112">
        <v>0</v>
      </c>
    </row>
    <row r="443" spans="1:19">
      <c r="A443" s="266"/>
      <c r="B443" s="87" t="s">
        <v>2086</v>
      </c>
      <c r="C443" s="88" t="s">
        <v>7</v>
      </c>
      <c r="D443" s="147">
        <v>15</v>
      </c>
      <c r="E443" s="87"/>
      <c r="F443" s="113">
        <f t="shared" si="32"/>
        <v>15</v>
      </c>
      <c r="G443" s="112" t="s">
        <v>3564</v>
      </c>
      <c r="H443" s="120" t="s">
        <v>3205</v>
      </c>
      <c r="I443" s="120" t="s">
        <v>3479</v>
      </c>
      <c r="J443" s="120" t="s">
        <v>772</v>
      </c>
      <c r="K443" s="112">
        <v>1269600</v>
      </c>
      <c r="L443" s="113"/>
      <c r="M443" s="113">
        <v>523900</v>
      </c>
      <c r="N443" s="113"/>
      <c r="O443" s="113"/>
      <c r="P443" s="299">
        <f t="shared" si="33"/>
        <v>1793500</v>
      </c>
      <c r="Q443" s="299">
        <f t="shared" si="34"/>
        <v>26902500</v>
      </c>
      <c r="R443" s="299">
        <f t="shared" si="35"/>
        <v>26902500</v>
      </c>
      <c r="S443" s="112">
        <v>0</v>
      </c>
    </row>
    <row r="444" spans="1:19">
      <c r="A444" s="266"/>
      <c r="B444" s="87" t="s">
        <v>2160</v>
      </c>
      <c r="C444" s="88" t="s">
        <v>7</v>
      </c>
      <c r="D444" s="147">
        <v>46</v>
      </c>
      <c r="E444" s="87"/>
      <c r="F444" s="113">
        <f t="shared" si="32"/>
        <v>46</v>
      </c>
      <c r="G444" s="112" t="s">
        <v>3563</v>
      </c>
      <c r="H444" s="120" t="s">
        <v>3205</v>
      </c>
      <c r="I444" s="120" t="s">
        <v>3479</v>
      </c>
      <c r="J444" s="120" t="s">
        <v>772</v>
      </c>
      <c r="K444" s="112">
        <v>1220800</v>
      </c>
      <c r="L444" s="113"/>
      <c r="M444" s="113">
        <v>503800</v>
      </c>
      <c r="N444" s="113"/>
      <c r="O444" s="113"/>
      <c r="P444" s="299">
        <f t="shared" si="33"/>
        <v>1724600</v>
      </c>
      <c r="Q444" s="299">
        <f t="shared" si="34"/>
        <v>79331600</v>
      </c>
      <c r="R444" s="299">
        <f t="shared" si="35"/>
        <v>79331600</v>
      </c>
      <c r="S444" s="112">
        <v>0</v>
      </c>
    </row>
    <row r="445" spans="1:19">
      <c r="A445" s="266"/>
      <c r="B445" s="87" t="s">
        <v>2161</v>
      </c>
      <c r="C445" s="88" t="s">
        <v>7</v>
      </c>
      <c r="D445" s="147">
        <v>7</v>
      </c>
      <c r="E445" s="87"/>
      <c r="F445" s="113">
        <f t="shared" si="32"/>
        <v>7</v>
      </c>
      <c r="G445" s="112" t="s">
        <v>3562</v>
      </c>
      <c r="H445" s="120" t="s">
        <v>3205</v>
      </c>
      <c r="I445" s="120" t="s">
        <v>3479</v>
      </c>
      <c r="J445" s="120" t="s">
        <v>772</v>
      </c>
      <c r="K445" s="112">
        <v>1269600</v>
      </c>
      <c r="L445" s="113"/>
      <c r="M445" s="113">
        <v>523900</v>
      </c>
      <c r="N445" s="113"/>
      <c r="O445" s="113"/>
      <c r="P445" s="299">
        <f t="shared" si="33"/>
        <v>1793500</v>
      </c>
      <c r="Q445" s="299">
        <f t="shared" si="34"/>
        <v>12554500</v>
      </c>
      <c r="R445" s="299">
        <f t="shared" si="35"/>
        <v>12554500</v>
      </c>
      <c r="S445" s="112">
        <v>0</v>
      </c>
    </row>
    <row r="446" spans="1:19">
      <c r="A446" s="266"/>
      <c r="B446" s="87" t="s">
        <v>2017</v>
      </c>
      <c r="C446" s="88" t="s">
        <v>7</v>
      </c>
      <c r="D446" s="147">
        <v>40</v>
      </c>
      <c r="E446" s="87"/>
      <c r="F446" s="113">
        <f t="shared" si="32"/>
        <v>40</v>
      </c>
      <c r="G446" s="112" t="s">
        <v>3582</v>
      </c>
      <c r="H446" s="120" t="s">
        <v>3205</v>
      </c>
      <c r="I446" s="120" t="s">
        <v>3479</v>
      </c>
      <c r="J446" s="120" t="s">
        <v>772</v>
      </c>
      <c r="K446" s="112">
        <v>1513800</v>
      </c>
      <c r="L446" s="113"/>
      <c r="M446" s="113">
        <v>624700</v>
      </c>
      <c r="N446" s="113"/>
      <c r="O446" s="113"/>
      <c r="P446" s="299">
        <f t="shared" si="33"/>
        <v>2138500</v>
      </c>
      <c r="Q446" s="299">
        <f t="shared" si="34"/>
        <v>85540000</v>
      </c>
      <c r="R446" s="299">
        <f t="shared" si="35"/>
        <v>85540000</v>
      </c>
      <c r="S446" s="112">
        <v>0</v>
      </c>
    </row>
    <row r="447" spans="1:19">
      <c r="A447" s="88"/>
      <c r="B447" s="87" t="s">
        <v>2018</v>
      </c>
      <c r="C447" s="88" t="s">
        <v>7</v>
      </c>
      <c r="D447" s="147">
        <v>8</v>
      </c>
      <c r="E447" s="87"/>
      <c r="F447" s="113">
        <f t="shared" si="32"/>
        <v>8</v>
      </c>
      <c r="G447" s="112" t="s">
        <v>3561</v>
      </c>
      <c r="H447" s="120" t="s">
        <v>3205</v>
      </c>
      <c r="I447" s="120" t="s">
        <v>3479</v>
      </c>
      <c r="J447" s="120" t="s">
        <v>772</v>
      </c>
      <c r="K447" s="112">
        <v>1123200</v>
      </c>
      <c r="L447" s="113"/>
      <c r="M447" s="113">
        <v>463500</v>
      </c>
      <c r="N447" s="113"/>
      <c r="O447" s="113"/>
      <c r="P447" s="299">
        <f t="shared" si="33"/>
        <v>1586700</v>
      </c>
      <c r="Q447" s="299">
        <f t="shared" si="34"/>
        <v>12693600</v>
      </c>
      <c r="R447" s="299">
        <f t="shared" si="35"/>
        <v>12693600</v>
      </c>
      <c r="S447" s="112">
        <v>0</v>
      </c>
    </row>
    <row r="448" spans="1:19">
      <c r="A448" s="88"/>
      <c r="B448" s="87" t="s">
        <v>2089</v>
      </c>
      <c r="C448" s="88" t="s">
        <v>7</v>
      </c>
      <c r="D448" s="147">
        <v>15</v>
      </c>
      <c r="E448" s="87"/>
      <c r="F448" s="113">
        <f t="shared" si="32"/>
        <v>15</v>
      </c>
      <c r="G448" s="112" t="s">
        <v>3560</v>
      </c>
      <c r="H448" s="120" t="s">
        <v>3205</v>
      </c>
      <c r="I448" s="120" t="s">
        <v>3479</v>
      </c>
      <c r="J448" s="120" t="s">
        <v>772</v>
      </c>
      <c r="K448" s="112">
        <v>1464900</v>
      </c>
      <c r="L448" s="113"/>
      <c r="M448" s="113">
        <v>604500</v>
      </c>
      <c r="N448" s="113"/>
      <c r="O448" s="113"/>
      <c r="P448" s="299">
        <f t="shared" si="33"/>
        <v>2069400</v>
      </c>
      <c r="Q448" s="299">
        <f t="shared" si="34"/>
        <v>31041000</v>
      </c>
      <c r="R448" s="299">
        <f t="shared" si="35"/>
        <v>31041000</v>
      </c>
      <c r="S448" s="112">
        <v>0</v>
      </c>
    </row>
    <row r="449" spans="1:19">
      <c r="A449" s="88"/>
      <c r="B449" s="87" t="s">
        <v>2090</v>
      </c>
      <c r="C449" s="88" t="s">
        <v>7</v>
      </c>
      <c r="D449" s="147">
        <v>33</v>
      </c>
      <c r="E449" s="87"/>
      <c r="F449" s="113">
        <f t="shared" si="32"/>
        <v>33</v>
      </c>
      <c r="G449" s="112" t="s">
        <v>3559</v>
      </c>
      <c r="H449" s="120" t="s">
        <v>3205</v>
      </c>
      <c r="I449" s="120" t="s">
        <v>3479</v>
      </c>
      <c r="J449" s="120" t="s">
        <v>772</v>
      </c>
      <c r="K449" s="112">
        <v>1464900</v>
      </c>
      <c r="L449" s="113"/>
      <c r="M449" s="113">
        <v>604500</v>
      </c>
      <c r="N449" s="113"/>
      <c r="O449" s="113"/>
      <c r="P449" s="299">
        <f t="shared" si="33"/>
        <v>2069400</v>
      </c>
      <c r="Q449" s="299">
        <f t="shared" si="34"/>
        <v>68290200</v>
      </c>
      <c r="R449" s="299">
        <f t="shared" si="35"/>
        <v>68290200</v>
      </c>
      <c r="S449" s="112">
        <v>0</v>
      </c>
    </row>
    <row r="450" spans="1:19">
      <c r="A450" s="88"/>
      <c r="B450" s="87" t="s">
        <v>2162</v>
      </c>
      <c r="C450" s="88" t="s">
        <v>7</v>
      </c>
      <c r="D450" s="147">
        <v>25</v>
      </c>
      <c r="E450" s="87"/>
      <c r="F450" s="113">
        <f t="shared" si="32"/>
        <v>25</v>
      </c>
      <c r="G450" s="112" t="s">
        <v>3558</v>
      </c>
      <c r="H450" s="120" t="s">
        <v>3205</v>
      </c>
      <c r="I450" s="120" t="s">
        <v>3479</v>
      </c>
      <c r="J450" s="120" t="s">
        <v>772</v>
      </c>
      <c r="K450" s="112">
        <v>1513800</v>
      </c>
      <c r="L450" s="113"/>
      <c r="M450" s="113">
        <v>624700</v>
      </c>
      <c r="N450" s="113"/>
      <c r="O450" s="113"/>
      <c r="P450" s="299">
        <f t="shared" si="33"/>
        <v>2138500</v>
      </c>
      <c r="Q450" s="299">
        <f t="shared" si="34"/>
        <v>53462500</v>
      </c>
      <c r="R450" s="299">
        <f t="shared" si="35"/>
        <v>53462500</v>
      </c>
      <c r="S450" s="112">
        <v>0</v>
      </c>
    </row>
    <row r="451" spans="1:19">
      <c r="A451" s="88"/>
      <c r="B451" s="87" t="s">
        <v>2091</v>
      </c>
      <c r="C451" s="88" t="s">
        <v>7</v>
      </c>
      <c r="D451" s="147">
        <v>63</v>
      </c>
      <c r="E451" s="87"/>
      <c r="F451" s="113">
        <f t="shared" si="32"/>
        <v>63</v>
      </c>
      <c r="G451" s="112" t="s">
        <v>3557</v>
      </c>
      <c r="H451" s="120" t="s">
        <v>3205</v>
      </c>
      <c r="I451" s="120" t="s">
        <v>3479</v>
      </c>
      <c r="J451" s="120" t="s">
        <v>772</v>
      </c>
      <c r="K451" s="112">
        <v>1416100</v>
      </c>
      <c r="L451" s="113"/>
      <c r="M451" s="113">
        <v>584400</v>
      </c>
      <c r="N451" s="113"/>
      <c r="O451" s="113"/>
      <c r="P451" s="299">
        <f t="shared" si="33"/>
        <v>2000500</v>
      </c>
      <c r="Q451" s="299">
        <f t="shared" si="34"/>
        <v>126031500</v>
      </c>
      <c r="R451" s="299">
        <f t="shared" si="35"/>
        <v>126031500</v>
      </c>
      <c r="S451" s="112">
        <v>0</v>
      </c>
    </row>
    <row r="452" spans="1:19">
      <c r="A452" s="88"/>
      <c r="B452" s="87" t="s">
        <v>2066</v>
      </c>
      <c r="C452" s="88" t="s">
        <v>7</v>
      </c>
      <c r="D452" s="147">
        <v>5</v>
      </c>
      <c r="E452" s="87"/>
      <c r="F452" s="113">
        <f t="shared" si="32"/>
        <v>5</v>
      </c>
      <c r="G452" s="112" t="s">
        <v>3556</v>
      </c>
      <c r="H452" s="120" t="s">
        <v>3205</v>
      </c>
      <c r="I452" s="120" t="s">
        <v>3479</v>
      </c>
      <c r="J452" s="120" t="s">
        <v>772</v>
      </c>
      <c r="K452" s="112">
        <v>1953200</v>
      </c>
      <c r="L452" s="113"/>
      <c r="M452" s="113">
        <v>806000</v>
      </c>
      <c r="N452" s="113"/>
      <c r="O452" s="113"/>
      <c r="P452" s="299">
        <f t="shared" si="33"/>
        <v>2759200</v>
      </c>
      <c r="Q452" s="299">
        <f t="shared" si="34"/>
        <v>13796000</v>
      </c>
      <c r="R452" s="299">
        <f t="shared" si="35"/>
        <v>13796000</v>
      </c>
      <c r="S452" s="112">
        <v>0</v>
      </c>
    </row>
    <row r="453" spans="1:19">
      <c r="A453" s="88"/>
      <c r="B453" s="87" t="s">
        <v>1869</v>
      </c>
      <c r="C453" s="88" t="s">
        <v>7</v>
      </c>
      <c r="D453" s="147">
        <v>10</v>
      </c>
      <c r="E453" s="87"/>
      <c r="F453" s="113">
        <f t="shared" si="32"/>
        <v>10</v>
      </c>
      <c r="G453" s="112" t="s">
        <v>3555</v>
      </c>
      <c r="H453" s="120" t="s">
        <v>3205</v>
      </c>
      <c r="I453" s="120" t="s">
        <v>3479</v>
      </c>
      <c r="J453" s="120" t="s">
        <v>772</v>
      </c>
      <c r="K453" s="112">
        <v>4785200</v>
      </c>
      <c r="L453" s="113"/>
      <c r="M453" s="113">
        <v>1974700</v>
      </c>
      <c r="N453" s="113"/>
      <c r="O453" s="113"/>
      <c r="P453" s="299">
        <f t="shared" si="33"/>
        <v>6759900</v>
      </c>
      <c r="Q453" s="299">
        <f t="shared" si="34"/>
        <v>67599000</v>
      </c>
      <c r="R453" s="299">
        <f t="shared" si="35"/>
        <v>67599000</v>
      </c>
      <c r="S453" s="112">
        <v>0</v>
      </c>
    </row>
    <row r="454" spans="1:19">
      <c r="A454" s="88"/>
      <c r="B454" s="87" t="s">
        <v>2163</v>
      </c>
      <c r="C454" s="88" t="s">
        <v>7</v>
      </c>
      <c r="D454" s="147">
        <v>5</v>
      </c>
      <c r="E454" s="87"/>
      <c r="F454" s="113">
        <f t="shared" si="32"/>
        <v>5</v>
      </c>
      <c r="G454" s="112" t="s">
        <v>3554</v>
      </c>
      <c r="H454" s="120" t="s">
        <v>3205</v>
      </c>
      <c r="I454" s="120" t="s">
        <v>3479</v>
      </c>
      <c r="J454" s="120" t="s">
        <v>772</v>
      </c>
      <c r="K454" s="112">
        <v>4531200</v>
      </c>
      <c r="L454" s="113"/>
      <c r="M454" s="113">
        <v>1870000</v>
      </c>
      <c r="N454" s="113"/>
      <c r="O454" s="113"/>
      <c r="P454" s="299">
        <f t="shared" si="33"/>
        <v>6401200</v>
      </c>
      <c r="Q454" s="299">
        <f t="shared" si="34"/>
        <v>32006000</v>
      </c>
      <c r="R454" s="299">
        <f t="shared" si="35"/>
        <v>32006000</v>
      </c>
      <c r="S454" s="112">
        <v>0</v>
      </c>
    </row>
    <row r="455" spans="1:19">
      <c r="A455" s="252" t="s">
        <v>5</v>
      </c>
      <c r="B455" s="253" t="s">
        <v>2164</v>
      </c>
      <c r="C455" s="252"/>
      <c r="D455" s="238"/>
      <c r="E455" s="253"/>
      <c r="F455" s="270"/>
      <c r="G455" s="446"/>
      <c r="H455" s="446"/>
      <c r="I455" s="446"/>
      <c r="J455" s="446"/>
      <c r="K455" s="270"/>
      <c r="L455" s="270"/>
      <c r="M455" s="270"/>
      <c r="N455" s="270"/>
      <c r="O455" s="270"/>
      <c r="P455" s="270"/>
      <c r="Q455" s="270"/>
      <c r="R455" s="270"/>
      <c r="S455" s="270"/>
    </row>
    <row r="456" spans="1:19">
      <c r="A456" s="255" t="s">
        <v>2165</v>
      </c>
      <c r="B456" s="256" t="s">
        <v>2166</v>
      </c>
      <c r="C456" s="79"/>
      <c r="D456" s="143"/>
      <c r="E456" s="79"/>
      <c r="F456" s="113">
        <f t="shared" ref="F456:F519" si="36">D456</f>
        <v>0</v>
      </c>
      <c r="G456" s="112">
        <v>0</v>
      </c>
      <c r="H456" s="120">
        <v>0</v>
      </c>
      <c r="I456" s="120">
        <v>0</v>
      </c>
      <c r="J456" s="120">
        <v>0</v>
      </c>
      <c r="K456" s="112">
        <v>0</v>
      </c>
      <c r="L456" s="113"/>
      <c r="M456" s="113">
        <v>0</v>
      </c>
      <c r="N456" s="113"/>
      <c r="O456" s="113"/>
      <c r="P456" s="299">
        <f t="shared" ref="P456:P519" si="37">K456+L456+M456+N456+O456</f>
        <v>0</v>
      </c>
      <c r="Q456" s="299">
        <f t="shared" ref="Q456:Q519" si="38">+P456*D456</f>
        <v>0</v>
      </c>
      <c r="R456" s="299">
        <f t="shared" ref="R456:R519" si="39">+P456*F456</f>
        <v>0</v>
      </c>
      <c r="S456" s="112">
        <v>0</v>
      </c>
    </row>
    <row r="457" spans="1:19">
      <c r="A457" s="79">
        <v>1.1000000000000001</v>
      </c>
      <c r="B457" s="80" t="s">
        <v>2167</v>
      </c>
      <c r="C457" s="79"/>
      <c r="D457" s="143"/>
      <c r="E457" s="79"/>
      <c r="F457" s="113">
        <f t="shared" si="36"/>
        <v>0</v>
      </c>
      <c r="G457" s="112">
        <v>0</v>
      </c>
      <c r="H457" s="120">
        <v>0</v>
      </c>
      <c r="I457" s="120">
        <v>0</v>
      </c>
      <c r="J457" s="120">
        <v>0</v>
      </c>
      <c r="K457" s="112">
        <v>0</v>
      </c>
      <c r="L457" s="113"/>
      <c r="M457" s="113">
        <v>0</v>
      </c>
      <c r="N457" s="113"/>
      <c r="O457" s="113"/>
      <c r="P457" s="299">
        <f t="shared" si="37"/>
        <v>0</v>
      </c>
      <c r="Q457" s="299">
        <f t="shared" si="38"/>
        <v>0</v>
      </c>
      <c r="R457" s="299">
        <f t="shared" si="39"/>
        <v>0</v>
      </c>
      <c r="S457" s="112">
        <v>0</v>
      </c>
    </row>
    <row r="458" spans="1:19">
      <c r="A458" s="79"/>
      <c r="B458" s="77" t="s">
        <v>2168</v>
      </c>
      <c r="C458" s="76" t="s">
        <v>1861</v>
      </c>
      <c r="D458" s="143">
        <v>101</v>
      </c>
      <c r="E458" s="79"/>
      <c r="F458" s="113">
        <f t="shared" si="36"/>
        <v>101</v>
      </c>
      <c r="G458" s="112" t="s">
        <v>3512</v>
      </c>
      <c r="H458" s="120" t="s">
        <v>3189</v>
      </c>
      <c r="I458" s="120" t="s">
        <v>3479</v>
      </c>
      <c r="J458" s="120" t="s">
        <v>772</v>
      </c>
      <c r="K458" s="112">
        <v>1013600</v>
      </c>
      <c r="L458" s="113"/>
      <c r="M458" s="113">
        <v>466700</v>
      </c>
      <c r="N458" s="113"/>
      <c r="O458" s="113"/>
      <c r="P458" s="299">
        <f t="shared" si="37"/>
        <v>1480300</v>
      </c>
      <c r="Q458" s="299">
        <f t="shared" si="38"/>
        <v>149510300</v>
      </c>
      <c r="R458" s="299">
        <f t="shared" si="39"/>
        <v>149510300</v>
      </c>
      <c r="S458" s="112">
        <v>0</v>
      </c>
    </row>
    <row r="459" spans="1:19">
      <c r="A459" s="79"/>
      <c r="B459" s="77" t="s">
        <v>2169</v>
      </c>
      <c r="C459" s="76" t="s">
        <v>1861</v>
      </c>
      <c r="D459" s="143">
        <v>34</v>
      </c>
      <c r="E459" s="79"/>
      <c r="F459" s="113">
        <f t="shared" si="36"/>
        <v>34</v>
      </c>
      <c r="G459" s="112" t="s">
        <v>3553</v>
      </c>
      <c r="H459" s="120" t="s">
        <v>3205</v>
      </c>
      <c r="I459" s="120" t="s">
        <v>3479</v>
      </c>
      <c r="J459" s="120" t="s">
        <v>772</v>
      </c>
      <c r="K459" s="112">
        <v>1660200</v>
      </c>
      <c r="L459" s="113"/>
      <c r="M459" s="113">
        <v>685100</v>
      </c>
      <c r="N459" s="113"/>
      <c r="O459" s="113"/>
      <c r="P459" s="299">
        <f t="shared" si="37"/>
        <v>2345300</v>
      </c>
      <c r="Q459" s="299">
        <f t="shared" si="38"/>
        <v>79740200</v>
      </c>
      <c r="R459" s="299">
        <f t="shared" si="39"/>
        <v>79740200</v>
      </c>
      <c r="S459" s="112">
        <v>0</v>
      </c>
    </row>
    <row r="460" spans="1:19">
      <c r="A460" s="79"/>
      <c r="B460" s="77" t="s">
        <v>2170</v>
      </c>
      <c r="C460" s="76" t="s">
        <v>1861</v>
      </c>
      <c r="D460" s="143">
        <v>66</v>
      </c>
      <c r="E460" s="79"/>
      <c r="F460" s="113">
        <f t="shared" si="36"/>
        <v>66</v>
      </c>
      <c r="G460" s="112" t="s">
        <v>3552</v>
      </c>
      <c r="H460" s="120" t="s">
        <v>3205</v>
      </c>
      <c r="I460" s="120" t="s">
        <v>3479</v>
      </c>
      <c r="J460" s="120" t="s">
        <v>772</v>
      </c>
      <c r="K460" s="112">
        <v>1709000</v>
      </c>
      <c r="L460" s="113"/>
      <c r="M460" s="113">
        <v>705300</v>
      </c>
      <c r="N460" s="113"/>
      <c r="O460" s="113"/>
      <c r="P460" s="299">
        <f t="shared" si="37"/>
        <v>2414300</v>
      </c>
      <c r="Q460" s="299">
        <f t="shared" si="38"/>
        <v>159343800</v>
      </c>
      <c r="R460" s="299">
        <f t="shared" si="39"/>
        <v>159343800</v>
      </c>
      <c r="S460" s="112">
        <v>0</v>
      </c>
    </row>
    <row r="461" spans="1:19">
      <c r="A461" s="79"/>
      <c r="B461" s="77" t="s">
        <v>2171</v>
      </c>
      <c r="C461" s="76" t="s">
        <v>1861</v>
      </c>
      <c r="D461" s="143">
        <v>7</v>
      </c>
      <c r="E461" s="79"/>
      <c r="F461" s="113">
        <f t="shared" si="36"/>
        <v>7</v>
      </c>
      <c r="G461" s="112" t="s">
        <v>3551</v>
      </c>
      <c r="H461" s="120" t="s">
        <v>3205</v>
      </c>
      <c r="I461" s="120" t="s">
        <v>3479</v>
      </c>
      <c r="J461" s="120" t="s">
        <v>772</v>
      </c>
      <c r="K461" s="112">
        <v>1904300</v>
      </c>
      <c r="L461" s="113"/>
      <c r="M461" s="113">
        <v>785900</v>
      </c>
      <c r="N461" s="113"/>
      <c r="O461" s="113"/>
      <c r="P461" s="299">
        <f t="shared" si="37"/>
        <v>2690200</v>
      </c>
      <c r="Q461" s="299">
        <f t="shared" si="38"/>
        <v>18831400</v>
      </c>
      <c r="R461" s="299">
        <f t="shared" si="39"/>
        <v>18831400</v>
      </c>
      <c r="S461" s="112">
        <v>0</v>
      </c>
    </row>
    <row r="462" spans="1:19">
      <c r="A462" s="79"/>
      <c r="B462" s="77" t="s">
        <v>2172</v>
      </c>
      <c r="C462" s="76" t="s">
        <v>1861</v>
      </c>
      <c r="D462" s="147">
        <v>7</v>
      </c>
      <c r="E462" s="79"/>
      <c r="F462" s="113">
        <f t="shared" si="36"/>
        <v>7</v>
      </c>
      <c r="G462" s="112" t="s">
        <v>3550</v>
      </c>
      <c r="H462" s="120" t="s">
        <v>3205</v>
      </c>
      <c r="I462" s="120" t="s">
        <v>3479</v>
      </c>
      <c r="J462" s="120" t="s">
        <v>772</v>
      </c>
      <c r="K462" s="112">
        <v>4785200</v>
      </c>
      <c r="L462" s="113"/>
      <c r="M462" s="113">
        <v>1974700</v>
      </c>
      <c r="N462" s="113"/>
      <c r="O462" s="113"/>
      <c r="P462" s="299">
        <f t="shared" si="37"/>
        <v>6759900</v>
      </c>
      <c r="Q462" s="299">
        <f t="shared" si="38"/>
        <v>47319300</v>
      </c>
      <c r="R462" s="299">
        <f t="shared" si="39"/>
        <v>47319300</v>
      </c>
      <c r="S462" s="112">
        <v>0</v>
      </c>
    </row>
    <row r="463" spans="1:19">
      <c r="A463" s="79"/>
      <c r="B463" s="77" t="s">
        <v>2173</v>
      </c>
      <c r="C463" s="76" t="s">
        <v>1861</v>
      </c>
      <c r="D463" s="143">
        <v>46</v>
      </c>
      <c r="E463" s="79"/>
      <c r="F463" s="113">
        <f t="shared" si="36"/>
        <v>46</v>
      </c>
      <c r="G463" s="112" t="s">
        <v>3549</v>
      </c>
      <c r="H463" s="120" t="s">
        <v>3205</v>
      </c>
      <c r="I463" s="120" t="s">
        <v>3479</v>
      </c>
      <c r="J463" s="120" t="s">
        <v>772</v>
      </c>
      <c r="K463" s="112">
        <v>2099700</v>
      </c>
      <c r="L463" s="113"/>
      <c r="M463" s="113">
        <v>866500</v>
      </c>
      <c r="N463" s="113"/>
      <c r="O463" s="113"/>
      <c r="P463" s="299">
        <f t="shared" si="37"/>
        <v>2966200</v>
      </c>
      <c r="Q463" s="299">
        <f t="shared" si="38"/>
        <v>136445200</v>
      </c>
      <c r="R463" s="299">
        <f t="shared" si="39"/>
        <v>136445200</v>
      </c>
      <c r="S463" s="112">
        <v>0</v>
      </c>
    </row>
    <row r="464" spans="1:19">
      <c r="A464" s="79"/>
      <c r="B464" s="77" t="s">
        <v>2174</v>
      </c>
      <c r="C464" s="76" t="s">
        <v>1861</v>
      </c>
      <c r="D464" s="143">
        <v>14</v>
      </c>
      <c r="E464" s="79"/>
      <c r="F464" s="113">
        <f t="shared" si="36"/>
        <v>14</v>
      </c>
      <c r="G464" s="112" t="s">
        <v>3548</v>
      </c>
      <c r="H464" s="120" t="s">
        <v>3205</v>
      </c>
      <c r="I464" s="120" t="s">
        <v>3479</v>
      </c>
      <c r="J464" s="120" t="s">
        <v>772</v>
      </c>
      <c r="K464" s="112">
        <v>2148500</v>
      </c>
      <c r="L464" s="113"/>
      <c r="M464" s="113">
        <v>886600</v>
      </c>
      <c r="N464" s="113"/>
      <c r="O464" s="113"/>
      <c r="P464" s="299">
        <f t="shared" si="37"/>
        <v>3035100</v>
      </c>
      <c r="Q464" s="299">
        <f t="shared" si="38"/>
        <v>42491400</v>
      </c>
      <c r="R464" s="299">
        <f t="shared" si="39"/>
        <v>42491400</v>
      </c>
      <c r="S464" s="112">
        <v>0</v>
      </c>
    </row>
    <row r="465" spans="1:19">
      <c r="A465" s="79"/>
      <c r="B465" s="77" t="s">
        <v>2175</v>
      </c>
      <c r="C465" s="76" t="s">
        <v>1861</v>
      </c>
      <c r="D465" s="143">
        <v>14</v>
      </c>
      <c r="E465" s="79"/>
      <c r="F465" s="113">
        <f t="shared" si="36"/>
        <v>14</v>
      </c>
      <c r="G465" s="112" t="s">
        <v>3547</v>
      </c>
      <c r="H465" s="120" t="s">
        <v>3205</v>
      </c>
      <c r="I465" s="120" t="s">
        <v>3479</v>
      </c>
      <c r="J465" s="120" t="s">
        <v>772</v>
      </c>
      <c r="K465" s="112">
        <v>2343800</v>
      </c>
      <c r="L465" s="113"/>
      <c r="M465" s="113">
        <v>967200</v>
      </c>
      <c r="N465" s="113"/>
      <c r="O465" s="113"/>
      <c r="P465" s="299">
        <f t="shared" si="37"/>
        <v>3311000</v>
      </c>
      <c r="Q465" s="299">
        <f t="shared" si="38"/>
        <v>46354000</v>
      </c>
      <c r="R465" s="299">
        <f t="shared" si="39"/>
        <v>46354000</v>
      </c>
      <c r="S465" s="112">
        <v>0</v>
      </c>
    </row>
    <row r="466" spans="1:19">
      <c r="A466" s="79"/>
      <c r="B466" s="77" t="s">
        <v>2176</v>
      </c>
      <c r="C466" s="76" t="s">
        <v>1861</v>
      </c>
      <c r="D466" s="143">
        <v>53</v>
      </c>
      <c r="E466" s="79"/>
      <c r="F466" s="113">
        <f t="shared" si="36"/>
        <v>53</v>
      </c>
      <c r="G466" s="112" t="s">
        <v>3546</v>
      </c>
      <c r="H466" s="120" t="s">
        <v>3205</v>
      </c>
      <c r="I466" s="120" t="s">
        <v>3479</v>
      </c>
      <c r="J466" s="120" t="s">
        <v>772</v>
      </c>
      <c r="K466" s="112">
        <v>2880900</v>
      </c>
      <c r="L466" s="113"/>
      <c r="M466" s="113">
        <v>1188900</v>
      </c>
      <c r="N466" s="113"/>
      <c r="O466" s="113"/>
      <c r="P466" s="299">
        <f t="shared" si="37"/>
        <v>4069800</v>
      </c>
      <c r="Q466" s="299">
        <f t="shared" si="38"/>
        <v>215699400</v>
      </c>
      <c r="R466" s="299">
        <f t="shared" si="39"/>
        <v>215699400</v>
      </c>
      <c r="S466" s="112">
        <v>0</v>
      </c>
    </row>
    <row r="467" spans="1:19">
      <c r="A467" s="88"/>
      <c r="B467" s="87" t="s">
        <v>2177</v>
      </c>
      <c r="C467" s="88" t="s">
        <v>7</v>
      </c>
      <c r="D467" s="147">
        <v>10</v>
      </c>
      <c r="E467" s="87"/>
      <c r="F467" s="113">
        <f t="shared" si="36"/>
        <v>10</v>
      </c>
      <c r="G467" s="112" t="s">
        <v>3545</v>
      </c>
      <c r="H467" s="120" t="s">
        <v>3205</v>
      </c>
      <c r="I467" s="120" t="s">
        <v>3479</v>
      </c>
      <c r="J467" s="120" t="s">
        <v>772</v>
      </c>
      <c r="K467" s="112">
        <v>4248100</v>
      </c>
      <c r="L467" s="113"/>
      <c r="M467" s="113">
        <v>1753100</v>
      </c>
      <c r="N467" s="113"/>
      <c r="O467" s="113"/>
      <c r="P467" s="299">
        <f t="shared" si="37"/>
        <v>6001200</v>
      </c>
      <c r="Q467" s="299">
        <f t="shared" si="38"/>
        <v>60012000</v>
      </c>
      <c r="R467" s="299">
        <f t="shared" si="39"/>
        <v>60012000</v>
      </c>
      <c r="S467" s="112">
        <v>0</v>
      </c>
    </row>
    <row r="468" spans="1:19">
      <c r="A468" s="88"/>
      <c r="B468" s="87" t="s">
        <v>2178</v>
      </c>
      <c r="C468" s="88" t="s">
        <v>7</v>
      </c>
      <c r="D468" s="147">
        <v>10</v>
      </c>
      <c r="E468" s="87"/>
      <c r="F468" s="113">
        <f t="shared" si="36"/>
        <v>10</v>
      </c>
      <c r="G468" s="112" t="s">
        <v>3544</v>
      </c>
      <c r="H468" s="120" t="s">
        <v>3205</v>
      </c>
      <c r="I468" s="120" t="s">
        <v>3479</v>
      </c>
      <c r="J468" s="120" t="s">
        <v>772</v>
      </c>
      <c r="K468" s="112">
        <v>4589900</v>
      </c>
      <c r="L468" s="113"/>
      <c r="M468" s="113">
        <v>1894100</v>
      </c>
      <c r="N468" s="113"/>
      <c r="O468" s="113"/>
      <c r="P468" s="299">
        <f t="shared" si="37"/>
        <v>6484000</v>
      </c>
      <c r="Q468" s="299">
        <f t="shared" si="38"/>
        <v>64840000</v>
      </c>
      <c r="R468" s="299">
        <f t="shared" si="39"/>
        <v>64840000</v>
      </c>
      <c r="S468" s="112">
        <v>0</v>
      </c>
    </row>
    <row r="469" spans="1:19">
      <c r="A469" s="88"/>
      <c r="B469" s="87" t="s">
        <v>2179</v>
      </c>
      <c r="C469" s="88" t="s">
        <v>7</v>
      </c>
      <c r="D469" s="147">
        <v>3</v>
      </c>
      <c r="E469" s="87"/>
      <c r="F469" s="113">
        <f t="shared" si="36"/>
        <v>3</v>
      </c>
      <c r="G469" s="112" t="s">
        <v>3543</v>
      </c>
      <c r="H469" s="120" t="s">
        <v>3189</v>
      </c>
      <c r="I469" s="120" t="s">
        <v>3479</v>
      </c>
      <c r="J469" s="120" t="s">
        <v>772</v>
      </c>
      <c r="K469" s="112">
        <v>1351400</v>
      </c>
      <c r="L469" s="113"/>
      <c r="M469" s="113">
        <v>622300</v>
      </c>
      <c r="N469" s="113"/>
      <c r="O469" s="113"/>
      <c r="P469" s="299">
        <f t="shared" si="37"/>
        <v>1973700</v>
      </c>
      <c r="Q469" s="299">
        <f t="shared" si="38"/>
        <v>5921100</v>
      </c>
      <c r="R469" s="299">
        <f t="shared" si="39"/>
        <v>5921100</v>
      </c>
      <c r="S469" s="112">
        <v>0</v>
      </c>
    </row>
    <row r="470" spans="1:19">
      <c r="A470" s="79" t="s">
        <v>1875</v>
      </c>
      <c r="B470" s="80" t="s">
        <v>2180</v>
      </c>
      <c r="C470" s="79"/>
      <c r="D470" s="143"/>
      <c r="E470" s="79"/>
      <c r="F470" s="113">
        <f t="shared" si="36"/>
        <v>0</v>
      </c>
      <c r="G470" s="112">
        <v>0</v>
      </c>
      <c r="H470" s="120">
        <v>0</v>
      </c>
      <c r="I470" s="120">
        <v>0</v>
      </c>
      <c r="J470" s="120">
        <v>0</v>
      </c>
      <c r="K470" s="112">
        <v>0</v>
      </c>
      <c r="L470" s="113"/>
      <c r="M470" s="113">
        <v>0</v>
      </c>
      <c r="N470" s="113"/>
      <c r="O470" s="113"/>
      <c r="P470" s="299">
        <f t="shared" si="37"/>
        <v>0</v>
      </c>
      <c r="Q470" s="299">
        <f t="shared" si="38"/>
        <v>0</v>
      </c>
      <c r="R470" s="299">
        <f t="shared" si="39"/>
        <v>0</v>
      </c>
      <c r="S470" s="112">
        <v>0</v>
      </c>
    </row>
    <row r="471" spans="1:19">
      <c r="A471" s="79"/>
      <c r="B471" s="77" t="s">
        <v>2168</v>
      </c>
      <c r="C471" s="76" t="s">
        <v>1877</v>
      </c>
      <c r="D471" s="143">
        <v>2</v>
      </c>
      <c r="E471" s="79"/>
      <c r="F471" s="113">
        <f t="shared" si="36"/>
        <v>2</v>
      </c>
      <c r="G471" s="112" t="s">
        <v>3542</v>
      </c>
      <c r="H471" s="120" t="s">
        <v>3189</v>
      </c>
      <c r="I471" s="120" t="s">
        <v>3479</v>
      </c>
      <c r="J471" s="120" t="s">
        <v>772</v>
      </c>
      <c r="K471" s="112">
        <v>1552100</v>
      </c>
      <c r="L471" s="113"/>
      <c r="M471" s="113">
        <v>373400</v>
      </c>
      <c r="N471" s="113"/>
      <c r="O471" s="113"/>
      <c r="P471" s="299">
        <f t="shared" si="37"/>
        <v>1925500</v>
      </c>
      <c r="Q471" s="299">
        <f t="shared" si="38"/>
        <v>3851000</v>
      </c>
      <c r="R471" s="299">
        <f t="shared" si="39"/>
        <v>3851000</v>
      </c>
      <c r="S471" s="112">
        <v>0</v>
      </c>
    </row>
    <row r="472" spans="1:19">
      <c r="A472" s="76"/>
      <c r="B472" s="77" t="s">
        <v>2169</v>
      </c>
      <c r="C472" s="76" t="s">
        <v>1877</v>
      </c>
      <c r="D472" s="143">
        <v>5</v>
      </c>
      <c r="E472" s="76"/>
      <c r="F472" s="113">
        <f t="shared" si="36"/>
        <v>5</v>
      </c>
      <c r="G472" s="112" t="s">
        <v>3541</v>
      </c>
      <c r="H472" s="120" t="s">
        <v>3205</v>
      </c>
      <c r="I472" s="120" t="s">
        <v>3479</v>
      </c>
      <c r="J472" s="120" t="s">
        <v>772</v>
      </c>
      <c r="K472" s="112">
        <v>3869300</v>
      </c>
      <c r="L472" s="113"/>
      <c r="M472" s="113">
        <v>548100</v>
      </c>
      <c r="N472" s="113"/>
      <c r="O472" s="113"/>
      <c r="P472" s="299">
        <f t="shared" si="37"/>
        <v>4417400</v>
      </c>
      <c r="Q472" s="299">
        <f t="shared" si="38"/>
        <v>22087000</v>
      </c>
      <c r="R472" s="299">
        <f t="shared" si="39"/>
        <v>22087000</v>
      </c>
      <c r="S472" s="112">
        <v>0</v>
      </c>
    </row>
    <row r="473" spans="1:19">
      <c r="A473" s="76"/>
      <c r="B473" s="77" t="s">
        <v>2173</v>
      </c>
      <c r="C473" s="76" t="s">
        <v>1877</v>
      </c>
      <c r="D473" s="143">
        <v>1</v>
      </c>
      <c r="E473" s="76"/>
      <c r="F473" s="113">
        <f t="shared" si="36"/>
        <v>1</v>
      </c>
      <c r="G473" s="112" t="s">
        <v>3540</v>
      </c>
      <c r="H473" s="120" t="s">
        <v>3205</v>
      </c>
      <c r="I473" s="120" t="s">
        <v>3479</v>
      </c>
      <c r="J473" s="120" t="s">
        <v>772</v>
      </c>
      <c r="K473" s="112">
        <v>6257100</v>
      </c>
      <c r="L473" s="113"/>
      <c r="M473" s="113">
        <v>693200</v>
      </c>
      <c r="N473" s="113"/>
      <c r="O473" s="113"/>
      <c r="P473" s="299">
        <f t="shared" si="37"/>
        <v>6950300</v>
      </c>
      <c r="Q473" s="299">
        <f t="shared" si="38"/>
        <v>6950300</v>
      </c>
      <c r="R473" s="299">
        <f t="shared" si="39"/>
        <v>6950300</v>
      </c>
      <c r="S473" s="112">
        <v>0</v>
      </c>
    </row>
    <row r="474" spans="1:19">
      <c r="A474" s="88"/>
      <c r="B474" s="87" t="s">
        <v>2181</v>
      </c>
      <c r="C474" s="88" t="s">
        <v>1877</v>
      </c>
      <c r="D474" s="147">
        <v>2</v>
      </c>
      <c r="E474" s="87"/>
      <c r="F474" s="113">
        <f t="shared" si="36"/>
        <v>2</v>
      </c>
      <c r="G474" s="112" t="s">
        <v>3539</v>
      </c>
      <c r="H474" s="120" t="s">
        <v>3189</v>
      </c>
      <c r="I474" s="120" t="s">
        <v>3479</v>
      </c>
      <c r="J474" s="120" t="s">
        <v>772</v>
      </c>
      <c r="K474" s="112">
        <v>3450900</v>
      </c>
      <c r="L474" s="113"/>
      <c r="M474" s="113">
        <v>544500</v>
      </c>
      <c r="N474" s="113"/>
      <c r="O474" s="113"/>
      <c r="P474" s="299">
        <f t="shared" si="37"/>
        <v>3995400</v>
      </c>
      <c r="Q474" s="299">
        <f t="shared" si="38"/>
        <v>7990800</v>
      </c>
      <c r="R474" s="299">
        <f t="shared" si="39"/>
        <v>7990800</v>
      </c>
      <c r="S474" s="112">
        <v>0</v>
      </c>
    </row>
    <row r="475" spans="1:19">
      <c r="A475" s="79" t="s">
        <v>1882</v>
      </c>
      <c r="B475" s="80" t="s">
        <v>2182</v>
      </c>
      <c r="C475" s="79"/>
      <c r="D475" s="143"/>
      <c r="E475" s="79"/>
      <c r="F475" s="113">
        <f t="shared" si="36"/>
        <v>0</v>
      </c>
      <c r="G475" s="112">
        <v>0</v>
      </c>
      <c r="H475" s="120">
        <v>0</v>
      </c>
      <c r="I475" s="120">
        <v>0</v>
      </c>
      <c r="J475" s="120">
        <v>0</v>
      </c>
      <c r="K475" s="112">
        <v>0</v>
      </c>
      <c r="L475" s="113"/>
      <c r="M475" s="113">
        <v>0</v>
      </c>
      <c r="N475" s="113"/>
      <c r="O475" s="113"/>
      <c r="P475" s="299">
        <f t="shared" si="37"/>
        <v>0</v>
      </c>
      <c r="Q475" s="299">
        <f t="shared" si="38"/>
        <v>0</v>
      </c>
      <c r="R475" s="299">
        <f t="shared" si="39"/>
        <v>0</v>
      </c>
      <c r="S475" s="112">
        <v>0</v>
      </c>
    </row>
    <row r="476" spans="1:19" ht="30">
      <c r="A476" s="76"/>
      <c r="B476" s="77" t="s">
        <v>2183</v>
      </c>
      <c r="C476" s="76" t="s">
        <v>1877</v>
      </c>
      <c r="D476" s="143">
        <v>3</v>
      </c>
      <c r="E476" s="76"/>
      <c r="F476" s="113">
        <f t="shared" si="36"/>
        <v>3</v>
      </c>
      <c r="G476" s="112" t="s">
        <v>3538</v>
      </c>
      <c r="H476" s="120" t="s">
        <v>3189</v>
      </c>
      <c r="I476" s="120" t="s">
        <v>3479</v>
      </c>
      <c r="J476" s="120" t="s">
        <v>772</v>
      </c>
      <c r="K476" s="112">
        <v>440900</v>
      </c>
      <c r="L476" s="113"/>
      <c r="M476" s="113">
        <v>179800</v>
      </c>
      <c r="N476" s="113"/>
      <c r="O476" s="113"/>
      <c r="P476" s="299">
        <f t="shared" si="37"/>
        <v>620700</v>
      </c>
      <c r="Q476" s="299">
        <f t="shared" si="38"/>
        <v>1862100</v>
      </c>
      <c r="R476" s="299">
        <f t="shared" si="39"/>
        <v>1862100</v>
      </c>
      <c r="S476" s="112">
        <v>0</v>
      </c>
    </row>
    <row r="477" spans="1:19" ht="30">
      <c r="A477" s="76"/>
      <c r="B477" s="77" t="s">
        <v>2184</v>
      </c>
      <c r="C477" s="76" t="s">
        <v>1877</v>
      </c>
      <c r="D477" s="143">
        <v>2</v>
      </c>
      <c r="E477" s="76"/>
      <c r="F477" s="113">
        <f t="shared" si="36"/>
        <v>2</v>
      </c>
      <c r="G477" s="112" t="s">
        <v>3532</v>
      </c>
      <c r="H477" s="120" t="s">
        <v>3205</v>
      </c>
      <c r="I477" s="120" t="s">
        <v>3479</v>
      </c>
      <c r="J477" s="120" t="s">
        <v>772</v>
      </c>
      <c r="K477" s="112">
        <v>515800</v>
      </c>
      <c r="L477" s="113"/>
      <c r="M477" s="113">
        <v>190700</v>
      </c>
      <c r="N477" s="113"/>
      <c r="O477" s="113"/>
      <c r="P477" s="299">
        <f t="shared" si="37"/>
        <v>706500</v>
      </c>
      <c r="Q477" s="299">
        <f t="shared" si="38"/>
        <v>1413000</v>
      </c>
      <c r="R477" s="299">
        <f t="shared" si="39"/>
        <v>1413000</v>
      </c>
      <c r="S477" s="112">
        <v>0</v>
      </c>
    </row>
    <row r="478" spans="1:19" ht="30">
      <c r="A478" s="76"/>
      <c r="B478" s="77" t="s">
        <v>2185</v>
      </c>
      <c r="C478" s="76" t="s">
        <v>1877</v>
      </c>
      <c r="D478" s="143">
        <v>1</v>
      </c>
      <c r="E478" s="76"/>
      <c r="F478" s="113">
        <f t="shared" si="36"/>
        <v>1</v>
      </c>
      <c r="G478" s="112" t="s">
        <v>3537</v>
      </c>
      <c r="H478" s="120" t="s">
        <v>3205</v>
      </c>
      <c r="I478" s="120" t="s">
        <v>3479</v>
      </c>
      <c r="J478" s="120" t="s">
        <v>772</v>
      </c>
      <c r="K478" s="112">
        <v>605200</v>
      </c>
      <c r="L478" s="113"/>
      <c r="M478" s="113">
        <v>226000</v>
      </c>
      <c r="N478" s="113"/>
      <c r="O478" s="113"/>
      <c r="P478" s="299">
        <f t="shared" si="37"/>
        <v>831200</v>
      </c>
      <c r="Q478" s="299">
        <f t="shared" si="38"/>
        <v>831200</v>
      </c>
      <c r="R478" s="299">
        <f t="shared" si="39"/>
        <v>831200</v>
      </c>
      <c r="S478" s="112">
        <v>0</v>
      </c>
    </row>
    <row r="479" spans="1:19" ht="30">
      <c r="A479" s="76"/>
      <c r="B479" s="77" t="s">
        <v>2186</v>
      </c>
      <c r="C479" s="76" t="s">
        <v>1877</v>
      </c>
      <c r="D479" s="143">
        <v>3</v>
      </c>
      <c r="E479" s="76"/>
      <c r="F479" s="113">
        <f t="shared" si="36"/>
        <v>3</v>
      </c>
      <c r="G479" s="112" t="s">
        <v>3536</v>
      </c>
      <c r="H479" s="120" t="s">
        <v>3205</v>
      </c>
      <c r="I479" s="120" t="s">
        <v>3479</v>
      </c>
      <c r="J479" s="120" t="s">
        <v>772</v>
      </c>
      <c r="K479" s="112">
        <v>644100</v>
      </c>
      <c r="L479" s="113"/>
      <c r="M479" s="113">
        <v>241400</v>
      </c>
      <c r="N479" s="113"/>
      <c r="O479" s="113"/>
      <c r="P479" s="299">
        <f t="shared" si="37"/>
        <v>885500</v>
      </c>
      <c r="Q479" s="299">
        <f t="shared" si="38"/>
        <v>2656500</v>
      </c>
      <c r="R479" s="299">
        <f t="shared" si="39"/>
        <v>2656500</v>
      </c>
      <c r="S479" s="112">
        <v>0</v>
      </c>
    </row>
    <row r="480" spans="1:19" ht="30">
      <c r="A480" s="76"/>
      <c r="B480" s="77" t="s">
        <v>2187</v>
      </c>
      <c r="C480" s="76" t="s">
        <v>1877</v>
      </c>
      <c r="D480" s="143">
        <v>2</v>
      </c>
      <c r="E480" s="76"/>
      <c r="F480" s="113">
        <f t="shared" si="36"/>
        <v>2</v>
      </c>
      <c r="G480" s="112" t="s">
        <v>3535</v>
      </c>
      <c r="H480" s="120" t="s">
        <v>3205</v>
      </c>
      <c r="I480" s="120" t="s">
        <v>3479</v>
      </c>
      <c r="J480" s="120" t="s">
        <v>772</v>
      </c>
      <c r="K480" s="112">
        <v>651600</v>
      </c>
      <c r="L480" s="113"/>
      <c r="M480" s="113">
        <v>244300</v>
      </c>
      <c r="N480" s="113"/>
      <c r="O480" s="113"/>
      <c r="P480" s="299">
        <f t="shared" si="37"/>
        <v>895900</v>
      </c>
      <c r="Q480" s="299">
        <f t="shared" si="38"/>
        <v>1791800</v>
      </c>
      <c r="R480" s="299">
        <f t="shared" si="39"/>
        <v>1791800</v>
      </c>
      <c r="S480" s="112">
        <v>0</v>
      </c>
    </row>
    <row r="481" spans="1:19" ht="30">
      <c r="A481" s="76"/>
      <c r="B481" s="77" t="s">
        <v>2188</v>
      </c>
      <c r="C481" s="76" t="s">
        <v>1877</v>
      </c>
      <c r="D481" s="143">
        <v>1</v>
      </c>
      <c r="E481" s="76"/>
      <c r="F481" s="113">
        <f t="shared" si="36"/>
        <v>1</v>
      </c>
      <c r="G481" s="112" t="s">
        <v>3534</v>
      </c>
      <c r="H481" s="120" t="s">
        <v>3205</v>
      </c>
      <c r="I481" s="120" t="s">
        <v>3479</v>
      </c>
      <c r="J481" s="120" t="s">
        <v>772</v>
      </c>
      <c r="K481" s="112">
        <v>676200</v>
      </c>
      <c r="L481" s="113"/>
      <c r="M481" s="113">
        <v>254100</v>
      </c>
      <c r="N481" s="113"/>
      <c r="O481" s="113"/>
      <c r="P481" s="299">
        <f t="shared" si="37"/>
        <v>930300</v>
      </c>
      <c r="Q481" s="299">
        <f t="shared" si="38"/>
        <v>930300</v>
      </c>
      <c r="R481" s="299">
        <f t="shared" si="39"/>
        <v>930300</v>
      </c>
      <c r="S481" s="112">
        <v>0</v>
      </c>
    </row>
    <row r="482" spans="1:19" ht="30">
      <c r="A482" s="76"/>
      <c r="B482" s="77" t="s">
        <v>2189</v>
      </c>
      <c r="C482" s="76" t="s">
        <v>1877</v>
      </c>
      <c r="D482" s="143">
        <v>1</v>
      </c>
      <c r="E482" s="76"/>
      <c r="F482" s="113">
        <f t="shared" si="36"/>
        <v>1</v>
      </c>
      <c r="G482" s="112" t="s">
        <v>3533</v>
      </c>
      <c r="H482" s="120" t="s">
        <v>3205</v>
      </c>
      <c r="I482" s="120" t="s">
        <v>3479</v>
      </c>
      <c r="J482" s="120" t="s">
        <v>772</v>
      </c>
      <c r="K482" s="112">
        <v>737700</v>
      </c>
      <c r="L482" s="113"/>
      <c r="M482" s="113">
        <v>278300</v>
      </c>
      <c r="N482" s="113"/>
      <c r="O482" s="113"/>
      <c r="P482" s="299">
        <f t="shared" si="37"/>
        <v>1016000</v>
      </c>
      <c r="Q482" s="299">
        <f t="shared" si="38"/>
        <v>1016000</v>
      </c>
      <c r="R482" s="299">
        <f t="shared" si="39"/>
        <v>1016000</v>
      </c>
      <c r="S482" s="112">
        <v>0</v>
      </c>
    </row>
    <row r="483" spans="1:19" ht="30">
      <c r="A483" s="88"/>
      <c r="B483" s="87" t="s">
        <v>2190</v>
      </c>
      <c r="C483" s="88" t="s">
        <v>1877</v>
      </c>
      <c r="D483" s="147">
        <v>2</v>
      </c>
      <c r="E483" s="87"/>
      <c r="F483" s="113">
        <f t="shared" si="36"/>
        <v>2</v>
      </c>
      <c r="G483" s="112" t="s">
        <v>3532</v>
      </c>
      <c r="H483" s="120" t="s">
        <v>3189</v>
      </c>
      <c r="I483" s="120" t="s">
        <v>3479</v>
      </c>
      <c r="J483" s="120" t="s">
        <v>772</v>
      </c>
      <c r="K483" s="112">
        <v>450600</v>
      </c>
      <c r="L483" s="113"/>
      <c r="M483" s="113">
        <v>184000</v>
      </c>
      <c r="N483" s="113"/>
      <c r="O483" s="113"/>
      <c r="P483" s="299">
        <f t="shared" si="37"/>
        <v>634600</v>
      </c>
      <c r="Q483" s="299">
        <f t="shared" si="38"/>
        <v>1269200</v>
      </c>
      <c r="R483" s="299">
        <f t="shared" si="39"/>
        <v>1269200</v>
      </c>
      <c r="S483" s="112">
        <v>0</v>
      </c>
    </row>
    <row r="484" spans="1:19">
      <c r="A484" s="79">
        <v>1.4</v>
      </c>
      <c r="B484" s="257" t="s">
        <v>2078</v>
      </c>
      <c r="C484" s="79"/>
      <c r="D484" s="143"/>
      <c r="E484" s="79"/>
      <c r="F484" s="113">
        <f t="shared" si="36"/>
        <v>0</v>
      </c>
      <c r="G484" s="112">
        <v>0</v>
      </c>
      <c r="H484" s="120">
        <v>0</v>
      </c>
      <c r="I484" s="120">
        <v>0</v>
      </c>
      <c r="J484" s="120">
        <v>0</v>
      </c>
      <c r="K484" s="112">
        <v>0</v>
      </c>
      <c r="L484" s="113"/>
      <c r="M484" s="113">
        <v>0</v>
      </c>
      <c r="N484" s="113"/>
      <c r="O484" s="113"/>
      <c r="P484" s="299">
        <f t="shared" si="37"/>
        <v>0</v>
      </c>
      <c r="Q484" s="299">
        <f t="shared" si="38"/>
        <v>0</v>
      </c>
      <c r="R484" s="299">
        <f t="shared" si="39"/>
        <v>0</v>
      </c>
      <c r="S484" s="112">
        <v>0</v>
      </c>
    </row>
    <row r="485" spans="1:19" ht="60">
      <c r="A485" s="76"/>
      <c r="B485" s="77" t="s">
        <v>2191</v>
      </c>
      <c r="C485" s="76" t="s">
        <v>1877</v>
      </c>
      <c r="D485" s="143">
        <v>120</v>
      </c>
      <c r="E485" s="76"/>
      <c r="F485" s="113">
        <f t="shared" si="36"/>
        <v>120</v>
      </c>
      <c r="G485" s="112" t="s">
        <v>3665</v>
      </c>
      <c r="H485" s="120">
        <v>0</v>
      </c>
      <c r="I485" s="120" t="s">
        <v>3190</v>
      </c>
      <c r="J485" s="120" t="s">
        <v>772</v>
      </c>
      <c r="K485" s="112">
        <v>1335900</v>
      </c>
      <c r="L485" s="113"/>
      <c r="M485" s="113">
        <v>393000</v>
      </c>
      <c r="N485" s="113"/>
      <c r="O485" s="113"/>
      <c r="P485" s="299">
        <f t="shared" si="37"/>
        <v>1728900</v>
      </c>
      <c r="Q485" s="299">
        <f t="shared" si="38"/>
        <v>207468000</v>
      </c>
      <c r="R485" s="299">
        <f t="shared" si="39"/>
        <v>207468000</v>
      </c>
      <c r="S485" s="112">
        <v>0</v>
      </c>
    </row>
    <row r="486" spans="1:19">
      <c r="A486" s="79">
        <v>1.5</v>
      </c>
      <c r="B486" s="257" t="s">
        <v>1919</v>
      </c>
      <c r="C486" s="79"/>
      <c r="D486" s="143"/>
      <c r="E486" s="79"/>
      <c r="F486" s="113">
        <f t="shared" si="36"/>
        <v>0</v>
      </c>
      <c r="G486" s="112">
        <v>0</v>
      </c>
      <c r="H486" s="120">
        <v>0</v>
      </c>
      <c r="I486" s="120">
        <v>0</v>
      </c>
      <c r="J486" s="120">
        <v>0</v>
      </c>
      <c r="K486" s="112">
        <v>0</v>
      </c>
      <c r="L486" s="113"/>
      <c r="M486" s="113">
        <v>0</v>
      </c>
      <c r="N486" s="113"/>
      <c r="O486" s="113"/>
      <c r="P486" s="299">
        <f t="shared" si="37"/>
        <v>0</v>
      </c>
      <c r="Q486" s="299">
        <f t="shared" si="38"/>
        <v>0</v>
      </c>
      <c r="R486" s="299">
        <f t="shared" si="39"/>
        <v>0</v>
      </c>
      <c r="S486" s="112">
        <v>0</v>
      </c>
    </row>
    <row r="487" spans="1:19" ht="30">
      <c r="A487" s="76"/>
      <c r="B487" s="77" t="s">
        <v>2192</v>
      </c>
      <c r="C487" s="76" t="s">
        <v>1877</v>
      </c>
      <c r="D487" s="143">
        <v>1</v>
      </c>
      <c r="E487" s="76"/>
      <c r="F487" s="113">
        <f t="shared" si="36"/>
        <v>1</v>
      </c>
      <c r="G487" s="112" t="s">
        <v>3664</v>
      </c>
      <c r="H487" s="120" t="s">
        <v>3386</v>
      </c>
      <c r="I487" s="120" t="s">
        <v>3190</v>
      </c>
      <c r="J487" s="120" t="s">
        <v>772</v>
      </c>
      <c r="K487" s="112">
        <v>1957700</v>
      </c>
      <c r="L487" s="113"/>
      <c r="M487" s="113">
        <v>2355600</v>
      </c>
      <c r="N487" s="113"/>
      <c r="O487" s="113"/>
      <c r="P487" s="299">
        <f t="shared" si="37"/>
        <v>4313300</v>
      </c>
      <c r="Q487" s="299">
        <f t="shared" si="38"/>
        <v>4313300</v>
      </c>
      <c r="R487" s="299">
        <f t="shared" si="39"/>
        <v>4313300</v>
      </c>
      <c r="S487" s="112">
        <v>0</v>
      </c>
    </row>
    <row r="488" spans="1:19" ht="30">
      <c r="A488" s="76"/>
      <c r="B488" s="77" t="s">
        <v>2193</v>
      </c>
      <c r="C488" s="76" t="s">
        <v>1877</v>
      </c>
      <c r="D488" s="143">
        <v>1</v>
      </c>
      <c r="E488" s="76"/>
      <c r="F488" s="113">
        <f t="shared" si="36"/>
        <v>1</v>
      </c>
      <c r="G488" s="112" t="s">
        <v>3663</v>
      </c>
      <c r="H488" s="120" t="s">
        <v>3386</v>
      </c>
      <c r="I488" s="120" t="s">
        <v>3190</v>
      </c>
      <c r="J488" s="120" t="s">
        <v>772</v>
      </c>
      <c r="K488" s="112">
        <v>1792200</v>
      </c>
      <c r="L488" s="113"/>
      <c r="M488" s="113">
        <v>2231700</v>
      </c>
      <c r="N488" s="113"/>
      <c r="O488" s="113"/>
      <c r="P488" s="299">
        <f t="shared" si="37"/>
        <v>4023900</v>
      </c>
      <c r="Q488" s="299">
        <f t="shared" si="38"/>
        <v>4023900</v>
      </c>
      <c r="R488" s="299">
        <f t="shared" si="39"/>
        <v>4023900</v>
      </c>
      <c r="S488" s="112">
        <v>0</v>
      </c>
    </row>
    <row r="489" spans="1:19" ht="30">
      <c r="A489" s="76"/>
      <c r="B489" s="77" t="s">
        <v>1862</v>
      </c>
      <c r="C489" s="76" t="s">
        <v>1877</v>
      </c>
      <c r="D489" s="143">
        <v>2</v>
      </c>
      <c r="E489" s="76"/>
      <c r="F489" s="113">
        <f t="shared" si="36"/>
        <v>2</v>
      </c>
      <c r="G489" s="112" t="s">
        <v>3662</v>
      </c>
      <c r="H489" s="120" t="s">
        <v>3202</v>
      </c>
      <c r="I489" s="120" t="s">
        <v>3190</v>
      </c>
      <c r="J489" s="120" t="s">
        <v>772</v>
      </c>
      <c r="K489" s="112">
        <v>832100</v>
      </c>
      <c r="L489" s="113"/>
      <c r="M489" s="113">
        <v>272100</v>
      </c>
      <c r="N489" s="113"/>
      <c r="O489" s="113"/>
      <c r="P489" s="299">
        <f t="shared" si="37"/>
        <v>1104200</v>
      </c>
      <c r="Q489" s="299">
        <f t="shared" si="38"/>
        <v>2208400</v>
      </c>
      <c r="R489" s="299">
        <f t="shared" si="39"/>
        <v>2208400</v>
      </c>
      <c r="S489" s="112">
        <v>0</v>
      </c>
    </row>
    <row r="490" spans="1:19" ht="57">
      <c r="A490" s="79">
        <v>1.6</v>
      </c>
      <c r="B490" s="257" t="s">
        <v>1920</v>
      </c>
      <c r="C490" s="79"/>
      <c r="D490" s="143"/>
      <c r="E490" s="79"/>
      <c r="F490" s="113">
        <f t="shared" si="36"/>
        <v>0</v>
      </c>
      <c r="G490" s="112">
        <v>0</v>
      </c>
      <c r="H490" s="120">
        <v>0</v>
      </c>
      <c r="I490" s="120">
        <v>0</v>
      </c>
      <c r="J490" s="120">
        <v>0</v>
      </c>
      <c r="K490" s="112">
        <v>0</v>
      </c>
      <c r="L490" s="113"/>
      <c r="M490" s="113">
        <v>0</v>
      </c>
      <c r="N490" s="113"/>
      <c r="O490" s="113"/>
      <c r="P490" s="299">
        <f t="shared" si="37"/>
        <v>0</v>
      </c>
      <c r="Q490" s="299">
        <f t="shared" si="38"/>
        <v>0</v>
      </c>
      <c r="R490" s="299">
        <f t="shared" si="39"/>
        <v>0</v>
      </c>
      <c r="S490" s="112">
        <v>0</v>
      </c>
    </row>
    <row r="491" spans="1:19" ht="90">
      <c r="A491" s="79"/>
      <c r="B491" s="77" t="s">
        <v>2194</v>
      </c>
      <c r="C491" s="76" t="s">
        <v>1877</v>
      </c>
      <c r="D491" s="147">
        <v>1</v>
      </c>
      <c r="E491" s="76"/>
      <c r="F491" s="113">
        <f t="shared" si="36"/>
        <v>1</v>
      </c>
      <c r="G491" s="112" t="s">
        <v>3207</v>
      </c>
      <c r="H491" s="120" t="s">
        <v>3189</v>
      </c>
      <c r="I491" s="120" t="s">
        <v>3479</v>
      </c>
      <c r="J491" s="120" t="s">
        <v>772</v>
      </c>
      <c r="K491" s="112">
        <v>7945600</v>
      </c>
      <c r="L491" s="113"/>
      <c r="M491" s="113">
        <v>1710200</v>
      </c>
      <c r="N491" s="113"/>
      <c r="O491" s="113"/>
      <c r="P491" s="299">
        <f t="shared" si="37"/>
        <v>9655800</v>
      </c>
      <c r="Q491" s="299">
        <f t="shared" si="38"/>
        <v>9655800</v>
      </c>
      <c r="R491" s="299">
        <f t="shared" si="39"/>
        <v>9655800</v>
      </c>
      <c r="S491" s="112">
        <v>0</v>
      </c>
    </row>
    <row r="492" spans="1:19" ht="90">
      <c r="A492" s="79"/>
      <c r="B492" s="77" t="s">
        <v>1921</v>
      </c>
      <c r="C492" s="76" t="s">
        <v>1877</v>
      </c>
      <c r="D492" s="147">
        <v>14</v>
      </c>
      <c r="E492" s="76"/>
      <c r="F492" s="113">
        <f t="shared" si="36"/>
        <v>14</v>
      </c>
      <c r="G492" s="112" t="s">
        <v>3206</v>
      </c>
      <c r="H492" s="120" t="s">
        <v>3205</v>
      </c>
      <c r="I492" s="120" t="s">
        <v>3479</v>
      </c>
      <c r="J492" s="120" t="s">
        <v>772</v>
      </c>
      <c r="K492" s="112">
        <v>9415300</v>
      </c>
      <c r="L492" s="113"/>
      <c r="M492" s="113">
        <v>1960400</v>
      </c>
      <c r="N492" s="113"/>
      <c r="O492" s="113"/>
      <c r="P492" s="299">
        <f t="shared" si="37"/>
        <v>11375700</v>
      </c>
      <c r="Q492" s="299">
        <f t="shared" si="38"/>
        <v>159259800</v>
      </c>
      <c r="R492" s="299">
        <f t="shared" si="39"/>
        <v>159259800</v>
      </c>
      <c r="S492" s="112">
        <v>0</v>
      </c>
    </row>
    <row r="493" spans="1:19" ht="90">
      <c r="A493" s="79"/>
      <c r="B493" s="77" t="s">
        <v>1923</v>
      </c>
      <c r="C493" s="76" t="s">
        <v>1877</v>
      </c>
      <c r="D493" s="147">
        <v>6</v>
      </c>
      <c r="E493" s="76"/>
      <c r="F493" s="113">
        <f t="shared" si="36"/>
        <v>6</v>
      </c>
      <c r="G493" s="112" t="s">
        <v>3204</v>
      </c>
      <c r="H493" s="120" t="s">
        <v>3205</v>
      </c>
      <c r="I493" s="120" t="s">
        <v>3479</v>
      </c>
      <c r="J493" s="120" t="s">
        <v>772</v>
      </c>
      <c r="K493" s="112">
        <v>16827400</v>
      </c>
      <c r="L493" s="113"/>
      <c r="M493" s="113">
        <v>3503700</v>
      </c>
      <c r="N493" s="113"/>
      <c r="O493" s="113"/>
      <c r="P493" s="299">
        <f t="shared" si="37"/>
        <v>20331100</v>
      </c>
      <c r="Q493" s="299">
        <f t="shared" si="38"/>
        <v>121986600</v>
      </c>
      <c r="R493" s="299">
        <f t="shared" si="39"/>
        <v>121986600</v>
      </c>
      <c r="S493" s="112">
        <v>0</v>
      </c>
    </row>
    <row r="494" spans="1:19">
      <c r="A494" s="79">
        <v>1.7</v>
      </c>
      <c r="B494" s="257" t="s">
        <v>2195</v>
      </c>
      <c r="C494" s="79"/>
      <c r="D494" s="143"/>
      <c r="E494" s="79"/>
      <c r="F494" s="113">
        <f t="shared" si="36"/>
        <v>0</v>
      </c>
      <c r="G494" s="112">
        <v>0</v>
      </c>
      <c r="H494" s="120">
        <v>0</v>
      </c>
      <c r="I494" s="120">
        <v>0</v>
      </c>
      <c r="J494" s="120">
        <v>0</v>
      </c>
      <c r="K494" s="112">
        <v>0</v>
      </c>
      <c r="L494" s="113"/>
      <c r="M494" s="113">
        <v>0</v>
      </c>
      <c r="N494" s="113"/>
      <c r="O494" s="113"/>
      <c r="P494" s="299">
        <f t="shared" si="37"/>
        <v>0</v>
      </c>
      <c r="Q494" s="299">
        <f t="shared" si="38"/>
        <v>0</v>
      </c>
      <c r="R494" s="299">
        <f t="shared" si="39"/>
        <v>0</v>
      </c>
      <c r="S494" s="112">
        <v>0</v>
      </c>
    </row>
    <row r="495" spans="1:19" ht="75">
      <c r="A495" s="79"/>
      <c r="B495" s="77" t="s">
        <v>2196</v>
      </c>
      <c r="C495" s="76" t="s">
        <v>1877</v>
      </c>
      <c r="D495" s="143">
        <v>1</v>
      </c>
      <c r="E495" s="79"/>
      <c r="F495" s="113">
        <f t="shared" si="36"/>
        <v>1</v>
      </c>
      <c r="G495" s="112" t="s">
        <v>3661</v>
      </c>
      <c r="H495" s="120" t="s">
        <v>3386</v>
      </c>
      <c r="I495" s="120" t="s">
        <v>3190</v>
      </c>
      <c r="J495" s="120" t="s">
        <v>772</v>
      </c>
      <c r="K495" s="112">
        <v>9939200</v>
      </c>
      <c r="L495" s="113"/>
      <c r="M495" s="113">
        <v>561300</v>
      </c>
      <c r="N495" s="113"/>
      <c r="O495" s="113"/>
      <c r="P495" s="299">
        <f t="shared" si="37"/>
        <v>10500500</v>
      </c>
      <c r="Q495" s="299">
        <f t="shared" si="38"/>
        <v>10500500</v>
      </c>
      <c r="R495" s="299">
        <f t="shared" si="39"/>
        <v>10500500</v>
      </c>
      <c r="S495" s="112" t="s">
        <v>3749</v>
      </c>
    </row>
    <row r="496" spans="1:19" ht="75">
      <c r="A496" s="79"/>
      <c r="B496" s="77" t="s">
        <v>2197</v>
      </c>
      <c r="C496" s="76" t="s">
        <v>1877</v>
      </c>
      <c r="D496" s="143">
        <v>1</v>
      </c>
      <c r="E496" s="79"/>
      <c r="F496" s="113">
        <f t="shared" si="36"/>
        <v>1</v>
      </c>
      <c r="G496" s="112" t="s">
        <v>3660</v>
      </c>
      <c r="H496" s="120" t="s">
        <v>3386</v>
      </c>
      <c r="I496" s="120" t="s">
        <v>3190</v>
      </c>
      <c r="J496" s="120" t="s">
        <v>772</v>
      </c>
      <c r="K496" s="112">
        <v>12289700</v>
      </c>
      <c r="L496" s="113"/>
      <c r="M496" s="113">
        <v>561300</v>
      </c>
      <c r="N496" s="113"/>
      <c r="O496" s="113"/>
      <c r="P496" s="299">
        <f t="shared" si="37"/>
        <v>12851000</v>
      </c>
      <c r="Q496" s="299">
        <f t="shared" si="38"/>
        <v>12851000</v>
      </c>
      <c r="R496" s="299">
        <f t="shared" si="39"/>
        <v>12851000</v>
      </c>
      <c r="S496" s="112" t="s">
        <v>3749</v>
      </c>
    </row>
    <row r="497" spans="1:19" ht="75">
      <c r="A497" s="79"/>
      <c r="B497" s="77" t="s">
        <v>1871</v>
      </c>
      <c r="C497" s="76" t="s">
        <v>1877</v>
      </c>
      <c r="D497" s="143">
        <v>1</v>
      </c>
      <c r="E497" s="79"/>
      <c r="F497" s="113">
        <f t="shared" si="36"/>
        <v>1</v>
      </c>
      <c r="G497" s="112" t="s">
        <v>3659</v>
      </c>
      <c r="H497" s="120" t="s">
        <v>3386</v>
      </c>
      <c r="I497" s="120" t="s">
        <v>3190</v>
      </c>
      <c r="J497" s="120" t="s">
        <v>772</v>
      </c>
      <c r="K497" s="112">
        <v>11426100</v>
      </c>
      <c r="L497" s="113"/>
      <c r="M497" s="113">
        <v>561300</v>
      </c>
      <c r="N497" s="113"/>
      <c r="O497" s="113"/>
      <c r="P497" s="299">
        <f t="shared" si="37"/>
        <v>11987400</v>
      </c>
      <c r="Q497" s="299">
        <f t="shared" si="38"/>
        <v>11987400</v>
      </c>
      <c r="R497" s="299">
        <f t="shared" si="39"/>
        <v>11987400</v>
      </c>
      <c r="S497" s="112" t="s">
        <v>3749</v>
      </c>
    </row>
    <row r="498" spans="1:19" ht="75">
      <c r="A498" s="88"/>
      <c r="B498" s="87" t="s">
        <v>2198</v>
      </c>
      <c r="C498" s="88" t="s">
        <v>1877</v>
      </c>
      <c r="D498" s="147">
        <v>2</v>
      </c>
      <c r="E498" s="87"/>
      <c r="F498" s="113">
        <f t="shared" si="36"/>
        <v>2</v>
      </c>
      <c r="G498" s="112" t="s">
        <v>3658</v>
      </c>
      <c r="H498" s="120" t="s">
        <v>3386</v>
      </c>
      <c r="I498" s="120" t="s">
        <v>3190</v>
      </c>
      <c r="J498" s="120" t="s">
        <v>772</v>
      </c>
      <c r="K498" s="112">
        <v>11561400</v>
      </c>
      <c r="L498" s="113"/>
      <c r="M498" s="113">
        <v>606600</v>
      </c>
      <c r="N498" s="113"/>
      <c r="O498" s="113"/>
      <c r="P498" s="299">
        <f t="shared" si="37"/>
        <v>12168000</v>
      </c>
      <c r="Q498" s="299">
        <f t="shared" si="38"/>
        <v>24336000</v>
      </c>
      <c r="R498" s="299">
        <f t="shared" si="39"/>
        <v>24336000</v>
      </c>
      <c r="S498" s="112" t="s">
        <v>3749</v>
      </c>
    </row>
    <row r="499" spans="1:19">
      <c r="A499" s="79">
        <v>1.8</v>
      </c>
      <c r="B499" s="257" t="s">
        <v>1913</v>
      </c>
      <c r="C499" s="79"/>
      <c r="D499" s="143"/>
      <c r="E499" s="79"/>
      <c r="F499" s="113">
        <f t="shared" si="36"/>
        <v>0</v>
      </c>
      <c r="G499" s="112">
        <v>0</v>
      </c>
      <c r="H499" s="120">
        <v>0</v>
      </c>
      <c r="I499" s="120">
        <v>0</v>
      </c>
      <c r="J499" s="120">
        <v>0</v>
      </c>
      <c r="K499" s="112">
        <v>0</v>
      </c>
      <c r="L499" s="113"/>
      <c r="M499" s="113">
        <v>0</v>
      </c>
      <c r="N499" s="113"/>
      <c r="O499" s="113"/>
      <c r="P499" s="299">
        <f t="shared" si="37"/>
        <v>0</v>
      </c>
      <c r="Q499" s="299">
        <f t="shared" si="38"/>
        <v>0</v>
      </c>
      <c r="R499" s="299">
        <f t="shared" si="39"/>
        <v>0</v>
      </c>
      <c r="S499" s="112">
        <v>0</v>
      </c>
    </row>
    <row r="500" spans="1:19" ht="30">
      <c r="A500" s="79"/>
      <c r="B500" s="77" t="s">
        <v>1871</v>
      </c>
      <c r="C500" s="76" t="s">
        <v>1877</v>
      </c>
      <c r="D500" s="147">
        <v>2</v>
      </c>
      <c r="E500" s="79"/>
      <c r="F500" s="113">
        <f t="shared" si="36"/>
        <v>2</v>
      </c>
      <c r="G500" s="112" t="s">
        <v>3657</v>
      </c>
      <c r="H500" s="120" t="s">
        <v>3386</v>
      </c>
      <c r="I500" s="120" t="s">
        <v>3190</v>
      </c>
      <c r="J500" s="120" t="s">
        <v>772</v>
      </c>
      <c r="K500" s="112">
        <v>1691400</v>
      </c>
      <c r="L500" s="113"/>
      <c r="M500" s="113">
        <v>561300</v>
      </c>
      <c r="N500" s="113"/>
      <c r="O500" s="113"/>
      <c r="P500" s="299">
        <f t="shared" si="37"/>
        <v>2252700</v>
      </c>
      <c r="Q500" s="299">
        <f t="shared" si="38"/>
        <v>4505400</v>
      </c>
      <c r="R500" s="299">
        <f t="shared" si="39"/>
        <v>4505400</v>
      </c>
      <c r="S500" s="112">
        <v>0</v>
      </c>
    </row>
    <row r="501" spans="1:19" ht="30">
      <c r="A501" s="79"/>
      <c r="B501" s="77" t="s">
        <v>2198</v>
      </c>
      <c r="C501" s="76" t="s">
        <v>1877</v>
      </c>
      <c r="D501" s="147">
        <v>2</v>
      </c>
      <c r="E501" s="79"/>
      <c r="F501" s="113">
        <f t="shared" si="36"/>
        <v>2</v>
      </c>
      <c r="G501" s="112" t="s">
        <v>3656</v>
      </c>
      <c r="H501" s="120" t="s">
        <v>3386</v>
      </c>
      <c r="I501" s="120" t="s">
        <v>3190</v>
      </c>
      <c r="J501" s="120" t="s">
        <v>772</v>
      </c>
      <c r="K501" s="112">
        <v>1819500</v>
      </c>
      <c r="L501" s="113"/>
      <c r="M501" s="113">
        <v>606400</v>
      </c>
      <c r="N501" s="113"/>
      <c r="O501" s="113"/>
      <c r="P501" s="299">
        <f t="shared" si="37"/>
        <v>2425900</v>
      </c>
      <c r="Q501" s="299">
        <f t="shared" si="38"/>
        <v>4851800</v>
      </c>
      <c r="R501" s="299">
        <f t="shared" si="39"/>
        <v>4851800</v>
      </c>
      <c r="S501" s="112">
        <v>0</v>
      </c>
    </row>
    <row r="502" spans="1:19">
      <c r="A502" s="259">
        <v>1.9</v>
      </c>
      <c r="B502" s="257" t="s">
        <v>2155</v>
      </c>
      <c r="C502" s="76" t="s">
        <v>1877</v>
      </c>
      <c r="D502" s="143">
        <v>12</v>
      </c>
      <c r="E502" s="79"/>
      <c r="F502" s="113">
        <f t="shared" si="36"/>
        <v>12</v>
      </c>
      <c r="G502" s="112">
        <v>0</v>
      </c>
      <c r="H502" s="120">
        <v>0</v>
      </c>
      <c r="I502" s="120">
        <v>0</v>
      </c>
      <c r="J502" s="120" t="s">
        <v>772</v>
      </c>
      <c r="K502" s="112">
        <v>583700</v>
      </c>
      <c r="L502" s="113"/>
      <c r="M502" s="113">
        <v>38800</v>
      </c>
      <c r="N502" s="113"/>
      <c r="O502" s="113"/>
      <c r="P502" s="299">
        <f t="shared" si="37"/>
        <v>622500</v>
      </c>
      <c r="Q502" s="299">
        <f t="shared" si="38"/>
        <v>7470000</v>
      </c>
      <c r="R502" s="299">
        <f t="shared" si="39"/>
        <v>7470000</v>
      </c>
      <c r="S502" s="112">
        <v>0</v>
      </c>
    </row>
    <row r="503" spans="1:19">
      <c r="A503" s="259">
        <v>1.1000000000000001</v>
      </c>
      <c r="B503" s="257" t="s">
        <v>1994</v>
      </c>
      <c r="C503" s="76" t="s">
        <v>17</v>
      </c>
      <c r="D503" s="143">
        <v>1</v>
      </c>
      <c r="E503" s="79"/>
      <c r="F503" s="113">
        <f t="shared" si="36"/>
        <v>1</v>
      </c>
      <c r="G503" s="112">
        <v>0</v>
      </c>
      <c r="H503" s="120">
        <v>0</v>
      </c>
      <c r="I503" s="120">
        <v>0</v>
      </c>
      <c r="J503" s="120" t="s">
        <v>806</v>
      </c>
      <c r="K503" s="112">
        <v>0</v>
      </c>
      <c r="L503" s="113"/>
      <c r="M503" s="113">
        <v>0</v>
      </c>
      <c r="N503" s="113"/>
      <c r="O503" s="113"/>
      <c r="P503" s="299">
        <f t="shared" si="37"/>
        <v>0</v>
      </c>
      <c r="Q503" s="299">
        <f t="shared" si="38"/>
        <v>0</v>
      </c>
      <c r="R503" s="299">
        <f t="shared" si="39"/>
        <v>0</v>
      </c>
      <c r="S503" s="112">
        <v>0</v>
      </c>
    </row>
    <row r="504" spans="1:19" ht="75">
      <c r="A504" s="90">
        <v>1.1100000000000001</v>
      </c>
      <c r="B504" s="91" t="s">
        <v>2199</v>
      </c>
      <c r="C504" s="90"/>
      <c r="D504" s="258"/>
      <c r="E504" s="91"/>
      <c r="F504" s="113">
        <f t="shared" si="36"/>
        <v>0</v>
      </c>
      <c r="G504" s="112">
        <v>0</v>
      </c>
      <c r="H504" s="120">
        <v>0</v>
      </c>
      <c r="I504" s="120">
        <v>0</v>
      </c>
      <c r="J504" s="120">
        <v>0</v>
      </c>
      <c r="K504" s="112">
        <v>0</v>
      </c>
      <c r="L504" s="113"/>
      <c r="M504" s="113">
        <v>0</v>
      </c>
      <c r="N504" s="113"/>
      <c r="O504" s="113"/>
      <c r="P504" s="299">
        <f t="shared" si="37"/>
        <v>0</v>
      </c>
      <c r="Q504" s="299">
        <f t="shared" si="38"/>
        <v>0</v>
      </c>
      <c r="R504" s="299">
        <f t="shared" si="39"/>
        <v>0</v>
      </c>
      <c r="S504" s="112" t="s">
        <v>3750</v>
      </c>
    </row>
    <row r="505" spans="1:19" ht="75">
      <c r="A505" s="88"/>
      <c r="B505" s="87" t="s">
        <v>2086</v>
      </c>
      <c r="C505" s="88" t="s">
        <v>7</v>
      </c>
      <c r="D505" s="147">
        <v>7</v>
      </c>
      <c r="E505" s="87"/>
      <c r="F505" s="113">
        <f t="shared" si="36"/>
        <v>7</v>
      </c>
      <c r="G505" s="112" t="s">
        <v>3177</v>
      </c>
      <c r="H505" s="120" t="s">
        <v>3164</v>
      </c>
      <c r="I505" s="120" t="s">
        <v>3165</v>
      </c>
      <c r="J505" s="120" t="s">
        <v>772</v>
      </c>
      <c r="K505" s="112">
        <v>2295500</v>
      </c>
      <c r="L505" s="113"/>
      <c r="M505" s="113">
        <v>555400</v>
      </c>
      <c r="N505" s="113"/>
      <c r="O505" s="113"/>
      <c r="P505" s="299">
        <f t="shared" si="37"/>
        <v>2850900</v>
      </c>
      <c r="Q505" s="299">
        <f t="shared" si="38"/>
        <v>19956300</v>
      </c>
      <c r="R505" s="299">
        <f t="shared" si="39"/>
        <v>19956300</v>
      </c>
      <c r="S505" s="112" t="s">
        <v>3750</v>
      </c>
    </row>
    <row r="506" spans="1:19" ht="75">
      <c r="A506" s="88"/>
      <c r="B506" s="87" t="s">
        <v>2017</v>
      </c>
      <c r="C506" s="88" t="s">
        <v>7</v>
      </c>
      <c r="D506" s="147">
        <v>8</v>
      </c>
      <c r="E506" s="87"/>
      <c r="F506" s="113">
        <f t="shared" si="36"/>
        <v>8</v>
      </c>
      <c r="G506" s="112" t="s">
        <v>3176</v>
      </c>
      <c r="H506" s="120" t="s">
        <v>3164</v>
      </c>
      <c r="I506" s="120" t="s">
        <v>3165</v>
      </c>
      <c r="J506" s="120" t="s">
        <v>772</v>
      </c>
      <c r="K506" s="112">
        <v>2736900</v>
      </c>
      <c r="L506" s="113"/>
      <c r="M506" s="113">
        <v>662200</v>
      </c>
      <c r="N506" s="113"/>
      <c r="O506" s="113"/>
      <c r="P506" s="299">
        <f t="shared" si="37"/>
        <v>3399100</v>
      </c>
      <c r="Q506" s="299">
        <f t="shared" si="38"/>
        <v>27192800</v>
      </c>
      <c r="R506" s="299">
        <f t="shared" si="39"/>
        <v>27192800</v>
      </c>
      <c r="S506" s="112" t="s">
        <v>3750</v>
      </c>
    </row>
    <row r="507" spans="1:19" ht="75">
      <c r="A507" s="88"/>
      <c r="B507" s="87" t="s">
        <v>2089</v>
      </c>
      <c r="C507" s="88" t="s">
        <v>7</v>
      </c>
      <c r="D507" s="147">
        <v>5</v>
      </c>
      <c r="E507" s="87"/>
      <c r="F507" s="113">
        <f t="shared" si="36"/>
        <v>5</v>
      </c>
      <c r="G507" s="112" t="s">
        <v>3175</v>
      </c>
      <c r="H507" s="120" t="s">
        <v>3164</v>
      </c>
      <c r="I507" s="120" t="s">
        <v>3165</v>
      </c>
      <c r="J507" s="120" t="s">
        <v>772</v>
      </c>
      <c r="K507" s="112">
        <v>2648600</v>
      </c>
      <c r="L507" s="113"/>
      <c r="M507" s="113">
        <v>640800</v>
      </c>
      <c r="N507" s="113"/>
      <c r="O507" s="113"/>
      <c r="P507" s="299">
        <f t="shared" si="37"/>
        <v>3289400</v>
      </c>
      <c r="Q507" s="299">
        <f t="shared" si="38"/>
        <v>16447000</v>
      </c>
      <c r="R507" s="299">
        <f t="shared" si="39"/>
        <v>16447000</v>
      </c>
      <c r="S507" s="112" t="s">
        <v>3750</v>
      </c>
    </row>
    <row r="508" spans="1:19" ht="75">
      <c r="A508" s="88"/>
      <c r="B508" s="87" t="s">
        <v>1931</v>
      </c>
      <c r="C508" s="88" t="s">
        <v>7</v>
      </c>
      <c r="D508" s="147">
        <v>6</v>
      </c>
      <c r="E508" s="87"/>
      <c r="F508" s="113">
        <f t="shared" si="36"/>
        <v>6</v>
      </c>
      <c r="G508" s="112" t="s">
        <v>3174</v>
      </c>
      <c r="H508" s="120" t="s">
        <v>3164</v>
      </c>
      <c r="I508" s="120" t="s">
        <v>3165</v>
      </c>
      <c r="J508" s="120" t="s">
        <v>772</v>
      </c>
      <c r="K508" s="112">
        <v>2295500</v>
      </c>
      <c r="L508" s="113"/>
      <c r="M508" s="113">
        <v>555400</v>
      </c>
      <c r="N508" s="113"/>
      <c r="O508" s="113"/>
      <c r="P508" s="299">
        <f t="shared" si="37"/>
        <v>2850900</v>
      </c>
      <c r="Q508" s="299">
        <f t="shared" si="38"/>
        <v>17105400</v>
      </c>
      <c r="R508" s="299">
        <f t="shared" si="39"/>
        <v>17105400</v>
      </c>
      <c r="S508" s="112" t="s">
        <v>3750</v>
      </c>
    </row>
    <row r="509" spans="1:19" ht="75">
      <c r="A509" s="88"/>
      <c r="B509" s="87" t="s">
        <v>2090</v>
      </c>
      <c r="C509" s="88" t="s">
        <v>7</v>
      </c>
      <c r="D509" s="147">
        <v>38</v>
      </c>
      <c r="E509" s="87"/>
      <c r="F509" s="113">
        <f t="shared" si="36"/>
        <v>38</v>
      </c>
      <c r="G509" s="112" t="s">
        <v>3173</v>
      </c>
      <c r="H509" s="120" t="s">
        <v>3164</v>
      </c>
      <c r="I509" s="120" t="s">
        <v>3165</v>
      </c>
      <c r="J509" s="120" t="s">
        <v>772</v>
      </c>
      <c r="K509" s="112">
        <v>2648600</v>
      </c>
      <c r="L509" s="113"/>
      <c r="M509" s="113">
        <v>640800</v>
      </c>
      <c r="N509" s="113"/>
      <c r="O509" s="113"/>
      <c r="P509" s="299">
        <f t="shared" si="37"/>
        <v>3289400</v>
      </c>
      <c r="Q509" s="299">
        <f t="shared" si="38"/>
        <v>124997200</v>
      </c>
      <c r="R509" s="299">
        <f t="shared" si="39"/>
        <v>124997200</v>
      </c>
      <c r="S509" s="112" t="s">
        <v>3750</v>
      </c>
    </row>
    <row r="510" spans="1:19" ht="75">
      <c r="A510" s="88"/>
      <c r="B510" s="87" t="s">
        <v>2020</v>
      </c>
      <c r="C510" s="88" t="s">
        <v>7</v>
      </c>
      <c r="D510" s="147">
        <v>6</v>
      </c>
      <c r="E510" s="87"/>
      <c r="F510" s="113">
        <f t="shared" si="36"/>
        <v>6</v>
      </c>
      <c r="G510" s="112" t="s">
        <v>3172</v>
      </c>
      <c r="H510" s="120" t="s">
        <v>3164</v>
      </c>
      <c r="I510" s="120" t="s">
        <v>3165</v>
      </c>
      <c r="J510" s="120" t="s">
        <v>772</v>
      </c>
      <c r="K510" s="112">
        <v>2825300</v>
      </c>
      <c r="L510" s="113"/>
      <c r="M510" s="113">
        <v>683500</v>
      </c>
      <c r="N510" s="113"/>
      <c r="O510" s="113"/>
      <c r="P510" s="299">
        <f t="shared" si="37"/>
        <v>3508800</v>
      </c>
      <c r="Q510" s="299">
        <f t="shared" si="38"/>
        <v>21052800</v>
      </c>
      <c r="R510" s="299">
        <f t="shared" si="39"/>
        <v>21052800</v>
      </c>
      <c r="S510" s="112" t="s">
        <v>3750</v>
      </c>
    </row>
    <row r="511" spans="1:19" ht="75">
      <c r="A511" s="88"/>
      <c r="B511" s="87" t="s">
        <v>2200</v>
      </c>
      <c r="C511" s="88" t="s">
        <v>7</v>
      </c>
      <c r="D511" s="147">
        <v>5</v>
      </c>
      <c r="E511" s="87"/>
      <c r="F511" s="113">
        <f t="shared" si="36"/>
        <v>5</v>
      </c>
      <c r="G511" s="112" t="s">
        <v>3171</v>
      </c>
      <c r="H511" s="120" t="s">
        <v>3164</v>
      </c>
      <c r="I511" s="120" t="s">
        <v>3165</v>
      </c>
      <c r="J511" s="120" t="s">
        <v>772</v>
      </c>
      <c r="K511" s="112">
        <v>3708100</v>
      </c>
      <c r="L511" s="113"/>
      <c r="M511" s="113">
        <v>897100</v>
      </c>
      <c r="N511" s="113"/>
      <c r="O511" s="113"/>
      <c r="P511" s="299">
        <f t="shared" si="37"/>
        <v>4605200</v>
      </c>
      <c r="Q511" s="299">
        <f t="shared" si="38"/>
        <v>23026000</v>
      </c>
      <c r="R511" s="299">
        <f t="shared" si="39"/>
        <v>23026000</v>
      </c>
      <c r="S511" s="112" t="s">
        <v>3750</v>
      </c>
    </row>
    <row r="512" spans="1:19" ht="75">
      <c r="A512" s="88"/>
      <c r="B512" s="87" t="s">
        <v>1915</v>
      </c>
      <c r="C512" s="88" t="s">
        <v>7</v>
      </c>
      <c r="D512" s="147">
        <v>5</v>
      </c>
      <c r="E512" s="87"/>
      <c r="F512" s="113">
        <f t="shared" si="36"/>
        <v>5</v>
      </c>
      <c r="G512" s="112" t="s">
        <v>3170</v>
      </c>
      <c r="H512" s="120" t="s">
        <v>3164</v>
      </c>
      <c r="I512" s="120" t="s">
        <v>3165</v>
      </c>
      <c r="J512" s="120" t="s">
        <v>772</v>
      </c>
      <c r="K512" s="112">
        <v>3001800</v>
      </c>
      <c r="L512" s="113"/>
      <c r="M512" s="113">
        <v>726300</v>
      </c>
      <c r="N512" s="113"/>
      <c r="O512" s="113"/>
      <c r="P512" s="299">
        <f t="shared" si="37"/>
        <v>3728100</v>
      </c>
      <c r="Q512" s="299">
        <f t="shared" si="38"/>
        <v>18640500</v>
      </c>
      <c r="R512" s="299">
        <f t="shared" si="39"/>
        <v>18640500</v>
      </c>
      <c r="S512" s="112" t="s">
        <v>3750</v>
      </c>
    </row>
    <row r="513" spans="1:19" ht="75">
      <c r="A513" s="88"/>
      <c r="B513" s="87" t="s">
        <v>2201</v>
      </c>
      <c r="C513" s="88" t="s">
        <v>7</v>
      </c>
      <c r="D513" s="147">
        <v>4</v>
      </c>
      <c r="E513" s="87"/>
      <c r="F513" s="113">
        <f t="shared" si="36"/>
        <v>4</v>
      </c>
      <c r="G513" s="112" t="s">
        <v>3169</v>
      </c>
      <c r="H513" s="120" t="s">
        <v>3164</v>
      </c>
      <c r="I513" s="120" t="s">
        <v>3165</v>
      </c>
      <c r="J513" s="120" t="s">
        <v>772</v>
      </c>
      <c r="K513" s="112">
        <v>3001800</v>
      </c>
      <c r="L513" s="113"/>
      <c r="M513" s="113">
        <v>726300</v>
      </c>
      <c r="N513" s="113"/>
      <c r="O513" s="113"/>
      <c r="P513" s="299">
        <f t="shared" si="37"/>
        <v>3728100</v>
      </c>
      <c r="Q513" s="299">
        <f t="shared" si="38"/>
        <v>14912400</v>
      </c>
      <c r="R513" s="299">
        <f t="shared" si="39"/>
        <v>14912400</v>
      </c>
      <c r="S513" s="112" t="s">
        <v>3750</v>
      </c>
    </row>
    <row r="514" spans="1:19" ht="75">
      <c r="A514" s="88"/>
      <c r="B514" s="87" t="s">
        <v>1918</v>
      </c>
      <c r="C514" s="88" t="s">
        <v>7</v>
      </c>
      <c r="D514" s="147">
        <v>22</v>
      </c>
      <c r="E514" s="87"/>
      <c r="F514" s="113">
        <f t="shared" si="36"/>
        <v>22</v>
      </c>
      <c r="G514" s="112" t="s">
        <v>3168</v>
      </c>
      <c r="H514" s="120" t="s">
        <v>3164</v>
      </c>
      <c r="I514" s="120" t="s">
        <v>3165</v>
      </c>
      <c r="J514" s="120" t="s">
        <v>772</v>
      </c>
      <c r="K514" s="112">
        <v>3884600</v>
      </c>
      <c r="L514" s="113"/>
      <c r="M514" s="113">
        <v>939800</v>
      </c>
      <c r="N514" s="113"/>
      <c r="O514" s="113"/>
      <c r="P514" s="299">
        <f t="shared" si="37"/>
        <v>4824400</v>
      </c>
      <c r="Q514" s="299">
        <f t="shared" si="38"/>
        <v>106136800</v>
      </c>
      <c r="R514" s="299">
        <f t="shared" si="39"/>
        <v>106136800</v>
      </c>
      <c r="S514" s="112" t="s">
        <v>3750</v>
      </c>
    </row>
    <row r="515" spans="1:19" ht="75">
      <c r="A515" s="88"/>
      <c r="B515" s="87" t="s">
        <v>2021</v>
      </c>
      <c r="C515" s="88" t="s">
        <v>7</v>
      </c>
      <c r="D515" s="147">
        <v>23</v>
      </c>
      <c r="E515" s="87"/>
      <c r="F515" s="113">
        <f t="shared" si="36"/>
        <v>23</v>
      </c>
      <c r="G515" s="112" t="s">
        <v>3166</v>
      </c>
      <c r="H515" s="120" t="s">
        <v>3167</v>
      </c>
      <c r="I515" s="120" t="s">
        <v>3165</v>
      </c>
      <c r="J515" s="120" t="s">
        <v>772</v>
      </c>
      <c r="K515" s="112">
        <v>4523700</v>
      </c>
      <c r="L515" s="113"/>
      <c r="M515" s="113">
        <v>747600</v>
      </c>
      <c r="N515" s="113"/>
      <c r="O515" s="113"/>
      <c r="P515" s="299">
        <f t="shared" si="37"/>
        <v>5271300</v>
      </c>
      <c r="Q515" s="299">
        <f t="shared" si="38"/>
        <v>121239900</v>
      </c>
      <c r="R515" s="299">
        <f t="shared" si="39"/>
        <v>121239900</v>
      </c>
      <c r="S515" s="112" t="s">
        <v>3750</v>
      </c>
    </row>
    <row r="516" spans="1:19">
      <c r="A516" s="90">
        <v>1.1200000000000001</v>
      </c>
      <c r="B516" s="91" t="s">
        <v>2202</v>
      </c>
      <c r="C516" s="88"/>
      <c r="D516" s="147"/>
      <c r="E516" s="87"/>
      <c r="F516" s="113">
        <f t="shared" si="36"/>
        <v>0</v>
      </c>
      <c r="G516" s="112">
        <v>0</v>
      </c>
      <c r="H516" s="120">
        <v>0</v>
      </c>
      <c r="I516" s="120">
        <v>0</v>
      </c>
      <c r="J516" s="120">
        <v>0</v>
      </c>
      <c r="K516" s="112">
        <v>0</v>
      </c>
      <c r="L516" s="113"/>
      <c r="M516" s="113">
        <v>0</v>
      </c>
      <c r="N516" s="113"/>
      <c r="O516" s="113"/>
      <c r="P516" s="299">
        <f t="shared" si="37"/>
        <v>0</v>
      </c>
      <c r="Q516" s="299">
        <f t="shared" si="38"/>
        <v>0</v>
      </c>
      <c r="R516" s="299">
        <f t="shared" si="39"/>
        <v>0</v>
      </c>
      <c r="S516" s="112">
        <v>0</v>
      </c>
    </row>
    <row r="517" spans="1:19" ht="45">
      <c r="A517" s="88"/>
      <c r="B517" s="87" t="s">
        <v>2203</v>
      </c>
      <c r="C517" s="88" t="s">
        <v>1877</v>
      </c>
      <c r="D517" s="147">
        <v>1</v>
      </c>
      <c r="E517" s="87"/>
      <c r="F517" s="113">
        <f t="shared" si="36"/>
        <v>1</v>
      </c>
      <c r="G517" s="112" t="s">
        <v>3531</v>
      </c>
      <c r="H517" s="120" t="s">
        <v>3205</v>
      </c>
      <c r="I517" s="120" t="s">
        <v>3479</v>
      </c>
      <c r="J517" s="120" t="s">
        <v>772</v>
      </c>
      <c r="K517" s="112">
        <v>2584500</v>
      </c>
      <c r="L517" s="113"/>
      <c r="M517" s="113">
        <v>951100</v>
      </c>
      <c r="N517" s="113"/>
      <c r="O517" s="113"/>
      <c r="P517" s="299">
        <f t="shared" si="37"/>
        <v>3535600</v>
      </c>
      <c r="Q517" s="299">
        <f t="shared" si="38"/>
        <v>3535600</v>
      </c>
      <c r="R517" s="299">
        <f t="shared" si="39"/>
        <v>3535600</v>
      </c>
      <c r="S517" s="112">
        <v>0</v>
      </c>
    </row>
    <row r="518" spans="1:19" ht="30">
      <c r="A518" s="88"/>
      <c r="B518" s="87" t="s">
        <v>2204</v>
      </c>
      <c r="C518" s="88" t="s">
        <v>1877</v>
      </c>
      <c r="D518" s="147">
        <v>2</v>
      </c>
      <c r="E518" s="87"/>
      <c r="F518" s="113">
        <f t="shared" si="36"/>
        <v>2</v>
      </c>
      <c r="G518" s="112" t="s">
        <v>3530</v>
      </c>
      <c r="H518" s="120" t="s">
        <v>3189</v>
      </c>
      <c r="I518" s="120" t="s">
        <v>3479</v>
      </c>
      <c r="J518" s="120" t="s">
        <v>772</v>
      </c>
      <c r="K518" s="112">
        <v>939600</v>
      </c>
      <c r="L518" s="113"/>
      <c r="M518" s="113">
        <v>389800</v>
      </c>
      <c r="N518" s="113"/>
      <c r="O518" s="113"/>
      <c r="P518" s="299">
        <f t="shared" si="37"/>
        <v>1329400</v>
      </c>
      <c r="Q518" s="299">
        <f t="shared" si="38"/>
        <v>2658800</v>
      </c>
      <c r="R518" s="299">
        <f t="shared" si="39"/>
        <v>2658800</v>
      </c>
      <c r="S518" s="112">
        <v>0</v>
      </c>
    </row>
    <row r="519" spans="1:19">
      <c r="A519" s="271" t="s">
        <v>2205</v>
      </c>
      <c r="B519" s="272" t="s">
        <v>2206</v>
      </c>
      <c r="C519" s="273"/>
      <c r="D519" s="78"/>
      <c r="E519" s="274"/>
      <c r="F519" s="113">
        <f t="shared" si="36"/>
        <v>0</v>
      </c>
      <c r="G519" s="112">
        <v>0</v>
      </c>
      <c r="H519" s="120">
        <v>0</v>
      </c>
      <c r="I519" s="120">
        <v>0</v>
      </c>
      <c r="J519" s="120">
        <v>0</v>
      </c>
      <c r="K519" s="112">
        <v>0</v>
      </c>
      <c r="L519" s="113"/>
      <c r="M519" s="113">
        <v>0</v>
      </c>
      <c r="N519" s="113"/>
      <c r="O519" s="113"/>
      <c r="P519" s="299">
        <f t="shared" si="37"/>
        <v>0</v>
      </c>
      <c r="Q519" s="299">
        <f t="shared" si="38"/>
        <v>0</v>
      </c>
      <c r="R519" s="299">
        <f t="shared" si="39"/>
        <v>0</v>
      </c>
      <c r="S519" s="112">
        <v>0</v>
      </c>
    </row>
    <row r="520" spans="1:19">
      <c r="A520" s="79">
        <v>2.1</v>
      </c>
      <c r="B520" s="80" t="s">
        <v>2167</v>
      </c>
      <c r="C520" s="79"/>
      <c r="D520" s="143"/>
      <c r="E520" s="79"/>
      <c r="F520" s="113">
        <f t="shared" ref="F520:F583" si="40">D520</f>
        <v>0</v>
      </c>
      <c r="G520" s="112">
        <v>0</v>
      </c>
      <c r="H520" s="120">
        <v>0</v>
      </c>
      <c r="I520" s="120">
        <v>0</v>
      </c>
      <c r="J520" s="120">
        <v>0</v>
      </c>
      <c r="K520" s="112">
        <v>0</v>
      </c>
      <c r="L520" s="113"/>
      <c r="M520" s="113">
        <v>0</v>
      </c>
      <c r="N520" s="113"/>
      <c r="O520" s="113"/>
      <c r="P520" s="299">
        <f t="shared" ref="P520:P583" si="41">K520+L520+M520+N520+O520</f>
        <v>0</v>
      </c>
      <c r="Q520" s="299">
        <f t="shared" ref="Q520:Q583" si="42">+P520*D520</f>
        <v>0</v>
      </c>
      <c r="R520" s="299">
        <f t="shared" ref="R520:R583" si="43">+P520*F520</f>
        <v>0</v>
      </c>
      <c r="S520" s="112">
        <v>0</v>
      </c>
    </row>
    <row r="521" spans="1:19">
      <c r="A521" s="79"/>
      <c r="B521" s="77" t="s">
        <v>2207</v>
      </c>
      <c r="C521" s="76" t="s">
        <v>1861</v>
      </c>
      <c r="D521" s="143">
        <v>8</v>
      </c>
      <c r="E521" s="79"/>
      <c r="F521" s="113">
        <f t="shared" si="40"/>
        <v>8</v>
      </c>
      <c r="G521" s="112" t="s">
        <v>3529</v>
      </c>
      <c r="H521" s="120" t="s">
        <v>3360</v>
      </c>
      <c r="I521" s="120" t="s">
        <v>3479</v>
      </c>
      <c r="J521" s="120" t="s">
        <v>772</v>
      </c>
      <c r="K521" s="112">
        <v>104100</v>
      </c>
      <c r="L521" s="113"/>
      <c r="M521" s="113">
        <v>47200</v>
      </c>
      <c r="N521" s="113"/>
      <c r="O521" s="113"/>
      <c r="P521" s="299">
        <f t="shared" si="41"/>
        <v>151300</v>
      </c>
      <c r="Q521" s="299">
        <f t="shared" si="42"/>
        <v>1210400</v>
      </c>
      <c r="R521" s="299">
        <f t="shared" si="43"/>
        <v>1210400</v>
      </c>
      <c r="S521" s="112">
        <v>0</v>
      </c>
    </row>
    <row r="522" spans="1:19">
      <c r="A522" s="76"/>
      <c r="B522" s="77" t="s">
        <v>2208</v>
      </c>
      <c r="C522" s="76" t="s">
        <v>1861</v>
      </c>
      <c r="D522" s="143">
        <v>17</v>
      </c>
      <c r="E522" s="76"/>
      <c r="F522" s="113">
        <f t="shared" si="40"/>
        <v>17</v>
      </c>
      <c r="G522" s="112" t="s">
        <v>3528</v>
      </c>
      <c r="H522" s="120" t="s">
        <v>3360</v>
      </c>
      <c r="I522" s="120" t="s">
        <v>3479</v>
      </c>
      <c r="J522" s="120" t="s">
        <v>772</v>
      </c>
      <c r="K522" s="112">
        <v>156100</v>
      </c>
      <c r="L522" s="113"/>
      <c r="M522" s="113">
        <v>70800</v>
      </c>
      <c r="N522" s="113"/>
      <c r="O522" s="113"/>
      <c r="P522" s="299">
        <f t="shared" si="41"/>
        <v>226900</v>
      </c>
      <c r="Q522" s="299">
        <f t="shared" si="42"/>
        <v>3857300</v>
      </c>
      <c r="R522" s="299">
        <f t="shared" si="43"/>
        <v>3857300</v>
      </c>
      <c r="S522" s="112">
        <v>0</v>
      </c>
    </row>
    <row r="523" spans="1:19">
      <c r="A523" s="76"/>
      <c r="B523" s="77" t="s">
        <v>2209</v>
      </c>
      <c r="C523" s="76" t="s">
        <v>1861</v>
      </c>
      <c r="D523" s="143">
        <v>10</v>
      </c>
      <c r="E523" s="76"/>
      <c r="F523" s="113">
        <f t="shared" si="40"/>
        <v>10</v>
      </c>
      <c r="G523" s="112" t="s">
        <v>3364</v>
      </c>
      <c r="H523" s="120" t="s">
        <v>3342</v>
      </c>
      <c r="I523" s="120" t="s">
        <v>3479</v>
      </c>
      <c r="J523" s="120" t="s">
        <v>772</v>
      </c>
      <c r="K523" s="112">
        <v>176700</v>
      </c>
      <c r="L523" s="113"/>
      <c r="M523" s="113">
        <v>90100</v>
      </c>
      <c r="N523" s="113"/>
      <c r="O523" s="113"/>
      <c r="P523" s="299">
        <f t="shared" si="41"/>
        <v>266800</v>
      </c>
      <c r="Q523" s="299">
        <f t="shared" si="42"/>
        <v>2668000</v>
      </c>
      <c r="R523" s="299">
        <f t="shared" si="43"/>
        <v>2668000</v>
      </c>
      <c r="S523" s="112">
        <v>0</v>
      </c>
    </row>
    <row r="524" spans="1:19">
      <c r="A524" s="76"/>
      <c r="B524" s="77" t="s">
        <v>2210</v>
      </c>
      <c r="C524" s="76" t="s">
        <v>1861</v>
      </c>
      <c r="D524" s="143">
        <v>26</v>
      </c>
      <c r="E524" s="76"/>
      <c r="F524" s="113">
        <f t="shared" si="40"/>
        <v>26</v>
      </c>
      <c r="G524" s="112" t="s">
        <v>3367</v>
      </c>
      <c r="H524" s="120" t="s">
        <v>3360</v>
      </c>
      <c r="I524" s="120" t="s">
        <v>3479</v>
      </c>
      <c r="J524" s="120" t="s">
        <v>772</v>
      </c>
      <c r="K524" s="112">
        <v>214400</v>
      </c>
      <c r="L524" s="113"/>
      <c r="M524" s="113">
        <v>124900</v>
      </c>
      <c r="N524" s="113"/>
      <c r="O524" s="113"/>
      <c r="P524" s="299">
        <f t="shared" si="41"/>
        <v>339300</v>
      </c>
      <c r="Q524" s="299">
        <f t="shared" si="42"/>
        <v>8821800</v>
      </c>
      <c r="R524" s="299">
        <f t="shared" si="43"/>
        <v>8821800</v>
      </c>
      <c r="S524" s="112">
        <v>0</v>
      </c>
    </row>
    <row r="525" spans="1:19">
      <c r="A525" s="76"/>
      <c r="B525" s="77" t="s">
        <v>2211</v>
      </c>
      <c r="C525" s="76" t="s">
        <v>1861</v>
      </c>
      <c r="D525" s="143">
        <v>84</v>
      </c>
      <c r="E525" s="76"/>
      <c r="F525" s="113">
        <f t="shared" si="40"/>
        <v>84</v>
      </c>
      <c r="G525" s="112" t="s">
        <v>3365</v>
      </c>
      <c r="H525" s="120" t="s">
        <v>3360</v>
      </c>
      <c r="I525" s="120" t="s">
        <v>3479</v>
      </c>
      <c r="J525" s="120" t="s">
        <v>772</v>
      </c>
      <c r="K525" s="112">
        <v>245000</v>
      </c>
      <c r="L525" s="113"/>
      <c r="M525" s="113">
        <v>142700</v>
      </c>
      <c r="N525" s="113"/>
      <c r="O525" s="113"/>
      <c r="P525" s="299">
        <f t="shared" si="41"/>
        <v>387700</v>
      </c>
      <c r="Q525" s="299">
        <f t="shared" si="42"/>
        <v>32566800</v>
      </c>
      <c r="R525" s="299">
        <f t="shared" si="43"/>
        <v>32566800</v>
      </c>
      <c r="S525" s="112">
        <v>0</v>
      </c>
    </row>
    <row r="526" spans="1:19">
      <c r="A526" s="76"/>
      <c r="B526" s="77" t="s">
        <v>2212</v>
      </c>
      <c r="C526" s="76" t="s">
        <v>1861</v>
      </c>
      <c r="D526" s="143">
        <v>97</v>
      </c>
      <c r="E526" s="76"/>
      <c r="F526" s="113">
        <f t="shared" si="40"/>
        <v>97</v>
      </c>
      <c r="G526" s="112" t="s">
        <v>3527</v>
      </c>
      <c r="H526" s="120" t="s">
        <v>3360</v>
      </c>
      <c r="I526" s="120" t="s">
        <v>3479</v>
      </c>
      <c r="J526" s="120" t="s">
        <v>772</v>
      </c>
      <c r="K526" s="112">
        <v>275700</v>
      </c>
      <c r="L526" s="113"/>
      <c r="M526" s="113">
        <v>160500</v>
      </c>
      <c r="N526" s="113"/>
      <c r="O526" s="113"/>
      <c r="P526" s="299">
        <f t="shared" si="41"/>
        <v>436200</v>
      </c>
      <c r="Q526" s="299">
        <f t="shared" si="42"/>
        <v>42311400</v>
      </c>
      <c r="R526" s="299">
        <f t="shared" si="43"/>
        <v>42311400</v>
      </c>
      <c r="S526" s="112">
        <v>0</v>
      </c>
    </row>
    <row r="527" spans="1:19">
      <c r="A527" s="76"/>
      <c r="B527" s="77" t="s">
        <v>2213</v>
      </c>
      <c r="C527" s="76" t="s">
        <v>1861</v>
      </c>
      <c r="D527" s="143">
        <v>16</v>
      </c>
      <c r="E527" s="76"/>
      <c r="F527" s="113">
        <f t="shared" si="40"/>
        <v>16</v>
      </c>
      <c r="G527" s="112" t="s">
        <v>3366</v>
      </c>
      <c r="H527" s="120" t="s">
        <v>3360</v>
      </c>
      <c r="I527" s="120" t="s">
        <v>3479</v>
      </c>
      <c r="J527" s="120" t="s">
        <v>772</v>
      </c>
      <c r="K527" s="112">
        <v>306300</v>
      </c>
      <c r="L527" s="113"/>
      <c r="M527" s="113">
        <v>178400</v>
      </c>
      <c r="N527" s="113"/>
      <c r="O527" s="113"/>
      <c r="P527" s="299">
        <f t="shared" si="41"/>
        <v>484700</v>
      </c>
      <c r="Q527" s="299">
        <f t="shared" si="42"/>
        <v>7755200</v>
      </c>
      <c r="R527" s="299">
        <f t="shared" si="43"/>
        <v>7755200</v>
      </c>
      <c r="S527" s="112">
        <v>0</v>
      </c>
    </row>
    <row r="528" spans="1:19">
      <c r="A528" s="76"/>
      <c r="B528" s="77" t="s">
        <v>2214</v>
      </c>
      <c r="C528" s="76" t="s">
        <v>1861</v>
      </c>
      <c r="D528" s="143">
        <v>6</v>
      </c>
      <c r="E528" s="76"/>
      <c r="F528" s="113">
        <f t="shared" si="40"/>
        <v>6</v>
      </c>
      <c r="G528" s="112" t="s">
        <v>3526</v>
      </c>
      <c r="H528" s="120" t="s">
        <v>3360</v>
      </c>
      <c r="I528" s="120" t="s">
        <v>3479</v>
      </c>
      <c r="J528" s="120" t="s">
        <v>772</v>
      </c>
      <c r="K528" s="112">
        <v>367500</v>
      </c>
      <c r="L528" s="113"/>
      <c r="M528" s="113">
        <v>214000</v>
      </c>
      <c r="N528" s="113"/>
      <c r="O528" s="113"/>
      <c r="P528" s="299">
        <f t="shared" si="41"/>
        <v>581500</v>
      </c>
      <c r="Q528" s="299">
        <f t="shared" si="42"/>
        <v>3489000</v>
      </c>
      <c r="R528" s="299">
        <f t="shared" si="43"/>
        <v>3489000</v>
      </c>
      <c r="S528" s="112">
        <v>0</v>
      </c>
    </row>
    <row r="529" spans="1:19">
      <c r="A529" s="76"/>
      <c r="B529" s="77" t="s">
        <v>2215</v>
      </c>
      <c r="C529" s="76" t="s">
        <v>1861</v>
      </c>
      <c r="D529" s="143">
        <v>17</v>
      </c>
      <c r="E529" s="76"/>
      <c r="F529" s="113">
        <f t="shared" si="40"/>
        <v>17</v>
      </c>
      <c r="G529" s="112" t="s">
        <v>3525</v>
      </c>
      <c r="H529" s="120" t="s">
        <v>3360</v>
      </c>
      <c r="I529" s="120" t="s">
        <v>3479</v>
      </c>
      <c r="J529" s="120" t="s">
        <v>772</v>
      </c>
      <c r="K529" s="112">
        <v>336900</v>
      </c>
      <c r="L529" s="113"/>
      <c r="M529" s="113">
        <v>196200</v>
      </c>
      <c r="N529" s="113"/>
      <c r="O529" s="113"/>
      <c r="P529" s="299">
        <f t="shared" si="41"/>
        <v>533100</v>
      </c>
      <c r="Q529" s="299">
        <f t="shared" si="42"/>
        <v>9062700</v>
      </c>
      <c r="R529" s="299">
        <f t="shared" si="43"/>
        <v>9062700</v>
      </c>
      <c r="S529" s="112">
        <v>0</v>
      </c>
    </row>
    <row r="530" spans="1:19">
      <c r="A530" s="76"/>
      <c r="B530" s="77" t="s">
        <v>2216</v>
      </c>
      <c r="C530" s="76" t="s">
        <v>1861</v>
      </c>
      <c r="D530" s="143">
        <v>37</v>
      </c>
      <c r="E530" s="76"/>
      <c r="F530" s="113">
        <f t="shared" si="40"/>
        <v>37</v>
      </c>
      <c r="G530" s="112" t="s">
        <v>3524</v>
      </c>
      <c r="H530" s="120" t="s">
        <v>3360</v>
      </c>
      <c r="I530" s="120" t="s">
        <v>3479</v>
      </c>
      <c r="J530" s="120" t="s">
        <v>772</v>
      </c>
      <c r="K530" s="112">
        <v>367500</v>
      </c>
      <c r="L530" s="113"/>
      <c r="M530" s="113">
        <v>214000</v>
      </c>
      <c r="N530" s="113"/>
      <c r="O530" s="113"/>
      <c r="P530" s="299">
        <f t="shared" si="41"/>
        <v>581500</v>
      </c>
      <c r="Q530" s="299">
        <f t="shared" si="42"/>
        <v>21515500</v>
      </c>
      <c r="R530" s="299">
        <f t="shared" si="43"/>
        <v>21515500</v>
      </c>
      <c r="S530" s="112">
        <v>0</v>
      </c>
    </row>
    <row r="531" spans="1:19">
      <c r="A531" s="76"/>
      <c r="B531" s="77" t="s">
        <v>2217</v>
      </c>
      <c r="C531" s="76" t="s">
        <v>1861</v>
      </c>
      <c r="D531" s="143">
        <v>4</v>
      </c>
      <c r="E531" s="76"/>
      <c r="F531" s="113">
        <f t="shared" si="40"/>
        <v>4</v>
      </c>
      <c r="G531" s="112" t="s">
        <v>3523</v>
      </c>
      <c r="H531" s="120" t="s">
        <v>3360</v>
      </c>
      <c r="I531" s="120" t="s">
        <v>3479</v>
      </c>
      <c r="J531" s="120" t="s">
        <v>772</v>
      </c>
      <c r="K531" s="112">
        <v>428700</v>
      </c>
      <c r="L531" s="113"/>
      <c r="M531" s="113">
        <v>249700</v>
      </c>
      <c r="N531" s="113"/>
      <c r="O531" s="113"/>
      <c r="P531" s="299">
        <f t="shared" si="41"/>
        <v>678400</v>
      </c>
      <c r="Q531" s="299">
        <f t="shared" si="42"/>
        <v>2713600</v>
      </c>
      <c r="R531" s="299">
        <f t="shared" si="43"/>
        <v>2713600</v>
      </c>
      <c r="S531" s="112">
        <v>0</v>
      </c>
    </row>
    <row r="532" spans="1:19">
      <c r="A532" s="76"/>
      <c r="B532" s="77" t="s">
        <v>2218</v>
      </c>
      <c r="C532" s="76" t="s">
        <v>1861</v>
      </c>
      <c r="D532" s="143">
        <v>4</v>
      </c>
      <c r="E532" s="76"/>
      <c r="F532" s="113">
        <f t="shared" si="40"/>
        <v>4</v>
      </c>
      <c r="G532" s="112" t="s">
        <v>3522</v>
      </c>
      <c r="H532" s="120" t="s">
        <v>3360</v>
      </c>
      <c r="I532" s="120" t="s">
        <v>3479</v>
      </c>
      <c r="J532" s="120" t="s">
        <v>772</v>
      </c>
      <c r="K532" s="112">
        <v>428700</v>
      </c>
      <c r="L532" s="113"/>
      <c r="M532" s="113">
        <v>249700</v>
      </c>
      <c r="N532" s="113"/>
      <c r="O532" s="113"/>
      <c r="P532" s="299">
        <f t="shared" si="41"/>
        <v>678400</v>
      </c>
      <c r="Q532" s="299">
        <f t="shared" si="42"/>
        <v>2713600</v>
      </c>
      <c r="R532" s="299">
        <f t="shared" si="43"/>
        <v>2713600</v>
      </c>
      <c r="S532" s="112">
        <v>0</v>
      </c>
    </row>
    <row r="533" spans="1:19">
      <c r="A533" s="76"/>
      <c r="B533" s="77" t="s">
        <v>2219</v>
      </c>
      <c r="C533" s="76" t="s">
        <v>1861</v>
      </c>
      <c r="D533" s="143">
        <v>10</v>
      </c>
      <c r="E533" s="76"/>
      <c r="F533" s="113">
        <f t="shared" si="40"/>
        <v>10</v>
      </c>
      <c r="G533" s="112" t="s">
        <v>3521</v>
      </c>
      <c r="H533" s="120" t="s">
        <v>3360</v>
      </c>
      <c r="I533" s="120" t="s">
        <v>3479</v>
      </c>
      <c r="J533" s="120" t="s">
        <v>772</v>
      </c>
      <c r="K533" s="112">
        <v>459400</v>
      </c>
      <c r="L533" s="113"/>
      <c r="M533" s="113">
        <v>267500</v>
      </c>
      <c r="N533" s="113"/>
      <c r="O533" s="113"/>
      <c r="P533" s="299">
        <f t="shared" si="41"/>
        <v>726900</v>
      </c>
      <c r="Q533" s="299">
        <f t="shared" si="42"/>
        <v>7269000</v>
      </c>
      <c r="R533" s="299">
        <f t="shared" si="43"/>
        <v>7269000</v>
      </c>
      <c r="S533" s="112">
        <v>0</v>
      </c>
    </row>
    <row r="534" spans="1:19">
      <c r="A534" s="76"/>
      <c r="B534" s="77" t="s">
        <v>2220</v>
      </c>
      <c r="C534" s="76" t="s">
        <v>1861</v>
      </c>
      <c r="D534" s="143">
        <v>15</v>
      </c>
      <c r="E534" s="76"/>
      <c r="F534" s="113">
        <f t="shared" si="40"/>
        <v>15</v>
      </c>
      <c r="G534" s="112" t="s">
        <v>3520</v>
      </c>
      <c r="H534" s="120" t="s">
        <v>3360</v>
      </c>
      <c r="I534" s="120" t="s">
        <v>3479</v>
      </c>
      <c r="J534" s="120" t="s">
        <v>772</v>
      </c>
      <c r="K534" s="112">
        <v>489900</v>
      </c>
      <c r="L534" s="113"/>
      <c r="M534" s="113">
        <v>285400</v>
      </c>
      <c r="N534" s="113"/>
      <c r="O534" s="113"/>
      <c r="P534" s="299">
        <f t="shared" si="41"/>
        <v>775300</v>
      </c>
      <c r="Q534" s="299">
        <f t="shared" si="42"/>
        <v>11629500</v>
      </c>
      <c r="R534" s="299">
        <f t="shared" si="43"/>
        <v>11629500</v>
      </c>
      <c r="S534" s="112">
        <v>0</v>
      </c>
    </row>
    <row r="535" spans="1:19">
      <c r="A535" s="76"/>
      <c r="B535" s="77" t="s">
        <v>2221</v>
      </c>
      <c r="C535" s="76" t="s">
        <v>1861</v>
      </c>
      <c r="D535" s="143">
        <v>13</v>
      </c>
      <c r="E535" s="76"/>
      <c r="F535" s="113">
        <f t="shared" si="40"/>
        <v>13</v>
      </c>
      <c r="G535" s="112" t="s">
        <v>3516</v>
      </c>
      <c r="H535" s="120" t="s">
        <v>3360</v>
      </c>
      <c r="I535" s="120" t="s">
        <v>3479</v>
      </c>
      <c r="J535" s="120" t="s">
        <v>772</v>
      </c>
      <c r="K535" s="112">
        <v>551200</v>
      </c>
      <c r="L535" s="113"/>
      <c r="M535" s="113">
        <v>321000</v>
      </c>
      <c r="N535" s="113"/>
      <c r="O535" s="113"/>
      <c r="P535" s="299">
        <f t="shared" si="41"/>
        <v>872200</v>
      </c>
      <c r="Q535" s="299">
        <f t="shared" si="42"/>
        <v>11338600</v>
      </c>
      <c r="R535" s="299">
        <f t="shared" si="43"/>
        <v>11338600</v>
      </c>
      <c r="S535" s="112">
        <v>0</v>
      </c>
    </row>
    <row r="536" spans="1:19">
      <c r="A536" s="76"/>
      <c r="B536" s="77" t="s">
        <v>2222</v>
      </c>
      <c r="C536" s="76" t="s">
        <v>1861</v>
      </c>
      <c r="D536" s="143">
        <v>8</v>
      </c>
      <c r="E536" s="76"/>
      <c r="F536" s="113">
        <f t="shared" si="40"/>
        <v>8</v>
      </c>
      <c r="G536" s="112" t="s">
        <v>3519</v>
      </c>
      <c r="H536" s="120" t="s">
        <v>3193</v>
      </c>
      <c r="I536" s="120" t="s">
        <v>3479</v>
      </c>
      <c r="J536" s="120" t="s">
        <v>772</v>
      </c>
      <c r="K536" s="112">
        <v>574400</v>
      </c>
      <c r="L536" s="113"/>
      <c r="M536" s="113">
        <v>298300</v>
      </c>
      <c r="N536" s="113"/>
      <c r="O536" s="113"/>
      <c r="P536" s="299">
        <f t="shared" si="41"/>
        <v>872700</v>
      </c>
      <c r="Q536" s="299">
        <f t="shared" si="42"/>
        <v>6981600</v>
      </c>
      <c r="R536" s="299">
        <f t="shared" si="43"/>
        <v>6981600</v>
      </c>
      <c r="S536" s="112">
        <v>0</v>
      </c>
    </row>
    <row r="537" spans="1:19">
      <c r="A537" s="76"/>
      <c r="B537" s="77" t="s">
        <v>2223</v>
      </c>
      <c r="C537" s="76" t="s">
        <v>1861</v>
      </c>
      <c r="D537" s="143">
        <v>9</v>
      </c>
      <c r="E537" s="76"/>
      <c r="F537" s="113">
        <f t="shared" si="40"/>
        <v>9</v>
      </c>
      <c r="G537" s="112" t="s">
        <v>3518</v>
      </c>
      <c r="H537" s="120" t="s">
        <v>3193</v>
      </c>
      <c r="I537" s="120" t="s">
        <v>3479</v>
      </c>
      <c r="J537" s="120" t="s">
        <v>772</v>
      </c>
      <c r="K537" s="112">
        <v>646200</v>
      </c>
      <c r="L537" s="113"/>
      <c r="M537" s="113">
        <v>335500</v>
      </c>
      <c r="N537" s="113"/>
      <c r="O537" s="113"/>
      <c r="P537" s="299">
        <f t="shared" si="41"/>
        <v>981700</v>
      </c>
      <c r="Q537" s="299">
        <f t="shared" si="42"/>
        <v>8835300</v>
      </c>
      <c r="R537" s="299">
        <f t="shared" si="43"/>
        <v>8835300</v>
      </c>
      <c r="S537" s="112">
        <v>0</v>
      </c>
    </row>
    <row r="538" spans="1:19">
      <c r="A538" s="76"/>
      <c r="B538" s="77" t="s">
        <v>2224</v>
      </c>
      <c r="C538" s="76" t="s">
        <v>1861</v>
      </c>
      <c r="D538" s="143">
        <v>68</v>
      </c>
      <c r="E538" s="76"/>
      <c r="F538" s="113">
        <f t="shared" si="40"/>
        <v>68</v>
      </c>
      <c r="G538" s="112" t="s">
        <v>3517</v>
      </c>
      <c r="H538" s="120" t="s">
        <v>3193</v>
      </c>
      <c r="I538" s="120" t="s">
        <v>3479</v>
      </c>
      <c r="J538" s="120" t="s">
        <v>772</v>
      </c>
      <c r="K538" s="112">
        <v>718000</v>
      </c>
      <c r="L538" s="113"/>
      <c r="M538" s="113">
        <v>372800</v>
      </c>
      <c r="N538" s="113"/>
      <c r="O538" s="113"/>
      <c r="P538" s="299">
        <f t="shared" si="41"/>
        <v>1090800</v>
      </c>
      <c r="Q538" s="299">
        <f t="shared" si="42"/>
        <v>74174400</v>
      </c>
      <c r="R538" s="299">
        <f t="shared" si="43"/>
        <v>74174400</v>
      </c>
      <c r="S538" s="112">
        <v>0</v>
      </c>
    </row>
    <row r="539" spans="1:19">
      <c r="A539" s="76"/>
      <c r="B539" s="77" t="s">
        <v>2225</v>
      </c>
      <c r="C539" s="76" t="s">
        <v>1861</v>
      </c>
      <c r="D539" s="143">
        <v>126</v>
      </c>
      <c r="E539" s="76"/>
      <c r="F539" s="113">
        <f t="shared" si="40"/>
        <v>126</v>
      </c>
      <c r="G539" s="112" t="s">
        <v>3516</v>
      </c>
      <c r="H539" s="120" t="s">
        <v>3193</v>
      </c>
      <c r="I539" s="120" t="s">
        <v>3479</v>
      </c>
      <c r="J539" s="120" t="s">
        <v>772</v>
      </c>
      <c r="K539" s="112">
        <v>646200</v>
      </c>
      <c r="L539" s="113"/>
      <c r="M539" s="113">
        <v>335500</v>
      </c>
      <c r="N539" s="113"/>
      <c r="O539" s="113"/>
      <c r="P539" s="299">
        <f t="shared" si="41"/>
        <v>981700</v>
      </c>
      <c r="Q539" s="299">
        <f t="shared" si="42"/>
        <v>123694200</v>
      </c>
      <c r="R539" s="299">
        <f t="shared" si="43"/>
        <v>123694200</v>
      </c>
      <c r="S539" s="112">
        <v>0</v>
      </c>
    </row>
    <row r="540" spans="1:19">
      <c r="A540" s="76"/>
      <c r="B540" s="77" t="s">
        <v>2226</v>
      </c>
      <c r="C540" s="76" t="s">
        <v>1861</v>
      </c>
      <c r="D540" s="143">
        <v>11</v>
      </c>
      <c r="E540" s="76"/>
      <c r="F540" s="113">
        <f t="shared" si="40"/>
        <v>11</v>
      </c>
      <c r="G540" s="112" t="s">
        <v>3515</v>
      </c>
      <c r="H540" s="120" t="s">
        <v>3193</v>
      </c>
      <c r="I540" s="120" t="s">
        <v>3479</v>
      </c>
      <c r="J540" s="120" t="s">
        <v>772</v>
      </c>
      <c r="K540" s="112">
        <v>718000</v>
      </c>
      <c r="L540" s="113"/>
      <c r="M540" s="113">
        <v>372800</v>
      </c>
      <c r="N540" s="113"/>
      <c r="O540" s="113"/>
      <c r="P540" s="299">
        <f t="shared" si="41"/>
        <v>1090800</v>
      </c>
      <c r="Q540" s="299">
        <f t="shared" si="42"/>
        <v>11998800</v>
      </c>
      <c r="R540" s="299">
        <f t="shared" si="43"/>
        <v>11998800</v>
      </c>
      <c r="S540" s="112">
        <v>0</v>
      </c>
    </row>
    <row r="541" spans="1:19">
      <c r="A541" s="76"/>
      <c r="B541" s="77" t="s">
        <v>2227</v>
      </c>
      <c r="C541" s="76" t="s">
        <v>1861</v>
      </c>
      <c r="D541" s="147">
        <v>3</v>
      </c>
      <c r="E541" s="76"/>
      <c r="F541" s="113">
        <f t="shared" si="40"/>
        <v>3</v>
      </c>
      <c r="G541" s="112" t="s">
        <v>3514</v>
      </c>
      <c r="H541" s="120" t="s">
        <v>3193</v>
      </c>
      <c r="I541" s="120" t="s">
        <v>3479</v>
      </c>
      <c r="J541" s="120" t="s">
        <v>772</v>
      </c>
      <c r="K541" s="112">
        <v>789800</v>
      </c>
      <c r="L541" s="113"/>
      <c r="M541" s="113">
        <v>410100</v>
      </c>
      <c r="N541" s="113"/>
      <c r="O541" s="113"/>
      <c r="P541" s="299">
        <f t="shared" si="41"/>
        <v>1199900</v>
      </c>
      <c r="Q541" s="299">
        <f t="shared" si="42"/>
        <v>3599700</v>
      </c>
      <c r="R541" s="299">
        <f t="shared" si="43"/>
        <v>3599700</v>
      </c>
      <c r="S541" s="112">
        <v>0</v>
      </c>
    </row>
    <row r="542" spans="1:19">
      <c r="A542" s="76"/>
      <c r="B542" s="77" t="s">
        <v>2228</v>
      </c>
      <c r="C542" s="76" t="s">
        <v>1861</v>
      </c>
      <c r="D542" s="143">
        <v>20</v>
      </c>
      <c r="E542" s="76"/>
      <c r="F542" s="113">
        <f t="shared" si="40"/>
        <v>20</v>
      </c>
      <c r="G542" s="112" t="s">
        <v>3513</v>
      </c>
      <c r="H542" s="120" t="s">
        <v>3189</v>
      </c>
      <c r="I542" s="120" t="s">
        <v>3479</v>
      </c>
      <c r="J542" s="120" t="s">
        <v>772</v>
      </c>
      <c r="K542" s="112">
        <v>971400</v>
      </c>
      <c r="L542" s="113"/>
      <c r="M542" s="113">
        <v>447300</v>
      </c>
      <c r="N542" s="113"/>
      <c r="O542" s="113"/>
      <c r="P542" s="299">
        <f t="shared" si="41"/>
        <v>1418700</v>
      </c>
      <c r="Q542" s="299">
        <f t="shared" si="42"/>
        <v>28374000</v>
      </c>
      <c r="R542" s="299">
        <f t="shared" si="43"/>
        <v>28374000</v>
      </c>
      <c r="S542" s="112">
        <v>0</v>
      </c>
    </row>
    <row r="543" spans="1:19">
      <c r="A543" s="76"/>
      <c r="B543" s="77" t="s">
        <v>2168</v>
      </c>
      <c r="C543" s="76" t="s">
        <v>1861</v>
      </c>
      <c r="D543" s="143">
        <v>13</v>
      </c>
      <c r="E543" s="76"/>
      <c r="F543" s="113">
        <f t="shared" si="40"/>
        <v>13</v>
      </c>
      <c r="G543" s="112" t="s">
        <v>3512</v>
      </c>
      <c r="H543" s="120" t="s">
        <v>3189</v>
      </c>
      <c r="I543" s="120" t="s">
        <v>3479</v>
      </c>
      <c r="J543" s="120" t="s">
        <v>772</v>
      </c>
      <c r="K543" s="112">
        <v>1013600</v>
      </c>
      <c r="L543" s="113"/>
      <c r="M543" s="113">
        <v>466700</v>
      </c>
      <c r="N543" s="113"/>
      <c r="O543" s="113"/>
      <c r="P543" s="299">
        <f t="shared" si="41"/>
        <v>1480300</v>
      </c>
      <c r="Q543" s="299">
        <f t="shared" si="42"/>
        <v>19243900</v>
      </c>
      <c r="R543" s="299">
        <f t="shared" si="43"/>
        <v>19243900</v>
      </c>
      <c r="S543" s="112">
        <v>0</v>
      </c>
    </row>
    <row r="544" spans="1:19">
      <c r="A544" s="76"/>
      <c r="B544" s="77" t="s">
        <v>2229</v>
      </c>
      <c r="C544" s="76" t="s">
        <v>1861</v>
      </c>
      <c r="D544" s="143">
        <v>11</v>
      </c>
      <c r="E544" s="76"/>
      <c r="F544" s="113">
        <f t="shared" si="40"/>
        <v>11</v>
      </c>
      <c r="G544" s="112" t="s">
        <v>3511</v>
      </c>
      <c r="H544" s="120" t="s">
        <v>3189</v>
      </c>
      <c r="I544" s="120" t="s">
        <v>3479</v>
      </c>
      <c r="J544" s="120" t="s">
        <v>772</v>
      </c>
      <c r="K544" s="112">
        <v>1098100</v>
      </c>
      <c r="L544" s="113"/>
      <c r="M544" s="113">
        <v>505600</v>
      </c>
      <c r="N544" s="113"/>
      <c r="O544" s="113"/>
      <c r="P544" s="299">
        <f t="shared" si="41"/>
        <v>1603700</v>
      </c>
      <c r="Q544" s="299">
        <f t="shared" si="42"/>
        <v>17640700</v>
      </c>
      <c r="R544" s="299">
        <f t="shared" si="43"/>
        <v>17640700</v>
      </c>
      <c r="S544" s="112">
        <v>0</v>
      </c>
    </row>
    <row r="545" spans="1:19">
      <c r="A545" s="76"/>
      <c r="B545" s="77" t="s">
        <v>2230</v>
      </c>
      <c r="C545" s="76" t="s">
        <v>1861</v>
      </c>
      <c r="D545" s="143">
        <v>7</v>
      </c>
      <c r="E545" s="76"/>
      <c r="F545" s="113">
        <f t="shared" si="40"/>
        <v>7</v>
      </c>
      <c r="G545" s="112" t="s">
        <v>3510</v>
      </c>
      <c r="H545" s="120" t="s">
        <v>3189</v>
      </c>
      <c r="I545" s="120" t="s">
        <v>3479</v>
      </c>
      <c r="J545" s="120" t="s">
        <v>772</v>
      </c>
      <c r="K545" s="112">
        <v>1140300</v>
      </c>
      <c r="L545" s="113"/>
      <c r="M545" s="113">
        <v>525100</v>
      </c>
      <c r="N545" s="113"/>
      <c r="O545" s="113"/>
      <c r="P545" s="299">
        <f t="shared" si="41"/>
        <v>1665400</v>
      </c>
      <c r="Q545" s="299">
        <f t="shared" si="42"/>
        <v>11657800</v>
      </c>
      <c r="R545" s="299">
        <f t="shared" si="43"/>
        <v>11657800</v>
      </c>
      <c r="S545" s="112">
        <v>0</v>
      </c>
    </row>
    <row r="546" spans="1:19">
      <c r="A546" s="76"/>
      <c r="B546" s="77" t="s">
        <v>2231</v>
      </c>
      <c r="C546" s="76" t="s">
        <v>1861</v>
      </c>
      <c r="D546" s="143">
        <v>8</v>
      </c>
      <c r="E546" s="76"/>
      <c r="F546" s="113">
        <f t="shared" si="40"/>
        <v>8</v>
      </c>
      <c r="G546" s="112" t="s">
        <v>3509</v>
      </c>
      <c r="H546" s="120" t="s">
        <v>3189</v>
      </c>
      <c r="I546" s="120" t="s">
        <v>3479</v>
      </c>
      <c r="J546" s="120" t="s">
        <v>772</v>
      </c>
      <c r="K546" s="112">
        <v>1224800</v>
      </c>
      <c r="L546" s="113"/>
      <c r="M546" s="113">
        <v>563900</v>
      </c>
      <c r="N546" s="113"/>
      <c r="O546" s="113"/>
      <c r="P546" s="299">
        <f t="shared" si="41"/>
        <v>1788700</v>
      </c>
      <c r="Q546" s="299">
        <f t="shared" si="42"/>
        <v>14309600</v>
      </c>
      <c r="R546" s="299">
        <f t="shared" si="43"/>
        <v>14309600</v>
      </c>
      <c r="S546" s="112">
        <v>0</v>
      </c>
    </row>
    <row r="547" spans="1:19">
      <c r="A547" s="76"/>
      <c r="B547" s="77" t="s">
        <v>2232</v>
      </c>
      <c r="C547" s="76" t="s">
        <v>1861</v>
      </c>
      <c r="D547" s="143">
        <v>1</v>
      </c>
      <c r="E547" s="76"/>
      <c r="F547" s="113">
        <f t="shared" si="40"/>
        <v>1</v>
      </c>
      <c r="G547" s="112" t="s">
        <v>3508</v>
      </c>
      <c r="H547" s="120" t="s">
        <v>3205</v>
      </c>
      <c r="I547" s="120" t="s">
        <v>3479</v>
      </c>
      <c r="J547" s="120" t="s">
        <v>772</v>
      </c>
      <c r="K547" s="112">
        <v>2246200</v>
      </c>
      <c r="L547" s="113"/>
      <c r="M547" s="113">
        <v>926900</v>
      </c>
      <c r="N547" s="113"/>
      <c r="O547" s="113"/>
      <c r="P547" s="299">
        <f t="shared" si="41"/>
        <v>3173100</v>
      </c>
      <c r="Q547" s="299">
        <f t="shared" si="42"/>
        <v>3173100</v>
      </c>
      <c r="R547" s="299">
        <f t="shared" si="43"/>
        <v>3173100</v>
      </c>
      <c r="S547" s="112">
        <v>0</v>
      </c>
    </row>
    <row r="548" spans="1:19">
      <c r="A548" s="76"/>
      <c r="B548" s="77" t="s">
        <v>2233</v>
      </c>
      <c r="C548" s="76" t="s">
        <v>1861</v>
      </c>
      <c r="D548" s="143">
        <v>112</v>
      </c>
      <c r="E548" s="76"/>
      <c r="F548" s="113">
        <f t="shared" si="40"/>
        <v>112</v>
      </c>
      <c r="G548" s="112" t="s">
        <v>3507</v>
      </c>
      <c r="H548" s="120" t="s">
        <v>3205</v>
      </c>
      <c r="I548" s="120" t="s">
        <v>3479</v>
      </c>
      <c r="J548" s="120" t="s">
        <v>772</v>
      </c>
      <c r="K548" s="112">
        <v>2539200</v>
      </c>
      <c r="L548" s="113"/>
      <c r="M548" s="113">
        <v>1047800</v>
      </c>
      <c r="N548" s="113"/>
      <c r="O548" s="113"/>
      <c r="P548" s="299">
        <f t="shared" si="41"/>
        <v>3587000</v>
      </c>
      <c r="Q548" s="299">
        <f t="shared" si="42"/>
        <v>401744000</v>
      </c>
      <c r="R548" s="299">
        <f t="shared" si="43"/>
        <v>401744000</v>
      </c>
      <c r="S548" s="112">
        <v>0</v>
      </c>
    </row>
    <row r="549" spans="1:19">
      <c r="A549" s="88"/>
      <c r="B549" s="87" t="s">
        <v>2234</v>
      </c>
      <c r="C549" s="88" t="s">
        <v>7</v>
      </c>
      <c r="D549" s="147">
        <v>4</v>
      </c>
      <c r="E549" s="87"/>
      <c r="F549" s="113">
        <f t="shared" si="40"/>
        <v>4</v>
      </c>
      <c r="G549" s="112" t="s">
        <v>3506</v>
      </c>
      <c r="H549" s="120" t="s">
        <v>3189</v>
      </c>
      <c r="I549" s="120" t="s">
        <v>3479</v>
      </c>
      <c r="J549" s="120" t="s">
        <v>772</v>
      </c>
      <c r="K549" s="112">
        <v>1351400</v>
      </c>
      <c r="L549" s="113"/>
      <c r="M549" s="113">
        <v>622300</v>
      </c>
      <c r="N549" s="113"/>
      <c r="O549" s="113"/>
      <c r="P549" s="299">
        <f t="shared" si="41"/>
        <v>1973700</v>
      </c>
      <c r="Q549" s="299">
        <f t="shared" si="42"/>
        <v>7894800</v>
      </c>
      <c r="R549" s="299">
        <f t="shared" si="43"/>
        <v>7894800</v>
      </c>
      <c r="S549" s="112">
        <v>0</v>
      </c>
    </row>
    <row r="550" spans="1:19">
      <c r="A550" s="88"/>
      <c r="B550" s="87" t="s">
        <v>2235</v>
      </c>
      <c r="C550" s="88" t="s">
        <v>7</v>
      </c>
      <c r="D550" s="147">
        <v>26</v>
      </c>
      <c r="E550" s="87"/>
      <c r="F550" s="113">
        <f t="shared" si="40"/>
        <v>26</v>
      </c>
      <c r="G550" s="112" t="s">
        <v>3505</v>
      </c>
      <c r="H550" s="120" t="s">
        <v>3205</v>
      </c>
      <c r="I550" s="120" t="s">
        <v>3479</v>
      </c>
      <c r="J550" s="120" t="s">
        <v>772</v>
      </c>
      <c r="K550" s="112">
        <v>1855600</v>
      </c>
      <c r="L550" s="113"/>
      <c r="M550" s="113">
        <v>765700</v>
      </c>
      <c r="N550" s="113"/>
      <c r="O550" s="113"/>
      <c r="P550" s="299">
        <f t="shared" si="41"/>
        <v>2621300</v>
      </c>
      <c r="Q550" s="299">
        <f t="shared" si="42"/>
        <v>68153800</v>
      </c>
      <c r="R550" s="299">
        <f t="shared" si="43"/>
        <v>68153800</v>
      </c>
      <c r="S550" s="112">
        <v>0</v>
      </c>
    </row>
    <row r="551" spans="1:19">
      <c r="A551" s="79" t="s">
        <v>2236</v>
      </c>
      <c r="B551" s="80" t="s">
        <v>2180</v>
      </c>
      <c r="C551" s="79"/>
      <c r="D551" s="143"/>
      <c r="E551" s="79"/>
      <c r="F551" s="113">
        <f t="shared" si="40"/>
        <v>0</v>
      </c>
      <c r="G551" s="112">
        <v>0</v>
      </c>
      <c r="H551" s="120">
        <v>0</v>
      </c>
      <c r="I551" s="120">
        <v>0</v>
      </c>
      <c r="J551" s="120">
        <v>0</v>
      </c>
      <c r="K551" s="112">
        <v>0</v>
      </c>
      <c r="L551" s="113"/>
      <c r="M551" s="113">
        <v>0</v>
      </c>
      <c r="N551" s="113"/>
      <c r="O551" s="113"/>
      <c r="P551" s="299">
        <f t="shared" si="41"/>
        <v>0</v>
      </c>
      <c r="Q551" s="299">
        <f t="shared" si="42"/>
        <v>0</v>
      </c>
      <c r="R551" s="299">
        <f t="shared" si="43"/>
        <v>0</v>
      </c>
      <c r="S551" s="112">
        <v>0</v>
      </c>
    </row>
    <row r="552" spans="1:19">
      <c r="A552" s="79"/>
      <c r="B552" s="77" t="s">
        <v>2211</v>
      </c>
      <c r="C552" s="76" t="s">
        <v>1877</v>
      </c>
      <c r="D552" s="143">
        <v>6</v>
      </c>
      <c r="E552" s="79"/>
      <c r="F552" s="113">
        <f t="shared" si="40"/>
        <v>6</v>
      </c>
      <c r="G552" s="112" t="s">
        <v>3455</v>
      </c>
      <c r="H552" s="120" t="s">
        <v>3360</v>
      </c>
      <c r="I552" s="120" t="s">
        <v>3479</v>
      </c>
      <c r="J552" s="120" t="s">
        <v>772</v>
      </c>
      <c r="K552" s="112">
        <v>135600</v>
      </c>
      <c r="L552" s="113"/>
      <c r="M552" s="113">
        <v>44900</v>
      </c>
      <c r="N552" s="113"/>
      <c r="O552" s="113"/>
      <c r="P552" s="299">
        <f t="shared" si="41"/>
        <v>180500</v>
      </c>
      <c r="Q552" s="299">
        <f t="shared" si="42"/>
        <v>1083000</v>
      </c>
      <c r="R552" s="299">
        <f t="shared" si="43"/>
        <v>1083000</v>
      </c>
      <c r="S552" s="112">
        <v>0</v>
      </c>
    </row>
    <row r="553" spans="1:19">
      <c r="A553" s="79"/>
      <c r="B553" s="77" t="s">
        <v>2212</v>
      </c>
      <c r="C553" s="76" t="s">
        <v>1877</v>
      </c>
      <c r="D553" s="143">
        <v>6</v>
      </c>
      <c r="E553" s="79"/>
      <c r="F553" s="113">
        <f t="shared" si="40"/>
        <v>6</v>
      </c>
      <c r="G553" s="112" t="s">
        <v>3454</v>
      </c>
      <c r="H553" s="120" t="s">
        <v>3360</v>
      </c>
      <c r="I553" s="120" t="s">
        <v>3479</v>
      </c>
      <c r="J553" s="120" t="s">
        <v>772</v>
      </c>
      <c r="K553" s="112">
        <v>168200</v>
      </c>
      <c r="L553" s="113"/>
      <c r="M553" s="113">
        <v>63100</v>
      </c>
      <c r="N553" s="113"/>
      <c r="O553" s="113"/>
      <c r="P553" s="299">
        <f t="shared" si="41"/>
        <v>231300</v>
      </c>
      <c r="Q553" s="299">
        <f t="shared" si="42"/>
        <v>1387800</v>
      </c>
      <c r="R553" s="299">
        <f t="shared" si="43"/>
        <v>1387800</v>
      </c>
      <c r="S553" s="112">
        <v>0</v>
      </c>
    </row>
    <row r="554" spans="1:19">
      <c r="A554" s="79"/>
      <c r="B554" s="77" t="s">
        <v>2215</v>
      </c>
      <c r="C554" s="76" t="s">
        <v>1877</v>
      </c>
      <c r="D554" s="143">
        <v>4</v>
      </c>
      <c r="E554" s="79"/>
      <c r="F554" s="113">
        <f t="shared" si="40"/>
        <v>4</v>
      </c>
      <c r="G554" s="112" t="s">
        <v>3452</v>
      </c>
      <c r="H554" s="120" t="s">
        <v>3360</v>
      </c>
      <c r="I554" s="120" t="s">
        <v>3479</v>
      </c>
      <c r="J554" s="120" t="s">
        <v>772</v>
      </c>
      <c r="K554" s="112">
        <v>248600</v>
      </c>
      <c r="L554" s="113"/>
      <c r="M554" s="113">
        <v>107900</v>
      </c>
      <c r="N554" s="113"/>
      <c r="O554" s="113"/>
      <c r="P554" s="299">
        <f t="shared" si="41"/>
        <v>356500</v>
      </c>
      <c r="Q554" s="299">
        <f t="shared" si="42"/>
        <v>1426000</v>
      </c>
      <c r="R554" s="299">
        <f t="shared" si="43"/>
        <v>1426000</v>
      </c>
      <c r="S554" s="112">
        <v>0</v>
      </c>
    </row>
    <row r="555" spans="1:19">
      <c r="A555" s="79"/>
      <c r="B555" s="77" t="s">
        <v>2219</v>
      </c>
      <c r="C555" s="76" t="s">
        <v>1877</v>
      </c>
      <c r="D555" s="143">
        <v>1</v>
      </c>
      <c r="E555" s="79"/>
      <c r="F555" s="113">
        <f t="shared" si="40"/>
        <v>1</v>
      </c>
      <c r="G555" s="112" t="s">
        <v>3449</v>
      </c>
      <c r="H555" s="120" t="s">
        <v>3360</v>
      </c>
      <c r="I555" s="120" t="s">
        <v>3479</v>
      </c>
      <c r="J555" s="120" t="s">
        <v>772</v>
      </c>
      <c r="K555" s="112">
        <v>432000</v>
      </c>
      <c r="L555" s="113"/>
      <c r="M555" s="113">
        <v>210100</v>
      </c>
      <c r="N555" s="113"/>
      <c r="O555" s="113"/>
      <c r="P555" s="299">
        <f t="shared" si="41"/>
        <v>642100</v>
      </c>
      <c r="Q555" s="299">
        <f t="shared" si="42"/>
        <v>642100</v>
      </c>
      <c r="R555" s="299">
        <f t="shared" si="43"/>
        <v>642100</v>
      </c>
      <c r="S555" s="112">
        <v>0</v>
      </c>
    </row>
    <row r="556" spans="1:19">
      <c r="A556" s="79"/>
      <c r="B556" s="77" t="s">
        <v>2223</v>
      </c>
      <c r="C556" s="76" t="s">
        <v>1877</v>
      </c>
      <c r="D556" s="143">
        <v>3</v>
      </c>
      <c r="E556" s="79"/>
      <c r="F556" s="113">
        <f t="shared" si="40"/>
        <v>3</v>
      </c>
      <c r="G556" s="112" t="s">
        <v>3446</v>
      </c>
      <c r="H556" s="120" t="s">
        <v>3193</v>
      </c>
      <c r="I556" s="120" t="s">
        <v>3479</v>
      </c>
      <c r="J556" s="120" t="s">
        <v>772</v>
      </c>
      <c r="K556" s="112">
        <v>691400</v>
      </c>
      <c r="L556" s="113"/>
      <c r="M556" s="113">
        <v>316200</v>
      </c>
      <c r="N556" s="113"/>
      <c r="O556" s="113"/>
      <c r="P556" s="299">
        <f t="shared" si="41"/>
        <v>1007600</v>
      </c>
      <c r="Q556" s="299">
        <f t="shared" si="42"/>
        <v>3022800</v>
      </c>
      <c r="R556" s="299">
        <f t="shared" si="43"/>
        <v>3022800</v>
      </c>
      <c r="S556" s="112">
        <v>0</v>
      </c>
    </row>
    <row r="557" spans="1:19">
      <c r="A557" s="79"/>
      <c r="B557" s="77" t="s">
        <v>2229</v>
      </c>
      <c r="C557" s="76" t="s">
        <v>1877</v>
      </c>
      <c r="D557" s="143">
        <v>1</v>
      </c>
      <c r="E557" s="79"/>
      <c r="F557" s="113">
        <f t="shared" si="40"/>
        <v>1</v>
      </c>
      <c r="G557" s="112" t="s">
        <v>3439</v>
      </c>
      <c r="H557" s="120" t="s">
        <v>3189</v>
      </c>
      <c r="I557" s="120" t="s">
        <v>3479</v>
      </c>
      <c r="J557" s="120" t="s">
        <v>772</v>
      </c>
      <c r="K557" s="112">
        <v>1676800</v>
      </c>
      <c r="L557" s="113"/>
      <c r="M557" s="113">
        <v>404500</v>
      </c>
      <c r="N557" s="113"/>
      <c r="O557" s="113"/>
      <c r="P557" s="299">
        <f t="shared" si="41"/>
        <v>2081300</v>
      </c>
      <c r="Q557" s="299">
        <f t="shared" si="42"/>
        <v>2081300</v>
      </c>
      <c r="R557" s="299">
        <f t="shared" si="43"/>
        <v>2081300</v>
      </c>
      <c r="S557" s="112">
        <v>0</v>
      </c>
    </row>
    <row r="558" spans="1:19" ht="30">
      <c r="A558" s="79"/>
      <c r="B558" s="77" t="s">
        <v>2230</v>
      </c>
      <c r="C558" s="76" t="s">
        <v>1877</v>
      </c>
      <c r="D558" s="143">
        <v>2</v>
      </c>
      <c r="E558" s="79"/>
      <c r="F558" s="113">
        <f t="shared" si="40"/>
        <v>2</v>
      </c>
      <c r="G558" s="112" t="s">
        <v>3504</v>
      </c>
      <c r="H558" s="120" t="s">
        <v>3189</v>
      </c>
      <c r="I558" s="120" t="s">
        <v>3479</v>
      </c>
      <c r="J558" s="120" t="s">
        <v>772</v>
      </c>
      <c r="K558" s="112">
        <v>1926300</v>
      </c>
      <c r="L558" s="113"/>
      <c r="M558" s="113">
        <v>420100</v>
      </c>
      <c r="N558" s="113"/>
      <c r="O558" s="113"/>
      <c r="P558" s="299">
        <f t="shared" si="41"/>
        <v>2346400</v>
      </c>
      <c r="Q558" s="299">
        <f t="shared" si="42"/>
        <v>4692800</v>
      </c>
      <c r="R558" s="299">
        <f t="shared" si="43"/>
        <v>4692800</v>
      </c>
      <c r="S558" s="112">
        <v>0</v>
      </c>
    </row>
    <row r="559" spans="1:19">
      <c r="A559" s="88"/>
      <c r="B559" s="87" t="s">
        <v>2216</v>
      </c>
      <c r="C559" s="88" t="s">
        <v>1877</v>
      </c>
      <c r="D559" s="147">
        <v>1</v>
      </c>
      <c r="E559" s="87"/>
      <c r="F559" s="113">
        <f t="shared" si="40"/>
        <v>1</v>
      </c>
      <c r="G559" s="112" t="s">
        <v>3503</v>
      </c>
      <c r="H559" s="120" t="s">
        <v>3360</v>
      </c>
      <c r="I559" s="120" t="s">
        <v>3479</v>
      </c>
      <c r="J559" s="120" t="s">
        <v>772</v>
      </c>
      <c r="K559" s="112">
        <v>296400</v>
      </c>
      <c r="L559" s="113"/>
      <c r="M559" s="113">
        <v>134500</v>
      </c>
      <c r="N559" s="113"/>
      <c r="O559" s="113"/>
      <c r="P559" s="299">
        <f t="shared" si="41"/>
        <v>430900</v>
      </c>
      <c r="Q559" s="299">
        <f t="shared" si="42"/>
        <v>430900</v>
      </c>
      <c r="R559" s="299">
        <f t="shared" si="43"/>
        <v>430900</v>
      </c>
      <c r="S559" s="112">
        <v>0</v>
      </c>
    </row>
    <row r="560" spans="1:19">
      <c r="A560" s="88"/>
      <c r="B560" s="87" t="s">
        <v>2218</v>
      </c>
      <c r="C560" s="88" t="s">
        <v>1877</v>
      </c>
      <c r="D560" s="147">
        <v>1</v>
      </c>
      <c r="E560" s="87"/>
      <c r="F560" s="113">
        <f t="shared" si="40"/>
        <v>1</v>
      </c>
      <c r="G560" s="112" t="s">
        <v>3502</v>
      </c>
      <c r="H560" s="120" t="s">
        <v>3360</v>
      </c>
      <c r="I560" s="120" t="s">
        <v>3479</v>
      </c>
      <c r="J560" s="120" t="s">
        <v>772</v>
      </c>
      <c r="K560" s="112">
        <v>406900</v>
      </c>
      <c r="L560" s="113"/>
      <c r="M560" s="113">
        <v>196100</v>
      </c>
      <c r="N560" s="113"/>
      <c r="O560" s="113"/>
      <c r="P560" s="299">
        <f t="shared" si="41"/>
        <v>603000</v>
      </c>
      <c r="Q560" s="299">
        <f t="shared" si="42"/>
        <v>603000</v>
      </c>
      <c r="R560" s="299">
        <f t="shared" si="43"/>
        <v>603000</v>
      </c>
      <c r="S560" s="112">
        <v>0</v>
      </c>
    </row>
    <row r="561" spans="1:19">
      <c r="A561" s="88"/>
      <c r="B561" s="87" t="s">
        <v>2224</v>
      </c>
      <c r="C561" s="88" t="s">
        <v>1877</v>
      </c>
      <c r="D561" s="147">
        <v>4</v>
      </c>
      <c r="E561" s="87"/>
      <c r="F561" s="113">
        <f t="shared" si="40"/>
        <v>4</v>
      </c>
      <c r="G561" s="112" t="s">
        <v>3501</v>
      </c>
      <c r="H561" s="120" t="s">
        <v>3193</v>
      </c>
      <c r="I561" s="120" t="s">
        <v>3479</v>
      </c>
      <c r="J561" s="120" t="s">
        <v>772</v>
      </c>
      <c r="K561" s="112">
        <v>762100</v>
      </c>
      <c r="L561" s="113"/>
      <c r="M561" s="113">
        <v>351400</v>
      </c>
      <c r="N561" s="113"/>
      <c r="O561" s="113"/>
      <c r="P561" s="299">
        <f t="shared" si="41"/>
        <v>1113500</v>
      </c>
      <c r="Q561" s="299">
        <f t="shared" si="42"/>
        <v>4454000</v>
      </c>
      <c r="R561" s="299">
        <f t="shared" si="43"/>
        <v>4454000</v>
      </c>
      <c r="S561" s="112">
        <v>0</v>
      </c>
    </row>
    <row r="562" spans="1:19">
      <c r="A562" s="88"/>
      <c r="B562" s="87" t="s">
        <v>2237</v>
      </c>
      <c r="C562" s="88" t="s">
        <v>1877</v>
      </c>
      <c r="D562" s="147">
        <v>1</v>
      </c>
      <c r="E562" s="87"/>
      <c r="F562" s="113">
        <f t="shared" si="40"/>
        <v>1</v>
      </c>
      <c r="G562" s="112" t="s">
        <v>3500</v>
      </c>
      <c r="H562" s="120" t="s">
        <v>3193</v>
      </c>
      <c r="I562" s="120" t="s">
        <v>3479</v>
      </c>
      <c r="J562" s="120" t="s">
        <v>772</v>
      </c>
      <c r="K562" s="112">
        <v>1206800</v>
      </c>
      <c r="L562" s="113"/>
      <c r="M562" s="113">
        <v>343000</v>
      </c>
      <c r="N562" s="113"/>
      <c r="O562" s="113"/>
      <c r="P562" s="299">
        <f t="shared" si="41"/>
        <v>1549800</v>
      </c>
      <c r="Q562" s="299">
        <f t="shared" si="42"/>
        <v>1549800</v>
      </c>
      <c r="R562" s="299">
        <f t="shared" si="43"/>
        <v>1549800</v>
      </c>
      <c r="S562" s="112">
        <v>0</v>
      </c>
    </row>
    <row r="563" spans="1:19" ht="30">
      <c r="A563" s="88"/>
      <c r="B563" s="87" t="s">
        <v>2233</v>
      </c>
      <c r="C563" s="88" t="s">
        <v>1877</v>
      </c>
      <c r="D563" s="147">
        <v>1</v>
      </c>
      <c r="E563" s="87"/>
      <c r="F563" s="113">
        <f t="shared" si="40"/>
        <v>1</v>
      </c>
      <c r="G563" s="112" t="s">
        <v>3499</v>
      </c>
      <c r="H563" s="120" t="s">
        <v>3205</v>
      </c>
      <c r="I563" s="120" t="s">
        <v>3479</v>
      </c>
      <c r="J563" s="120" t="s">
        <v>772</v>
      </c>
      <c r="K563" s="112">
        <v>8388600</v>
      </c>
      <c r="L563" s="113"/>
      <c r="M563" s="113">
        <v>838300</v>
      </c>
      <c r="N563" s="113"/>
      <c r="O563" s="113"/>
      <c r="P563" s="299">
        <f t="shared" si="41"/>
        <v>9226900</v>
      </c>
      <c r="Q563" s="299">
        <f t="shared" si="42"/>
        <v>9226900</v>
      </c>
      <c r="R563" s="299">
        <f t="shared" si="43"/>
        <v>9226900</v>
      </c>
      <c r="S563" s="112">
        <v>0</v>
      </c>
    </row>
    <row r="564" spans="1:19">
      <c r="A564" s="79" t="s">
        <v>2238</v>
      </c>
      <c r="B564" s="80" t="s">
        <v>2182</v>
      </c>
      <c r="C564" s="79"/>
      <c r="D564" s="143"/>
      <c r="E564" s="79"/>
      <c r="F564" s="113">
        <f t="shared" si="40"/>
        <v>0</v>
      </c>
      <c r="G564" s="112">
        <v>0</v>
      </c>
      <c r="H564" s="120">
        <v>0</v>
      </c>
      <c r="I564" s="120">
        <v>0</v>
      </c>
      <c r="J564" s="120">
        <v>0</v>
      </c>
      <c r="K564" s="112">
        <v>0</v>
      </c>
      <c r="L564" s="113"/>
      <c r="M564" s="113">
        <v>0</v>
      </c>
      <c r="N564" s="113"/>
      <c r="O564" s="113"/>
      <c r="P564" s="299">
        <f t="shared" si="41"/>
        <v>0</v>
      </c>
      <c r="Q564" s="299">
        <f t="shared" si="42"/>
        <v>0</v>
      </c>
      <c r="R564" s="299">
        <f t="shared" si="43"/>
        <v>0</v>
      </c>
      <c r="S564" s="112">
        <v>0</v>
      </c>
    </row>
    <row r="565" spans="1:19" ht="30">
      <c r="A565" s="79"/>
      <c r="B565" s="77" t="s">
        <v>2239</v>
      </c>
      <c r="C565" s="76" t="s">
        <v>1877</v>
      </c>
      <c r="D565" s="143">
        <v>2</v>
      </c>
      <c r="E565" s="79"/>
      <c r="F565" s="113">
        <f t="shared" si="40"/>
        <v>2</v>
      </c>
      <c r="G565" s="112" t="s">
        <v>3416</v>
      </c>
      <c r="H565" s="120" t="s">
        <v>3360</v>
      </c>
      <c r="I565" s="120" t="s">
        <v>3479</v>
      </c>
      <c r="J565" s="120" t="s">
        <v>772</v>
      </c>
      <c r="K565" s="112">
        <v>82400</v>
      </c>
      <c r="L565" s="113"/>
      <c r="M565" s="113">
        <v>22900</v>
      </c>
      <c r="N565" s="113"/>
      <c r="O565" s="113"/>
      <c r="P565" s="299">
        <f t="shared" si="41"/>
        <v>105300</v>
      </c>
      <c r="Q565" s="299">
        <f t="shared" si="42"/>
        <v>210600</v>
      </c>
      <c r="R565" s="299">
        <f t="shared" si="43"/>
        <v>210600</v>
      </c>
      <c r="S565" s="112">
        <v>0</v>
      </c>
    </row>
    <row r="566" spans="1:19" ht="30">
      <c r="A566" s="79"/>
      <c r="B566" s="77" t="s">
        <v>2240</v>
      </c>
      <c r="C566" s="76" t="s">
        <v>1877</v>
      </c>
      <c r="D566" s="143">
        <v>1</v>
      </c>
      <c r="E566" s="79"/>
      <c r="F566" s="113">
        <f t="shared" si="40"/>
        <v>1</v>
      </c>
      <c r="G566" s="112" t="s">
        <v>3354</v>
      </c>
      <c r="H566" s="120" t="s">
        <v>3360</v>
      </c>
      <c r="I566" s="120" t="s">
        <v>3479</v>
      </c>
      <c r="J566" s="120" t="s">
        <v>772</v>
      </c>
      <c r="K566" s="112">
        <v>86200</v>
      </c>
      <c r="L566" s="113"/>
      <c r="M566" s="113">
        <v>24700</v>
      </c>
      <c r="N566" s="113"/>
      <c r="O566" s="113"/>
      <c r="P566" s="299">
        <f t="shared" si="41"/>
        <v>110900</v>
      </c>
      <c r="Q566" s="299">
        <f t="shared" si="42"/>
        <v>110900</v>
      </c>
      <c r="R566" s="299">
        <f t="shared" si="43"/>
        <v>110900</v>
      </c>
      <c r="S566" s="112">
        <v>0</v>
      </c>
    </row>
    <row r="567" spans="1:19" ht="30">
      <c r="A567" s="76"/>
      <c r="B567" s="77" t="s">
        <v>2241</v>
      </c>
      <c r="C567" s="76" t="s">
        <v>1877</v>
      </c>
      <c r="D567" s="143">
        <v>2</v>
      </c>
      <c r="E567" s="76"/>
      <c r="F567" s="113">
        <f t="shared" si="40"/>
        <v>2</v>
      </c>
      <c r="G567" s="112" t="s">
        <v>3498</v>
      </c>
      <c r="H567" s="120" t="s">
        <v>3360</v>
      </c>
      <c r="I567" s="120" t="s">
        <v>3479</v>
      </c>
      <c r="J567" s="120" t="s">
        <v>772</v>
      </c>
      <c r="K567" s="112">
        <v>95400</v>
      </c>
      <c r="L567" s="113"/>
      <c r="M567" s="113">
        <v>29000</v>
      </c>
      <c r="N567" s="113"/>
      <c r="O567" s="113"/>
      <c r="P567" s="299">
        <f t="shared" si="41"/>
        <v>124400</v>
      </c>
      <c r="Q567" s="299">
        <f t="shared" si="42"/>
        <v>248800</v>
      </c>
      <c r="R567" s="299">
        <f t="shared" si="43"/>
        <v>248800</v>
      </c>
      <c r="S567" s="112">
        <v>0</v>
      </c>
    </row>
    <row r="568" spans="1:19" ht="30">
      <c r="A568" s="76"/>
      <c r="B568" s="77" t="s">
        <v>2242</v>
      </c>
      <c r="C568" s="76" t="s">
        <v>1877</v>
      </c>
      <c r="D568" s="143">
        <v>3</v>
      </c>
      <c r="E568" s="76"/>
      <c r="F568" s="113">
        <f t="shared" si="40"/>
        <v>3</v>
      </c>
      <c r="G568" s="112" t="s">
        <v>3497</v>
      </c>
      <c r="H568" s="120" t="s">
        <v>3360</v>
      </c>
      <c r="I568" s="120" t="s">
        <v>3479</v>
      </c>
      <c r="J568" s="120" t="s">
        <v>772</v>
      </c>
      <c r="K568" s="112">
        <v>97700</v>
      </c>
      <c r="L568" s="113"/>
      <c r="M568" s="113">
        <v>30100</v>
      </c>
      <c r="N568" s="113"/>
      <c r="O568" s="113"/>
      <c r="P568" s="299">
        <f t="shared" si="41"/>
        <v>127800</v>
      </c>
      <c r="Q568" s="299">
        <f t="shared" si="42"/>
        <v>383400</v>
      </c>
      <c r="R568" s="299">
        <f t="shared" si="43"/>
        <v>383400</v>
      </c>
      <c r="S568" s="112">
        <v>0</v>
      </c>
    </row>
    <row r="569" spans="1:19" ht="30">
      <c r="A569" s="76"/>
      <c r="B569" s="77" t="s">
        <v>2243</v>
      </c>
      <c r="C569" s="76" t="s">
        <v>1877</v>
      </c>
      <c r="D569" s="143">
        <v>1</v>
      </c>
      <c r="E569" s="76"/>
      <c r="F569" s="113">
        <f t="shared" si="40"/>
        <v>1</v>
      </c>
      <c r="G569" s="112" t="s">
        <v>3421</v>
      </c>
      <c r="H569" s="120" t="s">
        <v>3193</v>
      </c>
      <c r="I569" s="120" t="s">
        <v>3479</v>
      </c>
      <c r="J569" s="120" t="s">
        <v>772</v>
      </c>
      <c r="K569" s="112">
        <v>149300</v>
      </c>
      <c r="L569" s="113"/>
      <c r="M569" s="113">
        <v>48200</v>
      </c>
      <c r="N569" s="113"/>
      <c r="O569" s="113"/>
      <c r="P569" s="299">
        <f t="shared" si="41"/>
        <v>197500</v>
      </c>
      <c r="Q569" s="299">
        <f t="shared" si="42"/>
        <v>197500</v>
      </c>
      <c r="R569" s="299">
        <f t="shared" si="43"/>
        <v>197500</v>
      </c>
      <c r="S569" s="112">
        <v>0</v>
      </c>
    </row>
    <row r="570" spans="1:19" ht="30">
      <c r="A570" s="76"/>
      <c r="B570" s="77" t="s">
        <v>2244</v>
      </c>
      <c r="C570" s="76" t="s">
        <v>1877</v>
      </c>
      <c r="D570" s="143">
        <v>1</v>
      </c>
      <c r="E570" s="76"/>
      <c r="F570" s="113">
        <f t="shared" si="40"/>
        <v>1</v>
      </c>
      <c r="G570" s="112" t="s">
        <v>3496</v>
      </c>
      <c r="H570" s="120" t="s">
        <v>3193</v>
      </c>
      <c r="I570" s="120" t="s">
        <v>3479</v>
      </c>
      <c r="J570" s="120" t="s">
        <v>772</v>
      </c>
      <c r="K570" s="112">
        <v>159900</v>
      </c>
      <c r="L570" s="113"/>
      <c r="M570" s="113">
        <v>52500</v>
      </c>
      <c r="N570" s="113"/>
      <c r="O570" s="113"/>
      <c r="P570" s="299">
        <f t="shared" si="41"/>
        <v>212400</v>
      </c>
      <c r="Q570" s="299">
        <f t="shared" si="42"/>
        <v>212400</v>
      </c>
      <c r="R570" s="299">
        <f t="shared" si="43"/>
        <v>212400</v>
      </c>
      <c r="S570" s="112">
        <v>0</v>
      </c>
    </row>
    <row r="571" spans="1:19" ht="30">
      <c r="A571" s="76"/>
      <c r="B571" s="77" t="s">
        <v>2245</v>
      </c>
      <c r="C571" s="76" t="s">
        <v>1877</v>
      </c>
      <c r="D571" s="143">
        <v>1</v>
      </c>
      <c r="E571" s="76"/>
      <c r="F571" s="113">
        <f t="shared" si="40"/>
        <v>1</v>
      </c>
      <c r="G571" s="112" t="s">
        <v>3495</v>
      </c>
      <c r="H571" s="120" t="s">
        <v>3189</v>
      </c>
      <c r="I571" s="120" t="s">
        <v>3479</v>
      </c>
      <c r="J571" s="120" t="s">
        <v>772</v>
      </c>
      <c r="K571" s="112">
        <v>261600</v>
      </c>
      <c r="L571" s="113"/>
      <c r="M571" s="113">
        <v>84000</v>
      </c>
      <c r="N571" s="113"/>
      <c r="O571" s="113"/>
      <c r="P571" s="299">
        <f t="shared" si="41"/>
        <v>345600</v>
      </c>
      <c r="Q571" s="299">
        <f t="shared" si="42"/>
        <v>345600</v>
      </c>
      <c r="R571" s="299">
        <f t="shared" si="43"/>
        <v>345600</v>
      </c>
      <c r="S571" s="112">
        <v>0</v>
      </c>
    </row>
    <row r="572" spans="1:19" ht="30">
      <c r="A572" s="76"/>
      <c r="B572" s="77" t="s">
        <v>2246</v>
      </c>
      <c r="C572" s="76" t="s">
        <v>1877</v>
      </c>
      <c r="D572" s="143">
        <v>1</v>
      </c>
      <c r="E572" s="76"/>
      <c r="F572" s="113">
        <f t="shared" si="40"/>
        <v>1</v>
      </c>
      <c r="G572" s="112" t="s">
        <v>3494</v>
      </c>
      <c r="H572" s="120" t="s">
        <v>3189</v>
      </c>
      <c r="I572" s="120" t="s">
        <v>3479</v>
      </c>
      <c r="J572" s="120" t="s">
        <v>772</v>
      </c>
      <c r="K572" s="112">
        <v>273600</v>
      </c>
      <c r="L572" s="113"/>
      <c r="M572" s="113">
        <v>88400</v>
      </c>
      <c r="N572" s="113"/>
      <c r="O572" s="113"/>
      <c r="P572" s="299">
        <f t="shared" si="41"/>
        <v>362000</v>
      </c>
      <c r="Q572" s="299">
        <f t="shared" si="42"/>
        <v>362000</v>
      </c>
      <c r="R572" s="299">
        <f t="shared" si="43"/>
        <v>362000</v>
      </c>
      <c r="S572" s="112">
        <v>0</v>
      </c>
    </row>
    <row r="573" spans="1:19" ht="30">
      <c r="A573" s="76"/>
      <c r="B573" s="77" t="s">
        <v>2247</v>
      </c>
      <c r="C573" s="76" t="s">
        <v>1877</v>
      </c>
      <c r="D573" s="143">
        <v>1</v>
      </c>
      <c r="E573" s="76"/>
      <c r="F573" s="113">
        <f t="shared" si="40"/>
        <v>1</v>
      </c>
      <c r="G573" s="112" t="s">
        <v>3493</v>
      </c>
      <c r="H573" s="120" t="s">
        <v>3189</v>
      </c>
      <c r="I573" s="120" t="s">
        <v>3479</v>
      </c>
      <c r="J573" s="120" t="s">
        <v>772</v>
      </c>
      <c r="K573" s="112">
        <v>434600</v>
      </c>
      <c r="L573" s="113"/>
      <c r="M573" s="113">
        <v>147500</v>
      </c>
      <c r="N573" s="113"/>
      <c r="O573" s="113"/>
      <c r="P573" s="299">
        <f t="shared" si="41"/>
        <v>582100</v>
      </c>
      <c r="Q573" s="299">
        <f t="shared" si="42"/>
        <v>582100</v>
      </c>
      <c r="R573" s="299">
        <f t="shared" si="43"/>
        <v>582100</v>
      </c>
      <c r="S573" s="112">
        <v>0</v>
      </c>
    </row>
    <row r="574" spans="1:19" ht="30">
      <c r="A574" s="76"/>
      <c r="B574" s="77" t="s">
        <v>2248</v>
      </c>
      <c r="C574" s="76" t="s">
        <v>1877</v>
      </c>
      <c r="D574" s="143">
        <v>1</v>
      </c>
      <c r="E574" s="76"/>
      <c r="F574" s="113">
        <f t="shared" si="40"/>
        <v>1</v>
      </c>
      <c r="G574" s="112" t="s">
        <v>3492</v>
      </c>
      <c r="H574" s="120" t="s">
        <v>3205</v>
      </c>
      <c r="I574" s="120" t="s">
        <v>3479</v>
      </c>
      <c r="J574" s="120" t="s">
        <v>772</v>
      </c>
      <c r="K574" s="112">
        <v>566000</v>
      </c>
      <c r="L574" s="113"/>
      <c r="M574" s="113">
        <v>210500</v>
      </c>
      <c r="N574" s="113"/>
      <c r="O574" s="113"/>
      <c r="P574" s="299">
        <f t="shared" si="41"/>
        <v>776500</v>
      </c>
      <c r="Q574" s="299">
        <f t="shared" si="42"/>
        <v>776500</v>
      </c>
      <c r="R574" s="299">
        <f t="shared" si="43"/>
        <v>776500</v>
      </c>
      <c r="S574" s="112">
        <v>0</v>
      </c>
    </row>
    <row r="575" spans="1:19">
      <c r="A575" s="79" t="s">
        <v>2249</v>
      </c>
      <c r="B575" s="80" t="s">
        <v>2250</v>
      </c>
      <c r="C575" s="79"/>
      <c r="D575" s="143"/>
      <c r="E575" s="79"/>
      <c r="F575" s="113">
        <f t="shared" si="40"/>
        <v>0</v>
      </c>
      <c r="G575" s="112">
        <v>0</v>
      </c>
      <c r="H575" s="120">
        <v>0</v>
      </c>
      <c r="I575" s="120">
        <v>0</v>
      </c>
      <c r="J575" s="120">
        <v>0</v>
      </c>
      <c r="K575" s="112">
        <v>0</v>
      </c>
      <c r="L575" s="113"/>
      <c r="M575" s="113">
        <v>0</v>
      </c>
      <c r="N575" s="113"/>
      <c r="O575" s="113"/>
      <c r="P575" s="299">
        <f t="shared" si="41"/>
        <v>0</v>
      </c>
      <c r="Q575" s="299">
        <f t="shared" si="42"/>
        <v>0</v>
      </c>
      <c r="R575" s="299">
        <f t="shared" si="43"/>
        <v>0</v>
      </c>
      <c r="S575" s="112">
        <v>0</v>
      </c>
    </row>
    <row r="576" spans="1:19" ht="45">
      <c r="A576" s="79"/>
      <c r="B576" s="77" t="s">
        <v>2251</v>
      </c>
      <c r="C576" s="76" t="s">
        <v>1877</v>
      </c>
      <c r="D576" s="143">
        <v>1</v>
      </c>
      <c r="E576" s="79"/>
      <c r="F576" s="113">
        <f t="shared" si="40"/>
        <v>1</v>
      </c>
      <c r="G576" s="112" t="s">
        <v>3491</v>
      </c>
      <c r="H576" s="120" t="s">
        <v>3360</v>
      </c>
      <c r="I576" s="120" t="s">
        <v>3479</v>
      </c>
      <c r="J576" s="120" t="s">
        <v>772</v>
      </c>
      <c r="K576" s="112">
        <v>180300</v>
      </c>
      <c r="L576" s="113"/>
      <c r="M576" s="113">
        <v>69800</v>
      </c>
      <c r="N576" s="113"/>
      <c r="O576" s="113"/>
      <c r="P576" s="299">
        <f t="shared" si="41"/>
        <v>250100</v>
      </c>
      <c r="Q576" s="299">
        <f t="shared" si="42"/>
        <v>250100</v>
      </c>
      <c r="R576" s="299">
        <f t="shared" si="43"/>
        <v>250100</v>
      </c>
      <c r="S576" s="112">
        <v>0</v>
      </c>
    </row>
    <row r="577" spans="1:19" ht="45">
      <c r="A577" s="79"/>
      <c r="B577" s="77" t="s">
        <v>2252</v>
      </c>
      <c r="C577" s="76" t="s">
        <v>1877</v>
      </c>
      <c r="D577" s="143">
        <v>10</v>
      </c>
      <c r="E577" s="79"/>
      <c r="F577" s="113">
        <f t="shared" si="40"/>
        <v>10</v>
      </c>
      <c r="G577" s="112" t="s">
        <v>3490</v>
      </c>
      <c r="H577" s="120" t="s">
        <v>3360</v>
      </c>
      <c r="I577" s="120" t="s">
        <v>3479</v>
      </c>
      <c r="J577" s="120" t="s">
        <v>772</v>
      </c>
      <c r="K577" s="112">
        <v>227600</v>
      </c>
      <c r="L577" s="113"/>
      <c r="M577" s="113">
        <v>96100</v>
      </c>
      <c r="N577" s="113"/>
      <c r="O577" s="113"/>
      <c r="P577" s="299">
        <f t="shared" si="41"/>
        <v>323700</v>
      </c>
      <c r="Q577" s="299">
        <f t="shared" si="42"/>
        <v>3237000</v>
      </c>
      <c r="R577" s="299">
        <f t="shared" si="43"/>
        <v>3237000</v>
      </c>
      <c r="S577" s="112">
        <v>0</v>
      </c>
    </row>
    <row r="578" spans="1:19" ht="45">
      <c r="A578" s="79"/>
      <c r="B578" s="77" t="s">
        <v>2253</v>
      </c>
      <c r="C578" s="76" t="s">
        <v>1877</v>
      </c>
      <c r="D578" s="143">
        <v>1</v>
      </c>
      <c r="E578" s="79"/>
      <c r="F578" s="113">
        <f t="shared" si="40"/>
        <v>1</v>
      </c>
      <c r="G578" s="112" t="s">
        <v>3489</v>
      </c>
      <c r="H578" s="120" t="s">
        <v>3360</v>
      </c>
      <c r="I578" s="120" t="s">
        <v>3479</v>
      </c>
      <c r="J578" s="120" t="s">
        <v>772</v>
      </c>
      <c r="K578" s="112">
        <v>270900</v>
      </c>
      <c r="L578" s="113"/>
      <c r="M578" s="113">
        <v>120300</v>
      </c>
      <c r="N578" s="113"/>
      <c r="O578" s="113"/>
      <c r="P578" s="299">
        <f t="shared" si="41"/>
        <v>391200</v>
      </c>
      <c r="Q578" s="299">
        <f t="shared" si="42"/>
        <v>391200</v>
      </c>
      <c r="R578" s="299">
        <f t="shared" si="43"/>
        <v>391200</v>
      </c>
      <c r="S578" s="112">
        <v>0</v>
      </c>
    </row>
    <row r="579" spans="1:19" ht="45">
      <c r="A579" s="79"/>
      <c r="B579" s="77" t="s">
        <v>2254</v>
      </c>
      <c r="C579" s="76" t="s">
        <v>1877</v>
      </c>
      <c r="D579" s="143">
        <v>1</v>
      </c>
      <c r="E579" s="79"/>
      <c r="F579" s="113">
        <f t="shared" si="40"/>
        <v>1</v>
      </c>
      <c r="G579" s="112" t="s">
        <v>3488</v>
      </c>
      <c r="H579" s="120" t="s">
        <v>3193</v>
      </c>
      <c r="I579" s="120" t="s">
        <v>3479</v>
      </c>
      <c r="J579" s="120" t="s">
        <v>772</v>
      </c>
      <c r="K579" s="112">
        <v>908900</v>
      </c>
      <c r="L579" s="113"/>
      <c r="M579" s="113">
        <v>424400</v>
      </c>
      <c r="N579" s="113"/>
      <c r="O579" s="113"/>
      <c r="P579" s="299">
        <f t="shared" si="41"/>
        <v>1333300</v>
      </c>
      <c r="Q579" s="299">
        <f t="shared" si="42"/>
        <v>1333300</v>
      </c>
      <c r="R579" s="299">
        <f t="shared" si="43"/>
        <v>1333300</v>
      </c>
      <c r="S579" s="112">
        <v>0</v>
      </c>
    </row>
    <row r="580" spans="1:19" ht="45">
      <c r="A580" s="79"/>
      <c r="B580" s="77" t="s">
        <v>2255</v>
      </c>
      <c r="C580" s="76" t="s">
        <v>1877</v>
      </c>
      <c r="D580" s="143">
        <v>1</v>
      </c>
      <c r="E580" s="79"/>
      <c r="F580" s="113">
        <f t="shared" si="40"/>
        <v>1</v>
      </c>
      <c r="G580" s="112" t="s">
        <v>3487</v>
      </c>
      <c r="H580" s="120" t="s">
        <v>3193</v>
      </c>
      <c r="I580" s="120" t="s">
        <v>3479</v>
      </c>
      <c r="J580" s="120" t="s">
        <v>772</v>
      </c>
      <c r="K580" s="112">
        <v>1232900</v>
      </c>
      <c r="L580" s="113"/>
      <c r="M580" s="113">
        <v>610700</v>
      </c>
      <c r="N580" s="113"/>
      <c r="O580" s="113"/>
      <c r="P580" s="299">
        <f t="shared" si="41"/>
        <v>1843600</v>
      </c>
      <c r="Q580" s="299">
        <f t="shared" si="42"/>
        <v>1843600</v>
      </c>
      <c r="R580" s="299">
        <f t="shared" si="43"/>
        <v>1843600</v>
      </c>
      <c r="S580" s="112">
        <v>0</v>
      </c>
    </row>
    <row r="581" spans="1:19" ht="45">
      <c r="A581" s="79"/>
      <c r="B581" s="77" t="s">
        <v>2256</v>
      </c>
      <c r="C581" s="76" t="s">
        <v>1877</v>
      </c>
      <c r="D581" s="143">
        <v>1</v>
      </c>
      <c r="E581" s="79"/>
      <c r="F581" s="113">
        <f t="shared" si="40"/>
        <v>1</v>
      </c>
      <c r="G581" s="112" t="s">
        <v>3486</v>
      </c>
      <c r="H581" s="120" t="s">
        <v>3193</v>
      </c>
      <c r="I581" s="120" t="s">
        <v>3479</v>
      </c>
      <c r="J581" s="120" t="s">
        <v>772</v>
      </c>
      <c r="K581" s="112">
        <v>1874800</v>
      </c>
      <c r="L581" s="113"/>
      <c r="M581" s="113">
        <v>943600</v>
      </c>
      <c r="N581" s="113"/>
      <c r="O581" s="113"/>
      <c r="P581" s="299">
        <f t="shared" si="41"/>
        <v>2818400</v>
      </c>
      <c r="Q581" s="299">
        <f t="shared" si="42"/>
        <v>2818400</v>
      </c>
      <c r="R581" s="299">
        <f t="shared" si="43"/>
        <v>2818400</v>
      </c>
      <c r="S581" s="112">
        <v>0</v>
      </c>
    </row>
    <row r="582" spans="1:19" ht="45">
      <c r="A582" s="79"/>
      <c r="B582" s="77" t="s">
        <v>2257</v>
      </c>
      <c r="C582" s="76" t="s">
        <v>1877</v>
      </c>
      <c r="D582" s="143">
        <v>1</v>
      </c>
      <c r="E582" s="79"/>
      <c r="F582" s="113">
        <f t="shared" si="40"/>
        <v>1</v>
      </c>
      <c r="G582" s="112" t="s">
        <v>3485</v>
      </c>
      <c r="H582" s="120" t="s">
        <v>3193</v>
      </c>
      <c r="I582" s="120" t="s">
        <v>3479</v>
      </c>
      <c r="J582" s="120" t="s">
        <v>772</v>
      </c>
      <c r="K582" s="112">
        <v>1591900</v>
      </c>
      <c r="L582" s="113"/>
      <c r="M582" s="113">
        <v>796800</v>
      </c>
      <c r="N582" s="113"/>
      <c r="O582" s="113"/>
      <c r="P582" s="299">
        <f t="shared" si="41"/>
        <v>2388700</v>
      </c>
      <c r="Q582" s="299">
        <f t="shared" si="42"/>
        <v>2388700</v>
      </c>
      <c r="R582" s="299">
        <f t="shared" si="43"/>
        <v>2388700</v>
      </c>
      <c r="S582" s="112">
        <v>0</v>
      </c>
    </row>
    <row r="583" spans="1:19">
      <c r="A583" s="79">
        <v>2.5</v>
      </c>
      <c r="B583" s="80" t="s">
        <v>2258</v>
      </c>
      <c r="C583" s="79"/>
      <c r="D583" s="143"/>
      <c r="E583" s="79"/>
      <c r="F583" s="113">
        <f t="shared" si="40"/>
        <v>0</v>
      </c>
      <c r="G583" s="112">
        <v>0</v>
      </c>
      <c r="H583" s="120">
        <v>0</v>
      </c>
      <c r="I583" s="120">
        <v>0</v>
      </c>
      <c r="J583" s="120">
        <v>0</v>
      </c>
      <c r="K583" s="112">
        <v>0</v>
      </c>
      <c r="L583" s="113"/>
      <c r="M583" s="113">
        <v>0</v>
      </c>
      <c r="N583" s="113"/>
      <c r="O583" s="113"/>
      <c r="P583" s="299">
        <f t="shared" si="41"/>
        <v>0</v>
      </c>
      <c r="Q583" s="299">
        <f t="shared" si="42"/>
        <v>0</v>
      </c>
      <c r="R583" s="299">
        <f t="shared" si="43"/>
        <v>0</v>
      </c>
      <c r="S583" s="112">
        <v>0</v>
      </c>
    </row>
    <row r="584" spans="1:19" ht="30">
      <c r="A584" s="76"/>
      <c r="B584" s="77" t="s">
        <v>2259</v>
      </c>
      <c r="C584" s="76" t="s">
        <v>7</v>
      </c>
      <c r="D584" s="143">
        <v>176</v>
      </c>
      <c r="E584" s="76"/>
      <c r="F584" s="113">
        <f t="shared" ref="F584:F647" si="44">D584</f>
        <v>176</v>
      </c>
      <c r="G584" s="112" t="s">
        <v>3337</v>
      </c>
      <c r="H584" s="120">
        <v>0</v>
      </c>
      <c r="I584" s="120" t="s">
        <v>3333</v>
      </c>
      <c r="J584" s="120" t="s">
        <v>772</v>
      </c>
      <c r="K584" s="112">
        <v>11400</v>
      </c>
      <c r="L584" s="113"/>
      <c r="M584" s="113">
        <v>30300</v>
      </c>
      <c r="N584" s="113"/>
      <c r="O584" s="113"/>
      <c r="P584" s="299">
        <f t="shared" ref="P584:P647" si="45">K584+L584+M584+N584+O584</f>
        <v>41700</v>
      </c>
      <c r="Q584" s="299">
        <f t="shared" ref="Q584:Q647" si="46">+P584*D584</f>
        <v>7339200</v>
      </c>
      <c r="R584" s="299">
        <f t="shared" ref="R584:R647" si="47">+P584*F584</f>
        <v>7339200</v>
      </c>
      <c r="S584" s="112">
        <v>0</v>
      </c>
    </row>
    <row r="585" spans="1:19" ht="30">
      <c r="A585" s="76"/>
      <c r="B585" s="77" t="s">
        <v>2260</v>
      </c>
      <c r="C585" s="76" t="s">
        <v>7</v>
      </c>
      <c r="D585" s="143">
        <v>35</v>
      </c>
      <c r="E585" s="76"/>
      <c r="F585" s="113">
        <f t="shared" si="44"/>
        <v>35</v>
      </c>
      <c r="G585" s="112" t="s">
        <v>3338</v>
      </c>
      <c r="H585" s="120">
        <v>0</v>
      </c>
      <c r="I585" s="120" t="s">
        <v>3333</v>
      </c>
      <c r="J585" s="120" t="s">
        <v>772</v>
      </c>
      <c r="K585" s="112">
        <v>8700</v>
      </c>
      <c r="L585" s="113"/>
      <c r="M585" s="113">
        <v>30300</v>
      </c>
      <c r="N585" s="113"/>
      <c r="O585" s="113"/>
      <c r="P585" s="299">
        <f t="shared" si="45"/>
        <v>39000</v>
      </c>
      <c r="Q585" s="299">
        <f t="shared" si="46"/>
        <v>1365000</v>
      </c>
      <c r="R585" s="299">
        <f t="shared" si="47"/>
        <v>1365000</v>
      </c>
      <c r="S585" s="112">
        <v>0</v>
      </c>
    </row>
    <row r="586" spans="1:19">
      <c r="A586" s="79">
        <v>2.6</v>
      </c>
      <c r="B586" s="80" t="s">
        <v>2261</v>
      </c>
      <c r="C586" s="79"/>
      <c r="D586" s="143"/>
      <c r="E586" s="79"/>
      <c r="F586" s="113">
        <f t="shared" si="44"/>
        <v>0</v>
      </c>
      <c r="G586" s="112">
        <v>0</v>
      </c>
      <c r="H586" s="120">
        <v>0</v>
      </c>
      <c r="I586" s="120">
        <v>0</v>
      </c>
      <c r="J586" s="120">
        <v>0</v>
      </c>
      <c r="K586" s="112">
        <v>0</v>
      </c>
      <c r="L586" s="113"/>
      <c r="M586" s="113">
        <v>0</v>
      </c>
      <c r="N586" s="113"/>
      <c r="O586" s="113"/>
      <c r="P586" s="299">
        <f t="shared" si="45"/>
        <v>0</v>
      </c>
      <c r="Q586" s="299">
        <f t="shared" si="46"/>
        <v>0</v>
      </c>
      <c r="R586" s="299">
        <f t="shared" si="47"/>
        <v>0</v>
      </c>
      <c r="S586" s="112">
        <v>0</v>
      </c>
    </row>
    <row r="587" spans="1:19" ht="60">
      <c r="A587" s="79"/>
      <c r="B587" s="77" t="s">
        <v>2262</v>
      </c>
      <c r="C587" s="76" t="s">
        <v>1877</v>
      </c>
      <c r="D587" s="143">
        <v>92</v>
      </c>
      <c r="E587" s="79"/>
      <c r="F587" s="113">
        <f t="shared" si="44"/>
        <v>92</v>
      </c>
      <c r="G587" s="112" t="s">
        <v>3655</v>
      </c>
      <c r="H587" s="120" t="s">
        <v>3343</v>
      </c>
      <c r="I587" s="120" t="s">
        <v>3190</v>
      </c>
      <c r="J587" s="120" t="s">
        <v>772</v>
      </c>
      <c r="K587" s="112">
        <v>409500</v>
      </c>
      <c r="L587" s="113"/>
      <c r="M587" s="113">
        <v>206600</v>
      </c>
      <c r="N587" s="113"/>
      <c r="O587" s="113"/>
      <c r="P587" s="299">
        <f t="shared" si="45"/>
        <v>616100</v>
      </c>
      <c r="Q587" s="299">
        <f t="shared" si="46"/>
        <v>56681200</v>
      </c>
      <c r="R587" s="299">
        <f t="shared" si="47"/>
        <v>56681200</v>
      </c>
      <c r="S587" s="112">
        <v>0</v>
      </c>
    </row>
    <row r="588" spans="1:19" ht="60">
      <c r="A588" s="76"/>
      <c r="B588" s="77" t="s">
        <v>2263</v>
      </c>
      <c r="C588" s="76" t="s">
        <v>1877</v>
      </c>
      <c r="D588" s="143">
        <v>95</v>
      </c>
      <c r="E588" s="76"/>
      <c r="F588" s="113">
        <f t="shared" si="44"/>
        <v>95</v>
      </c>
      <c r="G588" s="112" t="s">
        <v>3654</v>
      </c>
      <c r="H588" s="120" t="s">
        <v>3343</v>
      </c>
      <c r="I588" s="120" t="s">
        <v>3190</v>
      </c>
      <c r="J588" s="120" t="s">
        <v>772</v>
      </c>
      <c r="K588" s="112">
        <v>459200</v>
      </c>
      <c r="L588" s="113"/>
      <c r="M588" s="113">
        <v>226200</v>
      </c>
      <c r="N588" s="113"/>
      <c r="O588" s="113"/>
      <c r="P588" s="299">
        <f t="shared" si="45"/>
        <v>685400</v>
      </c>
      <c r="Q588" s="299">
        <f t="shared" si="46"/>
        <v>65113000</v>
      </c>
      <c r="R588" s="299">
        <f t="shared" si="47"/>
        <v>65113000</v>
      </c>
      <c r="S588" s="112">
        <v>0</v>
      </c>
    </row>
    <row r="589" spans="1:19" ht="60">
      <c r="A589" s="76"/>
      <c r="B589" s="77" t="s">
        <v>2264</v>
      </c>
      <c r="C589" s="76" t="s">
        <v>1877</v>
      </c>
      <c r="D589" s="143">
        <v>2</v>
      </c>
      <c r="E589" s="76"/>
      <c r="F589" s="113">
        <f t="shared" si="44"/>
        <v>2</v>
      </c>
      <c r="G589" s="112" t="s">
        <v>3653</v>
      </c>
      <c r="H589" s="120" t="s">
        <v>3343</v>
      </c>
      <c r="I589" s="120" t="s">
        <v>3190</v>
      </c>
      <c r="J589" s="120" t="s">
        <v>772</v>
      </c>
      <c r="K589" s="112">
        <v>572900</v>
      </c>
      <c r="L589" s="113"/>
      <c r="M589" s="113">
        <v>273100</v>
      </c>
      <c r="N589" s="113"/>
      <c r="O589" s="113"/>
      <c r="P589" s="299">
        <f t="shared" si="45"/>
        <v>846000</v>
      </c>
      <c r="Q589" s="299">
        <f t="shared" si="46"/>
        <v>1692000</v>
      </c>
      <c r="R589" s="299">
        <f t="shared" si="47"/>
        <v>1692000</v>
      </c>
      <c r="S589" s="112">
        <v>0</v>
      </c>
    </row>
    <row r="590" spans="1:19" ht="60">
      <c r="A590" s="76"/>
      <c r="B590" s="77" t="s">
        <v>2265</v>
      </c>
      <c r="C590" s="76" t="s">
        <v>1877</v>
      </c>
      <c r="D590" s="26">
        <v>1</v>
      </c>
      <c r="E590" s="76"/>
      <c r="F590" s="113">
        <f t="shared" si="44"/>
        <v>1</v>
      </c>
      <c r="G590" s="112" t="s">
        <v>3652</v>
      </c>
      <c r="H590" s="120" t="s">
        <v>3343</v>
      </c>
      <c r="I590" s="120" t="s">
        <v>3190</v>
      </c>
      <c r="J590" s="120" t="s">
        <v>772</v>
      </c>
      <c r="K590" s="112">
        <v>658500</v>
      </c>
      <c r="L590" s="113"/>
      <c r="M590" s="113">
        <v>291700</v>
      </c>
      <c r="N590" s="113"/>
      <c r="O590" s="113"/>
      <c r="P590" s="299">
        <f t="shared" si="45"/>
        <v>950200</v>
      </c>
      <c r="Q590" s="299">
        <f t="shared" si="46"/>
        <v>950200</v>
      </c>
      <c r="R590" s="299">
        <f t="shared" si="47"/>
        <v>950200</v>
      </c>
      <c r="S590" s="112">
        <v>0</v>
      </c>
    </row>
    <row r="591" spans="1:19" ht="60">
      <c r="A591" s="76"/>
      <c r="B591" s="77" t="s">
        <v>2266</v>
      </c>
      <c r="C591" s="76" t="s">
        <v>1877</v>
      </c>
      <c r="D591" s="143">
        <v>3</v>
      </c>
      <c r="E591" s="76"/>
      <c r="F591" s="113">
        <f t="shared" si="44"/>
        <v>3</v>
      </c>
      <c r="G591" s="112" t="s">
        <v>3651</v>
      </c>
      <c r="H591" s="120" t="s">
        <v>3343</v>
      </c>
      <c r="I591" s="120" t="s">
        <v>3190</v>
      </c>
      <c r="J591" s="120" t="s">
        <v>772</v>
      </c>
      <c r="K591" s="112">
        <v>976600</v>
      </c>
      <c r="L591" s="113"/>
      <c r="M591" s="113">
        <v>320900</v>
      </c>
      <c r="N591" s="113"/>
      <c r="O591" s="113"/>
      <c r="P591" s="299">
        <f t="shared" si="45"/>
        <v>1297500</v>
      </c>
      <c r="Q591" s="299">
        <f t="shared" si="46"/>
        <v>3892500</v>
      </c>
      <c r="R591" s="299">
        <f t="shared" si="47"/>
        <v>3892500</v>
      </c>
      <c r="S591" s="112">
        <v>0</v>
      </c>
    </row>
    <row r="592" spans="1:19" ht="60">
      <c r="A592" s="76"/>
      <c r="B592" s="77" t="s">
        <v>2267</v>
      </c>
      <c r="C592" s="76" t="s">
        <v>1877</v>
      </c>
      <c r="D592" s="143">
        <v>11</v>
      </c>
      <c r="E592" s="76"/>
      <c r="F592" s="113">
        <f t="shared" si="44"/>
        <v>11</v>
      </c>
      <c r="G592" s="112" t="s">
        <v>3650</v>
      </c>
      <c r="H592" s="120" t="s">
        <v>3191</v>
      </c>
      <c r="I592" s="120" t="s">
        <v>3190</v>
      </c>
      <c r="J592" s="120" t="s">
        <v>772</v>
      </c>
      <c r="K592" s="112">
        <v>1401200</v>
      </c>
      <c r="L592" s="113"/>
      <c r="M592" s="113">
        <v>404100</v>
      </c>
      <c r="N592" s="113"/>
      <c r="O592" s="113"/>
      <c r="P592" s="299">
        <f t="shared" si="45"/>
        <v>1805300</v>
      </c>
      <c r="Q592" s="299">
        <f t="shared" si="46"/>
        <v>19858300</v>
      </c>
      <c r="R592" s="299">
        <f t="shared" si="47"/>
        <v>19858300</v>
      </c>
      <c r="S592" s="112">
        <v>0</v>
      </c>
    </row>
    <row r="593" spans="1:19" ht="42.75">
      <c r="A593" s="79">
        <v>2.7</v>
      </c>
      <c r="B593" s="257" t="s">
        <v>2145</v>
      </c>
      <c r="C593" s="79"/>
      <c r="D593" s="143"/>
      <c r="E593" s="79"/>
      <c r="F593" s="113">
        <f t="shared" si="44"/>
        <v>0</v>
      </c>
      <c r="G593" s="112">
        <v>0</v>
      </c>
      <c r="H593" s="120">
        <v>0</v>
      </c>
      <c r="I593" s="120">
        <v>0</v>
      </c>
      <c r="J593" s="120">
        <v>0</v>
      </c>
      <c r="K593" s="112">
        <v>0</v>
      </c>
      <c r="L593" s="113"/>
      <c r="M593" s="113">
        <v>0</v>
      </c>
      <c r="N593" s="113"/>
      <c r="O593" s="113"/>
      <c r="P593" s="299">
        <f t="shared" si="45"/>
        <v>0</v>
      </c>
      <c r="Q593" s="299">
        <f t="shared" si="46"/>
        <v>0</v>
      </c>
      <c r="R593" s="299">
        <f t="shared" si="47"/>
        <v>0</v>
      </c>
      <c r="S593" s="112">
        <v>0</v>
      </c>
    </row>
    <row r="594" spans="1:19" ht="60">
      <c r="A594" s="76"/>
      <c r="B594" s="77" t="s">
        <v>2104</v>
      </c>
      <c r="C594" s="76" t="s">
        <v>1877</v>
      </c>
      <c r="D594" s="143">
        <v>1</v>
      </c>
      <c r="E594" s="76"/>
      <c r="F594" s="113">
        <f t="shared" si="44"/>
        <v>1</v>
      </c>
      <c r="G594" s="112" t="s">
        <v>3649</v>
      </c>
      <c r="H594" s="120">
        <v>0</v>
      </c>
      <c r="I594" s="120" t="s">
        <v>3190</v>
      </c>
      <c r="J594" s="120" t="s">
        <v>772</v>
      </c>
      <c r="K594" s="112">
        <v>144100</v>
      </c>
      <c r="L594" s="113"/>
      <c r="M594" s="113">
        <v>158800</v>
      </c>
      <c r="N594" s="113"/>
      <c r="O594" s="113"/>
      <c r="P594" s="299">
        <f t="shared" si="45"/>
        <v>302900</v>
      </c>
      <c r="Q594" s="299">
        <f t="shared" si="46"/>
        <v>302900</v>
      </c>
      <c r="R594" s="299">
        <f t="shared" si="47"/>
        <v>302900</v>
      </c>
      <c r="S594" s="112">
        <v>0</v>
      </c>
    </row>
    <row r="595" spans="1:19" ht="60">
      <c r="A595" s="88"/>
      <c r="B595" s="87" t="s">
        <v>2268</v>
      </c>
      <c r="C595" s="88" t="s">
        <v>1877</v>
      </c>
      <c r="D595" s="147">
        <v>2</v>
      </c>
      <c r="E595" s="87"/>
      <c r="F595" s="113">
        <f t="shared" si="44"/>
        <v>2</v>
      </c>
      <c r="G595" s="112" t="s">
        <v>3648</v>
      </c>
      <c r="H595" s="120">
        <v>0</v>
      </c>
      <c r="I595" s="120" t="s">
        <v>3190</v>
      </c>
      <c r="J595" s="120" t="s">
        <v>772</v>
      </c>
      <c r="K595" s="112">
        <v>187200</v>
      </c>
      <c r="L595" s="113"/>
      <c r="M595" s="113">
        <v>159200</v>
      </c>
      <c r="N595" s="113"/>
      <c r="O595" s="113"/>
      <c r="P595" s="299">
        <f t="shared" si="45"/>
        <v>346400</v>
      </c>
      <c r="Q595" s="299">
        <f t="shared" si="46"/>
        <v>692800</v>
      </c>
      <c r="R595" s="299">
        <f t="shared" si="47"/>
        <v>692800</v>
      </c>
      <c r="S595" s="112">
        <v>0</v>
      </c>
    </row>
    <row r="596" spans="1:19" ht="60">
      <c r="A596" s="88"/>
      <c r="B596" s="87" t="s">
        <v>2269</v>
      </c>
      <c r="C596" s="88" t="s">
        <v>1877</v>
      </c>
      <c r="D596" s="147">
        <v>10</v>
      </c>
      <c r="E596" s="87"/>
      <c r="F596" s="113">
        <f t="shared" si="44"/>
        <v>10</v>
      </c>
      <c r="G596" s="112" t="s">
        <v>3590</v>
      </c>
      <c r="H596" s="120">
        <v>0</v>
      </c>
      <c r="I596" s="120" t="s">
        <v>3190</v>
      </c>
      <c r="J596" s="120" t="s">
        <v>772</v>
      </c>
      <c r="K596" s="112">
        <v>292300</v>
      </c>
      <c r="L596" s="113"/>
      <c r="M596" s="113">
        <v>174600</v>
      </c>
      <c r="N596" s="113"/>
      <c r="O596" s="113"/>
      <c r="P596" s="299">
        <f t="shared" si="45"/>
        <v>466900</v>
      </c>
      <c r="Q596" s="299">
        <f t="shared" si="46"/>
        <v>4669000</v>
      </c>
      <c r="R596" s="299">
        <f t="shared" si="47"/>
        <v>4669000</v>
      </c>
      <c r="S596" s="112">
        <v>0</v>
      </c>
    </row>
    <row r="597" spans="1:19" ht="60">
      <c r="A597" s="88"/>
      <c r="B597" s="87" t="s">
        <v>2270</v>
      </c>
      <c r="C597" s="88" t="s">
        <v>1877</v>
      </c>
      <c r="D597" s="147">
        <v>1</v>
      </c>
      <c r="E597" s="87"/>
      <c r="F597" s="113">
        <f t="shared" si="44"/>
        <v>1</v>
      </c>
      <c r="G597" s="112" t="s">
        <v>3619</v>
      </c>
      <c r="H597" s="120">
        <v>0</v>
      </c>
      <c r="I597" s="120" t="s">
        <v>3190</v>
      </c>
      <c r="J597" s="120" t="s">
        <v>772</v>
      </c>
      <c r="K597" s="112">
        <v>313900</v>
      </c>
      <c r="L597" s="113"/>
      <c r="M597" s="113">
        <v>174600</v>
      </c>
      <c r="N597" s="113"/>
      <c r="O597" s="113"/>
      <c r="P597" s="299">
        <f t="shared" si="45"/>
        <v>488500</v>
      </c>
      <c r="Q597" s="299">
        <f t="shared" si="46"/>
        <v>488500</v>
      </c>
      <c r="R597" s="299">
        <f t="shared" si="47"/>
        <v>488500</v>
      </c>
      <c r="S597" s="112">
        <v>0</v>
      </c>
    </row>
    <row r="598" spans="1:19" ht="60">
      <c r="A598" s="88"/>
      <c r="B598" s="87" t="s">
        <v>1860</v>
      </c>
      <c r="C598" s="88" t="s">
        <v>1877</v>
      </c>
      <c r="D598" s="147">
        <v>3</v>
      </c>
      <c r="E598" s="87"/>
      <c r="F598" s="113">
        <f t="shared" si="44"/>
        <v>3</v>
      </c>
      <c r="G598" s="112" t="s">
        <v>3647</v>
      </c>
      <c r="H598" s="120">
        <v>0</v>
      </c>
      <c r="I598" s="120" t="s">
        <v>3190</v>
      </c>
      <c r="J598" s="120" t="s">
        <v>772</v>
      </c>
      <c r="K598" s="112">
        <v>374400</v>
      </c>
      <c r="L598" s="113"/>
      <c r="M598" s="113">
        <v>174600</v>
      </c>
      <c r="N598" s="113"/>
      <c r="O598" s="113"/>
      <c r="P598" s="299">
        <f t="shared" si="45"/>
        <v>549000</v>
      </c>
      <c r="Q598" s="299">
        <f t="shared" si="46"/>
        <v>1647000</v>
      </c>
      <c r="R598" s="299">
        <f t="shared" si="47"/>
        <v>1647000</v>
      </c>
      <c r="S598" s="112">
        <v>0</v>
      </c>
    </row>
    <row r="599" spans="1:19" ht="60">
      <c r="A599" s="88"/>
      <c r="B599" s="87" t="s">
        <v>2137</v>
      </c>
      <c r="C599" s="88" t="s">
        <v>1877</v>
      </c>
      <c r="D599" s="147">
        <v>1</v>
      </c>
      <c r="E599" s="87"/>
      <c r="F599" s="113">
        <f t="shared" si="44"/>
        <v>1</v>
      </c>
      <c r="G599" s="112" t="s">
        <v>3618</v>
      </c>
      <c r="H599" s="120">
        <v>0</v>
      </c>
      <c r="I599" s="120" t="s">
        <v>3190</v>
      </c>
      <c r="J599" s="120" t="s">
        <v>772</v>
      </c>
      <c r="K599" s="112">
        <v>486600</v>
      </c>
      <c r="L599" s="113"/>
      <c r="M599" s="113">
        <v>174600</v>
      </c>
      <c r="N599" s="113"/>
      <c r="O599" s="113"/>
      <c r="P599" s="299">
        <f t="shared" si="45"/>
        <v>661200</v>
      </c>
      <c r="Q599" s="299">
        <f t="shared" si="46"/>
        <v>661200</v>
      </c>
      <c r="R599" s="299">
        <f t="shared" si="47"/>
        <v>661200</v>
      </c>
      <c r="S599" s="112">
        <v>0</v>
      </c>
    </row>
    <row r="600" spans="1:19" ht="60">
      <c r="A600" s="88"/>
      <c r="B600" s="87" t="s">
        <v>2099</v>
      </c>
      <c r="C600" s="88" t="s">
        <v>1877</v>
      </c>
      <c r="D600" s="147">
        <v>2</v>
      </c>
      <c r="E600" s="87"/>
      <c r="F600" s="113">
        <f t="shared" si="44"/>
        <v>2</v>
      </c>
      <c r="G600" s="112" t="s">
        <v>3646</v>
      </c>
      <c r="H600" s="120">
        <v>0</v>
      </c>
      <c r="I600" s="120" t="s">
        <v>3190</v>
      </c>
      <c r="J600" s="120" t="s">
        <v>772</v>
      </c>
      <c r="K600" s="112">
        <v>699700</v>
      </c>
      <c r="L600" s="113"/>
      <c r="M600" s="113">
        <v>174600</v>
      </c>
      <c r="N600" s="113"/>
      <c r="O600" s="113"/>
      <c r="P600" s="299">
        <f t="shared" si="45"/>
        <v>874300</v>
      </c>
      <c r="Q600" s="299">
        <f t="shared" si="46"/>
        <v>1748600</v>
      </c>
      <c r="R600" s="299">
        <f t="shared" si="47"/>
        <v>1748600</v>
      </c>
      <c r="S600" s="112">
        <v>0</v>
      </c>
    </row>
    <row r="601" spans="1:19" ht="60">
      <c r="A601" s="88"/>
      <c r="B601" s="87" t="s">
        <v>2090</v>
      </c>
      <c r="C601" s="88" t="s">
        <v>1877</v>
      </c>
      <c r="D601" s="147">
        <v>1</v>
      </c>
      <c r="E601" s="87"/>
      <c r="F601" s="113">
        <f t="shared" si="44"/>
        <v>1</v>
      </c>
      <c r="G601" s="112" t="s">
        <v>3615</v>
      </c>
      <c r="H601" s="120">
        <v>0</v>
      </c>
      <c r="I601" s="120" t="s">
        <v>3190</v>
      </c>
      <c r="J601" s="120" t="s">
        <v>772</v>
      </c>
      <c r="K601" s="112">
        <v>971700</v>
      </c>
      <c r="L601" s="113"/>
      <c r="M601" s="113">
        <v>432300</v>
      </c>
      <c r="N601" s="113"/>
      <c r="O601" s="113"/>
      <c r="P601" s="299">
        <f t="shared" si="45"/>
        <v>1404000</v>
      </c>
      <c r="Q601" s="299">
        <f t="shared" si="46"/>
        <v>1404000</v>
      </c>
      <c r="R601" s="299">
        <f t="shared" si="47"/>
        <v>1404000</v>
      </c>
      <c r="S601" s="112">
        <v>0</v>
      </c>
    </row>
    <row r="602" spans="1:19" ht="60">
      <c r="A602" s="88"/>
      <c r="B602" s="87" t="s">
        <v>1932</v>
      </c>
      <c r="C602" s="88" t="s">
        <v>1877</v>
      </c>
      <c r="D602" s="147">
        <v>3</v>
      </c>
      <c r="E602" s="87"/>
      <c r="F602" s="113">
        <f t="shared" si="44"/>
        <v>3</v>
      </c>
      <c r="G602" s="112" t="s">
        <v>3613</v>
      </c>
      <c r="H602" s="120">
        <v>0</v>
      </c>
      <c r="I602" s="120" t="s">
        <v>3190</v>
      </c>
      <c r="J602" s="120" t="s">
        <v>772</v>
      </c>
      <c r="K602" s="112">
        <v>932800</v>
      </c>
      <c r="L602" s="113"/>
      <c r="M602" s="113">
        <v>432300</v>
      </c>
      <c r="N602" s="113"/>
      <c r="O602" s="113"/>
      <c r="P602" s="299">
        <f t="shared" si="45"/>
        <v>1365100</v>
      </c>
      <c r="Q602" s="299">
        <f t="shared" si="46"/>
        <v>4095300</v>
      </c>
      <c r="R602" s="299">
        <f t="shared" si="47"/>
        <v>4095300</v>
      </c>
      <c r="S602" s="112">
        <v>0</v>
      </c>
    </row>
    <row r="603" spans="1:19" ht="60">
      <c r="A603" s="88"/>
      <c r="B603" s="87" t="s">
        <v>1935</v>
      </c>
      <c r="C603" s="88" t="s">
        <v>1877</v>
      </c>
      <c r="D603" s="147">
        <v>1</v>
      </c>
      <c r="E603" s="87"/>
      <c r="F603" s="113">
        <f t="shared" si="44"/>
        <v>1</v>
      </c>
      <c r="G603" s="112" t="s">
        <v>3612</v>
      </c>
      <c r="H603" s="120">
        <v>0</v>
      </c>
      <c r="I603" s="120" t="s">
        <v>3190</v>
      </c>
      <c r="J603" s="120" t="s">
        <v>772</v>
      </c>
      <c r="K603" s="112">
        <v>1458200</v>
      </c>
      <c r="L603" s="113"/>
      <c r="M603" s="113">
        <v>432200</v>
      </c>
      <c r="N603" s="113"/>
      <c r="O603" s="113"/>
      <c r="P603" s="299">
        <f t="shared" si="45"/>
        <v>1890400</v>
      </c>
      <c r="Q603" s="299">
        <f t="shared" si="46"/>
        <v>1890400</v>
      </c>
      <c r="R603" s="299">
        <f t="shared" si="47"/>
        <v>1890400</v>
      </c>
      <c r="S603" s="112">
        <v>0</v>
      </c>
    </row>
    <row r="604" spans="1:19" ht="60">
      <c r="A604" s="88"/>
      <c r="B604" s="87" t="s">
        <v>2193</v>
      </c>
      <c r="C604" s="88" t="s">
        <v>1877</v>
      </c>
      <c r="D604" s="147">
        <v>1</v>
      </c>
      <c r="E604" s="87"/>
      <c r="F604" s="113">
        <f t="shared" si="44"/>
        <v>1</v>
      </c>
      <c r="G604" s="112" t="s">
        <v>3645</v>
      </c>
      <c r="H604" s="120">
        <v>0</v>
      </c>
      <c r="I604" s="120" t="s">
        <v>3190</v>
      </c>
      <c r="J604" s="120" t="s">
        <v>772</v>
      </c>
      <c r="K604" s="112">
        <v>1399200</v>
      </c>
      <c r="L604" s="113"/>
      <c r="M604" s="113">
        <v>620000</v>
      </c>
      <c r="N604" s="113"/>
      <c r="O604" s="113"/>
      <c r="P604" s="299">
        <f t="shared" si="45"/>
        <v>2019200</v>
      </c>
      <c r="Q604" s="299">
        <f t="shared" si="46"/>
        <v>2019200</v>
      </c>
      <c r="R604" s="299">
        <f t="shared" si="47"/>
        <v>2019200</v>
      </c>
      <c r="S604" s="112">
        <v>0</v>
      </c>
    </row>
    <row r="605" spans="1:19" ht="42.75">
      <c r="A605" s="79">
        <v>2.8</v>
      </c>
      <c r="B605" s="257" t="s">
        <v>2271</v>
      </c>
      <c r="C605" s="79"/>
      <c r="D605" s="143"/>
      <c r="E605" s="79"/>
      <c r="F605" s="113">
        <f t="shared" si="44"/>
        <v>0</v>
      </c>
      <c r="G605" s="112">
        <v>0</v>
      </c>
      <c r="H605" s="120">
        <v>0</v>
      </c>
      <c r="I605" s="120">
        <v>0</v>
      </c>
      <c r="J605" s="120">
        <v>0</v>
      </c>
      <c r="K605" s="112">
        <v>0</v>
      </c>
      <c r="L605" s="113"/>
      <c r="M605" s="113">
        <v>0</v>
      </c>
      <c r="N605" s="113"/>
      <c r="O605" s="113"/>
      <c r="P605" s="299">
        <f t="shared" si="45"/>
        <v>0</v>
      </c>
      <c r="Q605" s="299">
        <f t="shared" si="46"/>
        <v>0</v>
      </c>
      <c r="R605" s="299">
        <f t="shared" si="47"/>
        <v>0</v>
      </c>
      <c r="S605" s="112">
        <v>0</v>
      </c>
    </row>
    <row r="606" spans="1:19" ht="60">
      <c r="A606" s="79"/>
      <c r="B606" s="77" t="s">
        <v>2060</v>
      </c>
      <c r="C606" s="76" t="s">
        <v>1877</v>
      </c>
      <c r="D606" s="143">
        <v>1</v>
      </c>
      <c r="E606" s="79"/>
      <c r="F606" s="113">
        <f t="shared" si="44"/>
        <v>1</v>
      </c>
      <c r="G606" s="112" t="s">
        <v>3589</v>
      </c>
      <c r="H606" s="120">
        <v>0</v>
      </c>
      <c r="I606" s="120" t="s">
        <v>3190</v>
      </c>
      <c r="J606" s="120" t="s">
        <v>772</v>
      </c>
      <c r="K606" s="112">
        <v>230400</v>
      </c>
      <c r="L606" s="113"/>
      <c r="M606" s="113">
        <v>174300</v>
      </c>
      <c r="N606" s="113"/>
      <c r="O606" s="113"/>
      <c r="P606" s="299">
        <f t="shared" si="45"/>
        <v>404700</v>
      </c>
      <c r="Q606" s="299">
        <f t="shared" si="46"/>
        <v>404700</v>
      </c>
      <c r="R606" s="299">
        <f t="shared" si="47"/>
        <v>404700</v>
      </c>
      <c r="S606" s="112">
        <v>0</v>
      </c>
    </row>
    <row r="607" spans="1:19" ht="60">
      <c r="A607" s="79"/>
      <c r="B607" s="77" t="s">
        <v>2272</v>
      </c>
      <c r="C607" s="76" t="s">
        <v>1877</v>
      </c>
      <c r="D607" s="143">
        <v>2</v>
      </c>
      <c r="E607" s="79"/>
      <c r="F607" s="113">
        <f t="shared" si="44"/>
        <v>2</v>
      </c>
      <c r="G607" s="112" t="s">
        <v>3619</v>
      </c>
      <c r="H607" s="120">
        <v>0</v>
      </c>
      <c r="I607" s="120" t="s">
        <v>3190</v>
      </c>
      <c r="J607" s="120" t="s">
        <v>772</v>
      </c>
      <c r="K607" s="112">
        <v>313900</v>
      </c>
      <c r="L607" s="113"/>
      <c r="M607" s="113">
        <v>174300</v>
      </c>
      <c r="N607" s="113"/>
      <c r="O607" s="113"/>
      <c r="P607" s="299">
        <f t="shared" si="45"/>
        <v>488200</v>
      </c>
      <c r="Q607" s="299">
        <f t="shared" si="46"/>
        <v>976400</v>
      </c>
      <c r="R607" s="299">
        <f t="shared" si="47"/>
        <v>976400</v>
      </c>
      <c r="S607" s="112">
        <v>0</v>
      </c>
    </row>
    <row r="608" spans="1:19" ht="60">
      <c r="A608" s="79"/>
      <c r="B608" s="77" t="s">
        <v>2067</v>
      </c>
      <c r="C608" s="76" t="s">
        <v>1877</v>
      </c>
      <c r="D608" s="143">
        <v>3</v>
      </c>
      <c r="E608" s="79"/>
      <c r="F608" s="113">
        <f t="shared" si="44"/>
        <v>3</v>
      </c>
      <c r="G608" s="112" t="s">
        <v>3644</v>
      </c>
      <c r="H608" s="120">
        <v>0</v>
      </c>
      <c r="I608" s="120" t="s">
        <v>3190</v>
      </c>
      <c r="J608" s="120" t="s">
        <v>772</v>
      </c>
      <c r="K608" s="112">
        <v>421900</v>
      </c>
      <c r="L608" s="113"/>
      <c r="M608" s="113">
        <v>393000</v>
      </c>
      <c r="N608" s="113"/>
      <c r="O608" s="113"/>
      <c r="P608" s="299">
        <f t="shared" si="45"/>
        <v>814900</v>
      </c>
      <c r="Q608" s="299">
        <f t="shared" si="46"/>
        <v>2444700</v>
      </c>
      <c r="R608" s="299">
        <f t="shared" si="47"/>
        <v>2444700</v>
      </c>
      <c r="S608" s="112">
        <v>0</v>
      </c>
    </row>
    <row r="609" spans="1:19" ht="60">
      <c r="A609" s="79"/>
      <c r="B609" s="77" t="s">
        <v>1941</v>
      </c>
      <c r="C609" s="76" t="s">
        <v>1877</v>
      </c>
      <c r="D609" s="143">
        <v>1</v>
      </c>
      <c r="E609" s="79"/>
      <c r="F609" s="113">
        <f t="shared" si="44"/>
        <v>1</v>
      </c>
      <c r="G609" s="112" t="s">
        <v>3643</v>
      </c>
      <c r="H609" s="120">
        <v>0</v>
      </c>
      <c r="I609" s="120" t="s">
        <v>3190</v>
      </c>
      <c r="J609" s="120" t="s">
        <v>772</v>
      </c>
      <c r="K609" s="112">
        <v>688100</v>
      </c>
      <c r="L609" s="113"/>
      <c r="M609" s="113">
        <v>393000</v>
      </c>
      <c r="N609" s="113"/>
      <c r="O609" s="113"/>
      <c r="P609" s="299">
        <f t="shared" si="45"/>
        <v>1081100</v>
      </c>
      <c r="Q609" s="299">
        <f t="shared" si="46"/>
        <v>1081100</v>
      </c>
      <c r="R609" s="299">
        <f t="shared" si="47"/>
        <v>1081100</v>
      </c>
      <c r="S609" s="112">
        <v>0</v>
      </c>
    </row>
    <row r="610" spans="1:19" ht="60">
      <c r="A610" s="79"/>
      <c r="B610" s="77" t="s">
        <v>2273</v>
      </c>
      <c r="C610" s="76" t="s">
        <v>1877</v>
      </c>
      <c r="D610" s="143">
        <v>1</v>
      </c>
      <c r="E610" s="79"/>
      <c r="F610" s="113">
        <f t="shared" si="44"/>
        <v>1</v>
      </c>
      <c r="G610" s="112" t="s">
        <v>3642</v>
      </c>
      <c r="H610" s="120">
        <v>0</v>
      </c>
      <c r="I610" s="120" t="s">
        <v>3190</v>
      </c>
      <c r="J610" s="120" t="s">
        <v>772</v>
      </c>
      <c r="K610" s="112">
        <v>875300</v>
      </c>
      <c r="L610" s="113"/>
      <c r="M610" s="113">
        <v>432300</v>
      </c>
      <c r="N610" s="113"/>
      <c r="O610" s="113"/>
      <c r="P610" s="299">
        <f t="shared" si="45"/>
        <v>1307600</v>
      </c>
      <c r="Q610" s="299">
        <f t="shared" si="46"/>
        <v>1307600</v>
      </c>
      <c r="R610" s="299">
        <f t="shared" si="47"/>
        <v>1307600</v>
      </c>
      <c r="S610" s="112">
        <v>0</v>
      </c>
    </row>
    <row r="611" spans="1:19" ht="60">
      <c r="A611" s="79"/>
      <c r="B611" s="77" t="s">
        <v>2146</v>
      </c>
      <c r="C611" s="76" t="s">
        <v>1877</v>
      </c>
      <c r="D611" s="143">
        <v>1</v>
      </c>
      <c r="E611" s="79"/>
      <c r="F611" s="113">
        <f t="shared" si="44"/>
        <v>1</v>
      </c>
      <c r="G611" s="112" t="s">
        <v>3641</v>
      </c>
      <c r="H611" s="120">
        <v>0</v>
      </c>
      <c r="I611" s="120" t="s">
        <v>3190</v>
      </c>
      <c r="J611" s="120" t="s">
        <v>772</v>
      </c>
      <c r="K611" s="112">
        <v>2914900</v>
      </c>
      <c r="L611" s="113"/>
      <c r="M611" s="113">
        <v>917900</v>
      </c>
      <c r="N611" s="113"/>
      <c r="O611" s="113"/>
      <c r="P611" s="299">
        <f t="shared" si="45"/>
        <v>3832800</v>
      </c>
      <c r="Q611" s="299">
        <f t="shared" si="46"/>
        <v>3832800</v>
      </c>
      <c r="R611" s="299">
        <f t="shared" si="47"/>
        <v>3832800</v>
      </c>
      <c r="S611" s="112">
        <v>0</v>
      </c>
    </row>
    <row r="612" spans="1:19" ht="57">
      <c r="A612" s="79">
        <v>2.9</v>
      </c>
      <c r="B612" s="257" t="s">
        <v>1920</v>
      </c>
      <c r="C612" s="79"/>
      <c r="D612" s="143"/>
      <c r="E612" s="79"/>
      <c r="F612" s="113">
        <f t="shared" si="44"/>
        <v>0</v>
      </c>
      <c r="G612" s="112">
        <v>0</v>
      </c>
      <c r="H612" s="120">
        <v>0</v>
      </c>
      <c r="I612" s="120">
        <v>0</v>
      </c>
      <c r="J612" s="120">
        <v>0</v>
      </c>
      <c r="K612" s="112">
        <v>0</v>
      </c>
      <c r="L612" s="113"/>
      <c r="M612" s="113">
        <v>0</v>
      </c>
      <c r="N612" s="113"/>
      <c r="O612" s="113"/>
      <c r="P612" s="299">
        <f t="shared" si="45"/>
        <v>0</v>
      </c>
      <c r="Q612" s="299">
        <f t="shared" si="46"/>
        <v>0</v>
      </c>
      <c r="R612" s="299">
        <f t="shared" si="47"/>
        <v>0</v>
      </c>
      <c r="S612" s="112">
        <v>0</v>
      </c>
    </row>
    <row r="613" spans="1:19" ht="90">
      <c r="A613" s="79"/>
      <c r="B613" s="77" t="s">
        <v>2274</v>
      </c>
      <c r="C613" s="76" t="s">
        <v>1877</v>
      </c>
      <c r="D613" s="143">
        <v>1</v>
      </c>
      <c r="E613" s="79"/>
      <c r="F613" s="113">
        <f t="shared" si="44"/>
        <v>1</v>
      </c>
      <c r="G613" s="112" t="s">
        <v>3203</v>
      </c>
      <c r="H613" s="120" t="s">
        <v>3193</v>
      </c>
      <c r="I613" s="120" t="s">
        <v>3479</v>
      </c>
      <c r="J613" s="120" t="s">
        <v>772</v>
      </c>
      <c r="K613" s="112">
        <v>2640200</v>
      </c>
      <c r="L613" s="113"/>
      <c r="M613" s="113">
        <v>600700</v>
      </c>
      <c r="N613" s="113"/>
      <c r="O613" s="113"/>
      <c r="P613" s="299">
        <f t="shared" si="45"/>
        <v>3240900</v>
      </c>
      <c r="Q613" s="299">
        <f t="shared" si="46"/>
        <v>3240900</v>
      </c>
      <c r="R613" s="299">
        <f t="shared" si="47"/>
        <v>3240900</v>
      </c>
      <c r="S613" s="112">
        <v>0</v>
      </c>
    </row>
    <row r="614" spans="1:19" ht="90">
      <c r="A614" s="79"/>
      <c r="B614" s="77" t="s">
        <v>2275</v>
      </c>
      <c r="C614" s="76" t="s">
        <v>1877</v>
      </c>
      <c r="D614" s="143">
        <v>2</v>
      </c>
      <c r="E614" s="79"/>
      <c r="F614" s="113">
        <f t="shared" si="44"/>
        <v>2</v>
      </c>
      <c r="G614" s="112" t="s">
        <v>3201</v>
      </c>
      <c r="H614" s="120" t="s">
        <v>3189</v>
      </c>
      <c r="I614" s="120" t="s">
        <v>3479</v>
      </c>
      <c r="J614" s="120" t="s">
        <v>772</v>
      </c>
      <c r="K614" s="112">
        <v>6007600</v>
      </c>
      <c r="L614" s="113"/>
      <c r="M614" s="113">
        <v>1293100</v>
      </c>
      <c r="N614" s="113"/>
      <c r="O614" s="113"/>
      <c r="P614" s="299">
        <f t="shared" si="45"/>
        <v>7300700</v>
      </c>
      <c r="Q614" s="299">
        <f t="shared" si="46"/>
        <v>14601400</v>
      </c>
      <c r="R614" s="299">
        <f t="shared" si="47"/>
        <v>14601400</v>
      </c>
      <c r="S614" s="112">
        <v>0</v>
      </c>
    </row>
    <row r="615" spans="1:19">
      <c r="A615" s="259">
        <v>2.1</v>
      </c>
      <c r="B615" s="257" t="s">
        <v>1919</v>
      </c>
      <c r="C615" s="79"/>
      <c r="D615" s="143"/>
      <c r="E615" s="79"/>
      <c r="F615" s="113">
        <f t="shared" si="44"/>
        <v>0</v>
      </c>
      <c r="G615" s="112">
        <v>0</v>
      </c>
      <c r="H615" s="120">
        <v>0</v>
      </c>
      <c r="I615" s="120">
        <v>0</v>
      </c>
      <c r="J615" s="120">
        <v>0</v>
      </c>
      <c r="K615" s="112">
        <v>0</v>
      </c>
      <c r="L615" s="113"/>
      <c r="M615" s="113">
        <v>0</v>
      </c>
      <c r="N615" s="113"/>
      <c r="O615" s="113"/>
      <c r="P615" s="299">
        <f t="shared" si="45"/>
        <v>0</v>
      </c>
      <c r="Q615" s="299">
        <f t="shared" si="46"/>
        <v>0</v>
      </c>
      <c r="R615" s="299">
        <f t="shared" si="47"/>
        <v>0</v>
      </c>
      <c r="S615" s="112">
        <v>0</v>
      </c>
    </row>
    <row r="616" spans="1:19" ht="30">
      <c r="A616" s="79"/>
      <c r="B616" s="77" t="s">
        <v>2270</v>
      </c>
      <c r="C616" s="76" t="s">
        <v>1877</v>
      </c>
      <c r="D616" s="143">
        <v>3</v>
      </c>
      <c r="E616" s="79"/>
      <c r="F616" s="113">
        <f t="shared" si="44"/>
        <v>3</v>
      </c>
      <c r="G616" s="112" t="s">
        <v>3640</v>
      </c>
      <c r="H616" s="120" t="s">
        <v>3202</v>
      </c>
      <c r="I616" s="120" t="s">
        <v>3190</v>
      </c>
      <c r="J616" s="120" t="s">
        <v>772</v>
      </c>
      <c r="K616" s="112">
        <v>550000</v>
      </c>
      <c r="L616" s="113"/>
      <c r="M616" s="113">
        <v>141100</v>
      </c>
      <c r="N616" s="113"/>
      <c r="O616" s="113"/>
      <c r="P616" s="299">
        <f t="shared" si="45"/>
        <v>691100</v>
      </c>
      <c r="Q616" s="299">
        <f t="shared" si="46"/>
        <v>2073300</v>
      </c>
      <c r="R616" s="299">
        <f t="shared" si="47"/>
        <v>2073300</v>
      </c>
      <c r="S616" s="112">
        <v>0</v>
      </c>
    </row>
    <row r="617" spans="1:19" ht="30">
      <c r="A617" s="79"/>
      <c r="B617" s="77" t="s">
        <v>2137</v>
      </c>
      <c r="C617" s="76" t="s">
        <v>1877</v>
      </c>
      <c r="D617" s="143">
        <v>4</v>
      </c>
      <c r="E617" s="79"/>
      <c r="F617" s="113">
        <f t="shared" si="44"/>
        <v>4</v>
      </c>
      <c r="G617" s="112" t="s">
        <v>3639</v>
      </c>
      <c r="H617" s="120" t="s">
        <v>3202</v>
      </c>
      <c r="I617" s="120" t="s">
        <v>3190</v>
      </c>
      <c r="J617" s="120" t="s">
        <v>772</v>
      </c>
      <c r="K617" s="112">
        <v>711200</v>
      </c>
      <c r="L617" s="113"/>
      <c r="M617" s="113">
        <v>169300</v>
      </c>
      <c r="N617" s="113"/>
      <c r="O617" s="113"/>
      <c r="P617" s="299">
        <f t="shared" si="45"/>
        <v>880500</v>
      </c>
      <c r="Q617" s="299">
        <f t="shared" si="46"/>
        <v>3522000</v>
      </c>
      <c r="R617" s="299">
        <f t="shared" si="47"/>
        <v>3522000</v>
      </c>
      <c r="S617" s="112">
        <v>0</v>
      </c>
    </row>
    <row r="618" spans="1:19" ht="30">
      <c r="A618" s="79"/>
      <c r="B618" s="77" t="s">
        <v>2085</v>
      </c>
      <c r="C618" s="76" t="s">
        <v>1877</v>
      </c>
      <c r="D618" s="143">
        <v>1</v>
      </c>
      <c r="E618" s="79"/>
      <c r="F618" s="113">
        <f t="shared" si="44"/>
        <v>1</v>
      </c>
      <c r="G618" s="112" t="s">
        <v>3638</v>
      </c>
      <c r="H618" s="120" t="s">
        <v>3202</v>
      </c>
      <c r="I618" s="120" t="s">
        <v>3190</v>
      </c>
      <c r="J618" s="120" t="s">
        <v>772</v>
      </c>
      <c r="K618" s="112">
        <v>806100</v>
      </c>
      <c r="L618" s="113"/>
      <c r="M618" s="113">
        <v>254900</v>
      </c>
      <c r="N618" s="113"/>
      <c r="O618" s="113"/>
      <c r="P618" s="299">
        <f t="shared" si="45"/>
        <v>1061000</v>
      </c>
      <c r="Q618" s="299">
        <f t="shared" si="46"/>
        <v>1061000</v>
      </c>
      <c r="R618" s="299">
        <f t="shared" si="47"/>
        <v>1061000</v>
      </c>
      <c r="S618" s="112">
        <v>0</v>
      </c>
    </row>
    <row r="619" spans="1:19">
      <c r="A619" s="79">
        <v>2.11</v>
      </c>
      <c r="B619" s="257" t="s">
        <v>1913</v>
      </c>
      <c r="C619" s="79"/>
      <c r="D619" s="143"/>
      <c r="E619" s="79"/>
      <c r="F619" s="113">
        <f t="shared" si="44"/>
        <v>0</v>
      </c>
      <c r="G619" s="112">
        <v>0</v>
      </c>
      <c r="H619" s="120">
        <v>0</v>
      </c>
      <c r="I619" s="120">
        <v>0</v>
      </c>
      <c r="J619" s="120">
        <v>0</v>
      </c>
      <c r="K619" s="112">
        <v>0</v>
      </c>
      <c r="L619" s="113"/>
      <c r="M619" s="113">
        <v>0</v>
      </c>
      <c r="N619" s="113"/>
      <c r="O619" s="113"/>
      <c r="P619" s="299">
        <f t="shared" si="45"/>
        <v>0</v>
      </c>
      <c r="Q619" s="299">
        <f t="shared" si="46"/>
        <v>0</v>
      </c>
      <c r="R619" s="299">
        <f t="shared" si="47"/>
        <v>0</v>
      </c>
      <c r="S619" s="112">
        <v>0</v>
      </c>
    </row>
    <row r="620" spans="1:19" ht="30">
      <c r="A620" s="79"/>
      <c r="B620" s="77" t="s">
        <v>2276</v>
      </c>
      <c r="C620" s="76" t="s">
        <v>1877</v>
      </c>
      <c r="D620" s="143">
        <v>1</v>
      </c>
      <c r="E620" s="79"/>
      <c r="F620" s="113">
        <f t="shared" si="44"/>
        <v>1</v>
      </c>
      <c r="G620" s="112" t="s">
        <v>3637</v>
      </c>
      <c r="H620" s="120" t="s">
        <v>3191</v>
      </c>
      <c r="I620" s="120" t="s">
        <v>3190</v>
      </c>
      <c r="J620" s="120" t="s">
        <v>772</v>
      </c>
      <c r="K620" s="112">
        <v>250500</v>
      </c>
      <c r="L620" s="113"/>
      <c r="M620" s="113">
        <v>209600</v>
      </c>
      <c r="N620" s="113"/>
      <c r="O620" s="113"/>
      <c r="P620" s="299">
        <f t="shared" si="45"/>
        <v>460100</v>
      </c>
      <c r="Q620" s="299">
        <f t="shared" si="46"/>
        <v>460100</v>
      </c>
      <c r="R620" s="299">
        <f t="shared" si="47"/>
        <v>460100</v>
      </c>
      <c r="S620" s="112">
        <v>0</v>
      </c>
    </row>
    <row r="621" spans="1:19" ht="30">
      <c r="A621" s="79"/>
      <c r="B621" s="77" t="s">
        <v>2268</v>
      </c>
      <c r="C621" s="76" t="s">
        <v>1877</v>
      </c>
      <c r="D621" s="143">
        <v>1</v>
      </c>
      <c r="E621" s="79"/>
      <c r="F621" s="113">
        <f t="shared" si="44"/>
        <v>1</v>
      </c>
      <c r="G621" s="112" t="s">
        <v>3636</v>
      </c>
      <c r="H621" s="120" t="s">
        <v>3191</v>
      </c>
      <c r="I621" s="120" t="s">
        <v>3190</v>
      </c>
      <c r="J621" s="120" t="s">
        <v>772</v>
      </c>
      <c r="K621" s="112">
        <v>276500</v>
      </c>
      <c r="L621" s="113"/>
      <c r="M621" s="113">
        <v>338600</v>
      </c>
      <c r="N621" s="113"/>
      <c r="O621" s="113"/>
      <c r="P621" s="299">
        <f t="shared" si="45"/>
        <v>615100</v>
      </c>
      <c r="Q621" s="299">
        <f t="shared" si="46"/>
        <v>615100</v>
      </c>
      <c r="R621" s="299">
        <f t="shared" si="47"/>
        <v>615100</v>
      </c>
      <c r="S621" s="112">
        <v>0</v>
      </c>
    </row>
    <row r="622" spans="1:19" ht="30">
      <c r="A622" s="79"/>
      <c r="B622" s="77" t="s">
        <v>2277</v>
      </c>
      <c r="C622" s="76" t="s">
        <v>1877</v>
      </c>
      <c r="D622" s="143">
        <v>2</v>
      </c>
      <c r="E622" s="79"/>
      <c r="F622" s="113">
        <f t="shared" si="44"/>
        <v>2</v>
      </c>
      <c r="G622" s="112" t="s">
        <v>3635</v>
      </c>
      <c r="H622" s="120" t="s">
        <v>3191</v>
      </c>
      <c r="I622" s="120" t="s">
        <v>3190</v>
      </c>
      <c r="J622" s="120" t="s">
        <v>772</v>
      </c>
      <c r="K622" s="112">
        <v>315300</v>
      </c>
      <c r="L622" s="113"/>
      <c r="M622" s="113">
        <v>338600</v>
      </c>
      <c r="N622" s="113"/>
      <c r="O622" s="113"/>
      <c r="P622" s="299">
        <f t="shared" si="45"/>
        <v>653900</v>
      </c>
      <c r="Q622" s="299">
        <f t="shared" si="46"/>
        <v>1307800</v>
      </c>
      <c r="R622" s="299">
        <f t="shared" si="47"/>
        <v>1307800</v>
      </c>
      <c r="S622" s="112">
        <v>0</v>
      </c>
    </row>
    <row r="623" spans="1:19" ht="30">
      <c r="A623" s="79"/>
      <c r="B623" s="77" t="s">
        <v>2083</v>
      </c>
      <c r="C623" s="76" t="s">
        <v>1877</v>
      </c>
      <c r="D623" s="143">
        <v>1</v>
      </c>
      <c r="E623" s="79"/>
      <c r="F623" s="113">
        <f t="shared" si="44"/>
        <v>1</v>
      </c>
      <c r="G623" s="112" t="s">
        <v>3634</v>
      </c>
      <c r="H623" s="120" t="s">
        <v>3191</v>
      </c>
      <c r="I623" s="120" t="s">
        <v>3190</v>
      </c>
      <c r="J623" s="120" t="s">
        <v>772</v>
      </c>
      <c r="K623" s="112">
        <v>398800</v>
      </c>
      <c r="L623" s="113"/>
      <c r="M623" s="113">
        <v>415100</v>
      </c>
      <c r="N623" s="113"/>
      <c r="O623" s="113"/>
      <c r="P623" s="299">
        <f t="shared" si="45"/>
        <v>813900</v>
      </c>
      <c r="Q623" s="299">
        <f t="shared" si="46"/>
        <v>813900</v>
      </c>
      <c r="R623" s="299">
        <f t="shared" si="47"/>
        <v>813900</v>
      </c>
      <c r="S623" s="112">
        <v>0</v>
      </c>
    </row>
    <row r="624" spans="1:19" ht="30">
      <c r="A624" s="79"/>
      <c r="B624" s="77" t="s">
        <v>2050</v>
      </c>
      <c r="C624" s="76" t="s">
        <v>1877</v>
      </c>
      <c r="D624" s="143">
        <v>1</v>
      </c>
      <c r="E624" s="79"/>
      <c r="F624" s="113">
        <f t="shared" si="44"/>
        <v>1</v>
      </c>
      <c r="G624" s="112" t="s">
        <v>3633</v>
      </c>
      <c r="H624" s="120" t="s">
        <v>3386</v>
      </c>
      <c r="I624" s="120" t="s">
        <v>3190</v>
      </c>
      <c r="J624" s="120" t="s">
        <v>772</v>
      </c>
      <c r="K624" s="112">
        <v>1003300</v>
      </c>
      <c r="L624" s="113"/>
      <c r="M624" s="113">
        <v>606600</v>
      </c>
      <c r="N624" s="113"/>
      <c r="O624" s="113"/>
      <c r="P624" s="299">
        <f t="shared" si="45"/>
        <v>1609900</v>
      </c>
      <c r="Q624" s="299">
        <f t="shared" si="46"/>
        <v>1609900</v>
      </c>
      <c r="R624" s="299">
        <f t="shared" si="47"/>
        <v>1609900</v>
      </c>
      <c r="S624" s="112">
        <v>0</v>
      </c>
    </row>
    <row r="625" spans="1:19" ht="30">
      <c r="A625" s="79"/>
      <c r="B625" s="77" t="s">
        <v>2197</v>
      </c>
      <c r="C625" s="76" t="s">
        <v>1877</v>
      </c>
      <c r="D625" s="143">
        <v>2</v>
      </c>
      <c r="E625" s="79"/>
      <c r="F625" s="113">
        <f t="shared" si="44"/>
        <v>2</v>
      </c>
      <c r="G625" s="112" t="s">
        <v>3632</v>
      </c>
      <c r="H625" s="120" t="s">
        <v>3386</v>
      </c>
      <c r="I625" s="120" t="s">
        <v>3190</v>
      </c>
      <c r="J625" s="120" t="s">
        <v>772</v>
      </c>
      <c r="K625" s="112">
        <v>1956300</v>
      </c>
      <c r="L625" s="113"/>
      <c r="M625" s="113">
        <v>561200</v>
      </c>
      <c r="N625" s="113"/>
      <c r="O625" s="113"/>
      <c r="P625" s="299">
        <f t="shared" si="45"/>
        <v>2517500</v>
      </c>
      <c r="Q625" s="299">
        <f t="shared" si="46"/>
        <v>5035000</v>
      </c>
      <c r="R625" s="299">
        <f t="shared" si="47"/>
        <v>5035000</v>
      </c>
      <c r="S625" s="112">
        <v>0</v>
      </c>
    </row>
    <row r="626" spans="1:19" ht="30">
      <c r="A626" s="88"/>
      <c r="B626" s="87" t="s">
        <v>2136</v>
      </c>
      <c r="C626" s="88" t="s">
        <v>1877</v>
      </c>
      <c r="D626" s="147">
        <v>2</v>
      </c>
      <c r="E626" s="87"/>
      <c r="F626" s="113">
        <f t="shared" si="44"/>
        <v>2</v>
      </c>
      <c r="G626" s="112" t="s">
        <v>3631</v>
      </c>
      <c r="H626" s="120" t="s">
        <v>3191</v>
      </c>
      <c r="I626" s="120" t="s">
        <v>3190</v>
      </c>
      <c r="J626" s="120" t="s">
        <v>772</v>
      </c>
      <c r="K626" s="112">
        <v>224700</v>
      </c>
      <c r="L626" s="113"/>
      <c r="M626" s="113">
        <v>209600</v>
      </c>
      <c r="N626" s="113"/>
      <c r="O626" s="113"/>
      <c r="P626" s="299">
        <f t="shared" si="45"/>
        <v>434300</v>
      </c>
      <c r="Q626" s="299">
        <f t="shared" si="46"/>
        <v>868600</v>
      </c>
      <c r="R626" s="299">
        <f t="shared" si="47"/>
        <v>868600</v>
      </c>
      <c r="S626" s="112">
        <v>0</v>
      </c>
    </row>
    <row r="627" spans="1:19" ht="30">
      <c r="A627" s="88"/>
      <c r="B627" s="87" t="s">
        <v>2143</v>
      </c>
      <c r="C627" s="88" t="s">
        <v>1877</v>
      </c>
      <c r="D627" s="147">
        <v>1</v>
      </c>
      <c r="E627" s="87"/>
      <c r="F627" s="113">
        <f t="shared" si="44"/>
        <v>1</v>
      </c>
      <c r="G627" s="112" t="s">
        <v>3630</v>
      </c>
      <c r="H627" s="120" t="s">
        <v>3191</v>
      </c>
      <c r="I627" s="120" t="s">
        <v>3190</v>
      </c>
      <c r="J627" s="120" t="s">
        <v>772</v>
      </c>
      <c r="K627" s="112">
        <v>342700</v>
      </c>
      <c r="L627" s="113"/>
      <c r="M627" s="113">
        <v>338600</v>
      </c>
      <c r="N627" s="113"/>
      <c r="O627" s="113"/>
      <c r="P627" s="299">
        <f t="shared" si="45"/>
        <v>681300</v>
      </c>
      <c r="Q627" s="299">
        <f t="shared" si="46"/>
        <v>681300</v>
      </c>
      <c r="R627" s="299">
        <f t="shared" si="47"/>
        <v>681300</v>
      </c>
      <c r="S627" s="112">
        <v>0</v>
      </c>
    </row>
    <row r="628" spans="1:19" ht="30">
      <c r="A628" s="88"/>
      <c r="B628" s="87" t="s">
        <v>2278</v>
      </c>
      <c r="C628" s="88" t="s">
        <v>1877</v>
      </c>
      <c r="D628" s="147">
        <v>4</v>
      </c>
      <c r="E628" s="87"/>
      <c r="F628" s="113">
        <f t="shared" si="44"/>
        <v>4</v>
      </c>
      <c r="G628" s="112" t="s">
        <v>3629</v>
      </c>
      <c r="H628" s="120" t="s">
        <v>3191</v>
      </c>
      <c r="I628" s="120" t="s">
        <v>3190</v>
      </c>
      <c r="J628" s="120" t="s">
        <v>772</v>
      </c>
      <c r="K628" s="112">
        <v>499600</v>
      </c>
      <c r="L628" s="113"/>
      <c r="M628" s="113">
        <v>415100</v>
      </c>
      <c r="N628" s="113"/>
      <c r="O628" s="113"/>
      <c r="P628" s="299">
        <f t="shared" si="45"/>
        <v>914700</v>
      </c>
      <c r="Q628" s="299">
        <f t="shared" si="46"/>
        <v>3658800</v>
      </c>
      <c r="R628" s="299">
        <f t="shared" si="47"/>
        <v>3658800</v>
      </c>
      <c r="S628" s="112">
        <v>0</v>
      </c>
    </row>
    <row r="629" spans="1:19" ht="30">
      <c r="A629" s="88"/>
      <c r="B629" s="87" t="s">
        <v>2137</v>
      </c>
      <c r="C629" s="88" t="s">
        <v>1877</v>
      </c>
      <c r="D629" s="147">
        <v>1</v>
      </c>
      <c r="E629" s="87"/>
      <c r="F629" s="113">
        <f t="shared" si="44"/>
        <v>1</v>
      </c>
      <c r="G629" s="112" t="s">
        <v>3628</v>
      </c>
      <c r="H629" s="120" t="s">
        <v>3191</v>
      </c>
      <c r="I629" s="120" t="s">
        <v>3190</v>
      </c>
      <c r="J629" s="120" t="s">
        <v>772</v>
      </c>
      <c r="K629" s="112">
        <v>586000</v>
      </c>
      <c r="L629" s="113"/>
      <c r="M629" s="113">
        <v>477600</v>
      </c>
      <c r="N629" s="113"/>
      <c r="O629" s="113"/>
      <c r="P629" s="299">
        <f t="shared" si="45"/>
        <v>1063600</v>
      </c>
      <c r="Q629" s="299">
        <f t="shared" si="46"/>
        <v>1063600</v>
      </c>
      <c r="R629" s="299">
        <f t="shared" si="47"/>
        <v>1063600</v>
      </c>
      <c r="S629" s="112">
        <v>0</v>
      </c>
    </row>
    <row r="630" spans="1:19">
      <c r="A630" s="79">
        <v>2.12</v>
      </c>
      <c r="B630" s="257" t="s">
        <v>2195</v>
      </c>
      <c r="C630" s="79"/>
      <c r="D630" s="143"/>
      <c r="E630" s="79"/>
      <c r="F630" s="113">
        <f t="shared" si="44"/>
        <v>0</v>
      </c>
      <c r="G630" s="112">
        <v>0</v>
      </c>
      <c r="H630" s="120">
        <v>0</v>
      </c>
      <c r="I630" s="120">
        <v>0</v>
      </c>
      <c r="J630" s="120">
        <v>0</v>
      </c>
      <c r="K630" s="112">
        <v>0</v>
      </c>
      <c r="L630" s="113"/>
      <c r="M630" s="113">
        <v>0</v>
      </c>
      <c r="N630" s="113"/>
      <c r="O630" s="113"/>
      <c r="P630" s="299">
        <f t="shared" si="45"/>
        <v>0</v>
      </c>
      <c r="Q630" s="299">
        <f t="shared" si="46"/>
        <v>0</v>
      </c>
      <c r="R630" s="299">
        <f t="shared" si="47"/>
        <v>0</v>
      </c>
      <c r="S630" s="112">
        <v>0</v>
      </c>
    </row>
    <row r="631" spans="1:19" ht="75">
      <c r="A631" s="79"/>
      <c r="B631" s="77" t="s">
        <v>2276</v>
      </c>
      <c r="C631" s="76" t="s">
        <v>1877</v>
      </c>
      <c r="D631" s="143">
        <v>1</v>
      </c>
      <c r="E631" s="79"/>
      <c r="F631" s="113">
        <f t="shared" si="44"/>
        <v>1</v>
      </c>
      <c r="G631" s="112" t="s">
        <v>3627</v>
      </c>
      <c r="H631" s="120" t="s">
        <v>3386</v>
      </c>
      <c r="I631" s="120" t="s">
        <v>3190</v>
      </c>
      <c r="J631" s="120" t="s">
        <v>772</v>
      </c>
      <c r="K631" s="112">
        <v>2500400</v>
      </c>
      <c r="L631" s="113"/>
      <c r="M631" s="113">
        <v>209600</v>
      </c>
      <c r="N631" s="113"/>
      <c r="O631" s="113"/>
      <c r="P631" s="299">
        <f t="shared" si="45"/>
        <v>2710000</v>
      </c>
      <c r="Q631" s="299">
        <f t="shared" si="46"/>
        <v>2710000</v>
      </c>
      <c r="R631" s="299">
        <f t="shared" si="47"/>
        <v>2710000</v>
      </c>
      <c r="S631" s="112" t="s">
        <v>3749</v>
      </c>
    </row>
    <row r="632" spans="1:19" ht="75">
      <c r="A632" s="79"/>
      <c r="B632" s="77" t="s">
        <v>2279</v>
      </c>
      <c r="C632" s="76" t="s">
        <v>1877</v>
      </c>
      <c r="D632" s="143">
        <v>2</v>
      </c>
      <c r="E632" s="79"/>
      <c r="F632" s="113">
        <f t="shared" si="44"/>
        <v>2</v>
      </c>
      <c r="G632" s="112" t="s">
        <v>3626</v>
      </c>
      <c r="H632" s="120" t="s">
        <v>3386</v>
      </c>
      <c r="I632" s="120" t="s">
        <v>3190</v>
      </c>
      <c r="J632" s="120" t="s">
        <v>772</v>
      </c>
      <c r="K632" s="112">
        <v>5131600</v>
      </c>
      <c r="L632" s="113"/>
      <c r="M632" s="113">
        <v>606600</v>
      </c>
      <c r="N632" s="113"/>
      <c r="O632" s="113"/>
      <c r="P632" s="299">
        <f t="shared" si="45"/>
        <v>5738200</v>
      </c>
      <c r="Q632" s="299">
        <f t="shared" si="46"/>
        <v>11476400</v>
      </c>
      <c r="R632" s="299">
        <f t="shared" si="47"/>
        <v>11476400</v>
      </c>
      <c r="S632" s="112" t="s">
        <v>3749</v>
      </c>
    </row>
    <row r="633" spans="1:19" ht="75">
      <c r="A633" s="88"/>
      <c r="B633" s="87" t="s">
        <v>2136</v>
      </c>
      <c r="C633" s="88" t="s">
        <v>1877</v>
      </c>
      <c r="D633" s="147">
        <v>3</v>
      </c>
      <c r="E633" s="87"/>
      <c r="F633" s="113">
        <f t="shared" si="44"/>
        <v>3</v>
      </c>
      <c r="G633" s="112" t="s">
        <v>3625</v>
      </c>
      <c r="H633" s="120" t="s">
        <v>3386</v>
      </c>
      <c r="I633" s="120" t="s">
        <v>3190</v>
      </c>
      <c r="J633" s="120" t="s">
        <v>772</v>
      </c>
      <c r="K633" s="112">
        <v>2280100</v>
      </c>
      <c r="L633" s="113"/>
      <c r="M633" s="113">
        <v>209600</v>
      </c>
      <c r="N633" s="113"/>
      <c r="O633" s="113"/>
      <c r="P633" s="299">
        <f t="shared" si="45"/>
        <v>2489700</v>
      </c>
      <c r="Q633" s="299">
        <f t="shared" si="46"/>
        <v>7469100</v>
      </c>
      <c r="R633" s="299">
        <f t="shared" si="47"/>
        <v>7469100</v>
      </c>
      <c r="S633" s="112" t="s">
        <v>3749</v>
      </c>
    </row>
    <row r="634" spans="1:19" ht="75">
      <c r="A634" s="88"/>
      <c r="B634" s="87" t="s">
        <v>2143</v>
      </c>
      <c r="C634" s="88" t="s">
        <v>1877</v>
      </c>
      <c r="D634" s="147">
        <v>1</v>
      </c>
      <c r="E634" s="87"/>
      <c r="F634" s="113">
        <f t="shared" si="44"/>
        <v>1</v>
      </c>
      <c r="G634" s="112" t="s">
        <v>3624</v>
      </c>
      <c r="H634" s="120" t="s">
        <v>3386</v>
      </c>
      <c r="I634" s="120" t="s">
        <v>3190</v>
      </c>
      <c r="J634" s="120" t="s">
        <v>772</v>
      </c>
      <c r="K634" s="112">
        <v>3303600</v>
      </c>
      <c r="L634" s="113"/>
      <c r="M634" s="113">
        <v>338600</v>
      </c>
      <c r="N634" s="113"/>
      <c r="O634" s="113"/>
      <c r="P634" s="299">
        <f t="shared" si="45"/>
        <v>3642200</v>
      </c>
      <c r="Q634" s="299">
        <f t="shared" si="46"/>
        <v>3642200</v>
      </c>
      <c r="R634" s="299">
        <f t="shared" si="47"/>
        <v>3642200</v>
      </c>
      <c r="S634" s="112" t="s">
        <v>3749</v>
      </c>
    </row>
    <row r="635" spans="1:19">
      <c r="A635" s="259">
        <v>2.13</v>
      </c>
      <c r="B635" s="257" t="s">
        <v>2280</v>
      </c>
      <c r="C635" s="76" t="s">
        <v>1877</v>
      </c>
      <c r="D635" s="143">
        <v>20</v>
      </c>
      <c r="E635" s="79"/>
      <c r="F635" s="113">
        <f t="shared" si="44"/>
        <v>20</v>
      </c>
      <c r="G635" s="112">
        <v>0</v>
      </c>
      <c r="H635" s="120">
        <v>0</v>
      </c>
      <c r="I635" s="120">
        <v>0</v>
      </c>
      <c r="J635" s="120" t="s">
        <v>772</v>
      </c>
      <c r="K635" s="112">
        <v>583700</v>
      </c>
      <c r="L635" s="113"/>
      <c r="M635" s="113">
        <v>38800</v>
      </c>
      <c r="N635" s="113"/>
      <c r="O635" s="113"/>
      <c r="P635" s="299">
        <f t="shared" si="45"/>
        <v>622500</v>
      </c>
      <c r="Q635" s="299">
        <f t="shared" si="46"/>
        <v>12450000</v>
      </c>
      <c r="R635" s="299">
        <f t="shared" si="47"/>
        <v>12450000</v>
      </c>
      <c r="S635" s="112">
        <v>0</v>
      </c>
    </row>
    <row r="636" spans="1:19">
      <c r="A636" s="259">
        <v>2.14</v>
      </c>
      <c r="B636" s="257" t="s">
        <v>1994</v>
      </c>
      <c r="C636" s="76" t="s">
        <v>17</v>
      </c>
      <c r="D636" s="143">
        <v>1</v>
      </c>
      <c r="E636" s="79"/>
      <c r="F636" s="113">
        <f t="shared" si="44"/>
        <v>1</v>
      </c>
      <c r="G636" s="112">
        <v>0</v>
      </c>
      <c r="H636" s="120">
        <v>0</v>
      </c>
      <c r="I636" s="120">
        <v>0</v>
      </c>
      <c r="J636" s="120" t="s">
        <v>806</v>
      </c>
      <c r="K636" s="112">
        <v>0</v>
      </c>
      <c r="L636" s="113"/>
      <c r="M636" s="113">
        <v>0</v>
      </c>
      <c r="N636" s="113"/>
      <c r="O636" s="113"/>
      <c r="P636" s="299">
        <f t="shared" si="45"/>
        <v>0</v>
      </c>
      <c r="Q636" s="299">
        <f t="shared" si="46"/>
        <v>0</v>
      </c>
      <c r="R636" s="299">
        <f t="shared" si="47"/>
        <v>0</v>
      </c>
      <c r="S636" s="112">
        <v>0</v>
      </c>
    </row>
    <row r="637" spans="1:19">
      <c r="A637" s="90">
        <v>2.15</v>
      </c>
      <c r="B637" s="91" t="s">
        <v>2281</v>
      </c>
      <c r="C637" s="90">
        <v>0</v>
      </c>
      <c r="D637" s="258"/>
      <c r="E637" s="91"/>
      <c r="F637" s="113">
        <f t="shared" si="44"/>
        <v>0</v>
      </c>
      <c r="G637" s="112">
        <v>0</v>
      </c>
      <c r="H637" s="120">
        <v>0</v>
      </c>
      <c r="I637" s="120">
        <v>0</v>
      </c>
      <c r="J637" s="120">
        <v>0</v>
      </c>
      <c r="K637" s="112">
        <v>0</v>
      </c>
      <c r="L637" s="113"/>
      <c r="M637" s="113">
        <v>0</v>
      </c>
      <c r="N637" s="113"/>
      <c r="O637" s="113"/>
      <c r="P637" s="299">
        <f t="shared" si="45"/>
        <v>0</v>
      </c>
      <c r="Q637" s="299">
        <f t="shared" si="46"/>
        <v>0</v>
      </c>
      <c r="R637" s="299">
        <f t="shared" si="47"/>
        <v>0</v>
      </c>
      <c r="S637" s="112">
        <v>0</v>
      </c>
    </row>
    <row r="638" spans="1:19" ht="45">
      <c r="A638" s="88"/>
      <c r="B638" s="87" t="s">
        <v>2282</v>
      </c>
      <c r="C638" s="88" t="s">
        <v>1877</v>
      </c>
      <c r="D638" s="147">
        <v>13</v>
      </c>
      <c r="E638" s="87"/>
      <c r="F638" s="113">
        <f t="shared" si="44"/>
        <v>13</v>
      </c>
      <c r="G638" s="112" t="s">
        <v>3484</v>
      </c>
      <c r="H638" s="120" t="s">
        <v>3205</v>
      </c>
      <c r="I638" s="120" t="s">
        <v>3479</v>
      </c>
      <c r="J638" s="120" t="s">
        <v>772</v>
      </c>
      <c r="K638" s="112">
        <v>31784900</v>
      </c>
      <c r="L638" s="113"/>
      <c r="M638" s="113">
        <v>1450800</v>
      </c>
      <c r="N638" s="113"/>
      <c r="O638" s="113"/>
      <c r="P638" s="299">
        <f t="shared" si="45"/>
        <v>33235700</v>
      </c>
      <c r="Q638" s="299">
        <f t="shared" si="46"/>
        <v>432064100</v>
      </c>
      <c r="R638" s="299">
        <f t="shared" si="47"/>
        <v>432064100</v>
      </c>
      <c r="S638" s="112">
        <v>0</v>
      </c>
    </row>
    <row r="639" spans="1:19" ht="45">
      <c r="A639" s="88"/>
      <c r="B639" s="87" t="s">
        <v>2283</v>
      </c>
      <c r="C639" s="88" t="s">
        <v>1877</v>
      </c>
      <c r="D639" s="147">
        <v>2</v>
      </c>
      <c r="E639" s="87"/>
      <c r="F639" s="113">
        <f t="shared" si="44"/>
        <v>2</v>
      </c>
      <c r="G639" s="112" t="s">
        <v>3483</v>
      </c>
      <c r="H639" s="120" t="s">
        <v>3205</v>
      </c>
      <c r="I639" s="120" t="s">
        <v>3479</v>
      </c>
      <c r="J639" s="120" t="s">
        <v>772</v>
      </c>
      <c r="K639" s="112">
        <v>23564800</v>
      </c>
      <c r="L639" s="113"/>
      <c r="M639" s="113">
        <v>1257400</v>
      </c>
      <c r="N639" s="113"/>
      <c r="O639" s="113"/>
      <c r="P639" s="299">
        <f t="shared" si="45"/>
        <v>24822200</v>
      </c>
      <c r="Q639" s="299">
        <f t="shared" si="46"/>
        <v>49644400</v>
      </c>
      <c r="R639" s="299">
        <f t="shared" si="47"/>
        <v>49644400</v>
      </c>
      <c r="S639" s="112">
        <v>0</v>
      </c>
    </row>
    <row r="640" spans="1:19" ht="45">
      <c r="A640" s="88"/>
      <c r="B640" s="87" t="s">
        <v>2284</v>
      </c>
      <c r="C640" s="88" t="s">
        <v>1877</v>
      </c>
      <c r="D640" s="147">
        <v>8</v>
      </c>
      <c r="E640" s="87"/>
      <c r="F640" s="113">
        <f t="shared" si="44"/>
        <v>8</v>
      </c>
      <c r="G640" s="112" t="s">
        <v>3482</v>
      </c>
      <c r="H640" s="120" t="s">
        <v>3205</v>
      </c>
      <c r="I640" s="120" t="s">
        <v>3479</v>
      </c>
      <c r="J640" s="120" t="s">
        <v>772</v>
      </c>
      <c r="K640" s="112">
        <v>16966300</v>
      </c>
      <c r="L640" s="113"/>
      <c r="M640" s="113">
        <v>1064000</v>
      </c>
      <c r="N640" s="113"/>
      <c r="O640" s="113"/>
      <c r="P640" s="299">
        <f t="shared" si="45"/>
        <v>18030300</v>
      </c>
      <c r="Q640" s="299">
        <f t="shared" si="46"/>
        <v>144242400</v>
      </c>
      <c r="R640" s="299">
        <f t="shared" si="47"/>
        <v>144242400</v>
      </c>
      <c r="S640" s="112">
        <v>0</v>
      </c>
    </row>
    <row r="641" spans="1:19" ht="45">
      <c r="A641" s="88"/>
      <c r="B641" s="87" t="s">
        <v>2285</v>
      </c>
      <c r="C641" s="88" t="s">
        <v>1877</v>
      </c>
      <c r="D641" s="147">
        <v>1</v>
      </c>
      <c r="E641" s="87"/>
      <c r="F641" s="113">
        <f t="shared" si="44"/>
        <v>1</v>
      </c>
      <c r="G641" s="112" t="s">
        <v>3481</v>
      </c>
      <c r="H641" s="120" t="s">
        <v>3205</v>
      </c>
      <c r="I641" s="120" t="s">
        <v>3479</v>
      </c>
      <c r="J641" s="120" t="s">
        <v>772</v>
      </c>
      <c r="K641" s="112">
        <v>12503700</v>
      </c>
      <c r="L641" s="113"/>
      <c r="M641" s="113">
        <v>935000</v>
      </c>
      <c r="N641" s="113"/>
      <c r="O641" s="113"/>
      <c r="P641" s="299">
        <f t="shared" si="45"/>
        <v>13438700</v>
      </c>
      <c r="Q641" s="299">
        <f t="shared" si="46"/>
        <v>13438700</v>
      </c>
      <c r="R641" s="299">
        <f t="shared" si="47"/>
        <v>13438700</v>
      </c>
      <c r="S641" s="112">
        <v>0</v>
      </c>
    </row>
    <row r="642" spans="1:19" ht="45">
      <c r="A642" s="88"/>
      <c r="B642" s="87" t="s">
        <v>2286</v>
      </c>
      <c r="C642" s="88" t="s">
        <v>1877</v>
      </c>
      <c r="D642" s="147">
        <v>2</v>
      </c>
      <c r="E642" s="87"/>
      <c r="F642" s="113">
        <f t="shared" si="44"/>
        <v>2</v>
      </c>
      <c r="G642" s="112" t="s">
        <v>3480</v>
      </c>
      <c r="H642" s="120" t="s">
        <v>3205</v>
      </c>
      <c r="I642" s="120" t="s">
        <v>3479</v>
      </c>
      <c r="J642" s="120" t="s">
        <v>772</v>
      </c>
      <c r="K642" s="112">
        <v>10902600</v>
      </c>
      <c r="L642" s="113"/>
      <c r="M642" s="113">
        <v>870500</v>
      </c>
      <c r="N642" s="113"/>
      <c r="O642" s="113"/>
      <c r="P642" s="299">
        <f t="shared" si="45"/>
        <v>11773100</v>
      </c>
      <c r="Q642" s="299">
        <f t="shared" si="46"/>
        <v>23546200</v>
      </c>
      <c r="R642" s="299">
        <f t="shared" si="47"/>
        <v>23546200</v>
      </c>
      <c r="S642" s="112">
        <v>0</v>
      </c>
    </row>
    <row r="643" spans="1:19">
      <c r="A643" s="90">
        <v>2.16</v>
      </c>
      <c r="B643" s="91" t="s">
        <v>2287</v>
      </c>
      <c r="C643" s="88"/>
      <c r="D643" s="147"/>
      <c r="E643" s="87"/>
      <c r="F643" s="113">
        <f t="shared" si="44"/>
        <v>0</v>
      </c>
      <c r="G643" s="112">
        <v>0</v>
      </c>
      <c r="H643" s="120">
        <v>0</v>
      </c>
      <c r="I643" s="120">
        <v>0</v>
      </c>
      <c r="J643" s="120">
        <v>0</v>
      </c>
      <c r="K643" s="112">
        <v>0</v>
      </c>
      <c r="L643" s="113"/>
      <c r="M643" s="113">
        <v>0</v>
      </c>
      <c r="N643" s="113"/>
      <c r="O643" s="113"/>
      <c r="P643" s="299">
        <f t="shared" si="45"/>
        <v>0</v>
      </c>
      <c r="Q643" s="299">
        <f t="shared" si="46"/>
        <v>0</v>
      </c>
      <c r="R643" s="299">
        <f t="shared" si="47"/>
        <v>0</v>
      </c>
      <c r="S643" s="112">
        <v>0</v>
      </c>
    </row>
    <row r="644" spans="1:19">
      <c r="A644" s="88"/>
      <c r="B644" s="87" t="s">
        <v>2288</v>
      </c>
      <c r="C644" s="88" t="s">
        <v>1877</v>
      </c>
      <c r="D644" s="147">
        <v>2</v>
      </c>
      <c r="E644" s="87"/>
      <c r="F644" s="113">
        <f t="shared" si="44"/>
        <v>2</v>
      </c>
      <c r="G644" s="112">
        <v>0</v>
      </c>
      <c r="H644" s="120" t="s">
        <v>3191</v>
      </c>
      <c r="I644" s="120" t="s">
        <v>3479</v>
      </c>
      <c r="J644" s="120" t="s">
        <v>772</v>
      </c>
      <c r="K644" s="112">
        <v>360600</v>
      </c>
      <c r="L644" s="113"/>
      <c r="M644" s="113">
        <v>175300</v>
      </c>
      <c r="N644" s="113"/>
      <c r="O644" s="113"/>
      <c r="P644" s="299">
        <f t="shared" si="45"/>
        <v>535900</v>
      </c>
      <c r="Q644" s="299">
        <f t="shared" si="46"/>
        <v>1071800</v>
      </c>
      <c r="R644" s="299">
        <f t="shared" si="47"/>
        <v>1071800</v>
      </c>
      <c r="S644" s="112">
        <v>0</v>
      </c>
    </row>
    <row r="645" spans="1:19">
      <c r="A645" s="271">
        <v>3</v>
      </c>
      <c r="B645" s="168" t="s">
        <v>2289</v>
      </c>
      <c r="C645" s="273"/>
      <c r="D645" s="78"/>
      <c r="E645" s="109"/>
      <c r="F645" s="113">
        <f t="shared" si="44"/>
        <v>0</v>
      </c>
      <c r="G645" s="112">
        <v>0</v>
      </c>
      <c r="H645" s="120">
        <v>0</v>
      </c>
      <c r="I645" s="120">
        <v>0</v>
      </c>
      <c r="J645" s="120">
        <v>0</v>
      </c>
      <c r="K645" s="112">
        <v>0</v>
      </c>
      <c r="L645" s="113"/>
      <c r="M645" s="113">
        <v>0</v>
      </c>
      <c r="N645" s="113"/>
      <c r="O645" s="113"/>
      <c r="P645" s="299">
        <f t="shared" si="45"/>
        <v>0</v>
      </c>
      <c r="Q645" s="299">
        <f t="shared" si="46"/>
        <v>0</v>
      </c>
      <c r="R645" s="299">
        <f t="shared" si="47"/>
        <v>0</v>
      </c>
      <c r="S645" s="112">
        <v>0</v>
      </c>
    </row>
    <row r="646" spans="1:19" ht="57">
      <c r="A646" s="79">
        <v>1.1000000000000001</v>
      </c>
      <c r="B646" s="80" t="s">
        <v>2290</v>
      </c>
      <c r="C646" s="79"/>
      <c r="D646" s="143"/>
      <c r="E646" s="79"/>
      <c r="F646" s="113">
        <f t="shared" si="44"/>
        <v>0</v>
      </c>
      <c r="G646" s="112">
        <v>0</v>
      </c>
      <c r="H646" s="120">
        <v>0</v>
      </c>
      <c r="I646" s="120">
        <v>0</v>
      </c>
      <c r="J646" s="120">
        <v>0</v>
      </c>
      <c r="K646" s="112">
        <v>0</v>
      </c>
      <c r="L646" s="113"/>
      <c r="M646" s="113">
        <v>0</v>
      </c>
      <c r="N646" s="113"/>
      <c r="O646" s="113"/>
      <c r="P646" s="299">
        <f t="shared" si="45"/>
        <v>0</v>
      </c>
      <c r="Q646" s="299">
        <f t="shared" si="46"/>
        <v>0</v>
      </c>
      <c r="R646" s="299">
        <f t="shared" si="47"/>
        <v>0</v>
      </c>
      <c r="S646" s="112">
        <v>0</v>
      </c>
    </row>
    <row r="647" spans="1:19" ht="60">
      <c r="A647" s="79"/>
      <c r="B647" s="77" t="s">
        <v>2291</v>
      </c>
      <c r="C647" s="76" t="s">
        <v>1861</v>
      </c>
      <c r="D647" s="143">
        <v>17.649999999999999</v>
      </c>
      <c r="E647" s="79"/>
      <c r="F647" s="113">
        <f t="shared" si="44"/>
        <v>17.649999999999999</v>
      </c>
      <c r="G647" s="112" t="s">
        <v>4035</v>
      </c>
      <c r="H647" s="120" t="s">
        <v>3360</v>
      </c>
      <c r="I647" s="120" t="s">
        <v>4036</v>
      </c>
      <c r="J647" s="120" t="s">
        <v>4037</v>
      </c>
      <c r="K647" s="112">
        <v>645800</v>
      </c>
      <c r="L647" s="113"/>
      <c r="M647" s="113">
        <v>206400</v>
      </c>
      <c r="N647" s="113"/>
      <c r="O647" s="113"/>
      <c r="P647" s="299">
        <f t="shared" si="45"/>
        <v>852200</v>
      </c>
      <c r="Q647" s="299">
        <f t="shared" si="46"/>
        <v>15041329.999999998</v>
      </c>
      <c r="R647" s="299">
        <f t="shared" si="47"/>
        <v>15041329.999999998</v>
      </c>
      <c r="S647" s="112">
        <v>0</v>
      </c>
    </row>
    <row r="648" spans="1:19" ht="60">
      <c r="A648" s="79"/>
      <c r="B648" s="77" t="s">
        <v>2292</v>
      </c>
      <c r="C648" s="76" t="s">
        <v>1861</v>
      </c>
      <c r="D648" s="143">
        <v>16.87</v>
      </c>
      <c r="E648" s="79"/>
      <c r="F648" s="113">
        <f t="shared" ref="F648:F711" si="48">D648</f>
        <v>16.87</v>
      </c>
      <c r="G648" s="112" t="s">
        <v>4038</v>
      </c>
      <c r="H648" s="120" t="s">
        <v>3360</v>
      </c>
      <c r="I648" s="120" t="s">
        <v>4036</v>
      </c>
      <c r="J648" s="120" t="s">
        <v>4037</v>
      </c>
      <c r="K648" s="112">
        <v>763500</v>
      </c>
      <c r="L648" s="113"/>
      <c r="M648" s="113">
        <v>245700</v>
      </c>
      <c r="N648" s="113"/>
      <c r="O648" s="113"/>
      <c r="P648" s="299">
        <f t="shared" ref="P648:P711" si="49">K648+L648+M648+N648+O648</f>
        <v>1009200</v>
      </c>
      <c r="Q648" s="299">
        <f t="shared" ref="Q648:Q711" si="50">+P648*D648</f>
        <v>17025204</v>
      </c>
      <c r="R648" s="299">
        <f t="shared" ref="R648:R711" si="51">+P648*F648</f>
        <v>17025204</v>
      </c>
      <c r="S648" s="112">
        <v>0</v>
      </c>
    </row>
    <row r="649" spans="1:19" ht="60">
      <c r="A649" s="79"/>
      <c r="B649" s="77" t="s">
        <v>2293</v>
      </c>
      <c r="C649" s="76" t="s">
        <v>1861</v>
      </c>
      <c r="D649" s="143">
        <v>175.35</v>
      </c>
      <c r="E649" s="79"/>
      <c r="F649" s="113">
        <f t="shared" si="48"/>
        <v>175.35</v>
      </c>
      <c r="G649" s="112" t="s">
        <v>4039</v>
      </c>
      <c r="H649" s="120" t="s">
        <v>3360</v>
      </c>
      <c r="I649" s="120" t="s">
        <v>4036</v>
      </c>
      <c r="J649" s="120" t="s">
        <v>4037</v>
      </c>
      <c r="K649" s="112">
        <v>881100</v>
      </c>
      <c r="L649" s="113"/>
      <c r="M649" s="113">
        <v>285000</v>
      </c>
      <c r="N649" s="113"/>
      <c r="O649" s="113"/>
      <c r="P649" s="299">
        <f t="shared" si="49"/>
        <v>1166100</v>
      </c>
      <c r="Q649" s="299">
        <f t="shared" si="50"/>
        <v>204475635</v>
      </c>
      <c r="R649" s="299">
        <f t="shared" si="51"/>
        <v>204475635</v>
      </c>
      <c r="S649" s="112">
        <v>0</v>
      </c>
    </row>
    <row r="650" spans="1:19" ht="60">
      <c r="A650" s="79"/>
      <c r="B650" s="77" t="s">
        <v>2294</v>
      </c>
      <c r="C650" s="76" t="s">
        <v>1861</v>
      </c>
      <c r="D650" s="143">
        <v>204.20999999999998</v>
      </c>
      <c r="E650" s="79"/>
      <c r="F650" s="113">
        <f t="shared" si="48"/>
        <v>204.20999999999998</v>
      </c>
      <c r="G650" s="112" t="s">
        <v>4040</v>
      </c>
      <c r="H650" s="120" t="s">
        <v>3360</v>
      </c>
      <c r="I650" s="120" t="s">
        <v>4036</v>
      </c>
      <c r="J650" s="120" t="s">
        <v>4037</v>
      </c>
      <c r="K650" s="112">
        <v>1013700</v>
      </c>
      <c r="L650" s="113"/>
      <c r="M650" s="113">
        <v>337700</v>
      </c>
      <c r="N650" s="113"/>
      <c r="O650" s="113"/>
      <c r="P650" s="299">
        <f t="shared" si="49"/>
        <v>1351400</v>
      </c>
      <c r="Q650" s="299">
        <f t="shared" si="50"/>
        <v>275969394</v>
      </c>
      <c r="R650" s="299">
        <f t="shared" si="51"/>
        <v>275969394</v>
      </c>
      <c r="S650" s="112">
        <v>0</v>
      </c>
    </row>
    <row r="651" spans="1:19" ht="60">
      <c r="A651" s="79"/>
      <c r="B651" s="77" t="s">
        <v>2295</v>
      </c>
      <c r="C651" s="76" t="s">
        <v>1861</v>
      </c>
      <c r="D651" s="143">
        <v>124.69999999999999</v>
      </c>
      <c r="E651" s="79"/>
      <c r="F651" s="113">
        <f t="shared" si="48"/>
        <v>124.69999999999999</v>
      </c>
      <c r="G651" s="112" t="s">
        <v>4041</v>
      </c>
      <c r="H651" s="120" t="s">
        <v>3193</v>
      </c>
      <c r="I651" s="120" t="s">
        <v>4036</v>
      </c>
      <c r="J651" s="120" t="s">
        <v>4037</v>
      </c>
      <c r="K651" s="112">
        <v>1390100</v>
      </c>
      <c r="L651" s="113"/>
      <c r="M651" s="113">
        <v>450900</v>
      </c>
      <c r="N651" s="113"/>
      <c r="O651" s="113"/>
      <c r="P651" s="299">
        <f t="shared" si="49"/>
        <v>1841000</v>
      </c>
      <c r="Q651" s="299">
        <f t="shared" si="50"/>
        <v>229572699.99999997</v>
      </c>
      <c r="R651" s="299">
        <f t="shared" si="51"/>
        <v>229572699.99999997</v>
      </c>
      <c r="S651" s="112">
        <v>0</v>
      </c>
    </row>
    <row r="652" spans="1:19" ht="60">
      <c r="A652" s="79"/>
      <c r="B652" s="77" t="s">
        <v>2223</v>
      </c>
      <c r="C652" s="76" t="s">
        <v>1861</v>
      </c>
      <c r="D652" s="143">
        <v>80.78</v>
      </c>
      <c r="E652" s="79"/>
      <c r="F652" s="113">
        <f t="shared" si="48"/>
        <v>80.78</v>
      </c>
      <c r="G652" s="112" t="s">
        <v>4042</v>
      </c>
      <c r="H652" s="120" t="s">
        <v>3193</v>
      </c>
      <c r="I652" s="120" t="s">
        <v>4036</v>
      </c>
      <c r="J652" s="120" t="s">
        <v>4037</v>
      </c>
      <c r="K652" s="112">
        <v>1467000</v>
      </c>
      <c r="L652" s="113"/>
      <c r="M652" s="113">
        <v>476600</v>
      </c>
      <c r="N652" s="113"/>
      <c r="O652" s="113"/>
      <c r="P652" s="299">
        <f t="shared" si="49"/>
        <v>1943600</v>
      </c>
      <c r="Q652" s="299">
        <f t="shared" si="50"/>
        <v>157004008</v>
      </c>
      <c r="R652" s="299">
        <f t="shared" si="51"/>
        <v>157004008</v>
      </c>
      <c r="S652" s="112">
        <v>0</v>
      </c>
    </row>
    <row r="653" spans="1:19" ht="60">
      <c r="A653" s="79"/>
      <c r="B653" s="77" t="s">
        <v>2296</v>
      </c>
      <c r="C653" s="76" t="s">
        <v>1861</v>
      </c>
      <c r="D653" s="143">
        <v>24.69</v>
      </c>
      <c r="E653" s="79"/>
      <c r="F653" s="113">
        <f t="shared" si="48"/>
        <v>24.69</v>
      </c>
      <c r="G653" s="112" t="s">
        <v>4043</v>
      </c>
      <c r="H653" s="120" t="s">
        <v>3193</v>
      </c>
      <c r="I653" s="120" t="s">
        <v>4036</v>
      </c>
      <c r="J653" s="120" t="s">
        <v>4037</v>
      </c>
      <c r="K653" s="112">
        <v>1543900</v>
      </c>
      <c r="L653" s="113"/>
      <c r="M653" s="113">
        <v>502300</v>
      </c>
      <c r="N653" s="113"/>
      <c r="O653" s="113"/>
      <c r="P653" s="299">
        <f t="shared" si="49"/>
        <v>2046200</v>
      </c>
      <c r="Q653" s="299">
        <f t="shared" si="50"/>
        <v>50520678</v>
      </c>
      <c r="R653" s="299">
        <f t="shared" si="51"/>
        <v>50520678</v>
      </c>
      <c r="S653" s="112">
        <v>0</v>
      </c>
    </row>
    <row r="654" spans="1:19" ht="60">
      <c r="A654" s="79"/>
      <c r="B654" s="77" t="s">
        <v>2217</v>
      </c>
      <c r="C654" s="76" t="s">
        <v>1861</v>
      </c>
      <c r="D654" s="143">
        <v>14.14</v>
      </c>
      <c r="E654" s="79"/>
      <c r="F654" s="113">
        <f t="shared" si="48"/>
        <v>14.14</v>
      </c>
      <c r="G654" s="112" t="s">
        <v>4044</v>
      </c>
      <c r="H654" s="120" t="s">
        <v>3360</v>
      </c>
      <c r="I654" s="120" t="s">
        <v>4036</v>
      </c>
      <c r="J654" s="120" t="s">
        <v>4037</v>
      </c>
      <c r="K654" s="112">
        <v>1085400</v>
      </c>
      <c r="L654" s="113"/>
      <c r="M654" s="113">
        <v>362500</v>
      </c>
      <c r="N654" s="113"/>
      <c r="O654" s="113"/>
      <c r="P654" s="299">
        <f t="shared" si="49"/>
        <v>1447900</v>
      </c>
      <c r="Q654" s="299">
        <f t="shared" si="50"/>
        <v>20473306</v>
      </c>
      <c r="R654" s="299">
        <f t="shared" si="51"/>
        <v>20473306</v>
      </c>
      <c r="S654" s="112">
        <v>0</v>
      </c>
    </row>
    <row r="655" spans="1:19" ht="57">
      <c r="A655" s="79" t="s">
        <v>1882</v>
      </c>
      <c r="B655" s="80" t="s">
        <v>2297</v>
      </c>
      <c r="C655" s="79"/>
      <c r="D655" s="143"/>
      <c r="E655" s="79"/>
      <c r="F655" s="113">
        <f t="shared" si="48"/>
        <v>0</v>
      </c>
      <c r="G655" s="112">
        <v>0</v>
      </c>
      <c r="H655" s="120">
        <v>0</v>
      </c>
      <c r="I655" s="120">
        <v>0</v>
      </c>
      <c r="J655" s="120">
        <v>0</v>
      </c>
      <c r="K655" s="112">
        <v>0</v>
      </c>
      <c r="L655" s="113"/>
      <c r="M655" s="113">
        <v>0</v>
      </c>
      <c r="N655" s="113"/>
      <c r="O655" s="113"/>
      <c r="P655" s="299">
        <f t="shared" si="49"/>
        <v>0</v>
      </c>
      <c r="Q655" s="299">
        <f t="shared" si="50"/>
        <v>0</v>
      </c>
      <c r="R655" s="299">
        <f t="shared" si="51"/>
        <v>0</v>
      </c>
      <c r="S655" s="112">
        <v>0</v>
      </c>
    </row>
    <row r="656" spans="1:19" ht="75">
      <c r="A656" s="76"/>
      <c r="B656" s="77" t="s">
        <v>2298</v>
      </c>
      <c r="C656" s="76" t="s">
        <v>1877</v>
      </c>
      <c r="D656" s="143">
        <v>84</v>
      </c>
      <c r="E656" s="76"/>
      <c r="F656" s="113">
        <f t="shared" si="48"/>
        <v>84</v>
      </c>
      <c r="G656" s="112" t="s">
        <v>4045</v>
      </c>
      <c r="H656" s="120" t="s">
        <v>3193</v>
      </c>
      <c r="I656" s="120" t="s">
        <v>4036</v>
      </c>
      <c r="J656" s="120" t="s">
        <v>4037</v>
      </c>
      <c r="K656" s="112">
        <v>272100</v>
      </c>
      <c r="L656" s="113"/>
      <c r="M656" s="113">
        <v>75100</v>
      </c>
      <c r="N656" s="113"/>
      <c r="O656" s="113"/>
      <c r="P656" s="299">
        <f t="shared" si="49"/>
        <v>347200</v>
      </c>
      <c r="Q656" s="299">
        <f t="shared" si="50"/>
        <v>29164800</v>
      </c>
      <c r="R656" s="299">
        <f t="shared" si="51"/>
        <v>29164800</v>
      </c>
      <c r="S656" s="112">
        <v>0</v>
      </c>
    </row>
    <row r="657" spans="1:19" ht="75">
      <c r="A657" s="76"/>
      <c r="B657" s="77" t="s">
        <v>2299</v>
      </c>
      <c r="C657" s="76" t="s">
        <v>1877</v>
      </c>
      <c r="D657" s="143">
        <v>6</v>
      </c>
      <c r="E657" s="76"/>
      <c r="F657" s="113">
        <f t="shared" si="48"/>
        <v>6</v>
      </c>
      <c r="G657" s="112" t="s">
        <v>4046</v>
      </c>
      <c r="H657" s="120" t="s">
        <v>3193</v>
      </c>
      <c r="I657" s="120" t="s">
        <v>4036</v>
      </c>
      <c r="J657" s="120" t="s">
        <v>4037</v>
      </c>
      <c r="K657" s="112">
        <v>289500</v>
      </c>
      <c r="L657" s="113"/>
      <c r="M657" s="113">
        <v>80500</v>
      </c>
      <c r="N657" s="113"/>
      <c r="O657" s="113"/>
      <c r="P657" s="299">
        <f t="shared" si="49"/>
        <v>370000</v>
      </c>
      <c r="Q657" s="299">
        <f t="shared" si="50"/>
        <v>2220000</v>
      </c>
      <c r="R657" s="299">
        <f t="shared" si="51"/>
        <v>2220000</v>
      </c>
      <c r="S657" s="112">
        <v>0</v>
      </c>
    </row>
    <row r="658" spans="1:19" ht="28.5">
      <c r="A658" s="79" t="s">
        <v>2300</v>
      </c>
      <c r="B658" s="80" t="s">
        <v>2301</v>
      </c>
      <c r="C658" s="79"/>
      <c r="D658" s="143"/>
      <c r="E658" s="79"/>
      <c r="F658" s="113">
        <f t="shared" si="48"/>
        <v>0</v>
      </c>
      <c r="G658" s="112">
        <v>0</v>
      </c>
      <c r="H658" s="120">
        <v>0</v>
      </c>
      <c r="I658" s="120">
        <v>0</v>
      </c>
      <c r="J658" s="120">
        <v>0</v>
      </c>
      <c r="K658" s="112">
        <v>0</v>
      </c>
      <c r="L658" s="113"/>
      <c r="M658" s="113">
        <v>0</v>
      </c>
      <c r="N658" s="113"/>
      <c r="O658" s="113"/>
      <c r="P658" s="299">
        <f t="shared" si="49"/>
        <v>0</v>
      </c>
      <c r="Q658" s="299">
        <f t="shared" si="50"/>
        <v>0</v>
      </c>
      <c r="R658" s="299">
        <f t="shared" si="51"/>
        <v>0</v>
      </c>
      <c r="S658" s="112">
        <v>0</v>
      </c>
    </row>
    <row r="659" spans="1:19" ht="45">
      <c r="A659" s="76"/>
      <c r="B659" s="77" t="s">
        <v>2302</v>
      </c>
      <c r="C659" s="76" t="s">
        <v>1861</v>
      </c>
      <c r="D659" s="143">
        <v>671.74239999999998</v>
      </c>
      <c r="E659" s="76"/>
      <c r="F659" s="113">
        <f t="shared" si="48"/>
        <v>671.74239999999998</v>
      </c>
      <c r="G659" s="112" t="s">
        <v>3334</v>
      </c>
      <c r="H659" s="120">
        <v>0</v>
      </c>
      <c r="I659" s="120" t="s">
        <v>3333</v>
      </c>
      <c r="J659" s="120" t="s">
        <v>772</v>
      </c>
      <c r="K659" s="112">
        <v>84600</v>
      </c>
      <c r="L659" s="113"/>
      <c r="M659" s="113">
        <v>48400</v>
      </c>
      <c r="N659" s="113"/>
      <c r="O659" s="113"/>
      <c r="P659" s="299">
        <f t="shared" si="49"/>
        <v>133000</v>
      </c>
      <c r="Q659" s="299">
        <f t="shared" si="50"/>
        <v>89341739.200000003</v>
      </c>
      <c r="R659" s="299">
        <f t="shared" si="51"/>
        <v>89341739.200000003</v>
      </c>
      <c r="S659" s="112">
        <v>0</v>
      </c>
    </row>
    <row r="660" spans="1:19" ht="45">
      <c r="A660" s="76"/>
      <c r="B660" s="77" t="s">
        <v>2303</v>
      </c>
      <c r="C660" s="76" t="s">
        <v>1861</v>
      </c>
      <c r="D660" s="143">
        <v>383.80299999999994</v>
      </c>
      <c r="E660" s="76"/>
      <c r="F660" s="113">
        <f t="shared" si="48"/>
        <v>383.80299999999994</v>
      </c>
      <c r="G660" s="112" t="s">
        <v>3339</v>
      </c>
      <c r="H660" s="120">
        <v>0</v>
      </c>
      <c r="I660" s="120" t="s">
        <v>3333</v>
      </c>
      <c r="J660" s="120" t="s">
        <v>772</v>
      </c>
      <c r="K660" s="112">
        <v>111100</v>
      </c>
      <c r="L660" s="113"/>
      <c r="M660" s="113">
        <v>54500</v>
      </c>
      <c r="N660" s="113"/>
      <c r="O660" s="113"/>
      <c r="P660" s="299">
        <f t="shared" si="49"/>
        <v>165600</v>
      </c>
      <c r="Q660" s="299">
        <f t="shared" si="50"/>
        <v>63557776.79999999</v>
      </c>
      <c r="R660" s="299">
        <f t="shared" si="51"/>
        <v>63557776.79999999</v>
      </c>
      <c r="S660" s="112">
        <v>0</v>
      </c>
    </row>
    <row r="661" spans="1:19" ht="45">
      <c r="A661" s="76"/>
      <c r="B661" s="77" t="s">
        <v>2304</v>
      </c>
      <c r="C661" s="76" t="s">
        <v>1861</v>
      </c>
      <c r="D661" s="143">
        <v>1004.1261999999998</v>
      </c>
      <c r="E661" s="76"/>
      <c r="F661" s="113">
        <f t="shared" si="48"/>
        <v>1004.1261999999998</v>
      </c>
      <c r="G661" s="112" t="s">
        <v>3341</v>
      </c>
      <c r="H661" s="120">
        <v>0</v>
      </c>
      <c r="I661" s="120" t="s">
        <v>3333</v>
      </c>
      <c r="J661" s="120" t="s">
        <v>772</v>
      </c>
      <c r="K661" s="112">
        <v>127100</v>
      </c>
      <c r="L661" s="113"/>
      <c r="M661" s="113">
        <v>56500</v>
      </c>
      <c r="N661" s="113"/>
      <c r="O661" s="113"/>
      <c r="P661" s="299">
        <f t="shared" si="49"/>
        <v>183600</v>
      </c>
      <c r="Q661" s="299">
        <f t="shared" si="50"/>
        <v>184357570.31999996</v>
      </c>
      <c r="R661" s="299">
        <f t="shared" si="51"/>
        <v>184357570.31999996</v>
      </c>
      <c r="S661" s="112">
        <v>0</v>
      </c>
    </row>
    <row r="662" spans="1:19" ht="45">
      <c r="A662" s="76"/>
      <c r="B662" s="77" t="s">
        <v>2305</v>
      </c>
      <c r="C662" s="76" t="s">
        <v>1861</v>
      </c>
      <c r="D662" s="143">
        <v>21.3766</v>
      </c>
      <c r="E662" s="76"/>
      <c r="F662" s="113">
        <f t="shared" si="48"/>
        <v>21.3766</v>
      </c>
      <c r="G662" s="112" t="s">
        <v>3340</v>
      </c>
      <c r="H662" s="120">
        <v>0</v>
      </c>
      <c r="I662" s="120" t="s">
        <v>3333</v>
      </c>
      <c r="J662" s="120" t="s">
        <v>772</v>
      </c>
      <c r="K662" s="112">
        <v>155300</v>
      </c>
      <c r="L662" s="113"/>
      <c r="M662" s="113">
        <v>60500</v>
      </c>
      <c r="N662" s="113"/>
      <c r="O662" s="113"/>
      <c r="P662" s="299">
        <f t="shared" si="49"/>
        <v>215800</v>
      </c>
      <c r="Q662" s="299">
        <f t="shared" si="50"/>
        <v>4613070.28</v>
      </c>
      <c r="R662" s="299">
        <f t="shared" si="51"/>
        <v>4613070.28</v>
      </c>
      <c r="S662" s="112">
        <v>0</v>
      </c>
    </row>
    <row r="663" spans="1:19" ht="42.75">
      <c r="A663" s="79">
        <v>1.5</v>
      </c>
      <c r="B663" s="80" t="s">
        <v>2306</v>
      </c>
      <c r="C663" s="79"/>
      <c r="D663" s="143">
        <v>0</v>
      </c>
      <c r="E663" s="79"/>
      <c r="F663" s="113">
        <f t="shared" si="48"/>
        <v>0</v>
      </c>
      <c r="G663" s="112">
        <v>0</v>
      </c>
      <c r="H663" s="120">
        <v>0</v>
      </c>
      <c r="I663" s="120">
        <v>0</v>
      </c>
      <c r="J663" s="120">
        <v>0</v>
      </c>
      <c r="K663" s="112">
        <v>0</v>
      </c>
      <c r="L663" s="113"/>
      <c r="M663" s="113">
        <v>0</v>
      </c>
      <c r="N663" s="113"/>
      <c r="O663" s="113"/>
      <c r="P663" s="299">
        <f t="shared" si="49"/>
        <v>0</v>
      </c>
      <c r="Q663" s="299">
        <f t="shared" si="50"/>
        <v>0</v>
      </c>
      <c r="R663" s="299">
        <f t="shared" si="51"/>
        <v>0</v>
      </c>
      <c r="S663" s="112">
        <v>0</v>
      </c>
    </row>
    <row r="664" spans="1:19" ht="90">
      <c r="A664" s="76"/>
      <c r="B664" s="77" t="s">
        <v>2307</v>
      </c>
      <c r="C664" s="76" t="s">
        <v>1877</v>
      </c>
      <c r="D664" s="143">
        <v>595</v>
      </c>
      <c r="E664" s="76"/>
      <c r="F664" s="113">
        <f t="shared" si="48"/>
        <v>595</v>
      </c>
      <c r="G664" s="112" t="s">
        <v>4047</v>
      </c>
      <c r="H664" s="120" t="s">
        <v>3191</v>
      </c>
      <c r="I664" s="120" t="s">
        <v>4048</v>
      </c>
      <c r="J664" s="120" t="s">
        <v>4049</v>
      </c>
      <c r="K664" s="112">
        <v>1296300</v>
      </c>
      <c r="L664" s="113"/>
      <c r="M664" s="113">
        <v>740600</v>
      </c>
      <c r="N664" s="113"/>
      <c r="O664" s="113"/>
      <c r="P664" s="299">
        <f t="shared" si="49"/>
        <v>2036900</v>
      </c>
      <c r="Q664" s="299">
        <f t="shared" si="50"/>
        <v>1211955500</v>
      </c>
      <c r="R664" s="299">
        <f t="shared" si="51"/>
        <v>1211955500</v>
      </c>
      <c r="S664" s="112">
        <v>0</v>
      </c>
    </row>
    <row r="665" spans="1:19" ht="90">
      <c r="A665" s="76"/>
      <c r="B665" s="77" t="s">
        <v>2308</v>
      </c>
      <c r="C665" s="76" t="s">
        <v>1877</v>
      </c>
      <c r="D665" s="143">
        <v>21</v>
      </c>
      <c r="E665" s="76"/>
      <c r="F665" s="113">
        <f t="shared" si="48"/>
        <v>21</v>
      </c>
      <c r="G665" s="112" t="s">
        <v>4050</v>
      </c>
      <c r="H665" s="120" t="s">
        <v>3191</v>
      </c>
      <c r="I665" s="120" t="s">
        <v>4048</v>
      </c>
      <c r="J665" s="120" t="s">
        <v>4049</v>
      </c>
      <c r="K665" s="112">
        <v>1455800</v>
      </c>
      <c r="L665" s="113"/>
      <c r="M665" s="113">
        <v>690800</v>
      </c>
      <c r="N665" s="113"/>
      <c r="O665" s="113"/>
      <c r="P665" s="299">
        <f t="shared" si="49"/>
        <v>2146600</v>
      </c>
      <c r="Q665" s="299">
        <f t="shared" si="50"/>
        <v>45078600</v>
      </c>
      <c r="R665" s="299">
        <f t="shared" si="51"/>
        <v>45078600</v>
      </c>
      <c r="S665" s="112">
        <v>0</v>
      </c>
    </row>
    <row r="666" spans="1:19" ht="90">
      <c r="A666" s="76"/>
      <c r="B666" s="77" t="s">
        <v>2309</v>
      </c>
      <c r="C666" s="76" t="s">
        <v>1877</v>
      </c>
      <c r="D666" s="143">
        <v>32</v>
      </c>
      <c r="E666" s="76"/>
      <c r="F666" s="113">
        <f t="shared" si="48"/>
        <v>32</v>
      </c>
      <c r="G666" s="112" t="s">
        <v>4050</v>
      </c>
      <c r="H666" s="120" t="s">
        <v>3191</v>
      </c>
      <c r="I666" s="120" t="s">
        <v>4048</v>
      </c>
      <c r="J666" s="120" t="s">
        <v>4049</v>
      </c>
      <c r="K666" s="112">
        <v>1079600</v>
      </c>
      <c r="L666" s="113"/>
      <c r="M666" s="113">
        <v>317200</v>
      </c>
      <c r="N666" s="113"/>
      <c r="O666" s="113"/>
      <c r="P666" s="299">
        <f t="shared" si="49"/>
        <v>1396800</v>
      </c>
      <c r="Q666" s="299">
        <f t="shared" si="50"/>
        <v>44697600</v>
      </c>
      <c r="R666" s="299">
        <f t="shared" si="51"/>
        <v>44697600</v>
      </c>
      <c r="S666" s="112">
        <v>0</v>
      </c>
    </row>
    <row r="667" spans="1:19" ht="42.75">
      <c r="A667" s="79">
        <v>1.6</v>
      </c>
      <c r="B667" s="80" t="s">
        <v>2310</v>
      </c>
      <c r="C667" s="79"/>
      <c r="D667" s="143"/>
      <c r="E667" s="79"/>
      <c r="F667" s="113">
        <f t="shared" si="48"/>
        <v>0</v>
      </c>
      <c r="G667" s="112">
        <v>0</v>
      </c>
      <c r="H667" s="120">
        <v>0</v>
      </c>
      <c r="I667" s="120">
        <v>0</v>
      </c>
      <c r="J667" s="120">
        <v>0</v>
      </c>
      <c r="K667" s="112">
        <v>0</v>
      </c>
      <c r="L667" s="113"/>
      <c r="M667" s="113">
        <v>0</v>
      </c>
      <c r="N667" s="113"/>
      <c r="O667" s="113"/>
      <c r="P667" s="299">
        <f t="shared" si="49"/>
        <v>0</v>
      </c>
      <c r="Q667" s="299">
        <f t="shared" si="50"/>
        <v>0</v>
      </c>
      <c r="R667" s="299">
        <f t="shared" si="51"/>
        <v>0</v>
      </c>
      <c r="S667" s="112">
        <v>0</v>
      </c>
    </row>
    <row r="668" spans="1:19" ht="105">
      <c r="A668" s="76"/>
      <c r="B668" s="77" t="s">
        <v>2311</v>
      </c>
      <c r="C668" s="76" t="s">
        <v>1877</v>
      </c>
      <c r="D668" s="143">
        <v>360</v>
      </c>
      <c r="E668" s="76"/>
      <c r="F668" s="113">
        <f t="shared" si="48"/>
        <v>360</v>
      </c>
      <c r="G668" s="112" t="s">
        <v>4051</v>
      </c>
      <c r="H668" s="120" t="s">
        <v>3191</v>
      </c>
      <c r="I668" s="120" t="s">
        <v>4048</v>
      </c>
      <c r="J668" s="120" t="s">
        <v>4049</v>
      </c>
      <c r="K668" s="112">
        <v>1585600</v>
      </c>
      <c r="L668" s="113"/>
      <c r="M668" s="113">
        <v>483600</v>
      </c>
      <c r="N668" s="113"/>
      <c r="O668" s="113"/>
      <c r="P668" s="299">
        <f t="shared" si="49"/>
        <v>2069200</v>
      </c>
      <c r="Q668" s="299">
        <f t="shared" si="50"/>
        <v>744912000</v>
      </c>
      <c r="R668" s="299">
        <f t="shared" si="51"/>
        <v>744912000</v>
      </c>
      <c r="S668" s="112">
        <v>0</v>
      </c>
    </row>
    <row r="669" spans="1:19" ht="105">
      <c r="A669" s="76"/>
      <c r="B669" s="77" t="s">
        <v>2312</v>
      </c>
      <c r="C669" s="76" t="s">
        <v>1877</v>
      </c>
      <c r="D669" s="143">
        <v>19</v>
      </c>
      <c r="E669" s="76"/>
      <c r="F669" s="113">
        <f t="shared" si="48"/>
        <v>19</v>
      </c>
      <c r="G669" s="112" t="s">
        <v>4052</v>
      </c>
      <c r="H669" s="120" t="s">
        <v>3191</v>
      </c>
      <c r="I669" s="120" t="s">
        <v>4048</v>
      </c>
      <c r="J669" s="120" t="s">
        <v>4049</v>
      </c>
      <c r="K669" s="112">
        <v>1691800</v>
      </c>
      <c r="L669" s="113"/>
      <c r="M669" s="113">
        <v>690800</v>
      </c>
      <c r="N669" s="113"/>
      <c r="O669" s="113"/>
      <c r="P669" s="299">
        <f t="shared" si="49"/>
        <v>2382600</v>
      </c>
      <c r="Q669" s="299">
        <f t="shared" si="50"/>
        <v>45269400</v>
      </c>
      <c r="R669" s="299">
        <f t="shared" si="51"/>
        <v>45269400</v>
      </c>
      <c r="S669" s="112">
        <v>0</v>
      </c>
    </row>
    <row r="670" spans="1:19" ht="105">
      <c r="A670" s="76"/>
      <c r="B670" s="77" t="s">
        <v>2313</v>
      </c>
      <c r="C670" s="76" t="s">
        <v>1877</v>
      </c>
      <c r="D670" s="143">
        <v>20</v>
      </c>
      <c r="E670" s="76"/>
      <c r="F670" s="113">
        <f t="shared" si="48"/>
        <v>20</v>
      </c>
      <c r="G670" s="112" t="s">
        <v>4051</v>
      </c>
      <c r="H670" s="120" t="s">
        <v>3191</v>
      </c>
      <c r="I670" s="120" t="s">
        <v>4048</v>
      </c>
      <c r="J670" s="120" t="s">
        <v>4049</v>
      </c>
      <c r="K670" s="112">
        <v>1252300</v>
      </c>
      <c r="L670" s="113"/>
      <c r="M670" s="113">
        <v>317200</v>
      </c>
      <c r="N670" s="113"/>
      <c r="O670" s="113"/>
      <c r="P670" s="299">
        <f t="shared" si="49"/>
        <v>1569500</v>
      </c>
      <c r="Q670" s="299">
        <f t="shared" si="50"/>
        <v>31390000</v>
      </c>
      <c r="R670" s="299">
        <f t="shared" si="51"/>
        <v>31390000</v>
      </c>
      <c r="S670" s="112">
        <v>0</v>
      </c>
    </row>
    <row r="671" spans="1:19" ht="42.75">
      <c r="A671" s="79">
        <v>1.7</v>
      </c>
      <c r="B671" s="80" t="s">
        <v>2314</v>
      </c>
      <c r="C671" s="79"/>
      <c r="D671" s="143"/>
      <c r="E671" s="79"/>
      <c r="F671" s="113">
        <f t="shared" si="48"/>
        <v>0</v>
      </c>
      <c r="G671" s="112">
        <v>0</v>
      </c>
      <c r="H671" s="120">
        <v>0</v>
      </c>
      <c r="I671" s="120">
        <v>0</v>
      </c>
      <c r="J671" s="120">
        <v>0</v>
      </c>
      <c r="K671" s="112">
        <v>0</v>
      </c>
      <c r="L671" s="113"/>
      <c r="M671" s="113">
        <v>0</v>
      </c>
      <c r="N671" s="113"/>
      <c r="O671" s="113"/>
      <c r="P671" s="299">
        <f t="shared" si="49"/>
        <v>0</v>
      </c>
      <c r="Q671" s="299">
        <f t="shared" si="50"/>
        <v>0</v>
      </c>
      <c r="R671" s="299">
        <f t="shared" si="51"/>
        <v>0</v>
      </c>
      <c r="S671" s="112">
        <v>0</v>
      </c>
    </row>
    <row r="672" spans="1:19" ht="60">
      <c r="A672" s="76"/>
      <c r="B672" s="77" t="s">
        <v>2315</v>
      </c>
      <c r="C672" s="76" t="s">
        <v>1877</v>
      </c>
      <c r="D672" s="143">
        <v>339</v>
      </c>
      <c r="E672" s="76"/>
      <c r="F672" s="113">
        <f t="shared" si="48"/>
        <v>339</v>
      </c>
      <c r="G672" s="112" t="s">
        <v>4053</v>
      </c>
      <c r="H672" s="120" t="s">
        <v>3202</v>
      </c>
      <c r="I672" s="120" t="s">
        <v>4048</v>
      </c>
      <c r="J672" s="120" t="s">
        <v>4049</v>
      </c>
      <c r="K672" s="112">
        <v>487200</v>
      </c>
      <c r="L672" s="113"/>
      <c r="M672" s="113">
        <v>130800</v>
      </c>
      <c r="N672" s="113"/>
      <c r="O672" s="113"/>
      <c r="P672" s="299">
        <f t="shared" si="49"/>
        <v>618000</v>
      </c>
      <c r="Q672" s="299">
        <f t="shared" si="50"/>
        <v>209502000</v>
      </c>
      <c r="R672" s="299">
        <f t="shared" si="51"/>
        <v>209502000</v>
      </c>
      <c r="S672" s="112">
        <v>0</v>
      </c>
    </row>
    <row r="673" spans="1:19" ht="60">
      <c r="A673" s="76"/>
      <c r="B673" s="77" t="s">
        <v>2316</v>
      </c>
      <c r="C673" s="76" t="s">
        <v>1877</v>
      </c>
      <c r="D673" s="143">
        <v>88</v>
      </c>
      <c r="E673" s="76"/>
      <c r="F673" s="113">
        <f t="shared" si="48"/>
        <v>88</v>
      </c>
      <c r="G673" s="112" t="s">
        <v>4054</v>
      </c>
      <c r="H673" s="120" t="s">
        <v>3202</v>
      </c>
      <c r="I673" s="120" t="s">
        <v>4048</v>
      </c>
      <c r="J673" s="120" t="s">
        <v>4049</v>
      </c>
      <c r="K673" s="112">
        <v>618500</v>
      </c>
      <c r="L673" s="113"/>
      <c r="M673" s="113">
        <v>151300</v>
      </c>
      <c r="N673" s="113"/>
      <c r="O673" s="113"/>
      <c r="P673" s="299">
        <f t="shared" si="49"/>
        <v>769800</v>
      </c>
      <c r="Q673" s="299">
        <f t="shared" si="50"/>
        <v>67742400</v>
      </c>
      <c r="R673" s="299">
        <f t="shared" si="51"/>
        <v>67742400</v>
      </c>
      <c r="S673" s="112">
        <v>0</v>
      </c>
    </row>
    <row r="674" spans="1:19" ht="60">
      <c r="A674" s="76"/>
      <c r="B674" s="77" t="s">
        <v>2317</v>
      </c>
      <c r="C674" s="76" t="s">
        <v>1877</v>
      </c>
      <c r="D674" s="143">
        <v>31</v>
      </c>
      <c r="E674" s="76"/>
      <c r="F674" s="113">
        <f t="shared" si="48"/>
        <v>31</v>
      </c>
      <c r="G674" s="112" t="s">
        <v>4055</v>
      </c>
      <c r="H674" s="120" t="s">
        <v>3202</v>
      </c>
      <c r="I674" s="120" t="s">
        <v>4048</v>
      </c>
      <c r="J674" s="120" t="s">
        <v>4049</v>
      </c>
      <c r="K674" s="112">
        <v>769900</v>
      </c>
      <c r="L674" s="113"/>
      <c r="M674" s="113">
        <v>161700</v>
      </c>
      <c r="N674" s="113"/>
      <c r="O674" s="113"/>
      <c r="P674" s="299">
        <f t="shared" si="49"/>
        <v>931600</v>
      </c>
      <c r="Q674" s="299">
        <f t="shared" si="50"/>
        <v>28879600</v>
      </c>
      <c r="R674" s="299">
        <f t="shared" si="51"/>
        <v>28879600</v>
      </c>
      <c r="S674" s="112">
        <v>0</v>
      </c>
    </row>
    <row r="675" spans="1:19" ht="57">
      <c r="A675" s="79">
        <v>1.8</v>
      </c>
      <c r="B675" s="80" t="s">
        <v>2318</v>
      </c>
      <c r="C675" s="76"/>
      <c r="D675" s="143"/>
      <c r="E675" s="79"/>
      <c r="F675" s="113">
        <f t="shared" si="48"/>
        <v>0</v>
      </c>
      <c r="G675" s="112">
        <v>0</v>
      </c>
      <c r="H675" s="120">
        <v>0</v>
      </c>
      <c r="I675" s="120">
        <v>0</v>
      </c>
      <c r="J675" s="120">
        <v>0</v>
      </c>
      <c r="K675" s="112">
        <v>0</v>
      </c>
      <c r="L675" s="113"/>
      <c r="M675" s="113">
        <v>0</v>
      </c>
      <c r="N675" s="113"/>
      <c r="O675" s="113"/>
      <c r="P675" s="299">
        <f t="shared" si="49"/>
        <v>0</v>
      </c>
      <c r="Q675" s="299">
        <f t="shared" si="50"/>
        <v>0</v>
      </c>
      <c r="R675" s="299">
        <f t="shared" si="51"/>
        <v>0</v>
      </c>
      <c r="S675" s="112">
        <v>0</v>
      </c>
    </row>
    <row r="676" spans="1:19" ht="75">
      <c r="A676" s="76"/>
      <c r="B676" s="77" t="s">
        <v>2319</v>
      </c>
      <c r="C676" s="76" t="s">
        <v>1877</v>
      </c>
      <c r="D676" s="143">
        <v>86</v>
      </c>
      <c r="E676" s="76"/>
      <c r="F676" s="113">
        <f t="shared" si="48"/>
        <v>86</v>
      </c>
      <c r="G676" s="112" t="s">
        <v>4056</v>
      </c>
      <c r="H676" s="120" t="s">
        <v>3193</v>
      </c>
      <c r="I676" s="120" t="s">
        <v>4036</v>
      </c>
      <c r="J676" s="120" t="s">
        <v>4037</v>
      </c>
      <c r="K676" s="112">
        <v>2521300</v>
      </c>
      <c r="L676" s="113"/>
      <c r="M676" s="113">
        <v>285100</v>
      </c>
      <c r="N676" s="113"/>
      <c r="O676" s="113"/>
      <c r="P676" s="299">
        <f t="shared" si="49"/>
        <v>2806400</v>
      </c>
      <c r="Q676" s="299">
        <f t="shared" si="50"/>
        <v>241350400</v>
      </c>
      <c r="R676" s="299">
        <f t="shared" si="51"/>
        <v>241350400</v>
      </c>
      <c r="S676" s="112">
        <v>0</v>
      </c>
    </row>
    <row r="677" spans="1:19" ht="75">
      <c r="A677" s="76"/>
      <c r="B677" s="77" t="s">
        <v>2320</v>
      </c>
      <c r="C677" s="76" t="s">
        <v>1877</v>
      </c>
      <c r="D677" s="143">
        <v>404</v>
      </c>
      <c r="E677" s="76"/>
      <c r="F677" s="113">
        <f t="shared" si="48"/>
        <v>404</v>
      </c>
      <c r="G677" s="112" t="s">
        <v>4057</v>
      </c>
      <c r="H677" s="120" t="s">
        <v>3193</v>
      </c>
      <c r="I677" s="120" t="s">
        <v>4036</v>
      </c>
      <c r="J677" s="120" t="s">
        <v>4037</v>
      </c>
      <c r="K677" s="112">
        <v>3260900</v>
      </c>
      <c r="L677" s="113"/>
      <c r="M677" s="113">
        <v>285100</v>
      </c>
      <c r="N677" s="113"/>
      <c r="O677" s="113"/>
      <c r="P677" s="299">
        <f t="shared" si="49"/>
        <v>3546000</v>
      </c>
      <c r="Q677" s="299">
        <f t="shared" si="50"/>
        <v>1432584000</v>
      </c>
      <c r="R677" s="299">
        <f t="shared" si="51"/>
        <v>1432584000</v>
      </c>
      <c r="S677" s="112">
        <v>0</v>
      </c>
    </row>
    <row r="678" spans="1:19">
      <c r="A678" s="90">
        <v>1.9</v>
      </c>
      <c r="B678" s="91" t="s">
        <v>2321</v>
      </c>
      <c r="C678" s="88"/>
      <c r="D678" s="147"/>
      <c r="E678" s="87"/>
      <c r="F678" s="113">
        <f t="shared" si="48"/>
        <v>0</v>
      </c>
      <c r="G678" s="112">
        <v>0</v>
      </c>
      <c r="H678" s="120">
        <v>0</v>
      </c>
      <c r="I678" s="120">
        <v>0</v>
      </c>
      <c r="J678" s="120">
        <v>0</v>
      </c>
      <c r="K678" s="112">
        <v>0</v>
      </c>
      <c r="L678" s="113"/>
      <c r="M678" s="113">
        <v>0</v>
      </c>
      <c r="N678" s="113"/>
      <c r="O678" s="113"/>
      <c r="P678" s="299">
        <f t="shared" si="49"/>
        <v>0</v>
      </c>
      <c r="Q678" s="299">
        <f t="shared" si="50"/>
        <v>0</v>
      </c>
      <c r="R678" s="299">
        <f t="shared" si="51"/>
        <v>0</v>
      </c>
      <c r="S678" s="112">
        <v>0</v>
      </c>
    </row>
    <row r="679" spans="1:19" ht="60">
      <c r="A679" s="90"/>
      <c r="B679" s="87" t="s">
        <v>2322</v>
      </c>
      <c r="C679" s="88" t="s">
        <v>1877</v>
      </c>
      <c r="D679" s="147">
        <v>42</v>
      </c>
      <c r="E679" s="87"/>
      <c r="F679" s="113">
        <f t="shared" si="48"/>
        <v>42</v>
      </c>
      <c r="G679" s="112">
        <v>0</v>
      </c>
      <c r="H679" s="120">
        <v>0</v>
      </c>
      <c r="I679" s="120">
        <v>0</v>
      </c>
      <c r="J679" s="120" t="s">
        <v>772</v>
      </c>
      <c r="K679" s="112">
        <v>0</v>
      </c>
      <c r="L679" s="113"/>
      <c r="M679" s="113">
        <v>0</v>
      </c>
      <c r="N679" s="113"/>
      <c r="O679" s="113"/>
      <c r="P679" s="299">
        <f t="shared" si="49"/>
        <v>0</v>
      </c>
      <c r="Q679" s="299">
        <f t="shared" si="50"/>
        <v>0</v>
      </c>
      <c r="R679" s="299">
        <f t="shared" si="51"/>
        <v>0</v>
      </c>
      <c r="S679" s="112" t="s">
        <v>3745</v>
      </c>
    </row>
    <row r="680" spans="1:19" ht="60">
      <c r="A680" s="90"/>
      <c r="B680" s="87" t="s">
        <v>2323</v>
      </c>
      <c r="C680" s="88" t="s">
        <v>1877</v>
      </c>
      <c r="D680" s="147">
        <v>444</v>
      </c>
      <c r="E680" s="87"/>
      <c r="F680" s="113">
        <f t="shared" si="48"/>
        <v>444</v>
      </c>
      <c r="G680" s="112">
        <v>0</v>
      </c>
      <c r="H680" s="120">
        <v>0</v>
      </c>
      <c r="I680" s="120">
        <v>0</v>
      </c>
      <c r="J680" s="120" t="s">
        <v>772</v>
      </c>
      <c r="K680" s="112">
        <v>0</v>
      </c>
      <c r="L680" s="113"/>
      <c r="M680" s="113">
        <v>0</v>
      </c>
      <c r="N680" s="113"/>
      <c r="O680" s="113"/>
      <c r="P680" s="299">
        <f t="shared" si="49"/>
        <v>0</v>
      </c>
      <c r="Q680" s="299">
        <f t="shared" si="50"/>
        <v>0</v>
      </c>
      <c r="R680" s="299">
        <f t="shared" si="51"/>
        <v>0</v>
      </c>
      <c r="S680" s="112" t="s">
        <v>3745</v>
      </c>
    </row>
    <row r="681" spans="1:19" ht="57">
      <c r="A681" s="266">
        <v>1.1000000000000001</v>
      </c>
      <c r="B681" s="91" t="s">
        <v>2324</v>
      </c>
      <c r="C681" s="88"/>
      <c r="D681" s="147"/>
      <c r="E681" s="87"/>
      <c r="F681" s="113">
        <f t="shared" si="48"/>
        <v>0</v>
      </c>
      <c r="G681" s="112">
        <v>0</v>
      </c>
      <c r="H681" s="120">
        <v>0</v>
      </c>
      <c r="I681" s="120">
        <v>0</v>
      </c>
      <c r="J681" s="120">
        <v>0</v>
      </c>
      <c r="K681" s="112">
        <v>0</v>
      </c>
      <c r="L681" s="113"/>
      <c r="M681" s="113">
        <v>0</v>
      </c>
      <c r="N681" s="113"/>
      <c r="O681" s="113"/>
      <c r="P681" s="299">
        <f t="shared" si="49"/>
        <v>0</v>
      </c>
      <c r="Q681" s="299">
        <f t="shared" si="50"/>
        <v>0</v>
      </c>
      <c r="R681" s="299">
        <f t="shared" si="51"/>
        <v>0</v>
      </c>
      <c r="S681" s="112">
        <v>0</v>
      </c>
    </row>
    <row r="682" spans="1:19" ht="75">
      <c r="A682" s="88"/>
      <c r="B682" s="87" t="s">
        <v>2325</v>
      </c>
      <c r="C682" s="88" t="s">
        <v>1877</v>
      </c>
      <c r="D682" s="147">
        <v>300</v>
      </c>
      <c r="E682" s="87"/>
      <c r="F682" s="113">
        <f t="shared" si="48"/>
        <v>300</v>
      </c>
      <c r="G682" s="112" t="s">
        <v>4058</v>
      </c>
      <c r="H682" s="120" t="s">
        <v>3360</v>
      </c>
      <c r="I682" s="120" t="s">
        <v>4036</v>
      </c>
      <c r="J682" s="120" t="s">
        <v>4037</v>
      </c>
      <c r="K682" s="112">
        <v>199900</v>
      </c>
      <c r="L682" s="113"/>
      <c r="M682" s="113">
        <v>32500</v>
      </c>
      <c r="N682" s="113"/>
      <c r="O682" s="113"/>
      <c r="P682" s="299">
        <f t="shared" si="49"/>
        <v>232400</v>
      </c>
      <c r="Q682" s="299">
        <f t="shared" si="50"/>
        <v>69720000</v>
      </c>
      <c r="R682" s="299">
        <f t="shared" si="51"/>
        <v>69720000</v>
      </c>
      <c r="S682" s="112">
        <v>0</v>
      </c>
    </row>
    <row r="683" spans="1:19" ht="75">
      <c r="A683" s="88"/>
      <c r="B683" s="87" t="s">
        <v>2326</v>
      </c>
      <c r="C683" s="88" t="s">
        <v>1877</v>
      </c>
      <c r="D683" s="147">
        <v>60</v>
      </c>
      <c r="E683" s="87"/>
      <c r="F683" s="113">
        <f t="shared" si="48"/>
        <v>60</v>
      </c>
      <c r="G683" s="112" t="s">
        <v>4059</v>
      </c>
      <c r="H683" s="120" t="s">
        <v>3360</v>
      </c>
      <c r="I683" s="120" t="s">
        <v>4036</v>
      </c>
      <c r="J683" s="120" t="s">
        <v>4037</v>
      </c>
      <c r="K683" s="112">
        <v>238400</v>
      </c>
      <c r="L683" s="113"/>
      <c r="M683" s="113">
        <v>40000</v>
      </c>
      <c r="N683" s="113"/>
      <c r="O683" s="113"/>
      <c r="P683" s="299">
        <f t="shared" si="49"/>
        <v>278400</v>
      </c>
      <c r="Q683" s="299">
        <f t="shared" si="50"/>
        <v>16704000</v>
      </c>
      <c r="R683" s="299">
        <f t="shared" si="51"/>
        <v>16704000</v>
      </c>
      <c r="S683" s="112">
        <v>0</v>
      </c>
    </row>
    <row r="684" spans="1:19">
      <c r="A684" s="259">
        <v>1.1100000000000001</v>
      </c>
      <c r="B684" s="257" t="s">
        <v>1994</v>
      </c>
      <c r="C684" s="76" t="s">
        <v>17</v>
      </c>
      <c r="D684" s="143">
        <v>1</v>
      </c>
      <c r="E684" s="79"/>
      <c r="F684" s="113">
        <f t="shared" si="48"/>
        <v>1</v>
      </c>
      <c r="G684" s="112">
        <v>0</v>
      </c>
      <c r="H684" s="120">
        <v>0</v>
      </c>
      <c r="I684" s="120">
        <v>0</v>
      </c>
      <c r="J684" s="120" t="s">
        <v>806</v>
      </c>
      <c r="K684" s="112">
        <v>0</v>
      </c>
      <c r="L684" s="113"/>
      <c r="M684" s="113">
        <v>0</v>
      </c>
      <c r="N684" s="113"/>
      <c r="O684" s="113"/>
      <c r="P684" s="299">
        <f t="shared" si="49"/>
        <v>0</v>
      </c>
      <c r="Q684" s="299">
        <f t="shared" si="50"/>
        <v>0</v>
      </c>
      <c r="R684" s="299">
        <f t="shared" si="51"/>
        <v>0</v>
      </c>
      <c r="S684" s="112">
        <v>0</v>
      </c>
    </row>
    <row r="685" spans="1:19">
      <c r="A685" s="271">
        <v>4</v>
      </c>
      <c r="B685" s="168" t="s">
        <v>2327</v>
      </c>
      <c r="C685" s="273"/>
      <c r="D685" s="143"/>
      <c r="E685" s="109"/>
      <c r="F685" s="113">
        <f t="shared" si="48"/>
        <v>0</v>
      </c>
      <c r="G685" s="112">
        <v>0</v>
      </c>
      <c r="H685" s="120">
        <v>0</v>
      </c>
      <c r="I685" s="120">
        <v>0</v>
      </c>
      <c r="J685" s="120">
        <v>0</v>
      </c>
      <c r="K685" s="112">
        <v>0</v>
      </c>
      <c r="L685" s="113"/>
      <c r="M685" s="113">
        <v>0</v>
      </c>
      <c r="N685" s="113"/>
      <c r="O685" s="113"/>
      <c r="P685" s="299">
        <f t="shared" si="49"/>
        <v>0</v>
      </c>
      <c r="Q685" s="299">
        <f t="shared" si="50"/>
        <v>0</v>
      </c>
      <c r="R685" s="299">
        <f t="shared" si="51"/>
        <v>0</v>
      </c>
      <c r="S685" s="112">
        <v>0</v>
      </c>
    </row>
    <row r="686" spans="1:19">
      <c r="A686" s="79">
        <v>1.1000000000000001</v>
      </c>
      <c r="B686" s="80" t="s">
        <v>2167</v>
      </c>
      <c r="C686" s="79"/>
      <c r="D686" s="143"/>
      <c r="E686" s="79"/>
      <c r="F686" s="113">
        <f t="shared" si="48"/>
        <v>0</v>
      </c>
      <c r="G686" s="112">
        <v>0</v>
      </c>
      <c r="H686" s="120">
        <v>0</v>
      </c>
      <c r="I686" s="120">
        <v>0</v>
      </c>
      <c r="J686" s="120">
        <v>0</v>
      </c>
      <c r="K686" s="112">
        <v>0</v>
      </c>
      <c r="L686" s="113"/>
      <c r="M686" s="113">
        <v>0</v>
      </c>
      <c r="N686" s="113"/>
      <c r="O686" s="113"/>
      <c r="P686" s="299">
        <f t="shared" si="49"/>
        <v>0</v>
      </c>
      <c r="Q686" s="299">
        <f t="shared" si="50"/>
        <v>0</v>
      </c>
      <c r="R686" s="299">
        <f t="shared" si="51"/>
        <v>0</v>
      </c>
      <c r="S686" s="112">
        <v>0</v>
      </c>
    </row>
    <row r="687" spans="1:19">
      <c r="A687" s="79"/>
      <c r="B687" s="77" t="s">
        <v>2328</v>
      </c>
      <c r="C687" s="76" t="s">
        <v>1861</v>
      </c>
      <c r="D687" s="143">
        <v>3.43</v>
      </c>
      <c r="E687" s="79"/>
      <c r="F687" s="113">
        <f t="shared" si="48"/>
        <v>3.43</v>
      </c>
      <c r="G687" s="112" t="s">
        <v>3478</v>
      </c>
      <c r="H687" s="120" t="s">
        <v>3342</v>
      </c>
      <c r="I687" s="120" t="s">
        <v>3479</v>
      </c>
      <c r="J687" s="120" t="s">
        <v>772</v>
      </c>
      <c r="K687" s="112">
        <v>117900</v>
      </c>
      <c r="L687" s="113"/>
      <c r="M687" s="113">
        <v>60100</v>
      </c>
      <c r="N687" s="113"/>
      <c r="O687" s="113"/>
      <c r="P687" s="299">
        <f t="shared" si="49"/>
        <v>178000</v>
      </c>
      <c r="Q687" s="299">
        <f t="shared" si="50"/>
        <v>610540</v>
      </c>
      <c r="R687" s="299">
        <f t="shared" si="51"/>
        <v>610540</v>
      </c>
      <c r="S687" s="112">
        <v>0</v>
      </c>
    </row>
    <row r="688" spans="1:19">
      <c r="A688" s="79"/>
      <c r="B688" s="77" t="s">
        <v>2329</v>
      </c>
      <c r="C688" s="76" t="s">
        <v>1861</v>
      </c>
      <c r="D688" s="143">
        <v>4.54</v>
      </c>
      <c r="E688" s="79"/>
      <c r="F688" s="113">
        <f t="shared" si="48"/>
        <v>4.54</v>
      </c>
      <c r="G688" s="112" t="s">
        <v>3477</v>
      </c>
      <c r="H688" s="120" t="s">
        <v>3342</v>
      </c>
      <c r="I688" s="120" t="s">
        <v>3479</v>
      </c>
      <c r="J688" s="120" t="s">
        <v>772</v>
      </c>
      <c r="K688" s="112">
        <v>147200</v>
      </c>
      <c r="L688" s="113"/>
      <c r="M688" s="113">
        <v>75100</v>
      </c>
      <c r="N688" s="113"/>
      <c r="O688" s="113"/>
      <c r="P688" s="299">
        <f t="shared" si="49"/>
        <v>222300</v>
      </c>
      <c r="Q688" s="299">
        <f t="shared" si="50"/>
        <v>1009242</v>
      </c>
      <c r="R688" s="299">
        <f t="shared" si="51"/>
        <v>1009242</v>
      </c>
      <c r="S688" s="112">
        <v>0</v>
      </c>
    </row>
    <row r="689" spans="1:19">
      <c r="A689" s="79"/>
      <c r="B689" s="77" t="s">
        <v>2209</v>
      </c>
      <c r="C689" s="76" t="s">
        <v>1861</v>
      </c>
      <c r="D689" s="143">
        <v>120.25000000000001</v>
      </c>
      <c r="E689" s="79"/>
      <c r="F689" s="113">
        <f t="shared" si="48"/>
        <v>120.25000000000001</v>
      </c>
      <c r="G689" s="112" t="s">
        <v>3364</v>
      </c>
      <c r="H689" s="120" t="s">
        <v>3342</v>
      </c>
      <c r="I689" s="120" t="s">
        <v>3479</v>
      </c>
      <c r="J689" s="120" t="s">
        <v>772</v>
      </c>
      <c r="K689" s="112">
        <v>176700</v>
      </c>
      <c r="L689" s="113"/>
      <c r="M689" s="113">
        <v>90100</v>
      </c>
      <c r="N689" s="113"/>
      <c r="O689" s="113"/>
      <c r="P689" s="299">
        <f t="shared" si="49"/>
        <v>266800</v>
      </c>
      <c r="Q689" s="299">
        <f t="shared" si="50"/>
        <v>32082700.000000004</v>
      </c>
      <c r="R689" s="299">
        <f t="shared" si="51"/>
        <v>32082700.000000004</v>
      </c>
      <c r="S689" s="112">
        <v>0</v>
      </c>
    </row>
    <row r="690" spans="1:19">
      <c r="A690" s="79"/>
      <c r="B690" s="77" t="s">
        <v>2330</v>
      </c>
      <c r="C690" s="76" t="s">
        <v>1861</v>
      </c>
      <c r="D690" s="143">
        <v>31.85</v>
      </c>
      <c r="E690" s="79"/>
      <c r="F690" s="113">
        <f t="shared" si="48"/>
        <v>31.85</v>
      </c>
      <c r="G690" s="112" t="s">
        <v>3476</v>
      </c>
      <c r="H690" s="120" t="s">
        <v>3360</v>
      </c>
      <c r="I690" s="120" t="s">
        <v>3479</v>
      </c>
      <c r="J690" s="120" t="s">
        <v>772</v>
      </c>
      <c r="K690" s="112">
        <v>183800</v>
      </c>
      <c r="L690" s="113"/>
      <c r="M690" s="113">
        <v>107000</v>
      </c>
      <c r="N690" s="113"/>
      <c r="O690" s="113"/>
      <c r="P690" s="299">
        <f t="shared" si="49"/>
        <v>290800</v>
      </c>
      <c r="Q690" s="299">
        <f t="shared" si="50"/>
        <v>9261980</v>
      </c>
      <c r="R690" s="299">
        <f t="shared" si="51"/>
        <v>9261980</v>
      </c>
      <c r="S690" s="112">
        <v>0</v>
      </c>
    </row>
    <row r="691" spans="1:19">
      <c r="A691" s="79"/>
      <c r="B691" s="77" t="s">
        <v>2210</v>
      </c>
      <c r="C691" s="76" t="s">
        <v>1861</v>
      </c>
      <c r="D691" s="143">
        <v>117.18</v>
      </c>
      <c r="E691" s="79"/>
      <c r="F691" s="113">
        <f t="shared" si="48"/>
        <v>117.18</v>
      </c>
      <c r="G691" s="112" t="s">
        <v>3367</v>
      </c>
      <c r="H691" s="120" t="s">
        <v>3360</v>
      </c>
      <c r="I691" s="120" t="s">
        <v>3479</v>
      </c>
      <c r="J691" s="120" t="s">
        <v>772</v>
      </c>
      <c r="K691" s="112">
        <v>214400</v>
      </c>
      <c r="L691" s="113"/>
      <c r="M691" s="113">
        <v>124900</v>
      </c>
      <c r="N691" s="113"/>
      <c r="O691" s="113"/>
      <c r="P691" s="299">
        <f t="shared" si="49"/>
        <v>339300</v>
      </c>
      <c r="Q691" s="299">
        <f t="shared" si="50"/>
        <v>39759174</v>
      </c>
      <c r="R691" s="299">
        <f t="shared" si="51"/>
        <v>39759174</v>
      </c>
      <c r="S691" s="112">
        <v>0</v>
      </c>
    </row>
    <row r="692" spans="1:19">
      <c r="A692" s="79"/>
      <c r="B692" s="77" t="s">
        <v>2211</v>
      </c>
      <c r="C692" s="76" t="s">
        <v>1861</v>
      </c>
      <c r="D692" s="143">
        <v>86.96</v>
      </c>
      <c r="E692" s="79"/>
      <c r="F692" s="113">
        <f t="shared" si="48"/>
        <v>86.96</v>
      </c>
      <c r="G692" s="112" t="s">
        <v>3365</v>
      </c>
      <c r="H692" s="120" t="s">
        <v>3360</v>
      </c>
      <c r="I692" s="120" t="s">
        <v>3479</v>
      </c>
      <c r="J692" s="120" t="s">
        <v>772</v>
      </c>
      <c r="K692" s="112">
        <v>245000</v>
      </c>
      <c r="L692" s="113"/>
      <c r="M692" s="113">
        <v>142700</v>
      </c>
      <c r="N692" s="113"/>
      <c r="O692" s="113"/>
      <c r="P692" s="299">
        <f t="shared" si="49"/>
        <v>387700</v>
      </c>
      <c r="Q692" s="299">
        <f t="shared" si="50"/>
        <v>33714392</v>
      </c>
      <c r="R692" s="299">
        <f t="shared" si="51"/>
        <v>33714392</v>
      </c>
      <c r="S692" s="112">
        <v>0</v>
      </c>
    </row>
    <row r="693" spans="1:19">
      <c r="A693" s="79"/>
      <c r="B693" s="77" t="s">
        <v>2331</v>
      </c>
      <c r="C693" s="76" t="s">
        <v>1861</v>
      </c>
      <c r="D693" s="143">
        <v>2.94</v>
      </c>
      <c r="E693" s="79"/>
      <c r="F693" s="113">
        <f t="shared" si="48"/>
        <v>2.94</v>
      </c>
      <c r="G693" s="112" t="s">
        <v>3475</v>
      </c>
      <c r="H693" s="120" t="s">
        <v>3360</v>
      </c>
      <c r="I693" s="120" t="s">
        <v>3479</v>
      </c>
      <c r="J693" s="120" t="s">
        <v>772</v>
      </c>
      <c r="K693" s="112">
        <v>245000</v>
      </c>
      <c r="L693" s="113"/>
      <c r="M693" s="113">
        <v>142700</v>
      </c>
      <c r="N693" s="113"/>
      <c r="O693" s="113"/>
      <c r="P693" s="299">
        <f t="shared" si="49"/>
        <v>387700</v>
      </c>
      <c r="Q693" s="299">
        <f t="shared" si="50"/>
        <v>1139838</v>
      </c>
      <c r="R693" s="299">
        <f t="shared" si="51"/>
        <v>1139838</v>
      </c>
      <c r="S693" s="112">
        <v>0</v>
      </c>
    </row>
    <row r="694" spans="1:19">
      <c r="A694" s="79"/>
      <c r="B694" s="77" t="s">
        <v>2212</v>
      </c>
      <c r="C694" s="76" t="s">
        <v>1861</v>
      </c>
      <c r="D694" s="143">
        <v>150.75</v>
      </c>
      <c r="E694" s="79"/>
      <c r="F694" s="113">
        <f t="shared" si="48"/>
        <v>150.75</v>
      </c>
      <c r="G694" s="112" t="s">
        <v>3527</v>
      </c>
      <c r="H694" s="120" t="s">
        <v>3360</v>
      </c>
      <c r="I694" s="120" t="s">
        <v>3479</v>
      </c>
      <c r="J694" s="120" t="s">
        <v>772</v>
      </c>
      <c r="K694" s="112">
        <v>275700</v>
      </c>
      <c r="L694" s="113"/>
      <c r="M694" s="113">
        <v>160500</v>
      </c>
      <c r="N694" s="113"/>
      <c r="O694" s="113"/>
      <c r="P694" s="299">
        <f t="shared" si="49"/>
        <v>436200</v>
      </c>
      <c r="Q694" s="299">
        <f t="shared" si="50"/>
        <v>65757150</v>
      </c>
      <c r="R694" s="299">
        <f t="shared" si="51"/>
        <v>65757150</v>
      </c>
      <c r="S694" s="112">
        <v>0</v>
      </c>
    </row>
    <row r="695" spans="1:19">
      <c r="A695" s="79"/>
      <c r="B695" s="77" t="s">
        <v>2332</v>
      </c>
      <c r="C695" s="76" t="s">
        <v>1861</v>
      </c>
      <c r="D695" s="143">
        <v>28.46</v>
      </c>
      <c r="E695" s="79"/>
      <c r="F695" s="113">
        <f t="shared" si="48"/>
        <v>28.46</v>
      </c>
      <c r="G695" s="112" t="s">
        <v>3474</v>
      </c>
      <c r="H695" s="120" t="s">
        <v>3360</v>
      </c>
      <c r="I695" s="120" t="s">
        <v>3479</v>
      </c>
      <c r="J695" s="120" t="s">
        <v>772</v>
      </c>
      <c r="K695" s="112">
        <v>306300</v>
      </c>
      <c r="L695" s="113"/>
      <c r="M695" s="113">
        <v>178400</v>
      </c>
      <c r="N695" s="113"/>
      <c r="O695" s="113"/>
      <c r="P695" s="299">
        <f t="shared" si="49"/>
        <v>484700</v>
      </c>
      <c r="Q695" s="299">
        <f t="shared" si="50"/>
        <v>13794562</v>
      </c>
      <c r="R695" s="299">
        <f t="shared" si="51"/>
        <v>13794562</v>
      </c>
      <c r="S695" s="112">
        <v>0</v>
      </c>
    </row>
    <row r="696" spans="1:19">
      <c r="A696" s="79"/>
      <c r="B696" s="77" t="s">
        <v>2213</v>
      </c>
      <c r="C696" s="76" t="s">
        <v>1861</v>
      </c>
      <c r="D696" s="143">
        <v>100.77000000000001</v>
      </c>
      <c r="E696" s="79"/>
      <c r="F696" s="113">
        <f t="shared" si="48"/>
        <v>100.77000000000001</v>
      </c>
      <c r="G696" s="112" t="s">
        <v>3366</v>
      </c>
      <c r="H696" s="120" t="s">
        <v>3360</v>
      </c>
      <c r="I696" s="120" t="s">
        <v>3479</v>
      </c>
      <c r="J696" s="120" t="s">
        <v>772</v>
      </c>
      <c r="K696" s="112">
        <v>306300</v>
      </c>
      <c r="L696" s="113"/>
      <c r="M696" s="113">
        <v>178400</v>
      </c>
      <c r="N696" s="113"/>
      <c r="O696" s="113"/>
      <c r="P696" s="299">
        <f t="shared" si="49"/>
        <v>484700</v>
      </c>
      <c r="Q696" s="299">
        <f t="shared" si="50"/>
        <v>48843219.000000007</v>
      </c>
      <c r="R696" s="299">
        <f t="shared" si="51"/>
        <v>48843219.000000007</v>
      </c>
      <c r="S696" s="112">
        <v>0</v>
      </c>
    </row>
    <row r="697" spans="1:19">
      <c r="A697" s="79"/>
      <c r="B697" s="77" t="s">
        <v>2215</v>
      </c>
      <c r="C697" s="76" t="s">
        <v>1861</v>
      </c>
      <c r="D697" s="143">
        <v>40.61</v>
      </c>
      <c r="E697" s="79"/>
      <c r="F697" s="113">
        <f t="shared" si="48"/>
        <v>40.61</v>
      </c>
      <c r="G697" s="112" t="s">
        <v>3525</v>
      </c>
      <c r="H697" s="120" t="s">
        <v>3360</v>
      </c>
      <c r="I697" s="120" t="s">
        <v>3479</v>
      </c>
      <c r="J697" s="120" t="s">
        <v>772</v>
      </c>
      <c r="K697" s="112">
        <v>336900</v>
      </c>
      <c r="L697" s="113"/>
      <c r="M697" s="113">
        <v>196200</v>
      </c>
      <c r="N697" s="113"/>
      <c r="O697" s="113"/>
      <c r="P697" s="299">
        <f t="shared" si="49"/>
        <v>533100</v>
      </c>
      <c r="Q697" s="299">
        <f t="shared" si="50"/>
        <v>21649191</v>
      </c>
      <c r="R697" s="299">
        <f t="shared" si="51"/>
        <v>21649191</v>
      </c>
      <c r="S697" s="112">
        <v>0</v>
      </c>
    </row>
    <row r="698" spans="1:19">
      <c r="A698" s="79"/>
      <c r="B698" s="77" t="s">
        <v>2333</v>
      </c>
      <c r="C698" s="76" t="s">
        <v>1861</v>
      </c>
      <c r="D698" s="143">
        <v>30.9</v>
      </c>
      <c r="E698" s="79"/>
      <c r="F698" s="113">
        <f t="shared" si="48"/>
        <v>30.9</v>
      </c>
      <c r="G698" s="112" t="s">
        <v>3473</v>
      </c>
      <c r="H698" s="120" t="s">
        <v>3360</v>
      </c>
      <c r="I698" s="120" t="s">
        <v>3479</v>
      </c>
      <c r="J698" s="120" t="s">
        <v>772</v>
      </c>
      <c r="K698" s="112">
        <v>367500</v>
      </c>
      <c r="L698" s="113"/>
      <c r="M698" s="113">
        <v>214000</v>
      </c>
      <c r="N698" s="113"/>
      <c r="O698" s="113"/>
      <c r="P698" s="299">
        <f t="shared" si="49"/>
        <v>581500</v>
      </c>
      <c r="Q698" s="299">
        <f t="shared" si="50"/>
        <v>17968350</v>
      </c>
      <c r="R698" s="299">
        <f t="shared" si="51"/>
        <v>17968350</v>
      </c>
      <c r="S698" s="112">
        <v>0</v>
      </c>
    </row>
    <row r="699" spans="1:19">
      <c r="A699" s="79"/>
      <c r="B699" s="77" t="s">
        <v>2216</v>
      </c>
      <c r="C699" s="76" t="s">
        <v>1861</v>
      </c>
      <c r="D699" s="143">
        <v>5.9399999999999995</v>
      </c>
      <c r="E699" s="79"/>
      <c r="F699" s="113">
        <f t="shared" si="48"/>
        <v>5.9399999999999995</v>
      </c>
      <c r="G699" s="112" t="s">
        <v>3524</v>
      </c>
      <c r="H699" s="120" t="s">
        <v>3360</v>
      </c>
      <c r="I699" s="120" t="s">
        <v>3479</v>
      </c>
      <c r="J699" s="120" t="s">
        <v>772</v>
      </c>
      <c r="K699" s="112">
        <v>367500</v>
      </c>
      <c r="L699" s="113"/>
      <c r="M699" s="113">
        <v>214000</v>
      </c>
      <c r="N699" s="113"/>
      <c r="O699" s="113"/>
      <c r="P699" s="299">
        <f t="shared" si="49"/>
        <v>581500</v>
      </c>
      <c r="Q699" s="299">
        <f t="shared" si="50"/>
        <v>3454109.9999999995</v>
      </c>
      <c r="R699" s="299">
        <f t="shared" si="51"/>
        <v>3454109.9999999995</v>
      </c>
      <c r="S699" s="112">
        <v>0</v>
      </c>
    </row>
    <row r="700" spans="1:19">
      <c r="A700" s="79"/>
      <c r="B700" s="77" t="s">
        <v>2294</v>
      </c>
      <c r="C700" s="76" t="s">
        <v>1861</v>
      </c>
      <c r="D700" s="143">
        <v>83.899999999999991</v>
      </c>
      <c r="E700" s="79"/>
      <c r="F700" s="113">
        <f t="shared" si="48"/>
        <v>83.899999999999991</v>
      </c>
      <c r="G700" s="112" t="s">
        <v>3472</v>
      </c>
      <c r="H700" s="120" t="s">
        <v>3360</v>
      </c>
      <c r="I700" s="120" t="s">
        <v>3479</v>
      </c>
      <c r="J700" s="120" t="s">
        <v>772</v>
      </c>
      <c r="K700" s="112">
        <v>398100</v>
      </c>
      <c r="L700" s="113"/>
      <c r="M700" s="113">
        <v>231900</v>
      </c>
      <c r="N700" s="113"/>
      <c r="O700" s="113"/>
      <c r="P700" s="299">
        <f t="shared" si="49"/>
        <v>630000</v>
      </c>
      <c r="Q700" s="299">
        <f t="shared" si="50"/>
        <v>52856999.999999993</v>
      </c>
      <c r="R700" s="299">
        <f t="shared" si="51"/>
        <v>52856999.999999993</v>
      </c>
      <c r="S700" s="112">
        <v>0</v>
      </c>
    </row>
    <row r="701" spans="1:19">
      <c r="A701" s="79"/>
      <c r="B701" s="77" t="s">
        <v>2217</v>
      </c>
      <c r="C701" s="76" t="s">
        <v>1861</v>
      </c>
      <c r="D701" s="143">
        <v>5.05</v>
      </c>
      <c r="E701" s="79"/>
      <c r="F701" s="113">
        <f t="shared" si="48"/>
        <v>5.05</v>
      </c>
      <c r="G701" s="112" t="s">
        <v>3523</v>
      </c>
      <c r="H701" s="120" t="s">
        <v>3360</v>
      </c>
      <c r="I701" s="120" t="s">
        <v>3479</v>
      </c>
      <c r="J701" s="120" t="s">
        <v>772</v>
      </c>
      <c r="K701" s="112">
        <v>428700</v>
      </c>
      <c r="L701" s="113"/>
      <c r="M701" s="113">
        <v>249700</v>
      </c>
      <c r="N701" s="113"/>
      <c r="O701" s="113"/>
      <c r="P701" s="299">
        <f t="shared" si="49"/>
        <v>678400</v>
      </c>
      <c r="Q701" s="299">
        <f t="shared" si="50"/>
        <v>3425920</v>
      </c>
      <c r="R701" s="299">
        <f t="shared" si="51"/>
        <v>3425920</v>
      </c>
      <c r="S701" s="112">
        <v>0</v>
      </c>
    </row>
    <row r="702" spans="1:19">
      <c r="A702" s="79"/>
      <c r="B702" s="77" t="s">
        <v>2334</v>
      </c>
      <c r="C702" s="76" t="s">
        <v>1861</v>
      </c>
      <c r="D702" s="143">
        <v>43.120000000000005</v>
      </c>
      <c r="E702" s="79"/>
      <c r="F702" s="113">
        <f t="shared" si="48"/>
        <v>43.120000000000005</v>
      </c>
      <c r="G702" s="112" t="s">
        <v>3471</v>
      </c>
      <c r="H702" s="120" t="s">
        <v>3360</v>
      </c>
      <c r="I702" s="120" t="s">
        <v>3479</v>
      </c>
      <c r="J702" s="120" t="s">
        <v>772</v>
      </c>
      <c r="K702" s="112">
        <v>398100</v>
      </c>
      <c r="L702" s="113"/>
      <c r="M702" s="113">
        <v>231900</v>
      </c>
      <c r="N702" s="113"/>
      <c r="O702" s="113"/>
      <c r="P702" s="299">
        <f t="shared" si="49"/>
        <v>630000</v>
      </c>
      <c r="Q702" s="299">
        <f t="shared" si="50"/>
        <v>27165600.000000004</v>
      </c>
      <c r="R702" s="299">
        <f t="shared" si="51"/>
        <v>27165600.000000004</v>
      </c>
      <c r="S702" s="112">
        <v>0</v>
      </c>
    </row>
    <row r="703" spans="1:19">
      <c r="A703" s="79"/>
      <c r="B703" s="77" t="s">
        <v>2335</v>
      </c>
      <c r="C703" s="76" t="s">
        <v>1861</v>
      </c>
      <c r="D703" s="143">
        <v>21.72</v>
      </c>
      <c r="E703" s="79"/>
      <c r="F703" s="113">
        <f t="shared" si="48"/>
        <v>21.72</v>
      </c>
      <c r="G703" s="112" t="s">
        <v>3470</v>
      </c>
      <c r="H703" s="120" t="s">
        <v>3360</v>
      </c>
      <c r="I703" s="120" t="s">
        <v>3479</v>
      </c>
      <c r="J703" s="120" t="s">
        <v>772</v>
      </c>
      <c r="K703" s="112">
        <v>428700</v>
      </c>
      <c r="L703" s="113"/>
      <c r="M703" s="113">
        <v>249700</v>
      </c>
      <c r="N703" s="113"/>
      <c r="O703" s="113"/>
      <c r="P703" s="299">
        <f t="shared" si="49"/>
        <v>678400</v>
      </c>
      <c r="Q703" s="299">
        <f t="shared" si="50"/>
        <v>14734848</v>
      </c>
      <c r="R703" s="299">
        <f t="shared" si="51"/>
        <v>14734848</v>
      </c>
      <c r="S703" s="112">
        <v>0</v>
      </c>
    </row>
    <row r="704" spans="1:19">
      <c r="A704" s="79"/>
      <c r="B704" s="77" t="s">
        <v>2336</v>
      </c>
      <c r="C704" s="76" t="s">
        <v>1861</v>
      </c>
      <c r="D704" s="143">
        <v>12</v>
      </c>
      <c r="E704" s="79"/>
      <c r="F704" s="113">
        <f t="shared" si="48"/>
        <v>12</v>
      </c>
      <c r="G704" s="112" t="s">
        <v>3469</v>
      </c>
      <c r="H704" s="120" t="s">
        <v>3360</v>
      </c>
      <c r="I704" s="120" t="s">
        <v>3479</v>
      </c>
      <c r="J704" s="120" t="s">
        <v>772</v>
      </c>
      <c r="K704" s="112">
        <v>459400</v>
      </c>
      <c r="L704" s="113"/>
      <c r="M704" s="113">
        <v>267500</v>
      </c>
      <c r="N704" s="113"/>
      <c r="O704" s="113"/>
      <c r="P704" s="299">
        <f t="shared" si="49"/>
        <v>726900</v>
      </c>
      <c r="Q704" s="299">
        <f t="shared" si="50"/>
        <v>8722800</v>
      </c>
      <c r="R704" s="299">
        <f t="shared" si="51"/>
        <v>8722800</v>
      </c>
      <c r="S704" s="112">
        <v>0</v>
      </c>
    </row>
    <row r="705" spans="1:19">
      <c r="A705" s="79"/>
      <c r="B705" s="77" t="s">
        <v>2219</v>
      </c>
      <c r="C705" s="76" t="s">
        <v>1861</v>
      </c>
      <c r="D705" s="143">
        <v>59.680000000000007</v>
      </c>
      <c r="E705" s="79"/>
      <c r="F705" s="113">
        <f t="shared" si="48"/>
        <v>59.680000000000007</v>
      </c>
      <c r="G705" s="112" t="s">
        <v>3521</v>
      </c>
      <c r="H705" s="120" t="s">
        <v>3360</v>
      </c>
      <c r="I705" s="120" t="s">
        <v>3479</v>
      </c>
      <c r="J705" s="120" t="s">
        <v>772</v>
      </c>
      <c r="K705" s="112">
        <v>459400</v>
      </c>
      <c r="L705" s="113"/>
      <c r="M705" s="113">
        <v>267500</v>
      </c>
      <c r="N705" s="113"/>
      <c r="O705" s="113"/>
      <c r="P705" s="299">
        <f t="shared" si="49"/>
        <v>726900</v>
      </c>
      <c r="Q705" s="299">
        <f t="shared" si="50"/>
        <v>43381392.000000007</v>
      </c>
      <c r="R705" s="299">
        <f t="shared" si="51"/>
        <v>43381392.000000007</v>
      </c>
      <c r="S705" s="112">
        <v>0</v>
      </c>
    </row>
    <row r="706" spans="1:19">
      <c r="A706" s="79"/>
      <c r="B706" s="77" t="s">
        <v>2220</v>
      </c>
      <c r="C706" s="76" t="s">
        <v>1861</v>
      </c>
      <c r="D706" s="143">
        <v>47.629999999999995</v>
      </c>
      <c r="E706" s="79"/>
      <c r="F706" s="113">
        <f t="shared" si="48"/>
        <v>47.629999999999995</v>
      </c>
      <c r="G706" s="112" t="s">
        <v>3520</v>
      </c>
      <c r="H706" s="120" t="s">
        <v>3360</v>
      </c>
      <c r="I706" s="120" t="s">
        <v>3479</v>
      </c>
      <c r="J706" s="120" t="s">
        <v>772</v>
      </c>
      <c r="K706" s="112">
        <v>489900</v>
      </c>
      <c r="L706" s="113"/>
      <c r="M706" s="113">
        <v>285400</v>
      </c>
      <c r="N706" s="113"/>
      <c r="O706" s="113"/>
      <c r="P706" s="299">
        <f t="shared" si="49"/>
        <v>775300</v>
      </c>
      <c r="Q706" s="299">
        <f t="shared" si="50"/>
        <v>36927539</v>
      </c>
      <c r="R706" s="299">
        <f t="shared" si="51"/>
        <v>36927539</v>
      </c>
      <c r="S706" s="112">
        <v>0</v>
      </c>
    </row>
    <row r="707" spans="1:19">
      <c r="A707" s="79"/>
      <c r="B707" s="77" t="s">
        <v>2337</v>
      </c>
      <c r="C707" s="76" t="s">
        <v>1861</v>
      </c>
      <c r="D707" s="143">
        <v>16.36</v>
      </c>
      <c r="E707" s="79"/>
      <c r="F707" s="113">
        <f t="shared" si="48"/>
        <v>16.36</v>
      </c>
      <c r="G707" s="112" t="s">
        <v>3468</v>
      </c>
      <c r="H707" s="120" t="s">
        <v>3360</v>
      </c>
      <c r="I707" s="120" t="s">
        <v>3479</v>
      </c>
      <c r="J707" s="120" t="s">
        <v>772</v>
      </c>
      <c r="K707" s="112">
        <v>520600</v>
      </c>
      <c r="L707" s="113"/>
      <c r="M707" s="113">
        <v>303200</v>
      </c>
      <c r="N707" s="113"/>
      <c r="O707" s="113"/>
      <c r="P707" s="299">
        <f t="shared" si="49"/>
        <v>823800</v>
      </c>
      <c r="Q707" s="299">
        <f t="shared" si="50"/>
        <v>13477368</v>
      </c>
      <c r="R707" s="299">
        <f t="shared" si="51"/>
        <v>13477368</v>
      </c>
      <c r="S707" s="112">
        <v>0</v>
      </c>
    </row>
    <row r="708" spans="1:19">
      <c r="A708" s="79"/>
      <c r="B708" s="77" t="s">
        <v>2295</v>
      </c>
      <c r="C708" s="76" t="s">
        <v>1861</v>
      </c>
      <c r="D708" s="143">
        <v>5.31</v>
      </c>
      <c r="E708" s="79"/>
      <c r="F708" s="113">
        <f t="shared" si="48"/>
        <v>5.31</v>
      </c>
      <c r="G708" s="112" t="s">
        <v>3467</v>
      </c>
      <c r="H708" s="120" t="s">
        <v>3193</v>
      </c>
      <c r="I708" s="120" t="s">
        <v>3479</v>
      </c>
      <c r="J708" s="120" t="s">
        <v>772</v>
      </c>
      <c r="K708" s="112">
        <v>610300</v>
      </c>
      <c r="L708" s="113"/>
      <c r="M708" s="113">
        <v>316900</v>
      </c>
      <c r="N708" s="113"/>
      <c r="O708" s="113"/>
      <c r="P708" s="299">
        <f t="shared" si="49"/>
        <v>927200</v>
      </c>
      <c r="Q708" s="299">
        <f t="shared" si="50"/>
        <v>4923432</v>
      </c>
      <c r="R708" s="299">
        <f t="shared" si="51"/>
        <v>4923432</v>
      </c>
      <c r="S708" s="112">
        <v>0</v>
      </c>
    </row>
    <row r="709" spans="1:19">
      <c r="A709" s="79"/>
      <c r="B709" s="77" t="s">
        <v>2223</v>
      </c>
      <c r="C709" s="76" t="s">
        <v>1861</v>
      </c>
      <c r="D709" s="143">
        <v>72.44</v>
      </c>
      <c r="E709" s="79"/>
      <c r="F709" s="113">
        <f t="shared" si="48"/>
        <v>72.44</v>
      </c>
      <c r="G709" s="112" t="s">
        <v>3518</v>
      </c>
      <c r="H709" s="120" t="s">
        <v>3193</v>
      </c>
      <c r="I709" s="120" t="s">
        <v>3479</v>
      </c>
      <c r="J709" s="120" t="s">
        <v>772</v>
      </c>
      <c r="K709" s="112">
        <v>646200</v>
      </c>
      <c r="L709" s="113"/>
      <c r="M709" s="113">
        <v>335500</v>
      </c>
      <c r="N709" s="113"/>
      <c r="O709" s="113"/>
      <c r="P709" s="299">
        <f t="shared" si="49"/>
        <v>981700</v>
      </c>
      <c r="Q709" s="299">
        <f t="shared" si="50"/>
        <v>71114348</v>
      </c>
      <c r="R709" s="299">
        <f t="shared" si="51"/>
        <v>71114348</v>
      </c>
      <c r="S709" s="112">
        <v>0</v>
      </c>
    </row>
    <row r="710" spans="1:19">
      <c r="A710" s="79"/>
      <c r="B710" s="77" t="s">
        <v>2338</v>
      </c>
      <c r="C710" s="76" t="s">
        <v>1861</v>
      </c>
      <c r="D710" s="143">
        <v>24.439999999999998</v>
      </c>
      <c r="E710" s="79"/>
      <c r="F710" s="113">
        <f t="shared" si="48"/>
        <v>24.439999999999998</v>
      </c>
      <c r="G710" s="112" t="s">
        <v>3466</v>
      </c>
      <c r="H710" s="120" t="s">
        <v>3193</v>
      </c>
      <c r="I710" s="120" t="s">
        <v>3479</v>
      </c>
      <c r="J710" s="120" t="s">
        <v>772</v>
      </c>
      <c r="K710" s="112">
        <v>682200</v>
      </c>
      <c r="L710" s="113"/>
      <c r="M710" s="113">
        <v>354200</v>
      </c>
      <c r="N710" s="113"/>
      <c r="O710" s="113"/>
      <c r="P710" s="299">
        <f t="shared" si="49"/>
        <v>1036400</v>
      </c>
      <c r="Q710" s="299">
        <f t="shared" si="50"/>
        <v>25329615.999999996</v>
      </c>
      <c r="R710" s="299">
        <f t="shared" si="51"/>
        <v>25329615.999999996</v>
      </c>
      <c r="S710" s="112">
        <v>0</v>
      </c>
    </row>
    <row r="711" spans="1:19">
      <c r="A711" s="79"/>
      <c r="B711" s="77" t="s">
        <v>2226</v>
      </c>
      <c r="C711" s="76" t="s">
        <v>1861</v>
      </c>
      <c r="D711" s="143">
        <v>46.61</v>
      </c>
      <c r="E711" s="79"/>
      <c r="F711" s="113">
        <f t="shared" si="48"/>
        <v>46.61</v>
      </c>
      <c r="G711" s="112" t="s">
        <v>3515</v>
      </c>
      <c r="H711" s="120" t="s">
        <v>3193</v>
      </c>
      <c r="I711" s="120" t="s">
        <v>3479</v>
      </c>
      <c r="J711" s="120" t="s">
        <v>772</v>
      </c>
      <c r="K711" s="112">
        <v>718000</v>
      </c>
      <c r="L711" s="113"/>
      <c r="M711" s="113">
        <v>372800</v>
      </c>
      <c r="N711" s="113"/>
      <c r="O711" s="113"/>
      <c r="P711" s="299">
        <f t="shared" si="49"/>
        <v>1090800</v>
      </c>
      <c r="Q711" s="299">
        <f t="shared" si="50"/>
        <v>50842188</v>
      </c>
      <c r="R711" s="299">
        <f t="shared" si="51"/>
        <v>50842188</v>
      </c>
      <c r="S711" s="112">
        <v>0</v>
      </c>
    </row>
    <row r="712" spans="1:19">
      <c r="A712" s="79"/>
      <c r="B712" s="77" t="s">
        <v>2339</v>
      </c>
      <c r="C712" s="76" t="s">
        <v>1861</v>
      </c>
      <c r="D712" s="143">
        <v>10.61</v>
      </c>
      <c r="E712" s="79"/>
      <c r="F712" s="113">
        <f t="shared" ref="F712:F775" si="52">D712</f>
        <v>10.61</v>
      </c>
      <c r="G712" s="112" t="s">
        <v>3465</v>
      </c>
      <c r="H712" s="120" t="s">
        <v>3193</v>
      </c>
      <c r="I712" s="120" t="s">
        <v>3479</v>
      </c>
      <c r="J712" s="120" t="s">
        <v>772</v>
      </c>
      <c r="K712" s="112">
        <v>753900</v>
      </c>
      <c r="L712" s="113"/>
      <c r="M712" s="113">
        <v>391500</v>
      </c>
      <c r="N712" s="113"/>
      <c r="O712" s="113"/>
      <c r="P712" s="299">
        <f t="shared" ref="P712:P775" si="53">K712+L712+M712+N712+O712</f>
        <v>1145400</v>
      </c>
      <c r="Q712" s="299">
        <f t="shared" ref="Q712:Q775" si="54">+P712*D712</f>
        <v>12152694</v>
      </c>
      <c r="R712" s="299">
        <f t="shared" ref="R712:R775" si="55">+P712*F712</f>
        <v>12152694</v>
      </c>
      <c r="S712" s="112">
        <v>0</v>
      </c>
    </row>
    <row r="713" spans="1:19">
      <c r="A713" s="79"/>
      <c r="B713" s="77" t="s">
        <v>2227</v>
      </c>
      <c r="C713" s="76" t="s">
        <v>1861</v>
      </c>
      <c r="D713" s="143">
        <v>10.46</v>
      </c>
      <c r="E713" s="79"/>
      <c r="F713" s="113">
        <f t="shared" si="52"/>
        <v>10.46</v>
      </c>
      <c r="G713" s="112" t="s">
        <v>3514</v>
      </c>
      <c r="H713" s="120" t="s">
        <v>3193</v>
      </c>
      <c r="I713" s="120" t="s">
        <v>3479</v>
      </c>
      <c r="J713" s="120" t="s">
        <v>772</v>
      </c>
      <c r="K713" s="112">
        <v>789800</v>
      </c>
      <c r="L713" s="113"/>
      <c r="M713" s="113">
        <v>410100</v>
      </c>
      <c r="N713" s="113"/>
      <c r="O713" s="113"/>
      <c r="P713" s="299">
        <f t="shared" si="53"/>
        <v>1199900</v>
      </c>
      <c r="Q713" s="299">
        <f t="shared" si="54"/>
        <v>12550954.000000002</v>
      </c>
      <c r="R713" s="299">
        <f t="shared" si="55"/>
        <v>12550954.000000002</v>
      </c>
      <c r="S713" s="112">
        <v>0</v>
      </c>
    </row>
    <row r="714" spans="1:19">
      <c r="A714" s="79"/>
      <c r="B714" s="77" t="s">
        <v>2340</v>
      </c>
      <c r="C714" s="76" t="s">
        <v>1861</v>
      </c>
      <c r="D714" s="143">
        <v>21.259999999999998</v>
      </c>
      <c r="E714" s="79"/>
      <c r="F714" s="113">
        <f t="shared" si="52"/>
        <v>21.259999999999998</v>
      </c>
      <c r="G714" s="112" t="s">
        <v>3464</v>
      </c>
      <c r="H714" s="120" t="s">
        <v>3189</v>
      </c>
      <c r="I714" s="120" t="s">
        <v>3479</v>
      </c>
      <c r="J714" s="120" t="s">
        <v>772</v>
      </c>
      <c r="K714" s="112">
        <v>966300</v>
      </c>
      <c r="L714" s="113"/>
      <c r="M714" s="113">
        <v>427800</v>
      </c>
      <c r="N714" s="113"/>
      <c r="O714" s="113"/>
      <c r="P714" s="299">
        <f t="shared" si="53"/>
        <v>1394100</v>
      </c>
      <c r="Q714" s="299">
        <f t="shared" si="54"/>
        <v>29638565.999999996</v>
      </c>
      <c r="R714" s="299">
        <f t="shared" si="55"/>
        <v>29638565.999999996</v>
      </c>
      <c r="S714" s="112">
        <v>0</v>
      </c>
    </row>
    <row r="715" spans="1:19">
      <c r="A715" s="79"/>
      <c r="B715" s="77" t="s">
        <v>2229</v>
      </c>
      <c r="C715" s="76" t="s">
        <v>1861</v>
      </c>
      <c r="D715" s="143">
        <v>6.26</v>
      </c>
      <c r="E715" s="79"/>
      <c r="F715" s="113">
        <f t="shared" si="52"/>
        <v>6.26</v>
      </c>
      <c r="G715" s="112" t="s">
        <v>3511</v>
      </c>
      <c r="H715" s="120" t="s">
        <v>3189</v>
      </c>
      <c r="I715" s="120" t="s">
        <v>3479</v>
      </c>
      <c r="J715" s="120" t="s">
        <v>772</v>
      </c>
      <c r="K715" s="112">
        <v>1098100</v>
      </c>
      <c r="L715" s="113"/>
      <c r="M715" s="113">
        <v>505600</v>
      </c>
      <c r="N715" s="113"/>
      <c r="O715" s="113"/>
      <c r="P715" s="299">
        <f t="shared" si="53"/>
        <v>1603700</v>
      </c>
      <c r="Q715" s="299">
        <f t="shared" si="54"/>
        <v>10039162</v>
      </c>
      <c r="R715" s="299">
        <f t="shared" si="55"/>
        <v>10039162</v>
      </c>
      <c r="S715" s="112">
        <v>0</v>
      </c>
    </row>
    <row r="716" spans="1:19">
      <c r="A716" s="79"/>
      <c r="B716" s="77" t="s">
        <v>2341</v>
      </c>
      <c r="C716" s="76" t="s">
        <v>1861</v>
      </c>
      <c r="D716" s="143">
        <v>8.9</v>
      </c>
      <c r="E716" s="79"/>
      <c r="F716" s="113">
        <f t="shared" si="52"/>
        <v>8.9</v>
      </c>
      <c r="G716" s="112" t="s">
        <v>3463</v>
      </c>
      <c r="H716" s="120" t="s">
        <v>3189</v>
      </c>
      <c r="I716" s="120" t="s">
        <v>3479</v>
      </c>
      <c r="J716" s="120" t="s">
        <v>772</v>
      </c>
      <c r="K716" s="112">
        <v>1098100</v>
      </c>
      <c r="L716" s="113"/>
      <c r="M716" s="113">
        <v>505600</v>
      </c>
      <c r="N716" s="113"/>
      <c r="O716" s="113"/>
      <c r="P716" s="299">
        <f t="shared" si="53"/>
        <v>1603700</v>
      </c>
      <c r="Q716" s="299">
        <f t="shared" si="54"/>
        <v>14272930</v>
      </c>
      <c r="R716" s="299">
        <f t="shared" si="55"/>
        <v>14272930</v>
      </c>
      <c r="S716" s="112">
        <v>0</v>
      </c>
    </row>
    <row r="717" spans="1:19">
      <c r="A717" s="79"/>
      <c r="B717" s="77" t="s">
        <v>2234</v>
      </c>
      <c r="C717" s="76" t="s">
        <v>1861</v>
      </c>
      <c r="D717" s="143">
        <v>5.04</v>
      </c>
      <c r="E717" s="79"/>
      <c r="F717" s="113">
        <f t="shared" si="52"/>
        <v>5.04</v>
      </c>
      <c r="G717" s="112" t="s">
        <v>3462</v>
      </c>
      <c r="H717" s="120" t="s">
        <v>3189</v>
      </c>
      <c r="I717" s="120" t="s">
        <v>3479</v>
      </c>
      <c r="J717" s="120" t="s">
        <v>772</v>
      </c>
      <c r="K717" s="112">
        <v>1351400</v>
      </c>
      <c r="L717" s="113"/>
      <c r="M717" s="113">
        <v>622300</v>
      </c>
      <c r="N717" s="113"/>
      <c r="O717" s="113"/>
      <c r="P717" s="299">
        <f t="shared" si="53"/>
        <v>1973700</v>
      </c>
      <c r="Q717" s="299">
        <f t="shared" si="54"/>
        <v>9947448</v>
      </c>
      <c r="R717" s="299">
        <f t="shared" si="55"/>
        <v>9947448</v>
      </c>
      <c r="S717" s="112">
        <v>0</v>
      </c>
    </row>
    <row r="718" spans="1:19">
      <c r="A718" s="79"/>
      <c r="B718" s="77" t="s">
        <v>2342</v>
      </c>
      <c r="C718" s="76" t="s">
        <v>1861</v>
      </c>
      <c r="D718" s="143">
        <v>1.27</v>
      </c>
      <c r="E718" s="79"/>
      <c r="F718" s="113">
        <f t="shared" si="52"/>
        <v>1.27</v>
      </c>
      <c r="G718" s="112" t="s">
        <v>3461</v>
      </c>
      <c r="H718" s="120" t="s">
        <v>3189</v>
      </c>
      <c r="I718" s="120" t="s">
        <v>3479</v>
      </c>
      <c r="J718" s="120" t="s">
        <v>772</v>
      </c>
      <c r="K718" s="112">
        <v>1604800</v>
      </c>
      <c r="L718" s="113"/>
      <c r="M718" s="113">
        <v>739000</v>
      </c>
      <c r="N718" s="113"/>
      <c r="O718" s="113"/>
      <c r="P718" s="299">
        <f t="shared" si="53"/>
        <v>2343800</v>
      </c>
      <c r="Q718" s="299">
        <f t="shared" si="54"/>
        <v>2976626</v>
      </c>
      <c r="R718" s="299">
        <f t="shared" si="55"/>
        <v>2976626</v>
      </c>
      <c r="S718" s="112">
        <v>0</v>
      </c>
    </row>
    <row r="719" spans="1:19">
      <c r="A719" s="88"/>
      <c r="B719" s="87" t="s">
        <v>2343</v>
      </c>
      <c r="C719" s="88" t="s">
        <v>7</v>
      </c>
      <c r="D719" s="147">
        <v>36</v>
      </c>
      <c r="E719" s="87"/>
      <c r="F719" s="113">
        <f t="shared" si="52"/>
        <v>36</v>
      </c>
      <c r="G719" s="112" t="s">
        <v>3460</v>
      </c>
      <c r="H719" s="120" t="s">
        <v>3360</v>
      </c>
      <c r="I719" s="120" t="s">
        <v>3479</v>
      </c>
      <c r="J719" s="120" t="s">
        <v>772</v>
      </c>
      <c r="K719" s="112">
        <v>336900</v>
      </c>
      <c r="L719" s="113"/>
      <c r="M719" s="113">
        <v>196200</v>
      </c>
      <c r="N719" s="113"/>
      <c r="O719" s="113"/>
      <c r="P719" s="299">
        <f t="shared" si="53"/>
        <v>533100</v>
      </c>
      <c r="Q719" s="299">
        <f t="shared" si="54"/>
        <v>19191600</v>
      </c>
      <c r="R719" s="299">
        <f t="shared" si="55"/>
        <v>19191600</v>
      </c>
      <c r="S719" s="112">
        <v>0</v>
      </c>
    </row>
    <row r="720" spans="1:19">
      <c r="A720" s="88"/>
      <c r="B720" s="87" t="s">
        <v>2214</v>
      </c>
      <c r="C720" s="88" t="s">
        <v>7</v>
      </c>
      <c r="D720" s="147">
        <v>23</v>
      </c>
      <c r="E720" s="87"/>
      <c r="F720" s="113">
        <f t="shared" si="52"/>
        <v>23</v>
      </c>
      <c r="G720" s="112" t="s">
        <v>3459</v>
      </c>
      <c r="H720" s="120" t="s">
        <v>3360</v>
      </c>
      <c r="I720" s="120" t="s">
        <v>3479</v>
      </c>
      <c r="J720" s="120" t="s">
        <v>772</v>
      </c>
      <c r="K720" s="112">
        <v>367500</v>
      </c>
      <c r="L720" s="113"/>
      <c r="M720" s="113">
        <v>214000</v>
      </c>
      <c r="N720" s="113"/>
      <c r="O720" s="113"/>
      <c r="P720" s="299">
        <f t="shared" si="53"/>
        <v>581500</v>
      </c>
      <c r="Q720" s="299">
        <f t="shared" si="54"/>
        <v>13374500</v>
      </c>
      <c r="R720" s="299">
        <f t="shared" si="55"/>
        <v>13374500</v>
      </c>
      <c r="S720" s="112">
        <v>0</v>
      </c>
    </row>
    <row r="721" spans="1:19">
      <c r="A721" s="88"/>
      <c r="B721" s="87" t="s">
        <v>2344</v>
      </c>
      <c r="C721" s="88" t="s">
        <v>7</v>
      </c>
      <c r="D721" s="147">
        <v>18</v>
      </c>
      <c r="E721" s="87"/>
      <c r="F721" s="113">
        <f t="shared" si="52"/>
        <v>18</v>
      </c>
      <c r="G721" s="112" t="s">
        <v>3458</v>
      </c>
      <c r="H721" s="120" t="s">
        <v>3360</v>
      </c>
      <c r="I721" s="120" t="s">
        <v>3479</v>
      </c>
      <c r="J721" s="120" t="s">
        <v>772</v>
      </c>
      <c r="K721" s="112">
        <v>398100</v>
      </c>
      <c r="L721" s="113"/>
      <c r="M721" s="113">
        <v>231900</v>
      </c>
      <c r="N721" s="113"/>
      <c r="O721" s="113"/>
      <c r="P721" s="299">
        <f t="shared" si="53"/>
        <v>630000</v>
      </c>
      <c r="Q721" s="299">
        <f t="shared" si="54"/>
        <v>11340000</v>
      </c>
      <c r="R721" s="299">
        <f t="shared" si="55"/>
        <v>11340000</v>
      </c>
      <c r="S721" s="112">
        <v>0</v>
      </c>
    </row>
    <row r="722" spans="1:19">
      <c r="A722" s="88"/>
      <c r="B722" s="87" t="s">
        <v>2345</v>
      </c>
      <c r="C722" s="88" t="s">
        <v>7</v>
      </c>
      <c r="D722" s="147">
        <v>2</v>
      </c>
      <c r="E722" s="87"/>
      <c r="F722" s="113">
        <f t="shared" si="52"/>
        <v>2</v>
      </c>
      <c r="G722" s="112" t="s">
        <v>3457</v>
      </c>
      <c r="H722" s="120" t="s">
        <v>3205</v>
      </c>
      <c r="I722" s="120" t="s">
        <v>3479</v>
      </c>
      <c r="J722" s="120" t="s">
        <v>772</v>
      </c>
      <c r="K722" s="112">
        <v>1025500</v>
      </c>
      <c r="L722" s="113"/>
      <c r="M722" s="113">
        <v>408400</v>
      </c>
      <c r="N722" s="113"/>
      <c r="O722" s="113"/>
      <c r="P722" s="299">
        <f t="shared" si="53"/>
        <v>1433900</v>
      </c>
      <c r="Q722" s="299">
        <f t="shared" si="54"/>
        <v>2867800</v>
      </c>
      <c r="R722" s="299">
        <f t="shared" si="55"/>
        <v>2867800</v>
      </c>
      <c r="S722" s="112">
        <v>0</v>
      </c>
    </row>
    <row r="723" spans="1:19">
      <c r="A723" s="79">
        <v>1.2</v>
      </c>
      <c r="B723" s="80" t="s">
        <v>2180</v>
      </c>
      <c r="C723" s="79"/>
      <c r="D723" s="143"/>
      <c r="E723" s="79"/>
      <c r="F723" s="113">
        <f t="shared" si="52"/>
        <v>0</v>
      </c>
      <c r="G723" s="112">
        <v>0</v>
      </c>
      <c r="H723" s="120">
        <v>0</v>
      </c>
      <c r="I723" s="120">
        <v>0</v>
      </c>
      <c r="J723" s="120">
        <v>0</v>
      </c>
      <c r="K723" s="112">
        <v>0</v>
      </c>
      <c r="L723" s="113"/>
      <c r="M723" s="113">
        <v>0</v>
      </c>
      <c r="N723" s="113"/>
      <c r="O723" s="113"/>
      <c r="P723" s="299">
        <f t="shared" si="53"/>
        <v>0</v>
      </c>
      <c r="Q723" s="299">
        <f t="shared" si="54"/>
        <v>0</v>
      </c>
      <c r="R723" s="299">
        <f t="shared" si="55"/>
        <v>0</v>
      </c>
      <c r="S723" s="112">
        <v>0</v>
      </c>
    </row>
    <row r="724" spans="1:19">
      <c r="A724" s="79"/>
      <c r="B724" s="77" t="s">
        <v>2328</v>
      </c>
      <c r="C724" s="76" t="s">
        <v>1877</v>
      </c>
      <c r="D724" s="143">
        <v>1</v>
      </c>
      <c r="E724" s="79"/>
      <c r="F724" s="113">
        <f t="shared" si="52"/>
        <v>1</v>
      </c>
      <c r="G724" s="112" t="s">
        <v>3363</v>
      </c>
      <c r="H724" s="120" t="s">
        <v>3342</v>
      </c>
      <c r="I724" s="120" t="s">
        <v>3479</v>
      </c>
      <c r="J724" s="120" t="s">
        <v>772</v>
      </c>
      <c r="K724" s="112">
        <v>77300</v>
      </c>
      <c r="L724" s="113"/>
      <c r="M724" s="113">
        <v>9500</v>
      </c>
      <c r="N724" s="113"/>
      <c r="O724" s="113"/>
      <c r="P724" s="299">
        <f t="shared" si="53"/>
        <v>86800</v>
      </c>
      <c r="Q724" s="299">
        <f t="shared" si="54"/>
        <v>86800</v>
      </c>
      <c r="R724" s="299">
        <f t="shared" si="55"/>
        <v>86800</v>
      </c>
      <c r="S724" s="112">
        <v>0</v>
      </c>
    </row>
    <row r="725" spans="1:19">
      <c r="A725" s="79"/>
      <c r="B725" s="77" t="s">
        <v>2330</v>
      </c>
      <c r="C725" s="76" t="s">
        <v>1877</v>
      </c>
      <c r="D725" s="143">
        <v>2</v>
      </c>
      <c r="E725" s="79"/>
      <c r="F725" s="113">
        <f t="shared" si="52"/>
        <v>2</v>
      </c>
      <c r="G725" s="112" t="s">
        <v>3361</v>
      </c>
      <c r="H725" s="120" t="s">
        <v>3360</v>
      </c>
      <c r="I725" s="120" t="s">
        <v>3479</v>
      </c>
      <c r="J725" s="120" t="s">
        <v>772</v>
      </c>
      <c r="K725" s="112">
        <v>115500</v>
      </c>
      <c r="L725" s="113"/>
      <c r="M725" s="113">
        <v>33700</v>
      </c>
      <c r="N725" s="113"/>
      <c r="O725" s="113"/>
      <c r="P725" s="299">
        <f t="shared" si="53"/>
        <v>149200</v>
      </c>
      <c r="Q725" s="299">
        <f t="shared" si="54"/>
        <v>298400</v>
      </c>
      <c r="R725" s="299">
        <f t="shared" si="55"/>
        <v>298400</v>
      </c>
      <c r="S725" s="112">
        <v>0</v>
      </c>
    </row>
    <row r="726" spans="1:19">
      <c r="A726" s="79"/>
      <c r="B726" s="77" t="s">
        <v>2210</v>
      </c>
      <c r="C726" s="76" t="s">
        <v>1877</v>
      </c>
      <c r="D726" s="143">
        <v>11</v>
      </c>
      <c r="E726" s="79"/>
      <c r="F726" s="113">
        <f t="shared" si="52"/>
        <v>11</v>
      </c>
      <c r="G726" s="112" t="s">
        <v>3456</v>
      </c>
      <c r="H726" s="120" t="s">
        <v>3360</v>
      </c>
      <c r="I726" s="120" t="s">
        <v>3479</v>
      </c>
      <c r="J726" s="120" t="s">
        <v>772</v>
      </c>
      <c r="K726" s="112">
        <v>125500</v>
      </c>
      <c r="L726" s="113"/>
      <c r="M726" s="113">
        <v>39300</v>
      </c>
      <c r="N726" s="113"/>
      <c r="O726" s="113"/>
      <c r="P726" s="299">
        <f t="shared" si="53"/>
        <v>164800</v>
      </c>
      <c r="Q726" s="299">
        <f t="shared" si="54"/>
        <v>1812800</v>
      </c>
      <c r="R726" s="299">
        <f t="shared" si="55"/>
        <v>1812800</v>
      </c>
      <c r="S726" s="112">
        <v>0</v>
      </c>
    </row>
    <row r="727" spans="1:19">
      <c r="A727" s="79"/>
      <c r="B727" s="77" t="s">
        <v>2211</v>
      </c>
      <c r="C727" s="76" t="s">
        <v>1877</v>
      </c>
      <c r="D727" s="143">
        <v>8</v>
      </c>
      <c r="E727" s="79"/>
      <c r="F727" s="113">
        <f t="shared" si="52"/>
        <v>8</v>
      </c>
      <c r="G727" s="112" t="s">
        <v>3455</v>
      </c>
      <c r="H727" s="120" t="s">
        <v>3360</v>
      </c>
      <c r="I727" s="120" t="s">
        <v>3479</v>
      </c>
      <c r="J727" s="120" t="s">
        <v>772</v>
      </c>
      <c r="K727" s="112">
        <v>135600</v>
      </c>
      <c r="L727" s="113"/>
      <c r="M727" s="113">
        <v>44900</v>
      </c>
      <c r="N727" s="113"/>
      <c r="O727" s="113"/>
      <c r="P727" s="299">
        <f t="shared" si="53"/>
        <v>180500</v>
      </c>
      <c r="Q727" s="299">
        <f t="shared" si="54"/>
        <v>1444000</v>
      </c>
      <c r="R727" s="299">
        <f t="shared" si="55"/>
        <v>1444000</v>
      </c>
      <c r="S727" s="112">
        <v>0</v>
      </c>
    </row>
    <row r="728" spans="1:19">
      <c r="A728" s="79"/>
      <c r="B728" s="77" t="s">
        <v>2212</v>
      </c>
      <c r="C728" s="76" t="s">
        <v>1877</v>
      </c>
      <c r="D728" s="143">
        <v>11</v>
      </c>
      <c r="E728" s="79"/>
      <c r="F728" s="113">
        <f t="shared" si="52"/>
        <v>11</v>
      </c>
      <c r="G728" s="112" t="s">
        <v>3454</v>
      </c>
      <c r="H728" s="120" t="s">
        <v>3360</v>
      </c>
      <c r="I728" s="120" t="s">
        <v>3479</v>
      </c>
      <c r="J728" s="120" t="s">
        <v>772</v>
      </c>
      <c r="K728" s="112">
        <v>168200</v>
      </c>
      <c r="L728" s="113"/>
      <c r="M728" s="113">
        <v>63100</v>
      </c>
      <c r="N728" s="113"/>
      <c r="O728" s="113"/>
      <c r="P728" s="299">
        <f t="shared" si="53"/>
        <v>231300</v>
      </c>
      <c r="Q728" s="299">
        <f t="shared" si="54"/>
        <v>2544300</v>
      </c>
      <c r="R728" s="299">
        <f t="shared" si="55"/>
        <v>2544300</v>
      </c>
      <c r="S728" s="112">
        <v>0</v>
      </c>
    </row>
    <row r="729" spans="1:19">
      <c r="A729" s="79"/>
      <c r="B729" s="77" t="s">
        <v>2332</v>
      </c>
      <c r="C729" s="76" t="s">
        <v>1877</v>
      </c>
      <c r="D729" s="143">
        <v>6</v>
      </c>
      <c r="E729" s="79"/>
      <c r="F729" s="113">
        <f t="shared" si="52"/>
        <v>6</v>
      </c>
      <c r="G729" s="112" t="s">
        <v>3453</v>
      </c>
      <c r="H729" s="120" t="s">
        <v>3360</v>
      </c>
      <c r="I729" s="120" t="s">
        <v>3479</v>
      </c>
      <c r="J729" s="120" t="s">
        <v>772</v>
      </c>
      <c r="K729" s="112">
        <v>180800</v>
      </c>
      <c r="L729" s="113"/>
      <c r="M729" s="113">
        <v>70100</v>
      </c>
      <c r="N729" s="113"/>
      <c r="O729" s="113"/>
      <c r="P729" s="299">
        <f t="shared" si="53"/>
        <v>250900</v>
      </c>
      <c r="Q729" s="299">
        <f t="shared" si="54"/>
        <v>1505400</v>
      </c>
      <c r="R729" s="299">
        <f t="shared" si="55"/>
        <v>1505400</v>
      </c>
      <c r="S729" s="112">
        <v>0</v>
      </c>
    </row>
    <row r="730" spans="1:19">
      <c r="A730" s="79"/>
      <c r="B730" s="77" t="s">
        <v>2213</v>
      </c>
      <c r="C730" s="76" t="s">
        <v>1877</v>
      </c>
      <c r="D730" s="143">
        <v>4</v>
      </c>
      <c r="E730" s="79"/>
      <c r="F730" s="113">
        <f t="shared" si="52"/>
        <v>4</v>
      </c>
      <c r="G730" s="112" t="s">
        <v>3359</v>
      </c>
      <c r="H730" s="120" t="s">
        <v>3360</v>
      </c>
      <c r="I730" s="120" t="s">
        <v>3479</v>
      </c>
      <c r="J730" s="120" t="s">
        <v>772</v>
      </c>
      <c r="K730" s="112">
        <v>205900</v>
      </c>
      <c r="L730" s="113"/>
      <c r="M730" s="113">
        <v>84100</v>
      </c>
      <c r="N730" s="113"/>
      <c r="O730" s="113"/>
      <c r="P730" s="299">
        <f t="shared" si="53"/>
        <v>290000</v>
      </c>
      <c r="Q730" s="299">
        <f t="shared" si="54"/>
        <v>1160000</v>
      </c>
      <c r="R730" s="299">
        <f t="shared" si="55"/>
        <v>1160000</v>
      </c>
      <c r="S730" s="112">
        <v>0</v>
      </c>
    </row>
    <row r="731" spans="1:19">
      <c r="A731" s="79"/>
      <c r="B731" s="77" t="s">
        <v>2215</v>
      </c>
      <c r="C731" s="76" t="s">
        <v>1877</v>
      </c>
      <c r="D731" s="143">
        <v>1</v>
      </c>
      <c r="E731" s="79"/>
      <c r="F731" s="113">
        <f t="shared" si="52"/>
        <v>1</v>
      </c>
      <c r="G731" s="112" t="s">
        <v>3452</v>
      </c>
      <c r="H731" s="120" t="s">
        <v>3360</v>
      </c>
      <c r="I731" s="120" t="s">
        <v>3479</v>
      </c>
      <c r="J731" s="120" t="s">
        <v>772</v>
      </c>
      <c r="K731" s="112">
        <v>248600</v>
      </c>
      <c r="L731" s="113"/>
      <c r="M731" s="113">
        <v>107900</v>
      </c>
      <c r="N731" s="113"/>
      <c r="O731" s="113"/>
      <c r="P731" s="299">
        <f t="shared" si="53"/>
        <v>356500</v>
      </c>
      <c r="Q731" s="299">
        <f t="shared" si="54"/>
        <v>356500</v>
      </c>
      <c r="R731" s="299">
        <f t="shared" si="55"/>
        <v>356500</v>
      </c>
      <c r="S731" s="112">
        <v>0</v>
      </c>
    </row>
    <row r="732" spans="1:19">
      <c r="A732" s="79"/>
      <c r="B732" s="77" t="s">
        <v>2217</v>
      </c>
      <c r="C732" s="76" t="s">
        <v>1877</v>
      </c>
      <c r="D732" s="143">
        <v>1</v>
      </c>
      <c r="E732" s="79"/>
      <c r="F732" s="113">
        <f t="shared" si="52"/>
        <v>1</v>
      </c>
      <c r="G732" s="112" t="s">
        <v>3451</v>
      </c>
      <c r="H732" s="120" t="s">
        <v>3360</v>
      </c>
      <c r="I732" s="120" t="s">
        <v>3479</v>
      </c>
      <c r="J732" s="120" t="s">
        <v>772</v>
      </c>
      <c r="K732" s="112">
        <v>336600</v>
      </c>
      <c r="L732" s="113"/>
      <c r="M732" s="113">
        <v>156900</v>
      </c>
      <c r="N732" s="113"/>
      <c r="O732" s="113"/>
      <c r="P732" s="299">
        <f t="shared" si="53"/>
        <v>493500</v>
      </c>
      <c r="Q732" s="299">
        <f t="shared" si="54"/>
        <v>493500</v>
      </c>
      <c r="R732" s="299">
        <f t="shared" si="55"/>
        <v>493500</v>
      </c>
      <c r="S732" s="112">
        <v>0</v>
      </c>
    </row>
    <row r="733" spans="1:19">
      <c r="A733" s="79"/>
      <c r="B733" s="77" t="s">
        <v>2334</v>
      </c>
      <c r="C733" s="76" t="s">
        <v>1877</v>
      </c>
      <c r="D733" s="143">
        <v>2</v>
      </c>
      <c r="E733" s="79"/>
      <c r="F733" s="113">
        <f t="shared" si="52"/>
        <v>2</v>
      </c>
      <c r="G733" s="112" t="s">
        <v>3450</v>
      </c>
      <c r="H733" s="120" t="s">
        <v>3360</v>
      </c>
      <c r="I733" s="120" t="s">
        <v>3479</v>
      </c>
      <c r="J733" s="120" t="s">
        <v>772</v>
      </c>
      <c r="K733" s="112">
        <v>349100</v>
      </c>
      <c r="L733" s="113"/>
      <c r="M733" s="113">
        <v>163900</v>
      </c>
      <c r="N733" s="113"/>
      <c r="O733" s="113"/>
      <c r="P733" s="299">
        <f t="shared" si="53"/>
        <v>513000</v>
      </c>
      <c r="Q733" s="299">
        <f t="shared" si="54"/>
        <v>1026000</v>
      </c>
      <c r="R733" s="299">
        <f t="shared" si="55"/>
        <v>1026000</v>
      </c>
      <c r="S733" s="112">
        <v>0</v>
      </c>
    </row>
    <row r="734" spans="1:19">
      <c r="A734" s="79"/>
      <c r="B734" s="77" t="s">
        <v>2219</v>
      </c>
      <c r="C734" s="76" t="s">
        <v>1877</v>
      </c>
      <c r="D734" s="143">
        <v>5</v>
      </c>
      <c r="E734" s="79"/>
      <c r="F734" s="113">
        <f t="shared" si="52"/>
        <v>5</v>
      </c>
      <c r="G734" s="112" t="s">
        <v>3449</v>
      </c>
      <c r="H734" s="120" t="s">
        <v>3360</v>
      </c>
      <c r="I734" s="120" t="s">
        <v>3479</v>
      </c>
      <c r="J734" s="120" t="s">
        <v>772</v>
      </c>
      <c r="K734" s="112">
        <v>432000</v>
      </c>
      <c r="L734" s="113"/>
      <c r="M734" s="113">
        <v>210100</v>
      </c>
      <c r="N734" s="113"/>
      <c r="O734" s="113"/>
      <c r="P734" s="299">
        <f t="shared" si="53"/>
        <v>642100</v>
      </c>
      <c r="Q734" s="299">
        <f t="shared" si="54"/>
        <v>3210500</v>
      </c>
      <c r="R734" s="299">
        <f t="shared" si="55"/>
        <v>3210500</v>
      </c>
      <c r="S734" s="112">
        <v>0</v>
      </c>
    </row>
    <row r="735" spans="1:19">
      <c r="A735" s="79"/>
      <c r="B735" s="77" t="s">
        <v>2220</v>
      </c>
      <c r="C735" s="76" t="s">
        <v>1877</v>
      </c>
      <c r="D735" s="143">
        <v>2</v>
      </c>
      <c r="E735" s="79"/>
      <c r="F735" s="113">
        <f t="shared" si="52"/>
        <v>2</v>
      </c>
      <c r="G735" s="112" t="s">
        <v>3448</v>
      </c>
      <c r="H735" s="120" t="s">
        <v>3360</v>
      </c>
      <c r="I735" s="120" t="s">
        <v>3479</v>
      </c>
      <c r="J735" s="120" t="s">
        <v>772</v>
      </c>
      <c r="K735" s="112">
        <v>457100</v>
      </c>
      <c r="L735" s="113"/>
      <c r="M735" s="113">
        <v>224100</v>
      </c>
      <c r="N735" s="113"/>
      <c r="O735" s="113"/>
      <c r="P735" s="299">
        <f t="shared" si="53"/>
        <v>681200</v>
      </c>
      <c r="Q735" s="299">
        <f t="shared" si="54"/>
        <v>1362400</v>
      </c>
      <c r="R735" s="299">
        <f t="shared" si="55"/>
        <v>1362400</v>
      </c>
      <c r="S735" s="112">
        <v>0</v>
      </c>
    </row>
    <row r="736" spans="1:19">
      <c r="A736" s="79"/>
      <c r="B736" s="77" t="s">
        <v>2337</v>
      </c>
      <c r="C736" s="76" t="s">
        <v>1877</v>
      </c>
      <c r="D736" s="143">
        <v>1</v>
      </c>
      <c r="E736" s="79"/>
      <c r="F736" s="113">
        <f t="shared" si="52"/>
        <v>1</v>
      </c>
      <c r="G736" s="112" t="s">
        <v>3447</v>
      </c>
      <c r="H736" s="120" t="s">
        <v>3360</v>
      </c>
      <c r="I736" s="120" t="s">
        <v>3479</v>
      </c>
      <c r="J736" s="120" t="s">
        <v>772</v>
      </c>
      <c r="K736" s="112">
        <v>482300</v>
      </c>
      <c r="L736" s="113"/>
      <c r="M736" s="113">
        <v>238100</v>
      </c>
      <c r="N736" s="113"/>
      <c r="O736" s="113"/>
      <c r="P736" s="299">
        <f t="shared" si="53"/>
        <v>720400</v>
      </c>
      <c r="Q736" s="299">
        <f t="shared" si="54"/>
        <v>720400</v>
      </c>
      <c r="R736" s="299">
        <f t="shared" si="55"/>
        <v>720400</v>
      </c>
      <c r="S736" s="112">
        <v>0</v>
      </c>
    </row>
    <row r="737" spans="1:19">
      <c r="A737" s="79"/>
      <c r="B737" s="77" t="s">
        <v>2223</v>
      </c>
      <c r="C737" s="76" t="s">
        <v>1877</v>
      </c>
      <c r="D737" s="143">
        <v>2</v>
      </c>
      <c r="E737" s="79"/>
      <c r="F737" s="113">
        <f t="shared" si="52"/>
        <v>2</v>
      </c>
      <c r="G737" s="112" t="s">
        <v>3446</v>
      </c>
      <c r="H737" s="120" t="s">
        <v>3193</v>
      </c>
      <c r="I737" s="120" t="s">
        <v>3479</v>
      </c>
      <c r="J737" s="120" t="s">
        <v>772</v>
      </c>
      <c r="K737" s="112">
        <v>691400</v>
      </c>
      <c r="L737" s="113"/>
      <c r="M737" s="113">
        <v>316200</v>
      </c>
      <c r="N737" s="113"/>
      <c r="O737" s="113"/>
      <c r="P737" s="299">
        <f t="shared" si="53"/>
        <v>1007600</v>
      </c>
      <c r="Q737" s="299">
        <f t="shared" si="54"/>
        <v>2015200</v>
      </c>
      <c r="R737" s="299">
        <f t="shared" si="55"/>
        <v>2015200</v>
      </c>
      <c r="S737" s="112">
        <v>0</v>
      </c>
    </row>
    <row r="738" spans="1:19">
      <c r="A738" s="79"/>
      <c r="B738" s="77" t="s">
        <v>2339</v>
      </c>
      <c r="C738" s="76" t="s">
        <v>1877</v>
      </c>
      <c r="D738" s="143">
        <v>1</v>
      </c>
      <c r="E738" s="79"/>
      <c r="F738" s="113">
        <f t="shared" si="52"/>
        <v>1</v>
      </c>
      <c r="G738" s="112" t="s">
        <v>3445</v>
      </c>
      <c r="H738" s="120" t="s">
        <v>3193</v>
      </c>
      <c r="I738" s="120" t="s">
        <v>3479</v>
      </c>
      <c r="J738" s="120" t="s">
        <v>772</v>
      </c>
      <c r="K738" s="112">
        <v>921100</v>
      </c>
      <c r="L738" s="113"/>
      <c r="M738" s="113">
        <v>430400</v>
      </c>
      <c r="N738" s="113"/>
      <c r="O738" s="113"/>
      <c r="P738" s="299">
        <f t="shared" si="53"/>
        <v>1351500</v>
      </c>
      <c r="Q738" s="299">
        <f t="shared" si="54"/>
        <v>1351500</v>
      </c>
      <c r="R738" s="299">
        <f t="shared" si="55"/>
        <v>1351500</v>
      </c>
      <c r="S738" s="112">
        <v>0</v>
      </c>
    </row>
    <row r="739" spans="1:19">
      <c r="A739" s="88"/>
      <c r="B739" s="87" t="s">
        <v>2346</v>
      </c>
      <c r="C739" s="88" t="s">
        <v>1877</v>
      </c>
      <c r="D739" s="147">
        <v>5</v>
      </c>
      <c r="E739" s="87"/>
      <c r="F739" s="113">
        <f t="shared" si="52"/>
        <v>5</v>
      </c>
      <c r="G739" s="112" t="s">
        <v>3444</v>
      </c>
      <c r="H739" s="120" t="s">
        <v>3360</v>
      </c>
      <c r="I739" s="120" t="s">
        <v>3479</v>
      </c>
      <c r="J739" s="120" t="s">
        <v>772</v>
      </c>
      <c r="K739" s="112">
        <v>100400</v>
      </c>
      <c r="L739" s="113"/>
      <c r="M739" s="113">
        <v>25300</v>
      </c>
      <c r="N739" s="113"/>
      <c r="O739" s="113"/>
      <c r="P739" s="299">
        <f t="shared" si="53"/>
        <v>125700</v>
      </c>
      <c r="Q739" s="299">
        <f t="shared" si="54"/>
        <v>628500</v>
      </c>
      <c r="R739" s="299">
        <f t="shared" si="55"/>
        <v>628500</v>
      </c>
      <c r="S739" s="112">
        <v>0</v>
      </c>
    </row>
    <row r="740" spans="1:19">
      <c r="A740" s="88"/>
      <c r="B740" s="87" t="s">
        <v>2344</v>
      </c>
      <c r="C740" s="88" t="s">
        <v>1877</v>
      </c>
      <c r="D740" s="147">
        <v>2</v>
      </c>
      <c r="E740" s="87"/>
      <c r="F740" s="113">
        <f t="shared" si="52"/>
        <v>2</v>
      </c>
      <c r="G740" s="112" t="s">
        <v>3443</v>
      </c>
      <c r="H740" s="120" t="s">
        <v>3360</v>
      </c>
      <c r="I740" s="120" t="s">
        <v>3479</v>
      </c>
      <c r="J740" s="120" t="s">
        <v>772</v>
      </c>
      <c r="K740" s="112">
        <v>283800</v>
      </c>
      <c r="L740" s="113"/>
      <c r="M740" s="113">
        <v>127500</v>
      </c>
      <c r="N740" s="113"/>
      <c r="O740" s="113"/>
      <c r="P740" s="299">
        <f t="shared" si="53"/>
        <v>411300</v>
      </c>
      <c r="Q740" s="299">
        <f t="shared" si="54"/>
        <v>822600</v>
      </c>
      <c r="R740" s="299">
        <f t="shared" si="55"/>
        <v>822600</v>
      </c>
      <c r="S740" s="112">
        <v>0</v>
      </c>
    </row>
    <row r="741" spans="1:19">
      <c r="A741" s="88"/>
      <c r="B741" s="87" t="s">
        <v>2294</v>
      </c>
      <c r="C741" s="88" t="s">
        <v>1877</v>
      </c>
      <c r="D741" s="147">
        <v>7</v>
      </c>
      <c r="E741" s="87"/>
      <c r="F741" s="113">
        <f t="shared" si="52"/>
        <v>7</v>
      </c>
      <c r="G741" s="112" t="s">
        <v>3442</v>
      </c>
      <c r="H741" s="120" t="s">
        <v>3360</v>
      </c>
      <c r="I741" s="120" t="s">
        <v>3479</v>
      </c>
      <c r="J741" s="120" t="s">
        <v>772</v>
      </c>
      <c r="K741" s="112">
        <v>316500</v>
      </c>
      <c r="L741" s="113"/>
      <c r="M741" s="113">
        <v>145700</v>
      </c>
      <c r="N741" s="113"/>
      <c r="O741" s="113"/>
      <c r="P741" s="299">
        <f t="shared" si="53"/>
        <v>462200</v>
      </c>
      <c r="Q741" s="299">
        <f t="shared" si="54"/>
        <v>3235400</v>
      </c>
      <c r="R741" s="299">
        <f t="shared" si="55"/>
        <v>3235400</v>
      </c>
      <c r="S741" s="112">
        <v>0</v>
      </c>
    </row>
    <row r="742" spans="1:19">
      <c r="A742" s="88"/>
      <c r="B742" s="87" t="s">
        <v>2226</v>
      </c>
      <c r="C742" s="88" t="s">
        <v>1877</v>
      </c>
      <c r="D742" s="147">
        <v>2</v>
      </c>
      <c r="E742" s="87"/>
      <c r="F742" s="113">
        <f t="shared" si="52"/>
        <v>2</v>
      </c>
      <c r="G742" s="112" t="s">
        <v>3441</v>
      </c>
      <c r="H742" s="120" t="s">
        <v>3193</v>
      </c>
      <c r="I742" s="120" t="s">
        <v>3479</v>
      </c>
      <c r="J742" s="120" t="s">
        <v>772</v>
      </c>
      <c r="K742" s="112">
        <v>879900</v>
      </c>
      <c r="L742" s="113"/>
      <c r="M742" s="113">
        <v>409900</v>
      </c>
      <c r="N742" s="113"/>
      <c r="O742" s="113"/>
      <c r="P742" s="299">
        <f t="shared" si="53"/>
        <v>1289800</v>
      </c>
      <c r="Q742" s="299">
        <f t="shared" si="54"/>
        <v>2579600</v>
      </c>
      <c r="R742" s="299">
        <f t="shared" si="55"/>
        <v>2579600</v>
      </c>
      <c r="S742" s="112">
        <v>0</v>
      </c>
    </row>
    <row r="743" spans="1:19">
      <c r="A743" s="88"/>
      <c r="B743" s="87" t="s">
        <v>2347</v>
      </c>
      <c r="C743" s="88" t="s">
        <v>1877</v>
      </c>
      <c r="D743" s="147">
        <v>2</v>
      </c>
      <c r="E743" s="87"/>
      <c r="F743" s="113">
        <f t="shared" si="52"/>
        <v>2</v>
      </c>
      <c r="G743" s="112" t="s">
        <v>3440</v>
      </c>
      <c r="H743" s="120" t="s">
        <v>3193</v>
      </c>
      <c r="I743" s="120" t="s">
        <v>3479</v>
      </c>
      <c r="J743" s="120" t="s">
        <v>772</v>
      </c>
      <c r="K743" s="112">
        <v>1091900</v>
      </c>
      <c r="L743" s="113"/>
      <c r="M743" s="113">
        <v>328100</v>
      </c>
      <c r="N743" s="113"/>
      <c r="O743" s="113"/>
      <c r="P743" s="299">
        <f t="shared" si="53"/>
        <v>1420000</v>
      </c>
      <c r="Q743" s="299">
        <f t="shared" si="54"/>
        <v>2840000</v>
      </c>
      <c r="R743" s="299">
        <f t="shared" si="55"/>
        <v>2840000</v>
      </c>
      <c r="S743" s="112">
        <v>0</v>
      </c>
    </row>
    <row r="744" spans="1:19">
      <c r="A744" s="88"/>
      <c r="B744" s="87" t="s">
        <v>2229</v>
      </c>
      <c r="C744" s="88" t="s">
        <v>1877</v>
      </c>
      <c r="D744" s="147">
        <v>1</v>
      </c>
      <c r="E744" s="87"/>
      <c r="F744" s="113">
        <f t="shared" si="52"/>
        <v>1</v>
      </c>
      <c r="G744" s="112" t="s">
        <v>3439</v>
      </c>
      <c r="H744" s="120" t="s">
        <v>3189</v>
      </c>
      <c r="I744" s="120" t="s">
        <v>3479</v>
      </c>
      <c r="J744" s="120" t="s">
        <v>772</v>
      </c>
      <c r="K744" s="112">
        <v>1676800</v>
      </c>
      <c r="L744" s="113"/>
      <c r="M744" s="113">
        <v>404500</v>
      </c>
      <c r="N744" s="113"/>
      <c r="O744" s="113"/>
      <c r="P744" s="299">
        <f t="shared" si="53"/>
        <v>2081300</v>
      </c>
      <c r="Q744" s="299">
        <f t="shared" si="54"/>
        <v>2081300</v>
      </c>
      <c r="R744" s="299">
        <f t="shared" si="55"/>
        <v>2081300</v>
      </c>
      <c r="S744" s="112">
        <v>0</v>
      </c>
    </row>
    <row r="745" spans="1:19">
      <c r="A745" s="79">
        <v>1.3</v>
      </c>
      <c r="B745" s="80" t="s">
        <v>2182</v>
      </c>
      <c r="C745" s="79"/>
      <c r="D745" s="143"/>
      <c r="E745" s="79"/>
      <c r="F745" s="113">
        <f t="shared" si="52"/>
        <v>0</v>
      </c>
      <c r="G745" s="112">
        <v>0</v>
      </c>
      <c r="H745" s="120">
        <v>0</v>
      </c>
      <c r="I745" s="120">
        <v>0</v>
      </c>
      <c r="J745" s="120">
        <v>0</v>
      </c>
      <c r="K745" s="112">
        <v>0</v>
      </c>
      <c r="L745" s="113"/>
      <c r="M745" s="113">
        <v>0</v>
      </c>
      <c r="N745" s="113"/>
      <c r="O745" s="113"/>
      <c r="P745" s="299">
        <f t="shared" si="53"/>
        <v>0</v>
      </c>
      <c r="Q745" s="299">
        <f t="shared" si="54"/>
        <v>0</v>
      </c>
      <c r="R745" s="299">
        <f t="shared" si="55"/>
        <v>0</v>
      </c>
      <c r="S745" s="112">
        <v>0</v>
      </c>
    </row>
    <row r="746" spans="1:19" ht="30">
      <c r="A746" s="79"/>
      <c r="B746" s="77" t="s">
        <v>2348</v>
      </c>
      <c r="C746" s="76" t="s">
        <v>1877</v>
      </c>
      <c r="D746" s="143">
        <v>1</v>
      </c>
      <c r="E746" s="79"/>
      <c r="F746" s="113">
        <f t="shared" si="52"/>
        <v>1</v>
      </c>
      <c r="G746" s="112" t="s">
        <v>3438</v>
      </c>
      <c r="H746" s="120" t="s">
        <v>3193</v>
      </c>
      <c r="I746" s="120" t="s">
        <v>3479</v>
      </c>
      <c r="J746" s="120" t="s">
        <v>772</v>
      </c>
      <c r="K746" s="112">
        <v>75800</v>
      </c>
      <c r="L746" s="113"/>
      <c r="M746" s="113">
        <v>17000</v>
      </c>
      <c r="N746" s="113"/>
      <c r="O746" s="113"/>
      <c r="P746" s="299">
        <f t="shared" si="53"/>
        <v>92800</v>
      </c>
      <c r="Q746" s="299">
        <f t="shared" si="54"/>
        <v>92800</v>
      </c>
      <c r="R746" s="299">
        <f t="shared" si="55"/>
        <v>92800</v>
      </c>
      <c r="S746" s="112">
        <v>0</v>
      </c>
    </row>
    <row r="747" spans="1:19" ht="30">
      <c r="A747" s="79"/>
      <c r="B747" s="77" t="s">
        <v>2240</v>
      </c>
      <c r="C747" s="76" t="s">
        <v>1877</v>
      </c>
      <c r="D747" s="143">
        <v>2</v>
      </c>
      <c r="E747" s="79"/>
      <c r="F747" s="113">
        <f t="shared" si="52"/>
        <v>2</v>
      </c>
      <c r="G747" s="112" t="s">
        <v>3354</v>
      </c>
      <c r="H747" s="120" t="s">
        <v>3193</v>
      </c>
      <c r="I747" s="120" t="s">
        <v>3479</v>
      </c>
      <c r="J747" s="120" t="s">
        <v>772</v>
      </c>
      <c r="K747" s="112">
        <v>95300</v>
      </c>
      <c r="L747" s="113"/>
      <c r="M747" s="113">
        <v>24700</v>
      </c>
      <c r="N747" s="113"/>
      <c r="O747" s="113"/>
      <c r="P747" s="299">
        <f t="shared" si="53"/>
        <v>120000</v>
      </c>
      <c r="Q747" s="299">
        <f t="shared" si="54"/>
        <v>240000</v>
      </c>
      <c r="R747" s="299">
        <f t="shared" si="55"/>
        <v>240000</v>
      </c>
      <c r="S747" s="112">
        <v>0</v>
      </c>
    </row>
    <row r="748" spans="1:19" ht="30">
      <c r="A748" s="79"/>
      <c r="B748" s="77" t="s">
        <v>2349</v>
      </c>
      <c r="C748" s="76" t="s">
        <v>1877</v>
      </c>
      <c r="D748" s="143">
        <v>2</v>
      </c>
      <c r="E748" s="79"/>
      <c r="F748" s="113">
        <f t="shared" si="52"/>
        <v>2</v>
      </c>
      <c r="G748" s="112" t="s">
        <v>3437</v>
      </c>
      <c r="H748" s="120" t="s">
        <v>3193</v>
      </c>
      <c r="I748" s="120" t="s">
        <v>3479</v>
      </c>
      <c r="J748" s="120" t="s">
        <v>772</v>
      </c>
      <c r="K748" s="112">
        <v>97600</v>
      </c>
      <c r="L748" s="113"/>
      <c r="M748" s="113">
        <v>25600</v>
      </c>
      <c r="N748" s="113"/>
      <c r="O748" s="113"/>
      <c r="P748" s="299">
        <f t="shared" si="53"/>
        <v>123200</v>
      </c>
      <c r="Q748" s="299">
        <f t="shared" si="54"/>
        <v>246400</v>
      </c>
      <c r="R748" s="299">
        <f t="shared" si="55"/>
        <v>246400</v>
      </c>
      <c r="S748" s="112">
        <v>0</v>
      </c>
    </row>
    <row r="749" spans="1:19" ht="30">
      <c r="A749" s="79"/>
      <c r="B749" s="77" t="s">
        <v>2350</v>
      </c>
      <c r="C749" s="76" t="s">
        <v>1877</v>
      </c>
      <c r="D749" s="143">
        <v>2</v>
      </c>
      <c r="E749" s="79"/>
      <c r="F749" s="113">
        <f t="shared" si="52"/>
        <v>2</v>
      </c>
      <c r="G749" s="112" t="s">
        <v>3436</v>
      </c>
      <c r="H749" s="120" t="s">
        <v>3193</v>
      </c>
      <c r="I749" s="120" t="s">
        <v>3479</v>
      </c>
      <c r="J749" s="120" t="s">
        <v>772</v>
      </c>
      <c r="K749" s="112">
        <v>102500</v>
      </c>
      <c r="L749" s="113"/>
      <c r="M749" s="113">
        <v>27500</v>
      </c>
      <c r="N749" s="113"/>
      <c r="O749" s="113"/>
      <c r="P749" s="299">
        <f t="shared" si="53"/>
        <v>130000</v>
      </c>
      <c r="Q749" s="299">
        <f t="shared" si="54"/>
        <v>260000</v>
      </c>
      <c r="R749" s="299">
        <f t="shared" si="55"/>
        <v>260000</v>
      </c>
      <c r="S749" s="112">
        <v>0</v>
      </c>
    </row>
    <row r="750" spans="1:19" ht="30">
      <c r="A750" s="79"/>
      <c r="B750" s="77" t="s">
        <v>2351</v>
      </c>
      <c r="C750" s="76" t="s">
        <v>1877</v>
      </c>
      <c r="D750" s="143">
        <v>1</v>
      </c>
      <c r="E750" s="79"/>
      <c r="F750" s="113">
        <f t="shared" si="52"/>
        <v>1</v>
      </c>
      <c r="G750" s="112" t="s">
        <v>3435</v>
      </c>
      <c r="H750" s="120" t="s">
        <v>3193</v>
      </c>
      <c r="I750" s="120" t="s">
        <v>3479</v>
      </c>
      <c r="J750" s="120" t="s">
        <v>772</v>
      </c>
      <c r="K750" s="112">
        <v>107200</v>
      </c>
      <c r="L750" s="113"/>
      <c r="M750" s="113">
        <v>29400</v>
      </c>
      <c r="N750" s="113"/>
      <c r="O750" s="113"/>
      <c r="P750" s="299">
        <f t="shared" si="53"/>
        <v>136600</v>
      </c>
      <c r="Q750" s="299">
        <f t="shared" si="54"/>
        <v>136600</v>
      </c>
      <c r="R750" s="299">
        <f t="shared" si="55"/>
        <v>136600</v>
      </c>
      <c r="S750" s="112">
        <v>0</v>
      </c>
    </row>
    <row r="751" spans="1:19" ht="30">
      <c r="A751" s="79"/>
      <c r="B751" s="77" t="s">
        <v>2352</v>
      </c>
      <c r="C751" s="76" t="s">
        <v>1877</v>
      </c>
      <c r="D751" s="143">
        <v>2</v>
      </c>
      <c r="E751" s="79"/>
      <c r="F751" s="113">
        <f t="shared" si="52"/>
        <v>2</v>
      </c>
      <c r="G751" s="112" t="s">
        <v>3434</v>
      </c>
      <c r="H751" s="120" t="s">
        <v>3193</v>
      </c>
      <c r="I751" s="120" t="s">
        <v>3479</v>
      </c>
      <c r="J751" s="120" t="s">
        <v>772</v>
      </c>
      <c r="K751" s="112">
        <v>108300</v>
      </c>
      <c r="L751" s="113"/>
      <c r="M751" s="113">
        <v>29800</v>
      </c>
      <c r="N751" s="113"/>
      <c r="O751" s="113"/>
      <c r="P751" s="299">
        <f t="shared" si="53"/>
        <v>138100</v>
      </c>
      <c r="Q751" s="299">
        <f t="shared" si="54"/>
        <v>276200</v>
      </c>
      <c r="R751" s="299">
        <f t="shared" si="55"/>
        <v>276200</v>
      </c>
      <c r="S751" s="112">
        <v>0</v>
      </c>
    </row>
    <row r="752" spans="1:19" ht="30">
      <c r="A752" s="79"/>
      <c r="B752" s="77" t="s">
        <v>2353</v>
      </c>
      <c r="C752" s="76" t="s">
        <v>1877</v>
      </c>
      <c r="D752" s="143">
        <v>4</v>
      </c>
      <c r="E752" s="79"/>
      <c r="F752" s="113">
        <f t="shared" si="52"/>
        <v>4</v>
      </c>
      <c r="G752" s="112" t="s">
        <v>3433</v>
      </c>
      <c r="H752" s="120" t="s">
        <v>3193</v>
      </c>
      <c r="I752" s="120" t="s">
        <v>3479</v>
      </c>
      <c r="J752" s="120" t="s">
        <v>772</v>
      </c>
      <c r="K752" s="112">
        <v>111600</v>
      </c>
      <c r="L752" s="113"/>
      <c r="M752" s="113">
        <v>31100</v>
      </c>
      <c r="N752" s="113"/>
      <c r="O752" s="113"/>
      <c r="P752" s="299">
        <f t="shared" si="53"/>
        <v>142700</v>
      </c>
      <c r="Q752" s="299">
        <f t="shared" si="54"/>
        <v>570800</v>
      </c>
      <c r="R752" s="299">
        <f t="shared" si="55"/>
        <v>570800</v>
      </c>
      <c r="S752" s="112">
        <v>0</v>
      </c>
    </row>
    <row r="753" spans="1:19" ht="30">
      <c r="A753" s="79"/>
      <c r="B753" s="77" t="s">
        <v>2354</v>
      </c>
      <c r="C753" s="76" t="s">
        <v>1877</v>
      </c>
      <c r="D753" s="143">
        <v>4</v>
      </c>
      <c r="E753" s="79"/>
      <c r="F753" s="113">
        <f t="shared" si="52"/>
        <v>4</v>
      </c>
      <c r="G753" s="112" t="s">
        <v>3432</v>
      </c>
      <c r="H753" s="120" t="s">
        <v>3193</v>
      </c>
      <c r="I753" s="120" t="s">
        <v>3479</v>
      </c>
      <c r="J753" s="120" t="s">
        <v>772</v>
      </c>
      <c r="K753" s="112">
        <v>113100</v>
      </c>
      <c r="L753" s="113"/>
      <c r="M753" s="113">
        <v>31700</v>
      </c>
      <c r="N753" s="113"/>
      <c r="O753" s="113"/>
      <c r="P753" s="299">
        <f t="shared" si="53"/>
        <v>144800</v>
      </c>
      <c r="Q753" s="299">
        <f t="shared" si="54"/>
        <v>579200</v>
      </c>
      <c r="R753" s="299">
        <f t="shared" si="55"/>
        <v>579200</v>
      </c>
      <c r="S753" s="112">
        <v>0</v>
      </c>
    </row>
    <row r="754" spans="1:19" ht="30">
      <c r="A754" s="79"/>
      <c r="B754" s="77" t="s">
        <v>2355</v>
      </c>
      <c r="C754" s="76" t="s">
        <v>1877</v>
      </c>
      <c r="D754" s="143">
        <v>1</v>
      </c>
      <c r="E754" s="79"/>
      <c r="F754" s="113">
        <f t="shared" si="52"/>
        <v>1</v>
      </c>
      <c r="G754" s="112" t="s">
        <v>3431</v>
      </c>
      <c r="H754" s="120" t="s">
        <v>3193</v>
      </c>
      <c r="I754" s="120" t="s">
        <v>3479</v>
      </c>
      <c r="J754" s="120" t="s">
        <v>772</v>
      </c>
      <c r="K754" s="112">
        <v>115300</v>
      </c>
      <c r="L754" s="113"/>
      <c r="M754" s="113">
        <v>32600</v>
      </c>
      <c r="N754" s="113"/>
      <c r="O754" s="113"/>
      <c r="P754" s="299">
        <f t="shared" si="53"/>
        <v>147900</v>
      </c>
      <c r="Q754" s="299">
        <f t="shared" si="54"/>
        <v>147900</v>
      </c>
      <c r="R754" s="299">
        <f t="shared" si="55"/>
        <v>147900</v>
      </c>
      <c r="S754" s="112">
        <v>0</v>
      </c>
    </row>
    <row r="755" spans="1:19" ht="30">
      <c r="A755" s="79"/>
      <c r="B755" s="77" t="s">
        <v>2356</v>
      </c>
      <c r="C755" s="76" t="s">
        <v>1877</v>
      </c>
      <c r="D755" s="143">
        <v>2</v>
      </c>
      <c r="E755" s="79"/>
      <c r="F755" s="113">
        <f t="shared" si="52"/>
        <v>2</v>
      </c>
      <c r="G755" s="112" t="s">
        <v>3430</v>
      </c>
      <c r="H755" s="120" t="s">
        <v>3193</v>
      </c>
      <c r="I755" s="120" t="s">
        <v>3479</v>
      </c>
      <c r="J755" s="120" t="s">
        <v>772</v>
      </c>
      <c r="K755" s="112">
        <v>114000</v>
      </c>
      <c r="L755" s="113"/>
      <c r="M755" s="113">
        <v>32100</v>
      </c>
      <c r="N755" s="113"/>
      <c r="O755" s="113"/>
      <c r="P755" s="299">
        <f t="shared" si="53"/>
        <v>146100</v>
      </c>
      <c r="Q755" s="299">
        <f t="shared" si="54"/>
        <v>292200</v>
      </c>
      <c r="R755" s="299">
        <f t="shared" si="55"/>
        <v>292200</v>
      </c>
      <c r="S755" s="112">
        <v>0</v>
      </c>
    </row>
    <row r="756" spans="1:19" ht="30">
      <c r="A756" s="79"/>
      <c r="B756" s="77" t="s">
        <v>2357</v>
      </c>
      <c r="C756" s="76" t="s">
        <v>1877</v>
      </c>
      <c r="D756" s="143">
        <v>1</v>
      </c>
      <c r="E756" s="79"/>
      <c r="F756" s="113">
        <f t="shared" si="52"/>
        <v>1</v>
      </c>
      <c r="G756" s="112" t="s">
        <v>3429</v>
      </c>
      <c r="H756" s="120" t="s">
        <v>3193</v>
      </c>
      <c r="I756" s="120" t="s">
        <v>3479</v>
      </c>
      <c r="J756" s="120" t="s">
        <v>772</v>
      </c>
      <c r="K756" s="112">
        <v>127700</v>
      </c>
      <c r="L756" s="113"/>
      <c r="M756" s="113">
        <v>37500</v>
      </c>
      <c r="N756" s="113"/>
      <c r="O756" s="113"/>
      <c r="P756" s="299">
        <f t="shared" si="53"/>
        <v>165200</v>
      </c>
      <c r="Q756" s="299">
        <f t="shared" si="54"/>
        <v>165200</v>
      </c>
      <c r="R756" s="299">
        <f t="shared" si="55"/>
        <v>165200</v>
      </c>
      <c r="S756" s="112">
        <v>0</v>
      </c>
    </row>
    <row r="757" spans="1:19" ht="30">
      <c r="A757" s="79"/>
      <c r="B757" s="77" t="s">
        <v>2358</v>
      </c>
      <c r="C757" s="76" t="s">
        <v>1877</v>
      </c>
      <c r="D757" s="143">
        <v>1</v>
      </c>
      <c r="E757" s="79"/>
      <c r="F757" s="113">
        <f t="shared" si="52"/>
        <v>1</v>
      </c>
      <c r="G757" s="112" t="s">
        <v>3428</v>
      </c>
      <c r="H757" s="120" t="s">
        <v>3193</v>
      </c>
      <c r="I757" s="120" t="s">
        <v>3479</v>
      </c>
      <c r="J757" s="120" t="s">
        <v>772</v>
      </c>
      <c r="K757" s="112">
        <v>128200</v>
      </c>
      <c r="L757" s="113"/>
      <c r="M757" s="113">
        <v>37700</v>
      </c>
      <c r="N757" s="113"/>
      <c r="O757" s="113"/>
      <c r="P757" s="299">
        <f t="shared" si="53"/>
        <v>165900</v>
      </c>
      <c r="Q757" s="299">
        <f t="shared" si="54"/>
        <v>165900</v>
      </c>
      <c r="R757" s="299">
        <f t="shared" si="55"/>
        <v>165900</v>
      </c>
      <c r="S757" s="112">
        <v>0</v>
      </c>
    </row>
    <row r="758" spans="1:19" ht="30">
      <c r="A758" s="79"/>
      <c r="B758" s="77" t="s">
        <v>2359</v>
      </c>
      <c r="C758" s="76" t="s">
        <v>1877</v>
      </c>
      <c r="D758" s="143">
        <v>2</v>
      </c>
      <c r="E758" s="79"/>
      <c r="F758" s="113">
        <f t="shared" si="52"/>
        <v>2</v>
      </c>
      <c r="G758" s="112" t="s">
        <v>3427</v>
      </c>
      <c r="H758" s="120" t="s">
        <v>3193</v>
      </c>
      <c r="I758" s="120" t="s">
        <v>3479</v>
      </c>
      <c r="J758" s="120" t="s">
        <v>772</v>
      </c>
      <c r="K758" s="112">
        <v>129500</v>
      </c>
      <c r="L758" s="113"/>
      <c r="M758" s="113">
        <v>38200</v>
      </c>
      <c r="N758" s="113"/>
      <c r="O758" s="113"/>
      <c r="P758" s="299">
        <f t="shared" si="53"/>
        <v>167700</v>
      </c>
      <c r="Q758" s="299">
        <f t="shared" si="54"/>
        <v>335400</v>
      </c>
      <c r="R758" s="299">
        <f t="shared" si="55"/>
        <v>335400</v>
      </c>
      <c r="S758" s="112">
        <v>0</v>
      </c>
    </row>
    <row r="759" spans="1:19" ht="30">
      <c r="A759" s="79"/>
      <c r="B759" s="77" t="s">
        <v>2360</v>
      </c>
      <c r="C759" s="76" t="s">
        <v>1877</v>
      </c>
      <c r="D759" s="143">
        <v>2</v>
      </c>
      <c r="E759" s="79"/>
      <c r="F759" s="113">
        <f t="shared" si="52"/>
        <v>2</v>
      </c>
      <c r="G759" s="112" t="s">
        <v>3426</v>
      </c>
      <c r="H759" s="120" t="s">
        <v>3193</v>
      </c>
      <c r="I759" s="120" t="s">
        <v>3479</v>
      </c>
      <c r="J759" s="120" t="s">
        <v>772</v>
      </c>
      <c r="K759" s="112">
        <v>130600</v>
      </c>
      <c r="L759" s="113"/>
      <c r="M759" s="113">
        <v>38700</v>
      </c>
      <c r="N759" s="113"/>
      <c r="O759" s="113"/>
      <c r="P759" s="299">
        <f t="shared" si="53"/>
        <v>169300</v>
      </c>
      <c r="Q759" s="299">
        <f t="shared" si="54"/>
        <v>338600</v>
      </c>
      <c r="R759" s="299">
        <f t="shared" si="55"/>
        <v>338600</v>
      </c>
      <c r="S759" s="112">
        <v>0</v>
      </c>
    </row>
    <row r="760" spans="1:19" ht="30">
      <c r="A760" s="79"/>
      <c r="B760" s="77" t="s">
        <v>2361</v>
      </c>
      <c r="C760" s="76" t="s">
        <v>1877</v>
      </c>
      <c r="D760" s="143">
        <v>1</v>
      </c>
      <c r="E760" s="79"/>
      <c r="F760" s="113">
        <f t="shared" si="52"/>
        <v>1</v>
      </c>
      <c r="G760" s="112" t="s">
        <v>3425</v>
      </c>
      <c r="H760" s="120" t="s">
        <v>3193</v>
      </c>
      <c r="I760" s="120" t="s">
        <v>3479</v>
      </c>
      <c r="J760" s="120" t="s">
        <v>772</v>
      </c>
      <c r="K760" s="112">
        <v>136600</v>
      </c>
      <c r="L760" s="113"/>
      <c r="M760" s="113">
        <v>41000</v>
      </c>
      <c r="N760" s="113"/>
      <c r="O760" s="113"/>
      <c r="P760" s="299">
        <f t="shared" si="53"/>
        <v>177600</v>
      </c>
      <c r="Q760" s="299">
        <f t="shared" si="54"/>
        <v>177600</v>
      </c>
      <c r="R760" s="299">
        <f t="shared" si="55"/>
        <v>177600</v>
      </c>
      <c r="S760" s="112">
        <v>0</v>
      </c>
    </row>
    <row r="761" spans="1:19" ht="30">
      <c r="A761" s="79"/>
      <c r="B761" s="77" t="s">
        <v>2362</v>
      </c>
      <c r="C761" s="76" t="s">
        <v>1877</v>
      </c>
      <c r="D761" s="143">
        <v>1</v>
      </c>
      <c r="E761" s="79"/>
      <c r="F761" s="113">
        <f t="shared" si="52"/>
        <v>1</v>
      </c>
      <c r="G761" s="112" t="s">
        <v>3424</v>
      </c>
      <c r="H761" s="120" t="s">
        <v>3193</v>
      </c>
      <c r="I761" s="120" t="s">
        <v>3479</v>
      </c>
      <c r="J761" s="120" t="s">
        <v>772</v>
      </c>
      <c r="K761" s="112">
        <v>138100</v>
      </c>
      <c r="L761" s="113"/>
      <c r="M761" s="113">
        <v>41600</v>
      </c>
      <c r="N761" s="113"/>
      <c r="O761" s="113"/>
      <c r="P761" s="299">
        <f t="shared" si="53"/>
        <v>179700</v>
      </c>
      <c r="Q761" s="299">
        <f t="shared" si="54"/>
        <v>179700</v>
      </c>
      <c r="R761" s="299">
        <f t="shared" si="55"/>
        <v>179700</v>
      </c>
      <c r="S761" s="112">
        <v>0</v>
      </c>
    </row>
    <row r="762" spans="1:19" ht="30">
      <c r="A762" s="79"/>
      <c r="B762" s="77" t="s">
        <v>2363</v>
      </c>
      <c r="C762" s="76" t="s">
        <v>1877</v>
      </c>
      <c r="D762" s="143">
        <v>1</v>
      </c>
      <c r="E762" s="79"/>
      <c r="F762" s="113">
        <f t="shared" si="52"/>
        <v>1</v>
      </c>
      <c r="G762" s="112" t="s">
        <v>3423</v>
      </c>
      <c r="H762" s="120" t="s">
        <v>3193</v>
      </c>
      <c r="I762" s="120" t="s">
        <v>3479</v>
      </c>
      <c r="J762" s="120" t="s">
        <v>772</v>
      </c>
      <c r="K762" s="112">
        <v>143000</v>
      </c>
      <c r="L762" s="113"/>
      <c r="M762" s="113">
        <v>45500</v>
      </c>
      <c r="N762" s="113"/>
      <c r="O762" s="113"/>
      <c r="P762" s="299">
        <f t="shared" si="53"/>
        <v>188500</v>
      </c>
      <c r="Q762" s="299">
        <f t="shared" si="54"/>
        <v>188500</v>
      </c>
      <c r="R762" s="299">
        <f t="shared" si="55"/>
        <v>188500</v>
      </c>
      <c r="S762" s="112">
        <v>0</v>
      </c>
    </row>
    <row r="763" spans="1:19" ht="30">
      <c r="A763" s="79"/>
      <c r="B763" s="77" t="s">
        <v>2364</v>
      </c>
      <c r="C763" s="76" t="s">
        <v>1877</v>
      </c>
      <c r="D763" s="143">
        <v>1</v>
      </c>
      <c r="E763" s="79"/>
      <c r="F763" s="113">
        <f t="shared" si="52"/>
        <v>1</v>
      </c>
      <c r="G763" s="112" t="s">
        <v>3422</v>
      </c>
      <c r="H763" s="120" t="s">
        <v>3193</v>
      </c>
      <c r="I763" s="120" t="s">
        <v>3479</v>
      </c>
      <c r="J763" s="120" t="s">
        <v>772</v>
      </c>
      <c r="K763" s="112">
        <v>146200</v>
      </c>
      <c r="L763" s="113"/>
      <c r="M763" s="113">
        <v>46900</v>
      </c>
      <c r="N763" s="113"/>
      <c r="O763" s="113"/>
      <c r="P763" s="299">
        <f t="shared" si="53"/>
        <v>193100</v>
      </c>
      <c r="Q763" s="299">
        <f t="shared" si="54"/>
        <v>193100</v>
      </c>
      <c r="R763" s="299">
        <f t="shared" si="55"/>
        <v>193100</v>
      </c>
      <c r="S763" s="112">
        <v>0</v>
      </c>
    </row>
    <row r="764" spans="1:19" ht="30">
      <c r="A764" s="79"/>
      <c r="B764" s="77" t="s">
        <v>2243</v>
      </c>
      <c r="C764" s="76" t="s">
        <v>1877</v>
      </c>
      <c r="D764" s="143">
        <v>1</v>
      </c>
      <c r="E764" s="79"/>
      <c r="F764" s="113">
        <f t="shared" si="52"/>
        <v>1</v>
      </c>
      <c r="G764" s="112" t="s">
        <v>3421</v>
      </c>
      <c r="H764" s="120" t="s">
        <v>3193</v>
      </c>
      <c r="I764" s="120" t="s">
        <v>3479</v>
      </c>
      <c r="J764" s="120" t="s">
        <v>772</v>
      </c>
      <c r="K764" s="112">
        <v>149300</v>
      </c>
      <c r="L764" s="113"/>
      <c r="M764" s="113">
        <v>48200</v>
      </c>
      <c r="N764" s="113"/>
      <c r="O764" s="113"/>
      <c r="P764" s="299">
        <f t="shared" si="53"/>
        <v>197500</v>
      </c>
      <c r="Q764" s="299">
        <f t="shared" si="54"/>
        <v>197500</v>
      </c>
      <c r="R764" s="299">
        <f t="shared" si="55"/>
        <v>197500</v>
      </c>
      <c r="S764" s="112">
        <v>0</v>
      </c>
    </row>
    <row r="765" spans="1:19" ht="30">
      <c r="A765" s="79"/>
      <c r="B765" s="77" t="s">
        <v>2365</v>
      </c>
      <c r="C765" s="76" t="s">
        <v>1877</v>
      </c>
      <c r="D765" s="143">
        <v>1</v>
      </c>
      <c r="E765" s="79"/>
      <c r="F765" s="113">
        <f t="shared" si="52"/>
        <v>1</v>
      </c>
      <c r="G765" s="112" t="s">
        <v>3420</v>
      </c>
      <c r="H765" s="120" t="s">
        <v>3193</v>
      </c>
      <c r="I765" s="120" t="s">
        <v>3479</v>
      </c>
      <c r="J765" s="120" t="s">
        <v>772</v>
      </c>
      <c r="K765" s="112">
        <v>170900</v>
      </c>
      <c r="L765" s="113"/>
      <c r="M765" s="113">
        <v>57100</v>
      </c>
      <c r="N765" s="113"/>
      <c r="O765" s="113"/>
      <c r="P765" s="299">
        <f t="shared" si="53"/>
        <v>228000</v>
      </c>
      <c r="Q765" s="299">
        <f t="shared" si="54"/>
        <v>228000</v>
      </c>
      <c r="R765" s="299">
        <f t="shared" si="55"/>
        <v>228000</v>
      </c>
      <c r="S765" s="112">
        <v>0</v>
      </c>
    </row>
    <row r="766" spans="1:19" ht="30">
      <c r="A766" s="79"/>
      <c r="B766" s="77" t="s">
        <v>2366</v>
      </c>
      <c r="C766" s="76" t="s">
        <v>1877</v>
      </c>
      <c r="D766" s="143">
        <v>1</v>
      </c>
      <c r="E766" s="79"/>
      <c r="F766" s="113">
        <f t="shared" si="52"/>
        <v>1</v>
      </c>
      <c r="G766" s="112" t="s">
        <v>3419</v>
      </c>
      <c r="H766" s="120" t="s">
        <v>3189</v>
      </c>
      <c r="I766" s="120" t="s">
        <v>3479</v>
      </c>
      <c r="J766" s="120" t="s">
        <v>772</v>
      </c>
      <c r="K766" s="112">
        <v>202500</v>
      </c>
      <c r="L766" s="113"/>
      <c r="M766" s="113">
        <v>62200</v>
      </c>
      <c r="N766" s="113"/>
      <c r="O766" s="113"/>
      <c r="P766" s="299">
        <f t="shared" si="53"/>
        <v>264700</v>
      </c>
      <c r="Q766" s="299">
        <f t="shared" si="54"/>
        <v>264700</v>
      </c>
      <c r="R766" s="299">
        <f t="shared" si="55"/>
        <v>264700</v>
      </c>
      <c r="S766" s="112">
        <v>0</v>
      </c>
    </row>
    <row r="767" spans="1:19" ht="30">
      <c r="A767" s="88"/>
      <c r="B767" s="87" t="s">
        <v>2367</v>
      </c>
      <c r="C767" s="88" t="s">
        <v>1877</v>
      </c>
      <c r="D767" s="147">
        <v>1</v>
      </c>
      <c r="E767" s="87"/>
      <c r="F767" s="113">
        <f t="shared" si="52"/>
        <v>1</v>
      </c>
      <c r="G767" s="112" t="s">
        <v>3418</v>
      </c>
      <c r="H767" s="120" t="s">
        <v>3360</v>
      </c>
      <c r="I767" s="120" t="s">
        <v>3479</v>
      </c>
      <c r="J767" s="120" t="s">
        <v>772</v>
      </c>
      <c r="K767" s="112">
        <v>85700</v>
      </c>
      <c r="L767" s="113"/>
      <c r="M767" s="113">
        <v>24500</v>
      </c>
      <c r="N767" s="113"/>
      <c r="O767" s="113"/>
      <c r="P767" s="299">
        <f t="shared" si="53"/>
        <v>110200</v>
      </c>
      <c r="Q767" s="299">
        <f t="shared" si="54"/>
        <v>110200</v>
      </c>
      <c r="R767" s="299">
        <f t="shared" si="55"/>
        <v>110200</v>
      </c>
      <c r="S767" s="112">
        <v>0</v>
      </c>
    </row>
    <row r="768" spans="1:19" ht="30">
      <c r="A768" s="88"/>
      <c r="B768" s="87" t="s">
        <v>2368</v>
      </c>
      <c r="C768" s="88" t="s">
        <v>1877</v>
      </c>
      <c r="D768" s="147">
        <v>1</v>
      </c>
      <c r="E768" s="87"/>
      <c r="F768" s="113">
        <f t="shared" si="52"/>
        <v>1</v>
      </c>
      <c r="G768" s="112" t="s">
        <v>3417</v>
      </c>
      <c r="H768" s="120" t="s">
        <v>3193</v>
      </c>
      <c r="I768" s="120" t="s">
        <v>3479</v>
      </c>
      <c r="J768" s="120" t="s">
        <v>772</v>
      </c>
      <c r="K768" s="112">
        <v>153300</v>
      </c>
      <c r="L768" s="113"/>
      <c r="M768" s="113">
        <v>49800</v>
      </c>
      <c r="N768" s="113"/>
      <c r="O768" s="113"/>
      <c r="P768" s="299">
        <f t="shared" si="53"/>
        <v>203100</v>
      </c>
      <c r="Q768" s="299">
        <f t="shared" si="54"/>
        <v>203100</v>
      </c>
      <c r="R768" s="299">
        <f t="shared" si="55"/>
        <v>203100</v>
      </c>
      <c r="S768" s="112">
        <v>0</v>
      </c>
    </row>
    <row r="769" spans="1:19" ht="30">
      <c r="A769" s="88"/>
      <c r="B769" s="87" t="s">
        <v>2239</v>
      </c>
      <c r="C769" s="88" t="s">
        <v>1877</v>
      </c>
      <c r="D769" s="147">
        <v>2</v>
      </c>
      <c r="E769" s="87"/>
      <c r="F769" s="113">
        <f t="shared" si="52"/>
        <v>2</v>
      </c>
      <c r="G769" s="112" t="s">
        <v>3416</v>
      </c>
      <c r="H769" s="120" t="s">
        <v>3360</v>
      </c>
      <c r="I769" s="120" t="s">
        <v>3479</v>
      </c>
      <c r="J769" s="120" t="s">
        <v>772</v>
      </c>
      <c r="K769" s="112">
        <v>82400</v>
      </c>
      <c r="L769" s="113"/>
      <c r="M769" s="113">
        <v>22900</v>
      </c>
      <c r="N769" s="113"/>
      <c r="O769" s="113"/>
      <c r="P769" s="299">
        <f t="shared" si="53"/>
        <v>105300</v>
      </c>
      <c r="Q769" s="299">
        <f t="shared" si="54"/>
        <v>210600</v>
      </c>
      <c r="R769" s="299">
        <f t="shared" si="55"/>
        <v>210600</v>
      </c>
      <c r="S769" s="112">
        <v>0</v>
      </c>
    </row>
    <row r="770" spans="1:19" ht="30">
      <c r="A770" s="88"/>
      <c r="B770" s="87" t="s">
        <v>2369</v>
      </c>
      <c r="C770" s="88" t="s">
        <v>1877</v>
      </c>
      <c r="D770" s="147">
        <v>1</v>
      </c>
      <c r="E770" s="87"/>
      <c r="F770" s="113">
        <f t="shared" si="52"/>
        <v>1</v>
      </c>
      <c r="G770" s="112" t="s">
        <v>3415</v>
      </c>
      <c r="H770" s="120" t="s">
        <v>3360</v>
      </c>
      <c r="I770" s="120" t="s">
        <v>3479</v>
      </c>
      <c r="J770" s="120" t="s">
        <v>772</v>
      </c>
      <c r="K770" s="112">
        <v>86500</v>
      </c>
      <c r="L770" s="113"/>
      <c r="M770" s="113">
        <v>24900</v>
      </c>
      <c r="N770" s="113"/>
      <c r="O770" s="113"/>
      <c r="P770" s="299">
        <f t="shared" si="53"/>
        <v>111400</v>
      </c>
      <c r="Q770" s="299">
        <f t="shared" si="54"/>
        <v>111400</v>
      </c>
      <c r="R770" s="299">
        <f t="shared" si="55"/>
        <v>111400</v>
      </c>
      <c r="S770" s="112">
        <v>0</v>
      </c>
    </row>
    <row r="771" spans="1:19" ht="30">
      <c r="A771" s="88"/>
      <c r="B771" s="87" t="s">
        <v>2370</v>
      </c>
      <c r="C771" s="88" t="s">
        <v>1877</v>
      </c>
      <c r="D771" s="147">
        <v>1</v>
      </c>
      <c r="E771" s="87"/>
      <c r="F771" s="113">
        <f t="shared" si="52"/>
        <v>1</v>
      </c>
      <c r="G771" s="112" t="s">
        <v>3414</v>
      </c>
      <c r="H771" s="120" t="s">
        <v>3360</v>
      </c>
      <c r="I771" s="120" t="s">
        <v>3479</v>
      </c>
      <c r="J771" s="120" t="s">
        <v>772</v>
      </c>
      <c r="K771" s="112">
        <v>92000</v>
      </c>
      <c r="L771" s="113"/>
      <c r="M771" s="113">
        <v>27400</v>
      </c>
      <c r="N771" s="113"/>
      <c r="O771" s="113"/>
      <c r="P771" s="299">
        <f t="shared" si="53"/>
        <v>119400</v>
      </c>
      <c r="Q771" s="299">
        <f t="shared" si="54"/>
        <v>119400</v>
      </c>
      <c r="R771" s="299">
        <f t="shared" si="55"/>
        <v>119400</v>
      </c>
      <c r="S771" s="112">
        <v>0</v>
      </c>
    </row>
    <row r="772" spans="1:19" ht="30">
      <c r="A772" s="88"/>
      <c r="B772" s="87" t="s">
        <v>2371</v>
      </c>
      <c r="C772" s="88" t="s">
        <v>1877</v>
      </c>
      <c r="D772" s="147">
        <v>1</v>
      </c>
      <c r="E772" s="87"/>
      <c r="F772" s="113">
        <f t="shared" si="52"/>
        <v>1</v>
      </c>
      <c r="G772" s="112" t="s">
        <v>3413</v>
      </c>
      <c r="H772" s="120" t="s">
        <v>3360</v>
      </c>
      <c r="I772" s="120" t="s">
        <v>3479</v>
      </c>
      <c r="J772" s="120" t="s">
        <v>772</v>
      </c>
      <c r="K772" s="112">
        <v>91500</v>
      </c>
      <c r="L772" s="113"/>
      <c r="M772" s="113">
        <v>27200</v>
      </c>
      <c r="N772" s="113"/>
      <c r="O772" s="113"/>
      <c r="P772" s="299">
        <f t="shared" si="53"/>
        <v>118700</v>
      </c>
      <c r="Q772" s="299">
        <f t="shared" si="54"/>
        <v>118700</v>
      </c>
      <c r="R772" s="299">
        <f t="shared" si="55"/>
        <v>118700</v>
      </c>
      <c r="S772" s="112">
        <v>0</v>
      </c>
    </row>
    <row r="773" spans="1:19" ht="30">
      <c r="A773" s="88"/>
      <c r="B773" s="87" t="s">
        <v>2372</v>
      </c>
      <c r="C773" s="88" t="s">
        <v>1877</v>
      </c>
      <c r="D773" s="147">
        <v>1</v>
      </c>
      <c r="E773" s="87"/>
      <c r="F773" s="113">
        <f t="shared" si="52"/>
        <v>1</v>
      </c>
      <c r="G773" s="112" t="s">
        <v>3412</v>
      </c>
      <c r="H773" s="120" t="s">
        <v>3360</v>
      </c>
      <c r="I773" s="120" t="s">
        <v>3479</v>
      </c>
      <c r="J773" s="120" t="s">
        <v>772</v>
      </c>
      <c r="K773" s="112">
        <v>107800</v>
      </c>
      <c r="L773" s="113"/>
      <c r="M773" s="113">
        <v>34800</v>
      </c>
      <c r="N773" s="113"/>
      <c r="O773" s="113"/>
      <c r="P773" s="299">
        <f t="shared" si="53"/>
        <v>142600</v>
      </c>
      <c r="Q773" s="299">
        <f t="shared" si="54"/>
        <v>142600</v>
      </c>
      <c r="R773" s="299">
        <f t="shared" si="55"/>
        <v>142600</v>
      </c>
      <c r="S773" s="112">
        <v>0</v>
      </c>
    </row>
    <row r="774" spans="1:19" ht="30">
      <c r="A774" s="88"/>
      <c r="B774" s="87" t="s">
        <v>2373</v>
      </c>
      <c r="C774" s="88" t="s">
        <v>1877</v>
      </c>
      <c r="D774" s="147">
        <v>1</v>
      </c>
      <c r="E774" s="87"/>
      <c r="F774" s="113">
        <f t="shared" si="52"/>
        <v>1</v>
      </c>
      <c r="G774" s="112" t="s">
        <v>3411</v>
      </c>
      <c r="H774" s="120" t="s">
        <v>3360</v>
      </c>
      <c r="I774" s="120" t="s">
        <v>3479</v>
      </c>
      <c r="J774" s="120" t="s">
        <v>772</v>
      </c>
      <c r="K774" s="112">
        <v>102700</v>
      </c>
      <c r="L774" s="113"/>
      <c r="M774" s="113">
        <v>32400</v>
      </c>
      <c r="N774" s="113"/>
      <c r="O774" s="113"/>
      <c r="P774" s="299">
        <f t="shared" si="53"/>
        <v>135100</v>
      </c>
      <c r="Q774" s="299">
        <f t="shared" si="54"/>
        <v>135100</v>
      </c>
      <c r="R774" s="299">
        <f t="shared" si="55"/>
        <v>135100</v>
      </c>
      <c r="S774" s="112">
        <v>0</v>
      </c>
    </row>
    <row r="775" spans="1:19" ht="30">
      <c r="A775" s="88"/>
      <c r="B775" s="87" t="s">
        <v>2374</v>
      </c>
      <c r="C775" s="88" t="s">
        <v>1877</v>
      </c>
      <c r="D775" s="147">
        <v>1</v>
      </c>
      <c r="E775" s="87"/>
      <c r="F775" s="113">
        <f t="shared" si="52"/>
        <v>1</v>
      </c>
      <c r="G775" s="112" t="s">
        <v>3410</v>
      </c>
      <c r="H775" s="120" t="s">
        <v>3360</v>
      </c>
      <c r="I775" s="120" t="s">
        <v>3479</v>
      </c>
      <c r="J775" s="120" t="s">
        <v>772</v>
      </c>
      <c r="K775" s="112">
        <v>108500</v>
      </c>
      <c r="L775" s="113"/>
      <c r="M775" s="113">
        <v>35100</v>
      </c>
      <c r="N775" s="113"/>
      <c r="O775" s="113"/>
      <c r="P775" s="299">
        <f t="shared" si="53"/>
        <v>143600</v>
      </c>
      <c r="Q775" s="299">
        <f t="shared" si="54"/>
        <v>143600</v>
      </c>
      <c r="R775" s="299">
        <f t="shared" si="55"/>
        <v>143600</v>
      </c>
      <c r="S775" s="112">
        <v>0</v>
      </c>
    </row>
    <row r="776" spans="1:19" ht="30">
      <c r="A776" s="88"/>
      <c r="B776" s="87" t="s">
        <v>2375</v>
      </c>
      <c r="C776" s="88" t="s">
        <v>1877</v>
      </c>
      <c r="D776" s="147">
        <v>1</v>
      </c>
      <c r="E776" s="87"/>
      <c r="F776" s="113">
        <f t="shared" ref="F776:F839" si="56">D776</f>
        <v>1</v>
      </c>
      <c r="G776" s="112" t="s">
        <v>3409</v>
      </c>
      <c r="H776" s="120" t="s">
        <v>3360</v>
      </c>
      <c r="I776" s="120" t="s">
        <v>3479</v>
      </c>
      <c r="J776" s="120" t="s">
        <v>772</v>
      </c>
      <c r="K776" s="112">
        <v>109500</v>
      </c>
      <c r="L776" s="113"/>
      <c r="M776" s="113">
        <v>35500</v>
      </c>
      <c r="N776" s="113"/>
      <c r="O776" s="113"/>
      <c r="P776" s="299">
        <f t="shared" ref="P776:P839" si="57">K776+L776+M776+N776+O776</f>
        <v>145000</v>
      </c>
      <c r="Q776" s="299">
        <f t="shared" ref="Q776:Q839" si="58">+P776*D776</f>
        <v>145000</v>
      </c>
      <c r="R776" s="299">
        <f t="shared" ref="R776:R839" si="59">+P776*F776</f>
        <v>145000</v>
      </c>
      <c r="S776" s="112">
        <v>0</v>
      </c>
    </row>
    <row r="777" spans="1:19" ht="30">
      <c r="A777" s="88"/>
      <c r="B777" s="87" t="s">
        <v>2376</v>
      </c>
      <c r="C777" s="88" t="s">
        <v>1877</v>
      </c>
      <c r="D777" s="147">
        <v>1</v>
      </c>
      <c r="E777" s="87"/>
      <c r="F777" s="113">
        <f t="shared" si="56"/>
        <v>1</v>
      </c>
      <c r="G777" s="112" t="s">
        <v>3408</v>
      </c>
      <c r="H777" s="120" t="s">
        <v>3360</v>
      </c>
      <c r="I777" s="120" t="s">
        <v>3479</v>
      </c>
      <c r="J777" s="120" t="s">
        <v>772</v>
      </c>
      <c r="K777" s="112">
        <v>126900</v>
      </c>
      <c r="L777" s="113"/>
      <c r="M777" s="113">
        <v>43600</v>
      </c>
      <c r="N777" s="113"/>
      <c r="O777" s="113"/>
      <c r="P777" s="299">
        <f t="shared" si="57"/>
        <v>170500</v>
      </c>
      <c r="Q777" s="299">
        <f t="shared" si="58"/>
        <v>170500</v>
      </c>
      <c r="R777" s="299">
        <f t="shared" si="59"/>
        <v>170500</v>
      </c>
      <c r="S777" s="112">
        <v>0</v>
      </c>
    </row>
    <row r="778" spans="1:19" ht="30">
      <c r="A778" s="88"/>
      <c r="B778" s="87" t="s">
        <v>2377</v>
      </c>
      <c r="C778" s="88" t="s">
        <v>1877</v>
      </c>
      <c r="D778" s="147">
        <v>2</v>
      </c>
      <c r="E778" s="87"/>
      <c r="F778" s="113">
        <f t="shared" si="56"/>
        <v>2</v>
      </c>
      <c r="G778" s="112" t="s">
        <v>3407</v>
      </c>
      <c r="H778" s="120" t="s">
        <v>3193</v>
      </c>
      <c r="I778" s="120" t="s">
        <v>3479</v>
      </c>
      <c r="J778" s="120" t="s">
        <v>772</v>
      </c>
      <c r="K778" s="112">
        <v>147200</v>
      </c>
      <c r="L778" s="113"/>
      <c r="M778" s="113">
        <v>47300</v>
      </c>
      <c r="N778" s="113"/>
      <c r="O778" s="113"/>
      <c r="P778" s="299">
        <f t="shared" si="57"/>
        <v>194500</v>
      </c>
      <c r="Q778" s="299">
        <f t="shared" si="58"/>
        <v>389000</v>
      </c>
      <c r="R778" s="299">
        <f t="shared" si="59"/>
        <v>389000</v>
      </c>
      <c r="S778" s="112">
        <v>0</v>
      </c>
    </row>
    <row r="779" spans="1:19" ht="30">
      <c r="A779" s="88"/>
      <c r="B779" s="87" t="s">
        <v>2378</v>
      </c>
      <c r="C779" s="88" t="s">
        <v>1877</v>
      </c>
      <c r="D779" s="147">
        <v>1</v>
      </c>
      <c r="E779" s="87"/>
      <c r="F779" s="113">
        <f t="shared" si="56"/>
        <v>1</v>
      </c>
      <c r="G779" s="112" t="s">
        <v>3406</v>
      </c>
      <c r="H779" s="120" t="s">
        <v>3193</v>
      </c>
      <c r="I779" s="120" t="s">
        <v>3479</v>
      </c>
      <c r="J779" s="120" t="s">
        <v>772</v>
      </c>
      <c r="K779" s="112">
        <v>194800</v>
      </c>
      <c r="L779" s="113"/>
      <c r="M779" s="113">
        <v>67000</v>
      </c>
      <c r="N779" s="113"/>
      <c r="O779" s="113"/>
      <c r="P779" s="299">
        <f t="shared" si="57"/>
        <v>261800</v>
      </c>
      <c r="Q779" s="299">
        <f t="shared" si="58"/>
        <v>261800</v>
      </c>
      <c r="R779" s="299">
        <f t="shared" si="59"/>
        <v>261800</v>
      </c>
      <c r="S779" s="112">
        <v>0</v>
      </c>
    </row>
    <row r="780" spans="1:19" ht="30">
      <c r="A780" s="88"/>
      <c r="B780" s="87" t="s">
        <v>2379</v>
      </c>
      <c r="C780" s="88" t="s">
        <v>1877</v>
      </c>
      <c r="D780" s="147">
        <v>1</v>
      </c>
      <c r="E780" s="87"/>
      <c r="F780" s="113">
        <f t="shared" si="56"/>
        <v>1</v>
      </c>
      <c r="G780" s="112" t="s">
        <v>3405</v>
      </c>
      <c r="H780" s="120" t="s">
        <v>3193</v>
      </c>
      <c r="I780" s="120" t="s">
        <v>3479</v>
      </c>
      <c r="J780" s="120" t="s">
        <v>772</v>
      </c>
      <c r="K780" s="112">
        <v>163600</v>
      </c>
      <c r="L780" s="113"/>
      <c r="M780" s="113">
        <v>54100</v>
      </c>
      <c r="N780" s="113"/>
      <c r="O780" s="113"/>
      <c r="P780" s="299">
        <f t="shared" si="57"/>
        <v>217700</v>
      </c>
      <c r="Q780" s="299">
        <f t="shared" si="58"/>
        <v>217700</v>
      </c>
      <c r="R780" s="299">
        <f t="shared" si="59"/>
        <v>217700</v>
      </c>
      <c r="S780" s="112">
        <v>0</v>
      </c>
    </row>
    <row r="781" spans="1:19" ht="30">
      <c r="A781" s="88"/>
      <c r="B781" s="87" t="s">
        <v>2380</v>
      </c>
      <c r="C781" s="88" t="s">
        <v>1877</v>
      </c>
      <c r="D781" s="147">
        <v>1</v>
      </c>
      <c r="E781" s="87"/>
      <c r="F781" s="113">
        <f t="shared" si="56"/>
        <v>1</v>
      </c>
      <c r="G781" s="112" t="s">
        <v>3404</v>
      </c>
      <c r="H781" s="120" t="s">
        <v>3189</v>
      </c>
      <c r="I781" s="120" t="s">
        <v>3479</v>
      </c>
      <c r="J781" s="120" t="s">
        <v>772</v>
      </c>
      <c r="K781" s="112">
        <v>244700</v>
      </c>
      <c r="L781" s="113"/>
      <c r="M781" s="113">
        <v>77700</v>
      </c>
      <c r="N781" s="113"/>
      <c r="O781" s="113"/>
      <c r="P781" s="299">
        <f t="shared" si="57"/>
        <v>322400</v>
      </c>
      <c r="Q781" s="299">
        <f t="shared" si="58"/>
        <v>322400</v>
      </c>
      <c r="R781" s="299">
        <f t="shared" si="59"/>
        <v>322400</v>
      </c>
      <c r="S781" s="112">
        <v>0</v>
      </c>
    </row>
    <row r="782" spans="1:19">
      <c r="A782" s="79">
        <v>1.4</v>
      </c>
      <c r="B782" s="80" t="s">
        <v>2250</v>
      </c>
      <c r="C782" s="79"/>
      <c r="D782" s="143"/>
      <c r="E782" s="79"/>
      <c r="F782" s="113">
        <f t="shared" si="56"/>
        <v>0</v>
      </c>
      <c r="G782" s="112">
        <v>0</v>
      </c>
      <c r="H782" s="120">
        <v>0</v>
      </c>
      <c r="I782" s="120">
        <v>0</v>
      </c>
      <c r="J782" s="120">
        <v>0</v>
      </c>
      <c r="K782" s="112">
        <v>0</v>
      </c>
      <c r="L782" s="113"/>
      <c r="M782" s="113">
        <v>0</v>
      </c>
      <c r="N782" s="113"/>
      <c r="O782" s="113"/>
      <c r="P782" s="299">
        <f t="shared" si="57"/>
        <v>0</v>
      </c>
      <c r="Q782" s="299">
        <f t="shared" si="58"/>
        <v>0</v>
      </c>
      <c r="R782" s="299">
        <f t="shared" si="59"/>
        <v>0</v>
      </c>
      <c r="S782" s="112">
        <v>0</v>
      </c>
    </row>
    <row r="783" spans="1:19" ht="45">
      <c r="A783" s="79"/>
      <c r="B783" s="77" t="s">
        <v>2381</v>
      </c>
      <c r="C783" s="76" t="s">
        <v>1877</v>
      </c>
      <c r="D783" s="143">
        <v>1</v>
      </c>
      <c r="E783" s="79"/>
      <c r="F783" s="113">
        <f t="shared" si="56"/>
        <v>1</v>
      </c>
      <c r="G783" s="112" t="s">
        <v>3403</v>
      </c>
      <c r="H783" s="120" t="s">
        <v>3360</v>
      </c>
      <c r="I783" s="120" t="s">
        <v>3479</v>
      </c>
      <c r="J783" s="120" t="s">
        <v>772</v>
      </c>
      <c r="K783" s="112">
        <v>167100</v>
      </c>
      <c r="L783" s="113"/>
      <c r="M783" s="113">
        <v>62400</v>
      </c>
      <c r="N783" s="113"/>
      <c r="O783" s="113"/>
      <c r="P783" s="299">
        <f t="shared" si="57"/>
        <v>229500</v>
      </c>
      <c r="Q783" s="299">
        <f t="shared" si="58"/>
        <v>229500</v>
      </c>
      <c r="R783" s="299">
        <f t="shared" si="59"/>
        <v>229500</v>
      </c>
      <c r="S783" s="112">
        <v>0</v>
      </c>
    </row>
    <row r="784" spans="1:19" ht="45">
      <c r="A784" s="79"/>
      <c r="B784" s="77" t="s">
        <v>2382</v>
      </c>
      <c r="C784" s="76" t="s">
        <v>1877</v>
      </c>
      <c r="D784" s="143">
        <v>1</v>
      </c>
      <c r="E784" s="79"/>
      <c r="F784" s="113">
        <f t="shared" si="56"/>
        <v>1</v>
      </c>
      <c r="G784" s="112" t="s">
        <v>3402</v>
      </c>
      <c r="H784" s="120" t="s">
        <v>3360</v>
      </c>
      <c r="I784" s="120" t="s">
        <v>3479</v>
      </c>
      <c r="J784" s="120" t="s">
        <v>772</v>
      </c>
      <c r="K784" s="112">
        <v>195600</v>
      </c>
      <c r="L784" s="113"/>
      <c r="M784" s="113">
        <v>78300</v>
      </c>
      <c r="N784" s="113"/>
      <c r="O784" s="113"/>
      <c r="P784" s="299">
        <f t="shared" si="57"/>
        <v>273900</v>
      </c>
      <c r="Q784" s="299">
        <f t="shared" si="58"/>
        <v>273900</v>
      </c>
      <c r="R784" s="299">
        <f t="shared" si="59"/>
        <v>273900</v>
      </c>
      <c r="S784" s="112">
        <v>0</v>
      </c>
    </row>
    <row r="785" spans="1:19" ht="45">
      <c r="A785" s="79"/>
      <c r="B785" s="77" t="s">
        <v>2383</v>
      </c>
      <c r="C785" s="76" t="s">
        <v>1877</v>
      </c>
      <c r="D785" s="143">
        <v>2</v>
      </c>
      <c r="E785" s="79"/>
      <c r="F785" s="113">
        <f t="shared" si="56"/>
        <v>2</v>
      </c>
      <c r="G785" s="112" t="s">
        <v>3401</v>
      </c>
      <c r="H785" s="120" t="s">
        <v>3360</v>
      </c>
      <c r="I785" s="120" t="s">
        <v>3479</v>
      </c>
      <c r="J785" s="120" t="s">
        <v>772</v>
      </c>
      <c r="K785" s="112">
        <v>252400</v>
      </c>
      <c r="L785" s="113"/>
      <c r="M785" s="113">
        <v>110000</v>
      </c>
      <c r="N785" s="113"/>
      <c r="O785" s="113"/>
      <c r="P785" s="299">
        <f t="shared" si="57"/>
        <v>362400</v>
      </c>
      <c r="Q785" s="299">
        <f t="shared" si="58"/>
        <v>724800</v>
      </c>
      <c r="R785" s="299">
        <f t="shared" si="59"/>
        <v>724800</v>
      </c>
      <c r="S785" s="112">
        <v>0</v>
      </c>
    </row>
    <row r="786" spans="1:19" ht="45">
      <c r="A786" s="79"/>
      <c r="B786" s="77" t="s">
        <v>2384</v>
      </c>
      <c r="C786" s="76" t="s">
        <v>1877</v>
      </c>
      <c r="D786" s="143">
        <v>1</v>
      </c>
      <c r="E786" s="79"/>
      <c r="F786" s="113">
        <f t="shared" si="56"/>
        <v>1</v>
      </c>
      <c r="G786" s="112" t="s">
        <v>3400</v>
      </c>
      <c r="H786" s="120" t="s">
        <v>3360</v>
      </c>
      <c r="I786" s="120" t="s">
        <v>3479</v>
      </c>
      <c r="J786" s="120" t="s">
        <v>772</v>
      </c>
      <c r="K786" s="112">
        <v>301300</v>
      </c>
      <c r="L786" s="113"/>
      <c r="M786" s="113">
        <v>137200</v>
      </c>
      <c r="N786" s="113"/>
      <c r="O786" s="113"/>
      <c r="P786" s="299">
        <f t="shared" si="57"/>
        <v>438500</v>
      </c>
      <c r="Q786" s="299">
        <f t="shared" si="58"/>
        <v>438500</v>
      </c>
      <c r="R786" s="299">
        <f t="shared" si="59"/>
        <v>438500</v>
      </c>
      <c r="S786" s="112">
        <v>0</v>
      </c>
    </row>
    <row r="787" spans="1:19" ht="45">
      <c r="A787" s="79"/>
      <c r="B787" s="77" t="s">
        <v>2385</v>
      </c>
      <c r="C787" s="76" t="s">
        <v>1877</v>
      </c>
      <c r="D787" s="143">
        <v>1</v>
      </c>
      <c r="E787" s="79"/>
      <c r="F787" s="113">
        <f t="shared" si="56"/>
        <v>1</v>
      </c>
      <c r="G787" s="112" t="s">
        <v>3399</v>
      </c>
      <c r="H787" s="120" t="s">
        <v>3360</v>
      </c>
      <c r="I787" s="120" t="s">
        <v>3479</v>
      </c>
      <c r="J787" s="120" t="s">
        <v>772</v>
      </c>
      <c r="K787" s="112">
        <v>342000</v>
      </c>
      <c r="L787" s="113"/>
      <c r="M787" s="113">
        <v>160000</v>
      </c>
      <c r="N787" s="113"/>
      <c r="O787" s="113"/>
      <c r="P787" s="299">
        <f t="shared" si="57"/>
        <v>502000</v>
      </c>
      <c r="Q787" s="299">
        <f t="shared" si="58"/>
        <v>502000</v>
      </c>
      <c r="R787" s="299">
        <f t="shared" si="59"/>
        <v>502000</v>
      </c>
      <c r="S787" s="112">
        <v>0</v>
      </c>
    </row>
    <row r="788" spans="1:19" ht="45">
      <c r="A788" s="79"/>
      <c r="B788" s="77" t="s">
        <v>2386</v>
      </c>
      <c r="C788" s="76" t="s">
        <v>1877</v>
      </c>
      <c r="D788" s="143">
        <v>1</v>
      </c>
      <c r="E788" s="79"/>
      <c r="F788" s="113">
        <f t="shared" si="56"/>
        <v>1</v>
      </c>
      <c r="G788" s="112" t="s">
        <v>3398</v>
      </c>
      <c r="H788" s="120" t="s">
        <v>3360</v>
      </c>
      <c r="I788" s="120" t="s">
        <v>3479</v>
      </c>
      <c r="J788" s="120" t="s">
        <v>772</v>
      </c>
      <c r="K788" s="112">
        <v>395500</v>
      </c>
      <c r="L788" s="113"/>
      <c r="M788" s="113">
        <v>189800</v>
      </c>
      <c r="N788" s="113"/>
      <c r="O788" s="113"/>
      <c r="P788" s="299">
        <f t="shared" si="57"/>
        <v>585300</v>
      </c>
      <c r="Q788" s="299">
        <f t="shared" si="58"/>
        <v>585300</v>
      </c>
      <c r="R788" s="299">
        <f t="shared" si="59"/>
        <v>585300</v>
      </c>
      <c r="S788" s="112">
        <v>0</v>
      </c>
    </row>
    <row r="789" spans="1:19" ht="45">
      <c r="A789" s="79"/>
      <c r="B789" s="77" t="s">
        <v>2387</v>
      </c>
      <c r="C789" s="76" t="s">
        <v>1877</v>
      </c>
      <c r="D789" s="143">
        <v>1</v>
      </c>
      <c r="E789" s="79"/>
      <c r="F789" s="113">
        <f t="shared" si="56"/>
        <v>1</v>
      </c>
      <c r="G789" s="112" t="s">
        <v>3397</v>
      </c>
      <c r="H789" s="120" t="s">
        <v>3360</v>
      </c>
      <c r="I789" s="120" t="s">
        <v>3479</v>
      </c>
      <c r="J789" s="120" t="s">
        <v>772</v>
      </c>
      <c r="K789" s="112">
        <v>397400</v>
      </c>
      <c r="L789" s="113"/>
      <c r="M789" s="113">
        <v>190800</v>
      </c>
      <c r="N789" s="113"/>
      <c r="O789" s="113"/>
      <c r="P789" s="299">
        <f t="shared" si="57"/>
        <v>588200</v>
      </c>
      <c r="Q789" s="299">
        <f t="shared" si="58"/>
        <v>588200</v>
      </c>
      <c r="R789" s="299">
        <f t="shared" si="59"/>
        <v>588200</v>
      </c>
      <c r="S789" s="112">
        <v>0</v>
      </c>
    </row>
    <row r="790" spans="1:19" ht="45">
      <c r="A790" s="79"/>
      <c r="B790" s="77" t="s">
        <v>2388</v>
      </c>
      <c r="C790" s="76" t="s">
        <v>1877</v>
      </c>
      <c r="D790" s="143">
        <v>1</v>
      </c>
      <c r="E790" s="79"/>
      <c r="F790" s="113">
        <f t="shared" si="56"/>
        <v>1</v>
      </c>
      <c r="G790" s="112" t="s">
        <v>3396</v>
      </c>
      <c r="H790" s="120" t="s">
        <v>3360</v>
      </c>
      <c r="I790" s="120" t="s">
        <v>3479</v>
      </c>
      <c r="J790" s="120" t="s">
        <v>772</v>
      </c>
      <c r="K790" s="112">
        <v>451700</v>
      </c>
      <c r="L790" s="113"/>
      <c r="M790" s="113">
        <v>221100</v>
      </c>
      <c r="N790" s="113"/>
      <c r="O790" s="113"/>
      <c r="P790" s="299">
        <f t="shared" si="57"/>
        <v>672800</v>
      </c>
      <c r="Q790" s="299">
        <f t="shared" si="58"/>
        <v>672800</v>
      </c>
      <c r="R790" s="299">
        <f t="shared" si="59"/>
        <v>672800</v>
      </c>
      <c r="S790" s="112">
        <v>0</v>
      </c>
    </row>
    <row r="791" spans="1:19" ht="45">
      <c r="A791" s="79"/>
      <c r="B791" s="77" t="s">
        <v>2389</v>
      </c>
      <c r="C791" s="76" t="s">
        <v>1877</v>
      </c>
      <c r="D791" s="143">
        <v>1</v>
      </c>
      <c r="E791" s="79"/>
      <c r="F791" s="113">
        <f t="shared" si="56"/>
        <v>1</v>
      </c>
      <c r="G791" s="112" t="s">
        <v>3387</v>
      </c>
      <c r="H791" s="120" t="s">
        <v>3193</v>
      </c>
      <c r="I791" s="120" t="s">
        <v>3479</v>
      </c>
      <c r="J791" s="120" t="s">
        <v>772</v>
      </c>
      <c r="K791" s="112">
        <v>661700</v>
      </c>
      <c r="L791" s="113"/>
      <c r="M791" s="113">
        <v>301500</v>
      </c>
      <c r="N791" s="113"/>
      <c r="O791" s="113"/>
      <c r="P791" s="299">
        <f t="shared" si="57"/>
        <v>963200</v>
      </c>
      <c r="Q791" s="299">
        <f t="shared" si="58"/>
        <v>963200</v>
      </c>
      <c r="R791" s="299">
        <f t="shared" si="59"/>
        <v>963200</v>
      </c>
      <c r="S791" s="112">
        <v>0</v>
      </c>
    </row>
    <row r="792" spans="1:19" ht="45">
      <c r="A792" s="79"/>
      <c r="B792" s="77" t="s">
        <v>2390</v>
      </c>
      <c r="C792" s="76" t="s">
        <v>1877</v>
      </c>
      <c r="D792" s="143">
        <v>2</v>
      </c>
      <c r="E792" s="79"/>
      <c r="F792" s="113">
        <f t="shared" si="56"/>
        <v>2</v>
      </c>
      <c r="G792" s="112" t="s">
        <v>3395</v>
      </c>
      <c r="H792" s="120" t="s">
        <v>3193</v>
      </c>
      <c r="I792" s="120" t="s">
        <v>3479</v>
      </c>
      <c r="J792" s="120" t="s">
        <v>772</v>
      </c>
      <c r="K792" s="112">
        <v>656000</v>
      </c>
      <c r="L792" s="113"/>
      <c r="M792" s="113">
        <v>298700</v>
      </c>
      <c r="N792" s="113"/>
      <c r="O792" s="113"/>
      <c r="P792" s="299">
        <f t="shared" si="57"/>
        <v>954700</v>
      </c>
      <c r="Q792" s="299">
        <f t="shared" si="58"/>
        <v>1909400</v>
      </c>
      <c r="R792" s="299">
        <f t="shared" si="59"/>
        <v>1909400</v>
      </c>
      <c r="S792" s="112">
        <v>0</v>
      </c>
    </row>
    <row r="793" spans="1:19" ht="45">
      <c r="A793" s="79"/>
      <c r="B793" s="77" t="s">
        <v>2391</v>
      </c>
      <c r="C793" s="76" t="s">
        <v>1877</v>
      </c>
      <c r="D793" s="143">
        <v>1</v>
      </c>
      <c r="E793" s="79"/>
      <c r="F793" s="113">
        <f t="shared" si="56"/>
        <v>1</v>
      </c>
      <c r="G793" s="112" t="s">
        <v>3394</v>
      </c>
      <c r="H793" s="120" t="s">
        <v>3193</v>
      </c>
      <c r="I793" s="120" t="s">
        <v>3479</v>
      </c>
      <c r="J793" s="120" t="s">
        <v>772</v>
      </c>
      <c r="K793" s="112">
        <v>669400</v>
      </c>
      <c r="L793" s="113"/>
      <c r="M793" s="113">
        <v>305300</v>
      </c>
      <c r="N793" s="113"/>
      <c r="O793" s="113"/>
      <c r="P793" s="299">
        <f t="shared" si="57"/>
        <v>974700</v>
      </c>
      <c r="Q793" s="299">
        <f t="shared" si="58"/>
        <v>974700</v>
      </c>
      <c r="R793" s="299">
        <f t="shared" si="59"/>
        <v>974700</v>
      </c>
      <c r="S793" s="112">
        <v>0</v>
      </c>
    </row>
    <row r="794" spans="1:19" ht="45">
      <c r="A794" s="79"/>
      <c r="B794" s="77" t="s">
        <v>2392</v>
      </c>
      <c r="C794" s="76" t="s">
        <v>1877</v>
      </c>
      <c r="D794" s="143">
        <v>1</v>
      </c>
      <c r="E794" s="79"/>
      <c r="F794" s="113">
        <f t="shared" si="56"/>
        <v>1</v>
      </c>
      <c r="G794" s="112" t="s">
        <v>3393</v>
      </c>
      <c r="H794" s="120" t="s">
        <v>3193</v>
      </c>
      <c r="I794" s="120" t="s">
        <v>3479</v>
      </c>
      <c r="J794" s="120" t="s">
        <v>772</v>
      </c>
      <c r="K794" s="112">
        <v>728400</v>
      </c>
      <c r="L794" s="113"/>
      <c r="M794" s="113">
        <v>334700</v>
      </c>
      <c r="N794" s="113"/>
      <c r="O794" s="113"/>
      <c r="P794" s="299">
        <f t="shared" si="57"/>
        <v>1063100</v>
      </c>
      <c r="Q794" s="299">
        <f t="shared" si="58"/>
        <v>1063100</v>
      </c>
      <c r="R794" s="299">
        <f t="shared" si="59"/>
        <v>1063100</v>
      </c>
      <c r="S794" s="112">
        <v>0</v>
      </c>
    </row>
    <row r="795" spans="1:19" ht="45">
      <c r="A795" s="79"/>
      <c r="B795" s="77" t="s">
        <v>2393</v>
      </c>
      <c r="C795" s="76" t="s">
        <v>1877</v>
      </c>
      <c r="D795" s="143">
        <v>1</v>
      </c>
      <c r="E795" s="79"/>
      <c r="F795" s="113">
        <f t="shared" si="56"/>
        <v>1</v>
      </c>
      <c r="G795" s="112" t="s">
        <v>3392</v>
      </c>
      <c r="H795" s="120" t="s">
        <v>3193</v>
      </c>
      <c r="I795" s="120" t="s">
        <v>3479</v>
      </c>
      <c r="J795" s="120" t="s">
        <v>772</v>
      </c>
      <c r="K795" s="112">
        <v>1111400</v>
      </c>
      <c r="L795" s="113"/>
      <c r="M795" s="113">
        <v>547700</v>
      </c>
      <c r="N795" s="113"/>
      <c r="O795" s="113"/>
      <c r="P795" s="299">
        <f t="shared" si="57"/>
        <v>1659100</v>
      </c>
      <c r="Q795" s="299">
        <f t="shared" si="58"/>
        <v>1659100</v>
      </c>
      <c r="R795" s="299">
        <f t="shared" si="59"/>
        <v>1659100</v>
      </c>
      <c r="S795" s="112">
        <v>0</v>
      </c>
    </row>
    <row r="796" spans="1:19" ht="45">
      <c r="A796" s="79"/>
      <c r="B796" s="77" t="s">
        <v>2394</v>
      </c>
      <c r="C796" s="76" t="s">
        <v>1877</v>
      </c>
      <c r="D796" s="143">
        <v>1</v>
      </c>
      <c r="E796" s="79"/>
      <c r="F796" s="113">
        <f t="shared" si="56"/>
        <v>1</v>
      </c>
      <c r="G796" s="112" t="s">
        <v>3391</v>
      </c>
      <c r="H796" s="120" t="s">
        <v>3193</v>
      </c>
      <c r="I796" s="120" t="s">
        <v>3479</v>
      </c>
      <c r="J796" s="120" t="s">
        <v>772</v>
      </c>
      <c r="K796" s="112">
        <v>1126700</v>
      </c>
      <c r="L796" s="113"/>
      <c r="M796" s="113">
        <v>555600</v>
      </c>
      <c r="N796" s="113"/>
      <c r="O796" s="113"/>
      <c r="P796" s="299">
        <f t="shared" si="57"/>
        <v>1682300</v>
      </c>
      <c r="Q796" s="299">
        <f t="shared" si="58"/>
        <v>1682300</v>
      </c>
      <c r="R796" s="299">
        <f t="shared" si="59"/>
        <v>1682300</v>
      </c>
      <c r="S796" s="112">
        <v>0</v>
      </c>
    </row>
    <row r="797" spans="1:19" ht="45">
      <c r="A797" s="79"/>
      <c r="B797" s="77" t="s">
        <v>2395</v>
      </c>
      <c r="C797" s="76" t="s">
        <v>1877</v>
      </c>
      <c r="D797" s="143">
        <v>1</v>
      </c>
      <c r="E797" s="79"/>
      <c r="F797" s="113">
        <f t="shared" si="56"/>
        <v>1</v>
      </c>
      <c r="G797" s="112" t="s">
        <v>3390</v>
      </c>
      <c r="H797" s="120" t="s">
        <v>3193</v>
      </c>
      <c r="I797" s="120" t="s">
        <v>3479</v>
      </c>
      <c r="J797" s="120" t="s">
        <v>772</v>
      </c>
      <c r="K797" s="112">
        <v>1810600</v>
      </c>
      <c r="L797" s="113"/>
      <c r="M797" s="113">
        <v>910200</v>
      </c>
      <c r="N797" s="113"/>
      <c r="O797" s="113"/>
      <c r="P797" s="299">
        <f t="shared" si="57"/>
        <v>2720800</v>
      </c>
      <c r="Q797" s="299">
        <f t="shared" si="58"/>
        <v>2720800</v>
      </c>
      <c r="R797" s="299">
        <f t="shared" si="59"/>
        <v>2720800</v>
      </c>
      <c r="S797" s="112">
        <v>0</v>
      </c>
    </row>
    <row r="798" spans="1:19" ht="45">
      <c r="A798" s="88"/>
      <c r="B798" s="87" t="s">
        <v>2396</v>
      </c>
      <c r="C798" s="88" t="s">
        <v>1877</v>
      </c>
      <c r="D798" s="147">
        <v>1</v>
      </c>
      <c r="E798" s="87"/>
      <c r="F798" s="113">
        <f t="shared" si="56"/>
        <v>1</v>
      </c>
      <c r="G798" s="112" t="s">
        <v>3389</v>
      </c>
      <c r="H798" s="120" t="s">
        <v>3360</v>
      </c>
      <c r="I798" s="120" t="s">
        <v>3479</v>
      </c>
      <c r="J798" s="120" t="s">
        <v>772</v>
      </c>
      <c r="K798" s="112">
        <v>146100</v>
      </c>
      <c r="L798" s="113"/>
      <c r="M798" s="113">
        <v>50700</v>
      </c>
      <c r="N798" s="113"/>
      <c r="O798" s="113"/>
      <c r="P798" s="299">
        <f t="shared" si="57"/>
        <v>196800</v>
      </c>
      <c r="Q798" s="299">
        <f t="shared" si="58"/>
        <v>196800</v>
      </c>
      <c r="R798" s="299">
        <f t="shared" si="59"/>
        <v>196800</v>
      </c>
      <c r="S798" s="112">
        <v>0</v>
      </c>
    </row>
    <row r="799" spans="1:19" ht="45">
      <c r="A799" s="88"/>
      <c r="B799" s="87" t="s">
        <v>2397</v>
      </c>
      <c r="C799" s="88" t="s">
        <v>1877</v>
      </c>
      <c r="D799" s="147">
        <v>3</v>
      </c>
      <c r="E799" s="87"/>
      <c r="F799" s="113">
        <f t="shared" si="56"/>
        <v>3</v>
      </c>
      <c r="G799" s="112" t="s">
        <v>3388</v>
      </c>
      <c r="H799" s="120" t="s">
        <v>3360</v>
      </c>
      <c r="I799" s="120" t="s">
        <v>3479</v>
      </c>
      <c r="J799" s="120" t="s">
        <v>772</v>
      </c>
      <c r="K799" s="112">
        <v>281700</v>
      </c>
      <c r="L799" s="113"/>
      <c r="M799" s="113">
        <v>126400</v>
      </c>
      <c r="N799" s="113"/>
      <c r="O799" s="113"/>
      <c r="P799" s="299">
        <f t="shared" si="57"/>
        <v>408100</v>
      </c>
      <c r="Q799" s="299">
        <f t="shared" si="58"/>
        <v>1224300</v>
      </c>
      <c r="R799" s="299">
        <f t="shared" si="59"/>
        <v>1224300</v>
      </c>
      <c r="S799" s="112">
        <v>0</v>
      </c>
    </row>
    <row r="800" spans="1:19" ht="45">
      <c r="A800" s="88"/>
      <c r="B800" s="87" t="s">
        <v>2389</v>
      </c>
      <c r="C800" s="88" t="s">
        <v>1877</v>
      </c>
      <c r="D800" s="147">
        <v>1</v>
      </c>
      <c r="E800" s="87"/>
      <c r="F800" s="113">
        <f t="shared" si="56"/>
        <v>1</v>
      </c>
      <c r="G800" s="112" t="s">
        <v>3387</v>
      </c>
      <c r="H800" s="120" t="s">
        <v>3193</v>
      </c>
      <c r="I800" s="120" t="s">
        <v>3479</v>
      </c>
      <c r="J800" s="120" t="s">
        <v>772</v>
      </c>
      <c r="K800" s="112">
        <v>661700</v>
      </c>
      <c r="L800" s="113"/>
      <c r="M800" s="113">
        <v>301500</v>
      </c>
      <c r="N800" s="113"/>
      <c r="O800" s="113"/>
      <c r="P800" s="299">
        <f t="shared" si="57"/>
        <v>963200</v>
      </c>
      <c r="Q800" s="299">
        <f t="shared" si="58"/>
        <v>963200</v>
      </c>
      <c r="R800" s="299">
        <f t="shared" si="59"/>
        <v>963200</v>
      </c>
      <c r="S800" s="112">
        <v>0</v>
      </c>
    </row>
    <row r="801" spans="1:19">
      <c r="A801" s="79">
        <v>1.5</v>
      </c>
      <c r="B801" s="80" t="s">
        <v>2258</v>
      </c>
      <c r="C801" s="79"/>
      <c r="D801" s="143"/>
      <c r="E801" s="79"/>
      <c r="F801" s="113">
        <f t="shared" si="56"/>
        <v>0</v>
      </c>
      <c r="G801" s="112">
        <v>0</v>
      </c>
      <c r="H801" s="120">
        <v>0</v>
      </c>
      <c r="I801" s="120">
        <v>0</v>
      </c>
      <c r="J801" s="120">
        <v>0</v>
      </c>
      <c r="K801" s="112">
        <v>0</v>
      </c>
      <c r="L801" s="113"/>
      <c r="M801" s="113">
        <v>0</v>
      </c>
      <c r="N801" s="113"/>
      <c r="O801" s="113"/>
      <c r="P801" s="299">
        <f t="shared" si="57"/>
        <v>0</v>
      </c>
      <c r="Q801" s="299">
        <f t="shared" si="58"/>
        <v>0</v>
      </c>
      <c r="R801" s="299">
        <f t="shared" si="59"/>
        <v>0</v>
      </c>
      <c r="S801" s="112">
        <v>0</v>
      </c>
    </row>
    <row r="802" spans="1:19" ht="30">
      <c r="A802" s="76"/>
      <c r="B802" s="77" t="s">
        <v>2260</v>
      </c>
      <c r="C802" s="76" t="s">
        <v>7</v>
      </c>
      <c r="D802" s="143">
        <v>3.3277999999999994</v>
      </c>
      <c r="E802" s="76"/>
      <c r="F802" s="113">
        <f t="shared" si="56"/>
        <v>3.3277999999999994</v>
      </c>
      <c r="G802" s="112" t="s">
        <v>3338</v>
      </c>
      <c r="H802" s="120">
        <v>0</v>
      </c>
      <c r="I802" s="120" t="s">
        <v>3333</v>
      </c>
      <c r="J802" s="120" t="s">
        <v>772</v>
      </c>
      <c r="K802" s="112">
        <v>8700</v>
      </c>
      <c r="L802" s="113"/>
      <c r="M802" s="113">
        <v>30300</v>
      </c>
      <c r="N802" s="113"/>
      <c r="O802" s="113"/>
      <c r="P802" s="299">
        <f t="shared" si="57"/>
        <v>39000</v>
      </c>
      <c r="Q802" s="299">
        <f t="shared" si="58"/>
        <v>129784.19999999998</v>
      </c>
      <c r="R802" s="299">
        <f t="shared" si="59"/>
        <v>129784.19999999998</v>
      </c>
      <c r="S802" s="112">
        <v>0</v>
      </c>
    </row>
    <row r="803" spans="1:19" ht="30">
      <c r="A803" s="76"/>
      <c r="B803" s="77" t="s">
        <v>2259</v>
      </c>
      <c r="C803" s="76" t="s">
        <v>7</v>
      </c>
      <c r="D803" s="143">
        <v>60.723599999999998</v>
      </c>
      <c r="E803" s="76"/>
      <c r="F803" s="113">
        <f t="shared" si="56"/>
        <v>60.723599999999998</v>
      </c>
      <c r="G803" s="112" t="s">
        <v>3337</v>
      </c>
      <c r="H803" s="120">
        <v>0</v>
      </c>
      <c r="I803" s="120" t="s">
        <v>3333</v>
      </c>
      <c r="J803" s="120" t="s">
        <v>772</v>
      </c>
      <c r="K803" s="112">
        <v>11400</v>
      </c>
      <c r="L803" s="113"/>
      <c r="M803" s="113">
        <v>30300</v>
      </c>
      <c r="N803" s="113"/>
      <c r="O803" s="113"/>
      <c r="P803" s="299">
        <f t="shared" si="57"/>
        <v>41700</v>
      </c>
      <c r="Q803" s="299">
        <f t="shared" si="58"/>
        <v>2532174.12</v>
      </c>
      <c r="R803" s="299">
        <f t="shared" si="59"/>
        <v>2532174.12</v>
      </c>
      <c r="S803" s="112">
        <v>0</v>
      </c>
    </row>
    <row r="804" spans="1:19" ht="30">
      <c r="A804" s="76"/>
      <c r="B804" s="77" t="s">
        <v>2398</v>
      </c>
      <c r="C804" s="76" t="s">
        <v>7</v>
      </c>
      <c r="D804" s="143">
        <v>152.30879999999996</v>
      </c>
      <c r="E804" s="76"/>
      <c r="F804" s="113">
        <f t="shared" si="56"/>
        <v>152.30879999999996</v>
      </c>
      <c r="G804" s="112" t="s">
        <v>3336</v>
      </c>
      <c r="H804" s="120">
        <v>0</v>
      </c>
      <c r="I804" s="120" t="s">
        <v>3333</v>
      </c>
      <c r="J804" s="120" t="s">
        <v>772</v>
      </c>
      <c r="K804" s="112">
        <v>13800</v>
      </c>
      <c r="L804" s="113"/>
      <c r="M804" s="113">
        <v>32300</v>
      </c>
      <c r="N804" s="113"/>
      <c r="O804" s="113"/>
      <c r="P804" s="299">
        <f t="shared" si="57"/>
        <v>46100</v>
      </c>
      <c r="Q804" s="299">
        <f t="shared" si="58"/>
        <v>7021435.6799999978</v>
      </c>
      <c r="R804" s="299">
        <f t="shared" si="59"/>
        <v>7021435.6799999978</v>
      </c>
      <c r="S804" s="112">
        <v>0</v>
      </c>
    </row>
    <row r="805" spans="1:19" ht="30">
      <c r="A805" s="76"/>
      <c r="B805" s="77" t="s">
        <v>2315</v>
      </c>
      <c r="C805" s="76" t="s">
        <v>7</v>
      </c>
      <c r="D805" s="143">
        <v>165.00399999999999</v>
      </c>
      <c r="E805" s="76"/>
      <c r="F805" s="113">
        <f t="shared" si="56"/>
        <v>165.00399999999999</v>
      </c>
      <c r="G805" s="112" t="s">
        <v>3764</v>
      </c>
      <c r="H805" s="120">
        <v>0</v>
      </c>
      <c r="I805" s="120" t="s">
        <v>3333</v>
      </c>
      <c r="J805" s="120" t="s">
        <v>772</v>
      </c>
      <c r="K805" s="112">
        <v>24300</v>
      </c>
      <c r="L805" s="113"/>
      <c r="M805" s="113">
        <v>38300</v>
      </c>
      <c r="N805" s="113"/>
      <c r="O805" s="113"/>
      <c r="P805" s="299">
        <f t="shared" si="57"/>
        <v>62600</v>
      </c>
      <c r="Q805" s="299">
        <f t="shared" si="58"/>
        <v>10329250.399999999</v>
      </c>
      <c r="R805" s="299">
        <f t="shared" si="59"/>
        <v>10329250.399999999</v>
      </c>
      <c r="S805" s="112">
        <v>0</v>
      </c>
    </row>
    <row r="806" spans="1:19" ht="30">
      <c r="A806" s="76"/>
      <c r="B806" s="77" t="s">
        <v>2316</v>
      </c>
      <c r="C806" s="76" t="s">
        <v>7</v>
      </c>
      <c r="D806" s="143">
        <v>4.3315999999999999</v>
      </c>
      <c r="E806" s="76"/>
      <c r="F806" s="113">
        <f t="shared" si="56"/>
        <v>4.3315999999999999</v>
      </c>
      <c r="G806" s="112" t="s">
        <v>3765</v>
      </c>
      <c r="H806" s="120">
        <v>0</v>
      </c>
      <c r="I806" s="120" t="s">
        <v>3333</v>
      </c>
      <c r="J806" s="120" t="s">
        <v>772</v>
      </c>
      <c r="K806" s="112">
        <v>24300</v>
      </c>
      <c r="L806" s="113"/>
      <c r="M806" s="113">
        <v>41400</v>
      </c>
      <c r="N806" s="113"/>
      <c r="O806" s="113"/>
      <c r="P806" s="299">
        <f t="shared" si="57"/>
        <v>65700</v>
      </c>
      <c r="Q806" s="299">
        <f t="shared" si="58"/>
        <v>284586.12</v>
      </c>
      <c r="R806" s="299">
        <f t="shared" si="59"/>
        <v>284586.12</v>
      </c>
      <c r="S806" s="112">
        <v>0</v>
      </c>
    </row>
    <row r="807" spans="1:19">
      <c r="A807" s="79">
        <v>1.6</v>
      </c>
      <c r="B807" s="257" t="s">
        <v>1919</v>
      </c>
      <c r="C807" s="79"/>
      <c r="D807" s="143"/>
      <c r="E807" s="79"/>
      <c r="F807" s="113">
        <f t="shared" si="56"/>
        <v>0</v>
      </c>
      <c r="G807" s="112">
        <v>0</v>
      </c>
      <c r="H807" s="120">
        <v>0</v>
      </c>
      <c r="I807" s="120">
        <v>0</v>
      </c>
      <c r="J807" s="120">
        <v>0</v>
      </c>
      <c r="K807" s="112">
        <v>0</v>
      </c>
      <c r="L807" s="113"/>
      <c r="M807" s="113">
        <v>0</v>
      </c>
      <c r="N807" s="113"/>
      <c r="O807" s="113"/>
      <c r="P807" s="299">
        <f t="shared" si="57"/>
        <v>0</v>
      </c>
      <c r="Q807" s="299">
        <f t="shared" si="58"/>
        <v>0</v>
      </c>
      <c r="R807" s="299">
        <f t="shared" si="59"/>
        <v>0</v>
      </c>
      <c r="S807" s="112">
        <v>0</v>
      </c>
    </row>
    <row r="808" spans="1:19" ht="30">
      <c r="A808" s="76"/>
      <c r="B808" s="77" t="s">
        <v>2260</v>
      </c>
      <c r="C808" s="76" t="s">
        <v>1877</v>
      </c>
      <c r="D808" s="143">
        <v>2</v>
      </c>
      <c r="E808" s="76"/>
      <c r="F808" s="113">
        <f t="shared" si="56"/>
        <v>2</v>
      </c>
      <c r="G808" s="112" t="s">
        <v>3592</v>
      </c>
      <c r="H808" s="120" t="s">
        <v>3202</v>
      </c>
      <c r="I808" s="120" t="s">
        <v>3190</v>
      </c>
      <c r="J808" s="120" t="s">
        <v>772</v>
      </c>
      <c r="K808" s="112">
        <v>167000</v>
      </c>
      <c r="L808" s="113"/>
      <c r="M808" s="113">
        <v>101800</v>
      </c>
      <c r="N808" s="113"/>
      <c r="O808" s="113"/>
      <c r="P808" s="299">
        <f t="shared" si="57"/>
        <v>268800</v>
      </c>
      <c r="Q808" s="299">
        <f t="shared" si="58"/>
        <v>537600</v>
      </c>
      <c r="R808" s="299">
        <f t="shared" si="59"/>
        <v>537600</v>
      </c>
      <c r="S808" s="112">
        <v>0</v>
      </c>
    </row>
    <row r="809" spans="1:19" ht="30">
      <c r="A809" s="76"/>
      <c r="B809" s="77" t="s">
        <v>2259</v>
      </c>
      <c r="C809" s="76" t="s">
        <v>1877</v>
      </c>
      <c r="D809" s="143">
        <v>42</v>
      </c>
      <c r="E809" s="76"/>
      <c r="F809" s="113">
        <f t="shared" si="56"/>
        <v>42</v>
      </c>
      <c r="G809" s="112" t="s">
        <v>3622</v>
      </c>
      <c r="H809" s="120" t="s">
        <v>3202</v>
      </c>
      <c r="I809" s="120" t="s">
        <v>3190</v>
      </c>
      <c r="J809" s="120" t="s">
        <v>772</v>
      </c>
      <c r="K809" s="112">
        <v>224700</v>
      </c>
      <c r="L809" s="113"/>
      <c r="M809" s="113">
        <v>103800</v>
      </c>
      <c r="N809" s="113"/>
      <c r="O809" s="113"/>
      <c r="P809" s="299">
        <f t="shared" si="57"/>
        <v>328500</v>
      </c>
      <c r="Q809" s="299">
        <f t="shared" si="58"/>
        <v>13797000</v>
      </c>
      <c r="R809" s="299">
        <f t="shared" si="59"/>
        <v>13797000</v>
      </c>
      <c r="S809" s="112">
        <v>0</v>
      </c>
    </row>
    <row r="810" spans="1:19" ht="30">
      <c r="A810" s="76"/>
      <c r="B810" s="77" t="s">
        <v>2398</v>
      </c>
      <c r="C810" s="76" t="s">
        <v>1877</v>
      </c>
      <c r="D810" s="143">
        <v>104</v>
      </c>
      <c r="E810" s="76"/>
      <c r="F810" s="113">
        <f t="shared" si="56"/>
        <v>104</v>
      </c>
      <c r="G810" s="112" t="s">
        <v>3591</v>
      </c>
      <c r="H810" s="120" t="s">
        <v>3202</v>
      </c>
      <c r="I810" s="120" t="s">
        <v>3190</v>
      </c>
      <c r="J810" s="120" t="s">
        <v>772</v>
      </c>
      <c r="K810" s="112">
        <v>303800</v>
      </c>
      <c r="L810" s="113"/>
      <c r="M810" s="113">
        <v>106800</v>
      </c>
      <c r="N810" s="113"/>
      <c r="O810" s="113"/>
      <c r="P810" s="299">
        <f t="shared" si="57"/>
        <v>410600</v>
      </c>
      <c r="Q810" s="299">
        <f t="shared" si="58"/>
        <v>42702400</v>
      </c>
      <c r="R810" s="299">
        <f t="shared" si="59"/>
        <v>42702400</v>
      </c>
      <c r="S810" s="112">
        <v>0</v>
      </c>
    </row>
    <row r="811" spans="1:19" ht="30">
      <c r="A811" s="76"/>
      <c r="B811" s="77" t="s">
        <v>2315</v>
      </c>
      <c r="C811" s="76" t="s">
        <v>1877</v>
      </c>
      <c r="D811" s="143">
        <v>76</v>
      </c>
      <c r="E811" s="76"/>
      <c r="F811" s="113">
        <f t="shared" si="56"/>
        <v>76</v>
      </c>
      <c r="G811" s="112" t="s">
        <v>3621</v>
      </c>
      <c r="H811" s="120" t="s">
        <v>3202</v>
      </c>
      <c r="I811" s="120" t="s">
        <v>3190</v>
      </c>
      <c r="J811" s="120" t="s">
        <v>772</v>
      </c>
      <c r="K811" s="112">
        <v>400200</v>
      </c>
      <c r="L811" s="113"/>
      <c r="M811" s="113">
        <v>112900</v>
      </c>
      <c r="N811" s="113"/>
      <c r="O811" s="113"/>
      <c r="P811" s="299">
        <f t="shared" si="57"/>
        <v>513100</v>
      </c>
      <c r="Q811" s="299">
        <f t="shared" si="58"/>
        <v>38995600</v>
      </c>
      <c r="R811" s="299">
        <f t="shared" si="59"/>
        <v>38995600</v>
      </c>
      <c r="S811" s="112">
        <v>0</v>
      </c>
    </row>
    <row r="812" spans="1:19" ht="30">
      <c r="A812" s="76"/>
      <c r="B812" s="77" t="s">
        <v>2276</v>
      </c>
      <c r="C812" s="76" t="s">
        <v>1877</v>
      </c>
      <c r="D812" s="143">
        <v>34</v>
      </c>
      <c r="E812" s="76"/>
      <c r="F812" s="113">
        <f t="shared" si="56"/>
        <v>34</v>
      </c>
      <c r="G812" s="112" t="s">
        <v>3620</v>
      </c>
      <c r="H812" s="120" t="s">
        <v>3202</v>
      </c>
      <c r="I812" s="120" t="s">
        <v>3190</v>
      </c>
      <c r="J812" s="120" t="s">
        <v>772</v>
      </c>
      <c r="K812" s="112">
        <v>313900</v>
      </c>
      <c r="L812" s="113"/>
      <c r="M812" s="113">
        <v>112900</v>
      </c>
      <c r="N812" s="113"/>
      <c r="O812" s="113"/>
      <c r="P812" s="299">
        <f t="shared" si="57"/>
        <v>426800</v>
      </c>
      <c r="Q812" s="299">
        <f t="shared" si="58"/>
        <v>14511200</v>
      </c>
      <c r="R812" s="299">
        <f t="shared" si="59"/>
        <v>14511200</v>
      </c>
      <c r="S812" s="112">
        <v>0</v>
      </c>
    </row>
    <row r="813" spans="1:19" ht="30">
      <c r="A813" s="88"/>
      <c r="B813" s="87" t="s">
        <v>2268</v>
      </c>
      <c r="C813" s="88" t="s">
        <v>1877</v>
      </c>
      <c r="D813" s="147">
        <v>1</v>
      </c>
      <c r="E813" s="87"/>
      <c r="F813" s="113">
        <f t="shared" si="56"/>
        <v>1</v>
      </c>
      <c r="G813" s="112" t="s">
        <v>3620</v>
      </c>
      <c r="H813" s="120" t="s">
        <v>3202</v>
      </c>
      <c r="I813" s="120" t="s">
        <v>3190</v>
      </c>
      <c r="J813" s="120" t="s">
        <v>772</v>
      </c>
      <c r="K813" s="112">
        <v>345500</v>
      </c>
      <c r="L813" s="113"/>
      <c r="M813" s="113">
        <v>134000</v>
      </c>
      <c r="N813" s="113"/>
      <c r="O813" s="113"/>
      <c r="P813" s="299">
        <f t="shared" si="57"/>
        <v>479500</v>
      </c>
      <c r="Q813" s="299">
        <f t="shared" si="58"/>
        <v>479500</v>
      </c>
      <c r="R813" s="299">
        <f t="shared" si="59"/>
        <v>479500</v>
      </c>
      <c r="S813" s="112">
        <v>0</v>
      </c>
    </row>
    <row r="814" spans="1:19" ht="30">
      <c r="A814" s="88"/>
      <c r="B814" s="87" t="s">
        <v>2316</v>
      </c>
      <c r="C814" s="88" t="s">
        <v>1877</v>
      </c>
      <c r="D814" s="147">
        <v>2</v>
      </c>
      <c r="E814" s="87"/>
      <c r="F814" s="113">
        <f t="shared" si="56"/>
        <v>2</v>
      </c>
      <c r="G814" s="112" t="s">
        <v>3623</v>
      </c>
      <c r="H814" s="120" t="s">
        <v>3202</v>
      </c>
      <c r="I814" s="120" t="s">
        <v>3190</v>
      </c>
      <c r="J814" s="120" t="s">
        <v>772</v>
      </c>
      <c r="K814" s="112">
        <v>515400</v>
      </c>
      <c r="L814" s="113"/>
      <c r="M814" s="113">
        <v>130000</v>
      </c>
      <c r="N814" s="113"/>
      <c r="O814" s="113"/>
      <c r="P814" s="299">
        <f t="shared" si="57"/>
        <v>645400</v>
      </c>
      <c r="Q814" s="299">
        <f t="shared" si="58"/>
        <v>1290800</v>
      </c>
      <c r="R814" s="299">
        <f t="shared" si="59"/>
        <v>1290800</v>
      </c>
      <c r="S814" s="112">
        <v>0</v>
      </c>
    </row>
    <row r="815" spans="1:19" ht="42.75">
      <c r="A815" s="79">
        <v>1.7</v>
      </c>
      <c r="B815" s="257" t="s">
        <v>2145</v>
      </c>
      <c r="C815" s="79"/>
      <c r="D815" s="143"/>
      <c r="E815" s="79"/>
      <c r="F815" s="113">
        <f t="shared" si="56"/>
        <v>0</v>
      </c>
      <c r="G815" s="112">
        <v>0</v>
      </c>
      <c r="H815" s="120">
        <v>0</v>
      </c>
      <c r="I815" s="120">
        <v>0</v>
      </c>
      <c r="J815" s="120">
        <v>0</v>
      </c>
      <c r="K815" s="112">
        <v>0</v>
      </c>
      <c r="L815" s="113"/>
      <c r="M815" s="113">
        <v>0</v>
      </c>
      <c r="N815" s="113"/>
      <c r="O815" s="113"/>
      <c r="P815" s="299">
        <f t="shared" si="57"/>
        <v>0</v>
      </c>
      <c r="Q815" s="299">
        <f t="shared" si="58"/>
        <v>0</v>
      </c>
      <c r="R815" s="299">
        <f t="shared" si="59"/>
        <v>0</v>
      </c>
      <c r="S815" s="112">
        <v>0</v>
      </c>
    </row>
    <row r="816" spans="1:19" ht="60">
      <c r="A816" s="79"/>
      <c r="B816" s="77" t="s">
        <v>2272</v>
      </c>
      <c r="C816" s="76" t="s">
        <v>1877</v>
      </c>
      <c r="D816" s="143">
        <v>4</v>
      </c>
      <c r="E816" s="79"/>
      <c r="F816" s="113">
        <f t="shared" si="56"/>
        <v>4</v>
      </c>
      <c r="G816" s="112" t="s">
        <v>3619</v>
      </c>
      <c r="H816" s="120">
        <v>0</v>
      </c>
      <c r="I816" s="120" t="s">
        <v>3190</v>
      </c>
      <c r="J816" s="120" t="s">
        <v>772</v>
      </c>
      <c r="K816" s="112">
        <v>313900</v>
      </c>
      <c r="L816" s="113"/>
      <c r="M816" s="113">
        <v>174300</v>
      </c>
      <c r="N816" s="113"/>
      <c r="O816" s="113"/>
      <c r="P816" s="299">
        <f t="shared" si="57"/>
        <v>488200</v>
      </c>
      <c r="Q816" s="299">
        <f t="shared" si="58"/>
        <v>1952800</v>
      </c>
      <c r="R816" s="299">
        <f t="shared" si="59"/>
        <v>1952800</v>
      </c>
      <c r="S816" s="112">
        <v>0</v>
      </c>
    </row>
    <row r="817" spans="1:19" ht="60">
      <c r="A817" s="79"/>
      <c r="B817" s="77" t="s">
        <v>2399</v>
      </c>
      <c r="C817" s="76" t="s">
        <v>1877</v>
      </c>
      <c r="D817" s="143">
        <v>3</v>
      </c>
      <c r="E817" s="79"/>
      <c r="F817" s="113">
        <f t="shared" si="56"/>
        <v>3</v>
      </c>
      <c r="G817" s="112" t="s">
        <v>3618</v>
      </c>
      <c r="H817" s="120">
        <v>0</v>
      </c>
      <c r="I817" s="120" t="s">
        <v>3190</v>
      </c>
      <c r="J817" s="120" t="s">
        <v>772</v>
      </c>
      <c r="K817" s="112">
        <v>486600</v>
      </c>
      <c r="L817" s="113"/>
      <c r="M817" s="113">
        <v>174300</v>
      </c>
      <c r="N817" s="113"/>
      <c r="O817" s="113"/>
      <c r="P817" s="299">
        <f t="shared" si="57"/>
        <v>660900</v>
      </c>
      <c r="Q817" s="299">
        <f t="shared" si="58"/>
        <v>1982700</v>
      </c>
      <c r="R817" s="299">
        <f t="shared" si="59"/>
        <v>1982700</v>
      </c>
      <c r="S817" s="112">
        <v>0</v>
      </c>
    </row>
    <row r="818" spans="1:19" ht="60">
      <c r="A818" s="79"/>
      <c r="B818" s="77" t="s">
        <v>2400</v>
      </c>
      <c r="C818" s="76" t="s">
        <v>1877</v>
      </c>
      <c r="D818" s="143">
        <v>1</v>
      </c>
      <c r="E818" s="79"/>
      <c r="F818" s="113">
        <f t="shared" si="56"/>
        <v>1</v>
      </c>
      <c r="G818" s="112" t="s">
        <v>3617</v>
      </c>
      <c r="H818" s="120">
        <v>0</v>
      </c>
      <c r="I818" s="120" t="s">
        <v>3190</v>
      </c>
      <c r="J818" s="120" t="s">
        <v>772</v>
      </c>
      <c r="K818" s="112">
        <v>777400</v>
      </c>
      <c r="L818" s="113"/>
      <c r="M818" s="113">
        <v>393000</v>
      </c>
      <c r="N818" s="113"/>
      <c r="O818" s="113"/>
      <c r="P818" s="299">
        <f t="shared" si="57"/>
        <v>1170400</v>
      </c>
      <c r="Q818" s="299">
        <f t="shared" si="58"/>
        <v>1170400</v>
      </c>
      <c r="R818" s="299">
        <f t="shared" si="59"/>
        <v>1170400</v>
      </c>
      <c r="S818" s="112">
        <v>0</v>
      </c>
    </row>
    <row r="819" spans="1:19" ht="60">
      <c r="A819" s="79"/>
      <c r="B819" s="77" t="s">
        <v>1873</v>
      </c>
      <c r="C819" s="76" t="s">
        <v>1877</v>
      </c>
      <c r="D819" s="143">
        <v>0</v>
      </c>
      <c r="E819" s="79"/>
      <c r="F819" s="113">
        <f t="shared" si="56"/>
        <v>0</v>
      </c>
      <c r="G819" s="112" t="s">
        <v>3616</v>
      </c>
      <c r="H819" s="120">
        <v>0</v>
      </c>
      <c r="I819" s="120" t="s">
        <v>3190</v>
      </c>
      <c r="J819" s="120" t="s">
        <v>772</v>
      </c>
      <c r="K819" s="112">
        <v>623300</v>
      </c>
      <c r="L819" s="113"/>
      <c r="M819" s="113">
        <v>393000</v>
      </c>
      <c r="N819" s="113"/>
      <c r="O819" s="113"/>
      <c r="P819" s="299">
        <f t="shared" si="57"/>
        <v>1016300</v>
      </c>
      <c r="Q819" s="299">
        <f t="shared" si="58"/>
        <v>0</v>
      </c>
      <c r="R819" s="299">
        <f t="shared" si="59"/>
        <v>0</v>
      </c>
      <c r="S819" s="112">
        <v>0</v>
      </c>
    </row>
    <row r="820" spans="1:19" ht="60">
      <c r="A820" s="79"/>
      <c r="B820" s="77" t="s">
        <v>2106</v>
      </c>
      <c r="C820" s="76" t="s">
        <v>1877</v>
      </c>
      <c r="D820" s="143">
        <v>1</v>
      </c>
      <c r="E820" s="79"/>
      <c r="F820" s="113">
        <f t="shared" si="56"/>
        <v>1</v>
      </c>
      <c r="G820" s="112" t="s">
        <v>3615</v>
      </c>
      <c r="H820" s="120">
        <v>0</v>
      </c>
      <c r="I820" s="120" t="s">
        <v>3190</v>
      </c>
      <c r="J820" s="120" t="s">
        <v>772</v>
      </c>
      <c r="K820" s="112">
        <v>971700</v>
      </c>
      <c r="L820" s="113"/>
      <c r="M820" s="113">
        <v>393000</v>
      </c>
      <c r="N820" s="113"/>
      <c r="O820" s="113"/>
      <c r="P820" s="299">
        <f t="shared" si="57"/>
        <v>1364700</v>
      </c>
      <c r="Q820" s="299">
        <f t="shared" si="58"/>
        <v>1364700</v>
      </c>
      <c r="R820" s="299">
        <f t="shared" si="59"/>
        <v>1364700</v>
      </c>
      <c r="S820" s="112">
        <v>0</v>
      </c>
    </row>
    <row r="821" spans="1:19" ht="60">
      <c r="A821" s="79"/>
      <c r="B821" s="77" t="s">
        <v>1939</v>
      </c>
      <c r="C821" s="76" t="s">
        <v>1877</v>
      </c>
      <c r="D821" s="143">
        <v>1</v>
      </c>
      <c r="E821" s="79"/>
      <c r="F821" s="113">
        <f t="shared" si="56"/>
        <v>1</v>
      </c>
      <c r="G821" s="112" t="s">
        <v>3614</v>
      </c>
      <c r="H821" s="120">
        <v>0</v>
      </c>
      <c r="I821" s="120" t="s">
        <v>3190</v>
      </c>
      <c r="J821" s="120" t="s">
        <v>772</v>
      </c>
      <c r="K821" s="112">
        <v>816300</v>
      </c>
      <c r="L821" s="113"/>
      <c r="M821" s="113">
        <v>393000</v>
      </c>
      <c r="N821" s="113"/>
      <c r="O821" s="113"/>
      <c r="P821" s="299">
        <f t="shared" si="57"/>
        <v>1209300</v>
      </c>
      <c r="Q821" s="299">
        <f t="shared" si="58"/>
        <v>1209300</v>
      </c>
      <c r="R821" s="299">
        <f t="shared" si="59"/>
        <v>1209300</v>
      </c>
      <c r="S821" s="112">
        <v>0</v>
      </c>
    </row>
    <row r="822" spans="1:19" ht="60">
      <c r="A822" s="79"/>
      <c r="B822" s="77" t="s">
        <v>2401</v>
      </c>
      <c r="C822" s="76" t="s">
        <v>1877</v>
      </c>
      <c r="D822" s="143">
        <v>4</v>
      </c>
      <c r="E822" s="79"/>
      <c r="F822" s="113">
        <f t="shared" si="56"/>
        <v>4</v>
      </c>
      <c r="G822" s="112" t="s">
        <v>3613</v>
      </c>
      <c r="H822" s="120">
        <v>0</v>
      </c>
      <c r="I822" s="120" t="s">
        <v>3190</v>
      </c>
      <c r="J822" s="120" t="s">
        <v>772</v>
      </c>
      <c r="K822" s="112">
        <v>932800</v>
      </c>
      <c r="L822" s="113"/>
      <c r="M822" s="113">
        <v>393000</v>
      </c>
      <c r="N822" s="113"/>
      <c r="O822" s="113"/>
      <c r="P822" s="299">
        <f t="shared" si="57"/>
        <v>1325800</v>
      </c>
      <c r="Q822" s="299">
        <f t="shared" si="58"/>
        <v>5303200</v>
      </c>
      <c r="R822" s="299">
        <f t="shared" si="59"/>
        <v>5303200</v>
      </c>
      <c r="S822" s="112">
        <v>0</v>
      </c>
    </row>
    <row r="823" spans="1:19" ht="60">
      <c r="A823" s="79"/>
      <c r="B823" s="77" t="s">
        <v>2066</v>
      </c>
      <c r="C823" s="76" t="s">
        <v>1877</v>
      </c>
      <c r="D823" s="143">
        <v>2</v>
      </c>
      <c r="E823" s="79"/>
      <c r="F823" s="113">
        <f t="shared" si="56"/>
        <v>2</v>
      </c>
      <c r="G823" s="112" t="s">
        <v>3612</v>
      </c>
      <c r="H823" s="120">
        <v>0</v>
      </c>
      <c r="I823" s="120" t="s">
        <v>3190</v>
      </c>
      <c r="J823" s="120" t="s">
        <v>772</v>
      </c>
      <c r="K823" s="112">
        <v>1458200</v>
      </c>
      <c r="L823" s="113"/>
      <c r="M823" s="113">
        <v>432300</v>
      </c>
      <c r="N823" s="113"/>
      <c r="O823" s="113"/>
      <c r="P823" s="299">
        <f t="shared" si="57"/>
        <v>1890500</v>
      </c>
      <c r="Q823" s="299">
        <f t="shared" si="58"/>
        <v>3781000</v>
      </c>
      <c r="R823" s="299">
        <f t="shared" si="59"/>
        <v>3781000</v>
      </c>
      <c r="S823" s="112">
        <v>0</v>
      </c>
    </row>
    <row r="824" spans="1:19" ht="60">
      <c r="A824" s="79"/>
      <c r="B824" s="77" t="s">
        <v>2402</v>
      </c>
      <c r="C824" s="76" t="s">
        <v>1877</v>
      </c>
      <c r="D824" s="143">
        <v>1</v>
      </c>
      <c r="E824" s="79"/>
      <c r="F824" s="113">
        <f t="shared" si="56"/>
        <v>1</v>
      </c>
      <c r="G824" s="112" t="s">
        <v>3606</v>
      </c>
      <c r="H824" s="120">
        <v>0</v>
      </c>
      <c r="I824" s="120" t="s">
        <v>3190</v>
      </c>
      <c r="J824" s="120" t="s">
        <v>772</v>
      </c>
      <c r="K824" s="112">
        <v>2448500</v>
      </c>
      <c r="L824" s="113"/>
      <c r="M824" s="113">
        <v>1092200</v>
      </c>
      <c r="N824" s="113"/>
      <c r="O824" s="113"/>
      <c r="P824" s="299">
        <f t="shared" si="57"/>
        <v>3540700</v>
      </c>
      <c r="Q824" s="299">
        <f t="shared" si="58"/>
        <v>3540700</v>
      </c>
      <c r="R824" s="299">
        <f t="shared" si="59"/>
        <v>3540700</v>
      </c>
      <c r="S824" s="112">
        <v>0</v>
      </c>
    </row>
    <row r="825" spans="1:19" ht="60">
      <c r="A825" s="79"/>
      <c r="B825" s="77" t="s">
        <v>1878</v>
      </c>
      <c r="C825" s="76" t="s">
        <v>1877</v>
      </c>
      <c r="D825" s="143">
        <v>1</v>
      </c>
      <c r="E825" s="79"/>
      <c r="F825" s="113">
        <f t="shared" si="56"/>
        <v>1</v>
      </c>
      <c r="G825" s="112" t="s">
        <v>3611</v>
      </c>
      <c r="H825" s="120">
        <v>0</v>
      </c>
      <c r="I825" s="120" t="s">
        <v>3190</v>
      </c>
      <c r="J825" s="120" t="s">
        <v>772</v>
      </c>
      <c r="K825" s="112">
        <v>1225100</v>
      </c>
      <c r="L825" s="113"/>
      <c r="M825" s="113">
        <v>619700</v>
      </c>
      <c r="N825" s="113"/>
      <c r="O825" s="113"/>
      <c r="P825" s="299">
        <f t="shared" si="57"/>
        <v>1844800</v>
      </c>
      <c r="Q825" s="299">
        <f t="shared" si="58"/>
        <v>1844800</v>
      </c>
      <c r="R825" s="299">
        <f t="shared" si="59"/>
        <v>1844800</v>
      </c>
      <c r="S825" s="112">
        <v>0</v>
      </c>
    </row>
    <row r="826" spans="1:19" ht="60">
      <c r="A826" s="79"/>
      <c r="B826" s="77" t="s">
        <v>2403</v>
      </c>
      <c r="C826" s="76" t="s">
        <v>1877</v>
      </c>
      <c r="D826" s="143">
        <v>4</v>
      </c>
      <c r="E826" s="79"/>
      <c r="F826" s="113">
        <f t="shared" si="56"/>
        <v>4</v>
      </c>
      <c r="G826" s="112" t="s">
        <v>3610</v>
      </c>
      <c r="H826" s="120">
        <v>0</v>
      </c>
      <c r="I826" s="120" t="s">
        <v>3190</v>
      </c>
      <c r="J826" s="120" t="s">
        <v>772</v>
      </c>
      <c r="K826" s="112">
        <v>1360300</v>
      </c>
      <c r="L826" s="113"/>
      <c r="M826" s="113">
        <v>619700</v>
      </c>
      <c r="N826" s="113"/>
      <c r="O826" s="113"/>
      <c r="P826" s="299">
        <f t="shared" si="57"/>
        <v>1980000</v>
      </c>
      <c r="Q826" s="299">
        <f t="shared" si="58"/>
        <v>7920000</v>
      </c>
      <c r="R826" s="299">
        <f t="shared" si="59"/>
        <v>7920000</v>
      </c>
      <c r="S826" s="112">
        <v>0</v>
      </c>
    </row>
    <row r="827" spans="1:19" ht="60">
      <c r="A827" s="79"/>
      <c r="B827" s="77" t="s">
        <v>2148</v>
      </c>
      <c r="C827" s="76" t="s">
        <v>1877</v>
      </c>
      <c r="D827" s="143">
        <v>2</v>
      </c>
      <c r="E827" s="79"/>
      <c r="F827" s="113">
        <f t="shared" si="56"/>
        <v>2</v>
      </c>
      <c r="G827" s="112" t="s">
        <v>3609</v>
      </c>
      <c r="H827" s="120">
        <v>0</v>
      </c>
      <c r="I827" s="120" t="s">
        <v>3190</v>
      </c>
      <c r="J827" s="120" t="s">
        <v>772</v>
      </c>
      <c r="K827" s="112">
        <v>1943300</v>
      </c>
      <c r="L827" s="113"/>
      <c r="M827" s="113">
        <v>619700</v>
      </c>
      <c r="N827" s="113"/>
      <c r="O827" s="113"/>
      <c r="P827" s="299">
        <f t="shared" si="57"/>
        <v>2563000</v>
      </c>
      <c r="Q827" s="299">
        <f t="shared" si="58"/>
        <v>5126000</v>
      </c>
      <c r="R827" s="299">
        <f t="shared" si="59"/>
        <v>5126000</v>
      </c>
      <c r="S827" s="112">
        <v>0</v>
      </c>
    </row>
    <row r="828" spans="1:19" ht="60">
      <c r="A828" s="79"/>
      <c r="B828" s="77" t="s">
        <v>2404</v>
      </c>
      <c r="C828" s="76" t="s">
        <v>1877</v>
      </c>
      <c r="D828" s="143">
        <v>1</v>
      </c>
      <c r="E828" s="79"/>
      <c r="F828" s="113">
        <f t="shared" si="56"/>
        <v>1</v>
      </c>
      <c r="G828" s="112" t="s">
        <v>3608</v>
      </c>
      <c r="H828" s="120">
        <v>0</v>
      </c>
      <c r="I828" s="120" t="s">
        <v>3190</v>
      </c>
      <c r="J828" s="120" t="s">
        <v>772</v>
      </c>
      <c r="K828" s="112">
        <v>2041200</v>
      </c>
      <c r="L828" s="113"/>
      <c r="M828" s="113">
        <v>917900</v>
      </c>
      <c r="N828" s="113"/>
      <c r="O828" s="113"/>
      <c r="P828" s="299">
        <f t="shared" si="57"/>
        <v>2959100</v>
      </c>
      <c r="Q828" s="299">
        <f t="shared" si="58"/>
        <v>2959100</v>
      </c>
      <c r="R828" s="299">
        <f t="shared" si="59"/>
        <v>2959100</v>
      </c>
      <c r="S828" s="112">
        <v>0</v>
      </c>
    </row>
    <row r="829" spans="1:19" ht="60">
      <c r="A829" s="76"/>
      <c r="B829" s="77" t="s">
        <v>2405</v>
      </c>
      <c r="C829" s="76" t="s">
        <v>1877</v>
      </c>
      <c r="D829" s="143">
        <v>1</v>
      </c>
      <c r="E829" s="76"/>
      <c r="F829" s="113">
        <f t="shared" si="56"/>
        <v>1</v>
      </c>
      <c r="G829" s="112" t="s">
        <v>3607</v>
      </c>
      <c r="H829" s="120">
        <v>0</v>
      </c>
      <c r="I829" s="120" t="s">
        <v>3190</v>
      </c>
      <c r="J829" s="120" t="s">
        <v>772</v>
      </c>
      <c r="K829" s="112">
        <v>2244100</v>
      </c>
      <c r="L829" s="113"/>
      <c r="M829" s="113">
        <v>1077100</v>
      </c>
      <c r="N829" s="113"/>
      <c r="O829" s="113"/>
      <c r="P829" s="299">
        <f t="shared" si="57"/>
        <v>3321200</v>
      </c>
      <c r="Q829" s="299">
        <f t="shared" si="58"/>
        <v>3321200</v>
      </c>
      <c r="R829" s="299">
        <f t="shared" si="59"/>
        <v>3321200</v>
      </c>
      <c r="S829" s="112">
        <v>0</v>
      </c>
    </row>
    <row r="830" spans="1:19" ht="60">
      <c r="A830" s="79"/>
      <c r="B830" s="77" t="s">
        <v>2402</v>
      </c>
      <c r="C830" s="76" t="s">
        <v>1877</v>
      </c>
      <c r="D830" s="143">
        <v>1</v>
      </c>
      <c r="E830" s="79"/>
      <c r="F830" s="113">
        <f t="shared" si="56"/>
        <v>1</v>
      </c>
      <c r="G830" s="112" t="s">
        <v>3606</v>
      </c>
      <c r="H830" s="120">
        <v>0</v>
      </c>
      <c r="I830" s="120" t="s">
        <v>3190</v>
      </c>
      <c r="J830" s="120" t="s">
        <v>772</v>
      </c>
      <c r="K830" s="112">
        <v>2448500</v>
      </c>
      <c r="L830" s="113"/>
      <c r="M830" s="113">
        <v>1092200</v>
      </c>
      <c r="N830" s="113"/>
      <c r="O830" s="113"/>
      <c r="P830" s="299">
        <f t="shared" si="57"/>
        <v>3540700</v>
      </c>
      <c r="Q830" s="299">
        <f t="shared" si="58"/>
        <v>3540700</v>
      </c>
      <c r="R830" s="299">
        <f t="shared" si="59"/>
        <v>3540700</v>
      </c>
      <c r="S830" s="112">
        <v>0</v>
      </c>
    </row>
    <row r="831" spans="1:19" ht="60">
      <c r="A831" s="79"/>
      <c r="B831" s="77" t="s">
        <v>2406</v>
      </c>
      <c r="C831" s="76" t="s">
        <v>1877</v>
      </c>
      <c r="D831" s="143">
        <v>2</v>
      </c>
      <c r="E831" s="79"/>
      <c r="F831" s="113">
        <f t="shared" si="56"/>
        <v>2</v>
      </c>
      <c r="G831" s="112" t="s">
        <v>3605</v>
      </c>
      <c r="H831" s="120">
        <v>0</v>
      </c>
      <c r="I831" s="120" t="s">
        <v>3190</v>
      </c>
      <c r="J831" s="120" t="s">
        <v>772</v>
      </c>
      <c r="K831" s="112">
        <v>4896900</v>
      </c>
      <c r="L831" s="113"/>
      <c r="M831" s="113">
        <v>2184300</v>
      </c>
      <c r="N831" s="113"/>
      <c r="O831" s="113"/>
      <c r="P831" s="299">
        <f t="shared" si="57"/>
        <v>7081200</v>
      </c>
      <c r="Q831" s="299">
        <f t="shared" si="58"/>
        <v>14162400</v>
      </c>
      <c r="R831" s="299">
        <f t="shared" si="59"/>
        <v>14162400</v>
      </c>
      <c r="S831" s="112">
        <v>0</v>
      </c>
    </row>
    <row r="832" spans="1:19" ht="60">
      <c r="A832" s="79"/>
      <c r="B832" s="77" t="s">
        <v>2407</v>
      </c>
      <c r="C832" s="76" t="s">
        <v>1877</v>
      </c>
      <c r="D832" s="143">
        <v>1</v>
      </c>
      <c r="E832" s="79"/>
      <c r="F832" s="113">
        <f t="shared" si="56"/>
        <v>1</v>
      </c>
      <c r="G832" s="112" t="s">
        <v>3604</v>
      </c>
      <c r="H832" s="120">
        <v>0</v>
      </c>
      <c r="I832" s="120" t="s">
        <v>3190</v>
      </c>
      <c r="J832" s="120" t="s">
        <v>772</v>
      </c>
      <c r="K832" s="112">
        <v>3886500</v>
      </c>
      <c r="L832" s="113"/>
      <c r="M832" s="113">
        <v>1239300</v>
      </c>
      <c r="N832" s="113"/>
      <c r="O832" s="113"/>
      <c r="P832" s="299">
        <f t="shared" si="57"/>
        <v>5125800</v>
      </c>
      <c r="Q832" s="299">
        <f t="shared" si="58"/>
        <v>5125800</v>
      </c>
      <c r="R832" s="299">
        <f t="shared" si="59"/>
        <v>5125800</v>
      </c>
      <c r="S832" s="112">
        <v>0</v>
      </c>
    </row>
    <row r="833" spans="1:19" ht="60">
      <c r="A833" s="79"/>
      <c r="B833" s="77" t="s">
        <v>2408</v>
      </c>
      <c r="C833" s="76" t="s">
        <v>1877</v>
      </c>
      <c r="D833" s="143">
        <v>1</v>
      </c>
      <c r="E833" s="79"/>
      <c r="F833" s="113">
        <f t="shared" si="56"/>
        <v>1</v>
      </c>
      <c r="G833" s="112" t="s">
        <v>3603</v>
      </c>
      <c r="H833" s="120">
        <v>0</v>
      </c>
      <c r="I833" s="120" t="s">
        <v>3190</v>
      </c>
      <c r="J833" s="120" t="s">
        <v>772</v>
      </c>
      <c r="K833" s="112">
        <v>6121800</v>
      </c>
      <c r="L833" s="113"/>
      <c r="M833" s="113">
        <v>1512300</v>
      </c>
      <c r="N833" s="113"/>
      <c r="O833" s="113"/>
      <c r="P833" s="299">
        <f t="shared" si="57"/>
        <v>7634100</v>
      </c>
      <c r="Q833" s="299">
        <f t="shared" si="58"/>
        <v>7634100</v>
      </c>
      <c r="R833" s="299">
        <f t="shared" si="59"/>
        <v>7634100</v>
      </c>
      <c r="S833" s="112">
        <v>0</v>
      </c>
    </row>
    <row r="834" spans="1:19" ht="60">
      <c r="A834" s="88"/>
      <c r="B834" s="87" t="s">
        <v>2129</v>
      </c>
      <c r="C834" s="88" t="s">
        <v>1877</v>
      </c>
      <c r="D834" s="147">
        <v>1</v>
      </c>
      <c r="E834" s="87"/>
      <c r="F834" s="113">
        <f t="shared" si="56"/>
        <v>1</v>
      </c>
      <c r="G834" s="112" t="s">
        <v>3590</v>
      </c>
      <c r="H834" s="120">
        <v>0</v>
      </c>
      <c r="I834" s="120" t="s">
        <v>3190</v>
      </c>
      <c r="J834" s="120" t="s">
        <v>772</v>
      </c>
      <c r="K834" s="112">
        <v>292300</v>
      </c>
      <c r="L834" s="113"/>
      <c r="M834" s="113">
        <v>174300</v>
      </c>
      <c r="N834" s="113"/>
      <c r="O834" s="113"/>
      <c r="P834" s="299">
        <f t="shared" si="57"/>
        <v>466600</v>
      </c>
      <c r="Q834" s="299">
        <f t="shared" si="58"/>
        <v>466600</v>
      </c>
      <c r="R834" s="299">
        <f t="shared" si="59"/>
        <v>466600</v>
      </c>
      <c r="S834" s="112">
        <v>0</v>
      </c>
    </row>
    <row r="835" spans="1:19">
      <c r="A835" s="90">
        <v>1.8</v>
      </c>
      <c r="B835" s="91" t="s">
        <v>2409</v>
      </c>
      <c r="C835" s="88"/>
      <c r="D835" s="147"/>
      <c r="E835" s="87"/>
      <c r="F835" s="113">
        <f t="shared" si="56"/>
        <v>0</v>
      </c>
      <c r="G835" s="112">
        <v>0</v>
      </c>
      <c r="H835" s="120">
        <v>0</v>
      </c>
      <c r="I835" s="120">
        <v>0</v>
      </c>
      <c r="J835" s="120">
        <v>0</v>
      </c>
      <c r="K835" s="112">
        <v>0</v>
      </c>
      <c r="L835" s="113"/>
      <c r="M835" s="113">
        <v>0</v>
      </c>
      <c r="N835" s="113"/>
      <c r="O835" s="113"/>
      <c r="P835" s="299">
        <f t="shared" si="57"/>
        <v>0</v>
      </c>
      <c r="Q835" s="299">
        <f t="shared" si="58"/>
        <v>0</v>
      </c>
      <c r="R835" s="299">
        <f t="shared" si="59"/>
        <v>0</v>
      </c>
      <c r="S835" s="112">
        <v>0</v>
      </c>
    </row>
    <row r="836" spans="1:19">
      <c r="A836" s="88"/>
      <c r="B836" s="87" t="s">
        <v>2219</v>
      </c>
      <c r="C836" s="88" t="s">
        <v>1877</v>
      </c>
      <c r="D836" s="147">
        <v>1</v>
      </c>
      <c r="E836" s="87"/>
      <c r="F836" s="113">
        <f t="shared" si="56"/>
        <v>1</v>
      </c>
      <c r="G836" s="112">
        <v>0</v>
      </c>
      <c r="H836" s="120" t="s">
        <v>3360</v>
      </c>
      <c r="I836" s="120" t="s">
        <v>3479</v>
      </c>
      <c r="J836" s="120" t="s">
        <v>772</v>
      </c>
      <c r="K836" s="112">
        <v>183200</v>
      </c>
      <c r="L836" s="113"/>
      <c r="M836" s="113">
        <v>75800</v>
      </c>
      <c r="N836" s="113"/>
      <c r="O836" s="113"/>
      <c r="P836" s="299">
        <f t="shared" si="57"/>
        <v>259000</v>
      </c>
      <c r="Q836" s="299">
        <f t="shared" si="58"/>
        <v>259000</v>
      </c>
      <c r="R836" s="299">
        <f t="shared" si="59"/>
        <v>259000</v>
      </c>
      <c r="S836" s="112">
        <v>0</v>
      </c>
    </row>
    <row r="837" spans="1:19">
      <c r="A837" s="88"/>
      <c r="B837" s="87" t="s">
        <v>2220</v>
      </c>
      <c r="C837" s="88" t="s">
        <v>1877</v>
      </c>
      <c r="D837" s="147">
        <v>3</v>
      </c>
      <c r="E837" s="87"/>
      <c r="F837" s="113">
        <f t="shared" si="56"/>
        <v>3</v>
      </c>
      <c r="G837" s="112">
        <v>0</v>
      </c>
      <c r="H837" s="120" t="s">
        <v>3360</v>
      </c>
      <c r="I837" s="120" t="s">
        <v>3479</v>
      </c>
      <c r="J837" s="120" t="s">
        <v>772</v>
      </c>
      <c r="K837" s="112">
        <v>196100</v>
      </c>
      <c r="L837" s="113"/>
      <c r="M837" s="113">
        <v>83900</v>
      </c>
      <c r="N837" s="113"/>
      <c r="O837" s="113"/>
      <c r="P837" s="299">
        <f t="shared" si="57"/>
        <v>280000</v>
      </c>
      <c r="Q837" s="299">
        <f t="shared" si="58"/>
        <v>840000</v>
      </c>
      <c r="R837" s="299">
        <f t="shared" si="59"/>
        <v>840000</v>
      </c>
      <c r="S837" s="112">
        <v>0</v>
      </c>
    </row>
    <row r="838" spans="1:19">
      <c r="A838" s="88"/>
      <c r="B838" s="87" t="s">
        <v>2224</v>
      </c>
      <c r="C838" s="88" t="s">
        <v>1877</v>
      </c>
      <c r="D838" s="147">
        <v>2</v>
      </c>
      <c r="E838" s="87"/>
      <c r="F838" s="113">
        <f t="shared" si="56"/>
        <v>2</v>
      </c>
      <c r="G838" s="112">
        <v>0</v>
      </c>
      <c r="H838" s="120" t="s">
        <v>3193</v>
      </c>
      <c r="I838" s="120" t="s">
        <v>3479</v>
      </c>
      <c r="J838" s="120" t="s">
        <v>772</v>
      </c>
      <c r="K838" s="112">
        <v>276900</v>
      </c>
      <c r="L838" s="113"/>
      <c r="M838" s="113">
        <v>119300</v>
      </c>
      <c r="N838" s="113"/>
      <c r="O838" s="113"/>
      <c r="P838" s="299">
        <f t="shared" si="57"/>
        <v>396200</v>
      </c>
      <c r="Q838" s="299">
        <f t="shared" si="58"/>
        <v>792400</v>
      </c>
      <c r="R838" s="299">
        <f t="shared" si="59"/>
        <v>792400</v>
      </c>
      <c r="S838" s="112">
        <v>0</v>
      </c>
    </row>
    <row r="839" spans="1:19">
      <c r="A839" s="88"/>
      <c r="B839" s="87" t="s">
        <v>2410</v>
      </c>
      <c r="C839" s="88" t="s">
        <v>1877</v>
      </c>
      <c r="D839" s="147">
        <v>1</v>
      </c>
      <c r="E839" s="87"/>
      <c r="F839" s="113">
        <f t="shared" si="56"/>
        <v>1</v>
      </c>
      <c r="G839" s="112">
        <v>0</v>
      </c>
      <c r="H839" s="120" t="s">
        <v>3193</v>
      </c>
      <c r="I839" s="120" t="s">
        <v>3479</v>
      </c>
      <c r="J839" s="120" t="s">
        <v>772</v>
      </c>
      <c r="K839" s="112">
        <v>371500</v>
      </c>
      <c r="L839" s="113"/>
      <c r="M839" s="113">
        <v>171500</v>
      </c>
      <c r="N839" s="113"/>
      <c r="O839" s="113"/>
      <c r="P839" s="299">
        <f t="shared" si="57"/>
        <v>543000</v>
      </c>
      <c r="Q839" s="299">
        <f t="shared" si="58"/>
        <v>543000</v>
      </c>
      <c r="R839" s="299">
        <f t="shared" si="59"/>
        <v>543000</v>
      </c>
      <c r="S839" s="112">
        <v>0</v>
      </c>
    </row>
    <row r="840" spans="1:19">
      <c r="A840" s="88"/>
      <c r="B840" s="87" t="s">
        <v>2411</v>
      </c>
      <c r="C840" s="88" t="s">
        <v>1877</v>
      </c>
      <c r="D840" s="147">
        <v>1</v>
      </c>
      <c r="E840" s="87"/>
      <c r="F840" s="113">
        <f t="shared" ref="F840:F902" si="60">D840</f>
        <v>1</v>
      </c>
      <c r="G840" s="112">
        <v>0</v>
      </c>
      <c r="H840" s="120" t="s">
        <v>3189</v>
      </c>
      <c r="I840" s="120" t="s">
        <v>3479</v>
      </c>
      <c r="J840" s="120" t="s">
        <v>772</v>
      </c>
      <c r="K840" s="112">
        <v>525100</v>
      </c>
      <c r="L840" s="113"/>
      <c r="M840" s="113">
        <v>213900</v>
      </c>
      <c r="N840" s="113"/>
      <c r="O840" s="113"/>
      <c r="P840" s="299">
        <f t="shared" ref="P840:P902" si="61">K840+L840+M840+N840+O840</f>
        <v>739000</v>
      </c>
      <c r="Q840" s="299">
        <f t="shared" ref="Q840:Q902" si="62">+P840*D840</f>
        <v>739000</v>
      </c>
      <c r="R840" s="299">
        <f t="shared" ref="R840:R902" si="63">+P840*F840</f>
        <v>739000</v>
      </c>
      <c r="S840" s="112">
        <v>0</v>
      </c>
    </row>
    <row r="841" spans="1:19">
      <c r="A841" s="88"/>
      <c r="B841" s="87" t="s">
        <v>2412</v>
      </c>
      <c r="C841" s="88" t="s">
        <v>1877</v>
      </c>
      <c r="D841" s="147">
        <v>1</v>
      </c>
      <c r="E841" s="87"/>
      <c r="F841" s="113">
        <f t="shared" si="60"/>
        <v>1</v>
      </c>
      <c r="G841" s="112">
        <v>0</v>
      </c>
      <c r="H841" s="120" t="s">
        <v>3189</v>
      </c>
      <c r="I841" s="120" t="s">
        <v>3479</v>
      </c>
      <c r="J841" s="120" t="s">
        <v>772</v>
      </c>
      <c r="K841" s="112">
        <v>501200</v>
      </c>
      <c r="L841" s="113"/>
      <c r="M841" s="113">
        <v>202300</v>
      </c>
      <c r="N841" s="113"/>
      <c r="O841" s="113"/>
      <c r="P841" s="299">
        <f t="shared" si="61"/>
        <v>703500</v>
      </c>
      <c r="Q841" s="299">
        <f t="shared" si="62"/>
        <v>703500</v>
      </c>
      <c r="R841" s="299">
        <f t="shared" si="63"/>
        <v>703500</v>
      </c>
      <c r="S841" s="112">
        <v>0</v>
      </c>
    </row>
    <row r="842" spans="1:19">
      <c r="A842" s="88"/>
      <c r="B842" s="87" t="s">
        <v>2234</v>
      </c>
      <c r="C842" s="88" t="s">
        <v>1877</v>
      </c>
      <c r="D842" s="147">
        <v>1</v>
      </c>
      <c r="E842" s="87"/>
      <c r="F842" s="113">
        <f t="shared" si="60"/>
        <v>1</v>
      </c>
      <c r="G842" s="112">
        <v>0</v>
      </c>
      <c r="H842" s="120" t="s">
        <v>3189</v>
      </c>
      <c r="I842" s="120" t="s">
        <v>3479</v>
      </c>
      <c r="J842" s="120" t="s">
        <v>772</v>
      </c>
      <c r="K842" s="112">
        <v>533000</v>
      </c>
      <c r="L842" s="113"/>
      <c r="M842" s="113">
        <v>217800</v>
      </c>
      <c r="N842" s="113"/>
      <c r="O842" s="113"/>
      <c r="P842" s="299">
        <f t="shared" si="61"/>
        <v>750800</v>
      </c>
      <c r="Q842" s="299">
        <f t="shared" si="62"/>
        <v>750800</v>
      </c>
      <c r="R842" s="299">
        <f t="shared" si="63"/>
        <v>750800</v>
      </c>
      <c r="S842" s="112">
        <v>0</v>
      </c>
    </row>
    <row r="843" spans="1:19">
      <c r="A843" s="88"/>
      <c r="B843" s="87" t="s">
        <v>2413</v>
      </c>
      <c r="C843" s="88" t="s">
        <v>1877</v>
      </c>
      <c r="D843" s="147">
        <v>1</v>
      </c>
      <c r="E843" s="87"/>
      <c r="F843" s="113">
        <f t="shared" si="60"/>
        <v>1</v>
      </c>
      <c r="G843" s="112">
        <v>0</v>
      </c>
      <c r="H843" s="120" t="s">
        <v>3205</v>
      </c>
      <c r="I843" s="120" t="s">
        <v>3479</v>
      </c>
      <c r="J843" s="120" t="s">
        <v>772</v>
      </c>
      <c r="K843" s="112">
        <v>827500</v>
      </c>
      <c r="L843" s="113"/>
      <c r="M843" s="113">
        <v>312400</v>
      </c>
      <c r="N843" s="113"/>
      <c r="O843" s="113"/>
      <c r="P843" s="299">
        <f t="shared" si="61"/>
        <v>1139900</v>
      </c>
      <c r="Q843" s="299">
        <f t="shared" si="62"/>
        <v>1139900</v>
      </c>
      <c r="R843" s="299">
        <f t="shared" si="63"/>
        <v>1139900</v>
      </c>
      <c r="S843" s="112">
        <v>0</v>
      </c>
    </row>
    <row r="844" spans="1:19">
      <c r="A844" s="88"/>
      <c r="B844" s="87" t="s">
        <v>2173</v>
      </c>
      <c r="C844" s="88" t="s">
        <v>1877</v>
      </c>
      <c r="D844" s="147">
        <v>1</v>
      </c>
      <c r="E844" s="87"/>
      <c r="F844" s="113">
        <f t="shared" si="60"/>
        <v>1</v>
      </c>
      <c r="G844" s="112">
        <v>0</v>
      </c>
      <c r="H844" s="120" t="s">
        <v>3205</v>
      </c>
      <c r="I844" s="120" t="s">
        <v>3479</v>
      </c>
      <c r="J844" s="120" t="s">
        <v>772</v>
      </c>
      <c r="K844" s="112">
        <v>827500</v>
      </c>
      <c r="L844" s="113"/>
      <c r="M844" s="113">
        <v>300300</v>
      </c>
      <c r="N844" s="113"/>
      <c r="O844" s="113"/>
      <c r="P844" s="299">
        <f t="shared" si="61"/>
        <v>1127800</v>
      </c>
      <c r="Q844" s="299">
        <f t="shared" si="62"/>
        <v>1127800</v>
      </c>
      <c r="R844" s="299">
        <f t="shared" si="63"/>
        <v>1127800</v>
      </c>
      <c r="S844" s="112">
        <v>0</v>
      </c>
    </row>
    <row r="845" spans="1:19">
      <c r="A845" s="88"/>
      <c r="B845" s="87" t="s">
        <v>2414</v>
      </c>
      <c r="C845" s="88" t="s">
        <v>1877</v>
      </c>
      <c r="D845" s="147">
        <v>4</v>
      </c>
      <c r="E845" s="87"/>
      <c r="F845" s="113">
        <f t="shared" si="60"/>
        <v>4</v>
      </c>
      <c r="G845" s="112">
        <v>0</v>
      </c>
      <c r="H845" s="120" t="s">
        <v>3205</v>
      </c>
      <c r="I845" s="120" t="s">
        <v>3479</v>
      </c>
      <c r="J845" s="120" t="s">
        <v>772</v>
      </c>
      <c r="K845" s="112">
        <v>896400</v>
      </c>
      <c r="L845" s="113"/>
      <c r="M845" s="113">
        <v>330500</v>
      </c>
      <c r="N845" s="113"/>
      <c r="O845" s="113"/>
      <c r="P845" s="299">
        <f t="shared" si="61"/>
        <v>1226900</v>
      </c>
      <c r="Q845" s="299">
        <f t="shared" si="62"/>
        <v>4907600</v>
      </c>
      <c r="R845" s="299">
        <f t="shared" si="63"/>
        <v>4907600</v>
      </c>
      <c r="S845" s="112">
        <v>0</v>
      </c>
    </row>
    <row r="846" spans="1:19">
      <c r="A846" s="88"/>
      <c r="B846" s="87" t="s">
        <v>2415</v>
      </c>
      <c r="C846" s="88" t="s">
        <v>1877</v>
      </c>
      <c r="D846" s="147">
        <v>2</v>
      </c>
      <c r="E846" s="87"/>
      <c r="F846" s="113">
        <f t="shared" si="60"/>
        <v>2</v>
      </c>
      <c r="G846" s="112">
        <v>0</v>
      </c>
      <c r="H846" s="120" t="s">
        <v>3205</v>
      </c>
      <c r="I846" s="120" t="s">
        <v>3479</v>
      </c>
      <c r="J846" s="120" t="s">
        <v>772</v>
      </c>
      <c r="K846" s="112">
        <v>1061600</v>
      </c>
      <c r="L846" s="113"/>
      <c r="M846" s="113">
        <v>403000</v>
      </c>
      <c r="N846" s="113"/>
      <c r="O846" s="113"/>
      <c r="P846" s="299">
        <f t="shared" si="61"/>
        <v>1464600</v>
      </c>
      <c r="Q846" s="299">
        <f t="shared" si="62"/>
        <v>2929200</v>
      </c>
      <c r="R846" s="299">
        <f t="shared" si="63"/>
        <v>2929200</v>
      </c>
      <c r="S846" s="112">
        <v>0</v>
      </c>
    </row>
    <row r="847" spans="1:19">
      <c r="A847" s="88"/>
      <c r="B847" s="87" t="s">
        <v>2416</v>
      </c>
      <c r="C847" s="88" t="s">
        <v>1877</v>
      </c>
      <c r="D847" s="147">
        <v>1</v>
      </c>
      <c r="E847" s="87"/>
      <c r="F847" s="113">
        <f t="shared" si="60"/>
        <v>1</v>
      </c>
      <c r="G847" s="112">
        <v>0</v>
      </c>
      <c r="H847" s="120" t="s">
        <v>3205</v>
      </c>
      <c r="I847" s="120" t="s">
        <v>3479</v>
      </c>
      <c r="J847" s="120" t="s">
        <v>772</v>
      </c>
      <c r="K847" s="112">
        <v>1449600</v>
      </c>
      <c r="L847" s="113"/>
      <c r="M847" s="113">
        <v>549100</v>
      </c>
      <c r="N847" s="113"/>
      <c r="O847" s="113"/>
      <c r="P847" s="299">
        <f t="shared" si="61"/>
        <v>1998700</v>
      </c>
      <c r="Q847" s="299">
        <f t="shared" si="62"/>
        <v>1998700</v>
      </c>
      <c r="R847" s="299">
        <f t="shared" si="63"/>
        <v>1998700</v>
      </c>
      <c r="S847" s="112">
        <v>0</v>
      </c>
    </row>
    <row r="848" spans="1:19">
      <c r="A848" s="88"/>
      <c r="B848" s="87" t="s">
        <v>2417</v>
      </c>
      <c r="C848" s="88" t="s">
        <v>1877</v>
      </c>
      <c r="D848" s="147">
        <v>1</v>
      </c>
      <c r="E848" s="87"/>
      <c r="F848" s="113">
        <f t="shared" si="60"/>
        <v>1</v>
      </c>
      <c r="G848" s="112">
        <v>0</v>
      </c>
      <c r="H848" s="120" t="s">
        <v>3205</v>
      </c>
      <c r="I848" s="120" t="s">
        <v>3479</v>
      </c>
      <c r="J848" s="120" t="s">
        <v>772</v>
      </c>
      <c r="K848" s="112">
        <v>1566700</v>
      </c>
      <c r="L848" s="113"/>
      <c r="M848" s="113">
        <v>600500</v>
      </c>
      <c r="N848" s="113"/>
      <c r="O848" s="113"/>
      <c r="P848" s="299">
        <f t="shared" si="61"/>
        <v>2167200</v>
      </c>
      <c r="Q848" s="299">
        <f t="shared" si="62"/>
        <v>2167200</v>
      </c>
      <c r="R848" s="299">
        <f t="shared" si="63"/>
        <v>2167200</v>
      </c>
      <c r="S848" s="112">
        <v>0</v>
      </c>
    </row>
    <row r="849" spans="1:19">
      <c r="A849" s="88"/>
      <c r="B849" s="87" t="s">
        <v>2418</v>
      </c>
      <c r="C849" s="88" t="s">
        <v>1877</v>
      </c>
      <c r="D849" s="147">
        <v>1</v>
      </c>
      <c r="E849" s="87"/>
      <c r="F849" s="113">
        <f t="shared" si="60"/>
        <v>1</v>
      </c>
      <c r="G849" s="112">
        <v>0</v>
      </c>
      <c r="H849" s="120" t="s">
        <v>3205</v>
      </c>
      <c r="I849" s="120" t="s">
        <v>3479</v>
      </c>
      <c r="J849" s="120" t="s">
        <v>772</v>
      </c>
      <c r="K849" s="112">
        <v>1683800</v>
      </c>
      <c r="L849" s="113"/>
      <c r="M849" s="113">
        <v>651900</v>
      </c>
      <c r="N849" s="113"/>
      <c r="O849" s="113"/>
      <c r="P849" s="299">
        <f t="shared" si="61"/>
        <v>2335700</v>
      </c>
      <c r="Q849" s="299">
        <f t="shared" si="62"/>
        <v>2335700</v>
      </c>
      <c r="R849" s="299">
        <f t="shared" si="63"/>
        <v>2335700</v>
      </c>
      <c r="S849" s="112">
        <v>0</v>
      </c>
    </row>
    <row r="850" spans="1:19">
      <c r="A850" s="88"/>
      <c r="B850" s="87" t="s">
        <v>2419</v>
      </c>
      <c r="C850" s="88" t="s">
        <v>1877</v>
      </c>
      <c r="D850" s="147">
        <v>1</v>
      </c>
      <c r="E850" s="87"/>
      <c r="F850" s="113">
        <f t="shared" si="60"/>
        <v>1</v>
      </c>
      <c r="G850" s="112">
        <v>0</v>
      </c>
      <c r="H850" s="120" t="s">
        <v>3205</v>
      </c>
      <c r="I850" s="120" t="s">
        <v>3479</v>
      </c>
      <c r="J850" s="120" t="s">
        <v>772</v>
      </c>
      <c r="K850" s="112">
        <v>2356400</v>
      </c>
      <c r="L850" s="113"/>
      <c r="M850" s="113">
        <v>947100</v>
      </c>
      <c r="N850" s="113"/>
      <c r="O850" s="113"/>
      <c r="P850" s="299">
        <f t="shared" si="61"/>
        <v>3303500</v>
      </c>
      <c r="Q850" s="299">
        <f t="shared" si="62"/>
        <v>3303500</v>
      </c>
      <c r="R850" s="299">
        <f t="shared" si="63"/>
        <v>3303500</v>
      </c>
      <c r="S850" s="112">
        <v>0</v>
      </c>
    </row>
    <row r="851" spans="1:19">
      <c r="A851" s="88"/>
      <c r="B851" s="87" t="s">
        <v>2420</v>
      </c>
      <c r="C851" s="88" t="s">
        <v>1877</v>
      </c>
      <c r="D851" s="147">
        <v>1</v>
      </c>
      <c r="E851" s="87"/>
      <c r="F851" s="113">
        <f t="shared" si="60"/>
        <v>1</v>
      </c>
      <c r="G851" s="112">
        <v>0</v>
      </c>
      <c r="H851" s="120" t="s">
        <v>3205</v>
      </c>
      <c r="I851" s="120" t="s">
        <v>3479</v>
      </c>
      <c r="J851" s="120" t="s">
        <v>772</v>
      </c>
      <c r="K851" s="112">
        <v>3628600</v>
      </c>
      <c r="L851" s="113"/>
      <c r="M851" s="113">
        <v>1263500</v>
      </c>
      <c r="N851" s="113"/>
      <c r="O851" s="113"/>
      <c r="P851" s="299">
        <f t="shared" si="61"/>
        <v>4892100</v>
      </c>
      <c r="Q851" s="299">
        <f t="shared" si="62"/>
        <v>4892100</v>
      </c>
      <c r="R851" s="299">
        <f t="shared" si="63"/>
        <v>4892100</v>
      </c>
      <c r="S851" s="112">
        <v>0</v>
      </c>
    </row>
    <row r="852" spans="1:19">
      <c r="A852" s="88"/>
      <c r="B852" s="87" t="s">
        <v>2421</v>
      </c>
      <c r="C852" s="88" t="s">
        <v>1877</v>
      </c>
      <c r="D852" s="147">
        <v>2</v>
      </c>
      <c r="E852" s="87"/>
      <c r="F852" s="113">
        <f t="shared" si="60"/>
        <v>2</v>
      </c>
      <c r="G852" s="112">
        <v>0</v>
      </c>
      <c r="H852" s="120" t="s">
        <v>3205</v>
      </c>
      <c r="I852" s="120" t="s">
        <v>3479</v>
      </c>
      <c r="J852" s="120" t="s">
        <v>772</v>
      </c>
      <c r="K852" s="112">
        <v>3986700</v>
      </c>
      <c r="L852" s="113"/>
      <c r="M852" s="113">
        <v>1420600</v>
      </c>
      <c r="N852" s="113"/>
      <c r="O852" s="113"/>
      <c r="P852" s="299">
        <f t="shared" si="61"/>
        <v>5407300</v>
      </c>
      <c r="Q852" s="299">
        <f t="shared" si="62"/>
        <v>10814600</v>
      </c>
      <c r="R852" s="299">
        <f t="shared" si="63"/>
        <v>10814600</v>
      </c>
      <c r="S852" s="112">
        <v>0</v>
      </c>
    </row>
    <row r="853" spans="1:19">
      <c r="A853" s="90">
        <v>1.9</v>
      </c>
      <c r="B853" s="91" t="s">
        <v>2422</v>
      </c>
      <c r="C853" s="90"/>
      <c r="D853" s="258"/>
      <c r="E853" s="91"/>
      <c r="F853" s="113">
        <f t="shared" si="60"/>
        <v>0</v>
      </c>
      <c r="G853" s="112">
        <v>0</v>
      </c>
      <c r="H853" s="120">
        <v>0</v>
      </c>
      <c r="I853" s="120">
        <v>0</v>
      </c>
      <c r="J853" s="120">
        <v>0</v>
      </c>
      <c r="K853" s="112">
        <v>0</v>
      </c>
      <c r="L853" s="113"/>
      <c r="M853" s="113">
        <v>0</v>
      </c>
      <c r="N853" s="113"/>
      <c r="O853" s="113"/>
      <c r="P853" s="299">
        <f t="shared" si="61"/>
        <v>0</v>
      </c>
      <c r="Q853" s="299">
        <f t="shared" si="62"/>
        <v>0</v>
      </c>
      <c r="R853" s="299">
        <f t="shared" si="63"/>
        <v>0</v>
      </c>
      <c r="S853" s="112">
        <v>0</v>
      </c>
    </row>
    <row r="854" spans="1:19" ht="30">
      <c r="A854" s="88"/>
      <c r="B854" s="87" t="s">
        <v>2423</v>
      </c>
      <c r="C854" s="88" t="s">
        <v>1877</v>
      </c>
      <c r="D854" s="147">
        <v>39</v>
      </c>
      <c r="E854" s="87"/>
      <c r="F854" s="113">
        <f t="shared" si="60"/>
        <v>39</v>
      </c>
      <c r="G854" s="112" t="s">
        <v>3385</v>
      </c>
      <c r="H854" s="120" t="s">
        <v>3360</v>
      </c>
      <c r="I854" s="120" t="s">
        <v>3479</v>
      </c>
      <c r="J854" s="120" t="s">
        <v>772</v>
      </c>
      <c r="K854" s="112">
        <v>65700</v>
      </c>
      <c r="L854" s="113"/>
      <c r="M854" s="113">
        <v>16500</v>
      </c>
      <c r="N854" s="113"/>
      <c r="O854" s="113"/>
      <c r="P854" s="299">
        <f t="shared" si="61"/>
        <v>82200</v>
      </c>
      <c r="Q854" s="299">
        <f t="shared" si="62"/>
        <v>3205800</v>
      </c>
      <c r="R854" s="299">
        <f t="shared" si="63"/>
        <v>3205800</v>
      </c>
      <c r="S854" s="112">
        <v>0</v>
      </c>
    </row>
    <row r="855" spans="1:19" ht="30">
      <c r="A855" s="88"/>
      <c r="B855" s="87" t="s">
        <v>2424</v>
      </c>
      <c r="C855" s="88" t="s">
        <v>1877</v>
      </c>
      <c r="D855" s="147">
        <v>11</v>
      </c>
      <c r="E855" s="87"/>
      <c r="F855" s="113">
        <f t="shared" si="60"/>
        <v>11</v>
      </c>
      <c r="G855" s="112" t="s">
        <v>3384</v>
      </c>
      <c r="H855" s="120" t="s">
        <v>3360</v>
      </c>
      <c r="I855" s="120" t="s">
        <v>3479</v>
      </c>
      <c r="J855" s="120" t="s">
        <v>772</v>
      </c>
      <c r="K855" s="112">
        <v>64200</v>
      </c>
      <c r="L855" s="113"/>
      <c r="M855" s="113">
        <v>15800</v>
      </c>
      <c r="N855" s="113"/>
      <c r="O855" s="113"/>
      <c r="P855" s="299">
        <f t="shared" si="61"/>
        <v>80000</v>
      </c>
      <c r="Q855" s="299">
        <f t="shared" si="62"/>
        <v>880000</v>
      </c>
      <c r="R855" s="299">
        <f t="shared" si="63"/>
        <v>880000</v>
      </c>
      <c r="S855" s="112">
        <v>0</v>
      </c>
    </row>
    <row r="856" spans="1:19" ht="30">
      <c r="A856" s="88"/>
      <c r="B856" s="87" t="s">
        <v>2425</v>
      </c>
      <c r="C856" s="88" t="s">
        <v>1877</v>
      </c>
      <c r="D856" s="147">
        <v>28</v>
      </c>
      <c r="E856" s="87"/>
      <c r="F856" s="113">
        <f t="shared" si="60"/>
        <v>28</v>
      </c>
      <c r="G856" s="112" t="s">
        <v>3383</v>
      </c>
      <c r="H856" s="120" t="s">
        <v>3360</v>
      </c>
      <c r="I856" s="120" t="s">
        <v>3479</v>
      </c>
      <c r="J856" s="120" t="s">
        <v>772</v>
      </c>
      <c r="K856" s="112">
        <v>69200</v>
      </c>
      <c r="L856" s="113"/>
      <c r="M856" s="113">
        <v>18300</v>
      </c>
      <c r="N856" s="113"/>
      <c r="O856" s="113"/>
      <c r="P856" s="299">
        <f t="shared" si="61"/>
        <v>87500</v>
      </c>
      <c r="Q856" s="299">
        <f t="shared" si="62"/>
        <v>2450000</v>
      </c>
      <c r="R856" s="299">
        <f t="shared" si="63"/>
        <v>2450000</v>
      </c>
      <c r="S856" s="112">
        <v>0</v>
      </c>
    </row>
    <row r="857" spans="1:19" ht="30">
      <c r="A857" s="88"/>
      <c r="B857" s="87" t="s">
        <v>2241</v>
      </c>
      <c r="C857" s="88" t="s">
        <v>1877</v>
      </c>
      <c r="D857" s="147">
        <v>15</v>
      </c>
      <c r="E857" s="87"/>
      <c r="F857" s="113">
        <f t="shared" si="60"/>
        <v>15</v>
      </c>
      <c r="G857" s="112" t="s">
        <v>3382</v>
      </c>
      <c r="H857" s="120" t="s">
        <v>3360</v>
      </c>
      <c r="I857" s="120" t="s">
        <v>3479</v>
      </c>
      <c r="J857" s="120" t="s">
        <v>772</v>
      </c>
      <c r="K857" s="112">
        <v>74200</v>
      </c>
      <c r="L857" s="113"/>
      <c r="M857" s="113">
        <v>20800</v>
      </c>
      <c r="N857" s="113"/>
      <c r="O857" s="113"/>
      <c r="P857" s="299">
        <f t="shared" si="61"/>
        <v>95000</v>
      </c>
      <c r="Q857" s="299">
        <f t="shared" si="62"/>
        <v>1425000</v>
      </c>
      <c r="R857" s="299">
        <f t="shared" si="63"/>
        <v>1425000</v>
      </c>
      <c r="S857" s="112">
        <v>0</v>
      </c>
    </row>
    <row r="858" spans="1:19" ht="30">
      <c r="A858" s="88"/>
      <c r="B858" s="87" t="s">
        <v>2426</v>
      </c>
      <c r="C858" s="88" t="s">
        <v>1877</v>
      </c>
      <c r="D858" s="147">
        <v>21</v>
      </c>
      <c r="E858" s="87"/>
      <c r="F858" s="113">
        <f t="shared" si="60"/>
        <v>21</v>
      </c>
      <c r="G858" s="112" t="s">
        <v>3381</v>
      </c>
      <c r="H858" s="120" t="s">
        <v>3360</v>
      </c>
      <c r="I858" s="120" t="s">
        <v>3479</v>
      </c>
      <c r="J858" s="120" t="s">
        <v>772</v>
      </c>
      <c r="K858" s="112">
        <v>104700</v>
      </c>
      <c r="L858" s="113"/>
      <c r="M858" s="113">
        <v>31200</v>
      </c>
      <c r="N858" s="113"/>
      <c r="O858" s="113"/>
      <c r="P858" s="299">
        <f t="shared" si="61"/>
        <v>135900</v>
      </c>
      <c r="Q858" s="299">
        <f t="shared" si="62"/>
        <v>2853900</v>
      </c>
      <c r="R858" s="299">
        <f t="shared" si="63"/>
        <v>2853900</v>
      </c>
      <c r="S858" s="112">
        <v>0</v>
      </c>
    </row>
    <row r="859" spans="1:19" ht="30">
      <c r="A859" s="88"/>
      <c r="B859" s="87" t="s">
        <v>2427</v>
      </c>
      <c r="C859" s="88" t="s">
        <v>1877</v>
      </c>
      <c r="D859" s="147">
        <v>21</v>
      </c>
      <c r="E859" s="87"/>
      <c r="F859" s="113">
        <f t="shared" si="60"/>
        <v>21</v>
      </c>
      <c r="G859" s="112" t="s">
        <v>3380</v>
      </c>
      <c r="H859" s="120" t="s">
        <v>3360</v>
      </c>
      <c r="I859" s="120" t="s">
        <v>3479</v>
      </c>
      <c r="J859" s="120" t="s">
        <v>772</v>
      </c>
      <c r="K859" s="112">
        <v>77700</v>
      </c>
      <c r="L859" s="113"/>
      <c r="M859" s="113">
        <v>22600</v>
      </c>
      <c r="N859" s="113"/>
      <c r="O859" s="113"/>
      <c r="P859" s="299">
        <f t="shared" si="61"/>
        <v>100300</v>
      </c>
      <c r="Q859" s="299">
        <f t="shared" si="62"/>
        <v>2106300</v>
      </c>
      <c r="R859" s="299">
        <f t="shared" si="63"/>
        <v>2106300</v>
      </c>
      <c r="S859" s="112">
        <v>0</v>
      </c>
    </row>
    <row r="860" spans="1:19" ht="30">
      <c r="A860" s="88"/>
      <c r="B860" s="87" t="s">
        <v>2428</v>
      </c>
      <c r="C860" s="88" t="s">
        <v>1877</v>
      </c>
      <c r="D860" s="147">
        <v>13</v>
      </c>
      <c r="E860" s="87"/>
      <c r="F860" s="113">
        <f t="shared" si="60"/>
        <v>13</v>
      </c>
      <c r="G860" s="112" t="s">
        <v>3379</v>
      </c>
      <c r="H860" s="120" t="s">
        <v>3360</v>
      </c>
      <c r="I860" s="120" t="s">
        <v>3479</v>
      </c>
      <c r="J860" s="120" t="s">
        <v>772</v>
      </c>
      <c r="K860" s="112">
        <v>82600</v>
      </c>
      <c r="L860" s="113"/>
      <c r="M860" s="113">
        <v>25100</v>
      </c>
      <c r="N860" s="113"/>
      <c r="O860" s="113"/>
      <c r="P860" s="299">
        <f t="shared" si="61"/>
        <v>107700</v>
      </c>
      <c r="Q860" s="299">
        <f t="shared" si="62"/>
        <v>1400100</v>
      </c>
      <c r="R860" s="299">
        <f t="shared" si="63"/>
        <v>1400100</v>
      </c>
      <c r="S860" s="112">
        <v>0</v>
      </c>
    </row>
    <row r="861" spans="1:19" ht="30">
      <c r="A861" s="88"/>
      <c r="B861" s="87" t="s">
        <v>2429</v>
      </c>
      <c r="C861" s="88" t="s">
        <v>1877</v>
      </c>
      <c r="D861" s="147">
        <v>7</v>
      </c>
      <c r="E861" s="87"/>
      <c r="F861" s="113">
        <f t="shared" si="60"/>
        <v>7</v>
      </c>
      <c r="G861" s="112" t="s">
        <v>3378</v>
      </c>
      <c r="H861" s="120" t="s">
        <v>3360</v>
      </c>
      <c r="I861" s="120" t="s">
        <v>3479</v>
      </c>
      <c r="J861" s="120" t="s">
        <v>772</v>
      </c>
      <c r="K861" s="112">
        <v>81200</v>
      </c>
      <c r="L861" s="113"/>
      <c r="M861" s="113">
        <v>24400</v>
      </c>
      <c r="N861" s="113"/>
      <c r="O861" s="113"/>
      <c r="P861" s="299">
        <f t="shared" si="61"/>
        <v>105600</v>
      </c>
      <c r="Q861" s="299">
        <f t="shared" si="62"/>
        <v>739200</v>
      </c>
      <c r="R861" s="299">
        <f t="shared" si="63"/>
        <v>739200</v>
      </c>
      <c r="S861" s="112">
        <v>0</v>
      </c>
    </row>
    <row r="862" spans="1:19" ht="30">
      <c r="A862" s="88"/>
      <c r="B862" s="87" t="s">
        <v>2430</v>
      </c>
      <c r="C862" s="88" t="s">
        <v>1877</v>
      </c>
      <c r="D862" s="147">
        <v>2</v>
      </c>
      <c r="E862" s="87"/>
      <c r="F862" s="113">
        <f t="shared" si="60"/>
        <v>2</v>
      </c>
      <c r="G862" s="112" t="s">
        <v>3377</v>
      </c>
      <c r="H862" s="120" t="s">
        <v>3360</v>
      </c>
      <c r="I862" s="120" t="s">
        <v>3479</v>
      </c>
      <c r="J862" s="120" t="s">
        <v>772</v>
      </c>
      <c r="K862" s="112">
        <v>84700</v>
      </c>
      <c r="L862" s="113"/>
      <c r="M862" s="113">
        <v>26200</v>
      </c>
      <c r="N862" s="113"/>
      <c r="O862" s="113"/>
      <c r="P862" s="299">
        <f t="shared" si="61"/>
        <v>110900</v>
      </c>
      <c r="Q862" s="299">
        <f t="shared" si="62"/>
        <v>221800</v>
      </c>
      <c r="R862" s="299">
        <f t="shared" si="63"/>
        <v>221800</v>
      </c>
      <c r="S862" s="112">
        <v>0</v>
      </c>
    </row>
    <row r="863" spans="1:19" ht="30">
      <c r="A863" s="88"/>
      <c r="B863" s="87" t="s">
        <v>2431</v>
      </c>
      <c r="C863" s="88" t="s">
        <v>1877</v>
      </c>
      <c r="D863" s="147">
        <v>1</v>
      </c>
      <c r="E863" s="87"/>
      <c r="F863" s="113">
        <f t="shared" si="60"/>
        <v>1</v>
      </c>
      <c r="G863" s="112" t="s">
        <v>3376</v>
      </c>
      <c r="H863" s="120" t="s">
        <v>3360</v>
      </c>
      <c r="I863" s="120" t="s">
        <v>3479</v>
      </c>
      <c r="J863" s="120" t="s">
        <v>772</v>
      </c>
      <c r="K863" s="112">
        <v>117600</v>
      </c>
      <c r="L863" s="113"/>
      <c r="M863" s="113">
        <v>42900</v>
      </c>
      <c r="N863" s="113"/>
      <c r="O863" s="113"/>
      <c r="P863" s="299">
        <f t="shared" si="61"/>
        <v>160500</v>
      </c>
      <c r="Q863" s="299">
        <f t="shared" si="62"/>
        <v>160500</v>
      </c>
      <c r="R863" s="299">
        <f t="shared" si="63"/>
        <v>160500</v>
      </c>
      <c r="S863" s="112">
        <v>0</v>
      </c>
    </row>
    <row r="864" spans="1:19" ht="30">
      <c r="A864" s="88"/>
      <c r="B864" s="87" t="s">
        <v>2432</v>
      </c>
      <c r="C864" s="88" t="s">
        <v>1877</v>
      </c>
      <c r="D864" s="147">
        <v>2</v>
      </c>
      <c r="E864" s="87"/>
      <c r="F864" s="113">
        <f t="shared" si="60"/>
        <v>2</v>
      </c>
      <c r="G864" s="112" t="s">
        <v>3375</v>
      </c>
      <c r="H864" s="120" t="s">
        <v>3360</v>
      </c>
      <c r="I864" s="120" t="s">
        <v>3479</v>
      </c>
      <c r="J864" s="120" t="s">
        <v>772</v>
      </c>
      <c r="K864" s="112">
        <v>134500</v>
      </c>
      <c r="L864" s="113"/>
      <c r="M864" s="113">
        <v>51400</v>
      </c>
      <c r="N864" s="113"/>
      <c r="O864" s="113"/>
      <c r="P864" s="299">
        <f t="shared" si="61"/>
        <v>185900</v>
      </c>
      <c r="Q864" s="299">
        <f t="shared" si="62"/>
        <v>371800</v>
      </c>
      <c r="R864" s="299">
        <f t="shared" si="63"/>
        <v>371800</v>
      </c>
      <c r="S864" s="112">
        <v>0</v>
      </c>
    </row>
    <row r="865" spans="1:19" ht="57">
      <c r="A865" s="259">
        <v>1.1000000000000001</v>
      </c>
      <c r="B865" s="257" t="s">
        <v>1920</v>
      </c>
      <c r="C865" s="79"/>
      <c r="D865" s="143"/>
      <c r="E865" s="79"/>
      <c r="F865" s="113">
        <f t="shared" si="60"/>
        <v>0</v>
      </c>
      <c r="G865" s="112">
        <v>0</v>
      </c>
      <c r="H865" s="120">
        <v>0</v>
      </c>
      <c r="I865" s="120">
        <v>0</v>
      </c>
      <c r="J865" s="120">
        <v>0</v>
      </c>
      <c r="K865" s="112">
        <v>0</v>
      </c>
      <c r="L865" s="113"/>
      <c r="M865" s="113">
        <v>0</v>
      </c>
      <c r="N865" s="113"/>
      <c r="O865" s="113"/>
      <c r="P865" s="299">
        <f t="shared" si="61"/>
        <v>0</v>
      </c>
      <c r="Q865" s="299">
        <f t="shared" si="62"/>
        <v>0</v>
      </c>
      <c r="R865" s="299">
        <f t="shared" si="63"/>
        <v>0</v>
      </c>
      <c r="S865" s="112">
        <v>0</v>
      </c>
    </row>
    <row r="866" spans="1:19" ht="90">
      <c r="A866" s="79"/>
      <c r="B866" s="77" t="s">
        <v>2433</v>
      </c>
      <c r="C866" s="76" t="s">
        <v>1877</v>
      </c>
      <c r="D866" s="143">
        <v>3</v>
      </c>
      <c r="E866" s="79"/>
      <c r="F866" s="113">
        <f t="shared" si="60"/>
        <v>3</v>
      </c>
      <c r="G866" s="112" t="s">
        <v>3200</v>
      </c>
      <c r="H866" s="120" t="s">
        <v>3193</v>
      </c>
      <c r="I866" s="120" t="s">
        <v>3479</v>
      </c>
      <c r="J866" s="120" t="s">
        <v>772</v>
      </c>
      <c r="K866" s="112">
        <v>1983500</v>
      </c>
      <c r="L866" s="113"/>
      <c r="M866" s="113">
        <v>472800</v>
      </c>
      <c r="N866" s="113"/>
      <c r="O866" s="113"/>
      <c r="P866" s="299">
        <f t="shared" si="61"/>
        <v>2456300</v>
      </c>
      <c r="Q866" s="299">
        <f t="shared" si="62"/>
        <v>7368900</v>
      </c>
      <c r="R866" s="299">
        <f t="shared" si="63"/>
        <v>7368900</v>
      </c>
      <c r="S866" s="112">
        <v>0</v>
      </c>
    </row>
    <row r="867" spans="1:19">
      <c r="A867" s="79"/>
      <c r="B867" s="77" t="s">
        <v>2434</v>
      </c>
      <c r="C867" s="76" t="s">
        <v>1877</v>
      </c>
      <c r="D867" s="143">
        <v>0</v>
      </c>
      <c r="E867" s="79"/>
      <c r="F867" s="113">
        <f t="shared" si="60"/>
        <v>0</v>
      </c>
      <c r="G867" s="112">
        <v>0</v>
      </c>
      <c r="H867" s="120">
        <v>0</v>
      </c>
      <c r="I867" s="120">
        <v>0</v>
      </c>
      <c r="J867" s="120">
        <v>0</v>
      </c>
      <c r="K867" s="112">
        <v>0</v>
      </c>
      <c r="L867" s="113"/>
      <c r="M867" s="113">
        <v>0</v>
      </c>
      <c r="N867" s="113"/>
      <c r="O867" s="113"/>
      <c r="P867" s="299">
        <f t="shared" si="61"/>
        <v>0</v>
      </c>
      <c r="Q867" s="299">
        <f t="shared" si="62"/>
        <v>0</v>
      </c>
      <c r="R867" s="299">
        <f t="shared" si="63"/>
        <v>0</v>
      </c>
      <c r="S867" s="112">
        <v>0</v>
      </c>
    </row>
    <row r="868" spans="1:19" ht="90">
      <c r="A868" s="79"/>
      <c r="B868" s="77" t="s">
        <v>2435</v>
      </c>
      <c r="C868" s="76" t="s">
        <v>1877</v>
      </c>
      <c r="D868" s="143">
        <v>8</v>
      </c>
      <c r="E868" s="79"/>
      <c r="F868" s="113">
        <f t="shared" si="60"/>
        <v>8</v>
      </c>
      <c r="G868" s="112" t="s">
        <v>3199</v>
      </c>
      <c r="H868" s="120" t="s">
        <v>3193</v>
      </c>
      <c r="I868" s="120" t="s">
        <v>3479</v>
      </c>
      <c r="J868" s="120" t="s">
        <v>772</v>
      </c>
      <c r="K868" s="112">
        <v>2216800</v>
      </c>
      <c r="L868" s="113"/>
      <c r="M868" s="113">
        <v>528400</v>
      </c>
      <c r="N868" s="113"/>
      <c r="O868" s="113"/>
      <c r="P868" s="299">
        <f t="shared" si="61"/>
        <v>2745200</v>
      </c>
      <c r="Q868" s="299">
        <f t="shared" si="62"/>
        <v>21961600</v>
      </c>
      <c r="R868" s="299">
        <f t="shared" si="63"/>
        <v>21961600</v>
      </c>
      <c r="S868" s="112">
        <v>0</v>
      </c>
    </row>
    <row r="869" spans="1:19" ht="90">
      <c r="A869" s="79"/>
      <c r="B869" s="77" t="s">
        <v>2436</v>
      </c>
      <c r="C869" s="76" t="s">
        <v>1877</v>
      </c>
      <c r="D869" s="143">
        <v>2</v>
      </c>
      <c r="E869" s="79"/>
      <c r="F869" s="113">
        <f t="shared" si="60"/>
        <v>2</v>
      </c>
      <c r="G869" s="112" t="s">
        <v>3198</v>
      </c>
      <c r="H869" s="120" t="s">
        <v>3193</v>
      </c>
      <c r="I869" s="120" t="s">
        <v>3479</v>
      </c>
      <c r="J869" s="120" t="s">
        <v>772</v>
      </c>
      <c r="K869" s="112">
        <v>2450200</v>
      </c>
      <c r="L869" s="113"/>
      <c r="M869" s="113">
        <v>584000</v>
      </c>
      <c r="N869" s="113"/>
      <c r="O869" s="113"/>
      <c r="P869" s="299">
        <f t="shared" si="61"/>
        <v>3034200</v>
      </c>
      <c r="Q869" s="299">
        <f t="shared" si="62"/>
        <v>6068400</v>
      </c>
      <c r="R869" s="299">
        <f t="shared" si="63"/>
        <v>6068400</v>
      </c>
      <c r="S869" s="112">
        <v>0</v>
      </c>
    </row>
    <row r="870" spans="1:19" ht="90">
      <c r="A870" s="79"/>
      <c r="B870" s="77" t="s">
        <v>2437</v>
      </c>
      <c r="C870" s="76" t="s">
        <v>1877</v>
      </c>
      <c r="D870" s="143">
        <v>8</v>
      </c>
      <c r="E870" s="79"/>
      <c r="F870" s="113">
        <f t="shared" si="60"/>
        <v>8</v>
      </c>
      <c r="G870" s="112" t="s">
        <v>3197</v>
      </c>
      <c r="H870" s="120" t="s">
        <v>3193</v>
      </c>
      <c r="I870" s="120" t="s">
        <v>3479</v>
      </c>
      <c r="J870" s="120" t="s">
        <v>772</v>
      </c>
      <c r="K870" s="112">
        <v>3226900</v>
      </c>
      <c r="L870" s="113"/>
      <c r="M870" s="113">
        <v>734200</v>
      </c>
      <c r="N870" s="113"/>
      <c r="O870" s="113"/>
      <c r="P870" s="299">
        <f t="shared" si="61"/>
        <v>3961100</v>
      </c>
      <c r="Q870" s="299">
        <f t="shared" si="62"/>
        <v>31688800</v>
      </c>
      <c r="R870" s="299">
        <f t="shared" si="63"/>
        <v>31688800</v>
      </c>
      <c r="S870" s="112">
        <v>0</v>
      </c>
    </row>
    <row r="871" spans="1:19" ht="90">
      <c r="A871" s="79"/>
      <c r="B871" s="77" t="s">
        <v>2438</v>
      </c>
      <c r="C871" s="76" t="s">
        <v>1877</v>
      </c>
      <c r="D871" s="143">
        <v>1</v>
      </c>
      <c r="E871" s="79"/>
      <c r="F871" s="113">
        <f t="shared" si="60"/>
        <v>1</v>
      </c>
      <c r="G871" s="112" t="s">
        <v>3196</v>
      </c>
      <c r="H871" s="120" t="s">
        <v>3193</v>
      </c>
      <c r="I871" s="120" t="s">
        <v>3479</v>
      </c>
      <c r="J871" s="120" t="s">
        <v>772</v>
      </c>
      <c r="K871" s="112">
        <v>2933500</v>
      </c>
      <c r="L871" s="113"/>
      <c r="M871" s="113">
        <v>667400</v>
      </c>
      <c r="N871" s="113"/>
      <c r="O871" s="113"/>
      <c r="P871" s="299">
        <f t="shared" si="61"/>
        <v>3600900</v>
      </c>
      <c r="Q871" s="299">
        <f t="shared" si="62"/>
        <v>3600900</v>
      </c>
      <c r="R871" s="299">
        <f t="shared" si="63"/>
        <v>3600900</v>
      </c>
      <c r="S871" s="112">
        <v>0</v>
      </c>
    </row>
    <row r="872" spans="1:19" ht="90">
      <c r="A872" s="79"/>
      <c r="B872" s="77" t="s">
        <v>2439</v>
      </c>
      <c r="C872" s="76" t="s">
        <v>1877</v>
      </c>
      <c r="D872" s="143">
        <v>2</v>
      </c>
      <c r="E872" s="79"/>
      <c r="F872" s="113">
        <f t="shared" si="60"/>
        <v>2</v>
      </c>
      <c r="G872" s="112" t="s">
        <v>3195</v>
      </c>
      <c r="H872" s="120" t="s">
        <v>3193</v>
      </c>
      <c r="I872" s="120" t="s">
        <v>3479</v>
      </c>
      <c r="J872" s="120" t="s">
        <v>772</v>
      </c>
      <c r="K872" s="112">
        <v>4583600</v>
      </c>
      <c r="L872" s="113"/>
      <c r="M872" s="113">
        <v>1042800</v>
      </c>
      <c r="N872" s="113"/>
      <c r="O872" s="113"/>
      <c r="P872" s="299">
        <f t="shared" si="61"/>
        <v>5626400</v>
      </c>
      <c r="Q872" s="299">
        <f t="shared" si="62"/>
        <v>11252800</v>
      </c>
      <c r="R872" s="299">
        <f t="shared" si="63"/>
        <v>11252800</v>
      </c>
      <c r="S872" s="112">
        <v>0</v>
      </c>
    </row>
    <row r="873" spans="1:19" ht="90">
      <c r="A873" s="79"/>
      <c r="B873" s="77" t="s">
        <v>2440</v>
      </c>
      <c r="C873" s="76" t="s">
        <v>1877</v>
      </c>
      <c r="D873" s="143">
        <v>8</v>
      </c>
      <c r="E873" s="79"/>
      <c r="F873" s="113">
        <f t="shared" si="60"/>
        <v>8</v>
      </c>
      <c r="G873" s="112" t="s">
        <v>3194</v>
      </c>
      <c r="H873" s="120" t="s">
        <v>3193</v>
      </c>
      <c r="I873" s="120" t="s">
        <v>3479</v>
      </c>
      <c r="J873" s="120" t="s">
        <v>772</v>
      </c>
      <c r="K873" s="112">
        <v>2800200</v>
      </c>
      <c r="L873" s="113"/>
      <c r="M873" s="113">
        <v>667400</v>
      </c>
      <c r="N873" s="113"/>
      <c r="O873" s="113"/>
      <c r="P873" s="299">
        <f t="shared" si="61"/>
        <v>3467600</v>
      </c>
      <c r="Q873" s="299">
        <f t="shared" si="62"/>
        <v>27740800</v>
      </c>
      <c r="R873" s="299">
        <f t="shared" si="63"/>
        <v>27740800</v>
      </c>
      <c r="S873" s="112">
        <v>0</v>
      </c>
    </row>
    <row r="874" spans="1:19" ht="90">
      <c r="A874" s="79"/>
      <c r="B874" s="77" t="s">
        <v>2441</v>
      </c>
      <c r="C874" s="76" t="s">
        <v>1877</v>
      </c>
      <c r="D874" s="143">
        <v>6</v>
      </c>
      <c r="E874" s="79"/>
      <c r="F874" s="113">
        <f t="shared" si="60"/>
        <v>6</v>
      </c>
      <c r="G874" s="112" t="s">
        <v>3192</v>
      </c>
      <c r="H874" s="120" t="s">
        <v>3193</v>
      </c>
      <c r="I874" s="120" t="s">
        <v>3479</v>
      </c>
      <c r="J874" s="120" t="s">
        <v>772</v>
      </c>
      <c r="K874" s="112">
        <v>3033500</v>
      </c>
      <c r="L874" s="113"/>
      <c r="M874" s="113">
        <v>723000</v>
      </c>
      <c r="N874" s="113"/>
      <c r="O874" s="113"/>
      <c r="P874" s="299">
        <f t="shared" si="61"/>
        <v>3756500</v>
      </c>
      <c r="Q874" s="299">
        <f t="shared" si="62"/>
        <v>22539000</v>
      </c>
      <c r="R874" s="299">
        <f t="shared" si="63"/>
        <v>22539000</v>
      </c>
      <c r="S874" s="112">
        <v>0</v>
      </c>
    </row>
    <row r="875" spans="1:19" ht="90">
      <c r="A875" s="79"/>
      <c r="B875" s="77" t="s">
        <v>2442</v>
      </c>
      <c r="C875" s="76" t="s">
        <v>1877</v>
      </c>
      <c r="D875" s="143">
        <v>1</v>
      </c>
      <c r="E875" s="79"/>
      <c r="F875" s="113">
        <f t="shared" si="60"/>
        <v>1</v>
      </c>
      <c r="G875" s="112" t="s">
        <v>3188</v>
      </c>
      <c r="H875" s="120" t="s">
        <v>3189</v>
      </c>
      <c r="I875" s="120" t="s">
        <v>3479</v>
      </c>
      <c r="J875" s="120" t="s">
        <v>772</v>
      </c>
      <c r="K875" s="112">
        <v>5813900</v>
      </c>
      <c r="L875" s="113"/>
      <c r="M875" s="113">
        <v>1251400</v>
      </c>
      <c r="N875" s="113"/>
      <c r="O875" s="113"/>
      <c r="P875" s="299">
        <f t="shared" si="61"/>
        <v>7065300</v>
      </c>
      <c r="Q875" s="299">
        <f t="shared" si="62"/>
        <v>7065300</v>
      </c>
      <c r="R875" s="299">
        <f t="shared" si="63"/>
        <v>7065300</v>
      </c>
      <c r="S875" s="112">
        <v>0</v>
      </c>
    </row>
    <row r="876" spans="1:19">
      <c r="A876" s="259">
        <v>1.1100000000000001</v>
      </c>
      <c r="B876" s="257" t="s">
        <v>1913</v>
      </c>
      <c r="C876" s="79"/>
      <c r="D876" s="143"/>
      <c r="E876" s="79"/>
      <c r="F876" s="113">
        <f t="shared" si="60"/>
        <v>0</v>
      </c>
      <c r="G876" s="112">
        <v>0</v>
      </c>
      <c r="H876" s="120">
        <v>0</v>
      </c>
      <c r="I876" s="120">
        <v>0</v>
      </c>
      <c r="J876" s="120">
        <v>0</v>
      </c>
      <c r="K876" s="112">
        <v>0</v>
      </c>
      <c r="L876" s="113"/>
      <c r="M876" s="113">
        <v>0</v>
      </c>
      <c r="N876" s="113"/>
      <c r="O876" s="113"/>
      <c r="P876" s="299">
        <f t="shared" si="61"/>
        <v>0</v>
      </c>
      <c r="Q876" s="299">
        <f t="shared" si="62"/>
        <v>0</v>
      </c>
      <c r="R876" s="299">
        <f t="shared" si="63"/>
        <v>0</v>
      </c>
      <c r="S876" s="112">
        <v>0</v>
      </c>
    </row>
    <row r="877" spans="1:19" ht="30">
      <c r="A877" s="79"/>
      <c r="B877" s="77" t="s">
        <v>2269</v>
      </c>
      <c r="C877" s="76" t="s">
        <v>1877</v>
      </c>
      <c r="D877" s="143">
        <v>3</v>
      </c>
      <c r="E877" s="79"/>
      <c r="F877" s="113">
        <f t="shared" si="60"/>
        <v>3</v>
      </c>
      <c r="G877" s="112" t="s">
        <v>3602</v>
      </c>
      <c r="H877" s="120" t="s">
        <v>3191</v>
      </c>
      <c r="I877" s="120" t="s">
        <v>3190</v>
      </c>
      <c r="J877" s="120" t="s">
        <v>772</v>
      </c>
      <c r="K877" s="112">
        <v>423300</v>
      </c>
      <c r="L877" s="113"/>
      <c r="M877" s="113">
        <v>415100</v>
      </c>
      <c r="N877" s="113"/>
      <c r="O877" s="113"/>
      <c r="P877" s="299">
        <f t="shared" si="61"/>
        <v>838400</v>
      </c>
      <c r="Q877" s="299">
        <f t="shared" si="62"/>
        <v>2515200</v>
      </c>
      <c r="R877" s="299">
        <f t="shared" si="63"/>
        <v>2515200</v>
      </c>
      <c r="S877" s="112">
        <v>0</v>
      </c>
    </row>
    <row r="878" spans="1:19" ht="30">
      <c r="A878" s="79"/>
      <c r="B878" s="77" t="s">
        <v>2270</v>
      </c>
      <c r="C878" s="76" t="s">
        <v>1877</v>
      </c>
      <c r="D878" s="143">
        <v>2</v>
      </c>
      <c r="E878" s="79"/>
      <c r="F878" s="113">
        <f t="shared" si="60"/>
        <v>2</v>
      </c>
      <c r="G878" s="112" t="s">
        <v>3601</v>
      </c>
      <c r="H878" s="120" t="s">
        <v>3191</v>
      </c>
      <c r="I878" s="120" t="s">
        <v>3190</v>
      </c>
      <c r="J878" s="120" t="s">
        <v>772</v>
      </c>
      <c r="K878" s="112">
        <v>449200</v>
      </c>
      <c r="L878" s="113"/>
      <c r="M878" s="113">
        <v>415100</v>
      </c>
      <c r="N878" s="113"/>
      <c r="O878" s="113"/>
      <c r="P878" s="299">
        <f t="shared" si="61"/>
        <v>864300</v>
      </c>
      <c r="Q878" s="299">
        <f t="shared" si="62"/>
        <v>1728600</v>
      </c>
      <c r="R878" s="299">
        <f t="shared" si="63"/>
        <v>1728600</v>
      </c>
      <c r="S878" s="112">
        <v>0</v>
      </c>
    </row>
    <row r="879" spans="1:19" ht="30">
      <c r="A879" s="79"/>
      <c r="B879" s="77" t="s">
        <v>1860</v>
      </c>
      <c r="C879" s="76" t="s">
        <v>1877</v>
      </c>
      <c r="D879" s="143">
        <v>3</v>
      </c>
      <c r="E879" s="79"/>
      <c r="F879" s="113">
        <f t="shared" si="60"/>
        <v>3</v>
      </c>
      <c r="G879" s="112" t="s">
        <v>3600</v>
      </c>
      <c r="H879" s="120" t="s">
        <v>3191</v>
      </c>
      <c r="I879" s="120" t="s">
        <v>3190</v>
      </c>
      <c r="J879" s="120" t="s">
        <v>772</v>
      </c>
      <c r="K879" s="112">
        <v>508200</v>
      </c>
      <c r="L879" s="113"/>
      <c r="M879" s="113">
        <v>477600</v>
      </c>
      <c r="N879" s="113"/>
      <c r="O879" s="113"/>
      <c r="P879" s="299">
        <f t="shared" si="61"/>
        <v>985800</v>
      </c>
      <c r="Q879" s="299">
        <f t="shared" si="62"/>
        <v>2957400</v>
      </c>
      <c r="R879" s="299">
        <f t="shared" si="63"/>
        <v>2957400</v>
      </c>
      <c r="S879" s="112">
        <v>0</v>
      </c>
    </row>
    <row r="880" spans="1:19" ht="30">
      <c r="A880" s="79"/>
      <c r="B880" s="77" t="s">
        <v>2443</v>
      </c>
      <c r="C880" s="76" t="s">
        <v>1877</v>
      </c>
      <c r="D880" s="143">
        <v>1</v>
      </c>
      <c r="E880" s="79"/>
      <c r="F880" s="113">
        <f t="shared" si="60"/>
        <v>1</v>
      </c>
      <c r="G880" s="112" t="s">
        <v>3599</v>
      </c>
      <c r="H880" s="120" t="s">
        <v>3202</v>
      </c>
      <c r="I880" s="120" t="s">
        <v>3190</v>
      </c>
      <c r="J880" s="120" t="s">
        <v>772</v>
      </c>
      <c r="K880" s="112">
        <v>594600</v>
      </c>
      <c r="L880" s="113"/>
      <c r="M880" s="113">
        <v>477600</v>
      </c>
      <c r="N880" s="113"/>
      <c r="O880" s="113"/>
      <c r="P880" s="299">
        <f t="shared" si="61"/>
        <v>1072200</v>
      </c>
      <c r="Q880" s="299">
        <f t="shared" si="62"/>
        <v>1072200</v>
      </c>
      <c r="R880" s="299">
        <f t="shared" si="63"/>
        <v>1072200</v>
      </c>
      <c r="S880" s="112">
        <v>0</v>
      </c>
    </row>
    <row r="881" spans="1:19" ht="30">
      <c r="A881" s="79"/>
      <c r="B881" s="77" t="s">
        <v>2085</v>
      </c>
      <c r="C881" s="76" t="s">
        <v>1877</v>
      </c>
      <c r="D881" s="143">
        <v>2</v>
      </c>
      <c r="E881" s="79"/>
      <c r="F881" s="113">
        <f t="shared" si="60"/>
        <v>2</v>
      </c>
      <c r="G881" s="112" t="s">
        <v>3598</v>
      </c>
      <c r="H881" s="120" t="s">
        <v>3202</v>
      </c>
      <c r="I881" s="120" t="s">
        <v>3190</v>
      </c>
      <c r="J881" s="120" t="s">
        <v>772</v>
      </c>
      <c r="K881" s="112">
        <v>738500</v>
      </c>
      <c r="L881" s="113"/>
      <c r="M881" s="113">
        <v>606400</v>
      </c>
      <c r="N881" s="113"/>
      <c r="O881" s="113"/>
      <c r="P881" s="299">
        <f t="shared" si="61"/>
        <v>1344900</v>
      </c>
      <c r="Q881" s="299">
        <f t="shared" si="62"/>
        <v>2689800</v>
      </c>
      <c r="R881" s="299">
        <f t="shared" si="63"/>
        <v>2689800</v>
      </c>
      <c r="S881" s="112">
        <v>0</v>
      </c>
    </row>
    <row r="882" spans="1:19" ht="30">
      <c r="A882" s="88"/>
      <c r="B882" s="87" t="s">
        <v>2444</v>
      </c>
      <c r="C882" s="88" t="s">
        <v>1877</v>
      </c>
      <c r="D882" s="147">
        <v>1</v>
      </c>
      <c r="E882" s="87"/>
      <c r="F882" s="113">
        <f t="shared" si="60"/>
        <v>1</v>
      </c>
      <c r="G882" s="112" t="s">
        <v>3597</v>
      </c>
      <c r="H882" s="120" t="s">
        <v>3191</v>
      </c>
      <c r="I882" s="120" t="s">
        <v>3190</v>
      </c>
      <c r="J882" s="120" t="s">
        <v>772</v>
      </c>
      <c r="K882" s="112">
        <v>367100</v>
      </c>
      <c r="L882" s="113"/>
      <c r="M882" s="113">
        <v>338600</v>
      </c>
      <c r="N882" s="113"/>
      <c r="O882" s="113"/>
      <c r="P882" s="299">
        <f t="shared" si="61"/>
        <v>705700</v>
      </c>
      <c r="Q882" s="299">
        <f t="shared" si="62"/>
        <v>705700</v>
      </c>
      <c r="R882" s="299">
        <f t="shared" si="63"/>
        <v>705700</v>
      </c>
      <c r="S882" s="112">
        <v>0</v>
      </c>
    </row>
    <row r="883" spans="1:19" ht="30">
      <c r="A883" s="88"/>
      <c r="B883" s="87" t="s">
        <v>2049</v>
      </c>
      <c r="C883" s="88" t="s">
        <v>1877</v>
      </c>
      <c r="D883" s="147">
        <v>1</v>
      </c>
      <c r="E883" s="87"/>
      <c r="F883" s="113">
        <f t="shared" si="60"/>
        <v>1</v>
      </c>
      <c r="G883" s="112" t="s">
        <v>3596</v>
      </c>
      <c r="H883" s="120" t="s">
        <v>3202</v>
      </c>
      <c r="I883" s="120" t="s">
        <v>3190</v>
      </c>
      <c r="J883" s="120" t="s">
        <v>772</v>
      </c>
      <c r="K883" s="112">
        <v>650700</v>
      </c>
      <c r="L883" s="113"/>
      <c r="M883" s="113">
        <v>606600</v>
      </c>
      <c r="N883" s="113"/>
      <c r="O883" s="113"/>
      <c r="P883" s="299">
        <f t="shared" si="61"/>
        <v>1257300</v>
      </c>
      <c r="Q883" s="299">
        <f t="shared" si="62"/>
        <v>1257300</v>
      </c>
      <c r="R883" s="299">
        <f t="shared" si="63"/>
        <v>1257300</v>
      </c>
      <c r="S883" s="112">
        <v>0</v>
      </c>
    </row>
    <row r="884" spans="1:19" ht="30">
      <c r="A884" s="88"/>
      <c r="B884" s="87" t="s">
        <v>2445</v>
      </c>
      <c r="C884" s="88" t="s">
        <v>1877</v>
      </c>
      <c r="D884" s="147">
        <v>1</v>
      </c>
      <c r="E884" s="87"/>
      <c r="F884" s="113">
        <f t="shared" si="60"/>
        <v>1</v>
      </c>
      <c r="G884" s="112" t="s">
        <v>3595</v>
      </c>
      <c r="H884" s="120" t="s">
        <v>3202</v>
      </c>
      <c r="I884" s="120" t="s">
        <v>3190</v>
      </c>
      <c r="J884" s="120" t="s">
        <v>772</v>
      </c>
      <c r="K884" s="112">
        <v>698200</v>
      </c>
      <c r="L884" s="113"/>
      <c r="M884" s="113">
        <v>606600</v>
      </c>
      <c r="N884" s="113"/>
      <c r="O884" s="113"/>
      <c r="P884" s="299">
        <f t="shared" si="61"/>
        <v>1304800</v>
      </c>
      <c r="Q884" s="299">
        <f t="shared" si="62"/>
        <v>1304800</v>
      </c>
      <c r="R884" s="299">
        <f t="shared" si="63"/>
        <v>1304800</v>
      </c>
      <c r="S884" s="112">
        <v>0</v>
      </c>
    </row>
    <row r="885" spans="1:19" ht="30">
      <c r="A885" s="88"/>
      <c r="B885" s="87" t="s">
        <v>1929</v>
      </c>
      <c r="C885" s="88" t="s">
        <v>1877</v>
      </c>
      <c r="D885" s="147">
        <v>1</v>
      </c>
      <c r="E885" s="87"/>
      <c r="F885" s="113">
        <f t="shared" si="60"/>
        <v>1</v>
      </c>
      <c r="G885" s="112" t="s">
        <v>3594</v>
      </c>
      <c r="H885" s="120" t="s">
        <v>3202</v>
      </c>
      <c r="I885" s="120" t="s">
        <v>3190</v>
      </c>
      <c r="J885" s="120" t="s">
        <v>772</v>
      </c>
      <c r="K885" s="112">
        <v>735700</v>
      </c>
      <c r="L885" s="113"/>
      <c r="M885" s="113">
        <v>606600</v>
      </c>
      <c r="N885" s="113"/>
      <c r="O885" s="113"/>
      <c r="P885" s="299">
        <f t="shared" si="61"/>
        <v>1342300</v>
      </c>
      <c r="Q885" s="299">
        <f t="shared" si="62"/>
        <v>1342300</v>
      </c>
      <c r="R885" s="299">
        <f t="shared" si="63"/>
        <v>1342300</v>
      </c>
      <c r="S885" s="112">
        <v>0</v>
      </c>
    </row>
    <row r="886" spans="1:19">
      <c r="A886" s="259">
        <v>1.1200000000000001</v>
      </c>
      <c r="B886" s="257" t="s">
        <v>2155</v>
      </c>
      <c r="C886" s="76" t="s">
        <v>1877</v>
      </c>
      <c r="D886" s="143">
        <v>54</v>
      </c>
      <c r="E886" s="79"/>
      <c r="F886" s="113">
        <f t="shared" si="60"/>
        <v>54</v>
      </c>
      <c r="G886" s="112">
        <v>0</v>
      </c>
      <c r="H886" s="120">
        <v>0</v>
      </c>
      <c r="I886" s="120">
        <v>0</v>
      </c>
      <c r="J886" s="120" t="s">
        <v>772</v>
      </c>
      <c r="K886" s="112">
        <v>583700</v>
      </c>
      <c r="L886" s="113"/>
      <c r="M886" s="113">
        <v>38800</v>
      </c>
      <c r="N886" s="113"/>
      <c r="O886" s="113"/>
      <c r="P886" s="299">
        <f t="shared" si="61"/>
        <v>622500</v>
      </c>
      <c r="Q886" s="299">
        <f t="shared" si="62"/>
        <v>33615000</v>
      </c>
      <c r="R886" s="299">
        <f t="shared" si="63"/>
        <v>33615000</v>
      </c>
      <c r="S886" s="112">
        <v>0</v>
      </c>
    </row>
    <row r="887" spans="1:19">
      <c r="A887" s="259">
        <v>1.1299999999999999</v>
      </c>
      <c r="B887" s="257" t="s">
        <v>1994</v>
      </c>
      <c r="C887" s="76" t="s">
        <v>17</v>
      </c>
      <c r="D887" s="143">
        <v>1</v>
      </c>
      <c r="E887" s="79"/>
      <c r="F887" s="113">
        <f t="shared" si="60"/>
        <v>1</v>
      </c>
      <c r="G887" s="112">
        <v>0</v>
      </c>
      <c r="H887" s="120">
        <v>0</v>
      </c>
      <c r="I887" s="120">
        <v>0</v>
      </c>
      <c r="J887" s="120" t="s">
        <v>806</v>
      </c>
      <c r="K887" s="112">
        <v>0</v>
      </c>
      <c r="L887" s="113"/>
      <c r="M887" s="113">
        <v>0</v>
      </c>
      <c r="N887" s="113"/>
      <c r="O887" s="113"/>
      <c r="P887" s="299">
        <f t="shared" si="61"/>
        <v>0</v>
      </c>
      <c r="Q887" s="299">
        <f t="shared" si="62"/>
        <v>0</v>
      </c>
      <c r="R887" s="299">
        <f t="shared" si="63"/>
        <v>0</v>
      </c>
      <c r="S887" s="112">
        <v>0</v>
      </c>
    </row>
    <row r="888" spans="1:19">
      <c r="A888" s="271">
        <v>5</v>
      </c>
      <c r="B888" s="168" t="s">
        <v>2446</v>
      </c>
      <c r="C888" s="273"/>
      <c r="D888" s="143"/>
      <c r="E888" s="109"/>
      <c r="F888" s="113">
        <f t="shared" si="60"/>
        <v>0</v>
      </c>
      <c r="G888" s="112">
        <v>0</v>
      </c>
      <c r="H888" s="120">
        <v>0</v>
      </c>
      <c r="I888" s="120">
        <v>0</v>
      </c>
      <c r="J888" s="120">
        <v>0</v>
      </c>
      <c r="K888" s="112">
        <v>0</v>
      </c>
      <c r="L888" s="113"/>
      <c r="M888" s="113">
        <v>0</v>
      </c>
      <c r="N888" s="113"/>
      <c r="O888" s="113"/>
      <c r="P888" s="299">
        <f t="shared" si="61"/>
        <v>0</v>
      </c>
      <c r="Q888" s="299">
        <f t="shared" si="62"/>
        <v>0</v>
      </c>
      <c r="R888" s="299">
        <f t="shared" si="63"/>
        <v>0</v>
      </c>
      <c r="S888" s="112">
        <v>0</v>
      </c>
    </row>
    <row r="889" spans="1:19">
      <c r="A889" s="79">
        <v>1.1000000000000001</v>
      </c>
      <c r="B889" s="80" t="s">
        <v>2447</v>
      </c>
      <c r="C889" s="79"/>
      <c r="D889" s="143"/>
      <c r="E889" s="79"/>
      <c r="F889" s="113">
        <f t="shared" si="60"/>
        <v>0</v>
      </c>
      <c r="G889" s="112">
        <v>0</v>
      </c>
      <c r="H889" s="120">
        <v>0</v>
      </c>
      <c r="I889" s="120">
        <v>0</v>
      </c>
      <c r="J889" s="120">
        <v>0</v>
      </c>
      <c r="K889" s="112">
        <v>0</v>
      </c>
      <c r="L889" s="113"/>
      <c r="M889" s="113">
        <v>0</v>
      </c>
      <c r="N889" s="113"/>
      <c r="O889" s="113"/>
      <c r="P889" s="299">
        <f t="shared" si="61"/>
        <v>0</v>
      </c>
      <c r="Q889" s="299">
        <f t="shared" si="62"/>
        <v>0</v>
      </c>
      <c r="R889" s="299">
        <f t="shared" si="63"/>
        <v>0</v>
      </c>
      <c r="S889" s="112">
        <v>0</v>
      </c>
    </row>
    <row r="890" spans="1:19">
      <c r="A890" s="79"/>
      <c r="B890" s="77" t="s">
        <v>2448</v>
      </c>
      <c r="C890" s="76" t="s">
        <v>1861</v>
      </c>
      <c r="D890" s="143">
        <v>147</v>
      </c>
      <c r="E890" s="79"/>
      <c r="F890" s="113">
        <f t="shared" si="60"/>
        <v>147</v>
      </c>
      <c r="G890" s="112" t="s">
        <v>3374</v>
      </c>
      <c r="H890" s="120" t="s">
        <v>3371</v>
      </c>
      <c r="I890" s="120" t="s">
        <v>3479</v>
      </c>
      <c r="J890" s="120" t="s">
        <v>772</v>
      </c>
      <c r="K890" s="112">
        <v>6579400</v>
      </c>
      <c r="L890" s="113"/>
      <c r="M890" s="113">
        <v>875800</v>
      </c>
      <c r="N890" s="113"/>
      <c r="O890" s="113"/>
      <c r="P890" s="299">
        <f t="shared" si="61"/>
        <v>7455200</v>
      </c>
      <c r="Q890" s="299">
        <f t="shared" si="62"/>
        <v>1095914400</v>
      </c>
      <c r="R890" s="299">
        <f t="shared" si="63"/>
        <v>1095914400</v>
      </c>
      <c r="S890" s="112">
        <v>0</v>
      </c>
    </row>
    <row r="891" spans="1:19">
      <c r="A891" s="79"/>
      <c r="B891" s="77" t="s">
        <v>2449</v>
      </c>
      <c r="C891" s="76" t="s">
        <v>1861</v>
      </c>
      <c r="D891" s="143">
        <v>16</v>
      </c>
      <c r="E891" s="79"/>
      <c r="F891" s="113">
        <f t="shared" si="60"/>
        <v>16</v>
      </c>
      <c r="G891" s="112" t="s">
        <v>3373</v>
      </c>
      <c r="H891" s="120" t="s">
        <v>3371</v>
      </c>
      <c r="I891" s="120" t="s">
        <v>3479</v>
      </c>
      <c r="J891" s="120" t="s">
        <v>772</v>
      </c>
      <c r="K891" s="112">
        <v>6098000</v>
      </c>
      <c r="L891" s="113"/>
      <c r="M891" s="113">
        <v>811700</v>
      </c>
      <c r="N891" s="113"/>
      <c r="O891" s="113"/>
      <c r="P891" s="299">
        <f t="shared" si="61"/>
        <v>6909700</v>
      </c>
      <c r="Q891" s="299">
        <f t="shared" si="62"/>
        <v>110555200</v>
      </c>
      <c r="R891" s="299">
        <f t="shared" si="63"/>
        <v>110555200</v>
      </c>
      <c r="S891" s="112">
        <v>0</v>
      </c>
    </row>
    <row r="892" spans="1:19">
      <c r="A892" s="79">
        <v>1.2</v>
      </c>
      <c r="B892" s="80" t="s">
        <v>2450</v>
      </c>
      <c r="C892" s="79"/>
      <c r="D892" s="143"/>
      <c r="E892" s="79"/>
      <c r="F892" s="113">
        <f t="shared" si="60"/>
        <v>0</v>
      </c>
      <c r="G892" s="112">
        <v>0</v>
      </c>
      <c r="H892" s="120">
        <v>0</v>
      </c>
      <c r="I892" s="120">
        <v>0</v>
      </c>
      <c r="J892" s="120">
        <v>0</v>
      </c>
      <c r="K892" s="112">
        <v>0</v>
      </c>
      <c r="L892" s="113"/>
      <c r="M892" s="113">
        <v>0</v>
      </c>
      <c r="N892" s="113"/>
      <c r="O892" s="113"/>
      <c r="P892" s="299">
        <f t="shared" si="61"/>
        <v>0</v>
      </c>
      <c r="Q892" s="299">
        <f t="shared" si="62"/>
        <v>0</v>
      </c>
      <c r="R892" s="299">
        <f t="shared" si="63"/>
        <v>0</v>
      </c>
      <c r="S892" s="112">
        <v>0</v>
      </c>
    </row>
    <row r="893" spans="1:19" ht="30">
      <c r="A893" s="79"/>
      <c r="B893" s="77" t="s">
        <v>2449</v>
      </c>
      <c r="C893" s="76" t="s">
        <v>1877</v>
      </c>
      <c r="D893" s="143">
        <v>1</v>
      </c>
      <c r="E893" s="79"/>
      <c r="F893" s="113">
        <f t="shared" si="60"/>
        <v>1</v>
      </c>
      <c r="G893" s="112" t="s">
        <v>3372</v>
      </c>
      <c r="H893" s="120" t="s">
        <v>3371</v>
      </c>
      <c r="I893" s="120" t="s">
        <v>3479</v>
      </c>
      <c r="J893" s="120" t="s">
        <v>772</v>
      </c>
      <c r="K893" s="112">
        <v>12063500</v>
      </c>
      <c r="L893" s="113"/>
      <c r="M893" s="113">
        <v>686100</v>
      </c>
      <c r="N893" s="113"/>
      <c r="O893" s="113"/>
      <c r="P893" s="299">
        <f t="shared" si="61"/>
        <v>12749600</v>
      </c>
      <c r="Q893" s="299">
        <f t="shared" si="62"/>
        <v>12749600</v>
      </c>
      <c r="R893" s="299">
        <f t="shared" si="63"/>
        <v>12749600</v>
      </c>
      <c r="S893" s="112">
        <v>0</v>
      </c>
    </row>
    <row r="894" spans="1:19" ht="30">
      <c r="A894" s="79"/>
      <c r="B894" s="77" t="s">
        <v>2448</v>
      </c>
      <c r="C894" s="76" t="s">
        <v>1877</v>
      </c>
      <c r="D894" s="143">
        <v>5</v>
      </c>
      <c r="E894" s="79"/>
      <c r="F894" s="113">
        <f t="shared" si="60"/>
        <v>5</v>
      </c>
      <c r="G894" s="112" t="s">
        <v>3370</v>
      </c>
      <c r="H894" s="120" t="s">
        <v>3371</v>
      </c>
      <c r="I894" s="120" t="s">
        <v>3479</v>
      </c>
      <c r="J894" s="120" t="s">
        <v>772</v>
      </c>
      <c r="K894" s="112">
        <v>16250700</v>
      </c>
      <c r="L894" s="113"/>
      <c r="M894" s="113">
        <v>722200</v>
      </c>
      <c r="N894" s="113"/>
      <c r="O894" s="113"/>
      <c r="P894" s="299">
        <f t="shared" si="61"/>
        <v>16972900</v>
      </c>
      <c r="Q894" s="299">
        <f t="shared" si="62"/>
        <v>84864500</v>
      </c>
      <c r="R894" s="299">
        <f t="shared" si="63"/>
        <v>84864500</v>
      </c>
      <c r="S894" s="112">
        <v>0</v>
      </c>
    </row>
    <row r="895" spans="1:19">
      <c r="A895" s="79">
        <v>1.4</v>
      </c>
      <c r="B895" s="80" t="s">
        <v>2451</v>
      </c>
      <c r="C895" s="79"/>
      <c r="D895" s="143"/>
      <c r="E895" s="79"/>
      <c r="F895" s="113">
        <f t="shared" si="60"/>
        <v>0</v>
      </c>
      <c r="G895" s="112">
        <v>0</v>
      </c>
      <c r="H895" s="120">
        <v>0</v>
      </c>
      <c r="I895" s="120">
        <v>0</v>
      </c>
      <c r="J895" s="120">
        <v>0</v>
      </c>
      <c r="K895" s="112">
        <v>0</v>
      </c>
      <c r="L895" s="113"/>
      <c r="M895" s="113">
        <v>0</v>
      </c>
      <c r="N895" s="113"/>
      <c r="O895" s="113"/>
      <c r="P895" s="299">
        <f t="shared" si="61"/>
        <v>0</v>
      </c>
      <c r="Q895" s="299">
        <f t="shared" si="62"/>
        <v>0</v>
      </c>
      <c r="R895" s="299">
        <f t="shared" si="63"/>
        <v>0</v>
      </c>
      <c r="S895" s="112">
        <v>0</v>
      </c>
    </row>
    <row r="896" spans="1:19" ht="45">
      <c r="A896" s="79"/>
      <c r="B896" s="77" t="s">
        <v>2452</v>
      </c>
      <c r="C896" s="76" t="s">
        <v>1877</v>
      </c>
      <c r="D896" s="143">
        <v>1</v>
      </c>
      <c r="E896" s="79"/>
      <c r="F896" s="113">
        <f t="shared" si="60"/>
        <v>1</v>
      </c>
      <c r="G896" s="112" t="s">
        <v>3369</v>
      </c>
      <c r="H896" s="120" t="s">
        <v>3189</v>
      </c>
      <c r="I896" s="120" t="s">
        <v>3479</v>
      </c>
      <c r="J896" s="120" t="s">
        <v>772</v>
      </c>
      <c r="K896" s="112">
        <v>4533300</v>
      </c>
      <c r="L896" s="113"/>
      <c r="M896" s="113">
        <v>857600</v>
      </c>
      <c r="N896" s="113"/>
      <c r="O896" s="113"/>
      <c r="P896" s="299">
        <f t="shared" si="61"/>
        <v>5390900</v>
      </c>
      <c r="Q896" s="299">
        <f t="shared" si="62"/>
        <v>5390900</v>
      </c>
      <c r="R896" s="299">
        <f t="shared" si="63"/>
        <v>5390900</v>
      </c>
      <c r="S896" s="112">
        <v>0</v>
      </c>
    </row>
    <row r="897" spans="1:19">
      <c r="A897" s="79">
        <v>1.9</v>
      </c>
      <c r="B897" s="257" t="s">
        <v>1913</v>
      </c>
      <c r="C897" s="79"/>
      <c r="D897" s="143"/>
      <c r="E897" s="79"/>
      <c r="F897" s="113">
        <f t="shared" si="60"/>
        <v>0</v>
      </c>
      <c r="G897" s="112">
        <v>0</v>
      </c>
      <c r="H897" s="120">
        <v>0</v>
      </c>
      <c r="I897" s="120">
        <v>0</v>
      </c>
      <c r="J897" s="120">
        <v>0</v>
      </c>
      <c r="K897" s="112">
        <v>0</v>
      </c>
      <c r="L897" s="113"/>
      <c r="M897" s="113">
        <v>0</v>
      </c>
      <c r="N897" s="113"/>
      <c r="O897" s="113"/>
      <c r="P897" s="299">
        <f t="shared" si="61"/>
        <v>0</v>
      </c>
      <c r="Q897" s="299">
        <f t="shared" si="62"/>
        <v>0</v>
      </c>
      <c r="R897" s="299">
        <f t="shared" si="63"/>
        <v>0</v>
      </c>
      <c r="S897" s="112">
        <v>0</v>
      </c>
    </row>
    <row r="898" spans="1:19" ht="30">
      <c r="A898" s="79"/>
      <c r="B898" s="77" t="s">
        <v>2449</v>
      </c>
      <c r="C898" s="76" t="s">
        <v>1877</v>
      </c>
      <c r="D898" s="143">
        <v>2</v>
      </c>
      <c r="E898" s="79"/>
      <c r="F898" s="113">
        <f t="shared" si="60"/>
        <v>2</v>
      </c>
      <c r="G898" s="112" t="s">
        <v>3593</v>
      </c>
      <c r="H898" s="120" t="s">
        <v>3386</v>
      </c>
      <c r="I898" s="120" t="s">
        <v>3190</v>
      </c>
      <c r="J898" s="120" t="s">
        <v>772</v>
      </c>
      <c r="K898" s="112">
        <v>1556100</v>
      </c>
      <c r="L898" s="113"/>
      <c r="M898" s="113">
        <v>606400</v>
      </c>
      <c r="N898" s="113"/>
      <c r="O898" s="113"/>
      <c r="P898" s="299">
        <f t="shared" si="61"/>
        <v>2162500</v>
      </c>
      <c r="Q898" s="299">
        <f t="shared" si="62"/>
        <v>4325000</v>
      </c>
      <c r="R898" s="299">
        <f t="shared" si="63"/>
        <v>4325000</v>
      </c>
      <c r="S898" s="112">
        <v>0</v>
      </c>
    </row>
    <row r="899" spans="1:19">
      <c r="A899" s="259">
        <v>1.1000000000000001</v>
      </c>
      <c r="B899" s="257" t="s">
        <v>2155</v>
      </c>
      <c r="C899" s="76" t="s">
        <v>1877</v>
      </c>
      <c r="D899" s="143">
        <v>4</v>
      </c>
      <c r="E899" s="79"/>
      <c r="F899" s="113">
        <f t="shared" si="60"/>
        <v>4</v>
      </c>
      <c r="G899" s="112">
        <v>0</v>
      </c>
      <c r="H899" s="120">
        <v>0</v>
      </c>
      <c r="I899" s="120">
        <v>0</v>
      </c>
      <c r="J899" s="120" t="s">
        <v>772</v>
      </c>
      <c r="K899" s="112">
        <v>583700</v>
      </c>
      <c r="L899" s="113"/>
      <c r="M899" s="113">
        <v>38800</v>
      </c>
      <c r="N899" s="113"/>
      <c r="O899" s="113"/>
      <c r="P899" s="299">
        <f t="shared" si="61"/>
        <v>622500</v>
      </c>
      <c r="Q899" s="299">
        <f t="shared" si="62"/>
        <v>2490000</v>
      </c>
      <c r="R899" s="299">
        <f t="shared" si="63"/>
        <v>2490000</v>
      </c>
      <c r="S899" s="112">
        <v>0</v>
      </c>
    </row>
    <row r="900" spans="1:19">
      <c r="A900" s="79">
        <v>1.1100000000000001</v>
      </c>
      <c r="B900" s="257" t="s">
        <v>1994</v>
      </c>
      <c r="C900" s="76" t="s">
        <v>17</v>
      </c>
      <c r="D900" s="143">
        <v>1</v>
      </c>
      <c r="E900" s="79"/>
      <c r="F900" s="113">
        <f t="shared" si="60"/>
        <v>1</v>
      </c>
      <c r="G900" s="112">
        <v>0</v>
      </c>
      <c r="H900" s="120">
        <v>0</v>
      </c>
      <c r="I900" s="120">
        <v>0</v>
      </c>
      <c r="J900" s="120" t="s">
        <v>806</v>
      </c>
      <c r="K900" s="112">
        <v>0</v>
      </c>
      <c r="L900" s="113"/>
      <c r="M900" s="113">
        <v>0</v>
      </c>
      <c r="N900" s="113"/>
      <c r="O900" s="113"/>
      <c r="P900" s="299">
        <f t="shared" si="61"/>
        <v>0</v>
      </c>
      <c r="Q900" s="299">
        <f t="shared" si="62"/>
        <v>0</v>
      </c>
      <c r="R900" s="299">
        <f t="shared" si="63"/>
        <v>0</v>
      </c>
      <c r="S900" s="112">
        <v>0</v>
      </c>
    </row>
    <row r="901" spans="1:19">
      <c r="A901" s="79">
        <v>1.1200000000000001</v>
      </c>
      <c r="B901" s="80" t="s">
        <v>2038</v>
      </c>
      <c r="C901" s="79"/>
      <c r="D901" s="143"/>
      <c r="E901" s="76"/>
      <c r="F901" s="113">
        <f t="shared" si="60"/>
        <v>0</v>
      </c>
      <c r="G901" s="112">
        <v>0</v>
      </c>
      <c r="H901" s="120">
        <v>0</v>
      </c>
      <c r="I901" s="120">
        <v>0</v>
      </c>
      <c r="J901" s="120">
        <v>0</v>
      </c>
      <c r="K901" s="112">
        <v>0</v>
      </c>
      <c r="L901" s="113"/>
      <c r="M901" s="113">
        <v>0</v>
      </c>
      <c r="N901" s="113"/>
      <c r="O901" s="113"/>
      <c r="P901" s="299">
        <f t="shared" si="61"/>
        <v>0</v>
      </c>
      <c r="Q901" s="299">
        <f t="shared" si="62"/>
        <v>0</v>
      </c>
      <c r="R901" s="299">
        <f t="shared" si="63"/>
        <v>0</v>
      </c>
      <c r="S901" s="112">
        <v>0</v>
      </c>
    </row>
    <row r="902" spans="1:19" ht="60">
      <c r="A902" s="79"/>
      <c r="B902" s="77" t="s">
        <v>2449</v>
      </c>
      <c r="C902" s="76" t="s">
        <v>1877</v>
      </c>
      <c r="D902" s="143">
        <v>2</v>
      </c>
      <c r="E902" s="76"/>
      <c r="F902" s="113">
        <f t="shared" si="60"/>
        <v>2</v>
      </c>
      <c r="G902" s="112" t="s">
        <v>3368</v>
      </c>
      <c r="H902" s="120" t="s">
        <v>3193</v>
      </c>
      <c r="I902" s="120" t="s">
        <v>3479</v>
      </c>
      <c r="J902" s="120" t="s">
        <v>772</v>
      </c>
      <c r="K902" s="112">
        <v>1311900</v>
      </c>
      <c r="L902" s="113"/>
      <c r="M902" s="113">
        <v>464300</v>
      </c>
      <c r="N902" s="113"/>
      <c r="O902" s="113"/>
      <c r="P902" s="299">
        <f t="shared" si="61"/>
        <v>1776200</v>
      </c>
      <c r="Q902" s="299">
        <f t="shared" si="62"/>
        <v>3552400</v>
      </c>
      <c r="R902" s="299">
        <f t="shared" si="63"/>
        <v>3552400</v>
      </c>
      <c r="S902" s="112">
        <v>0</v>
      </c>
    </row>
    <row r="903" spans="1:19">
      <c r="A903" s="249" t="s">
        <v>2453</v>
      </c>
      <c r="B903" s="275" t="s">
        <v>2454</v>
      </c>
      <c r="C903" s="249"/>
      <c r="D903" s="276"/>
      <c r="E903" s="275"/>
      <c r="F903" s="201"/>
      <c r="G903" s="458"/>
      <c r="H903" s="524"/>
      <c r="I903" s="524"/>
      <c r="J903" s="524"/>
      <c r="K903" s="201"/>
      <c r="L903" s="201"/>
      <c r="M903" s="201"/>
      <c r="N903" s="201"/>
      <c r="O903" s="201"/>
      <c r="P903" s="201"/>
      <c r="Q903" s="201"/>
      <c r="R903" s="201"/>
      <c r="S903" s="310"/>
    </row>
    <row r="904" spans="1:19">
      <c r="A904" s="271" t="s">
        <v>3</v>
      </c>
      <c r="B904" s="168" t="s">
        <v>2455</v>
      </c>
      <c r="C904" s="273"/>
      <c r="D904" s="143"/>
      <c r="E904" s="109"/>
      <c r="F904" s="113">
        <f t="shared" ref="F904:F967" si="64">D904</f>
        <v>0</v>
      </c>
      <c r="G904" s="112">
        <v>0</v>
      </c>
      <c r="H904" s="120">
        <v>0</v>
      </c>
      <c r="I904" s="120">
        <v>0</v>
      </c>
      <c r="J904" s="120">
        <v>0</v>
      </c>
      <c r="K904" s="112">
        <v>0</v>
      </c>
      <c r="L904" s="113"/>
      <c r="M904" s="113">
        <v>0</v>
      </c>
      <c r="N904" s="113"/>
      <c r="O904" s="113"/>
      <c r="P904" s="299">
        <f t="shared" ref="P904:P967" si="65">K904+L904+M904+N904+O904</f>
        <v>0</v>
      </c>
      <c r="Q904" s="299">
        <f t="shared" ref="Q904:Q967" si="66">+P904*D904</f>
        <v>0</v>
      </c>
      <c r="R904" s="299">
        <f t="shared" ref="R904:R967" si="67">+P904*F904</f>
        <v>0</v>
      </c>
      <c r="S904" s="112">
        <v>0</v>
      </c>
    </row>
    <row r="905" spans="1:19">
      <c r="A905" s="79">
        <v>1</v>
      </c>
      <c r="B905" s="257" t="s">
        <v>2456</v>
      </c>
      <c r="C905" s="79"/>
      <c r="D905" s="143"/>
      <c r="E905" s="76"/>
      <c r="F905" s="113">
        <f t="shared" si="64"/>
        <v>0</v>
      </c>
      <c r="G905" s="112">
        <v>0</v>
      </c>
      <c r="H905" s="120">
        <v>0</v>
      </c>
      <c r="I905" s="120">
        <v>0</v>
      </c>
      <c r="J905" s="120">
        <v>0</v>
      </c>
      <c r="K905" s="112">
        <v>0</v>
      </c>
      <c r="L905" s="113"/>
      <c r="M905" s="113">
        <v>0</v>
      </c>
      <c r="N905" s="113"/>
      <c r="O905" s="113"/>
      <c r="P905" s="299">
        <f t="shared" si="65"/>
        <v>0</v>
      </c>
      <c r="Q905" s="299">
        <f t="shared" si="66"/>
        <v>0</v>
      </c>
      <c r="R905" s="299">
        <f t="shared" si="67"/>
        <v>0</v>
      </c>
      <c r="S905" s="112">
        <v>0</v>
      </c>
    </row>
    <row r="906" spans="1:19" ht="30">
      <c r="A906" s="277" t="s">
        <v>1858</v>
      </c>
      <c r="B906" s="242" t="s">
        <v>2457</v>
      </c>
      <c r="C906" s="189" t="s">
        <v>8</v>
      </c>
      <c r="D906" s="143">
        <v>221</v>
      </c>
      <c r="E906" s="622" t="s">
        <v>2458</v>
      </c>
      <c r="F906" s="113">
        <f t="shared" si="64"/>
        <v>221</v>
      </c>
      <c r="G906" s="112" t="s">
        <v>3752</v>
      </c>
      <c r="H906" s="120">
        <v>0</v>
      </c>
      <c r="I906" s="120">
        <v>0</v>
      </c>
      <c r="J906" s="120" t="s">
        <v>772</v>
      </c>
      <c r="K906" s="112">
        <v>25200</v>
      </c>
      <c r="L906" s="113"/>
      <c r="M906" s="113">
        <v>155200</v>
      </c>
      <c r="N906" s="113"/>
      <c r="O906" s="113"/>
      <c r="P906" s="299">
        <f t="shared" si="65"/>
        <v>180400</v>
      </c>
      <c r="Q906" s="299">
        <f t="shared" si="66"/>
        <v>39868400</v>
      </c>
      <c r="R906" s="299">
        <f t="shared" si="67"/>
        <v>39868400</v>
      </c>
      <c r="S906" s="112" t="s">
        <v>2458</v>
      </c>
    </row>
    <row r="907" spans="1:19" ht="30">
      <c r="A907" s="277" t="s">
        <v>1875</v>
      </c>
      <c r="B907" s="242" t="s">
        <v>2459</v>
      </c>
      <c r="C907" s="189" t="s">
        <v>8</v>
      </c>
      <c r="D907" s="143">
        <v>34</v>
      </c>
      <c r="E907" s="622"/>
      <c r="F907" s="113">
        <f t="shared" si="64"/>
        <v>34</v>
      </c>
      <c r="G907" s="112" t="s">
        <v>3752</v>
      </c>
      <c r="H907" s="120">
        <v>0</v>
      </c>
      <c r="I907" s="120">
        <v>0</v>
      </c>
      <c r="J907" s="120" t="s">
        <v>772</v>
      </c>
      <c r="K907" s="112">
        <v>25200</v>
      </c>
      <c r="L907" s="113"/>
      <c r="M907" s="113">
        <v>155200</v>
      </c>
      <c r="N907" s="113"/>
      <c r="O907" s="113"/>
      <c r="P907" s="299">
        <f t="shared" si="65"/>
        <v>180400</v>
      </c>
      <c r="Q907" s="299">
        <f t="shared" si="66"/>
        <v>6133600</v>
      </c>
      <c r="R907" s="299">
        <f t="shared" si="67"/>
        <v>6133600</v>
      </c>
      <c r="S907" s="112">
        <v>0</v>
      </c>
    </row>
    <row r="908" spans="1:19" ht="45">
      <c r="A908" s="277" t="s">
        <v>1882</v>
      </c>
      <c r="B908" s="242" t="s">
        <v>2460</v>
      </c>
      <c r="C908" s="189" t="s">
        <v>7</v>
      </c>
      <c r="D908" s="143">
        <v>84.180999999999997</v>
      </c>
      <c r="E908" s="622" t="s">
        <v>2461</v>
      </c>
      <c r="F908" s="113">
        <f t="shared" si="64"/>
        <v>84.180999999999997</v>
      </c>
      <c r="G908" s="112" t="s">
        <v>4060</v>
      </c>
      <c r="H908" s="120">
        <v>0</v>
      </c>
      <c r="I908" s="120" t="s">
        <v>4061</v>
      </c>
      <c r="J908" s="120" t="s">
        <v>4049</v>
      </c>
      <c r="K908" s="112">
        <v>69300</v>
      </c>
      <c r="L908" s="113"/>
      <c r="M908" s="113">
        <v>56500</v>
      </c>
      <c r="N908" s="113"/>
      <c r="O908" s="113"/>
      <c r="P908" s="299">
        <f t="shared" si="65"/>
        <v>125800</v>
      </c>
      <c r="Q908" s="299">
        <f t="shared" si="66"/>
        <v>10589969.799999999</v>
      </c>
      <c r="R908" s="299">
        <f t="shared" si="67"/>
        <v>10589969.799999999</v>
      </c>
      <c r="S908" s="112" t="s">
        <v>2461</v>
      </c>
    </row>
    <row r="909" spans="1:19" ht="45">
      <c r="A909" s="277" t="s">
        <v>2300</v>
      </c>
      <c r="B909" s="242" t="s">
        <v>2462</v>
      </c>
      <c r="C909" s="189" t="s">
        <v>7</v>
      </c>
      <c r="D909" s="143">
        <v>132.077</v>
      </c>
      <c r="E909" s="622"/>
      <c r="F909" s="113">
        <f t="shared" si="64"/>
        <v>132.077</v>
      </c>
      <c r="G909" s="112" t="s">
        <v>4062</v>
      </c>
      <c r="H909" s="120">
        <v>0</v>
      </c>
      <c r="I909" s="120" t="s">
        <v>4061</v>
      </c>
      <c r="J909" s="120" t="s">
        <v>4049</v>
      </c>
      <c r="K909" s="112">
        <v>100500</v>
      </c>
      <c r="L909" s="113"/>
      <c r="M909" s="113">
        <v>63500</v>
      </c>
      <c r="N909" s="113"/>
      <c r="O909" s="113"/>
      <c r="P909" s="299">
        <f t="shared" si="65"/>
        <v>164000</v>
      </c>
      <c r="Q909" s="299">
        <f t="shared" si="66"/>
        <v>21660628</v>
      </c>
      <c r="R909" s="299">
        <f t="shared" si="67"/>
        <v>21660628</v>
      </c>
      <c r="S909" s="112">
        <v>0</v>
      </c>
    </row>
    <row r="910" spans="1:19" ht="45">
      <c r="A910" s="277" t="s">
        <v>2300</v>
      </c>
      <c r="B910" s="242" t="s">
        <v>2463</v>
      </c>
      <c r="C910" s="189" t="s">
        <v>7</v>
      </c>
      <c r="D910" s="143">
        <v>83.67</v>
      </c>
      <c r="E910" s="622"/>
      <c r="F910" s="113">
        <f t="shared" si="64"/>
        <v>83.67</v>
      </c>
      <c r="G910" s="112" t="s">
        <v>4063</v>
      </c>
      <c r="H910" s="120">
        <v>0</v>
      </c>
      <c r="I910" s="120" t="s">
        <v>4061</v>
      </c>
      <c r="J910" s="120" t="s">
        <v>4049</v>
      </c>
      <c r="K910" s="112">
        <v>160800</v>
      </c>
      <c r="L910" s="113"/>
      <c r="M910" s="113">
        <v>69600</v>
      </c>
      <c r="N910" s="113"/>
      <c r="O910" s="113"/>
      <c r="P910" s="299">
        <f t="shared" si="65"/>
        <v>230400</v>
      </c>
      <c r="Q910" s="299">
        <f t="shared" si="66"/>
        <v>19277568</v>
      </c>
      <c r="R910" s="299">
        <f t="shared" si="67"/>
        <v>19277568</v>
      </c>
      <c r="S910" s="112">
        <v>0</v>
      </c>
    </row>
    <row r="911" spans="1:19" ht="45">
      <c r="A911" s="277" t="s">
        <v>2464</v>
      </c>
      <c r="B911" s="242" t="s">
        <v>2465</v>
      </c>
      <c r="C911" s="189" t="s">
        <v>7</v>
      </c>
      <c r="D911" s="143">
        <v>132.20099999999999</v>
      </c>
      <c r="E911" s="622"/>
      <c r="F911" s="113">
        <f t="shared" si="64"/>
        <v>132.20099999999999</v>
      </c>
      <c r="G911" s="112" t="s">
        <v>4064</v>
      </c>
      <c r="H911" s="120">
        <v>0</v>
      </c>
      <c r="I911" s="120" t="s">
        <v>4061</v>
      </c>
      <c r="J911" s="120" t="s">
        <v>4049</v>
      </c>
      <c r="K911" s="112">
        <v>198300</v>
      </c>
      <c r="L911" s="113"/>
      <c r="M911" s="113">
        <v>73600</v>
      </c>
      <c r="N911" s="113"/>
      <c r="O911" s="113"/>
      <c r="P911" s="299">
        <f t="shared" si="65"/>
        <v>271900</v>
      </c>
      <c r="Q911" s="299">
        <f t="shared" si="66"/>
        <v>35945451.899999999</v>
      </c>
      <c r="R911" s="299">
        <f t="shared" si="67"/>
        <v>35945451.899999999</v>
      </c>
      <c r="S911" s="112">
        <v>0</v>
      </c>
    </row>
    <row r="912" spans="1:19" ht="45">
      <c r="A912" s="277" t="s">
        <v>2466</v>
      </c>
      <c r="B912" s="242" t="s">
        <v>2467</v>
      </c>
      <c r="C912" s="189" t="s">
        <v>7</v>
      </c>
      <c r="D912" s="143">
        <v>205.232</v>
      </c>
      <c r="E912" s="622" t="s">
        <v>2458</v>
      </c>
      <c r="F912" s="113">
        <f t="shared" si="64"/>
        <v>205.232</v>
      </c>
      <c r="G912" s="112" t="s">
        <v>4065</v>
      </c>
      <c r="H912" s="120">
        <v>0</v>
      </c>
      <c r="I912" s="120" t="s">
        <v>4061</v>
      </c>
      <c r="J912" s="120" t="s">
        <v>4049</v>
      </c>
      <c r="K912" s="112">
        <v>75900</v>
      </c>
      <c r="L912" s="113"/>
      <c r="M912" s="113">
        <v>56500</v>
      </c>
      <c r="N912" s="113"/>
      <c r="O912" s="113"/>
      <c r="P912" s="299">
        <f t="shared" si="65"/>
        <v>132400</v>
      </c>
      <c r="Q912" s="299">
        <f t="shared" si="66"/>
        <v>27172716.800000001</v>
      </c>
      <c r="R912" s="299">
        <f t="shared" si="67"/>
        <v>27172716.800000001</v>
      </c>
      <c r="S912" s="112" t="s">
        <v>2458</v>
      </c>
    </row>
    <row r="913" spans="1:19" ht="45">
      <c r="A913" s="277" t="s">
        <v>2468</v>
      </c>
      <c r="B913" s="242" t="s">
        <v>2469</v>
      </c>
      <c r="C913" s="189" t="s">
        <v>7</v>
      </c>
      <c r="D913" s="143">
        <v>1834.13</v>
      </c>
      <c r="E913" s="622"/>
      <c r="F913" s="113">
        <f t="shared" si="64"/>
        <v>1834.13</v>
      </c>
      <c r="G913" s="112" t="s">
        <v>4066</v>
      </c>
      <c r="H913" s="120">
        <v>0</v>
      </c>
      <c r="I913" s="120" t="s">
        <v>4061</v>
      </c>
      <c r="J913" s="120" t="s">
        <v>4049</v>
      </c>
      <c r="K913" s="112">
        <v>111300</v>
      </c>
      <c r="L913" s="113"/>
      <c r="M913" s="113">
        <v>63500</v>
      </c>
      <c r="N913" s="113"/>
      <c r="O913" s="113"/>
      <c r="P913" s="299">
        <f t="shared" si="65"/>
        <v>174800</v>
      </c>
      <c r="Q913" s="299">
        <f t="shared" si="66"/>
        <v>320605924</v>
      </c>
      <c r="R913" s="299">
        <f t="shared" si="67"/>
        <v>320605924</v>
      </c>
      <c r="S913" s="112">
        <v>0</v>
      </c>
    </row>
    <row r="914" spans="1:19" ht="45">
      <c r="A914" s="277" t="s">
        <v>2470</v>
      </c>
      <c r="B914" s="242" t="s">
        <v>2463</v>
      </c>
      <c r="C914" s="189" t="s">
        <v>7</v>
      </c>
      <c r="D914" s="143">
        <v>273.93899999999996</v>
      </c>
      <c r="E914" s="622"/>
      <c r="F914" s="113">
        <f t="shared" si="64"/>
        <v>273.93899999999996</v>
      </c>
      <c r="G914" s="112" t="s">
        <v>4063</v>
      </c>
      <c r="H914" s="120">
        <v>0</v>
      </c>
      <c r="I914" s="120" t="s">
        <v>4061</v>
      </c>
      <c r="J914" s="120" t="s">
        <v>4049</v>
      </c>
      <c r="K914" s="112">
        <v>160800</v>
      </c>
      <c r="L914" s="113"/>
      <c r="M914" s="113">
        <v>69600</v>
      </c>
      <c r="N914" s="113"/>
      <c r="O914" s="113"/>
      <c r="P914" s="299">
        <f t="shared" si="65"/>
        <v>230400</v>
      </c>
      <c r="Q914" s="299">
        <f t="shared" si="66"/>
        <v>63115545.599999994</v>
      </c>
      <c r="R914" s="299">
        <f t="shared" si="67"/>
        <v>63115545.599999994</v>
      </c>
      <c r="S914" s="112">
        <v>0</v>
      </c>
    </row>
    <row r="915" spans="1:19" ht="45">
      <c r="A915" s="277" t="s">
        <v>2471</v>
      </c>
      <c r="B915" s="242" t="s">
        <v>2472</v>
      </c>
      <c r="C915" s="189" t="s">
        <v>7</v>
      </c>
      <c r="D915" s="143">
        <v>1658.5649999999998</v>
      </c>
      <c r="E915" s="622"/>
      <c r="F915" s="113">
        <f t="shared" si="64"/>
        <v>1658.5649999999998</v>
      </c>
      <c r="G915" s="112" t="s">
        <v>4067</v>
      </c>
      <c r="H915" s="120">
        <v>0</v>
      </c>
      <c r="I915" s="120" t="s">
        <v>4061</v>
      </c>
      <c r="J915" s="120" t="s">
        <v>4049</v>
      </c>
      <c r="K915" s="112">
        <v>234800</v>
      </c>
      <c r="L915" s="113"/>
      <c r="M915" s="113">
        <v>72600</v>
      </c>
      <c r="N915" s="113"/>
      <c r="O915" s="113"/>
      <c r="P915" s="299">
        <f t="shared" si="65"/>
        <v>307400</v>
      </c>
      <c r="Q915" s="299">
        <f t="shared" si="66"/>
        <v>509842880.99999994</v>
      </c>
      <c r="R915" s="299">
        <f t="shared" si="67"/>
        <v>509842880.99999994</v>
      </c>
      <c r="S915" s="112">
        <v>0</v>
      </c>
    </row>
    <row r="916" spans="1:19" ht="45">
      <c r="A916" s="277" t="s">
        <v>2473</v>
      </c>
      <c r="B916" s="242" t="s">
        <v>2474</v>
      </c>
      <c r="C916" s="189" t="s">
        <v>7</v>
      </c>
      <c r="D916" s="143">
        <v>1531.1690000000001</v>
      </c>
      <c r="E916" s="622"/>
      <c r="F916" s="113">
        <f t="shared" si="64"/>
        <v>1531.1690000000001</v>
      </c>
      <c r="G916" s="112" t="s">
        <v>4068</v>
      </c>
      <c r="H916" s="120">
        <v>0</v>
      </c>
      <c r="I916" s="120" t="s">
        <v>4061</v>
      </c>
      <c r="J916" s="120" t="s">
        <v>4049</v>
      </c>
      <c r="K916" s="112">
        <v>280600</v>
      </c>
      <c r="L916" s="113"/>
      <c r="M916" s="113">
        <v>77600</v>
      </c>
      <c r="N916" s="113"/>
      <c r="O916" s="113"/>
      <c r="P916" s="299">
        <f t="shared" si="65"/>
        <v>358200</v>
      </c>
      <c r="Q916" s="299">
        <f t="shared" si="66"/>
        <v>548464735.80000007</v>
      </c>
      <c r="R916" s="299">
        <f t="shared" si="67"/>
        <v>548464735.80000007</v>
      </c>
      <c r="S916" s="112">
        <v>0</v>
      </c>
    </row>
    <row r="917" spans="1:19" ht="45">
      <c r="A917" s="277" t="s">
        <v>2475</v>
      </c>
      <c r="B917" s="242" t="s">
        <v>2476</v>
      </c>
      <c r="C917" s="189" t="s">
        <v>7</v>
      </c>
      <c r="D917" s="143">
        <v>213.732</v>
      </c>
      <c r="E917" s="622"/>
      <c r="F917" s="113">
        <f t="shared" si="64"/>
        <v>213.732</v>
      </c>
      <c r="G917" s="112" t="s">
        <v>4069</v>
      </c>
      <c r="H917" s="120">
        <v>0</v>
      </c>
      <c r="I917" s="120" t="s">
        <v>4061</v>
      </c>
      <c r="J917" s="120" t="s">
        <v>4049</v>
      </c>
      <c r="K917" s="112">
        <v>367500</v>
      </c>
      <c r="L917" s="113"/>
      <c r="M917" s="113">
        <v>98800</v>
      </c>
      <c r="N917" s="113"/>
      <c r="O917" s="113"/>
      <c r="P917" s="299">
        <f t="shared" si="65"/>
        <v>466300</v>
      </c>
      <c r="Q917" s="299">
        <f t="shared" si="66"/>
        <v>99663231.599999994</v>
      </c>
      <c r="R917" s="299">
        <f t="shared" si="67"/>
        <v>99663231.599999994</v>
      </c>
      <c r="S917" s="112">
        <v>0</v>
      </c>
    </row>
    <row r="918" spans="1:19" ht="45">
      <c r="A918" s="277" t="s">
        <v>2477</v>
      </c>
      <c r="B918" s="242" t="s">
        <v>2478</v>
      </c>
      <c r="C918" s="189" t="s">
        <v>7</v>
      </c>
      <c r="D918" s="143">
        <v>352.46400000000006</v>
      </c>
      <c r="E918" s="622"/>
      <c r="F918" s="113">
        <f t="shared" si="64"/>
        <v>352.46400000000006</v>
      </c>
      <c r="G918" s="112" t="s">
        <v>4070</v>
      </c>
      <c r="H918" s="120">
        <v>0</v>
      </c>
      <c r="I918" s="120" t="s">
        <v>4061</v>
      </c>
      <c r="J918" s="120" t="s">
        <v>4049</v>
      </c>
      <c r="K918" s="112">
        <v>544200</v>
      </c>
      <c r="L918" s="113"/>
      <c r="M918" s="113">
        <v>120900</v>
      </c>
      <c r="N918" s="113"/>
      <c r="O918" s="113"/>
      <c r="P918" s="299">
        <f t="shared" si="65"/>
        <v>665100</v>
      </c>
      <c r="Q918" s="299">
        <f t="shared" si="66"/>
        <v>234423806.40000004</v>
      </c>
      <c r="R918" s="299">
        <f t="shared" si="67"/>
        <v>234423806.40000004</v>
      </c>
      <c r="S918" s="112">
        <v>0</v>
      </c>
    </row>
    <row r="919" spans="1:19" ht="45">
      <c r="A919" s="277" t="s">
        <v>2479</v>
      </c>
      <c r="B919" s="242" t="s">
        <v>2480</v>
      </c>
      <c r="C919" s="189" t="s">
        <v>7</v>
      </c>
      <c r="D919" s="143">
        <v>219.74200000000002</v>
      </c>
      <c r="E919" s="622"/>
      <c r="F919" s="113">
        <f t="shared" si="64"/>
        <v>219.74200000000002</v>
      </c>
      <c r="G919" s="112" t="s">
        <v>4071</v>
      </c>
      <c r="H919" s="120">
        <v>0</v>
      </c>
      <c r="I919" s="120" t="s">
        <v>4061</v>
      </c>
      <c r="J919" s="120" t="s">
        <v>4049</v>
      </c>
      <c r="K919" s="112">
        <v>661300</v>
      </c>
      <c r="L919" s="113"/>
      <c r="M919" s="113">
        <v>140100</v>
      </c>
      <c r="N919" s="113"/>
      <c r="O919" s="113"/>
      <c r="P919" s="299">
        <f t="shared" si="65"/>
        <v>801400</v>
      </c>
      <c r="Q919" s="299">
        <f t="shared" si="66"/>
        <v>176101238.80000001</v>
      </c>
      <c r="R919" s="299">
        <f t="shared" si="67"/>
        <v>176101238.80000001</v>
      </c>
      <c r="S919" s="112">
        <v>0</v>
      </c>
    </row>
    <row r="920" spans="1:19" ht="45">
      <c r="A920" s="277" t="s">
        <v>2481</v>
      </c>
      <c r="B920" s="242" t="s">
        <v>2482</v>
      </c>
      <c r="C920" s="189" t="s">
        <v>7</v>
      </c>
      <c r="D920" s="143">
        <v>1064.037</v>
      </c>
      <c r="E920" s="622"/>
      <c r="F920" s="113">
        <f t="shared" si="64"/>
        <v>1064.037</v>
      </c>
      <c r="G920" s="112" t="s">
        <v>4072</v>
      </c>
      <c r="H920" s="120">
        <v>0</v>
      </c>
      <c r="I920" s="120" t="s">
        <v>4061</v>
      </c>
      <c r="J920" s="120" t="s">
        <v>4049</v>
      </c>
      <c r="K920" s="112">
        <v>904900</v>
      </c>
      <c r="L920" s="113"/>
      <c r="M920" s="113">
        <v>165300</v>
      </c>
      <c r="N920" s="113"/>
      <c r="O920" s="113"/>
      <c r="P920" s="299">
        <f t="shared" si="65"/>
        <v>1070200</v>
      </c>
      <c r="Q920" s="299">
        <f t="shared" si="66"/>
        <v>1138732397.4000001</v>
      </c>
      <c r="R920" s="299">
        <f t="shared" si="67"/>
        <v>1138732397.4000001</v>
      </c>
      <c r="S920" s="112">
        <v>0</v>
      </c>
    </row>
    <row r="921" spans="1:19">
      <c r="A921" s="277" t="s">
        <v>2483</v>
      </c>
      <c r="B921" s="242" t="s">
        <v>2484</v>
      </c>
      <c r="C921" s="189" t="s">
        <v>2485</v>
      </c>
      <c r="D921" s="143">
        <v>490</v>
      </c>
      <c r="E921" s="622"/>
      <c r="F921" s="113">
        <f t="shared" si="64"/>
        <v>490</v>
      </c>
      <c r="G921" s="112" t="s">
        <v>3588</v>
      </c>
      <c r="H921" s="120">
        <v>0</v>
      </c>
      <c r="I921" s="120" t="s">
        <v>3587</v>
      </c>
      <c r="J921" s="120" t="s">
        <v>769</v>
      </c>
      <c r="K921" s="112">
        <v>350200</v>
      </c>
      <c r="L921" s="113"/>
      <c r="M921" s="113">
        <v>57500</v>
      </c>
      <c r="N921" s="113"/>
      <c r="O921" s="113"/>
      <c r="P921" s="299">
        <f t="shared" si="65"/>
        <v>407700</v>
      </c>
      <c r="Q921" s="299">
        <f t="shared" si="66"/>
        <v>199773000</v>
      </c>
      <c r="R921" s="299">
        <f t="shared" si="67"/>
        <v>199773000</v>
      </c>
      <c r="S921" s="112">
        <v>0</v>
      </c>
    </row>
    <row r="922" spans="1:19">
      <c r="A922" s="277" t="s">
        <v>2486</v>
      </c>
      <c r="B922" s="242" t="s">
        <v>2487</v>
      </c>
      <c r="C922" s="189" t="s">
        <v>17</v>
      </c>
      <c r="D922" s="143">
        <v>1</v>
      </c>
      <c r="E922" s="76"/>
      <c r="F922" s="113">
        <f t="shared" si="64"/>
        <v>1</v>
      </c>
      <c r="G922" s="112">
        <v>0</v>
      </c>
      <c r="H922" s="120">
        <v>0</v>
      </c>
      <c r="I922" s="120">
        <v>0</v>
      </c>
      <c r="J922" s="120" t="s">
        <v>806</v>
      </c>
      <c r="K922" s="112">
        <v>0</v>
      </c>
      <c r="L922" s="113"/>
      <c r="M922" s="113">
        <v>0</v>
      </c>
      <c r="N922" s="113"/>
      <c r="O922" s="113"/>
      <c r="P922" s="299">
        <f t="shared" si="65"/>
        <v>0</v>
      </c>
      <c r="Q922" s="299">
        <f t="shared" si="66"/>
        <v>0</v>
      </c>
      <c r="R922" s="299">
        <f t="shared" si="67"/>
        <v>0</v>
      </c>
      <c r="S922" s="112">
        <v>0</v>
      </c>
    </row>
    <row r="923" spans="1:19" ht="28.5">
      <c r="A923" s="79">
        <v>2</v>
      </c>
      <c r="B923" s="257" t="s">
        <v>2488</v>
      </c>
      <c r="C923" s="79"/>
      <c r="D923" s="143"/>
      <c r="E923" s="76"/>
      <c r="F923" s="113">
        <f t="shared" si="64"/>
        <v>0</v>
      </c>
      <c r="G923" s="112">
        <v>0</v>
      </c>
      <c r="H923" s="120">
        <v>0</v>
      </c>
      <c r="I923" s="120">
        <v>0</v>
      </c>
      <c r="J923" s="120">
        <v>0</v>
      </c>
      <c r="K923" s="112">
        <v>0</v>
      </c>
      <c r="L923" s="113"/>
      <c r="M923" s="113">
        <v>0</v>
      </c>
      <c r="N923" s="113"/>
      <c r="O923" s="113"/>
      <c r="P923" s="299">
        <f t="shared" si="65"/>
        <v>0</v>
      </c>
      <c r="Q923" s="299">
        <f t="shared" si="66"/>
        <v>0</v>
      </c>
      <c r="R923" s="299">
        <f t="shared" si="67"/>
        <v>0</v>
      </c>
      <c r="S923" s="112">
        <v>0</v>
      </c>
    </row>
    <row r="924" spans="1:19" ht="60">
      <c r="A924" s="277">
        <v>2.1</v>
      </c>
      <c r="B924" s="242" t="s">
        <v>2489</v>
      </c>
      <c r="C924" s="189" t="s">
        <v>7</v>
      </c>
      <c r="D924" s="143">
        <v>37.673999999999999</v>
      </c>
      <c r="E924" s="76"/>
      <c r="F924" s="113">
        <f t="shared" si="64"/>
        <v>37.673999999999999</v>
      </c>
      <c r="G924" s="112" t="s">
        <v>4073</v>
      </c>
      <c r="H924" s="120">
        <v>0</v>
      </c>
      <c r="I924" s="120" t="s">
        <v>4074</v>
      </c>
      <c r="J924" s="120" t="s">
        <v>4049</v>
      </c>
      <c r="K924" s="112">
        <v>33500</v>
      </c>
      <c r="L924" s="113"/>
      <c r="M924" s="113">
        <v>46400</v>
      </c>
      <c r="N924" s="113"/>
      <c r="O924" s="113"/>
      <c r="P924" s="299">
        <f t="shared" si="65"/>
        <v>79900</v>
      </c>
      <c r="Q924" s="299">
        <f t="shared" si="66"/>
        <v>3010152.6</v>
      </c>
      <c r="R924" s="299">
        <f t="shared" si="67"/>
        <v>3010152.6</v>
      </c>
      <c r="S924" s="112">
        <v>0</v>
      </c>
    </row>
    <row r="925" spans="1:19" ht="60">
      <c r="A925" s="277">
        <v>2.2000000000000002</v>
      </c>
      <c r="B925" s="242" t="s">
        <v>2490</v>
      </c>
      <c r="C925" s="189" t="s">
        <v>7</v>
      </c>
      <c r="D925" s="143">
        <v>1128.607</v>
      </c>
      <c r="E925" s="76"/>
      <c r="F925" s="113">
        <f t="shared" si="64"/>
        <v>1128.607</v>
      </c>
      <c r="G925" s="112" t="s">
        <v>4075</v>
      </c>
      <c r="H925" s="120">
        <v>0</v>
      </c>
      <c r="I925" s="120" t="s">
        <v>4074</v>
      </c>
      <c r="J925" s="120" t="s">
        <v>4049</v>
      </c>
      <c r="K925" s="112">
        <v>40900</v>
      </c>
      <c r="L925" s="113"/>
      <c r="M925" s="113">
        <v>46400</v>
      </c>
      <c r="N925" s="113"/>
      <c r="O925" s="113"/>
      <c r="P925" s="299">
        <f t="shared" si="65"/>
        <v>87300</v>
      </c>
      <c r="Q925" s="299">
        <f t="shared" si="66"/>
        <v>98527391.099999994</v>
      </c>
      <c r="R925" s="299">
        <f t="shared" si="67"/>
        <v>98527391.099999994</v>
      </c>
      <c r="S925" s="112">
        <v>0</v>
      </c>
    </row>
    <row r="926" spans="1:19" ht="60">
      <c r="A926" s="277">
        <v>2.2999999999999998</v>
      </c>
      <c r="B926" s="242" t="s">
        <v>2491</v>
      </c>
      <c r="C926" s="189" t="s">
        <v>7</v>
      </c>
      <c r="D926" s="143">
        <v>470.8</v>
      </c>
      <c r="E926" s="76"/>
      <c r="F926" s="113">
        <f t="shared" si="64"/>
        <v>470.8</v>
      </c>
      <c r="G926" s="112" t="s">
        <v>4076</v>
      </c>
      <c r="H926" s="120">
        <v>0</v>
      </c>
      <c r="I926" s="120" t="s">
        <v>4074</v>
      </c>
      <c r="J926" s="120" t="s">
        <v>4049</v>
      </c>
      <c r="K926" s="112">
        <v>52100</v>
      </c>
      <c r="L926" s="113"/>
      <c r="M926" s="113">
        <v>56500</v>
      </c>
      <c r="N926" s="113"/>
      <c r="O926" s="113"/>
      <c r="P926" s="299">
        <f t="shared" si="65"/>
        <v>108600</v>
      </c>
      <c r="Q926" s="299">
        <f t="shared" si="66"/>
        <v>51128880</v>
      </c>
      <c r="R926" s="299">
        <f t="shared" si="67"/>
        <v>51128880</v>
      </c>
      <c r="S926" s="112">
        <v>0</v>
      </c>
    </row>
    <row r="927" spans="1:19" ht="60">
      <c r="A927" s="277">
        <v>2.4</v>
      </c>
      <c r="B927" s="242" t="s">
        <v>2492</v>
      </c>
      <c r="C927" s="189" t="s">
        <v>7</v>
      </c>
      <c r="D927" s="143">
        <v>327.42000000000007</v>
      </c>
      <c r="E927" s="76"/>
      <c r="F927" s="113">
        <f t="shared" si="64"/>
        <v>327.42000000000007</v>
      </c>
      <c r="G927" s="112" t="s">
        <v>4077</v>
      </c>
      <c r="H927" s="120">
        <v>0</v>
      </c>
      <c r="I927" s="120" t="s">
        <v>4074</v>
      </c>
      <c r="J927" s="120" t="s">
        <v>4049</v>
      </c>
      <c r="K927" s="112">
        <v>71900</v>
      </c>
      <c r="L927" s="113"/>
      <c r="M927" s="113">
        <v>58500</v>
      </c>
      <c r="N927" s="113"/>
      <c r="O927" s="113"/>
      <c r="P927" s="299">
        <f t="shared" si="65"/>
        <v>130400</v>
      </c>
      <c r="Q927" s="299">
        <f t="shared" si="66"/>
        <v>42695568.000000007</v>
      </c>
      <c r="R927" s="299">
        <f t="shared" si="67"/>
        <v>42695568.000000007</v>
      </c>
      <c r="S927" s="112">
        <v>0</v>
      </c>
    </row>
    <row r="928" spans="1:19" ht="60">
      <c r="A928" s="277">
        <v>2.5</v>
      </c>
      <c r="B928" s="242" t="s">
        <v>2493</v>
      </c>
      <c r="C928" s="189" t="s">
        <v>7</v>
      </c>
      <c r="D928" s="143">
        <v>1019.047</v>
      </c>
      <c r="E928" s="76"/>
      <c r="F928" s="113">
        <f t="shared" si="64"/>
        <v>1019.047</v>
      </c>
      <c r="G928" s="112" t="s">
        <v>4078</v>
      </c>
      <c r="H928" s="120">
        <v>0</v>
      </c>
      <c r="I928" s="120" t="s">
        <v>4074</v>
      </c>
      <c r="J928" s="120" t="s">
        <v>4049</v>
      </c>
      <c r="K928" s="112">
        <v>81900</v>
      </c>
      <c r="L928" s="113"/>
      <c r="M928" s="113">
        <v>78600</v>
      </c>
      <c r="N928" s="113"/>
      <c r="O928" s="113"/>
      <c r="P928" s="299">
        <f t="shared" si="65"/>
        <v>160500</v>
      </c>
      <c r="Q928" s="299">
        <f t="shared" si="66"/>
        <v>163557043.5</v>
      </c>
      <c r="R928" s="299">
        <f t="shared" si="67"/>
        <v>163557043.5</v>
      </c>
      <c r="S928" s="112">
        <v>0</v>
      </c>
    </row>
    <row r="929" spans="1:19" ht="60">
      <c r="A929" s="277">
        <v>2.6</v>
      </c>
      <c r="B929" s="242" t="s">
        <v>2494</v>
      </c>
      <c r="C929" s="189" t="s">
        <v>7</v>
      </c>
      <c r="D929" s="143">
        <v>94.882999999999996</v>
      </c>
      <c r="E929" s="76"/>
      <c r="F929" s="113">
        <f t="shared" si="64"/>
        <v>94.882999999999996</v>
      </c>
      <c r="G929" s="112" t="s">
        <v>4079</v>
      </c>
      <c r="H929" s="120">
        <v>0</v>
      </c>
      <c r="I929" s="120" t="s">
        <v>4074</v>
      </c>
      <c r="J929" s="120" t="s">
        <v>4049</v>
      </c>
      <c r="K929" s="112">
        <v>112700</v>
      </c>
      <c r="L929" s="113"/>
      <c r="M929" s="113">
        <v>100800</v>
      </c>
      <c r="N929" s="113"/>
      <c r="O929" s="113"/>
      <c r="P929" s="299">
        <f t="shared" si="65"/>
        <v>213500</v>
      </c>
      <c r="Q929" s="299">
        <f t="shared" si="66"/>
        <v>20257520.5</v>
      </c>
      <c r="R929" s="299">
        <f t="shared" si="67"/>
        <v>20257520.5</v>
      </c>
      <c r="S929" s="112">
        <v>0</v>
      </c>
    </row>
    <row r="930" spans="1:19" ht="60">
      <c r="A930" s="277">
        <v>2.7</v>
      </c>
      <c r="B930" s="242" t="s">
        <v>2495</v>
      </c>
      <c r="C930" s="189" t="s">
        <v>7</v>
      </c>
      <c r="D930" s="143">
        <v>36.076000000000001</v>
      </c>
      <c r="E930" s="76"/>
      <c r="F930" s="113">
        <f t="shared" si="64"/>
        <v>36.076000000000001</v>
      </c>
      <c r="G930" s="112" t="s">
        <v>4080</v>
      </c>
      <c r="H930" s="120">
        <v>0</v>
      </c>
      <c r="I930" s="120" t="s">
        <v>4074</v>
      </c>
      <c r="J930" s="120" t="s">
        <v>4049</v>
      </c>
      <c r="K930" s="112">
        <v>138500</v>
      </c>
      <c r="L930" s="113"/>
      <c r="M930" s="113">
        <v>125000</v>
      </c>
      <c r="N930" s="113"/>
      <c r="O930" s="113"/>
      <c r="P930" s="299">
        <f t="shared" si="65"/>
        <v>263500</v>
      </c>
      <c r="Q930" s="299">
        <f t="shared" si="66"/>
        <v>9506026</v>
      </c>
      <c r="R930" s="299">
        <f t="shared" si="67"/>
        <v>9506026</v>
      </c>
      <c r="S930" s="112">
        <v>0</v>
      </c>
    </row>
    <row r="931" spans="1:19" ht="60">
      <c r="A931" s="277">
        <v>2.7</v>
      </c>
      <c r="B931" s="242" t="s">
        <v>2496</v>
      </c>
      <c r="C931" s="189" t="s">
        <v>7</v>
      </c>
      <c r="D931" s="143">
        <v>179.13</v>
      </c>
      <c r="E931" s="76"/>
      <c r="F931" s="113">
        <f t="shared" si="64"/>
        <v>179.13</v>
      </c>
      <c r="G931" s="112" t="s">
        <v>4081</v>
      </c>
      <c r="H931" s="120">
        <v>0</v>
      </c>
      <c r="I931" s="120" t="s">
        <v>4074</v>
      </c>
      <c r="J931" s="120" t="s">
        <v>4049</v>
      </c>
      <c r="K931" s="112">
        <v>172800</v>
      </c>
      <c r="L931" s="113"/>
      <c r="M931" s="113">
        <v>146100</v>
      </c>
      <c r="N931" s="113"/>
      <c r="O931" s="113"/>
      <c r="P931" s="299">
        <f t="shared" si="65"/>
        <v>318900</v>
      </c>
      <c r="Q931" s="299">
        <f t="shared" si="66"/>
        <v>57124557</v>
      </c>
      <c r="R931" s="299">
        <f t="shared" si="67"/>
        <v>57124557</v>
      </c>
      <c r="S931" s="112">
        <v>0</v>
      </c>
    </row>
    <row r="932" spans="1:19" ht="60">
      <c r="A932" s="277">
        <v>2.8</v>
      </c>
      <c r="B932" s="242" t="s">
        <v>2497</v>
      </c>
      <c r="C932" s="189" t="s">
        <v>7</v>
      </c>
      <c r="D932" s="143">
        <v>97.569000000000003</v>
      </c>
      <c r="E932" s="76"/>
      <c r="F932" s="113">
        <f t="shared" si="64"/>
        <v>97.569000000000003</v>
      </c>
      <c r="G932" s="112" t="s">
        <v>4082</v>
      </c>
      <c r="H932" s="120">
        <v>0</v>
      </c>
      <c r="I932" s="120" t="s">
        <v>4074</v>
      </c>
      <c r="J932" s="120" t="s">
        <v>4049</v>
      </c>
      <c r="K932" s="112">
        <v>227700</v>
      </c>
      <c r="L932" s="113"/>
      <c r="M932" s="113">
        <v>171300</v>
      </c>
      <c r="N932" s="113"/>
      <c r="O932" s="113"/>
      <c r="P932" s="299">
        <f t="shared" si="65"/>
        <v>399000</v>
      </c>
      <c r="Q932" s="299">
        <f t="shared" si="66"/>
        <v>38930031</v>
      </c>
      <c r="R932" s="299">
        <f t="shared" si="67"/>
        <v>38930031</v>
      </c>
      <c r="S932" s="112">
        <v>0</v>
      </c>
    </row>
    <row r="933" spans="1:19" ht="75">
      <c r="A933" s="277">
        <v>2.9</v>
      </c>
      <c r="B933" s="242" t="s">
        <v>2498</v>
      </c>
      <c r="C933" s="189" t="s">
        <v>7</v>
      </c>
      <c r="D933" s="143">
        <v>20.388000000000002</v>
      </c>
      <c r="E933" s="76"/>
      <c r="F933" s="113">
        <f t="shared" si="64"/>
        <v>20.388000000000002</v>
      </c>
      <c r="G933" s="112" t="s">
        <v>4083</v>
      </c>
      <c r="H933" s="120">
        <v>0</v>
      </c>
      <c r="I933" s="120" t="s">
        <v>4074</v>
      </c>
      <c r="J933" s="120" t="s">
        <v>4049</v>
      </c>
      <c r="K933" s="112">
        <v>146100</v>
      </c>
      <c r="L933" s="113"/>
      <c r="M933" s="113">
        <v>216700</v>
      </c>
      <c r="N933" s="113"/>
      <c r="O933" s="113"/>
      <c r="P933" s="299">
        <f t="shared" si="65"/>
        <v>362800</v>
      </c>
      <c r="Q933" s="299">
        <f t="shared" si="66"/>
        <v>7396766.4000000004</v>
      </c>
      <c r="R933" s="299">
        <f t="shared" si="67"/>
        <v>7396766.4000000004</v>
      </c>
      <c r="S933" s="112">
        <v>0</v>
      </c>
    </row>
    <row r="934" spans="1:19" ht="75">
      <c r="A934" s="277">
        <v>2.9</v>
      </c>
      <c r="B934" s="242" t="s">
        <v>2499</v>
      </c>
      <c r="C934" s="189" t="s">
        <v>7</v>
      </c>
      <c r="D934" s="143">
        <v>70.242999999999995</v>
      </c>
      <c r="E934" s="76"/>
      <c r="F934" s="113">
        <f t="shared" si="64"/>
        <v>70.242999999999995</v>
      </c>
      <c r="G934" s="112" t="s">
        <v>4084</v>
      </c>
      <c r="H934" s="120">
        <v>0</v>
      </c>
      <c r="I934" s="120" t="s">
        <v>4074</v>
      </c>
      <c r="J934" s="120" t="s">
        <v>4049</v>
      </c>
      <c r="K934" s="112">
        <v>181000</v>
      </c>
      <c r="L934" s="113"/>
      <c r="M934" s="113">
        <v>216700</v>
      </c>
      <c r="N934" s="113"/>
      <c r="O934" s="113"/>
      <c r="P934" s="299">
        <f t="shared" si="65"/>
        <v>397700</v>
      </c>
      <c r="Q934" s="299">
        <f t="shared" si="66"/>
        <v>27935641.099999998</v>
      </c>
      <c r="R934" s="299">
        <f t="shared" si="67"/>
        <v>27935641.099999998</v>
      </c>
      <c r="S934" s="112">
        <v>0</v>
      </c>
    </row>
    <row r="935" spans="1:19" ht="75">
      <c r="A935" s="277">
        <v>2.9</v>
      </c>
      <c r="B935" s="242" t="s">
        <v>2500</v>
      </c>
      <c r="C935" s="189" t="s">
        <v>7</v>
      </c>
      <c r="D935" s="143">
        <v>0</v>
      </c>
      <c r="E935" s="76"/>
      <c r="F935" s="113">
        <f t="shared" si="64"/>
        <v>0</v>
      </c>
      <c r="G935" s="112" t="s">
        <v>4085</v>
      </c>
      <c r="H935" s="120">
        <v>0</v>
      </c>
      <c r="I935" s="120" t="s">
        <v>4074</v>
      </c>
      <c r="J935" s="120" t="s">
        <v>4049</v>
      </c>
      <c r="K935" s="112">
        <v>234200</v>
      </c>
      <c r="L935" s="113"/>
      <c r="M935" s="113">
        <v>264000</v>
      </c>
      <c r="N935" s="113"/>
      <c r="O935" s="113"/>
      <c r="P935" s="299">
        <f t="shared" si="65"/>
        <v>498200</v>
      </c>
      <c r="Q935" s="299">
        <f t="shared" si="66"/>
        <v>0</v>
      </c>
      <c r="R935" s="299">
        <f t="shared" si="67"/>
        <v>0</v>
      </c>
      <c r="S935" s="112">
        <v>0</v>
      </c>
    </row>
    <row r="936" spans="1:19">
      <c r="A936" s="277" t="s">
        <v>2501</v>
      </c>
      <c r="B936" s="242" t="s">
        <v>2502</v>
      </c>
      <c r="C936" s="189" t="s">
        <v>17</v>
      </c>
      <c r="D936" s="143">
        <v>1</v>
      </c>
      <c r="E936" s="76"/>
      <c r="F936" s="113">
        <f t="shared" si="64"/>
        <v>1</v>
      </c>
      <c r="G936" s="112">
        <v>0</v>
      </c>
      <c r="H936" s="120">
        <v>0</v>
      </c>
      <c r="I936" s="120">
        <v>0</v>
      </c>
      <c r="J936" s="120" t="s">
        <v>806</v>
      </c>
      <c r="K936" s="112">
        <v>0</v>
      </c>
      <c r="L936" s="113"/>
      <c r="M936" s="113">
        <v>0</v>
      </c>
      <c r="N936" s="113"/>
      <c r="O936" s="113"/>
      <c r="P936" s="299">
        <f t="shared" si="65"/>
        <v>0</v>
      </c>
      <c r="Q936" s="299">
        <f t="shared" si="66"/>
        <v>0</v>
      </c>
      <c r="R936" s="299">
        <f t="shared" si="67"/>
        <v>0</v>
      </c>
      <c r="S936" s="112">
        <v>0</v>
      </c>
    </row>
    <row r="937" spans="1:19">
      <c r="A937" s="79">
        <v>3</v>
      </c>
      <c r="B937" s="257" t="s">
        <v>2503</v>
      </c>
      <c r="C937" s="79"/>
      <c r="D937" s="143"/>
      <c r="E937" s="76"/>
      <c r="F937" s="113">
        <f t="shared" si="64"/>
        <v>0</v>
      </c>
      <c r="G937" s="112">
        <v>0</v>
      </c>
      <c r="H937" s="120">
        <v>0</v>
      </c>
      <c r="I937" s="120">
        <v>0</v>
      </c>
      <c r="J937" s="120">
        <v>0</v>
      </c>
      <c r="K937" s="112">
        <v>0</v>
      </c>
      <c r="L937" s="113"/>
      <c r="M937" s="113">
        <v>0</v>
      </c>
      <c r="N937" s="113"/>
      <c r="O937" s="113"/>
      <c r="P937" s="299">
        <f t="shared" si="65"/>
        <v>0</v>
      </c>
      <c r="Q937" s="299">
        <f t="shared" si="66"/>
        <v>0</v>
      </c>
      <c r="R937" s="299">
        <f t="shared" si="67"/>
        <v>0</v>
      </c>
      <c r="S937" s="112">
        <v>0</v>
      </c>
    </row>
    <row r="938" spans="1:19" ht="30">
      <c r="A938" s="189">
        <v>3.1</v>
      </c>
      <c r="B938" s="242" t="s">
        <v>2504</v>
      </c>
      <c r="C938" s="189" t="s">
        <v>7</v>
      </c>
      <c r="D938" s="143">
        <v>3867.5740000000001</v>
      </c>
      <c r="E938" s="76"/>
      <c r="F938" s="113">
        <f t="shared" si="64"/>
        <v>3867.5740000000001</v>
      </c>
      <c r="G938" s="112">
        <v>0</v>
      </c>
      <c r="H938" s="120" t="s">
        <v>1148</v>
      </c>
      <c r="I938" s="120" t="s">
        <v>771</v>
      </c>
      <c r="J938" s="120" t="s">
        <v>772</v>
      </c>
      <c r="K938" s="112">
        <v>26800</v>
      </c>
      <c r="L938" s="113"/>
      <c r="M938" s="113">
        <v>12100</v>
      </c>
      <c r="N938" s="113"/>
      <c r="O938" s="113"/>
      <c r="P938" s="299">
        <f t="shared" si="65"/>
        <v>38900</v>
      </c>
      <c r="Q938" s="299">
        <f t="shared" si="66"/>
        <v>150448628.59999999</v>
      </c>
      <c r="R938" s="299">
        <f t="shared" si="67"/>
        <v>150448628.59999999</v>
      </c>
      <c r="S938" s="112">
        <v>0</v>
      </c>
    </row>
    <row r="939" spans="1:19" ht="30">
      <c r="A939" s="189">
        <v>3.2</v>
      </c>
      <c r="B939" s="242" t="s">
        <v>2505</v>
      </c>
      <c r="C939" s="189" t="s">
        <v>7</v>
      </c>
      <c r="D939" s="143">
        <v>3222.127</v>
      </c>
      <c r="E939" s="76"/>
      <c r="F939" s="113">
        <f t="shared" si="64"/>
        <v>3222.127</v>
      </c>
      <c r="G939" s="112">
        <v>0</v>
      </c>
      <c r="H939" s="120" t="s">
        <v>1149</v>
      </c>
      <c r="I939" s="120" t="s">
        <v>771</v>
      </c>
      <c r="J939" s="120" t="s">
        <v>772</v>
      </c>
      <c r="K939" s="112">
        <v>21600</v>
      </c>
      <c r="L939" s="113"/>
      <c r="M939" s="113">
        <v>10100</v>
      </c>
      <c r="N939" s="113"/>
      <c r="O939" s="113"/>
      <c r="P939" s="299">
        <f t="shared" si="65"/>
        <v>31700</v>
      </c>
      <c r="Q939" s="299">
        <f t="shared" si="66"/>
        <v>102141425.89999999</v>
      </c>
      <c r="R939" s="299">
        <f t="shared" si="67"/>
        <v>102141425.89999999</v>
      </c>
      <c r="S939" s="112">
        <v>0</v>
      </c>
    </row>
    <row r="940" spans="1:19" ht="30">
      <c r="A940" s="189">
        <v>3.3</v>
      </c>
      <c r="B940" s="242" t="s">
        <v>2506</v>
      </c>
      <c r="C940" s="189" t="s">
        <v>7</v>
      </c>
      <c r="D940" s="143">
        <v>245.60299999999998</v>
      </c>
      <c r="E940" s="76"/>
      <c r="F940" s="113">
        <f t="shared" si="64"/>
        <v>245.60299999999998</v>
      </c>
      <c r="G940" s="112">
        <v>0</v>
      </c>
      <c r="H940" s="120" t="s">
        <v>1151</v>
      </c>
      <c r="I940" s="120" t="s">
        <v>771</v>
      </c>
      <c r="J940" s="120" t="s">
        <v>772</v>
      </c>
      <c r="K940" s="112">
        <v>43600</v>
      </c>
      <c r="L940" s="113"/>
      <c r="M940" s="113">
        <v>22200</v>
      </c>
      <c r="N940" s="113"/>
      <c r="O940" s="113"/>
      <c r="P940" s="299">
        <f t="shared" si="65"/>
        <v>65800</v>
      </c>
      <c r="Q940" s="299">
        <f t="shared" si="66"/>
        <v>16160677.399999999</v>
      </c>
      <c r="R940" s="299">
        <f t="shared" si="67"/>
        <v>16160677.399999999</v>
      </c>
      <c r="S940" s="112">
        <v>0</v>
      </c>
    </row>
    <row r="941" spans="1:19" ht="45">
      <c r="A941" s="189">
        <v>3.4</v>
      </c>
      <c r="B941" s="242" t="s">
        <v>2507</v>
      </c>
      <c r="C941" s="189" t="s">
        <v>7</v>
      </c>
      <c r="D941" s="143">
        <v>7169.6170000000011</v>
      </c>
      <c r="E941" s="76"/>
      <c r="F941" s="113">
        <f t="shared" si="64"/>
        <v>7169.6170000000011</v>
      </c>
      <c r="G941" s="112" t="s">
        <v>970</v>
      </c>
      <c r="H941" s="120" t="s">
        <v>971</v>
      </c>
      <c r="I941" s="120" t="s">
        <v>723</v>
      </c>
      <c r="J941" s="120" t="s">
        <v>772</v>
      </c>
      <c r="K941" s="112">
        <v>9000</v>
      </c>
      <c r="L941" s="113"/>
      <c r="M941" s="113">
        <v>23200</v>
      </c>
      <c r="N941" s="113"/>
      <c r="O941" s="113"/>
      <c r="P941" s="299">
        <f t="shared" si="65"/>
        <v>32200</v>
      </c>
      <c r="Q941" s="299">
        <f t="shared" si="66"/>
        <v>230861667.40000004</v>
      </c>
      <c r="R941" s="299">
        <f t="shared" si="67"/>
        <v>230861667.40000004</v>
      </c>
      <c r="S941" s="112">
        <v>0</v>
      </c>
    </row>
    <row r="942" spans="1:19">
      <c r="A942" s="189">
        <v>3.5</v>
      </c>
      <c r="B942" s="242" t="s">
        <v>2508</v>
      </c>
      <c r="C942" s="189" t="s">
        <v>17</v>
      </c>
      <c r="D942" s="143">
        <v>1</v>
      </c>
      <c r="E942" s="76"/>
      <c r="F942" s="113">
        <f t="shared" si="64"/>
        <v>1</v>
      </c>
      <c r="G942" s="112">
        <v>0</v>
      </c>
      <c r="H942" s="120">
        <v>0</v>
      </c>
      <c r="I942" s="120">
        <v>0</v>
      </c>
      <c r="J942" s="120" t="s">
        <v>806</v>
      </c>
      <c r="K942" s="112">
        <v>0</v>
      </c>
      <c r="L942" s="113"/>
      <c r="M942" s="113">
        <v>0</v>
      </c>
      <c r="N942" s="113"/>
      <c r="O942" s="113"/>
      <c r="P942" s="299">
        <f t="shared" si="65"/>
        <v>0</v>
      </c>
      <c r="Q942" s="299">
        <f t="shared" si="66"/>
        <v>0</v>
      </c>
      <c r="R942" s="299">
        <f t="shared" si="67"/>
        <v>0</v>
      </c>
      <c r="S942" s="112">
        <v>0</v>
      </c>
    </row>
    <row r="943" spans="1:19" ht="28.5">
      <c r="A943" s="278" t="s">
        <v>5</v>
      </c>
      <c r="B943" s="279" t="s">
        <v>2509</v>
      </c>
      <c r="C943" s="182"/>
      <c r="D943" s="143"/>
      <c r="E943" s="243"/>
      <c r="F943" s="113">
        <f t="shared" si="64"/>
        <v>0</v>
      </c>
      <c r="G943" s="112">
        <v>0</v>
      </c>
      <c r="H943" s="120">
        <v>0</v>
      </c>
      <c r="I943" s="120">
        <v>0</v>
      </c>
      <c r="J943" s="120">
        <v>0</v>
      </c>
      <c r="K943" s="112">
        <v>0</v>
      </c>
      <c r="L943" s="113"/>
      <c r="M943" s="113">
        <v>0</v>
      </c>
      <c r="N943" s="113"/>
      <c r="O943" s="113"/>
      <c r="P943" s="299">
        <f t="shared" si="65"/>
        <v>0</v>
      </c>
      <c r="Q943" s="299">
        <f t="shared" si="66"/>
        <v>0</v>
      </c>
      <c r="R943" s="299">
        <f t="shared" si="67"/>
        <v>0</v>
      </c>
      <c r="S943" s="112">
        <v>0</v>
      </c>
    </row>
    <row r="944" spans="1:19">
      <c r="A944" s="182">
        <v>1</v>
      </c>
      <c r="B944" s="243" t="s">
        <v>2510</v>
      </c>
      <c r="C944" s="182"/>
      <c r="D944" s="170"/>
      <c r="E944" s="243"/>
      <c r="F944" s="113">
        <f t="shared" si="64"/>
        <v>0</v>
      </c>
      <c r="G944" s="112">
        <v>0</v>
      </c>
      <c r="H944" s="120">
        <v>0</v>
      </c>
      <c r="I944" s="120">
        <v>0</v>
      </c>
      <c r="J944" s="120">
        <v>0</v>
      </c>
      <c r="K944" s="112">
        <v>0</v>
      </c>
      <c r="L944" s="113"/>
      <c r="M944" s="113">
        <v>0</v>
      </c>
      <c r="N944" s="113"/>
      <c r="O944" s="113"/>
      <c r="P944" s="299">
        <f t="shared" si="65"/>
        <v>0</v>
      </c>
      <c r="Q944" s="299">
        <f t="shared" si="66"/>
        <v>0</v>
      </c>
      <c r="R944" s="299">
        <f t="shared" si="67"/>
        <v>0</v>
      </c>
      <c r="S944" s="112">
        <v>0</v>
      </c>
    </row>
    <row r="945" spans="1:19" ht="60">
      <c r="A945" s="189" t="s">
        <v>1858</v>
      </c>
      <c r="B945" s="242" t="s">
        <v>2511</v>
      </c>
      <c r="C945" s="189" t="s">
        <v>2512</v>
      </c>
      <c r="D945" s="143">
        <v>34</v>
      </c>
      <c r="E945" s="242" t="s">
        <v>1495</v>
      </c>
      <c r="F945" s="113">
        <f t="shared" si="64"/>
        <v>34</v>
      </c>
      <c r="G945" s="112">
        <v>0</v>
      </c>
      <c r="H945" s="120">
        <v>0</v>
      </c>
      <c r="I945" s="120">
        <v>0</v>
      </c>
      <c r="J945" s="120">
        <v>0</v>
      </c>
      <c r="K945" s="112">
        <v>76000</v>
      </c>
      <c r="L945" s="113"/>
      <c r="M945" s="113">
        <v>1004500</v>
      </c>
      <c r="N945" s="113"/>
      <c r="O945" s="113"/>
      <c r="P945" s="299">
        <f t="shared" si="65"/>
        <v>1080500</v>
      </c>
      <c r="Q945" s="299">
        <f t="shared" si="66"/>
        <v>36737000</v>
      </c>
      <c r="R945" s="299">
        <f t="shared" si="67"/>
        <v>36737000</v>
      </c>
      <c r="S945" s="112" t="s">
        <v>3747</v>
      </c>
    </row>
    <row r="946" spans="1:19" ht="60">
      <c r="A946" s="189" t="s">
        <v>1875</v>
      </c>
      <c r="B946" s="242" t="s">
        <v>2513</v>
      </c>
      <c r="C946" s="189" t="s">
        <v>2512</v>
      </c>
      <c r="D946" s="143">
        <v>182</v>
      </c>
      <c r="E946" s="242" t="s">
        <v>1495</v>
      </c>
      <c r="F946" s="113">
        <f t="shared" si="64"/>
        <v>182</v>
      </c>
      <c r="G946" s="112">
        <v>0</v>
      </c>
      <c r="H946" s="120">
        <v>0</v>
      </c>
      <c r="I946" s="120">
        <v>0</v>
      </c>
      <c r="J946" s="120">
        <v>0</v>
      </c>
      <c r="K946" s="112">
        <v>76000</v>
      </c>
      <c r="L946" s="113"/>
      <c r="M946" s="113">
        <v>1004500</v>
      </c>
      <c r="N946" s="113"/>
      <c r="O946" s="113"/>
      <c r="P946" s="299">
        <f t="shared" si="65"/>
        <v>1080500</v>
      </c>
      <c r="Q946" s="299">
        <f t="shared" si="66"/>
        <v>196651000</v>
      </c>
      <c r="R946" s="299">
        <f t="shared" si="67"/>
        <v>196651000</v>
      </c>
      <c r="S946" s="112" t="s">
        <v>3747</v>
      </c>
    </row>
    <row r="947" spans="1:19" ht="60">
      <c r="A947" s="189" t="s">
        <v>1882</v>
      </c>
      <c r="B947" s="242" t="s">
        <v>2514</v>
      </c>
      <c r="C947" s="189" t="s">
        <v>2512</v>
      </c>
      <c r="D947" s="143">
        <v>316</v>
      </c>
      <c r="E947" s="242" t="s">
        <v>1495</v>
      </c>
      <c r="F947" s="113">
        <f t="shared" si="64"/>
        <v>316</v>
      </c>
      <c r="G947" s="112">
        <v>0</v>
      </c>
      <c r="H947" s="120">
        <v>0</v>
      </c>
      <c r="I947" s="120">
        <v>0</v>
      </c>
      <c r="J947" s="120">
        <v>0</v>
      </c>
      <c r="K947" s="112">
        <v>76000</v>
      </c>
      <c r="L947" s="113"/>
      <c r="M947" s="113">
        <v>1004500</v>
      </c>
      <c r="N947" s="113"/>
      <c r="O947" s="113"/>
      <c r="P947" s="299">
        <f t="shared" si="65"/>
        <v>1080500</v>
      </c>
      <c r="Q947" s="299">
        <f t="shared" si="66"/>
        <v>341438000</v>
      </c>
      <c r="R947" s="299">
        <f t="shared" si="67"/>
        <v>341438000</v>
      </c>
      <c r="S947" s="112" t="s">
        <v>3747</v>
      </c>
    </row>
    <row r="948" spans="1:19">
      <c r="A948" s="182">
        <v>2</v>
      </c>
      <c r="B948" s="243" t="s">
        <v>2515</v>
      </c>
      <c r="C948" s="182"/>
      <c r="D948" s="170"/>
      <c r="E948" s="243"/>
      <c r="F948" s="113">
        <f t="shared" si="64"/>
        <v>0</v>
      </c>
      <c r="G948" s="112">
        <v>0</v>
      </c>
      <c r="H948" s="120">
        <v>0</v>
      </c>
      <c r="I948" s="120">
        <v>0</v>
      </c>
      <c r="J948" s="120">
        <v>0</v>
      </c>
      <c r="K948" s="112">
        <v>0</v>
      </c>
      <c r="L948" s="113"/>
      <c r="M948" s="113">
        <v>0</v>
      </c>
      <c r="N948" s="113"/>
      <c r="O948" s="113"/>
      <c r="P948" s="299">
        <f t="shared" si="65"/>
        <v>0</v>
      </c>
      <c r="Q948" s="299">
        <f t="shared" si="66"/>
        <v>0</v>
      </c>
      <c r="R948" s="299">
        <f t="shared" si="67"/>
        <v>0</v>
      </c>
      <c r="S948" s="112">
        <v>0</v>
      </c>
    </row>
    <row r="949" spans="1:19">
      <c r="A949" s="182" t="s">
        <v>719</v>
      </c>
      <c r="B949" s="243" t="s">
        <v>2516</v>
      </c>
      <c r="C949" s="182"/>
      <c r="D949" s="170"/>
      <c r="E949" s="243"/>
      <c r="F949" s="113">
        <f t="shared" si="64"/>
        <v>0</v>
      </c>
      <c r="G949" s="112">
        <v>0</v>
      </c>
      <c r="H949" s="120">
        <v>0</v>
      </c>
      <c r="I949" s="120">
        <v>0</v>
      </c>
      <c r="J949" s="120">
        <v>0</v>
      </c>
      <c r="K949" s="112">
        <v>0</v>
      </c>
      <c r="L949" s="113"/>
      <c r="M949" s="113">
        <v>0</v>
      </c>
      <c r="N949" s="113"/>
      <c r="O949" s="113"/>
      <c r="P949" s="299">
        <f t="shared" si="65"/>
        <v>0</v>
      </c>
      <c r="Q949" s="299">
        <f t="shared" si="66"/>
        <v>0</v>
      </c>
      <c r="R949" s="299">
        <f t="shared" si="67"/>
        <v>0</v>
      </c>
      <c r="S949" s="112">
        <v>0</v>
      </c>
    </row>
    <row r="950" spans="1:19" ht="60">
      <c r="A950" s="189" t="s">
        <v>2517</v>
      </c>
      <c r="B950" s="242" t="s">
        <v>2518</v>
      </c>
      <c r="C950" s="189" t="s">
        <v>2512</v>
      </c>
      <c r="D950" s="143">
        <v>501</v>
      </c>
      <c r="E950" s="242" t="s">
        <v>1495</v>
      </c>
      <c r="F950" s="113">
        <f t="shared" si="64"/>
        <v>501</v>
      </c>
      <c r="G950" s="112">
        <v>0</v>
      </c>
      <c r="H950" s="120">
        <v>0</v>
      </c>
      <c r="I950" s="120">
        <v>0</v>
      </c>
      <c r="J950" s="120">
        <v>0</v>
      </c>
      <c r="K950" s="112">
        <v>76000</v>
      </c>
      <c r="L950" s="113"/>
      <c r="M950" s="113">
        <v>1004500</v>
      </c>
      <c r="N950" s="113"/>
      <c r="O950" s="113"/>
      <c r="P950" s="299">
        <f t="shared" si="65"/>
        <v>1080500</v>
      </c>
      <c r="Q950" s="299">
        <f t="shared" si="66"/>
        <v>541330500</v>
      </c>
      <c r="R950" s="299">
        <f t="shared" si="67"/>
        <v>541330500</v>
      </c>
      <c r="S950" s="112" t="s">
        <v>3747</v>
      </c>
    </row>
    <row r="951" spans="1:19" ht="60">
      <c r="A951" s="189" t="s">
        <v>2236</v>
      </c>
      <c r="B951" s="242" t="s">
        <v>2519</v>
      </c>
      <c r="C951" s="189" t="s">
        <v>2512</v>
      </c>
      <c r="D951" s="143">
        <v>36</v>
      </c>
      <c r="E951" s="242" t="s">
        <v>1495</v>
      </c>
      <c r="F951" s="113">
        <f t="shared" si="64"/>
        <v>36</v>
      </c>
      <c r="G951" s="112">
        <v>0</v>
      </c>
      <c r="H951" s="120">
        <v>0</v>
      </c>
      <c r="I951" s="120">
        <v>0</v>
      </c>
      <c r="J951" s="120">
        <v>0</v>
      </c>
      <c r="K951" s="112">
        <v>76000</v>
      </c>
      <c r="L951" s="113"/>
      <c r="M951" s="113">
        <v>1004500</v>
      </c>
      <c r="N951" s="113"/>
      <c r="O951" s="113"/>
      <c r="P951" s="299">
        <f t="shared" si="65"/>
        <v>1080500</v>
      </c>
      <c r="Q951" s="299">
        <f t="shared" si="66"/>
        <v>38898000</v>
      </c>
      <c r="R951" s="299">
        <f t="shared" si="67"/>
        <v>38898000</v>
      </c>
      <c r="S951" s="112" t="s">
        <v>3747</v>
      </c>
    </row>
    <row r="952" spans="1:19" ht="60">
      <c r="A952" s="189" t="s">
        <v>2238</v>
      </c>
      <c r="B952" s="242" t="s">
        <v>2520</v>
      </c>
      <c r="C952" s="189" t="s">
        <v>2512</v>
      </c>
      <c r="D952" s="143">
        <v>19</v>
      </c>
      <c r="E952" s="242" t="s">
        <v>1495</v>
      </c>
      <c r="F952" s="113">
        <f t="shared" si="64"/>
        <v>19</v>
      </c>
      <c r="G952" s="112">
        <v>0</v>
      </c>
      <c r="H952" s="120">
        <v>0</v>
      </c>
      <c r="I952" s="120">
        <v>0</v>
      </c>
      <c r="J952" s="120">
        <v>0</v>
      </c>
      <c r="K952" s="112">
        <v>76000</v>
      </c>
      <c r="L952" s="113"/>
      <c r="M952" s="113">
        <v>1004500</v>
      </c>
      <c r="N952" s="113"/>
      <c r="O952" s="113"/>
      <c r="P952" s="299">
        <f t="shared" si="65"/>
        <v>1080500</v>
      </c>
      <c r="Q952" s="299">
        <f t="shared" si="66"/>
        <v>20529500</v>
      </c>
      <c r="R952" s="299">
        <f t="shared" si="67"/>
        <v>20529500</v>
      </c>
      <c r="S952" s="112" t="s">
        <v>3747</v>
      </c>
    </row>
    <row r="953" spans="1:19">
      <c r="A953" s="182" t="s">
        <v>1467</v>
      </c>
      <c r="B953" s="243" t="s">
        <v>2521</v>
      </c>
      <c r="C953" s="182"/>
      <c r="D953" s="170">
        <v>0</v>
      </c>
      <c r="E953" s="243"/>
      <c r="F953" s="113">
        <f t="shared" si="64"/>
        <v>0</v>
      </c>
      <c r="G953" s="112">
        <v>0</v>
      </c>
      <c r="H953" s="120">
        <v>0</v>
      </c>
      <c r="I953" s="120">
        <v>0</v>
      </c>
      <c r="J953" s="120">
        <v>0</v>
      </c>
      <c r="K953" s="112">
        <v>0</v>
      </c>
      <c r="L953" s="113"/>
      <c r="M953" s="113">
        <v>0</v>
      </c>
      <c r="N953" s="113"/>
      <c r="O953" s="113"/>
      <c r="P953" s="299">
        <f t="shared" si="65"/>
        <v>0</v>
      </c>
      <c r="Q953" s="299">
        <f t="shared" si="66"/>
        <v>0</v>
      </c>
      <c r="R953" s="299">
        <f t="shared" si="67"/>
        <v>0</v>
      </c>
      <c r="S953" s="112">
        <v>0</v>
      </c>
    </row>
    <row r="954" spans="1:19" ht="60">
      <c r="A954" s="189" t="s">
        <v>2249</v>
      </c>
      <c r="B954" s="242" t="s">
        <v>2522</v>
      </c>
      <c r="C954" s="189" t="s">
        <v>4</v>
      </c>
      <c r="D954" s="143">
        <v>205</v>
      </c>
      <c r="E954" s="242" t="s">
        <v>1495</v>
      </c>
      <c r="F954" s="113">
        <f t="shared" si="64"/>
        <v>205</v>
      </c>
      <c r="G954" s="112">
        <v>0</v>
      </c>
      <c r="H954" s="120">
        <v>0</v>
      </c>
      <c r="I954" s="120">
        <v>0</v>
      </c>
      <c r="J954" s="120">
        <v>0</v>
      </c>
      <c r="K954" s="112">
        <v>1368000</v>
      </c>
      <c r="L954" s="113"/>
      <c r="M954" s="113">
        <v>1162700</v>
      </c>
      <c r="N954" s="113"/>
      <c r="O954" s="113"/>
      <c r="P954" s="299">
        <f t="shared" si="65"/>
        <v>2530700</v>
      </c>
      <c r="Q954" s="299">
        <f t="shared" si="66"/>
        <v>518793500</v>
      </c>
      <c r="R954" s="299">
        <f t="shared" si="67"/>
        <v>518793500</v>
      </c>
      <c r="S954" s="112" t="s">
        <v>3747</v>
      </c>
    </row>
    <row r="955" spans="1:19" ht="60">
      <c r="A955" s="189" t="s">
        <v>2523</v>
      </c>
      <c r="B955" s="242" t="s">
        <v>2524</v>
      </c>
      <c r="C955" s="189" t="s">
        <v>4</v>
      </c>
      <c r="D955" s="143">
        <v>19</v>
      </c>
      <c r="E955" s="242" t="s">
        <v>1495</v>
      </c>
      <c r="F955" s="113">
        <f t="shared" si="64"/>
        <v>19</v>
      </c>
      <c r="G955" s="112">
        <v>0</v>
      </c>
      <c r="H955" s="120">
        <v>0</v>
      </c>
      <c r="I955" s="120">
        <v>0</v>
      </c>
      <c r="J955" s="120">
        <v>0</v>
      </c>
      <c r="K955" s="112">
        <v>1368000</v>
      </c>
      <c r="L955" s="113"/>
      <c r="M955" s="113">
        <v>1162700</v>
      </c>
      <c r="N955" s="113"/>
      <c r="O955" s="113"/>
      <c r="P955" s="299">
        <f t="shared" si="65"/>
        <v>2530700</v>
      </c>
      <c r="Q955" s="299">
        <f t="shared" si="66"/>
        <v>48083300</v>
      </c>
      <c r="R955" s="299">
        <f t="shared" si="67"/>
        <v>48083300</v>
      </c>
      <c r="S955" s="112" t="s">
        <v>3747</v>
      </c>
    </row>
    <row r="956" spans="1:19" ht="60">
      <c r="A956" s="189" t="s">
        <v>2525</v>
      </c>
      <c r="B956" s="242" t="s">
        <v>2526</v>
      </c>
      <c r="C956" s="189" t="s">
        <v>4</v>
      </c>
      <c r="D956" s="143">
        <v>17</v>
      </c>
      <c r="E956" s="242" t="s">
        <v>1495</v>
      </c>
      <c r="F956" s="113">
        <f t="shared" si="64"/>
        <v>17</v>
      </c>
      <c r="G956" s="112">
        <v>0</v>
      </c>
      <c r="H956" s="120">
        <v>0</v>
      </c>
      <c r="I956" s="120">
        <v>0</v>
      </c>
      <c r="J956" s="120">
        <v>0</v>
      </c>
      <c r="K956" s="112">
        <v>1368000</v>
      </c>
      <c r="L956" s="113"/>
      <c r="M956" s="113">
        <v>1162700</v>
      </c>
      <c r="N956" s="113"/>
      <c r="O956" s="113"/>
      <c r="P956" s="299">
        <f t="shared" si="65"/>
        <v>2530700</v>
      </c>
      <c r="Q956" s="299">
        <f t="shared" si="66"/>
        <v>43021900</v>
      </c>
      <c r="R956" s="299">
        <f t="shared" si="67"/>
        <v>43021900</v>
      </c>
      <c r="S956" s="112" t="s">
        <v>3747</v>
      </c>
    </row>
    <row r="957" spans="1:19" ht="60">
      <c r="A957" s="189" t="s">
        <v>2527</v>
      </c>
      <c r="B957" s="242" t="s">
        <v>2528</v>
      </c>
      <c r="C957" s="189" t="s">
        <v>4</v>
      </c>
      <c r="D957" s="143">
        <v>19</v>
      </c>
      <c r="E957" s="242" t="s">
        <v>1495</v>
      </c>
      <c r="F957" s="113">
        <f t="shared" si="64"/>
        <v>19</v>
      </c>
      <c r="G957" s="112">
        <v>0</v>
      </c>
      <c r="H957" s="120">
        <v>0</v>
      </c>
      <c r="I957" s="120">
        <v>0</v>
      </c>
      <c r="J957" s="120">
        <v>0</v>
      </c>
      <c r="K957" s="112">
        <v>1368000</v>
      </c>
      <c r="L957" s="113"/>
      <c r="M957" s="113">
        <v>1162700</v>
      </c>
      <c r="N957" s="113"/>
      <c r="O957" s="113"/>
      <c r="P957" s="299">
        <f t="shared" si="65"/>
        <v>2530700</v>
      </c>
      <c r="Q957" s="299">
        <f t="shared" si="66"/>
        <v>48083300</v>
      </c>
      <c r="R957" s="299">
        <f t="shared" si="67"/>
        <v>48083300</v>
      </c>
      <c r="S957" s="112" t="s">
        <v>3747</v>
      </c>
    </row>
    <row r="958" spans="1:19">
      <c r="A958" s="182">
        <v>3</v>
      </c>
      <c r="B958" s="243" t="s">
        <v>2529</v>
      </c>
      <c r="C958" s="182"/>
      <c r="D958" s="170"/>
      <c r="E958" s="243"/>
      <c r="F958" s="113">
        <f t="shared" si="64"/>
        <v>0</v>
      </c>
      <c r="G958" s="112">
        <v>0</v>
      </c>
      <c r="H958" s="120">
        <v>0</v>
      </c>
      <c r="I958" s="120">
        <v>0</v>
      </c>
      <c r="J958" s="120">
        <v>0</v>
      </c>
      <c r="K958" s="112">
        <v>0</v>
      </c>
      <c r="L958" s="113"/>
      <c r="M958" s="113">
        <v>0</v>
      </c>
      <c r="N958" s="113"/>
      <c r="O958" s="113"/>
      <c r="P958" s="299">
        <f t="shared" si="65"/>
        <v>0</v>
      </c>
      <c r="Q958" s="299">
        <f t="shared" si="66"/>
        <v>0</v>
      </c>
      <c r="R958" s="299">
        <f t="shared" si="67"/>
        <v>0</v>
      </c>
      <c r="S958" s="112">
        <v>0</v>
      </c>
    </row>
    <row r="959" spans="1:19" ht="60">
      <c r="A959" s="189" t="s">
        <v>2530</v>
      </c>
      <c r="B959" s="242" t="s">
        <v>2531</v>
      </c>
      <c r="C959" s="189" t="s">
        <v>2512</v>
      </c>
      <c r="D959" s="143">
        <v>758</v>
      </c>
      <c r="E959" s="242" t="s">
        <v>2532</v>
      </c>
      <c r="F959" s="113">
        <f t="shared" si="64"/>
        <v>758</v>
      </c>
      <c r="G959" s="112" t="s">
        <v>3213</v>
      </c>
      <c r="H959" s="120" t="s">
        <v>3211</v>
      </c>
      <c r="I959" s="120" t="s">
        <v>3209</v>
      </c>
      <c r="J959" s="120" t="s">
        <v>3187</v>
      </c>
      <c r="K959" s="112">
        <v>1625400</v>
      </c>
      <c r="L959" s="113"/>
      <c r="M959" s="113">
        <v>350700</v>
      </c>
      <c r="N959" s="113"/>
      <c r="O959" s="113"/>
      <c r="P959" s="299">
        <f t="shared" si="65"/>
        <v>1976100</v>
      </c>
      <c r="Q959" s="299">
        <f t="shared" si="66"/>
        <v>1497883800</v>
      </c>
      <c r="R959" s="299">
        <f t="shared" si="67"/>
        <v>1497883800</v>
      </c>
      <c r="S959" s="112" t="s">
        <v>2532</v>
      </c>
    </row>
    <row r="960" spans="1:19" ht="60">
      <c r="A960" s="189" t="s">
        <v>2533</v>
      </c>
      <c r="B960" s="242" t="s">
        <v>2534</v>
      </c>
      <c r="C960" s="189" t="s">
        <v>2512</v>
      </c>
      <c r="D960" s="143">
        <v>498</v>
      </c>
      <c r="E960" s="242" t="s">
        <v>2532</v>
      </c>
      <c r="F960" s="113">
        <f t="shared" si="64"/>
        <v>498</v>
      </c>
      <c r="G960" s="112">
        <v>0</v>
      </c>
      <c r="H960" s="120">
        <v>0</v>
      </c>
      <c r="I960" s="120">
        <v>0</v>
      </c>
      <c r="J960" s="120">
        <v>0</v>
      </c>
      <c r="K960" s="112">
        <v>0</v>
      </c>
      <c r="L960" s="113"/>
      <c r="M960" s="113">
        <v>0</v>
      </c>
      <c r="N960" s="113"/>
      <c r="O960" s="113"/>
      <c r="P960" s="299">
        <f t="shared" si="65"/>
        <v>0</v>
      </c>
      <c r="Q960" s="299">
        <f t="shared" si="66"/>
        <v>0</v>
      </c>
      <c r="R960" s="299">
        <f t="shared" si="67"/>
        <v>0</v>
      </c>
      <c r="S960" s="112" t="s">
        <v>3748</v>
      </c>
    </row>
    <row r="961" spans="1:19">
      <c r="A961" s="182">
        <v>4</v>
      </c>
      <c r="B961" s="243" t="s">
        <v>2535</v>
      </c>
      <c r="C961" s="182"/>
      <c r="D961" s="170"/>
      <c r="E961" s="243"/>
      <c r="F961" s="113">
        <f t="shared" si="64"/>
        <v>0</v>
      </c>
      <c r="G961" s="112">
        <v>0</v>
      </c>
      <c r="H961" s="120">
        <v>0</v>
      </c>
      <c r="I961" s="120">
        <v>0</v>
      </c>
      <c r="J961" s="120">
        <v>0</v>
      </c>
      <c r="K961" s="112">
        <v>0</v>
      </c>
      <c r="L961" s="113"/>
      <c r="M961" s="113">
        <v>0</v>
      </c>
      <c r="N961" s="113"/>
      <c r="O961" s="113"/>
      <c r="P961" s="299">
        <f t="shared" si="65"/>
        <v>0</v>
      </c>
      <c r="Q961" s="299">
        <f t="shared" si="66"/>
        <v>0</v>
      </c>
      <c r="R961" s="299">
        <f t="shared" si="67"/>
        <v>0</v>
      </c>
      <c r="S961" s="112">
        <v>0</v>
      </c>
    </row>
    <row r="962" spans="1:19">
      <c r="A962" s="182" t="s">
        <v>719</v>
      </c>
      <c r="B962" s="243" t="s">
        <v>2536</v>
      </c>
      <c r="C962" s="182"/>
      <c r="D962" s="170"/>
      <c r="E962" s="243"/>
      <c r="F962" s="113">
        <f t="shared" si="64"/>
        <v>0</v>
      </c>
      <c r="G962" s="112">
        <v>0</v>
      </c>
      <c r="H962" s="120">
        <v>0</v>
      </c>
      <c r="I962" s="120">
        <v>0</v>
      </c>
      <c r="J962" s="120">
        <v>0</v>
      </c>
      <c r="K962" s="112">
        <v>0</v>
      </c>
      <c r="L962" s="113"/>
      <c r="M962" s="113">
        <v>0</v>
      </c>
      <c r="N962" s="113"/>
      <c r="O962" s="113"/>
      <c r="P962" s="299">
        <f t="shared" si="65"/>
        <v>0</v>
      </c>
      <c r="Q962" s="299">
        <f t="shared" si="66"/>
        <v>0</v>
      </c>
      <c r="R962" s="299">
        <f t="shared" si="67"/>
        <v>0</v>
      </c>
      <c r="S962" s="112">
        <v>0</v>
      </c>
    </row>
    <row r="963" spans="1:19" ht="42.75">
      <c r="A963" s="182" t="s">
        <v>2537</v>
      </c>
      <c r="B963" s="243" t="s">
        <v>2271</v>
      </c>
      <c r="C963" s="182"/>
      <c r="D963" s="170"/>
      <c r="E963" s="243"/>
      <c r="F963" s="113">
        <f t="shared" si="64"/>
        <v>0</v>
      </c>
      <c r="G963" s="112">
        <v>0</v>
      </c>
      <c r="H963" s="120">
        <v>0</v>
      </c>
      <c r="I963" s="120">
        <v>0</v>
      </c>
      <c r="J963" s="120">
        <v>0</v>
      </c>
      <c r="K963" s="112">
        <v>0</v>
      </c>
      <c r="L963" s="113"/>
      <c r="M963" s="113">
        <v>0</v>
      </c>
      <c r="N963" s="113"/>
      <c r="O963" s="113"/>
      <c r="P963" s="299">
        <f t="shared" si="65"/>
        <v>0</v>
      </c>
      <c r="Q963" s="299">
        <f t="shared" si="66"/>
        <v>0</v>
      </c>
      <c r="R963" s="299">
        <f t="shared" si="67"/>
        <v>0</v>
      </c>
      <c r="S963" s="112">
        <v>0</v>
      </c>
    </row>
    <row r="964" spans="1:19" ht="60">
      <c r="A964" s="189"/>
      <c r="B964" s="242" t="s">
        <v>2538</v>
      </c>
      <c r="C964" s="189" t="s">
        <v>2512</v>
      </c>
      <c r="D964" s="143">
        <v>498</v>
      </c>
      <c r="E964" s="242"/>
      <c r="F964" s="113">
        <f t="shared" si="64"/>
        <v>498</v>
      </c>
      <c r="G964" s="112" t="s">
        <v>3589</v>
      </c>
      <c r="H964" s="120">
        <v>0</v>
      </c>
      <c r="I964" s="120" t="s">
        <v>3190</v>
      </c>
      <c r="J964" s="120" t="s">
        <v>772</v>
      </c>
      <c r="K964" s="112">
        <v>230400</v>
      </c>
      <c r="L964" s="113"/>
      <c r="M964" s="113">
        <v>174600</v>
      </c>
      <c r="N964" s="113"/>
      <c r="O964" s="113"/>
      <c r="P964" s="299">
        <f t="shared" si="65"/>
        <v>405000</v>
      </c>
      <c r="Q964" s="299">
        <f t="shared" si="66"/>
        <v>201690000</v>
      </c>
      <c r="R964" s="299">
        <f t="shared" si="67"/>
        <v>201690000</v>
      </c>
      <c r="S964" s="112">
        <v>0</v>
      </c>
    </row>
    <row r="965" spans="1:19">
      <c r="A965" s="182" t="s">
        <v>2539</v>
      </c>
      <c r="B965" s="243" t="s">
        <v>2540</v>
      </c>
      <c r="C965" s="182"/>
      <c r="D965" s="170"/>
      <c r="E965" s="243"/>
      <c r="F965" s="113">
        <f t="shared" si="64"/>
        <v>0</v>
      </c>
      <c r="G965" s="112">
        <v>0</v>
      </c>
      <c r="H965" s="120">
        <v>0</v>
      </c>
      <c r="I965" s="120">
        <v>0</v>
      </c>
      <c r="J965" s="120">
        <v>0</v>
      </c>
      <c r="K965" s="112">
        <v>0</v>
      </c>
      <c r="L965" s="113"/>
      <c r="M965" s="113">
        <v>0</v>
      </c>
      <c r="N965" s="113"/>
      <c r="O965" s="113"/>
      <c r="P965" s="299">
        <f t="shared" si="65"/>
        <v>0</v>
      </c>
      <c r="Q965" s="299">
        <f t="shared" si="66"/>
        <v>0</v>
      </c>
      <c r="R965" s="299">
        <f t="shared" si="67"/>
        <v>0</v>
      </c>
      <c r="S965" s="112">
        <v>0</v>
      </c>
    </row>
    <row r="966" spans="1:19" ht="30">
      <c r="A966" s="189"/>
      <c r="B966" s="242" t="s">
        <v>2541</v>
      </c>
      <c r="C966" s="189" t="s">
        <v>7</v>
      </c>
      <c r="D966" s="143">
        <v>2807.8670000000002</v>
      </c>
      <c r="E966" s="242"/>
      <c r="F966" s="113">
        <f t="shared" si="64"/>
        <v>2807.8670000000002</v>
      </c>
      <c r="G966" s="112" t="s">
        <v>3186</v>
      </c>
      <c r="H966" s="120">
        <v>0</v>
      </c>
      <c r="I966" s="120" t="s">
        <v>2748</v>
      </c>
      <c r="J966" s="120" t="s">
        <v>772</v>
      </c>
      <c r="K966" s="112">
        <v>76900</v>
      </c>
      <c r="L966" s="113"/>
      <c r="M966" s="113">
        <v>96800</v>
      </c>
      <c r="N966" s="113"/>
      <c r="O966" s="113"/>
      <c r="P966" s="299">
        <f t="shared" si="65"/>
        <v>173700</v>
      </c>
      <c r="Q966" s="299">
        <f t="shared" si="66"/>
        <v>487726497.90000004</v>
      </c>
      <c r="R966" s="299">
        <f t="shared" si="67"/>
        <v>487726497.90000004</v>
      </c>
      <c r="S966" s="112">
        <v>0</v>
      </c>
    </row>
    <row r="967" spans="1:19" ht="30">
      <c r="A967" s="189"/>
      <c r="B967" s="242" t="s">
        <v>2542</v>
      </c>
      <c r="C967" s="189" t="s">
        <v>7</v>
      </c>
      <c r="D967" s="143">
        <v>2218.3450000000003</v>
      </c>
      <c r="E967" s="242"/>
      <c r="F967" s="113">
        <f t="shared" si="64"/>
        <v>2218.3450000000003</v>
      </c>
      <c r="G967" s="112" t="s">
        <v>3185</v>
      </c>
      <c r="H967" s="120">
        <v>0</v>
      </c>
      <c r="I967" s="120" t="s">
        <v>2748</v>
      </c>
      <c r="J967" s="120" t="s">
        <v>772</v>
      </c>
      <c r="K967" s="112">
        <v>140400</v>
      </c>
      <c r="L967" s="113"/>
      <c r="M967" s="113">
        <v>139100</v>
      </c>
      <c r="N967" s="113"/>
      <c r="O967" s="113"/>
      <c r="P967" s="299">
        <f t="shared" si="65"/>
        <v>279500</v>
      </c>
      <c r="Q967" s="299">
        <f t="shared" si="66"/>
        <v>620027427.50000012</v>
      </c>
      <c r="R967" s="299">
        <f t="shared" si="67"/>
        <v>620027427.50000012</v>
      </c>
      <c r="S967" s="112">
        <v>0</v>
      </c>
    </row>
    <row r="968" spans="1:19" ht="30">
      <c r="A968" s="189"/>
      <c r="B968" s="242" t="s">
        <v>2543</v>
      </c>
      <c r="C968" s="189" t="s">
        <v>7</v>
      </c>
      <c r="D968" s="143">
        <v>2056.6659999999997</v>
      </c>
      <c r="E968" s="242"/>
      <c r="F968" s="113">
        <f t="shared" ref="F968:F1031" si="68">D968</f>
        <v>2056.6659999999997</v>
      </c>
      <c r="G968" s="112" t="s">
        <v>3184</v>
      </c>
      <c r="H968" s="120">
        <v>0</v>
      </c>
      <c r="I968" s="120" t="s">
        <v>2748</v>
      </c>
      <c r="J968" s="120" t="s">
        <v>772</v>
      </c>
      <c r="K968" s="112">
        <v>174500</v>
      </c>
      <c r="L968" s="113"/>
      <c r="M968" s="113">
        <v>139100</v>
      </c>
      <c r="N968" s="113"/>
      <c r="O968" s="113"/>
      <c r="P968" s="299">
        <f t="shared" ref="P968:P1031" si="69">K968+L968+M968+N968+O968</f>
        <v>313600</v>
      </c>
      <c r="Q968" s="299">
        <f t="shared" ref="Q968:Q1031" si="70">+P968*D968</f>
        <v>644970457.5999999</v>
      </c>
      <c r="R968" s="299">
        <f t="shared" ref="R968:R1031" si="71">+P968*F968</f>
        <v>644970457.5999999</v>
      </c>
      <c r="S968" s="112">
        <v>0</v>
      </c>
    </row>
    <row r="969" spans="1:19" ht="30">
      <c r="A969" s="189"/>
      <c r="B969" s="242" t="s">
        <v>2544</v>
      </c>
      <c r="C969" s="189" t="s">
        <v>2512</v>
      </c>
      <c r="D969" s="143">
        <v>291</v>
      </c>
      <c r="E969" s="242"/>
      <c r="F969" s="113">
        <f t="shared" si="68"/>
        <v>291</v>
      </c>
      <c r="G969" s="112" t="s">
        <v>3183</v>
      </c>
      <c r="H969" s="120">
        <v>0</v>
      </c>
      <c r="I969" s="120" t="s">
        <v>2748</v>
      </c>
      <c r="J969" s="120" t="s">
        <v>772</v>
      </c>
      <c r="K969" s="112">
        <v>29100</v>
      </c>
      <c r="L969" s="113"/>
      <c r="M969" s="113">
        <v>49400</v>
      </c>
      <c r="N969" s="113"/>
      <c r="O969" s="113"/>
      <c r="P969" s="299">
        <f t="shared" si="69"/>
        <v>78500</v>
      </c>
      <c r="Q969" s="299">
        <f t="shared" si="70"/>
        <v>22843500</v>
      </c>
      <c r="R969" s="299">
        <f t="shared" si="71"/>
        <v>22843500</v>
      </c>
      <c r="S969" s="112">
        <v>0</v>
      </c>
    </row>
    <row r="970" spans="1:19" ht="30">
      <c r="A970" s="189"/>
      <c r="B970" s="242" t="s">
        <v>2545</v>
      </c>
      <c r="C970" s="189" t="s">
        <v>2512</v>
      </c>
      <c r="D970" s="143">
        <v>133</v>
      </c>
      <c r="E970" s="242"/>
      <c r="F970" s="113">
        <f t="shared" si="68"/>
        <v>133</v>
      </c>
      <c r="G970" s="112" t="s">
        <v>3182</v>
      </c>
      <c r="H970" s="120">
        <v>0</v>
      </c>
      <c r="I970" s="120" t="s">
        <v>2748</v>
      </c>
      <c r="J970" s="120" t="s">
        <v>772</v>
      </c>
      <c r="K970" s="112">
        <v>81600</v>
      </c>
      <c r="L970" s="113"/>
      <c r="M970" s="113">
        <v>77600</v>
      </c>
      <c r="N970" s="113"/>
      <c r="O970" s="113"/>
      <c r="P970" s="299">
        <f t="shared" si="69"/>
        <v>159200</v>
      </c>
      <c r="Q970" s="299">
        <f t="shared" si="70"/>
        <v>21173600</v>
      </c>
      <c r="R970" s="299">
        <f t="shared" si="71"/>
        <v>21173600</v>
      </c>
      <c r="S970" s="112">
        <v>0</v>
      </c>
    </row>
    <row r="971" spans="1:19" ht="30">
      <c r="A971" s="189"/>
      <c r="B971" s="242" t="s">
        <v>2546</v>
      </c>
      <c r="C971" s="189" t="s">
        <v>2512</v>
      </c>
      <c r="D971" s="143">
        <v>112</v>
      </c>
      <c r="E971" s="242"/>
      <c r="F971" s="113">
        <f t="shared" si="68"/>
        <v>112</v>
      </c>
      <c r="G971" s="112" t="s">
        <v>3181</v>
      </c>
      <c r="H971" s="120">
        <v>0</v>
      </c>
      <c r="I971" s="120" t="s">
        <v>2748</v>
      </c>
      <c r="J971" s="120" t="s">
        <v>772</v>
      </c>
      <c r="K971" s="112">
        <v>118300</v>
      </c>
      <c r="L971" s="113"/>
      <c r="M971" s="113">
        <v>77600</v>
      </c>
      <c r="N971" s="113"/>
      <c r="O971" s="113"/>
      <c r="P971" s="299">
        <f t="shared" si="69"/>
        <v>195900</v>
      </c>
      <c r="Q971" s="299">
        <f t="shared" si="70"/>
        <v>21940800</v>
      </c>
      <c r="R971" s="299">
        <f t="shared" si="71"/>
        <v>21940800</v>
      </c>
      <c r="S971" s="112">
        <v>0</v>
      </c>
    </row>
    <row r="972" spans="1:19" ht="45">
      <c r="A972" s="189"/>
      <c r="B972" s="242" t="s">
        <v>2547</v>
      </c>
      <c r="C972" s="189" t="s">
        <v>2512</v>
      </c>
      <c r="D972" s="143">
        <v>241</v>
      </c>
      <c r="E972" s="242"/>
      <c r="F972" s="113">
        <f t="shared" si="68"/>
        <v>241</v>
      </c>
      <c r="G972" s="112" t="s">
        <v>3179</v>
      </c>
      <c r="H972" s="120">
        <v>0</v>
      </c>
      <c r="I972" s="120" t="s">
        <v>2748</v>
      </c>
      <c r="J972" s="120" t="s">
        <v>772</v>
      </c>
      <c r="K972" s="112">
        <v>111500</v>
      </c>
      <c r="L972" s="113"/>
      <c r="M972" s="113">
        <v>115900</v>
      </c>
      <c r="N972" s="113"/>
      <c r="O972" s="113"/>
      <c r="P972" s="299">
        <f t="shared" si="69"/>
        <v>227400</v>
      </c>
      <c r="Q972" s="299">
        <f t="shared" si="70"/>
        <v>54803400</v>
      </c>
      <c r="R972" s="299">
        <f t="shared" si="71"/>
        <v>54803400</v>
      </c>
      <c r="S972" s="112">
        <v>0</v>
      </c>
    </row>
    <row r="973" spans="1:19" ht="45">
      <c r="A973" s="189"/>
      <c r="B973" s="242" t="s">
        <v>2548</v>
      </c>
      <c r="C973" s="189" t="s">
        <v>2512</v>
      </c>
      <c r="D973" s="143">
        <v>260</v>
      </c>
      <c r="E973" s="242"/>
      <c r="F973" s="113">
        <f t="shared" si="68"/>
        <v>260</v>
      </c>
      <c r="G973" s="112" t="s">
        <v>3180</v>
      </c>
      <c r="H973" s="120">
        <v>0</v>
      </c>
      <c r="I973" s="120" t="s">
        <v>2748</v>
      </c>
      <c r="J973" s="120" t="s">
        <v>772</v>
      </c>
      <c r="K973" s="112">
        <v>32400</v>
      </c>
      <c r="L973" s="113"/>
      <c r="M973" s="113">
        <v>77600</v>
      </c>
      <c r="N973" s="113"/>
      <c r="O973" s="113"/>
      <c r="P973" s="299">
        <f t="shared" si="69"/>
        <v>110000</v>
      </c>
      <c r="Q973" s="299">
        <f t="shared" si="70"/>
        <v>28600000</v>
      </c>
      <c r="R973" s="299">
        <f t="shared" si="71"/>
        <v>28600000</v>
      </c>
      <c r="S973" s="112">
        <v>0</v>
      </c>
    </row>
    <row r="974" spans="1:19">
      <c r="A974" s="182" t="s">
        <v>2549</v>
      </c>
      <c r="B974" s="243" t="s">
        <v>2550</v>
      </c>
      <c r="C974" s="182"/>
      <c r="D974" s="170"/>
      <c r="E974" s="243"/>
      <c r="F974" s="113">
        <f t="shared" si="68"/>
        <v>0</v>
      </c>
      <c r="G974" s="112">
        <v>0</v>
      </c>
      <c r="H974" s="120">
        <v>0</v>
      </c>
      <c r="I974" s="120">
        <v>0</v>
      </c>
      <c r="J974" s="120">
        <v>0</v>
      </c>
      <c r="K974" s="112">
        <v>0</v>
      </c>
      <c r="L974" s="113"/>
      <c r="M974" s="113">
        <v>0</v>
      </c>
      <c r="N974" s="113"/>
      <c r="O974" s="113"/>
      <c r="P974" s="299">
        <f t="shared" si="69"/>
        <v>0</v>
      </c>
      <c r="Q974" s="299">
        <f t="shared" si="70"/>
        <v>0</v>
      </c>
      <c r="R974" s="299">
        <f t="shared" si="71"/>
        <v>0</v>
      </c>
      <c r="S974" s="112">
        <v>0</v>
      </c>
    </row>
    <row r="975" spans="1:19" ht="30">
      <c r="A975" s="189"/>
      <c r="B975" s="242" t="s">
        <v>2551</v>
      </c>
      <c r="C975" s="189" t="s">
        <v>2552</v>
      </c>
      <c r="D975" s="143">
        <v>436.60399999999993</v>
      </c>
      <c r="E975" s="242"/>
      <c r="F975" s="113">
        <f t="shared" si="68"/>
        <v>436.60399999999993</v>
      </c>
      <c r="G975" s="112" t="s">
        <v>3338</v>
      </c>
      <c r="H975" s="120">
        <v>0</v>
      </c>
      <c r="I975" s="120" t="s">
        <v>3333</v>
      </c>
      <c r="J975" s="120" t="s">
        <v>772</v>
      </c>
      <c r="K975" s="112">
        <v>8700</v>
      </c>
      <c r="L975" s="113"/>
      <c r="M975" s="113">
        <v>30300</v>
      </c>
      <c r="N975" s="113"/>
      <c r="O975" s="113"/>
      <c r="P975" s="299">
        <f t="shared" si="69"/>
        <v>39000</v>
      </c>
      <c r="Q975" s="299">
        <f t="shared" si="70"/>
        <v>17027555.999999996</v>
      </c>
      <c r="R975" s="299">
        <f t="shared" si="71"/>
        <v>17027555.999999996</v>
      </c>
      <c r="S975" s="112">
        <v>0</v>
      </c>
    </row>
    <row r="976" spans="1:19" ht="30">
      <c r="A976" s="189"/>
      <c r="B976" s="242" t="s">
        <v>2553</v>
      </c>
      <c r="C976" s="189" t="s">
        <v>7</v>
      </c>
      <c r="D976" s="143">
        <v>399.64259999999996</v>
      </c>
      <c r="E976" s="242"/>
      <c r="F976" s="113">
        <f t="shared" si="68"/>
        <v>399.64259999999996</v>
      </c>
      <c r="G976" s="112" t="s">
        <v>3337</v>
      </c>
      <c r="H976" s="120">
        <v>0</v>
      </c>
      <c r="I976" s="120" t="s">
        <v>3333</v>
      </c>
      <c r="J976" s="120" t="s">
        <v>772</v>
      </c>
      <c r="K976" s="112">
        <v>11400</v>
      </c>
      <c r="L976" s="113"/>
      <c r="M976" s="113">
        <v>30300</v>
      </c>
      <c r="N976" s="113"/>
      <c r="O976" s="113"/>
      <c r="P976" s="299">
        <f t="shared" si="69"/>
        <v>41700</v>
      </c>
      <c r="Q976" s="299">
        <f t="shared" si="70"/>
        <v>16665096.419999998</v>
      </c>
      <c r="R976" s="299">
        <f t="shared" si="71"/>
        <v>16665096.419999998</v>
      </c>
      <c r="S976" s="112">
        <v>0</v>
      </c>
    </row>
    <row r="977" spans="1:19">
      <c r="A977" s="182" t="s">
        <v>2554</v>
      </c>
      <c r="B977" s="243" t="s">
        <v>2555</v>
      </c>
      <c r="C977" s="182" t="s">
        <v>17</v>
      </c>
      <c r="D977" s="170">
        <v>1</v>
      </c>
      <c r="E977" s="243"/>
      <c r="F977" s="113">
        <f t="shared" si="68"/>
        <v>1</v>
      </c>
      <c r="G977" s="112">
        <v>0</v>
      </c>
      <c r="H977" s="120">
        <v>0</v>
      </c>
      <c r="I977" s="120">
        <v>0</v>
      </c>
      <c r="J977" s="120" t="s">
        <v>806</v>
      </c>
      <c r="K977" s="112">
        <v>0</v>
      </c>
      <c r="L977" s="113"/>
      <c r="M977" s="113">
        <v>0</v>
      </c>
      <c r="N977" s="113"/>
      <c r="O977" s="113"/>
      <c r="P977" s="299">
        <f t="shared" si="69"/>
        <v>0</v>
      </c>
      <c r="Q977" s="299">
        <f t="shared" si="70"/>
        <v>0</v>
      </c>
      <c r="R977" s="299">
        <f t="shared" si="71"/>
        <v>0</v>
      </c>
      <c r="S977" s="112">
        <v>0</v>
      </c>
    </row>
    <row r="978" spans="1:19">
      <c r="A978" s="88"/>
      <c r="B978" s="280" t="s">
        <v>2556</v>
      </c>
      <c r="C978" s="281" t="s">
        <v>706</v>
      </c>
      <c r="D978" s="147">
        <v>498</v>
      </c>
      <c r="E978" s="87"/>
      <c r="F978" s="113">
        <f t="shared" si="68"/>
        <v>498</v>
      </c>
      <c r="G978" s="112">
        <v>0</v>
      </c>
      <c r="H978" s="120" t="s">
        <v>3360</v>
      </c>
      <c r="I978" s="120" t="s">
        <v>3479</v>
      </c>
      <c r="J978" s="120" t="s">
        <v>772</v>
      </c>
      <c r="K978" s="112">
        <v>172800</v>
      </c>
      <c r="L978" s="113"/>
      <c r="M978" s="113">
        <v>57100</v>
      </c>
      <c r="N978" s="113"/>
      <c r="O978" s="113"/>
      <c r="P978" s="299">
        <f t="shared" si="69"/>
        <v>229900</v>
      </c>
      <c r="Q978" s="299">
        <f t="shared" si="70"/>
        <v>114490200</v>
      </c>
      <c r="R978" s="299">
        <f t="shared" si="71"/>
        <v>114490200</v>
      </c>
      <c r="S978" s="112">
        <v>0</v>
      </c>
    </row>
    <row r="979" spans="1:19">
      <c r="A979" s="182" t="s">
        <v>1467</v>
      </c>
      <c r="B979" s="243" t="s">
        <v>2557</v>
      </c>
      <c r="C979" s="182"/>
      <c r="D979" s="170"/>
      <c r="E979" s="243"/>
      <c r="F979" s="113">
        <f t="shared" si="68"/>
        <v>0</v>
      </c>
      <c r="G979" s="112">
        <v>0</v>
      </c>
      <c r="H979" s="120">
        <v>0</v>
      </c>
      <c r="I979" s="120">
        <v>0</v>
      </c>
      <c r="J979" s="120">
        <v>0</v>
      </c>
      <c r="K979" s="112">
        <v>0</v>
      </c>
      <c r="L979" s="113"/>
      <c r="M979" s="113">
        <v>0</v>
      </c>
      <c r="N979" s="113"/>
      <c r="O979" s="113"/>
      <c r="P979" s="299">
        <f t="shared" si="69"/>
        <v>0</v>
      </c>
      <c r="Q979" s="299">
        <f t="shared" si="70"/>
        <v>0</v>
      </c>
      <c r="R979" s="299">
        <f t="shared" si="71"/>
        <v>0</v>
      </c>
      <c r="S979" s="112">
        <v>0</v>
      </c>
    </row>
    <row r="980" spans="1:19" ht="57">
      <c r="A980" s="182" t="s">
        <v>2558</v>
      </c>
      <c r="B980" s="243" t="s">
        <v>2559</v>
      </c>
      <c r="C980" s="182"/>
      <c r="D980" s="170"/>
      <c r="E980" s="243"/>
      <c r="F980" s="113">
        <f t="shared" si="68"/>
        <v>0</v>
      </c>
      <c r="G980" s="112">
        <v>0</v>
      </c>
      <c r="H980" s="120">
        <v>0</v>
      </c>
      <c r="I980" s="120">
        <v>0</v>
      </c>
      <c r="J980" s="120">
        <v>0</v>
      </c>
      <c r="K980" s="112">
        <v>0</v>
      </c>
      <c r="L980" s="113"/>
      <c r="M980" s="113">
        <v>0</v>
      </c>
      <c r="N980" s="113"/>
      <c r="O980" s="113"/>
      <c r="P980" s="299">
        <f t="shared" si="69"/>
        <v>0</v>
      </c>
      <c r="Q980" s="299">
        <f t="shared" si="70"/>
        <v>0</v>
      </c>
      <c r="R980" s="299">
        <f t="shared" si="71"/>
        <v>0</v>
      </c>
      <c r="S980" s="112">
        <v>0</v>
      </c>
    </row>
    <row r="981" spans="1:19" ht="150">
      <c r="A981" s="189"/>
      <c r="B981" s="242" t="s">
        <v>2560</v>
      </c>
      <c r="C981" s="189" t="s">
        <v>7</v>
      </c>
      <c r="D981" s="143">
        <v>9336.0170000000035</v>
      </c>
      <c r="E981" s="242" t="s">
        <v>2561</v>
      </c>
      <c r="F981" s="113">
        <f t="shared" si="68"/>
        <v>9336.0170000000035</v>
      </c>
      <c r="G981" s="112" t="s">
        <v>4060</v>
      </c>
      <c r="H981" s="120">
        <v>0</v>
      </c>
      <c r="I981" s="120" t="s">
        <v>4061</v>
      </c>
      <c r="J981" s="120" t="s">
        <v>4049</v>
      </c>
      <c r="K981" s="112">
        <v>69300</v>
      </c>
      <c r="L981" s="113"/>
      <c r="M981" s="113">
        <v>56500</v>
      </c>
      <c r="N981" s="113"/>
      <c r="O981" s="113"/>
      <c r="P981" s="299">
        <f t="shared" si="69"/>
        <v>125800</v>
      </c>
      <c r="Q981" s="299">
        <f t="shared" si="70"/>
        <v>1174470938.6000004</v>
      </c>
      <c r="R981" s="299">
        <f t="shared" si="71"/>
        <v>1174470938.6000004</v>
      </c>
      <c r="S981" s="112" t="s">
        <v>2561</v>
      </c>
    </row>
    <row r="982" spans="1:19" ht="45">
      <c r="A982" s="189"/>
      <c r="B982" s="242" t="s">
        <v>2562</v>
      </c>
      <c r="C982" s="189" t="s">
        <v>7</v>
      </c>
      <c r="D982" s="143">
        <v>5645.8629999999994</v>
      </c>
      <c r="E982" s="242"/>
      <c r="F982" s="113">
        <f t="shared" si="68"/>
        <v>5645.8629999999994</v>
      </c>
      <c r="G982" s="112" t="s">
        <v>4062</v>
      </c>
      <c r="H982" s="120">
        <v>0</v>
      </c>
      <c r="I982" s="120" t="s">
        <v>4061</v>
      </c>
      <c r="J982" s="120" t="s">
        <v>4049</v>
      </c>
      <c r="K982" s="112">
        <v>100500</v>
      </c>
      <c r="L982" s="113"/>
      <c r="M982" s="113">
        <v>63500</v>
      </c>
      <c r="N982" s="113"/>
      <c r="O982" s="113"/>
      <c r="P982" s="299">
        <f t="shared" si="69"/>
        <v>164000</v>
      </c>
      <c r="Q982" s="299">
        <f t="shared" si="70"/>
        <v>925921531.99999988</v>
      </c>
      <c r="R982" s="299">
        <f t="shared" si="71"/>
        <v>925921531.99999988</v>
      </c>
      <c r="S982" s="112">
        <v>0</v>
      </c>
    </row>
    <row r="983" spans="1:19" ht="45">
      <c r="A983" s="189"/>
      <c r="B983" s="242" t="s">
        <v>2563</v>
      </c>
      <c r="C983" s="189" t="s">
        <v>7</v>
      </c>
      <c r="D983" s="143">
        <v>1349.7280000000001</v>
      </c>
      <c r="E983" s="242"/>
      <c r="F983" s="113">
        <f t="shared" si="68"/>
        <v>1349.7280000000001</v>
      </c>
      <c r="G983" s="112" t="s">
        <v>4063</v>
      </c>
      <c r="H983" s="120">
        <v>0</v>
      </c>
      <c r="I983" s="120" t="s">
        <v>4061</v>
      </c>
      <c r="J983" s="120" t="s">
        <v>4049</v>
      </c>
      <c r="K983" s="112">
        <v>160800</v>
      </c>
      <c r="L983" s="113"/>
      <c r="M983" s="113">
        <v>69600</v>
      </c>
      <c r="N983" s="113"/>
      <c r="O983" s="113"/>
      <c r="P983" s="299">
        <f t="shared" si="69"/>
        <v>230400</v>
      </c>
      <c r="Q983" s="299">
        <f t="shared" si="70"/>
        <v>310977331.19999999</v>
      </c>
      <c r="R983" s="299">
        <f t="shared" si="71"/>
        <v>310977331.19999999</v>
      </c>
      <c r="S983" s="112">
        <v>0</v>
      </c>
    </row>
    <row r="984" spans="1:19" ht="45">
      <c r="A984" s="189"/>
      <c r="B984" s="242" t="s">
        <v>2564</v>
      </c>
      <c r="C984" s="189" t="s">
        <v>7</v>
      </c>
      <c r="D984" s="143">
        <v>2242.9650000000001</v>
      </c>
      <c r="E984" s="242"/>
      <c r="F984" s="113">
        <f t="shared" si="68"/>
        <v>2242.9650000000001</v>
      </c>
      <c r="G984" s="112" t="s">
        <v>4064</v>
      </c>
      <c r="H984" s="120">
        <v>0</v>
      </c>
      <c r="I984" s="120" t="s">
        <v>4061</v>
      </c>
      <c r="J984" s="120" t="s">
        <v>4049</v>
      </c>
      <c r="K984" s="112">
        <v>198300</v>
      </c>
      <c r="L984" s="113"/>
      <c r="M984" s="113">
        <v>73600</v>
      </c>
      <c r="N984" s="113"/>
      <c r="O984" s="113"/>
      <c r="P984" s="299">
        <f t="shared" si="69"/>
        <v>271900</v>
      </c>
      <c r="Q984" s="299">
        <f t="shared" si="70"/>
        <v>609862183.5</v>
      </c>
      <c r="R984" s="299">
        <f t="shared" si="71"/>
        <v>609862183.5</v>
      </c>
      <c r="S984" s="112">
        <v>0</v>
      </c>
    </row>
    <row r="985" spans="1:19" ht="28.5">
      <c r="A985" s="182" t="s">
        <v>2565</v>
      </c>
      <c r="B985" s="243" t="s">
        <v>2566</v>
      </c>
      <c r="C985" s="182" t="s">
        <v>17</v>
      </c>
      <c r="D985" s="170">
        <v>1</v>
      </c>
      <c r="E985" s="243"/>
      <c r="F985" s="113">
        <f t="shared" si="68"/>
        <v>1</v>
      </c>
      <c r="G985" s="112">
        <v>0</v>
      </c>
      <c r="H985" s="120">
        <v>0</v>
      </c>
      <c r="I985" s="120">
        <v>0</v>
      </c>
      <c r="J985" s="120" t="s">
        <v>806</v>
      </c>
      <c r="K985" s="112">
        <v>0</v>
      </c>
      <c r="L985" s="113"/>
      <c r="M985" s="113">
        <v>0</v>
      </c>
      <c r="N985" s="113"/>
      <c r="O985" s="113"/>
      <c r="P985" s="299">
        <f t="shared" si="69"/>
        <v>0</v>
      </c>
      <c r="Q985" s="299">
        <f t="shared" si="70"/>
        <v>0</v>
      </c>
      <c r="R985" s="299">
        <f t="shared" si="71"/>
        <v>0</v>
      </c>
      <c r="S985" s="112">
        <v>0</v>
      </c>
    </row>
    <row r="986" spans="1:19">
      <c r="A986" s="182" t="s">
        <v>1488</v>
      </c>
      <c r="B986" s="243" t="s">
        <v>2567</v>
      </c>
      <c r="C986" s="182"/>
      <c r="D986" s="170"/>
      <c r="E986" s="243"/>
      <c r="F986" s="113">
        <f t="shared" si="68"/>
        <v>0</v>
      </c>
      <c r="G986" s="112">
        <v>0</v>
      </c>
      <c r="H986" s="120">
        <v>0</v>
      </c>
      <c r="I986" s="120">
        <v>0</v>
      </c>
      <c r="J986" s="120">
        <v>0</v>
      </c>
      <c r="K986" s="112">
        <v>0</v>
      </c>
      <c r="L986" s="113"/>
      <c r="M986" s="113">
        <v>0</v>
      </c>
      <c r="N986" s="113"/>
      <c r="O986" s="113"/>
      <c r="P986" s="299">
        <f t="shared" si="69"/>
        <v>0</v>
      </c>
      <c r="Q986" s="299">
        <f t="shared" si="70"/>
        <v>0</v>
      </c>
      <c r="R986" s="299">
        <f t="shared" si="71"/>
        <v>0</v>
      </c>
      <c r="S986" s="112">
        <v>0</v>
      </c>
    </row>
    <row r="987" spans="1:19" ht="57">
      <c r="A987" s="182" t="s">
        <v>2568</v>
      </c>
      <c r="B987" s="243" t="s">
        <v>2569</v>
      </c>
      <c r="C987" s="182"/>
      <c r="D987" s="170"/>
      <c r="E987" s="243"/>
      <c r="F987" s="113">
        <f t="shared" si="68"/>
        <v>0</v>
      </c>
      <c r="G987" s="112">
        <v>0</v>
      </c>
      <c r="H987" s="120">
        <v>0</v>
      </c>
      <c r="I987" s="120">
        <v>0</v>
      </c>
      <c r="J987" s="120">
        <v>0</v>
      </c>
      <c r="K987" s="112">
        <v>0</v>
      </c>
      <c r="L987" s="113"/>
      <c r="M987" s="113">
        <v>0</v>
      </c>
      <c r="N987" s="113"/>
      <c r="O987" s="113"/>
      <c r="P987" s="299">
        <f t="shared" si="69"/>
        <v>0</v>
      </c>
      <c r="Q987" s="299">
        <f t="shared" si="70"/>
        <v>0</v>
      </c>
      <c r="R987" s="299">
        <f t="shared" si="71"/>
        <v>0</v>
      </c>
      <c r="S987" s="112">
        <v>0</v>
      </c>
    </row>
    <row r="988" spans="1:19" ht="105">
      <c r="A988" s="189"/>
      <c r="B988" s="242" t="s">
        <v>2570</v>
      </c>
      <c r="C988" s="189" t="s">
        <v>7</v>
      </c>
      <c r="D988" s="143">
        <v>2127.4090000000001</v>
      </c>
      <c r="E988" s="242" t="s">
        <v>2571</v>
      </c>
      <c r="F988" s="113">
        <f t="shared" si="68"/>
        <v>2127.4090000000001</v>
      </c>
      <c r="G988" s="112" t="s">
        <v>4073</v>
      </c>
      <c r="H988" s="120">
        <v>0</v>
      </c>
      <c r="I988" s="120" t="s">
        <v>4074</v>
      </c>
      <c r="J988" s="120" t="s">
        <v>4049</v>
      </c>
      <c r="K988" s="112">
        <v>33500</v>
      </c>
      <c r="L988" s="113"/>
      <c r="M988" s="113">
        <v>46400</v>
      </c>
      <c r="N988" s="113"/>
      <c r="O988" s="113"/>
      <c r="P988" s="299">
        <f t="shared" si="69"/>
        <v>79900</v>
      </c>
      <c r="Q988" s="299">
        <f t="shared" si="70"/>
        <v>169979979.09999999</v>
      </c>
      <c r="R988" s="299">
        <f t="shared" si="71"/>
        <v>169979979.09999999</v>
      </c>
      <c r="S988" s="112" t="s">
        <v>2571</v>
      </c>
    </row>
    <row r="989" spans="1:19" ht="60">
      <c r="A989" s="189"/>
      <c r="B989" s="242" t="s">
        <v>2572</v>
      </c>
      <c r="C989" s="189" t="s">
        <v>7</v>
      </c>
      <c r="D989" s="143">
        <v>1194.4969999999996</v>
      </c>
      <c r="E989" s="242"/>
      <c r="F989" s="113">
        <f t="shared" si="68"/>
        <v>1194.4969999999996</v>
      </c>
      <c r="G989" s="112" t="s">
        <v>4075</v>
      </c>
      <c r="H989" s="120">
        <v>0</v>
      </c>
      <c r="I989" s="120" t="s">
        <v>4074</v>
      </c>
      <c r="J989" s="120" t="s">
        <v>4049</v>
      </c>
      <c r="K989" s="112">
        <v>40900</v>
      </c>
      <c r="L989" s="113"/>
      <c r="M989" s="113">
        <v>46400</v>
      </c>
      <c r="N989" s="113"/>
      <c r="O989" s="113"/>
      <c r="P989" s="299">
        <f t="shared" si="69"/>
        <v>87300</v>
      </c>
      <c r="Q989" s="299">
        <f t="shared" si="70"/>
        <v>104279588.09999996</v>
      </c>
      <c r="R989" s="299">
        <f t="shared" si="71"/>
        <v>104279588.09999996</v>
      </c>
      <c r="S989" s="112">
        <v>0</v>
      </c>
    </row>
    <row r="990" spans="1:19" ht="28.5">
      <c r="A990" s="182" t="s">
        <v>2573</v>
      </c>
      <c r="B990" s="243" t="s">
        <v>2566</v>
      </c>
      <c r="C990" s="182" t="s">
        <v>17</v>
      </c>
      <c r="D990" s="170">
        <v>1</v>
      </c>
      <c r="E990" s="243"/>
      <c r="F990" s="113">
        <f t="shared" si="68"/>
        <v>1</v>
      </c>
      <c r="G990" s="112">
        <v>0</v>
      </c>
      <c r="H990" s="120">
        <v>0</v>
      </c>
      <c r="I990" s="120">
        <v>0</v>
      </c>
      <c r="J990" s="120" t="s">
        <v>806</v>
      </c>
      <c r="K990" s="112">
        <v>0</v>
      </c>
      <c r="L990" s="113"/>
      <c r="M990" s="113">
        <v>0</v>
      </c>
      <c r="N990" s="113"/>
      <c r="O990" s="113"/>
      <c r="P990" s="299">
        <f t="shared" si="69"/>
        <v>0</v>
      </c>
      <c r="Q990" s="299">
        <f t="shared" si="70"/>
        <v>0</v>
      </c>
      <c r="R990" s="299">
        <f t="shared" si="71"/>
        <v>0</v>
      </c>
      <c r="S990" s="112">
        <v>0</v>
      </c>
    </row>
    <row r="991" spans="1:19">
      <c r="A991" s="182" t="s">
        <v>2574</v>
      </c>
      <c r="B991" s="243" t="s">
        <v>2575</v>
      </c>
      <c r="C991" s="182"/>
      <c r="D991" s="170"/>
      <c r="E991" s="243"/>
      <c r="F991" s="113">
        <f t="shared" si="68"/>
        <v>0</v>
      </c>
      <c r="G991" s="112">
        <v>0</v>
      </c>
      <c r="H991" s="120">
        <v>0</v>
      </c>
      <c r="I991" s="120">
        <v>0</v>
      </c>
      <c r="J991" s="120">
        <v>0</v>
      </c>
      <c r="K991" s="112">
        <v>0</v>
      </c>
      <c r="L991" s="113"/>
      <c r="M991" s="113">
        <v>0</v>
      </c>
      <c r="N991" s="113"/>
      <c r="O991" s="113"/>
      <c r="P991" s="299">
        <f t="shared" si="69"/>
        <v>0</v>
      </c>
      <c r="Q991" s="299">
        <f t="shared" si="70"/>
        <v>0</v>
      </c>
      <c r="R991" s="299">
        <f t="shared" si="71"/>
        <v>0</v>
      </c>
      <c r="S991" s="112">
        <v>0</v>
      </c>
    </row>
    <row r="992" spans="1:19">
      <c r="A992" s="182" t="s">
        <v>2576</v>
      </c>
      <c r="B992" s="243" t="s">
        <v>2577</v>
      </c>
      <c r="C992" s="182"/>
      <c r="D992" s="170"/>
      <c r="E992" s="243"/>
      <c r="F992" s="113">
        <f t="shared" si="68"/>
        <v>0</v>
      </c>
      <c r="G992" s="112">
        <v>0</v>
      </c>
      <c r="H992" s="120">
        <v>0</v>
      </c>
      <c r="I992" s="120">
        <v>0</v>
      </c>
      <c r="J992" s="120">
        <v>0</v>
      </c>
      <c r="K992" s="112">
        <v>0</v>
      </c>
      <c r="L992" s="113"/>
      <c r="M992" s="113">
        <v>0</v>
      </c>
      <c r="N992" s="113"/>
      <c r="O992" s="113"/>
      <c r="P992" s="299">
        <f t="shared" si="69"/>
        <v>0</v>
      </c>
      <c r="Q992" s="299">
        <f t="shared" si="70"/>
        <v>0</v>
      </c>
      <c r="R992" s="299">
        <f t="shared" si="71"/>
        <v>0</v>
      </c>
      <c r="S992" s="112">
        <v>0</v>
      </c>
    </row>
    <row r="993" spans="1:19">
      <c r="A993" s="189"/>
      <c r="B993" s="242" t="s">
        <v>2578</v>
      </c>
      <c r="C993" s="189" t="s">
        <v>7</v>
      </c>
      <c r="D993" s="143">
        <v>59946.296000000009</v>
      </c>
      <c r="E993" s="242"/>
      <c r="F993" s="113">
        <f t="shared" si="68"/>
        <v>59946.296000000009</v>
      </c>
      <c r="G993" s="112">
        <v>0</v>
      </c>
      <c r="H993" s="120" t="s">
        <v>1146</v>
      </c>
      <c r="I993" s="120" t="s">
        <v>771</v>
      </c>
      <c r="J993" s="120" t="s">
        <v>772</v>
      </c>
      <c r="K993" s="112">
        <v>10600</v>
      </c>
      <c r="L993" s="113"/>
      <c r="M993" s="113">
        <v>7100</v>
      </c>
      <c r="N993" s="113"/>
      <c r="O993" s="113"/>
      <c r="P993" s="299">
        <f t="shared" si="69"/>
        <v>17700</v>
      </c>
      <c r="Q993" s="299">
        <f t="shared" si="70"/>
        <v>1061049439.2000002</v>
      </c>
      <c r="R993" s="299">
        <f t="shared" si="71"/>
        <v>1061049439.2000002</v>
      </c>
      <c r="S993" s="112">
        <v>0</v>
      </c>
    </row>
    <row r="994" spans="1:19">
      <c r="A994" s="182" t="s">
        <v>2579</v>
      </c>
      <c r="B994" s="243" t="s">
        <v>2580</v>
      </c>
      <c r="C994" s="182" t="s">
        <v>17</v>
      </c>
      <c r="D994" s="170">
        <v>1</v>
      </c>
      <c r="E994" s="243"/>
      <c r="F994" s="113">
        <f t="shared" si="68"/>
        <v>1</v>
      </c>
      <c r="G994" s="112">
        <v>0</v>
      </c>
      <c r="H994" s="120">
        <v>0</v>
      </c>
      <c r="I994" s="120">
        <v>0</v>
      </c>
      <c r="J994" s="120" t="s">
        <v>806</v>
      </c>
      <c r="K994" s="112">
        <v>0</v>
      </c>
      <c r="L994" s="113"/>
      <c r="M994" s="113">
        <v>0</v>
      </c>
      <c r="N994" s="113"/>
      <c r="O994" s="113"/>
      <c r="P994" s="299">
        <f t="shared" si="69"/>
        <v>0</v>
      </c>
      <c r="Q994" s="299">
        <f t="shared" si="70"/>
        <v>0</v>
      </c>
      <c r="R994" s="299">
        <f t="shared" si="71"/>
        <v>0</v>
      </c>
      <c r="S994" s="112">
        <v>0</v>
      </c>
    </row>
    <row r="995" spans="1:19" ht="28.5">
      <c r="A995" s="278" t="s">
        <v>9</v>
      </c>
      <c r="B995" s="279" t="s">
        <v>2581</v>
      </c>
      <c r="C995" s="182"/>
      <c r="D995" s="143"/>
      <c r="E995" s="243"/>
      <c r="F995" s="113">
        <f t="shared" si="68"/>
        <v>0</v>
      </c>
      <c r="G995" s="112">
        <v>0</v>
      </c>
      <c r="H995" s="120">
        <v>0</v>
      </c>
      <c r="I995" s="120">
        <v>0</v>
      </c>
      <c r="J995" s="120">
        <v>0</v>
      </c>
      <c r="K995" s="112">
        <v>0</v>
      </c>
      <c r="L995" s="113"/>
      <c r="M995" s="113">
        <v>0</v>
      </c>
      <c r="N995" s="113"/>
      <c r="O995" s="113"/>
      <c r="P995" s="299">
        <f t="shared" si="69"/>
        <v>0</v>
      </c>
      <c r="Q995" s="299">
        <f t="shared" si="70"/>
        <v>0</v>
      </c>
      <c r="R995" s="299">
        <f t="shared" si="71"/>
        <v>0</v>
      </c>
      <c r="S995" s="112">
        <v>0</v>
      </c>
    </row>
    <row r="996" spans="1:19">
      <c r="A996" s="182">
        <v>1</v>
      </c>
      <c r="B996" s="243" t="s">
        <v>2582</v>
      </c>
      <c r="C996" s="182"/>
      <c r="D996" s="170"/>
      <c r="E996" s="243"/>
      <c r="F996" s="113">
        <f t="shared" si="68"/>
        <v>0</v>
      </c>
      <c r="G996" s="112">
        <v>0</v>
      </c>
      <c r="H996" s="120">
        <v>0</v>
      </c>
      <c r="I996" s="120">
        <v>0</v>
      </c>
      <c r="J996" s="120">
        <v>0</v>
      </c>
      <c r="K996" s="112">
        <v>0</v>
      </c>
      <c r="L996" s="113"/>
      <c r="M996" s="113">
        <v>0</v>
      </c>
      <c r="N996" s="113"/>
      <c r="O996" s="113"/>
      <c r="P996" s="299">
        <f t="shared" si="69"/>
        <v>0</v>
      </c>
      <c r="Q996" s="299">
        <f t="shared" si="70"/>
        <v>0</v>
      </c>
      <c r="R996" s="299">
        <f t="shared" si="71"/>
        <v>0</v>
      </c>
      <c r="S996" s="112">
        <v>0</v>
      </c>
    </row>
    <row r="997" spans="1:19">
      <c r="A997" s="182" t="s">
        <v>719</v>
      </c>
      <c r="B997" s="243" t="s">
        <v>2516</v>
      </c>
      <c r="C997" s="182"/>
      <c r="D997" s="170"/>
      <c r="E997" s="243"/>
      <c r="F997" s="113">
        <f t="shared" si="68"/>
        <v>0</v>
      </c>
      <c r="G997" s="112">
        <v>0</v>
      </c>
      <c r="H997" s="120">
        <v>0</v>
      </c>
      <c r="I997" s="120">
        <v>0</v>
      </c>
      <c r="J997" s="120">
        <v>0</v>
      </c>
      <c r="K997" s="112">
        <v>0</v>
      </c>
      <c r="L997" s="113"/>
      <c r="M997" s="113">
        <v>0</v>
      </c>
      <c r="N997" s="113"/>
      <c r="O997" s="113"/>
      <c r="P997" s="299">
        <f t="shared" si="69"/>
        <v>0</v>
      </c>
      <c r="Q997" s="299">
        <f t="shared" si="70"/>
        <v>0</v>
      </c>
      <c r="R997" s="299">
        <f t="shared" si="71"/>
        <v>0</v>
      </c>
      <c r="S997" s="112">
        <v>0</v>
      </c>
    </row>
    <row r="998" spans="1:19" ht="60">
      <c r="A998" s="189" t="s">
        <v>1858</v>
      </c>
      <c r="B998" s="242" t="s">
        <v>2583</v>
      </c>
      <c r="C998" s="189" t="s">
        <v>2512</v>
      </c>
      <c r="D998" s="143">
        <v>2</v>
      </c>
      <c r="E998" s="242" t="s">
        <v>1495</v>
      </c>
      <c r="F998" s="113">
        <f t="shared" si="68"/>
        <v>2</v>
      </c>
      <c r="G998" s="112">
        <v>0</v>
      </c>
      <c r="H998" s="120">
        <v>0</v>
      </c>
      <c r="I998" s="120">
        <v>0</v>
      </c>
      <c r="J998" s="120">
        <v>0</v>
      </c>
      <c r="K998" s="112">
        <v>1358900</v>
      </c>
      <c r="L998" s="113"/>
      <c r="M998" s="113">
        <v>1162700</v>
      </c>
      <c r="N998" s="113"/>
      <c r="O998" s="113"/>
      <c r="P998" s="299">
        <f t="shared" si="69"/>
        <v>2521600</v>
      </c>
      <c r="Q998" s="299">
        <f t="shared" si="70"/>
        <v>5043200</v>
      </c>
      <c r="R998" s="299">
        <f t="shared" si="71"/>
        <v>5043200</v>
      </c>
      <c r="S998" s="112" t="s">
        <v>3747</v>
      </c>
    </row>
    <row r="999" spans="1:19" ht="60">
      <c r="A999" s="189" t="s">
        <v>1875</v>
      </c>
      <c r="B999" s="242" t="s">
        <v>2584</v>
      </c>
      <c r="C999" s="189" t="s">
        <v>2512</v>
      </c>
      <c r="D999" s="143">
        <v>8</v>
      </c>
      <c r="E999" s="242" t="s">
        <v>1495</v>
      </c>
      <c r="F999" s="113">
        <f t="shared" si="68"/>
        <v>8</v>
      </c>
      <c r="G999" s="112">
        <v>0</v>
      </c>
      <c r="H999" s="120">
        <v>0</v>
      </c>
      <c r="I999" s="120">
        <v>0</v>
      </c>
      <c r="J999" s="120">
        <v>0</v>
      </c>
      <c r="K999" s="112">
        <v>1358900</v>
      </c>
      <c r="L999" s="113"/>
      <c r="M999" s="113">
        <v>1162700</v>
      </c>
      <c r="N999" s="113"/>
      <c r="O999" s="113"/>
      <c r="P999" s="299">
        <f t="shared" si="69"/>
        <v>2521600</v>
      </c>
      <c r="Q999" s="299">
        <f t="shared" si="70"/>
        <v>20172800</v>
      </c>
      <c r="R999" s="299">
        <f t="shared" si="71"/>
        <v>20172800</v>
      </c>
      <c r="S999" s="112" t="s">
        <v>3747</v>
      </c>
    </row>
    <row r="1000" spans="1:19" ht="60">
      <c r="A1000" s="189" t="s">
        <v>1882</v>
      </c>
      <c r="B1000" s="242" t="s">
        <v>2585</v>
      </c>
      <c r="C1000" s="189" t="s">
        <v>2512</v>
      </c>
      <c r="D1000" s="143">
        <v>5</v>
      </c>
      <c r="E1000" s="242" t="s">
        <v>1495</v>
      </c>
      <c r="F1000" s="113">
        <f t="shared" si="68"/>
        <v>5</v>
      </c>
      <c r="G1000" s="112">
        <v>0</v>
      </c>
      <c r="H1000" s="120">
        <v>0</v>
      </c>
      <c r="I1000" s="120">
        <v>0</v>
      </c>
      <c r="J1000" s="120">
        <v>0</v>
      </c>
      <c r="K1000" s="112">
        <v>1358900</v>
      </c>
      <c r="L1000" s="113"/>
      <c r="M1000" s="113">
        <v>1162700</v>
      </c>
      <c r="N1000" s="113"/>
      <c r="O1000" s="113"/>
      <c r="P1000" s="299">
        <f t="shared" si="69"/>
        <v>2521600</v>
      </c>
      <c r="Q1000" s="299">
        <f t="shared" si="70"/>
        <v>12608000</v>
      </c>
      <c r="R1000" s="299">
        <f t="shared" si="71"/>
        <v>12608000</v>
      </c>
      <c r="S1000" s="112" t="s">
        <v>3747</v>
      </c>
    </row>
    <row r="1001" spans="1:19" ht="60">
      <c r="A1001" s="189" t="s">
        <v>2300</v>
      </c>
      <c r="B1001" s="242" t="s">
        <v>2586</v>
      </c>
      <c r="C1001" s="189" t="s">
        <v>2512</v>
      </c>
      <c r="D1001" s="143">
        <v>3</v>
      </c>
      <c r="E1001" s="242" t="s">
        <v>1495</v>
      </c>
      <c r="F1001" s="113">
        <f t="shared" si="68"/>
        <v>3</v>
      </c>
      <c r="G1001" s="112">
        <v>0</v>
      </c>
      <c r="H1001" s="120">
        <v>0</v>
      </c>
      <c r="I1001" s="120">
        <v>0</v>
      </c>
      <c r="J1001" s="120">
        <v>0</v>
      </c>
      <c r="K1001" s="112">
        <v>1358900</v>
      </c>
      <c r="L1001" s="113"/>
      <c r="M1001" s="113">
        <v>1162700</v>
      </c>
      <c r="N1001" s="113"/>
      <c r="O1001" s="113"/>
      <c r="P1001" s="299">
        <f t="shared" si="69"/>
        <v>2521600</v>
      </c>
      <c r="Q1001" s="299">
        <f t="shared" si="70"/>
        <v>7564800</v>
      </c>
      <c r="R1001" s="299">
        <f t="shared" si="71"/>
        <v>7564800</v>
      </c>
      <c r="S1001" s="112" t="s">
        <v>3747</v>
      </c>
    </row>
    <row r="1002" spans="1:19" ht="60">
      <c r="A1002" s="189" t="s">
        <v>2464</v>
      </c>
      <c r="B1002" s="242" t="s">
        <v>2587</v>
      </c>
      <c r="C1002" s="189" t="s">
        <v>2512</v>
      </c>
      <c r="D1002" s="143">
        <v>3</v>
      </c>
      <c r="E1002" s="242" t="s">
        <v>1495</v>
      </c>
      <c r="F1002" s="113">
        <f t="shared" si="68"/>
        <v>3</v>
      </c>
      <c r="G1002" s="112">
        <v>0</v>
      </c>
      <c r="H1002" s="120">
        <v>0</v>
      </c>
      <c r="I1002" s="120">
        <v>0</v>
      </c>
      <c r="J1002" s="120">
        <v>0</v>
      </c>
      <c r="K1002" s="112">
        <v>1358900</v>
      </c>
      <c r="L1002" s="113"/>
      <c r="M1002" s="113">
        <v>1162700</v>
      </c>
      <c r="N1002" s="113"/>
      <c r="O1002" s="113"/>
      <c r="P1002" s="299">
        <f t="shared" si="69"/>
        <v>2521600</v>
      </c>
      <c r="Q1002" s="299">
        <f t="shared" si="70"/>
        <v>7564800</v>
      </c>
      <c r="R1002" s="299">
        <f t="shared" si="71"/>
        <v>7564800</v>
      </c>
      <c r="S1002" s="112" t="s">
        <v>3747</v>
      </c>
    </row>
    <row r="1003" spans="1:19" ht="60">
      <c r="A1003" s="189" t="s">
        <v>2466</v>
      </c>
      <c r="B1003" s="242" t="s">
        <v>2588</v>
      </c>
      <c r="C1003" s="189" t="s">
        <v>2512</v>
      </c>
      <c r="D1003" s="143">
        <v>7</v>
      </c>
      <c r="E1003" s="242" t="s">
        <v>1495</v>
      </c>
      <c r="F1003" s="113">
        <f t="shared" si="68"/>
        <v>7</v>
      </c>
      <c r="G1003" s="112">
        <v>0</v>
      </c>
      <c r="H1003" s="120">
        <v>0</v>
      </c>
      <c r="I1003" s="120">
        <v>0</v>
      </c>
      <c r="J1003" s="120">
        <v>0</v>
      </c>
      <c r="K1003" s="112">
        <v>1358900</v>
      </c>
      <c r="L1003" s="113"/>
      <c r="M1003" s="113">
        <v>1348100</v>
      </c>
      <c r="N1003" s="113"/>
      <c r="O1003" s="113"/>
      <c r="P1003" s="299">
        <f t="shared" si="69"/>
        <v>2707000</v>
      </c>
      <c r="Q1003" s="299">
        <f t="shared" si="70"/>
        <v>18949000</v>
      </c>
      <c r="R1003" s="299">
        <f t="shared" si="71"/>
        <v>18949000</v>
      </c>
      <c r="S1003" s="112" t="s">
        <v>3747</v>
      </c>
    </row>
    <row r="1004" spans="1:19" ht="60">
      <c r="A1004" s="189" t="s">
        <v>2468</v>
      </c>
      <c r="B1004" s="242" t="s">
        <v>2589</v>
      </c>
      <c r="C1004" s="189" t="s">
        <v>2512</v>
      </c>
      <c r="D1004" s="143">
        <v>1</v>
      </c>
      <c r="E1004" s="242" t="s">
        <v>1495</v>
      </c>
      <c r="F1004" s="113">
        <f t="shared" si="68"/>
        <v>1</v>
      </c>
      <c r="G1004" s="112">
        <v>0</v>
      </c>
      <c r="H1004" s="120">
        <v>0</v>
      </c>
      <c r="I1004" s="120">
        <v>0</v>
      </c>
      <c r="J1004" s="120">
        <v>0</v>
      </c>
      <c r="K1004" s="112">
        <v>1358900</v>
      </c>
      <c r="L1004" s="113"/>
      <c r="M1004" s="113">
        <v>1348100</v>
      </c>
      <c r="N1004" s="113"/>
      <c r="O1004" s="113"/>
      <c r="P1004" s="299">
        <f t="shared" si="69"/>
        <v>2707000</v>
      </c>
      <c r="Q1004" s="299">
        <f t="shared" si="70"/>
        <v>2707000</v>
      </c>
      <c r="R1004" s="299">
        <f t="shared" si="71"/>
        <v>2707000</v>
      </c>
      <c r="S1004" s="112" t="s">
        <v>3747</v>
      </c>
    </row>
    <row r="1005" spans="1:19" ht="60">
      <c r="A1005" s="189" t="s">
        <v>2470</v>
      </c>
      <c r="B1005" s="242" t="s">
        <v>2590</v>
      </c>
      <c r="C1005" s="189" t="s">
        <v>2512</v>
      </c>
      <c r="D1005" s="143">
        <v>1</v>
      </c>
      <c r="E1005" s="242" t="s">
        <v>1495</v>
      </c>
      <c r="F1005" s="113">
        <f t="shared" si="68"/>
        <v>1</v>
      </c>
      <c r="G1005" s="112">
        <v>0</v>
      </c>
      <c r="H1005" s="120">
        <v>0</v>
      </c>
      <c r="I1005" s="120">
        <v>0</v>
      </c>
      <c r="J1005" s="120">
        <v>0</v>
      </c>
      <c r="K1005" s="112">
        <v>1358900</v>
      </c>
      <c r="L1005" s="113"/>
      <c r="M1005" s="113">
        <v>1348100</v>
      </c>
      <c r="N1005" s="113"/>
      <c r="O1005" s="113"/>
      <c r="P1005" s="299">
        <f t="shared" si="69"/>
        <v>2707000</v>
      </c>
      <c r="Q1005" s="299">
        <f t="shared" si="70"/>
        <v>2707000</v>
      </c>
      <c r="R1005" s="299">
        <f t="shared" si="71"/>
        <v>2707000</v>
      </c>
      <c r="S1005" s="112" t="s">
        <v>3747</v>
      </c>
    </row>
    <row r="1006" spans="1:19">
      <c r="A1006" s="182" t="s">
        <v>1467</v>
      </c>
      <c r="B1006" s="243" t="s">
        <v>2521</v>
      </c>
      <c r="C1006" s="182"/>
      <c r="D1006" s="170">
        <v>0</v>
      </c>
      <c r="E1006" s="243"/>
      <c r="F1006" s="113">
        <f t="shared" si="68"/>
        <v>0</v>
      </c>
      <c r="G1006" s="112">
        <v>0</v>
      </c>
      <c r="H1006" s="120">
        <v>0</v>
      </c>
      <c r="I1006" s="120">
        <v>0</v>
      </c>
      <c r="J1006" s="120">
        <v>0</v>
      </c>
      <c r="K1006" s="112">
        <v>0</v>
      </c>
      <c r="L1006" s="113"/>
      <c r="M1006" s="113">
        <v>0</v>
      </c>
      <c r="N1006" s="113"/>
      <c r="O1006" s="113"/>
      <c r="P1006" s="299">
        <f t="shared" si="69"/>
        <v>0</v>
      </c>
      <c r="Q1006" s="299">
        <f t="shared" si="70"/>
        <v>0</v>
      </c>
      <c r="R1006" s="299">
        <f t="shared" si="71"/>
        <v>0</v>
      </c>
      <c r="S1006" s="112">
        <v>0</v>
      </c>
    </row>
    <row r="1007" spans="1:19" ht="60">
      <c r="A1007" s="189" t="s">
        <v>2471</v>
      </c>
      <c r="B1007" s="242" t="s">
        <v>2591</v>
      </c>
      <c r="C1007" s="189" t="s">
        <v>2512</v>
      </c>
      <c r="D1007" s="143">
        <v>2</v>
      </c>
      <c r="E1007" s="242" t="s">
        <v>1495</v>
      </c>
      <c r="F1007" s="113">
        <f t="shared" si="68"/>
        <v>2</v>
      </c>
      <c r="G1007" s="112">
        <v>0</v>
      </c>
      <c r="H1007" s="120">
        <v>0</v>
      </c>
      <c r="I1007" s="120">
        <v>0</v>
      </c>
      <c r="J1007" s="120">
        <v>0</v>
      </c>
      <c r="K1007" s="112">
        <v>1520000</v>
      </c>
      <c r="L1007" s="113"/>
      <c r="M1007" s="113">
        <v>3886300</v>
      </c>
      <c r="N1007" s="113"/>
      <c r="O1007" s="113"/>
      <c r="P1007" s="299">
        <f t="shared" si="69"/>
        <v>5406300</v>
      </c>
      <c r="Q1007" s="299">
        <f t="shared" si="70"/>
        <v>10812600</v>
      </c>
      <c r="R1007" s="299">
        <f t="shared" si="71"/>
        <v>10812600</v>
      </c>
      <c r="S1007" s="112" t="s">
        <v>3747</v>
      </c>
    </row>
    <row r="1008" spans="1:19" ht="60">
      <c r="A1008" s="189" t="s">
        <v>2473</v>
      </c>
      <c r="B1008" s="242" t="s">
        <v>2592</v>
      </c>
      <c r="C1008" s="189" t="s">
        <v>2512</v>
      </c>
      <c r="D1008" s="143">
        <v>2</v>
      </c>
      <c r="E1008" s="242" t="s">
        <v>1495</v>
      </c>
      <c r="F1008" s="113">
        <f t="shared" si="68"/>
        <v>2</v>
      </c>
      <c r="G1008" s="112">
        <v>0</v>
      </c>
      <c r="H1008" s="120">
        <v>0</v>
      </c>
      <c r="I1008" s="120">
        <v>0</v>
      </c>
      <c r="J1008" s="120">
        <v>0</v>
      </c>
      <c r="K1008" s="112">
        <v>1520000</v>
      </c>
      <c r="L1008" s="113"/>
      <c r="M1008" s="113">
        <v>4391300</v>
      </c>
      <c r="N1008" s="113"/>
      <c r="O1008" s="113"/>
      <c r="P1008" s="299">
        <f t="shared" si="69"/>
        <v>5911300</v>
      </c>
      <c r="Q1008" s="299">
        <f t="shared" si="70"/>
        <v>11822600</v>
      </c>
      <c r="R1008" s="299">
        <f t="shared" si="71"/>
        <v>11822600</v>
      </c>
      <c r="S1008" s="112" t="s">
        <v>3747</v>
      </c>
    </row>
    <row r="1009" spans="1:19" ht="60">
      <c r="A1009" s="189" t="s">
        <v>2475</v>
      </c>
      <c r="B1009" s="242" t="s">
        <v>2593</v>
      </c>
      <c r="C1009" s="189" t="s">
        <v>2512</v>
      </c>
      <c r="D1009" s="143">
        <v>4</v>
      </c>
      <c r="E1009" s="242" t="s">
        <v>1495</v>
      </c>
      <c r="F1009" s="113">
        <f t="shared" si="68"/>
        <v>4</v>
      </c>
      <c r="G1009" s="112">
        <v>0</v>
      </c>
      <c r="H1009" s="120">
        <v>0</v>
      </c>
      <c r="I1009" s="120">
        <v>0</v>
      </c>
      <c r="J1009" s="120">
        <v>0</v>
      </c>
      <c r="K1009" s="112">
        <v>1520000</v>
      </c>
      <c r="L1009" s="113"/>
      <c r="M1009" s="113">
        <v>4615300</v>
      </c>
      <c r="N1009" s="113"/>
      <c r="O1009" s="113"/>
      <c r="P1009" s="299">
        <f t="shared" si="69"/>
        <v>6135300</v>
      </c>
      <c r="Q1009" s="299">
        <f t="shared" si="70"/>
        <v>24541200</v>
      </c>
      <c r="R1009" s="299">
        <f t="shared" si="71"/>
        <v>24541200</v>
      </c>
      <c r="S1009" s="112" t="s">
        <v>3747</v>
      </c>
    </row>
    <row r="1010" spans="1:19" ht="60">
      <c r="A1010" s="189" t="s">
        <v>2477</v>
      </c>
      <c r="B1010" s="242" t="s">
        <v>2594</v>
      </c>
      <c r="C1010" s="189" t="s">
        <v>2512</v>
      </c>
      <c r="D1010" s="143">
        <v>1</v>
      </c>
      <c r="E1010" s="242" t="s">
        <v>1495</v>
      </c>
      <c r="F1010" s="113">
        <f t="shared" si="68"/>
        <v>1</v>
      </c>
      <c r="G1010" s="112">
        <v>0</v>
      </c>
      <c r="H1010" s="120">
        <v>0</v>
      </c>
      <c r="I1010" s="120">
        <v>0</v>
      </c>
      <c r="J1010" s="120">
        <v>0</v>
      </c>
      <c r="K1010" s="112">
        <v>1520000</v>
      </c>
      <c r="L1010" s="113"/>
      <c r="M1010" s="113">
        <v>4615300</v>
      </c>
      <c r="N1010" s="113"/>
      <c r="O1010" s="113"/>
      <c r="P1010" s="299">
        <f t="shared" si="69"/>
        <v>6135300</v>
      </c>
      <c r="Q1010" s="299">
        <f t="shared" si="70"/>
        <v>6135300</v>
      </c>
      <c r="R1010" s="299">
        <f t="shared" si="71"/>
        <v>6135300</v>
      </c>
      <c r="S1010" s="112" t="s">
        <v>3747</v>
      </c>
    </row>
    <row r="1011" spans="1:19">
      <c r="A1011" s="182">
        <v>2</v>
      </c>
      <c r="B1011" s="243" t="s">
        <v>2529</v>
      </c>
      <c r="C1011" s="182"/>
      <c r="D1011" s="170"/>
      <c r="E1011" s="243"/>
      <c r="F1011" s="113">
        <f t="shared" si="68"/>
        <v>0</v>
      </c>
      <c r="G1011" s="112">
        <v>0</v>
      </c>
      <c r="H1011" s="120">
        <v>0</v>
      </c>
      <c r="I1011" s="120">
        <v>0</v>
      </c>
      <c r="J1011" s="120">
        <v>0</v>
      </c>
      <c r="K1011" s="112">
        <v>0</v>
      </c>
      <c r="L1011" s="113"/>
      <c r="M1011" s="113">
        <v>0</v>
      </c>
      <c r="N1011" s="113"/>
      <c r="O1011" s="113"/>
      <c r="P1011" s="299">
        <f t="shared" si="69"/>
        <v>0</v>
      </c>
      <c r="Q1011" s="299">
        <f t="shared" si="70"/>
        <v>0</v>
      </c>
      <c r="R1011" s="299">
        <f t="shared" si="71"/>
        <v>0</v>
      </c>
      <c r="S1011" s="112">
        <v>0</v>
      </c>
    </row>
    <row r="1012" spans="1:19" ht="45">
      <c r="A1012" s="189" t="s">
        <v>2517</v>
      </c>
      <c r="B1012" s="242" t="s">
        <v>2595</v>
      </c>
      <c r="C1012" s="189" t="s">
        <v>2512</v>
      </c>
      <c r="D1012" s="143">
        <v>14</v>
      </c>
      <c r="E1012" s="242" t="s">
        <v>2532</v>
      </c>
      <c r="F1012" s="113">
        <f t="shared" si="68"/>
        <v>14</v>
      </c>
      <c r="G1012" s="112" t="s">
        <v>3212</v>
      </c>
      <c r="H1012" s="120" t="s">
        <v>3211</v>
      </c>
      <c r="I1012" s="120" t="s">
        <v>3209</v>
      </c>
      <c r="J1012" s="120" t="s">
        <v>3187</v>
      </c>
      <c r="K1012" s="112">
        <v>1390300</v>
      </c>
      <c r="L1012" s="113"/>
      <c r="M1012" s="113">
        <v>350700</v>
      </c>
      <c r="N1012" s="113"/>
      <c r="O1012" s="113"/>
      <c r="P1012" s="299">
        <f t="shared" si="69"/>
        <v>1741000</v>
      </c>
      <c r="Q1012" s="299">
        <f t="shared" si="70"/>
        <v>24374000</v>
      </c>
      <c r="R1012" s="299">
        <f t="shared" si="71"/>
        <v>24374000</v>
      </c>
      <c r="S1012" s="112" t="s">
        <v>2532</v>
      </c>
    </row>
    <row r="1013" spans="1:19" ht="60">
      <c r="A1013" s="189" t="s">
        <v>2236</v>
      </c>
      <c r="B1013" s="242" t="s">
        <v>2534</v>
      </c>
      <c r="C1013" s="189" t="s">
        <v>2512</v>
      </c>
      <c r="D1013" s="143">
        <v>5</v>
      </c>
      <c r="E1013" s="242"/>
      <c r="F1013" s="113">
        <f t="shared" si="68"/>
        <v>5</v>
      </c>
      <c r="G1013" s="112">
        <v>0</v>
      </c>
      <c r="H1013" s="120">
        <v>0</v>
      </c>
      <c r="I1013" s="120">
        <v>0</v>
      </c>
      <c r="J1013" s="120">
        <v>0</v>
      </c>
      <c r="K1013" s="112">
        <v>0</v>
      </c>
      <c r="L1013" s="113"/>
      <c r="M1013" s="113">
        <v>0</v>
      </c>
      <c r="N1013" s="113"/>
      <c r="O1013" s="113"/>
      <c r="P1013" s="299">
        <f t="shared" si="69"/>
        <v>0</v>
      </c>
      <c r="Q1013" s="299">
        <f t="shared" si="70"/>
        <v>0</v>
      </c>
      <c r="R1013" s="299">
        <f t="shared" si="71"/>
        <v>0</v>
      </c>
      <c r="S1013" s="112" t="s">
        <v>3746</v>
      </c>
    </row>
    <row r="1014" spans="1:19" ht="45">
      <c r="A1014" s="189" t="s">
        <v>2238</v>
      </c>
      <c r="B1014" s="242" t="s">
        <v>2596</v>
      </c>
      <c r="C1014" s="189" t="s">
        <v>2512</v>
      </c>
      <c r="D1014" s="143">
        <v>5</v>
      </c>
      <c r="E1014" s="242"/>
      <c r="F1014" s="113">
        <f t="shared" si="68"/>
        <v>5</v>
      </c>
      <c r="G1014" s="112" t="s">
        <v>3210</v>
      </c>
      <c r="H1014" s="120" t="s">
        <v>3208</v>
      </c>
      <c r="I1014" s="120" t="s">
        <v>3209</v>
      </c>
      <c r="J1014" s="120" t="s">
        <v>3187</v>
      </c>
      <c r="K1014" s="112">
        <v>9884000</v>
      </c>
      <c r="L1014" s="113"/>
      <c r="M1014" s="113">
        <v>446400</v>
      </c>
      <c r="N1014" s="113"/>
      <c r="O1014" s="113"/>
      <c r="P1014" s="299">
        <f t="shared" si="69"/>
        <v>10330400</v>
      </c>
      <c r="Q1014" s="299">
        <f t="shared" si="70"/>
        <v>51652000</v>
      </c>
      <c r="R1014" s="299">
        <f t="shared" si="71"/>
        <v>51652000</v>
      </c>
      <c r="S1014" s="112">
        <v>0</v>
      </c>
    </row>
    <row r="1015" spans="1:19">
      <c r="A1015" s="182">
        <v>3</v>
      </c>
      <c r="B1015" s="243" t="s">
        <v>2535</v>
      </c>
      <c r="C1015" s="182"/>
      <c r="D1015" s="170"/>
      <c r="E1015" s="243"/>
      <c r="F1015" s="113">
        <f t="shared" si="68"/>
        <v>0</v>
      </c>
      <c r="G1015" s="112">
        <v>0</v>
      </c>
      <c r="H1015" s="120">
        <v>0</v>
      </c>
      <c r="I1015" s="120">
        <v>0</v>
      </c>
      <c r="J1015" s="120">
        <v>0</v>
      </c>
      <c r="K1015" s="112">
        <v>0</v>
      </c>
      <c r="L1015" s="113"/>
      <c r="M1015" s="113">
        <v>0</v>
      </c>
      <c r="N1015" s="113"/>
      <c r="O1015" s="113"/>
      <c r="P1015" s="299">
        <f t="shared" si="69"/>
        <v>0</v>
      </c>
      <c r="Q1015" s="299">
        <f t="shared" si="70"/>
        <v>0</v>
      </c>
      <c r="R1015" s="299">
        <f t="shared" si="71"/>
        <v>0</v>
      </c>
      <c r="S1015" s="112">
        <v>0</v>
      </c>
    </row>
    <row r="1016" spans="1:19">
      <c r="A1016" s="182" t="s">
        <v>719</v>
      </c>
      <c r="B1016" s="243" t="s">
        <v>2536</v>
      </c>
      <c r="C1016" s="182"/>
      <c r="D1016" s="170"/>
      <c r="E1016" s="243"/>
      <c r="F1016" s="113">
        <f t="shared" si="68"/>
        <v>0</v>
      </c>
      <c r="G1016" s="112">
        <v>0</v>
      </c>
      <c r="H1016" s="120">
        <v>0</v>
      </c>
      <c r="I1016" s="120">
        <v>0</v>
      </c>
      <c r="J1016" s="120">
        <v>0</v>
      </c>
      <c r="K1016" s="112">
        <v>0</v>
      </c>
      <c r="L1016" s="113"/>
      <c r="M1016" s="113">
        <v>0</v>
      </c>
      <c r="N1016" s="113"/>
      <c r="O1016" s="113"/>
      <c r="P1016" s="299">
        <f t="shared" si="69"/>
        <v>0</v>
      </c>
      <c r="Q1016" s="299">
        <f t="shared" si="70"/>
        <v>0</v>
      </c>
      <c r="R1016" s="299">
        <f t="shared" si="71"/>
        <v>0</v>
      </c>
      <c r="S1016" s="112">
        <v>0</v>
      </c>
    </row>
    <row r="1017" spans="1:19">
      <c r="A1017" s="182"/>
      <c r="B1017" s="243" t="s">
        <v>2597</v>
      </c>
      <c r="C1017" s="182"/>
      <c r="D1017" s="170"/>
      <c r="E1017" s="243"/>
      <c r="F1017" s="113">
        <f t="shared" si="68"/>
        <v>0</v>
      </c>
      <c r="G1017" s="112">
        <v>0</v>
      </c>
      <c r="H1017" s="120">
        <v>0</v>
      </c>
      <c r="I1017" s="120">
        <v>0</v>
      </c>
      <c r="J1017" s="120">
        <v>0</v>
      </c>
      <c r="K1017" s="112">
        <v>0</v>
      </c>
      <c r="L1017" s="113"/>
      <c r="M1017" s="113">
        <v>0</v>
      </c>
      <c r="N1017" s="113"/>
      <c r="O1017" s="113"/>
      <c r="P1017" s="299">
        <f t="shared" si="69"/>
        <v>0</v>
      </c>
      <c r="Q1017" s="299">
        <f t="shared" si="70"/>
        <v>0</v>
      </c>
      <c r="R1017" s="299">
        <f t="shared" si="71"/>
        <v>0</v>
      </c>
      <c r="S1017" s="112">
        <v>0</v>
      </c>
    </row>
    <row r="1018" spans="1:19">
      <c r="A1018" s="182" t="s">
        <v>2530</v>
      </c>
      <c r="B1018" s="243" t="s">
        <v>2167</v>
      </c>
      <c r="C1018" s="182"/>
      <c r="D1018" s="170"/>
      <c r="E1018" s="243"/>
      <c r="F1018" s="113">
        <f t="shared" si="68"/>
        <v>0</v>
      </c>
      <c r="G1018" s="112">
        <v>0</v>
      </c>
      <c r="H1018" s="120">
        <v>0</v>
      </c>
      <c r="I1018" s="120">
        <v>0</v>
      </c>
      <c r="J1018" s="120">
        <v>0</v>
      </c>
      <c r="K1018" s="112">
        <v>0</v>
      </c>
      <c r="L1018" s="113"/>
      <c r="M1018" s="113">
        <v>0</v>
      </c>
      <c r="N1018" s="113"/>
      <c r="O1018" s="113"/>
      <c r="P1018" s="299">
        <f t="shared" si="69"/>
        <v>0</v>
      </c>
      <c r="Q1018" s="299">
        <f t="shared" si="70"/>
        <v>0</v>
      </c>
      <c r="R1018" s="299">
        <f t="shared" si="71"/>
        <v>0</v>
      </c>
      <c r="S1018" s="112">
        <v>0</v>
      </c>
    </row>
    <row r="1019" spans="1:19">
      <c r="A1019" s="189"/>
      <c r="B1019" s="242" t="s">
        <v>2328</v>
      </c>
      <c r="C1019" s="189" t="s">
        <v>7</v>
      </c>
      <c r="D1019" s="143">
        <v>28.353999999999999</v>
      </c>
      <c r="E1019" s="242"/>
      <c r="F1019" s="113">
        <f t="shared" si="68"/>
        <v>28.353999999999999</v>
      </c>
      <c r="G1019" s="112" t="s">
        <v>3478</v>
      </c>
      <c r="H1019" s="120" t="s">
        <v>3342</v>
      </c>
      <c r="I1019" s="120" t="s">
        <v>3479</v>
      </c>
      <c r="J1019" s="120" t="s">
        <v>772</v>
      </c>
      <c r="K1019" s="112">
        <v>117900</v>
      </c>
      <c r="L1019" s="113"/>
      <c r="M1019" s="113">
        <v>60100</v>
      </c>
      <c r="N1019" s="113"/>
      <c r="O1019" s="113"/>
      <c r="P1019" s="299">
        <f t="shared" si="69"/>
        <v>178000</v>
      </c>
      <c r="Q1019" s="299">
        <f t="shared" si="70"/>
        <v>5047012</v>
      </c>
      <c r="R1019" s="299">
        <f t="shared" si="71"/>
        <v>5047012</v>
      </c>
      <c r="S1019" s="112">
        <v>0</v>
      </c>
    </row>
    <row r="1020" spans="1:19">
      <c r="A1020" s="189"/>
      <c r="B1020" s="242" t="s">
        <v>2329</v>
      </c>
      <c r="C1020" s="189" t="s">
        <v>7</v>
      </c>
      <c r="D1020" s="143">
        <v>33.836999999999996</v>
      </c>
      <c r="E1020" s="242"/>
      <c r="F1020" s="113">
        <f t="shared" si="68"/>
        <v>33.836999999999996</v>
      </c>
      <c r="G1020" s="112" t="s">
        <v>3477</v>
      </c>
      <c r="H1020" s="120" t="s">
        <v>3342</v>
      </c>
      <c r="I1020" s="120" t="s">
        <v>3479</v>
      </c>
      <c r="J1020" s="120" t="s">
        <v>772</v>
      </c>
      <c r="K1020" s="112">
        <v>147200</v>
      </c>
      <c r="L1020" s="113"/>
      <c r="M1020" s="113">
        <v>75100</v>
      </c>
      <c r="N1020" s="113"/>
      <c r="O1020" s="113"/>
      <c r="P1020" s="299">
        <f t="shared" si="69"/>
        <v>222300</v>
      </c>
      <c r="Q1020" s="299">
        <f t="shared" si="70"/>
        <v>7521965.0999999987</v>
      </c>
      <c r="R1020" s="299">
        <f t="shared" si="71"/>
        <v>7521965.0999999987</v>
      </c>
      <c r="S1020" s="112">
        <v>0</v>
      </c>
    </row>
    <row r="1021" spans="1:19">
      <c r="A1021" s="189"/>
      <c r="B1021" s="242" t="s">
        <v>2210</v>
      </c>
      <c r="C1021" s="189" t="s">
        <v>7</v>
      </c>
      <c r="D1021" s="143">
        <v>9.2989999999999995</v>
      </c>
      <c r="E1021" s="242"/>
      <c r="F1021" s="113">
        <f t="shared" si="68"/>
        <v>9.2989999999999995</v>
      </c>
      <c r="G1021" s="112" t="s">
        <v>3367</v>
      </c>
      <c r="H1021" s="120" t="s">
        <v>3360</v>
      </c>
      <c r="I1021" s="120" t="s">
        <v>3479</v>
      </c>
      <c r="J1021" s="120" t="s">
        <v>772</v>
      </c>
      <c r="K1021" s="112">
        <v>214400</v>
      </c>
      <c r="L1021" s="113"/>
      <c r="M1021" s="113">
        <v>124900</v>
      </c>
      <c r="N1021" s="113"/>
      <c r="O1021" s="113"/>
      <c r="P1021" s="299">
        <f t="shared" si="69"/>
        <v>339300</v>
      </c>
      <c r="Q1021" s="299">
        <f t="shared" si="70"/>
        <v>3155150.6999999997</v>
      </c>
      <c r="R1021" s="299">
        <f t="shared" si="71"/>
        <v>3155150.6999999997</v>
      </c>
      <c r="S1021" s="112">
        <v>0</v>
      </c>
    </row>
    <row r="1022" spans="1:19">
      <c r="A1022" s="189"/>
      <c r="B1022" s="242" t="s">
        <v>2330</v>
      </c>
      <c r="C1022" s="189" t="s">
        <v>7</v>
      </c>
      <c r="D1022" s="143">
        <v>18.584</v>
      </c>
      <c r="E1022" s="242"/>
      <c r="F1022" s="113">
        <f t="shared" si="68"/>
        <v>18.584</v>
      </c>
      <c r="G1022" s="112" t="s">
        <v>3476</v>
      </c>
      <c r="H1022" s="120" t="s">
        <v>3360</v>
      </c>
      <c r="I1022" s="120" t="s">
        <v>3479</v>
      </c>
      <c r="J1022" s="120" t="s">
        <v>772</v>
      </c>
      <c r="K1022" s="112">
        <v>183800</v>
      </c>
      <c r="L1022" s="113"/>
      <c r="M1022" s="113">
        <v>107000</v>
      </c>
      <c r="N1022" s="113"/>
      <c r="O1022" s="113"/>
      <c r="P1022" s="299">
        <f t="shared" si="69"/>
        <v>290800</v>
      </c>
      <c r="Q1022" s="299">
        <f t="shared" si="70"/>
        <v>5404227.2000000002</v>
      </c>
      <c r="R1022" s="299">
        <f t="shared" si="71"/>
        <v>5404227.2000000002</v>
      </c>
      <c r="S1022" s="112">
        <v>0</v>
      </c>
    </row>
    <row r="1023" spans="1:19">
      <c r="A1023" s="189"/>
      <c r="B1023" s="242" t="s">
        <v>2213</v>
      </c>
      <c r="C1023" s="189" t="s">
        <v>7</v>
      </c>
      <c r="D1023" s="143">
        <v>24.907999999999998</v>
      </c>
      <c r="E1023" s="242"/>
      <c r="F1023" s="113">
        <f t="shared" si="68"/>
        <v>24.907999999999998</v>
      </c>
      <c r="G1023" s="112" t="s">
        <v>3366</v>
      </c>
      <c r="H1023" s="120" t="s">
        <v>3360</v>
      </c>
      <c r="I1023" s="120" t="s">
        <v>3479</v>
      </c>
      <c r="J1023" s="120" t="s">
        <v>772</v>
      </c>
      <c r="K1023" s="112">
        <v>306300</v>
      </c>
      <c r="L1023" s="113"/>
      <c r="M1023" s="113">
        <v>178400</v>
      </c>
      <c r="N1023" s="113"/>
      <c r="O1023" s="113"/>
      <c r="P1023" s="299">
        <f t="shared" si="69"/>
        <v>484700</v>
      </c>
      <c r="Q1023" s="299">
        <f t="shared" si="70"/>
        <v>12072907.6</v>
      </c>
      <c r="R1023" s="299">
        <f t="shared" si="71"/>
        <v>12072907.6</v>
      </c>
      <c r="S1023" s="112">
        <v>0</v>
      </c>
    </row>
    <row r="1024" spans="1:19">
      <c r="A1024" s="88"/>
      <c r="B1024" s="280" t="s">
        <v>2598</v>
      </c>
      <c r="C1024" s="281" t="s">
        <v>7</v>
      </c>
      <c r="D1024" s="147">
        <v>9</v>
      </c>
      <c r="E1024" s="87"/>
      <c r="F1024" s="113">
        <f t="shared" si="68"/>
        <v>9</v>
      </c>
      <c r="G1024" s="112" t="s">
        <v>3365</v>
      </c>
      <c r="H1024" s="120" t="s">
        <v>3342</v>
      </c>
      <c r="I1024" s="120" t="s">
        <v>3479</v>
      </c>
      <c r="J1024" s="120" t="s">
        <v>772</v>
      </c>
      <c r="K1024" s="112">
        <v>228500</v>
      </c>
      <c r="L1024" s="113"/>
      <c r="M1024" s="113">
        <v>120100</v>
      </c>
      <c r="N1024" s="113"/>
      <c r="O1024" s="113"/>
      <c r="P1024" s="299">
        <f t="shared" si="69"/>
        <v>348600</v>
      </c>
      <c r="Q1024" s="299">
        <f t="shared" si="70"/>
        <v>3137400</v>
      </c>
      <c r="R1024" s="299">
        <f t="shared" si="71"/>
        <v>3137400</v>
      </c>
      <c r="S1024" s="112">
        <v>0</v>
      </c>
    </row>
    <row r="1025" spans="1:19">
      <c r="A1025" s="88"/>
      <c r="B1025" s="280" t="s">
        <v>2209</v>
      </c>
      <c r="C1025" s="281" t="s">
        <v>7</v>
      </c>
      <c r="D1025" s="147">
        <v>4</v>
      </c>
      <c r="E1025" s="87"/>
      <c r="F1025" s="113">
        <f t="shared" si="68"/>
        <v>4</v>
      </c>
      <c r="G1025" s="112" t="s">
        <v>3364</v>
      </c>
      <c r="H1025" s="120" t="s">
        <v>3342</v>
      </c>
      <c r="I1025" s="120" t="s">
        <v>3479</v>
      </c>
      <c r="J1025" s="120" t="s">
        <v>772</v>
      </c>
      <c r="K1025" s="112">
        <v>176700</v>
      </c>
      <c r="L1025" s="113"/>
      <c r="M1025" s="113">
        <v>90100</v>
      </c>
      <c r="N1025" s="113"/>
      <c r="O1025" s="113"/>
      <c r="P1025" s="299">
        <f t="shared" si="69"/>
        <v>266800</v>
      </c>
      <c r="Q1025" s="299">
        <f t="shared" si="70"/>
        <v>1067200</v>
      </c>
      <c r="R1025" s="299">
        <f t="shared" si="71"/>
        <v>1067200</v>
      </c>
      <c r="S1025" s="112">
        <v>0</v>
      </c>
    </row>
    <row r="1026" spans="1:19">
      <c r="A1026" s="182" t="s">
        <v>2533</v>
      </c>
      <c r="B1026" s="243" t="s">
        <v>2180</v>
      </c>
      <c r="C1026" s="182"/>
      <c r="D1026" s="170"/>
      <c r="E1026" s="243"/>
      <c r="F1026" s="113">
        <f t="shared" si="68"/>
        <v>0</v>
      </c>
      <c r="G1026" s="112">
        <v>0</v>
      </c>
      <c r="H1026" s="120">
        <v>0</v>
      </c>
      <c r="I1026" s="120">
        <v>0</v>
      </c>
      <c r="J1026" s="120">
        <v>0</v>
      </c>
      <c r="K1026" s="112">
        <v>0</v>
      </c>
      <c r="L1026" s="113"/>
      <c r="M1026" s="113">
        <v>0</v>
      </c>
      <c r="N1026" s="113"/>
      <c r="O1026" s="113"/>
      <c r="P1026" s="299">
        <f t="shared" si="69"/>
        <v>0</v>
      </c>
      <c r="Q1026" s="299">
        <f t="shared" si="70"/>
        <v>0</v>
      </c>
      <c r="R1026" s="299">
        <f t="shared" si="71"/>
        <v>0</v>
      </c>
      <c r="S1026" s="112">
        <v>0</v>
      </c>
    </row>
    <row r="1027" spans="1:19">
      <c r="A1027" s="189"/>
      <c r="B1027" s="242" t="s">
        <v>2328</v>
      </c>
      <c r="C1027" s="189" t="s">
        <v>4</v>
      </c>
      <c r="D1027" s="143">
        <v>6</v>
      </c>
      <c r="E1027" s="242"/>
      <c r="F1027" s="113">
        <f t="shared" si="68"/>
        <v>6</v>
      </c>
      <c r="G1027" s="112" t="s">
        <v>3363</v>
      </c>
      <c r="H1027" s="120" t="s">
        <v>3342</v>
      </c>
      <c r="I1027" s="120" t="s">
        <v>3479</v>
      </c>
      <c r="J1027" s="120" t="s">
        <v>772</v>
      </c>
      <c r="K1027" s="112">
        <v>77300</v>
      </c>
      <c r="L1027" s="113"/>
      <c r="M1027" s="113">
        <v>9500</v>
      </c>
      <c r="N1027" s="113"/>
      <c r="O1027" s="113"/>
      <c r="P1027" s="299">
        <f t="shared" si="69"/>
        <v>86800</v>
      </c>
      <c r="Q1027" s="299">
        <f t="shared" si="70"/>
        <v>520800</v>
      </c>
      <c r="R1027" s="299">
        <f t="shared" si="71"/>
        <v>520800</v>
      </c>
      <c r="S1027" s="112">
        <v>0</v>
      </c>
    </row>
    <row r="1028" spans="1:19">
      <c r="A1028" s="189"/>
      <c r="B1028" s="242" t="s">
        <v>2329</v>
      </c>
      <c r="C1028" s="189" t="s">
        <v>4</v>
      </c>
      <c r="D1028" s="143">
        <v>4</v>
      </c>
      <c r="E1028" s="242"/>
      <c r="F1028" s="113">
        <f t="shared" si="68"/>
        <v>4</v>
      </c>
      <c r="G1028" s="112" t="s">
        <v>3362</v>
      </c>
      <c r="H1028" s="120" t="s">
        <v>3342</v>
      </c>
      <c r="I1028" s="120" t="s">
        <v>3479</v>
      </c>
      <c r="J1028" s="120" t="s">
        <v>772</v>
      </c>
      <c r="K1028" s="112">
        <v>91400</v>
      </c>
      <c r="L1028" s="113"/>
      <c r="M1028" s="113">
        <v>17700</v>
      </c>
      <c r="N1028" s="113"/>
      <c r="O1028" s="113"/>
      <c r="P1028" s="299">
        <f t="shared" si="69"/>
        <v>109100</v>
      </c>
      <c r="Q1028" s="299">
        <f t="shared" si="70"/>
        <v>436400</v>
      </c>
      <c r="R1028" s="299">
        <f t="shared" si="71"/>
        <v>436400</v>
      </c>
      <c r="S1028" s="112">
        <v>0</v>
      </c>
    </row>
    <row r="1029" spans="1:19">
      <c r="A1029" s="189"/>
      <c r="B1029" s="242" t="s">
        <v>2330</v>
      </c>
      <c r="C1029" s="189" t="s">
        <v>4</v>
      </c>
      <c r="D1029" s="143">
        <v>2</v>
      </c>
      <c r="E1029" s="242"/>
      <c r="F1029" s="113">
        <f t="shared" si="68"/>
        <v>2</v>
      </c>
      <c r="G1029" s="112" t="s">
        <v>3361</v>
      </c>
      <c r="H1029" s="120" t="s">
        <v>3360</v>
      </c>
      <c r="I1029" s="120" t="s">
        <v>3479</v>
      </c>
      <c r="J1029" s="120" t="s">
        <v>772</v>
      </c>
      <c r="K1029" s="112">
        <v>115500</v>
      </c>
      <c r="L1029" s="113"/>
      <c r="M1029" s="113">
        <v>33700</v>
      </c>
      <c r="N1029" s="113"/>
      <c r="O1029" s="113"/>
      <c r="P1029" s="299">
        <f t="shared" si="69"/>
        <v>149200</v>
      </c>
      <c r="Q1029" s="299">
        <f t="shared" si="70"/>
        <v>298400</v>
      </c>
      <c r="R1029" s="299">
        <f t="shared" si="71"/>
        <v>298400</v>
      </c>
      <c r="S1029" s="112">
        <v>0</v>
      </c>
    </row>
    <row r="1030" spans="1:19">
      <c r="A1030" s="189"/>
      <c r="B1030" s="242" t="s">
        <v>2213</v>
      </c>
      <c r="C1030" s="189" t="s">
        <v>4</v>
      </c>
      <c r="D1030" s="143">
        <v>3</v>
      </c>
      <c r="E1030" s="242"/>
      <c r="F1030" s="113">
        <f t="shared" si="68"/>
        <v>3</v>
      </c>
      <c r="G1030" s="112" t="s">
        <v>3359</v>
      </c>
      <c r="H1030" s="120" t="s">
        <v>3360</v>
      </c>
      <c r="I1030" s="120" t="s">
        <v>3479</v>
      </c>
      <c r="J1030" s="120" t="s">
        <v>772</v>
      </c>
      <c r="K1030" s="112">
        <v>205900</v>
      </c>
      <c r="L1030" s="113"/>
      <c r="M1030" s="113">
        <v>84100</v>
      </c>
      <c r="N1030" s="113"/>
      <c r="O1030" s="113"/>
      <c r="P1030" s="299">
        <f t="shared" si="69"/>
        <v>290000</v>
      </c>
      <c r="Q1030" s="299">
        <f t="shared" si="70"/>
        <v>870000</v>
      </c>
      <c r="R1030" s="299">
        <f t="shared" si="71"/>
        <v>870000</v>
      </c>
      <c r="S1030" s="112">
        <v>0</v>
      </c>
    </row>
    <row r="1031" spans="1:19">
      <c r="A1031" s="182" t="s">
        <v>2599</v>
      </c>
      <c r="B1031" s="243" t="s">
        <v>2182</v>
      </c>
      <c r="C1031" s="182"/>
      <c r="D1031" s="170"/>
      <c r="E1031" s="243"/>
      <c r="F1031" s="113">
        <f t="shared" si="68"/>
        <v>0</v>
      </c>
      <c r="G1031" s="112">
        <v>0</v>
      </c>
      <c r="H1031" s="120">
        <v>0</v>
      </c>
      <c r="I1031" s="120">
        <v>0</v>
      </c>
      <c r="J1031" s="120">
        <v>0</v>
      </c>
      <c r="K1031" s="112">
        <v>0</v>
      </c>
      <c r="L1031" s="113"/>
      <c r="M1031" s="113">
        <v>0</v>
      </c>
      <c r="N1031" s="113"/>
      <c r="O1031" s="113"/>
      <c r="P1031" s="299">
        <f t="shared" si="69"/>
        <v>0</v>
      </c>
      <c r="Q1031" s="299">
        <f t="shared" si="70"/>
        <v>0</v>
      </c>
      <c r="R1031" s="299">
        <f t="shared" si="71"/>
        <v>0</v>
      </c>
      <c r="S1031" s="112">
        <v>0</v>
      </c>
    </row>
    <row r="1032" spans="1:19" ht="30">
      <c r="A1032" s="189"/>
      <c r="B1032" s="242" t="s">
        <v>2600</v>
      </c>
      <c r="C1032" s="189" t="s">
        <v>4</v>
      </c>
      <c r="D1032" s="143">
        <v>2</v>
      </c>
      <c r="E1032" s="242"/>
      <c r="F1032" s="113">
        <f t="shared" ref="F1032:F1095" si="72">D1032</f>
        <v>2</v>
      </c>
      <c r="G1032" s="112" t="s">
        <v>3358</v>
      </c>
      <c r="H1032" s="120" t="s">
        <v>3342</v>
      </c>
      <c r="I1032" s="120" t="s">
        <v>3479</v>
      </c>
      <c r="J1032" s="120" t="s">
        <v>772</v>
      </c>
      <c r="K1032" s="112">
        <v>50000</v>
      </c>
      <c r="L1032" s="113"/>
      <c r="M1032" s="113">
        <v>6900</v>
      </c>
      <c r="N1032" s="113"/>
      <c r="O1032" s="113"/>
      <c r="P1032" s="299">
        <f t="shared" ref="P1032:P1095" si="73">K1032+L1032+M1032+N1032+O1032</f>
        <v>56900</v>
      </c>
      <c r="Q1032" s="299">
        <f t="shared" ref="Q1032:Q1095" si="74">+P1032*D1032</f>
        <v>113800</v>
      </c>
      <c r="R1032" s="299">
        <f t="shared" ref="R1032:R1095" si="75">+P1032*F1032</f>
        <v>113800</v>
      </c>
      <c r="S1032" s="112">
        <v>0</v>
      </c>
    </row>
    <row r="1033" spans="1:19" ht="30">
      <c r="A1033" s="189"/>
      <c r="B1033" s="242" t="s">
        <v>2601</v>
      </c>
      <c r="C1033" s="189" t="s">
        <v>4</v>
      </c>
      <c r="D1033" s="143">
        <v>1</v>
      </c>
      <c r="E1033" s="242"/>
      <c r="F1033" s="113">
        <f t="shared" si="72"/>
        <v>1</v>
      </c>
      <c r="G1033" s="112" t="s">
        <v>3357</v>
      </c>
      <c r="H1033" s="120" t="s">
        <v>3342</v>
      </c>
      <c r="I1033" s="120" t="s">
        <v>3479</v>
      </c>
      <c r="J1033" s="120" t="s">
        <v>772</v>
      </c>
      <c r="K1033" s="112">
        <v>52200</v>
      </c>
      <c r="L1033" s="113"/>
      <c r="M1033" s="113">
        <v>7800</v>
      </c>
      <c r="N1033" s="113"/>
      <c r="O1033" s="113"/>
      <c r="P1033" s="299">
        <f t="shared" si="73"/>
        <v>60000</v>
      </c>
      <c r="Q1033" s="299">
        <f t="shared" si="74"/>
        <v>60000</v>
      </c>
      <c r="R1033" s="299">
        <f t="shared" si="75"/>
        <v>60000</v>
      </c>
      <c r="S1033" s="112">
        <v>0</v>
      </c>
    </row>
    <row r="1034" spans="1:19" ht="30">
      <c r="A1034" s="189"/>
      <c r="B1034" s="242" t="s">
        <v>2602</v>
      </c>
      <c r="C1034" s="189" t="s">
        <v>4</v>
      </c>
      <c r="D1034" s="143">
        <v>1</v>
      </c>
      <c r="E1034" s="242"/>
      <c r="F1034" s="113">
        <f t="shared" si="72"/>
        <v>1</v>
      </c>
      <c r="G1034" s="112" t="s">
        <v>3356</v>
      </c>
      <c r="H1034" s="120" t="s">
        <v>3342</v>
      </c>
      <c r="I1034" s="120" t="s">
        <v>3479</v>
      </c>
      <c r="J1034" s="120" t="s">
        <v>772</v>
      </c>
      <c r="K1034" s="112">
        <v>56000</v>
      </c>
      <c r="L1034" s="113"/>
      <c r="M1034" s="113">
        <v>9300</v>
      </c>
      <c r="N1034" s="113"/>
      <c r="O1034" s="113"/>
      <c r="P1034" s="299">
        <f t="shared" si="73"/>
        <v>65300</v>
      </c>
      <c r="Q1034" s="299">
        <f t="shared" si="74"/>
        <v>65300</v>
      </c>
      <c r="R1034" s="299">
        <f t="shared" si="75"/>
        <v>65300</v>
      </c>
      <c r="S1034" s="112">
        <v>0</v>
      </c>
    </row>
    <row r="1035" spans="1:19" ht="30">
      <c r="A1035" s="88"/>
      <c r="B1035" s="280" t="s">
        <v>2603</v>
      </c>
      <c r="C1035" s="281" t="s">
        <v>4</v>
      </c>
      <c r="D1035" s="147">
        <v>2</v>
      </c>
      <c r="E1035" s="87"/>
      <c r="F1035" s="113">
        <f t="shared" si="72"/>
        <v>2</v>
      </c>
      <c r="G1035" s="112" t="s">
        <v>3355</v>
      </c>
      <c r="H1035" s="120" t="s">
        <v>3342</v>
      </c>
      <c r="I1035" s="120" t="s">
        <v>3479</v>
      </c>
      <c r="J1035" s="120" t="s">
        <v>772</v>
      </c>
      <c r="K1035" s="112">
        <v>53700</v>
      </c>
      <c r="L1035" s="113"/>
      <c r="M1035" s="113">
        <v>8400</v>
      </c>
      <c r="N1035" s="113"/>
      <c r="O1035" s="113"/>
      <c r="P1035" s="299">
        <f t="shared" si="73"/>
        <v>62100</v>
      </c>
      <c r="Q1035" s="299">
        <f t="shared" si="74"/>
        <v>124200</v>
      </c>
      <c r="R1035" s="299">
        <f t="shared" si="75"/>
        <v>124200</v>
      </c>
      <c r="S1035" s="112">
        <v>0</v>
      </c>
    </row>
    <row r="1036" spans="1:19" ht="30">
      <c r="A1036" s="88"/>
      <c r="B1036" s="280" t="s">
        <v>2604</v>
      </c>
      <c r="C1036" s="281" t="s">
        <v>4</v>
      </c>
      <c r="D1036" s="147">
        <v>1</v>
      </c>
      <c r="E1036" s="87"/>
      <c r="F1036" s="113">
        <f t="shared" si="72"/>
        <v>1</v>
      </c>
      <c r="G1036" s="112" t="s">
        <v>3354</v>
      </c>
      <c r="H1036" s="120" t="s">
        <v>3342</v>
      </c>
      <c r="I1036" s="120" t="s">
        <v>3479</v>
      </c>
      <c r="J1036" s="120" t="s">
        <v>772</v>
      </c>
      <c r="K1036" s="112">
        <v>84100</v>
      </c>
      <c r="L1036" s="113"/>
      <c r="M1036" s="113">
        <v>20800</v>
      </c>
      <c r="N1036" s="113"/>
      <c r="O1036" s="113"/>
      <c r="P1036" s="299">
        <f t="shared" si="73"/>
        <v>104900</v>
      </c>
      <c r="Q1036" s="299">
        <f t="shared" si="74"/>
        <v>104900</v>
      </c>
      <c r="R1036" s="299">
        <f t="shared" si="75"/>
        <v>104900</v>
      </c>
      <c r="S1036" s="112">
        <v>0</v>
      </c>
    </row>
    <row r="1037" spans="1:19" ht="30">
      <c r="A1037" s="88"/>
      <c r="B1037" s="280" t="s">
        <v>2605</v>
      </c>
      <c r="C1037" s="281" t="s">
        <v>4</v>
      </c>
      <c r="D1037" s="147">
        <v>2</v>
      </c>
      <c r="E1037" s="87"/>
      <c r="F1037" s="113">
        <f t="shared" si="72"/>
        <v>2</v>
      </c>
      <c r="G1037" s="112" t="s">
        <v>3353</v>
      </c>
      <c r="H1037" s="120" t="s">
        <v>3342</v>
      </c>
      <c r="I1037" s="120" t="s">
        <v>3479</v>
      </c>
      <c r="J1037" s="120" t="s">
        <v>772</v>
      </c>
      <c r="K1037" s="112">
        <v>79800</v>
      </c>
      <c r="L1037" s="113"/>
      <c r="M1037" s="113">
        <v>19000</v>
      </c>
      <c r="N1037" s="113"/>
      <c r="O1037" s="113"/>
      <c r="P1037" s="299">
        <f t="shared" si="73"/>
        <v>98800</v>
      </c>
      <c r="Q1037" s="299">
        <f t="shared" si="74"/>
        <v>197600</v>
      </c>
      <c r="R1037" s="299">
        <f t="shared" si="75"/>
        <v>197600</v>
      </c>
      <c r="S1037" s="112">
        <v>0</v>
      </c>
    </row>
    <row r="1038" spans="1:19">
      <c r="A1038" s="90" t="s">
        <v>2606</v>
      </c>
      <c r="B1038" s="282" t="s">
        <v>2607</v>
      </c>
      <c r="C1038" s="283">
        <v>0</v>
      </c>
      <c r="D1038" s="258"/>
      <c r="E1038" s="91"/>
      <c r="F1038" s="113">
        <f t="shared" si="72"/>
        <v>0</v>
      </c>
      <c r="G1038" s="112">
        <v>0</v>
      </c>
      <c r="H1038" s="120">
        <v>0</v>
      </c>
      <c r="I1038" s="120">
        <v>0</v>
      </c>
      <c r="J1038" s="120">
        <v>0</v>
      </c>
      <c r="K1038" s="112">
        <v>0</v>
      </c>
      <c r="L1038" s="113"/>
      <c r="M1038" s="113">
        <v>0</v>
      </c>
      <c r="N1038" s="113"/>
      <c r="O1038" s="113"/>
      <c r="P1038" s="299">
        <f t="shared" si="73"/>
        <v>0</v>
      </c>
      <c r="Q1038" s="299">
        <f t="shared" si="74"/>
        <v>0</v>
      </c>
      <c r="R1038" s="299">
        <f t="shared" si="75"/>
        <v>0</v>
      </c>
      <c r="S1038" s="112">
        <v>0</v>
      </c>
    </row>
    <row r="1039" spans="1:19" ht="30">
      <c r="A1039" s="88"/>
      <c r="B1039" s="280" t="s">
        <v>2608</v>
      </c>
      <c r="C1039" s="281" t="s">
        <v>4</v>
      </c>
      <c r="D1039" s="147">
        <v>16</v>
      </c>
      <c r="E1039" s="87"/>
      <c r="F1039" s="113">
        <f t="shared" si="72"/>
        <v>16</v>
      </c>
      <c r="G1039" s="112" t="s">
        <v>3352</v>
      </c>
      <c r="H1039" s="120" t="s">
        <v>3342</v>
      </c>
      <c r="I1039" s="120" t="s">
        <v>3479</v>
      </c>
      <c r="J1039" s="120" t="s">
        <v>772</v>
      </c>
      <c r="K1039" s="112">
        <v>50800</v>
      </c>
      <c r="L1039" s="113"/>
      <c r="M1039" s="113">
        <v>7900</v>
      </c>
      <c r="N1039" s="113"/>
      <c r="O1039" s="113"/>
      <c r="P1039" s="299">
        <f t="shared" si="73"/>
        <v>58700</v>
      </c>
      <c r="Q1039" s="299">
        <f t="shared" si="74"/>
        <v>939200</v>
      </c>
      <c r="R1039" s="299">
        <f t="shared" si="75"/>
        <v>939200</v>
      </c>
      <c r="S1039" s="112">
        <v>0</v>
      </c>
    </row>
    <row r="1040" spans="1:19" ht="30">
      <c r="A1040" s="88"/>
      <c r="B1040" s="280" t="s">
        <v>2609</v>
      </c>
      <c r="C1040" s="281" t="s">
        <v>4</v>
      </c>
      <c r="D1040" s="147">
        <v>2</v>
      </c>
      <c r="E1040" s="87"/>
      <c r="F1040" s="113">
        <f t="shared" si="72"/>
        <v>2</v>
      </c>
      <c r="G1040" s="112" t="s">
        <v>3351</v>
      </c>
      <c r="H1040" s="120" t="s">
        <v>3342</v>
      </c>
      <c r="I1040" s="120" t="s">
        <v>3479</v>
      </c>
      <c r="J1040" s="120" t="s">
        <v>772</v>
      </c>
      <c r="K1040" s="112">
        <v>54200</v>
      </c>
      <c r="L1040" s="113"/>
      <c r="M1040" s="113">
        <v>9400</v>
      </c>
      <c r="N1040" s="113"/>
      <c r="O1040" s="113"/>
      <c r="P1040" s="299">
        <f t="shared" si="73"/>
        <v>63600</v>
      </c>
      <c r="Q1040" s="299">
        <f t="shared" si="74"/>
        <v>127200</v>
      </c>
      <c r="R1040" s="299">
        <f t="shared" si="75"/>
        <v>127200</v>
      </c>
      <c r="S1040" s="112">
        <v>0</v>
      </c>
    </row>
    <row r="1041" spans="1:19" ht="30">
      <c r="A1041" s="88"/>
      <c r="B1041" s="280" t="s">
        <v>2610</v>
      </c>
      <c r="C1041" s="281" t="s">
        <v>4</v>
      </c>
      <c r="D1041" s="147">
        <v>1</v>
      </c>
      <c r="E1041" s="87"/>
      <c r="F1041" s="113">
        <f t="shared" si="72"/>
        <v>1</v>
      </c>
      <c r="G1041" s="112" t="s">
        <v>3350</v>
      </c>
      <c r="H1041" s="120" t="s">
        <v>3342</v>
      </c>
      <c r="I1041" s="120" t="s">
        <v>3479</v>
      </c>
      <c r="J1041" s="120" t="s">
        <v>772</v>
      </c>
      <c r="K1041" s="112">
        <v>58000</v>
      </c>
      <c r="L1041" s="113"/>
      <c r="M1041" s="113">
        <v>11100</v>
      </c>
      <c r="N1041" s="113"/>
      <c r="O1041" s="113"/>
      <c r="P1041" s="299">
        <f t="shared" si="73"/>
        <v>69100</v>
      </c>
      <c r="Q1041" s="299">
        <f t="shared" si="74"/>
        <v>69100</v>
      </c>
      <c r="R1041" s="299">
        <f t="shared" si="75"/>
        <v>69100</v>
      </c>
      <c r="S1041" s="112">
        <v>0</v>
      </c>
    </row>
    <row r="1042" spans="1:19" ht="30">
      <c r="A1042" s="88"/>
      <c r="B1042" s="280" t="s">
        <v>2611</v>
      </c>
      <c r="C1042" s="281" t="s">
        <v>4</v>
      </c>
      <c r="D1042" s="147">
        <v>8</v>
      </c>
      <c r="E1042" s="87"/>
      <c r="F1042" s="113">
        <f t="shared" si="72"/>
        <v>8</v>
      </c>
      <c r="G1042" s="112" t="s">
        <v>3349</v>
      </c>
      <c r="H1042" s="120" t="s">
        <v>3342</v>
      </c>
      <c r="I1042" s="120" t="s">
        <v>3479</v>
      </c>
      <c r="J1042" s="120" t="s">
        <v>772</v>
      </c>
      <c r="K1042" s="112">
        <v>57600</v>
      </c>
      <c r="L1042" s="113"/>
      <c r="M1042" s="113">
        <v>10900</v>
      </c>
      <c r="N1042" s="113"/>
      <c r="O1042" s="113"/>
      <c r="P1042" s="299">
        <f t="shared" si="73"/>
        <v>68500</v>
      </c>
      <c r="Q1042" s="299">
        <f t="shared" si="74"/>
        <v>548000</v>
      </c>
      <c r="R1042" s="299">
        <f t="shared" si="75"/>
        <v>548000</v>
      </c>
      <c r="S1042" s="112">
        <v>0</v>
      </c>
    </row>
    <row r="1043" spans="1:19" ht="30">
      <c r="A1043" s="88"/>
      <c r="B1043" s="280" t="s">
        <v>2612</v>
      </c>
      <c r="C1043" s="281" t="s">
        <v>4</v>
      </c>
      <c r="D1043" s="147">
        <v>2</v>
      </c>
      <c r="E1043" s="87"/>
      <c r="F1043" s="113">
        <f t="shared" si="72"/>
        <v>2</v>
      </c>
      <c r="G1043" s="112" t="s">
        <v>3348</v>
      </c>
      <c r="H1043" s="120" t="s">
        <v>3342</v>
      </c>
      <c r="I1043" s="120" t="s">
        <v>3479</v>
      </c>
      <c r="J1043" s="120" t="s">
        <v>772</v>
      </c>
      <c r="K1043" s="112">
        <v>61400</v>
      </c>
      <c r="L1043" s="113"/>
      <c r="M1043" s="113">
        <v>12600</v>
      </c>
      <c r="N1043" s="113"/>
      <c r="O1043" s="113"/>
      <c r="P1043" s="299">
        <f t="shared" si="73"/>
        <v>74000</v>
      </c>
      <c r="Q1043" s="299">
        <f t="shared" si="74"/>
        <v>148000</v>
      </c>
      <c r="R1043" s="299">
        <f t="shared" si="75"/>
        <v>148000</v>
      </c>
      <c r="S1043" s="112">
        <v>0</v>
      </c>
    </row>
    <row r="1044" spans="1:19">
      <c r="A1044" s="90" t="s">
        <v>2613</v>
      </c>
      <c r="B1044" s="282" t="s">
        <v>2614</v>
      </c>
      <c r="C1044" s="283">
        <v>0</v>
      </c>
      <c r="D1044" s="258"/>
      <c r="E1044" s="91"/>
      <c r="F1044" s="113">
        <f t="shared" si="72"/>
        <v>0</v>
      </c>
      <c r="G1044" s="112">
        <v>0</v>
      </c>
      <c r="H1044" s="120">
        <v>0</v>
      </c>
      <c r="I1044" s="120">
        <v>0</v>
      </c>
      <c r="J1044" s="120">
        <v>0</v>
      </c>
      <c r="K1044" s="112">
        <v>0</v>
      </c>
      <c r="L1044" s="113"/>
      <c r="M1044" s="113">
        <v>0</v>
      </c>
      <c r="N1044" s="113"/>
      <c r="O1044" s="113"/>
      <c r="P1044" s="299">
        <f t="shared" si="73"/>
        <v>0</v>
      </c>
      <c r="Q1044" s="299">
        <f t="shared" si="74"/>
        <v>0</v>
      </c>
      <c r="R1044" s="299">
        <f t="shared" si="75"/>
        <v>0</v>
      </c>
      <c r="S1044" s="112">
        <v>0</v>
      </c>
    </row>
    <row r="1045" spans="1:19">
      <c r="A1045" s="88"/>
      <c r="B1045" s="280" t="s">
        <v>2615</v>
      </c>
      <c r="C1045" s="281" t="s">
        <v>4</v>
      </c>
      <c r="D1045" s="147">
        <v>12</v>
      </c>
      <c r="E1045" s="87"/>
      <c r="F1045" s="113">
        <f t="shared" si="72"/>
        <v>12</v>
      </c>
      <c r="G1045" s="112" t="s">
        <v>3347</v>
      </c>
      <c r="H1045" s="120" t="s">
        <v>3342</v>
      </c>
      <c r="I1045" s="120" t="s">
        <v>3479</v>
      </c>
      <c r="J1045" s="120" t="s">
        <v>772</v>
      </c>
      <c r="K1045" s="112">
        <v>54300</v>
      </c>
      <c r="L1045" s="113"/>
      <c r="M1045" s="113">
        <v>8100</v>
      </c>
      <c r="N1045" s="113"/>
      <c r="O1045" s="113"/>
      <c r="P1045" s="299">
        <f t="shared" si="73"/>
        <v>62400</v>
      </c>
      <c r="Q1045" s="299">
        <f t="shared" si="74"/>
        <v>748800</v>
      </c>
      <c r="R1045" s="299">
        <f t="shared" si="75"/>
        <v>748800</v>
      </c>
      <c r="S1045" s="112">
        <v>0</v>
      </c>
    </row>
    <row r="1046" spans="1:19">
      <c r="A1046" s="88"/>
      <c r="B1046" s="280" t="s">
        <v>2616</v>
      </c>
      <c r="C1046" s="281" t="s">
        <v>4</v>
      </c>
      <c r="D1046" s="147">
        <v>6</v>
      </c>
      <c r="E1046" s="87"/>
      <c r="F1046" s="113">
        <f t="shared" si="72"/>
        <v>6</v>
      </c>
      <c r="G1046" s="112" t="s">
        <v>3346</v>
      </c>
      <c r="H1046" s="120" t="s">
        <v>3342</v>
      </c>
      <c r="I1046" s="120" t="s">
        <v>3479</v>
      </c>
      <c r="J1046" s="120" t="s">
        <v>772</v>
      </c>
      <c r="K1046" s="112">
        <v>69900</v>
      </c>
      <c r="L1046" s="113"/>
      <c r="M1046" s="113">
        <v>14100</v>
      </c>
      <c r="N1046" s="113"/>
      <c r="O1046" s="113"/>
      <c r="P1046" s="299">
        <f t="shared" si="73"/>
        <v>84000</v>
      </c>
      <c r="Q1046" s="299">
        <f t="shared" si="74"/>
        <v>504000</v>
      </c>
      <c r="R1046" s="299">
        <f t="shared" si="75"/>
        <v>504000</v>
      </c>
      <c r="S1046" s="112">
        <v>0</v>
      </c>
    </row>
    <row r="1047" spans="1:19">
      <c r="A1047" s="88"/>
      <c r="B1047" s="280" t="s">
        <v>2617</v>
      </c>
      <c r="C1047" s="281" t="s">
        <v>4</v>
      </c>
      <c r="D1047" s="147">
        <v>2</v>
      </c>
      <c r="E1047" s="87"/>
      <c r="F1047" s="113">
        <f t="shared" si="72"/>
        <v>2</v>
      </c>
      <c r="G1047" s="112" t="s">
        <v>3345</v>
      </c>
      <c r="H1047" s="120" t="s">
        <v>3342</v>
      </c>
      <c r="I1047" s="120" t="s">
        <v>3479</v>
      </c>
      <c r="J1047" s="120" t="s">
        <v>772</v>
      </c>
      <c r="K1047" s="112">
        <v>72500</v>
      </c>
      <c r="L1047" s="113"/>
      <c r="M1047" s="113">
        <v>15100</v>
      </c>
      <c r="N1047" s="113"/>
      <c r="O1047" s="113"/>
      <c r="P1047" s="299">
        <f t="shared" si="73"/>
        <v>87600</v>
      </c>
      <c r="Q1047" s="299">
        <f t="shared" si="74"/>
        <v>175200</v>
      </c>
      <c r="R1047" s="299">
        <f t="shared" si="75"/>
        <v>175200</v>
      </c>
      <c r="S1047" s="112">
        <v>0</v>
      </c>
    </row>
    <row r="1048" spans="1:19">
      <c r="A1048" s="88"/>
      <c r="B1048" s="280" t="s">
        <v>2618</v>
      </c>
      <c r="C1048" s="281" t="s">
        <v>4</v>
      </c>
      <c r="D1048" s="147">
        <v>10</v>
      </c>
      <c r="E1048" s="87"/>
      <c r="F1048" s="113">
        <f t="shared" si="72"/>
        <v>10</v>
      </c>
      <c r="G1048" s="112" t="s">
        <v>3344</v>
      </c>
      <c r="H1048" s="120" t="s">
        <v>3342</v>
      </c>
      <c r="I1048" s="120" t="s">
        <v>3479</v>
      </c>
      <c r="J1048" s="120" t="s">
        <v>772</v>
      </c>
      <c r="K1048" s="112">
        <v>102300</v>
      </c>
      <c r="L1048" s="113"/>
      <c r="M1048" s="113">
        <v>26400</v>
      </c>
      <c r="N1048" s="113"/>
      <c r="O1048" s="113"/>
      <c r="P1048" s="299">
        <f t="shared" si="73"/>
        <v>128700</v>
      </c>
      <c r="Q1048" s="299">
        <f t="shared" si="74"/>
        <v>1287000</v>
      </c>
      <c r="R1048" s="299">
        <f t="shared" si="75"/>
        <v>1287000</v>
      </c>
      <c r="S1048" s="112">
        <v>0</v>
      </c>
    </row>
    <row r="1049" spans="1:19">
      <c r="A1049" s="182" t="s">
        <v>2619</v>
      </c>
      <c r="B1049" s="243" t="s">
        <v>2620</v>
      </c>
      <c r="C1049" s="182"/>
      <c r="D1049" s="170">
        <v>0</v>
      </c>
      <c r="E1049" s="243"/>
      <c r="F1049" s="113">
        <f t="shared" si="72"/>
        <v>0</v>
      </c>
      <c r="G1049" s="112">
        <v>0</v>
      </c>
      <c r="H1049" s="120">
        <v>0</v>
      </c>
      <c r="I1049" s="120">
        <v>0</v>
      </c>
      <c r="J1049" s="120">
        <v>0</v>
      </c>
      <c r="K1049" s="112">
        <v>0</v>
      </c>
      <c r="L1049" s="113"/>
      <c r="M1049" s="113">
        <v>0</v>
      </c>
      <c r="N1049" s="113"/>
      <c r="O1049" s="113"/>
      <c r="P1049" s="299">
        <f t="shared" si="73"/>
        <v>0</v>
      </c>
      <c r="Q1049" s="299">
        <f t="shared" si="74"/>
        <v>0</v>
      </c>
      <c r="R1049" s="299">
        <f t="shared" si="75"/>
        <v>0</v>
      </c>
      <c r="S1049" s="112">
        <v>0</v>
      </c>
    </row>
    <row r="1050" spans="1:19" ht="30">
      <c r="A1050" s="189"/>
      <c r="B1050" s="242" t="s">
        <v>2260</v>
      </c>
      <c r="C1050" s="189" t="s">
        <v>7</v>
      </c>
      <c r="D1050" s="143">
        <v>68</v>
      </c>
      <c r="E1050" s="242"/>
      <c r="F1050" s="113">
        <f t="shared" si="72"/>
        <v>68</v>
      </c>
      <c r="G1050" s="112" t="s">
        <v>3338</v>
      </c>
      <c r="H1050" s="120">
        <v>0</v>
      </c>
      <c r="I1050" s="120" t="s">
        <v>3333</v>
      </c>
      <c r="J1050" s="120" t="s">
        <v>772</v>
      </c>
      <c r="K1050" s="112">
        <v>8700</v>
      </c>
      <c r="L1050" s="113"/>
      <c r="M1050" s="113">
        <v>30300</v>
      </c>
      <c r="N1050" s="113"/>
      <c r="O1050" s="113"/>
      <c r="P1050" s="299">
        <f t="shared" si="73"/>
        <v>39000</v>
      </c>
      <c r="Q1050" s="299">
        <f t="shared" si="74"/>
        <v>2652000</v>
      </c>
      <c r="R1050" s="299">
        <f t="shared" si="75"/>
        <v>2652000</v>
      </c>
      <c r="S1050" s="112">
        <v>0</v>
      </c>
    </row>
    <row r="1051" spans="1:19" ht="30">
      <c r="A1051" s="189"/>
      <c r="B1051" s="242" t="s">
        <v>2259</v>
      </c>
      <c r="C1051" s="189" t="s">
        <v>7</v>
      </c>
      <c r="D1051" s="143">
        <v>10</v>
      </c>
      <c r="E1051" s="242"/>
      <c r="F1051" s="113">
        <f t="shared" si="72"/>
        <v>10</v>
      </c>
      <c r="G1051" s="112" t="s">
        <v>3337</v>
      </c>
      <c r="H1051" s="120">
        <v>0</v>
      </c>
      <c r="I1051" s="120" t="s">
        <v>3333</v>
      </c>
      <c r="J1051" s="120" t="s">
        <v>772</v>
      </c>
      <c r="K1051" s="112">
        <v>11400</v>
      </c>
      <c r="L1051" s="113"/>
      <c r="M1051" s="113">
        <v>30300</v>
      </c>
      <c r="N1051" s="113"/>
      <c r="O1051" s="113"/>
      <c r="P1051" s="299">
        <f t="shared" si="73"/>
        <v>41700</v>
      </c>
      <c r="Q1051" s="299">
        <f t="shared" si="74"/>
        <v>417000</v>
      </c>
      <c r="R1051" s="299">
        <f t="shared" si="75"/>
        <v>417000</v>
      </c>
      <c r="S1051" s="112">
        <v>0</v>
      </c>
    </row>
    <row r="1052" spans="1:19" ht="30">
      <c r="A1052" s="189"/>
      <c r="B1052" s="242" t="s">
        <v>2398</v>
      </c>
      <c r="C1052" s="189" t="s">
        <v>7</v>
      </c>
      <c r="D1052" s="143">
        <v>18</v>
      </c>
      <c r="E1052" s="242"/>
      <c r="F1052" s="113">
        <f t="shared" si="72"/>
        <v>18</v>
      </c>
      <c r="G1052" s="112" t="s">
        <v>3336</v>
      </c>
      <c r="H1052" s="120">
        <v>0</v>
      </c>
      <c r="I1052" s="120" t="s">
        <v>3333</v>
      </c>
      <c r="J1052" s="120" t="s">
        <v>772</v>
      </c>
      <c r="K1052" s="112">
        <v>13800</v>
      </c>
      <c r="L1052" s="113"/>
      <c r="M1052" s="113">
        <v>32300</v>
      </c>
      <c r="N1052" s="113"/>
      <c r="O1052" s="113"/>
      <c r="P1052" s="299">
        <f t="shared" si="73"/>
        <v>46100</v>
      </c>
      <c r="Q1052" s="299">
        <f t="shared" si="74"/>
        <v>829800</v>
      </c>
      <c r="R1052" s="299">
        <f t="shared" si="75"/>
        <v>829800</v>
      </c>
      <c r="S1052" s="112">
        <v>0</v>
      </c>
    </row>
    <row r="1053" spans="1:19">
      <c r="A1053" s="90" t="s">
        <v>2621</v>
      </c>
      <c r="B1053" s="284" t="s">
        <v>2622</v>
      </c>
      <c r="C1053" s="283"/>
      <c r="D1053" s="258"/>
      <c r="E1053" s="91"/>
      <c r="F1053" s="113">
        <f t="shared" si="72"/>
        <v>0</v>
      </c>
      <c r="G1053" s="112">
        <v>0</v>
      </c>
      <c r="H1053" s="120">
        <v>0</v>
      </c>
      <c r="I1053" s="120">
        <v>0</v>
      </c>
      <c r="J1053" s="120">
        <v>0</v>
      </c>
      <c r="K1053" s="112">
        <v>0</v>
      </c>
      <c r="L1053" s="113"/>
      <c r="M1053" s="113">
        <v>0</v>
      </c>
      <c r="N1053" s="113"/>
      <c r="O1053" s="113"/>
      <c r="P1053" s="299">
        <f t="shared" si="73"/>
        <v>0</v>
      </c>
      <c r="Q1053" s="299">
        <f t="shared" si="74"/>
        <v>0</v>
      </c>
      <c r="R1053" s="299">
        <f t="shared" si="75"/>
        <v>0</v>
      </c>
      <c r="S1053" s="112">
        <v>0</v>
      </c>
    </row>
    <row r="1054" spans="1:19">
      <c r="A1054" s="88"/>
      <c r="B1054" s="280" t="s">
        <v>2623</v>
      </c>
      <c r="C1054" s="281" t="s">
        <v>4</v>
      </c>
      <c r="D1054" s="147">
        <v>5</v>
      </c>
      <c r="E1054" s="87"/>
      <c r="F1054" s="113">
        <f t="shared" si="72"/>
        <v>5</v>
      </c>
      <c r="G1054" s="112">
        <v>0</v>
      </c>
      <c r="H1054" s="120" t="s">
        <v>3342</v>
      </c>
      <c r="I1054" s="120" t="s">
        <v>3479</v>
      </c>
      <c r="J1054" s="120" t="s">
        <v>772</v>
      </c>
      <c r="K1054" s="112">
        <v>150900</v>
      </c>
      <c r="L1054" s="113"/>
      <c r="M1054" s="113">
        <v>63800</v>
      </c>
      <c r="N1054" s="113"/>
      <c r="O1054" s="113"/>
      <c r="P1054" s="299">
        <f t="shared" si="73"/>
        <v>214700</v>
      </c>
      <c r="Q1054" s="299">
        <f t="shared" si="74"/>
        <v>1073500</v>
      </c>
      <c r="R1054" s="299">
        <f t="shared" si="75"/>
        <v>1073500</v>
      </c>
      <c r="S1054" s="112">
        <v>0</v>
      </c>
    </row>
    <row r="1055" spans="1:19">
      <c r="A1055" s="88"/>
      <c r="B1055" s="280" t="s">
        <v>2624</v>
      </c>
      <c r="C1055" s="281" t="s">
        <v>4</v>
      </c>
      <c r="D1055" s="147">
        <v>5</v>
      </c>
      <c r="E1055" s="87"/>
      <c r="F1055" s="113">
        <f t="shared" si="72"/>
        <v>5</v>
      </c>
      <c r="G1055" s="112">
        <v>0</v>
      </c>
      <c r="H1055" s="120" t="s">
        <v>3342</v>
      </c>
      <c r="I1055" s="120" t="s">
        <v>3479</v>
      </c>
      <c r="J1055" s="120" t="s">
        <v>772</v>
      </c>
      <c r="K1055" s="112">
        <v>121800</v>
      </c>
      <c r="L1055" s="113"/>
      <c r="M1055" s="113">
        <v>48100</v>
      </c>
      <c r="N1055" s="113"/>
      <c r="O1055" s="113"/>
      <c r="P1055" s="299">
        <f t="shared" si="73"/>
        <v>169900</v>
      </c>
      <c r="Q1055" s="299">
        <f t="shared" si="74"/>
        <v>849500</v>
      </c>
      <c r="R1055" s="299">
        <f t="shared" si="75"/>
        <v>849500</v>
      </c>
      <c r="S1055" s="112">
        <v>0</v>
      </c>
    </row>
    <row r="1056" spans="1:19">
      <c r="A1056" s="90" t="s">
        <v>2625</v>
      </c>
      <c r="B1056" s="284" t="s">
        <v>2321</v>
      </c>
      <c r="C1056" s="283"/>
      <c r="D1056" s="258"/>
      <c r="E1056" s="91"/>
      <c r="F1056" s="113">
        <f t="shared" si="72"/>
        <v>0</v>
      </c>
      <c r="G1056" s="112">
        <v>0</v>
      </c>
      <c r="H1056" s="120">
        <v>0</v>
      </c>
      <c r="I1056" s="120">
        <v>0</v>
      </c>
      <c r="J1056" s="120">
        <v>0</v>
      </c>
      <c r="K1056" s="112">
        <v>0</v>
      </c>
      <c r="L1056" s="113"/>
      <c r="M1056" s="113">
        <v>0</v>
      </c>
      <c r="N1056" s="113"/>
      <c r="O1056" s="113"/>
      <c r="P1056" s="299">
        <f t="shared" si="73"/>
        <v>0</v>
      </c>
      <c r="Q1056" s="299">
        <f t="shared" si="74"/>
        <v>0</v>
      </c>
      <c r="R1056" s="299">
        <f t="shared" si="75"/>
        <v>0</v>
      </c>
      <c r="S1056" s="112">
        <v>0</v>
      </c>
    </row>
    <row r="1057" spans="1:19" ht="60">
      <c r="A1057" s="88"/>
      <c r="B1057" s="280" t="s">
        <v>2322</v>
      </c>
      <c r="C1057" s="281" t="s">
        <v>1877</v>
      </c>
      <c r="D1057" s="147">
        <v>36</v>
      </c>
      <c r="E1057" s="87"/>
      <c r="F1057" s="113">
        <f t="shared" si="72"/>
        <v>36</v>
      </c>
      <c r="G1057" s="112">
        <v>0</v>
      </c>
      <c r="H1057" s="120">
        <v>0</v>
      </c>
      <c r="I1057" s="120">
        <v>0</v>
      </c>
      <c r="J1057" s="120">
        <v>0</v>
      </c>
      <c r="K1057" s="112">
        <v>0</v>
      </c>
      <c r="L1057" s="113"/>
      <c r="M1057" s="113">
        <v>0</v>
      </c>
      <c r="N1057" s="113"/>
      <c r="O1057" s="113"/>
      <c r="P1057" s="299">
        <f t="shared" si="73"/>
        <v>0</v>
      </c>
      <c r="Q1057" s="299">
        <f t="shared" si="74"/>
        <v>0</v>
      </c>
      <c r="R1057" s="299">
        <f t="shared" si="75"/>
        <v>0</v>
      </c>
      <c r="S1057" s="112" t="s">
        <v>3745</v>
      </c>
    </row>
    <row r="1058" spans="1:19" ht="60">
      <c r="A1058" s="88"/>
      <c r="B1058" s="280" t="s">
        <v>2323</v>
      </c>
      <c r="C1058" s="281" t="s">
        <v>1877</v>
      </c>
      <c r="D1058" s="147">
        <v>24</v>
      </c>
      <c r="E1058" s="87"/>
      <c r="F1058" s="113">
        <f t="shared" si="72"/>
        <v>24</v>
      </c>
      <c r="G1058" s="112">
        <v>0</v>
      </c>
      <c r="H1058" s="120">
        <v>0</v>
      </c>
      <c r="I1058" s="120">
        <v>0</v>
      </c>
      <c r="J1058" s="120">
        <v>0</v>
      </c>
      <c r="K1058" s="112">
        <v>0</v>
      </c>
      <c r="L1058" s="113"/>
      <c r="M1058" s="113">
        <v>0</v>
      </c>
      <c r="N1058" s="113"/>
      <c r="O1058" s="113"/>
      <c r="P1058" s="299">
        <f t="shared" si="73"/>
        <v>0</v>
      </c>
      <c r="Q1058" s="299">
        <f t="shared" si="74"/>
        <v>0</v>
      </c>
      <c r="R1058" s="299">
        <f t="shared" si="75"/>
        <v>0</v>
      </c>
      <c r="S1058" s="112" t="s">
        <v>3745</v>
      </c>
    </row>
    <row r="1059" spans="1:19">
      <c r="A1059" s="182" t="s">
        <v>2626</v>
      </c>
      <c r="B1059" s="243" t="s">
        <v>1919</v>
      </c>
      <c r="C1059" s="182"/>
      <c r="D1059" s="170"/>
      <c r="E1059" s="243"/>
      <c r="F1059" s="113">
        <f t="shared" si="72"/>
        <v>0</v>
      </c>
      <c r="G1059" s="112">
        <v>0</v>
      </c>
      <c r="H1059" s="120">
        <v>0</v>
      </c>
      <c r="I1059" s="120">
        <v>0</v>
      </c>
      <c r="J1059" s="120">
        <v>0</v>
      </c>
      <c r="K1059" s="112">
        <v>0</v>
      </c>
      <c r="L1059" s="113"/>
      <c r="M1059" s="113">
        <v>0</v>
      </c>
      <c r="N1059" s="113"/>
      <c r="O1059" s="113"/>
      <c r="P1059" s="299">
        <f t="shared" si="73"/>
        <v>0</v>
      </c>
      <c r="Q1059" s="299">
        <f t="shared" si="74"/>
        <v>0</v>
      </c>
      <c r="R1059" s="299">
        <f t="shared" si="75"/>
        <v>0</v>
      </c>
      <c r="S1059" s="112">
        <v>0</v>
      </c>
    </row>
    <row r="1060" spans="1:19" ht="30">
      <c r="A1060" s="189"/>
      <c r="B1060" s="242" t="s">
        <v>2260</v>
      </c>
      <c r="C1060" s="189" t="s">
        <v>4</v>
      </c>
      <c r="D1060" s="143">
        <v>20</v>
      </c>
      <c r="E1060" s="242"/>
      <c r="F1060" s="113">
        <f t="shared" si="72"/>
        <v>20</v>
      </c>
      <c r="G1060" s="112" t="s">
        <v>3592</v>
      </c>
      <c r="H1060" s="120" t="s">
        <v>3202</v>
      </c>
      <c r="I1060" s="120" t="s">
        <v>3190</v>
      </c>
      <c r="J1060" s="120" t="s">
        <v>772</v>
      </c>
      <c r="K1060" s="112">
        <v>167000</v>
      </c>
      <c r="L1060" s="113"/>
      <c r="M1060" s="113">
        <v>101800</v>
      </c>
      <c r="N1060" s="113"/>
      <c r="O1060" s="113"/>
      <c r="P1060" s="299">
        <f t="shared" si="73"/>
        <v>268800</v>
      </c>
      <c r="Q1060" s="299">
        <f t="shared" si="74"/>
        <v>5376000</v>
      </c>
      <c r="R1060" s="299">
        <f t="shared" si="75"/>
        <v>5376000</v>
      </c>
      <c r="S1060" s="112">
        <v>0</v>
      </c>
    </row>
    <row r="1061" spans="1:19" ht="30">
      <c r="A1061" s="189"/>
      <c r="B1061" s="242" t="s">
        <v>2398</v>
      </c>
      <c r="C1061" s="189" t="s">
        <v>4</v>
      </c>
      <c r="D1061" s="143">
        <v>9</v>
      </c>
      <c r="E1061" s="242"/>
      <c r="F1061" s="113">
        <f t="shared" si="72"/>
        <v>9</v>
      </c>
      <c r="G1061" s="112" t="s">
        <v>3591</v>
      </c>
      <c r="H1061" s="120" t="s">
        <v>3202</v>
      </c>
      <c r="I1061" s="120" t="s">
        <v>3190</v>
      </c>
      <c r="J1061" s="120" t="s">
        <v>772</v>
      </c>
      <c r="K1061" s="112">
        <v>303800</v>
      </c>
      <c r="L1061" s="113"/>
      <c r="M1061" s="113">
        <v>106800</v>
      </c>
      <c r="N1061" s="113"/>
      <c r="O1061" s="113"/>
      <c r="P1061" s="299">
        <f t="shared" si="73"/>
        <v>410600</v>
      </c>
      <c r="Q1061" s="299">
        <f t="shared" si="74"/>
        <v>3695400</v>
      </c>
      <c r="R1061" s="299">
        <f t="shared" si="75"/>
        <v>3695400</v>
      </c>
      <c r="S1061" s="112">
        <v>0</v>
      </c>
    </row>
    <row r="1062" spans="1:19" ht="42.75">
      <c r="A1062" s="285" t="s">
        <v>2627</v>
      </c>
      <c r="B1062" s="243" t="s">
        <v>2145</v>
      </c>
      <c r="C1062" s="182"/>
      <c r="D1062" s="170"/>
      <c r="E1062" s="243"/>
      <c r="F1062" s="113">
        <f t="shared" si="72"/>
        <v>0</v>
      </c>
      <c r="G1062" s="112">
        <v>0</v>
      </c>
      <c r="H1062" s="120">
        <v>0</v>
      </c>
      <c r="I1062" s="120">
        <v>0</v>
      </c>
      <c r="J1062" s="120">
        <v>0</v>
      </c>
      <c r="K1062" s="112">
        <v>0</v>
      </c>
      <c r="L1062" s="113"/>
      <c r="M1062" s="113">
        <v>0</v>
      </c>
      <c r="N1062" s="113"/>
      <c r="O1062" s="113"/>
      <c r="P1062" s="299">
        <f t="shared" si="73"/>
        <v>0</v>
      </c>
      <c r="Q1062" s="299">
        <f t="shared" si="74"/>
        <v>0</v>
      </c>
      <c r="R1062" s="299">
        <f t="shared" si="75"/>
        <v>0</v>
      </c>
      <c r="S1062" s="112">
        <v>0</v>
      </c>
    </row>
    <row r="1063" spans="1:19" ht="60">
      <c r="A1063" s="189"/>
      <c r="B1063" s="242" t="s">
        <v>2129</v>
      </c>
      <c r="C1063" s="189" t="s">
        <v>4</v>
      </c>
      <c r="D1063" s="143">
        <v>5</v>
      </c>
      <c r="E1063" s="242"/>
      <c r="F1063" s="113">
        <f t="shared" si="72"/>
        <v>5</v>
      </c>
      <c r="G1063" s="112" t="s">
        <v>3590</v>
      </c>
      <c r="H1063" s="120">
        <v>0</v>
      </c>
      <c r="I1063" s="120" t="s">
        <v>3190</v>
      </c>
      <c r="J1063" s="120" t="s">
        <v>772</v>
      </c>
      <c r="K1063" s="112">
        <v>292300</v>
      </c>
      <c r="L1063" s="113"/>
      <c r="M1063" s="113">
        <v>174300</v>
      </c>
      <c r="N1063" s="113"/>
      <c r="O1063" s="113"/>
      <c r="P1063" s="299">
        <f t="shared" si="73"/>
        <v>466600</v>
      </c>
      <c r="Q1063" s="299">
        <f t="shared" si="74"/>
        <v>2333000</v>
      </c>
      <c r="R1063" s="299">
        <f t="shared" si="75"/>
        <v>2333000</v>
      </c>
      <c r="S1063" s="112">
        <v>0</v>
      </c>
    </row>
    <row r="1064" spans="1:19">
      <c r="A1064" s="182" t="s">
        <v>2628</v>
      </c>
      <c r="B1064" s="243" t="s">
        <v>2155</v>
      </c>
      <c r="C1064" s="182" t="s">
        <v>4</v>
      </c>
      <c r="D1064" s="170">
        <v>10</v>
      </c>
      <c r="E1064" s="243"/>
      <c r="F1064" s="113">
        <f t="shared" si="72"/>
        <v>10</v>
      </c>
      <c r="G1064" s="112">
        <v>0</v>
      </c>
      <c r="H1064" s="120">
        <v>0</v>
      </c>
      <c r="I1064" s="120">
        <v>0</v>
      </c>
      <c r="J1064" s="120" t="s">
        <v>772</v>
      </c>
      <c r="K1064" s="112">
        <v>583700</v>
      </c>
      <c r="L1064" s="113"/>
      <c r="M1064" s="113">
        <v>38800</v>
      </c>
      <c r="N1064" s="113"/>
      <c r="O1064" s="113"/>
      <c r="P1064" s="299">
        <f t="shared" si="73"/>
        <v>622500</v>
      </c>
      <c r="Q1064" s="299">
        <f t="shared" si="74"/>
        <v>6225000</v>
      </c>
      <c r="R1064" s="299">
        <f t="shared" si="75"/>
        <v>6225000</v>
      </c>
      <c r="S1064" s="112">
        <v>0</v>
      </c>
    </row>
    <row r="1065" spans="1:19" ht="42.75">
      <c r="A1065" s="182" t="s">
        <v>2629</v>
      </c>
      <c r="B1065" s="243" t="s">
        <v>2271</v>
      </c>
      <c r="C1065" s="182"/>
      <c r="D1065" s="170"/>
      <c r="E1065" s="243"/>
      <c r="F1065" s="113">
        <f t="shared" si="72"/>
        <v>0</v>
      </c>
      <c r="G1065" s="112">
        <v>0</v>
      </c>
      <c r="H1065" s="120">
        <v>0</v>
      </c>
      <c r="I1065" s="120">
        <v>0</v>
      </c>
      <c r="J1065" s="120">
        <v>0</v>
      </c>
      <c r="K1065" s="112">
        <v>0</v>
      </c>
      <c r="L1065" s="113"/>
      <c r="M1065" s="113">
        <v>0</v>
      </c>
      <c r="N1065" s="113"/>
      <c r="O1065" s="113"/>
      <c r="P1065" s="299">
        <f t="shared" si="73"/>
        <v>0</v>
      </c>
      <c r="Q1065" s="299">
        <f t="shared" si="74"/>
        <v>0</v>
      </c>
      <c r="R1065" s="299">
        <f t="shared" si="75"/>
        <v>0</v>
      </c>
      <c r="S1065" s="112">
        <v>0</v>
      </c>
    </row>
    <row r="1066" spans="1:19" ht="60">
      <c r="A1066" s="189"/>
      <c r="B1066" s="242" t="s">
        <v>2538</v>
      </c>
      <c r="C1066" s="189" t="s">
        <v>2512</v>
      </c>
      <c r="D1066" s="143">
        <v>5</v>
      </c>
      <c r="E1066" s="242"/>
      <c r="F1066" s="113">
        <f t="shared" si="72"/>
        <v>5</v>
      </c>
      <c r="G1066" s="112" t="s">
        <v>3589</v>
      </c>
      <c r="H1066" s="120">
        <v>0</v>
      </c>
      <c r="I1066" s="120" t="s">
        <v>3190</v>
      </c>
      <c r="J1066" s="120" t="s">
        <v>772</v>
      </c>
      <c r="K1066" s="112">
        <v>230400</v>
      </c>
      <c r="L1066" s="113"/>
      <c r="M1066" s="113">
        <v>174600</v>
      </c>
      <c r="N1066" s="113"/>
      <c r="O1066" s="113"/>
      <c r="P1066" s="299">
        <f t="shared" si="73"/>
        <v>405000</v>
      </c>
      <c r="Q1066" s="299">
        <f t="shared" si="74"/>
        <v>2025000</v>
      </c>
      <c r="R1066" s="299">
        <f t="shared" si="75"/>
        <v>2025000</v>
      </c>
      <c r="S1066" s="112">
        <v>0</v>
      </c>
    </row>
    <row r="1067" spans="1:19">
      <c r="A1067" s="182" t="s">
        <v>2630</v>
      </c>
      <c r="B1067" s="243" t="s">
        <v>2540</v>
      </c>
      <c r="C1067" s="182"/>
      <c r="D1067" s="170"/>
      <c r="E1067" s="243"/>
      <c r="F1067" s="113">
        <f t="shared" si="72"/>
        <v>0</v>
      </c>
      <c r="G1067" s="112">
        <v>0</v>
      </c>
      <c r="H1067" s="120">
        <v>0</v>
      </c>
      <c r="I1067" s="120">
        <v>0</v>
      </c>
      <c r="J1067" s="120">
        <v>0</v>
      </c>
      <c r="K1067" s="112">
        <v>0</v>
      </c>
      <c r="L1067" s="113"/>
      <c r="M1067" s="113">
        <v>0</v>
      </c>
      <c r="N1067" s="113"/>
      <c r="O1067" s="113"/>
      <c r="P1067" s="299">
        <f t="shared" si="73"/>
        <v>0</v>
      </c>
      <c r="Q1067" s="299">
        <f t="shared" si="74"/>
        <v>0</v>
      </c>
      <c r="R1067" s="299">
        <f t="shared" si="75"/>
        <v>0</v>
      </c>
      <c r="S1067" s="112">
        <v>0</v>
      </c>
    </row>
    <row r="1068" spans="1:19" ht="30">
      <c r="A1068" s="189"/>
      <c r="B1068" s="242" t="s">
        <v>2541</v>
      </c>
      <c r="C1068" s="189" t="s">
        <v>7</v>
      </c>
      <c r="D1068" s="143">
        <v>47.45</v>
      </c>
      <c r="E1068" s="242"/>
      <c r="F1068" s="113">
        <f t="shared" si="72"/>
        <v>47.45</v>
      </c>
      <c r="G1068" s="112" t="s">
        <v>3186</v>
      </c>
      <c r="H1068" s="120">
        <v>0</v>
      </c>
      <c r="I1068" s="120" t="s">
        <v>2748</v>
      </c>
      <c r="J1068" s="120" t="s">
        <v>772</v>
      </c>
      <c r="K1068" s="112">
        <v>76900</v>
      </c>
      <c r="L1068" s="113"/>
      <c r="M1068" s="113">
        <v>96800</v>
      </c>
      <c r="N1068" s="113"/>
      <c r="O1068" s="113"/>
      <c r="P1068" s="299">
        <f t="shared" si="73"/>
        <v>173700</v>
      </c>
      <c r="Q1068" s="299">
        <f t="shared" si="74"/>
        <v>8242065.0000000009</v>
      </c>
      <c r="R1068" s="299">
        <f t="shared" si="75"/>
        <v>8242065.0000000009</v>
      </c>
      <c r="S1068" s="112">
        <v>0</v>
      </c>
    </row>
    <row r="1069" spans="1:19" ht="30">
      <c r="A1069" s="189"/>
      <c r="B1069" s="242" t="s">
        <v>2542</v>
      </c>
      <c r="C1069" s="189" t="s">
        <v>7</v>
      </c>
      <c r="D1069" s="143">
        <v>20.387</v>
      </c>
      <c r="E1069" s="242"/>
      <c r="F1069" s="113">
        <f t="shared" si="72"/>
        <v>20.387</v>
      </c>
      <c r="G1069" s="112" t="s">
        <v>3185</v>
      </c>
      <c r="H1069" s="120">
        <v>0</v>
      </c>
      <c r="I1069" s="120" t="s">
        <v>2748</v>
      </c>
      <c r="J1069" s="120" t="s">
        <v>772</v>
      </c>
      <c r="K1069" s="112">
        <v>140400</v>
      </c>
      <c r="L1069" s="113"/>
      <c r="M1069" s="113">
        <v>139100</v>
      </c>
      <c r="N1069" s="113"/>
      <c r="O1069" s="113"/>
      <c r="P1069" s="299">
        <f t="shared" si="73"/>
        <v>279500</v>
      </c>
      <c r="Q1069" s="299">
        <f t="shared" si="74"/>
        <v>5698166.5</v>
      </c>
      <c r="R1069" s="299">
        <f t="shared" si="75"/>
        <v>5698166.5</v>
      </c>
      <c r="S1069" s="112">
        <v>0</v>
      </c>
    </row>
    <row r="1070" spans="1:19" ht="30">
      <c r="A1070" s="189"/>
      <c r="B1070" s="242" t="s">
        <v>2543</v>
      </c>
      <c r="C1070" s="189" t="s">
        <v>7</v>
      </c>
      <c r="D1070" s="143">
        <v>70.242999999999995</v>
      </c>
      <c r="E1070" s="242"/>
      <c r="F1070" s="113">
        <f t="shared" si="72"/>
        <v>70.242999999999995</v>
      </c>
      <c r="G1070" s="112" t="s">
        <v>3184</v>
      </c>
      <c r="H1070" s="120">
        <v>0</v>
      </c>
      <c r="I1070" s="120" t="s">
        <v>2748</v>
      </c>
      <c r="J1070" s="120" t="s">
        <v>772</v>
      </c>
      <c r="K1070" s="112">
        <v>174500</v>
      </c>
      <c r="L1070" s="113"/>
      <c r="M1070" s="113">
        <v>139100</v>
      </c>
      <c r="N1070" s="113"/>
      <c r="O1070" s="113"/>
      <c r="P1070" s="299">
        <f t="shared" si="73"/>
        <v>313600</v>
      </c>
      <c r="Q1070" s="299">
        <f t="shared" si="74"/>
        <v>22028204.799999997</v>
      </c>
      <c r="R1070" s="299">
        <f t="shared" si="75"/>
        <v>22028204.799999997</v>
      </c>
      <c r="S1070" s="112">
        <v>0</v>
      </c>
    </row>
    <row r="1071" spans="1:19" ht="30">
      <c r="A1071" s="189"/>
      <c r="B1071" s="242" t="s">
        <v>2544</v>
      </c>
      <c r="C1071" s="189" t="s">
        <v>2512</v>
      </c>
      <c r="D1071" s="143">
        <v>7</v>
      </c>
      <c r="E1071" s="242"/>
      <c r="F1071" s="113">
        <f t="shared" si="72"/>
        <v>7</v>
      </c>
      <c r="G1071" s="112" t="s">
        <v>3183</v>
      </c>
      <c r="H1071" s="120">
        <v>0</v>
      </c>
      <c r="I1071" s="120" t="s">
        <v>2748</v>
      </c>
      <c r="J1071" s="120" t="s">
        <v>772</v>
      </c>
      <c r="K1071" s="112">
        <v>29100</v>
      </c>
      <c r="L1071" s="113"/>
      <c r="M1071" s="113">
        <v>49400</v>
      </c>
      <c r="N1071" s="113"/>
      <c r="O1071" s="113"/>
      <c r="P1071" s="299">
        <f t="shared" si="73"/>
        <v>78500</v>
      </c>
      <c r="Q1071" s="299">
        <f t="shared" si="74"/>
        <v>549500</v>
      </c>
      <c r="R1071" s="299">
        <f t="shared" si="75"/>
        <v>549500</v>
      </c>
      <c r="S1071" s="112">
        <v>0</v>
      </c>
    </row>
    <row r="1072" spans="1:19" ht="30">
      <c r="A1072" s="189"/>
      <c r="B1072" s="242" t="s">
        <v>2545</v>
      </c>
      <c r="C1072" s="189" t="s">
        <v>2512</v>
      </c>
      <c r="D1072" s="143">
        <v>2</v>
      </c>
      <c r="E1072" s="242"/>
      <c r="F1072" s="113">
        <f t="shared" si="72"/>
        <v>2</v>
      </c>
      <c r="G1072" s="112" t="s">
        <v>3182</v>
      </c>
      <c r="H1072" s="120">
        <v>0</v>
      </c>
      <c r="I1072" s="120" t="s">
        <v>2748</v>
      </c>
      <c r="J1072" s="120" t="s">
        <v>772</v>
      </c>
      <c r="K1072" s="112">
        <v>81600</v>
      </c>
      <c r="L1072" s="113"/>
      <c r="M1072" s="113">
        <v>77600</v>
      </c>
      <c r="N1072" s="113"/>
      <c r="O1072" s="113"/>
      <c r="P1072" s="299">
        <f t="shared" si="73"/>
        <v>159200</v>
      </c>
      <c r="Q1072" s="299">
        <f t="shared" si="74"/>
        <v>318400</v>
      </c>
      <c r="R1072" s="299">
        <f t="shared" si="75"/>
        <v>318400</v>
      </c>
      <c r="S1072" s="112">
        <v>0</v>
      </c>
    </row>
    <row r="1073" spans="1:19" ht="30">
      <c r="A1073" s="189"/>
      <c r="B1073" s="242" t="s">
        <v>2546</v>
      </c>
      <c r="C1073" s="189" t="s">
        <v>2512</v>
      </c>
      <c r="D1073" s="143">
        <v>16</v>
      </c>
      <c r="E1073" s="242"/>
      <c r="F1073" s="113">
        <f t="shared" si="72"/>
        <v>16</v>
      </c>
      <c r="G1073" s="112" t="s">
        <v>3181</v>
      </c>
      <c r="H1073" s="120">
        <v>0</v>
      </c>
      <c r="I1073" s="120" t="s">
        <v>2748</v>
      </c>
      <c r="J1073" s="120" t="s">
        <v>772</v>
      </c>
      <c r="K1073" s="112">
        <v>118300</v>
      </c>
      <c r="L1073" s="113"/>
      <c r="M1073" s="113">
        <v>77600</v>
      </c>
      <c r="N1073" s="113"/>
      <c r="O1073" s="113"/>
      <c r="P1073" s="299">
        <f t="shared" si="73"/>
        <v>195900</v>
      </c>
      <c r="Q1073" s="299">
        <f t="shared" si="74"/>
        <v>3134400</v>
      </c>
      <c r="R1073" s="299">
        <f t="shared" si="75"/>
        <v>3134400</v>
      </c>
      <c r="S1073" s="112">
        <v>0</v>
      </c>
    </row>
    <row r="1074" spans="1:19" ht="45">
      <c r="A1074" s="189"/>
      <c r="B1074" s="242" t="s">
        <v>2631</v>
      </c>
      <c r="C1074" s="189" t="s">
        <v>2512</v>
      </c>
      <c r="D1074" s="143">
        <v>2</v>
      </c>
      <c r="E1074" s="242"/>
      <c r="F1074" s="113">
        <f t="shared" si="72"/>
        <v>2</v>
      </c>
      <c r="G1074" s="112" t="s">
        <v>3179</v>
      </c>
      <c r="H1074" s="120">
        <v>0</v>
      </c>
      <c r="I1074" s="120" t="s">
        <v>2748</v>
      </c>
      <c r="J1074" s="120" t="s">
        <v>772</v>
      </c>
      <c r="K1074" s="112">
        <v>111500</v>
      </c>
      <c r="L1074" s="113"/>
      <c r="M1074" s="113">
        <v>115900</v>
      </c>
      <c r="N1074" s="113"/>
      <c r="O1074" s="113"/>
      <c r="P1074" s="299">
        <f t="shared" si="73"/>
        <v>227400</v>
      </c>
      <c r="Q1074" s="299">
        <f t="shared" si="74"/>
        <v>454800</v>
      </c>
      <c r="R1074" s="299">
        <f t="shared" si="75"/>
        <v>454800</v>
      </c>
      <c r="S1074" s="112">
        <v>0</v>
      </c>
    </row>
    <row r="1075" spans="1:19" ht="45">
      <c r="A1075" s="189"/>
      <c r="B1075" s="242" t="s">
        <v>2632</v>
      </c>
      <c r="C1075" s="189" t="s">
        <v>2512</v>
      </c>
      <c r="D1075" s="143">
        <v>2</v>
      </c>
      <c r="E1075" s="242"/>
      <c r="F1075" s="113">
        <f t="shared" si="72"/>
        <v>2</v>
      </c>
      <c r="G1075" s="112" t="s">
        <v>3178</v>
      </c>
      <c r="H1075" s="120">
        <v>0</v>
      </c>
      <c r="I1075" s="120" t="s">
        <v>2748</v>
      </c>
      <c r="J1075" s="120" t="s">
        <v>772</v>
      </c>
      <c r="K1075" s="112">
        <v>134700</v>
      </c>
      <c r="L1075" s="113"/>
      <c r="M1075" s="113">
        <v>139100</v>
      </c>
      <c r="N1075" s="113"/>
      <c r="O1075" s="113"/>
      <c r="P1075" s="299">
        <f t="shared" si="73"/>
        <v>273800</v>
      </c>
      <c r="Q1075" s="299">
        <f t="shared" si="74"/>
        <v>547600</v>
      </c>
      <c r="R1075" s="299">
        <f t="shared" si="75"/>
        <v>547600</v>
      </c>
      <c r="S1075" s="112">
        <v>0</v>
      </c>
    </row>
    <row r="1076" spans="1:19" ht="28.5">
      <c r="A1076" s="182" t="s">
        <v>2633</v>
      </c>
      <c r="B1076" s="243" t="s">
        <v>2301</v>
      </c>
      <c r="C1076" s="182"/>
      <c r="D1076" s="170"/>
      <c r="E1076" s="243"/>
      <c r="F1076" s="113">
        <f t="shared" si="72"/>
        <v>0</v>
      </c>
      <c r="G1076" s="112">
        <v>0</v>
      </c>
      <c r="H1076" s="120">
        <v>0</v>
      </c>
      <c r="I1076" s="120">
        <v>0</v>
      </c>
      <c r="J1076" s="120">
        <v>0</v>
      </c>
      <c r="K1076" s="112">
        <v>0</v>
      </c>
      <c r="L1076" s="113"/>
      <c r="M1076" s="113">
        <v>0</v>
      </c>
      <c r="N1076" s="113"/>
      <c r="O1076" s="113"/>
      <c r="P1076" s="299">
        <f t="shared" si="73"/>
        <v>0</v>
      </c>
      <c r="Q1076" s="299">
        <f t="shared" si="74"/>
        <v>0</v>
      </c>
      <c r="R1076" s="299">
        <f t="shared" si="75"/>
        <v>0</v>
      </c>
      <c r="S1076" s="112">
        <v>0</v>
      </c>
    </row>
    <row r="1077" spans="1:19" ht="45">
      <c r="A1077" s="189"/>
      <c r="B1077" s="242" t="s">
        <v>2634</v>
      </c>
      <c r="C1077" s="189" t="s">
        <v>7</v>
      </c>
      <c r="D1077" s="143">
        <v>191.48919999999998</v>
      </c>
      <c r="E1077" s="242"/>
      <c r="F1077" s="113">
        <f t="shared" si="72"/>
        <v>191.48919999999998</v>
      </c>
      <c r="G1077" s="112" t="s">
        <v>3335</v>
      </c>
      <c r="H1077" s="120">
        <v>0</v>
      </c>
      <c r="I1077" s="120" t="s">
        <v>3333</v>
      </c>
      <c r="J1077" s="120" t="s">
        <v>772</v>
      </c>
      <c r="K1077" s="112">
        <v>73600</v>
      </c>
      <c r="L1077" s="113"/>
      <c r="M1077" s="113">
        <v>45400</v>
      </c>
      <c r="N1077" s="113"/>
      <c r="O1077" s="113"/>
      <c r="P1077" s="299">
        <f t="shared" si="73"/>
        <v>119000</v>
      </c>
      <c r="Q1077" s="299">
        <f t="shared" si="74"/>
        <v>22787214.799999997</v>
      </c>
      <c r="R1077" s="299">
        <f t="shared" si="75"/>
        <v>22787214.799999997</v>
      </c>
      <c r="S1077" s="112">
        <v>0</v>
      </c>
    </row>
    <row r="1078" spans="1:19" ht="45">
      <c r="A1078" s="189"/>
      <c r="B1078" s="242" t="s">
        <v>2635</v>
      </c>
      <c r="C1078" s="189" t="s">
        <v>7</v>
      </c>
      <c r="D1078" s="143">
        <v>57.901199999999989</v>
      </c>
      <c r="E1078" s="242"/>
      <c r="F1078" s="113">
        <f t="shared" si="72"/>
        <v>57.901199999999989</v>
      </c>
      <c r="G1078" s="112" t="s">
        <v>3334</v>
      </c>
      <c r="H1078" s="120">
        <v>0</v>
      </c>
      <c r="I1078" s="120" t="s">
        <v>3333</v>
      </c>
      <c r="J1078" s="120" t="s">
        <v>772</v>
      </c>
      <c r="K1078" s="112">
        <v>84600</v>
      </c>
      <c r="L1078" s="113"/>
      <c r="M1078" s="113">
        <v>48400</v>
      </c>
      <c r="N1078" s="113"/>
      <c r="O1078" s="113"/>
      <c r="P1078" s="299">
        <f t="shared" si="73"/>
        <v>133000</v>
      </c>
      <c r="Q1078" s="299">
        <f t="shared" si="74"/>
        <v>7700859.5999999987</v>
      </c>
      <c r="R1078" s="299">
        <f t="shared" si="75"/>
        <v>7700859.5999999987</v>
      </c>
      <c r="S1078" s="112">
        <v>0</v>
      </c>
    </row>
    <row r="1079" spans="1:19" ht="42.75">
      <c r="A1079" s="182" t="s">
        <v>2636</v>
      </c>
      <c r="B1079" s="243" t="s">
        <v>2306</v>
      </c>
      <c r="C1079" s="182"/>
      <c r="D1079" s="170"/>
      <c r="E1079" s="243"/>
      <c r="F1079" s="113">
        <f t="shared" si="72"/>
        <v>0</v>
      </c>
      <c r="G1079" s="112">
        <v>0</v>
      </c>
      <c r="H1079" s="120">
        <v>0</v>
      </c>
      <c r="I1079" s="120">
        <v>0</v>
      </c>
      <c r="J1079" s="120">
        <v>0</v>
      </c>
      <c r="K1079" s="112">
        <v>0</v>
      </c>
      <c r="L1079" s="113"/>
      <c r="M1079" s="113">
        <v>0</v>
      </c>
      <c r="N1079" s="113"/>
      <c r="O1079" s="113"/>
      <c r="P1079" s="299">
        <f t="shared" si="73"/>
        <v>0</v>
      </c>
      <c r="Q1079" s="299">
        <f t="shared" si="74"/>
        <v>0</v>
      </c>
      <c r="R1079" s="299">
        <f t="shared" si="75"/>
        <v>0</v>
      </c>
      <c r="S1079" s="112">
        <v>0</v>
      </c>
    </row>
    <row r="1080" spans="1:19" ht="90">
      <c r="A1080" s="189"/>
      <c r="B1080" s="242" t="s">
        <v>2637</v>
      </c>
      <c r="C1080" s="189" t="s">
        <v>7</v>
      </c>
      <c r="D1080" s="143">
        <v>30</v>
      </c>
      <c r="E1080" s="242"/>
      <c r="F1080" s="113">
        <f t="shared" si="72"/>
        <v>30</v>
      </c>
      <c r="G1080" s="112" t="s">
        <v>4086</v>
      </c>
      <c r="H1080" s="120" t="s">
        <v>3191</v>
      </c>
      <c r="I1080" s="120" t="s">
        <v>4048</v>
      </c>
      <c r="J1080" s="120" t="s">
        <v>4049</v>
      </c>
      <c r="K1080" s="112">
        <v>1182800</v>
      </c>
      <c r="L1080" s="113"/>
      <c r="M1080" s="113">
        <v>633700</v>
      </c>
      <c r="N1080" s="113"/>
      <c r="O1080" s="113"/>
      <c r="P1080" s="299">
        <f t="shared" si="73"/>
        <v>1816500</v>
      </c>
      <c r="Q1080" s="299">
        <f t="shared" si="74"/>
        <v>54495000</v>
      </c>
      <c r="R1080" s="299">
        <f t="shared" si="75"/>
        <v>54495000</v>
      </c>
      <c r="S1080" s="112">
        <v>0</v>
      </c>
    </row>
    <row r="1081" spans="1:19" ht="90">
      <c r="A1081" s="189"/>
      <c r="B1081" s="242" t="s">
        <v>2638</v>
      </c>
      <c r="C1081" s="189" t="s">
        <v>7</v>
      </c>
      <c r="D1081" s="143">
        <v>17</v>
      </c>
      <c r="E1081" s="242"/>
      <c r="F1081" s="113">
        <f t="shared" si="72"/>
        <v>17</v>
      </c>
      <c r="G1081" s="112" t="s">
        <v>4087</v>
      </c>
      <c r="H1081" s="120" t="s">
        <v>3191</v>
      </c>
      <c r="I1081" s="120" t="s">
        <v>4048</v>
      </c>
      <c r="J1081" s="120" t="s">
        <v>4049</v>
      </c>
      <c r="K1081" s="112">
        <v>1459000</v>
      </c>
      <c r="L1081" s="113"/>
      <c r="M1081" s="113">
        <v>766800</v>
      </c>
      <c r="N1081" s="113"/>
      <c r="O1081" s="113"/>
      <c r="P1081" s="299">
        <f t="shared" si="73"/>
        <v>2225800</v>
      </c>
      <c r="Q1081" s="299">
        <f t="shared" si="74"/>
        <v>37838600</v>
      </c>
      <c r="R1081" s="299">
        <f t="shared" si="75"/>
        <v>37838600</v>
      </c>
      <c r="S1081" s="112">
        <v>0</v>
      </c>
    </row>
    <row r="1082" spans="1:19" ht="42.75">
      <c r="A1082" s="182" t="s">
        <v>2639</v>
      </c>
      <c r="B1082" s="243" t="s">
        <v>2310</v>
      </c>
      <c r="C1082" s="182"/>
      <c r="D1082" s="170"/>
      <c r="E1082" s="243"/>
      <c r="F1082" s="113">
        <f t="shared" si="72"/>
        <v>0</v>
      </c>
      <c r="G1082" s="112">
        <v>0</v>
      </c>
      <c r="H1082" s="120">
        <v>0</v>
      </c>
      <c r="I1082" s="120">
        <v>0</v>
      </c>
      <c r="J1082" s="120">
        <v>0</v>
      </c>
      <c r="K1082" s="112">
        <v>0</v>
      </c>
      <c r="L1082" s="113"/>
      <c r="M1082" s="113">
        <v>0</v>
      </c>
      <c r="N1082" s="113"/>
      <c r="O1082" s="113"/>
      <c r="P1082" s="299">
        <f t="shared" si="73"/>
        <v>0</v>
      </c>
      <c r="Q1082" s="299">
        <f t="shared" si="74"/>
        <v>0</v>
      </c>
      <c r="R1082" s="299">
        <f t="shared" si="75"/>
        <v>0</v>
      </c>
      <c r="S1082" s="112">
        <v>0</v>
      </c>
    </row>
    <row r="1083" spans="1:19" ht="105">
      <c r="A1083" s="189"/>
      <c r="B1083" s="242" t="s">
        <v>2640</v>
      </c>
      <c r="C1083" s="189" t="s">
        <v>7</v>
      </c>
      <c r="D1083" s="143">
        <v>30</v>
      </c>
      <c r="E1083" s="242"/>
      <c r="F1083" s="113">
        <f t="shared" si="72"/>
        <v>30</v>
      </c>
      <c r="G1083" s="112" t="s">
        <v>4088</v>
      </c>
      <c r="H1083" s="120" t="s">
        <v>3191</v>
      </c>
      <c r="I1083" s="120" t="s">
        <v>4048</v>
      </c>
      <c r="J1083" s="120" t="s">
        <v>4049</v>
      </c>
      <c r="K1083" s="112">
        <v>1312300</v>
      </c>
      <c r="L1083" s="113"/>
      <c r="M1083" s="113">
        <v>634700</v>
      </c>
      <c r="N1083" s="113"/>
      <c r="O1083" s="113"/>
      <c r="P1083" s="299">
        <f t="shared" si="73"/>
        <v>1947000</v>
      </c>
      <c r="Q1083" s="299">
        <f t="shared" si="74"/>
        <v>58410000</v>
      </c>
      <c r="R1083" s="299">
        <f t="shared" si="75"/>
        <v>58410000</v>
      </c>
      <c r="S1083" s="112">
        <v>0</v>
      </c>
    </row>
    <row r="1084" spans="1:19" ht="105">
      <c r="A1084" s="189"/>
      <c r="B1084" s="242" t="s">
        <v>2641</v>
      </c>
      <c r="C1084" s="189" t="s">
        <v>7</v>
      </c>
      <c r="D1084" s="143">
        <v>17</v>
      </c>
      <c r="E1084" s="242"/>
      <c r="F1084" s="113">
        <f t="shared" si="72"/>
        <v>17</v>
      </c>
      <c r="G1084" s="112" t="s">
        <v>4089</v>
      </c>
      <c r="H1084" s="120" t="s">
        <v>3191</v>
      </c>
      <c r="I1084" s="120" t="s">
        <v>4048</v>
      </c>
      <c r="J1084" s="120" t="s">
        <v>4049</v>
      </c>
      <c r="K1084" s="112">
        <v>1628800</v>
      </c>
      <c r="L1084" s="113"/>
      <c r="M1084" s="113">
        <v>1037800</v>
      </c>
      <c r="N1084" s="113"/>
      <c r="O1084" s="113"/>
      <c r="P1084" s="299">
        <f t="shared" si="73"/>
        <v>2666600</v>
      </c>
      <c r="Q1084" s="299">
        <f t="shared" si="74"/>
        <v>45332200</v>
      </c>
      <c r="R1084" s="299">
        <f t="shared" si="75"/>
        <v>45332200</v>
      </c>
      <c r="S1084" s="112">
        <v>0</v>
      </c>
    </row>
    <row r="1085" spans="1:19">
      <c r="A1085" s="182" t="s">
        <v>2642</v>
      </c>
      <c r="B1085" s="243" t="s">
        <v>2555</v>
      </c>
      <c r="C1085" s="182" t="s">
        <v>17</v>
      </c>
      <c r="D1085" s="170">
        <v>1</v>
      </c>
      <c r="E1085" s="243"/>
      <c r="F1085" s="113">
        <f t="shared" si="72"/>
        <v>1</v>
      </c>
      <c r="G1085" s="112">
        <v>0</v>
      </c>
      <c r="H1085" s="120">
        <v>0</v>
      </c>
      <c r="I1085" s="120">
        <v>0</v>
      </c>
      <c r="J1085" s="120" t="s">
        <v>806</v>
      </c>
      <c r="K1085" s="112">
        <v>0</v>
      </c>
      <c r="L1085" s="113"/>
      <c r="M1085" s="113">
        <v>0</v>
      </c>
      <c r="N1085" s="113"/>
      <c r="O1085" s="113"/>
      <c r="P1085" s="299">
        <f t="shared" si="73"/>
        <v>0</v>
      </c>
      <c r="Q1085" s="299">
        <f t="shared" si="74"/>
        <v>0</v>
      </c>
      <c r="R1085" s="299">
        <f t="shared" si="75"/>
        <v>0</v>
      </c>
      <c r="S1085" s="112">
        <v>0</v>
      </c>
    </row>
    <row r="1086" spans="1:19" ht="57">
      <c r="A1086" s="90" t="s">
        <v>2643</v>
      </c>
      <c r="B1086" s="282" t="s">
        <v>2318</v>
      </c>
      <c r="C1086" s="283"/>
      <c r="D1086" s="258"/>
      <c r="E1086" s="91"/>
      <c r="F1086" s="113">
        <f t="shared" si="72"/>
        <v>0</v>
      </c>
      <c r="G1086" s="112">
        <v>0</v>
      </c>
      <c r="H1086" s="120">
        <v>0</v>
      </c>
      <c r="I1086" s="120">
        <v>0</v>
      </c>
      <c r="J1086" s="120">
        <v>0</v>
      </c>
      <c r="K1086" s="112">
        <v>0</v>
      </c>
      <c r="L1086" s="113"/>
      <c r="M1086" s="113">
        <v>0</v>
      </c>
      <c r="N1086" s="113"/>
      <c r="O1086" s="113"/>
      <c r="P1086" s="299">
        <f t="shared" si="73"/>
        <v>0</v>
      </c>
      <c r="Q1086" s="299">
        <f t="shared" si="74"/>
        <v>0</v>
      </c>
      <c r="R1086" s="299">
        <f t="shared" si="75"/>
        <v>0</v>
      </c>
      <c r="S1086" s="112">
        <v>0</v>
      </c>
    </row>
    <row r="1087" spans="1:19" ht="75">
      <c r="A1087" s="88"/>
      <c r="B1087" s="280" t="s">
        <v>2319</v>
      </c>
      <c r="C1087" s="281" t="s">
        <v>1877</v>
      </c>
      <c r="D1087" s="147">
        <v>36</v>
      </c>
      <c r="E1087" s="87"/>
      <c r="F1087" s="113">
        <f t="shared" si="72"/>
        <v>36</v>
      </c>
      <c r="G1087" s="112" t="s">
        <v>4056</v>
      </c>
      <c r="H1087" s="120" t="s">
        <v>3193</v>
      </c>
      <c r="I1087" s="120" t="s">
        <v>4036</v>
      </c>
      <c r="J1087" s="120" t="s">
        <v>4037</v>
      </c>
      <c r="K1087" s="112">
        <v>2483000</v>
      </c>
      <c r="L1087" s="113"/>
      <c r="M1087" s="113">
        <v>285100</v>
      </c>
      <c r="N1087" s="113"/>
      <c r="O1087" s="113"/>
      <c r="P1087" s="299">
        <f t="shared" si="73"/>
        <v>2768100</v>
      </c>
      <c r="Q1087" s="299">
        <f t="shared" si="74"/>
        <v>99651600</v>
      </c>
      <c r="R1087" s="299">
        <f t="shared" si="75"/>
        <v>99651600</v>
      </c>
      <c r="S1087" s="112">
        <v>0</v>
      </c>
    </row>
    <row r="1088" spans="1:19" ht="75">
      <c r="A1088" s="88"/>
      <c r="B1088" s="280" t="s">
        <v>2320</v>
      </c>
      <c r="C1088" s="281" t="s">
        <v>1877</v>
      </c>
      <c r="D1088" s="147">
        <v>24</v>
      </c>
      <c r="E1088" s="87"/>
      <c r="F1088" s="113">
        <f t="shared" si="72"/>
        <v>24</v>
      </c>
      <c r="G1088" s="112" t="s">
        <v>4057</v>
      </c>
      <c r="H1088" s="120" t="s">
        <v>3193</v>
      </c>
      <c r="I1088" s="120" t="s">
        <v>4036</v>
      </c>
      <c r="J1088" s="120" t="s">
        <v>4037</v>
      </c>
      <c r="K1088" s="112">
        <v>3206100</v>
      </c>
      <c r="L1088" s="113"/>
      <c r="M1088" s="113">
        <v>285100</v>
      </c>
      <c r="N1088" s="113"/>
      <c r="O1088" s="113"/>
      <c r="P1088" s="299">
        <f t="shared" si="73"/>
        <v>3491200</v>
      </c>
      <c r="Q1088" s="299">
        <f t="shared" si="74"/>
        <v>83788800</v>
      </c>
      <c r="R1088" s="299">
        <f t="shared" si="75"/>
        <v>83788800</v>
      </c>
      <c r="S1088" s="112">
        <v>0</v>
      </c>
    </row>
    <row r="1089" spans="1:19">
      <c r="A1089" s="182" t="s">
        <v>1467</v>
      </c>
      <c r="B1089" s="243" t="s">
        <v>2557</v>
      </c>
      <c r="C1089" s="182"/>
      <c r="D1089" s="170"/>
      <c r="E1089" s="243"/>
      <c r="F1089" s="113">
        <f t="shared" si="72"/>
        <v>0</v>
      </c>
      <c r="G1089" s="112">
        <v>0</v>
      </c>
      <c r="H1089" s="120">
        <v>0</v>
      </c>
      <c r="I1089" s="120">
        <v>0</v>
      </c>
      <c r="J1089" s="120">
        <v>0</v>
      </c>
      <c r="K1089" s="112">
        <v>0</v>
      </c>
      <c r="L1089" s="113"/>
      <c r="M1089" s="113">
        <v>0</v>
      </c>
      <c r="N1089" s="113"/>
      <c r="O1089" s="113"/>
      <c r="P1089" s="299">
        <f t="shared" si="73"/>
        <v>0</v>
      </c>
      <c r="Q1089" s="299">
        <f t="shared" si="74"/>
        <v>0</v>
      </c>
      <c r="R1089" s="299">
        <f t="shared" si="75"/>
        <v>0</v>
      </c>
      <c r="S1089" s="112">
        <v>0</v>
      </c>
    </row>
    <row r="1090" spans="1:19" ht="150">
      <c r="A1090" s="189" t="s">
        <v>2644</v>
      </c>
      <c r="B1090" s="242" t="s">
        <v>2559</v>
      </c>
      <c r="C1090" s="189"/>
      <c r="D1090" s="143"/>
      <c r="E1090" s="242" t="s">
        <v>2561</v>
      </c>
      <c r="F1090" s="113">
        <f t="shared" si="72"/>
        <v>0</v>
      </c>
      <c r="G1090" s="112">
        <v>0</v>
      </c>
      <c r="H1090" s="120">
        <v>0</v>
      </c>
      <c r="I1090" s="120">
        <v>0</v>
      </c>
      <c r="J1090" s="120">
        <v>0</v>
      </c>
      <c r="K1090" s="112">
        <v>0</v>
      </c>
      <c r="L1090" s="113"/>
      <c r="M1090" s="113">
        <v>0</v>
      </c>
      <c r="N1090" s="113"/>
      <c r="O1090" s="113"/>
      <c r="P1090" s="299">
        <f t="shared" si="73"/>
        <v>0</v>
      </c>
      <c r="Q1090" s="299">
        <f t="shared" si="74"/>
        <v>0</v>
      </c>
      <c r="R1090" s="299">
        <f t="shared" si="75"/>
        <v>0</v>
      </c>
      <c r="S1090" s="112" t="s">
        <v>1495</v>
      </c>
    </row>
    <row r="1091" spans="1:19" ht="30">
      <c r="A1091" s="189" t="s">
        <v>2645</v>
      </c>
      <c r="B1091" s="242" t="s">
        <v>2646</v>
      </c>
      <c r="C1091" s="189" t="s">
        <v>2512</v>
      </c>
      <c r="D1091" s="143">
        <v>21</v>
      </c>
      <c r="E1091" s="242"/>
      <c r="F1091" s="113">
        <f t="shared" si="72"/>
        <v>21</v>
      </c>
      <c r="G1091" s="112" t="s">
        <v>3752</v>
      </c>
      <c r="H1091" s="120">
        <v>0</v>
      </c>
      <c r="I1091" s="120">
        <v>0</v>
      </c>
      <c r="J1091" s="120" t="s">
        <v>772</v>
      </c>
      <c r="K1091" s="112">
        <v>25200</v>
      </c>
      <c r="L1091" s="113"/>
      <c r="M1091" s="113">
        <v>155200</v>
      </c>
      <c r="N1091" s="113"/>
      <c r="O1091" s="113"/>
      <c r="P1091" s="299">
        <f t="shared" si="73"/>
        <v>180400</v>
      </c>
      <c r="Q1091" s="299">
        <f t="shared" si="74"/>
        <v>3788400</v>
      </c>
      <c r="R1091" s="299">
        <f t="shared" si="75"/>
        <v>3788400</v>
      </c>
      <c r="S1091" s="112">
        <v>0</v>
      </c>
    </row>
    <row r="1092" spans="1:19" ht="45">
      <c r="A1092" s="189" t="s">
        <v>2647</v>
      </c>
      <c r="B1092" s="242" t="s">
        <v>2648</v>
      </c>
      <c r="C1092" s="189" t="s">
        <v>7</v>
      </c>
      <c r="D1092" s="143">
        <v>102.34099999999999</v>
      </c>
      <c r="E1092" s="242"/>
      <c r="F1092" s="113">
        <f t="shared" si="72"/>
        <v>102.34099999999999</v>
      </c>
      <c r="G1092" s="112" t="s">
        <v>4065</v>
      </c>
      <c r="H1092" s="120">
        <v>0</v>
      </c>
      <c r="I1092" s="120" t="s">
        <v>4061</v>
      </c>
      <c r="J1092" s="120" t="s">
        <v>4049</v>
      </c>
      <c r="K1092" s="112">
        <v>75900</v>
      </c>
      <c r="L1092" s="113"/>
      <c r="M1092" s="113">
        <v>56500</v>
      </c>
      <c r="N1092" s="113"/>
      <c r="O1092" s="113"/>
      <c r="P1092" s="299">
        <f t="shared" si="73"/>
        <v>132400</v>
      </c>
      <c r="Q1092" s="299">
        <f t="shared" si="74"/>
        <v>13549948.399999999</v>
      </c>
      <c r="R1092" s="299">
        <f t="shared" si="75"/>
        <v>13549948.399999999</v>
      </c>
      <c r="S1092" s="112">
        <v>0</v>
      </c>
    </row>
    <row r="1093" spans="1:19" ht="45">
      <c r="A1093" s="189" t="s">
        <v>2649</v>
      </c>
      <c r="B1093" s="242" t="s">
        <v>2650</v>
      </c>
      <c r="C1093" s="189" t="s">
        <v>7</v>
      </c>
      <c r="D1093" s="143">
        <v>131.71700000000001</v>
      </c>
      <c r="E1093" s="242"/>
      <c r="F1093" s="113">
        <f t="shared" si="72"/>
        <v>131.71700000000001</v>
      </c>
      <c r="G1093" s="112" t="s">
        <v>4066</v>
      </c>
      <c r="H1093" s="120">
        <v>0</v>
      </c>
      <c r="I1093" s="120" t="s">
        <v>4061</v>
      </c>
      <c r="J1093" s="120" t="s">
        <v>4049</v>
      </c>
      <c r="K1093" s="112">
        <v>111300</v>
      </c>
      <c r="L1093" s="113"/>
      <c r="M1093" s="113">
        <v>63500</v>
      </c>
      <c r="N1093" s="113"/>
      <c r="O1093" s="113"/>
      <c r="P1093" s="299">
        <f t="shared" si="73"/>
        <v>174800</v>
      </c>
      <c r="Q1093" s="299">
        <f t="shared" si="74"/>
        <v>23024131.600000001</v>
      </c>
      <c r="R1093" s="299">
        <f t="shared" si="75"/>
        <v>23024131.600000001</v>
      </c>
      <c r="S1093" s="112">
        <v>0</v>
      </c>
    </row>
    <row r="1094" spans="1:19" ht="45">
      <c r="A1094" s="189" t="s">
        <v>2651</v>
      </c>
      <c r="B1094" s="242" t="s">
        <v>2563</v>
      </c>
      <c r="C1094" s="189" t="s">
        <v>7</v>
      </c>
      <c r="D1094" s="143">
        <v>100.86199999999999</v>
      </c>
      <c r="E1094" s="242"/>
      <c r="F1094" s="113">
        <f t="shared" si="72"/>
        <v>100.86199999999999</v>
      </c>
      <c r="G1094" s="112" t="s">
        <v>4063</v>
      </c>
      <c r="H1094" s="120">
        <v>0</v>
      </c>
      <c r="I1094" s="120" t="s">
        <v>4061</v>
      </c>
      <c r="J1094" s="120" t="s">
        <v>4049</v>
      </c>
      <c r="K1094" s="112">
        <v>160800</v>
      </c>
      <c r="L1094" s="113"/>
      <c r="M1094" s="113">
        <v>69600</v>
      </c>
      <c r="N1094" s="113"/>
      <c r="O1094" s="113"/>
      <c r="P1094" s="299">
        <f t="shared" si="73"/>
        <v>230400</v>
      </c>
      <c r="Q1094" s="299">
        <f t="shared" si="74"/>
        <v>23238604.799999997</v>
      </c>
      <c r="R1094" s="299">
        <f t="shared" si="75"/>
        <v>23238604.799999997</v>
      </c>
      <c r="S1094" s="112">
        <v>0</v>
      </c>
    </row>
    <row r="1095" spans="1:19" ht="45">
      <c r="A1095" s="189" t="s">
        <v>2652</v>
      </c>
      <c r="B1095" s="242" t="s">
        <v>2653</v>
      </c>
      <c r="C1095" s="189" t="s">
        <v>7</v>
      </c>
      <c r="D1095" s="143">
        <v>90.826999999999998</v>
      </c>
      <c r="E1095" s="242"/>
      <c r="F1095" s="113">
        <f t="shared" si="72"/>
        <v>90.826999999999998</v>
      </c>
      <c r="G1095" s="112" t="s">
        <v>4067</v>
      </c>
      <c r="H1095" s="120">
        <v>0</v>
      </c>
      <c r="I1095" s="120" t="s">
        <v>4061</v>
      </c>
      <c r="J1095" s="120" t="s">
        <v>4049</v>
      </c>
      <c r="K1095" s="112">
        <v>234800</v>
      </c>
      <c r="L1095" s="113"/>
      <c r="M1095" s="113">
        <v>72600</v>
      </c>
      <c r="N1095" s="113"/>
      <c r="O1095" s="113"/>
      <c r="P1095" s="299">
        <f t="shared" si="73"/>
        <v>307400</v>
      </c>
      <c r="Q1095" s="299">
        <f t="shared" si="74"/>
        <v>27920219.800000001</v>
      </c>
      <c r="R1095" s="299">
        <f t="shared" si="75"/>
        <v>27920219.800000001</v>
      </c>
      <c r="S1095" s="112">
        <v>0</v>
      </c>
    </row>
    <row r="1096" spans="1:19" ht="45">
      <c r="A1096" s="189" t="s">
        <v>2654</v>
      </c>
      <c r="B1096" s="242" t="s">
        <v>2655</v>
      </c>
      <c r="C1096" s="189" t="s">
        <v>7</v>
      </c>
      <c r="D1096" s="143">
        <v>34.949999999999996</v>
      </c>
      <c r="E1096" s="242"/>
      <c r="F1096" s="113">
        <f t="shared" ref="F1096:F1109" si="76">D1096</f>
        <v>34.949999999999996</v>
      </c>
      <c r="G1096" s="112" t="s">
        <v>4068</v>
      </c>
      <c r="H1096" s="120">
        <v>0</v>
      </c>
      <c r="I1096" s="120" t="s">
        <v>4061</v>
      </c>
      <c r="J1096" s="120" t="s">
        <v>4049</v>
      </c>
      <c r="K1096" s="112">
        <v>280600</v>
      </c>
      <c r="L1096" s="113"/>
      <c r="M1096" s="113">
        <v>77600</v>
      </c>
      <c r="N1096" s="113"/>
      <c r="O1096" s="113"/>
      <c r="P1096" s="299">
        <f t="shared" ref="P1096:P1109" si="77">K1096+L1096+M1096+N1096+O1096</f>
        <v>358200</v>
      </c>
      <c r="Q1096" s="299">
        <f t="shared" ref="Q1096:Q1109" si="78">+P1096*D1096</f>
        <v>12519089.999999998</v>
      </c>
      <c r="R1096" s="299">
        <f t="shared" ref="R1096:R1109" si="79">+P1096*F1096</f>
        <v>12519089.999999998</v>
      </c>
      <c r="S1096" s="112">
        <v>0</v>
      </c>
    </row>
    <row r="1097" spans="1:19" ht="45">
      <c r="A1097" s="189" t="s">
        <v>2656</v>
      </c>
      <c r="B1097" s="242" t="s">
        <v>2657</v>
      </c>
      <c r="C1097" s="189" t="s">
        <v>7</v>
      </c>
      <c r="D1097" s="143">
        <v>3.05</v>
      </c>
      <c r="E1097" s="242"/>
      <c r="F1097" s="113">
        <f t="shared" si="76"/>
        <v>3.05</v>
      </c>
      <c r="G1097" s="112" t="s">
        <v>4069</v>
      </c>
      <c r="H1097" s="120">
        <v>0</v>
      </c>
      <c r="I1097" s="120" t="s">
        <v>4061</v>
      </c>
      <c r="J1097" s="120" t="s">
        <v>4049</v>
      </c>
      <c r="K1097" s="112">
        <v>367500</v>
      </c>
      <c r="L1097" s="113"/>
      <c r="M1097" s="113">
        <v>98800</v>
      </c>
      <c r="N1097" s="113"/>
      <c r="O1097" s="113"/>
      <c r="P1097" s="299">
        <f t="shared" si="77"/>
        <v>466300</v>
      </c>
      <c r="Q1097" s="299">
        <f t="shared" si="78"/>
        <v>1422215</v>
      </c>
      <c r="R1097" s="299">
        <f t="shared" si="79"/>
        <v>1422215</v>
      </c>
      <c r="S1097" s="112">
        <v>0</v>
      </c>
    </row>
    <row r="1098" spans="1:19">
      <c r="A1098" s="189" t="s">
        <v>2658</v>
      </c>
      <c r="B1098" s="242" t="s">
        <v>2659</v>
      </c>
      <c r="C1098" s="189" t="s">
        <v>2485</v>
      </c>
      <c r="D1098" s="143">
        <v>8.8310749999999985</v>
      </c>
      <c r="E1098" s="242"/>
      <c r="F1098" s="113">
        <f t="shared" si="76"/>
        <v>8.8310749999999985</v>
      </c>
      <c r="G1098" s="112" t="s">
        <v>3588</v>
      </c>
      <c r="H1098" s="120">
        <v>0</v>
      </c>
      <c r="I1098" s="120" t="s">
        <v>3587</v>
      </c>
      <c r="J1098" s="120" t="s">
        <v>769</v>
      </c>
      <c r="K1098" s="112">
        <v>350200</v>
      </c>
      <c r="L1098" s="113"/>
      <c r="M1098" s="113">
        <v>57500</v>
      </c>
      <c r="N1098" s="113"/>
      <c r="O1098" s="113"/>
      <c r="P1098" s="299">
        <f t="shared" si="77"/>
        <v>407700</v>
      </c>
      <c r="Q1098" s="299">
        <f t="shared" si="78"/>
        <v>3600429.2774999994</v>
      </c>
      <c r="R1098" s="299">
        <f t="shared" si="79"/>
        <v>3600429.2774999994</v>
      </c>
      <c r="S1098" s="112">
        <v>0</v>
      </c>
    </row>
    <row r="1099" spans="1:19">
      <c r="A1099" s="189" t="s">
        <v>2660</v>
      </c>
      <c r="B1099" s="242" t="s">
        <v>2566</v>
      </c>
      <c r="C1099" s="189" t="s">
        <v>17</v>
      </c>
      <c r="D1099" s="143">
        <v>1</v>
      </c>
      <c r="E1099" s="242"/>
      <c r="F1099" s="113">
        <f t="shared" si="76"/>
        <v>1</v>
      </c>
      <c r="G1099" s="112">
        <v>0</v>
      </c>
      <c r="H1099" s="120">
        <v>0</v>
      </c>
      <c r="I1099" s="120">
        <v>0</v>
      </c>
      <c r="J1099" s="120" t="s">
        <v>806</v>
      </c>
      <c r="K1099" s="112">
        <v>0</v>
      </c>
      <c r="L1099" s="113"/>
      <c r="M1099" s="113">
        <v>0</v>
      </c>
      <c r="N1099" s="113"/>
      <c r="O1099" s="113"/>
      <c r="P1099" s="299">
        <f t="shared" si="77"/>
        <v>0</v>
      </c>
      <c r="Q1099" s="299">
        <f t="shared" si="78"/>
        <v>0</v>
      </c>
      <c r="R1099" s="299">
        <f t="shared" si="79"/>
        <v>0</v>
      </c>
      <c r="S1099" s="112">
        <v>0</v>
      </c>
    </row>
    <row r="1100" spans="1:19">
      <c r="A1100" s="182" t="s">
        <v>1488</v>
      </c>
      <c r="B1100" s="243" t="s">
        <v>2567</v>
      </c>
      <c r="C1100" s="182"/>
      <c r="D1100" s="170"/>
      <c r="E1100" s="243"/>
      <c r="F1100" s="113">
        <f t="shared" si="76"/>
        <v>0</v>
      </c>
      <c r="G1100" s="112">
        <v>0</v>
      </c>
      <c r="H1100" s="120">
        <v>0</v>
      </c>
      <c r="I1100" s="120">
        <v>0</v>
      </c>
      <c r="J1100" s="120">
        <v>0</v>
      </c>
      <c r="K1100" s="112">
        <v>0</v>
      </c>
      <c r="L1100" s="113"/>
      <c r="M1100" s="113">
        <v>0</v>
      </c>
      <c r="N1100" s="113"/>
      <c r="O1100" s="113"/>
      <c r="P1100" s="299">
        <f t="shared" si="77"/>
        <v>0</v>
      </c>
      <c r="Q1100" s="299">
        <f t="shared" si="78"/>
        <v>0</v>
      </c>
      <c r="R1100" s="299">
        <f t="shared" si="79"/>
        <v>0</v>
      </c>
      <c r="S1100" s="112">
        <v>0</v>
      </c>
    </row>
    <row r="1101" spans="1:19" ht="114">
      <c r="A1101" s="189" t="s">
        <v>2661</v>
      </c>
      <c r="B1101" s="243" t="s">
        <v>2569</v>
      </c>
      <c r="C1101" s="182"/>
      <c r="D1101" s="170"/>
      <c r="E1101" s="243" t="s">
        <v>2571</v>
      </c>
      <c r="F1101" s="113">
        <f t="shared" si="76"/>
        <v>0</v>
      </c>
      <c r="G1101" s="112">
        <v>0</v>
      </c>
      <c r="H1101" s="120">
        <v>0</v>
      </c>
      <c r="I1101" s="120">
        <v>0</v>
      </c>
      <c r="J1101" s="120">
        <v>0</v>
      </c>
      <c r="K1101" s="112">
        <v>0</v>
      </c>
      <c r="L1101" s="113"/>
      <c r="M1101" s="113">
        <v>0</v>
      </c>
      <c r="N1101" s="113"/>
      <c r="O1101" s="113"/>
      <c r="P1101" s="299">
        <f t="shared" si="77"/>
        <v>0</v>
      </c>
      <c r="Q1101" s="299">
        <f t="shared" si="78"/>
        <v>0</v>
      </c>
      <c r="R1101" s="299">
        <f t="shared" si="79"/>
        <v>0</v>
      </c>
      <c r="S1101" s="112">
        <v>0</v>
      </c>
    </row>
    <row r="1102" spans="1:19" ht="60">
      <c r="A1102" s="189"/>
      <c r="B1102" s="242" t="s">
        <v>2572</v>
      </c>
      <c r="C1102" s="189" t="s">
        <v>7</v>
      </c>
      <c r="D1102" s="143">
        <v>114.866</v>
      </c>
      <c r="E1102" s="242"/>
      <c r="F1102" s="113">
        <f t="shared" si="76"/>
        <v>114.866</v>
      </c>
      <c r="G1102" s="112" t="s">
        <v>4075</v>
      </c>
      <c r="H1102" s="120">
        <v>0</v>
      </c>
      <c r="I1102" s="120" t="s">
        <v>4074</v>
      </c>
      <c r="J1102" s="120" t="s">
        <v>4049</v>
      </c>
      <c r="K1102" s="112">
        <v>40900</v>
      </c>
      <c r="L1102" s="113"/>
      <c r="M1102" s="113">
        <v>46400</v>
      </c>
      <c r="N1102" s="113"/>
      <c r="O1102" s="113"/>
      <c r="P1102" s="299">
        <f t="shared" si="77"/>
        <v>87300</v>
      </c>
      <c r="Q1102" s="299">
        <f t="shared" si="78"/>
        <v>10027801.800000001</v>
      </c>
      <c r="R1102" s="299">
        <f t="shared" si="79"/>
        <v>10027801.800000001</v>
      </c>
      <c r="S1102" s="112">
        <v>0</v>
      </c>
    </row>
    <row r="1103" spans="1:19" ht="60">
      <c r="A1103" s="189"/>
      <c r="B1103" s="242" t="s">
        <v>2662</v>
      </c>
      <c r="C1103" s="189" t="s">
        <v>7</v>
      </c>
      <c r="D1103" s="143">
        <v>59.440000000000005</v>
      </c>
      <c r="E1103" s="242"/>
      <c r="F1103" s="113">
        <f t="shared" si="76"/>
        <v>59.440000000000005</v>
      </c>
      <c r="G1103" s="112" t="s">
        <v>4076</v>
      </c>
      <c r="H1103" s="120">
        <v>0</v>
      </c>
      <c r="I1103" s="120" t="s">
        <v>4074</v>
      </c>
      <c r="J1103" s="120" t="s">
        <v>4049</v>
      </c>
      <c r="K1103" s="112">
        <v>52100</v>
      </c>
      <c r="L1103" s="113"/>
      <c r="M1103" s="113">
        <v>56500</v>
      </c>
      <c r="N1103" s="113"/>
      <c r="O1103" s="113"/>
      <c r="P1103" s="299">
        <f t="shared" si="77"/>
        <v>108600</v>
      </c>
      <c r="Q1103" s="299">
        <f t="shared" si="78"/>
        <v>6455184.0000000009</v>
      </c>
      <c r="R1103" s="299">
        <f t="shared" si="79"/>
        <v>6455184.0000000009</v>
      </c>
      <c r="S1103" s="112">
        <v>0</v>
      </c>
    </row>
    <row r="1104" spans="1:19" ht="28.5">
      <c r="A1104" s="189" t="s">
        <v>2663</v>
      </c>
      <c r="B1104" s="243" t="s">
        <v>2566</v>
      </c>
      <c r="C1104" s="182" t="s">
        <v>17</v>
      </c>
      <c r="D1104" s="170">
        <v>1</v>
      </c>
      <c r="E1104" s="243"/>
      <c r="F1104" s="113">
        <f t="shared" si="76"/>
        <v>1</v>
      </c>
      <c r="G1104" s="112">
        <v>0</v>
      </c>
      <c r="H1104" s="120">
        <v>0</v>
      </c>
      <c r="I1104" s="120">
        <v>0</v>
      </c>
      <c r="J1104" s="120" t="s">
        <v>806</v>
      </c>
      <c r="K1104" s="112">
        <v>0</v>
      </c>
      <c r="L1104" s="113"/>
      <c r="M1104" s="113">
        <v>0</v>
      </c>
      <c r="N1104" s="113"/>
      <c r="O1104" s="113"/>
      <c r="P1104" s="299">
        <f t="shared" si="77"/>
        <v>0</v>
      </c>
      <c r="Q1104" s="299">
        <f t="shared" si="78"/>
        <v>0</v>
      </c>
      <c r="R1104" s="299">
        <f t="shared" si="79"/>
        <v>0</v>
      </c>
      <c r="S1104" s="112">
        <v>0</v>
      </c>
    </row>
    <row r="1105" spans="1:19">
      <c r="A1105" s="182" t="s">
        <v>2574</v>
      </c>
      <c r="B1105" s="243" t="s">
        <v>2575</v>
      </c>
      <c r="C1105" s="182"/>
      <c r="D1105" s="170">
        <v>0</v>
      </c>
      <c r="E1105" s="243"/>
      <c r="F1105" s="113">
        <f t="shared" si="76"/>
        <v>0</v>
      </c>
      <c r="G1105" s="112">
        <v>0</v>
      </c>
      <c r="H1105" s="120">
        <v>0</v>
      </c>
      <c r="I1105" s="120">
        <v>0</v>
      </c>
      <c r="J1105" s="120">
        <v>0</v>
      </c>
      <c r="K1105" s="112">
        <v>0</v>
      </c>
      <c r="L1105" s="113"/>
      <c r="M1105" s="113">
        <v>0</v>
      </c>
      <c r="N1105" s="113"/>
      <c r="O1105" s="113"/>
      <c r="P1105" s="299">
        <f t="shared" si="77"/>
        <v>0</v>
      </c>
      <c r="Q1105" s="299">
        <f t="shared" si="78"/>
        <v>0</v>
      </c>
      <c r="R1105" s="299">
        <f t="shared" si="79"/>
        <v>0</v>
      </c>
      <c r="S1105" s="112">
        <v>0</v>
      </c>
    </row>
    <row r="1106" spans="1:19" ht="30">
      <c r="A1106" s="189" t="s">
        <v>2664</v>
      </c>
      <c r="B1106" s="242" t="s">
        <v>2504</v>
      </c>
      <c r="C1106" s="189" t="s">
        <v>7</v>
      </c>
      <c r="D1106" s="143">
        <v>226.26599999999999</v>
      </c>
      <c r="E1106" s="242"/>
      <c r="F1106" s="113">
        <f t="shared" si="76"/>
        <v>226.26599999999999</v>
      </c>
      <c r="G1106" s="112">
        <v>0</v>
      </c>
      <c r="H1106" s="120" t="s">
        <v>1148</v>
      </c>
      <c r="I1106" s="120" t="s">
        <v>771</v>
      </c>
      <c r="J1106" s="120" t="s">
        <v>772</v>
      </c>
      <c r="K1106" s="112">
        <v>26800</v>
      </c>
      <c r="L1106" s="113"/>
      <c r="M1106" s="113">
        <v>12100</v>
      </c>
      <c r="N1106" s="113"/>
      <c r="O1106" s="113"/>
      <c r="P1106" s="299">
        <f t="shared" si="77"/>
        <v>38900</v>
      </c>
      <c r="Q1106" s="299">
        <f t="shared" si="78"/>
        <v>8801747.4000000004</v>
      </c>
      <c r="R1106" s="299">
        <f t="shared" si="79"/>
        <v>8801747.4000000004</v>
      </c>
      <c r="S1106" s="112">
        <v>0</v>
      </c>
    </row>
    <row r="1107" spans="1:19" ht="30">
      <c r="A1107" s="189" t="s">
        <v>2665</v>
      </c>
      <c r="B1107" s="242" t="s">
        <v>2505</v>
      </c>
      <c r="C1107" s="189" t="s">
        <v>7</v>
      </c>
      <c r="D1107" s="143">
        <v>167.03700000000001</v>
      </c>
      <c r="E1107" s="242"/>
      <c r="F1107" s="113">
        <f t="shared" si="76"/>
        <v>167.03700000000001</v>
      </c>
      <c r="G1107" s="112">
        <v>0</v>
      </c>
      <c r="H1107" s="120" t="s">
        <v>1149</v>
      </c>
      <c r="I1107" s="120" t="s">
        <v>771</v>
      </c>
      <c r="J1107" s="120" t="s">
        <v>772</v>
      </c>
      <c r="K1107" s="112">
        <v>21600</v>
      </c>
      <c r="L1107" s="113"/>
      <c r="M1107" s="113">
        <v>10100</v>
      </c>
      <c r="N1107" s="113"/>
      <c r="O1107" s="113"/>
      <c r="P1107" s="299">
        <f t="shared" si="77"/>
        <v>31700</v>
      </c>
      <c r="Q1107" s="299">
        <f t="shared" si="78"/>
        <v>5295072.9000000004</v>
      </c>
      <c r="R1107" s="299">
        <f t="shared" si="79"/>
        <v>5295072.9000000004</v>
      </c>
      <c r="S1107" s="112">
        <v>0</v>
      </c>
    </row>
    <row r="1108" spans="1:19" ht="45">
      <c r="A1108" s="189" t="s">
        <v>2666</v>
      </c>
      <c r="B1108" s="242" t="s">
        <v>2507</v>
      </c>
      <c r="C1108" s="189" t="s">
        <v>7</v>
      </c>
      <c r="D1108" s="143">
        <v>338.303</v>
      </c>
      <c r="E1108" s="242"/>
      <c r="F1108" s="113">
        <f t="shared" si="76"/>
        <v>338.303</v>
      </c>
      <c r="G1108" s="112" t="s">
        <v>970</v>
      </c>
      <c r="H1108" s="120" t="s">
        <v>971</v>
      </c>
      <c r="I1108" s="120" t="s">
        <v>723</v>
      </c>
      <c r="J1108" s="120" t="s">
        <v>772</v>
      </c>
      <c r="K1108" s="112">
        <v>9000</v>
      </c>
      <c r="L1108" s="113"/>
      <c r="M1108" s="113">
        <v>23200</v>
      </c>
      <c r="N1108" s="113"/>
      <c r="O1108" s="113"/>
      <c r="P1108" s="299">
        <f t="shared" si="77"/>
        <v>32200</v>
      </c>
      <c r="Q1108" s="299">
        <f t="shared" si="78"/>
        <v>10893356.6</v>
      </c>
      <c r="R1108" s="299">
        <f t="shared" si="79"/>
        <v>10893356.6</v>
      </c>
      <c r="S1108" s="112">
        <v>0</v>
      </c>
    </row>
    <row r="1109" spans="1:19">
      <c r="A1109" s="189" t="s">
        <v>2667</v>
      </c>
      <c r="B1109" s="242" t="s">
        <v>2508</v>
      </c>
      <c r="C1109" s="189" t="s">
        <v>17</v>
      </c>
      <c r="D1109" s="143">
        <v>1</v>
      </c>
      <c r="E1109" s="242"/>
      <c r="F1109" s="113">
        <f t="shared" si="76"/>
        <v>1</v>
      </c>
      <c r="G1109" s="112">
        <v>0</v>
      </c>
      <c r="H1109" s="120">
        <v>0</v>
      </c>
      <c r="I1109" s="120">
        <v>0</v>
      </c>
      <c r="J1109" s="120" t="s">
        <v>806</v>
      </c>
      <c r="K1109" s="112">
        <v>0</v>
      </c>
      <c r="L1109" s="113"/>
      <c r="M1109" s="113">
        <v>0</v>
      </c>
      <c r="N1109" s="113"/>
      <c r="O1109" s="113"/>
      <c r="P1109" s="299">
        <f t="shared" si="77"/>
        <v>0</v>
      </c>
      <c r="Q1109" s="299">
        <f t="shared" si="78"/>
        <v>0</v>
      </c>
      <c r="R1109" s="299">
        <f t="shared" si="79"/>
        <v>0</v>
      </c>
      <c r="S1109" s="112">
        <v>0</v>
      </c>
    </row>
    <row r="1110" spans="1:19">
      <c r="A1110" s="385" t="s">
        <v>19</v>
      </c>
      <c r="B1110" s="383" t="s">
        <v>1191</v>
      </c>
      <c r="C1110" s="386"/>
      <c r="D1110" s="387"/>
      <c r="E1110" s="388"/>
      <c r="F1110" s="201"/>
      <c r="G1110" s="458"/>
      <c r="H1110" s="524"/>
      <c r="I1110" s="524"/>
      <c r="J1110" s="524"/>
      <c r="K1110" s="201"/>
      <c r="L1110" s="201"/>
      <c r="M1110" s="201"/>
      <c r="N1110" s="201"/>
      <c r="O1110" s="201"/>
      <c r="P1110" s="201"/>
      <c r="Q1110" s="201"/>
      <c r="R1110" s="201"/>
      <c r="S1110" s="310"/>
    </row>
    <row r="1111" spans="1:19" ht="30">
      <c r="A1111" s="309">
        <v>0</v>
      </c>
      <c r="B1111" s="309" t="s">
        <v>3744</v>
      </c>
      <c r="C1111" s="303" t="s">
        <v>706</v>
      </c>
      <c r="D1111" s="309">
        <v>0</v>
      </c>
      <c r="E1111" s="242"/>
      <c r="F1111" s="113">
        <v>0</v>
      </c>
      <c r="G1111" s="112">
        <v>0</v>
      </c>
      <c r="H1111" s="120">
        <v>0</v>
      </c>
      <c r="I1111" s="120">
        <v>0</v>
      </c>
      <c r="J1111" s="120">
        <v>0</v>
      </c>
      <c r="K1111" s="112">
        <v>0</v>
      </c>
      <c r="L1111" s="113"/>
      <c r="M1111" s="113">
        <v>0</v>
      </c>
      <c r="N1111" s="113"/>
      <c r="O1111" s="113"/>
      <c r="P1111" s="299">
        <f t="shared" ref="P1111:P1115" si="80">K1111+L1111+M1111+N1111+O1111</f>
        <v>0</v>
      </c>
      <c r="Q1111" s="299">
        <f t="shared" ref="Q1111:Q1115" si="81">+P1111*D1111</f>
        <v>0</v>
      </c>
      <c r="R1111" s="299">
        <f t="shared" ref="R1111:R1115" si="82">+P1111*F1111</f>
        <v>0</v>
      </c>
      <c r="S1111" s="112" t="s">
        <v>3742</v>
      </c>
    </row>
    <row r="1112" spans="1:19" ht="30">
      <c r="A1112" s="309">
        <v>0</v>
      </c>
      <c r="B1112" s="309" t="s">
        <v>3743</v>
      </c>
      <c r="C1112" s="303" t="s">
        <v>706</v>
      </c>
      <c r="D1112" s="309">
        <v>0</v>
      </c>
      <c r="E1112" s="242"/>
      <c r="F1112" s="113">
        <v>0</v>
      </c>
      <c r="G1112" s="112">
        <v>0</v>
      </c>
      <c r="H1112" s="120">
        <v>0</v>
      </c>
      <c r="I1112" s="120">
        <v>0</v>
      </c>
      <c r="J1112" s="120">
        <v>0</v>
      </c>
      <c r="K1112" s="112">
        <v>0</v>
      </c>
      <c r="L1112" s="113"/>
      <c r="M1112" s="113">
        <v>0</v>
      </c>
      <c r="N1112" s="113"/>
      <c r="O1112" s="113"/>
      <c r="P1112" s="299">
        <f t="shared" si="80"/>
        <v>0</v>
      </c>
      <c r="Q1112" s="299">
        <f t="shared" si="81"/>
        <v>0</v>
      </c>
      <c r="R1112" s="299">
        <f t="shared" si="82"/>
        <v>0</v>
      </c>
      <c r="S1112" s="112" t="s">
        <v>3742</v>
      </c>
    </row>
    <row r="1113" spans="1:19" ht="30">
      <c r="A1113" s="309">
        <v>0</v>
      </c>
      <c r="B1113" s="309" t="s">
        <v>3741</v>
      </c>
      <c r="C1113" s="303" t="s">
        <v>7</v>
      </c>
      <c r="D1113" s="309">
        <v>0</v>
      </c>
      <c r="E1113" s="242"/>
      <c r="F1113" s="113">
        <v>0</v>
      </c>
      <c r="G1113" s="112">
        <v>0</v>
      </c>
      <c r="H1113" s="120">
        <v>0</v>
      </c>
      <c r="I1113" s="120">
        <v>0</v>
      </c>
      <c r="J1113" s="120" t="s">
        <v>772</v>
      </c>
      <c r="K1113" s="112">
        <v>22800</v>
      </c>
      <c r="L1113" s="113"/>
      <c r="M1113" s="113">
        <v>75600</v>
      </c>
      <c r="N1113" s="113"/>
      <c r="O1113" s="113"/>
      <c r="P1113" s="299">
        <f t="shared" si="80"/>
        <v>98400</v>
      </c>
      <c r="Q1113" s="299">
        <f t="shared" si="81"/>
        <v>0</v>
      </c>
      <c r="R1113" s="299">
        <f t="shared" si="82"/>
        <v>0</v>
      </c>
      <c r="S1113" s="112" t="s">
        <v>3740</v>
      </c>
    </row>
    <row r="1114" spans="1:19" ht="30">
      <c r="A1114" s="309">
        <v>0</v>
      </c>
      <c r="B1114" s="309" t="s">
        <v>3739</v>
      </c>
      <c r="C1114" s="303" t="s">
        <v>3738</v>
      </c>
      <c r="D1114" s="309">
        <v>0</v>
      </c>
      <c r="E1114" s="242"/>
      <c r="F1114" s="113">
        <v>0</v>
      </c>
      <c r="G1114" s="112" t="s">
        <v>3185</v>
      </c>
      <c r="H1114" s="120">
        <v>0</v>
      </c>
      <c r="I1114" s="120" t="s">
        <v>2748</v>
      </c>
      <c r="J1114" s="120" t="s">
        <v>772</v>
      </c>
      <c r="K1114" s="112">
        <v>85200</v>
      </c>
      <c r="L1114" s="113"/>
      <c r="M1114" s="113">
        <v>120900</v>
      </c>
      <c r="N1114" s="113"/>
      <c r="O1114" s="113"/>
      <c r="P1114" s="299">
        <f t="shared" ref="P1114" si="83">K1114+L1114+M1114+N1114+O1114</f>
        <v>206100</v>
      </c>
      <c r="Q1114" s="299">
        <f t="shared" ref="Q1114" si="84">+P1114*D1114</f>
        <v>0</v>
      </c>
      <c r="R1114" s="299">
        <f t="shared" ref="R1114" si="85">+P1114*F1114</f>
        <v>0</v>
      </c>
      <c r="S1114" s="112">
        <v>0</v>
      </c>
    </row>
    <row r="1115" spans="1:19">
      <c r="A1115" s="189"/>
      <c r="B1115" s="242" t="s">
        <v>1192</v>
      </c>
      <c r="C1115" s="189"/>
      <c r="D1115" s="143"/>
      <c r="E1115" s="242"/>
      <c r="F1115" s="113">
        <v>0</v>
      </c>
      <c r="G1115" s="112">
        <v>0</v>
      </c>
      <c r="H1115" s="120">
        <v>0</v>
      </c>
      <c r="I1115" s="120">
        <v>0</v>
      </c>
      <c r="J1115" s="120">
        <v>0</v>
      </c>
      <c r="K1115" s="112">
        <v>0</v>
      </c>
      <c r="L1115" s="113"/>
      <c r="M1115" s="113">
        <v>0</v>
      </c>
      <c r="N1115" s="113"/>
      <c r="O1115" s="113"/>
      <c r="P1115" s="299">
        <f t="shared" si="80"/>
        <v>0</v>
      </c>
      <c r="Q1115" s="299">
        <f t="shared" si="81"/>
        <v>0</v>
      </c>
      <c r="R1115" s="299">
        <f t="shared" si="82"/>
        <v>0</v>
      </c>
      <c r="S1115" s="112">
        <v>0</v>
      </c>
    </row>
    <row r="1116" spans="1:19">
      <c r="A1116" s="389" t="s">
        <v>21</v>
      </c>
      <c r="B1116" s="390" t="s">
        <v>1193</v>
      </c>
      <c r="C1116" s="391"/>
      <c r="D1116" s="392"/>
      <c r="E1116" s="393"/>
      <c r="F1116" s="394"/>
      <c r="G1116" s="463"/>
      <c r="H1116" s="526"/>
      <c r="I1116" s="526"/>
      <c r="J1116" s="526"/>
      <c r="K1116" s="394"/>
      <c r="L1116" s="394"/>
      <c r="M1116" s="394"/>
      <c r="N1116" s="394"/>
      <c r="O1116" s="394"/>
      <c r="P1116" s="394"/>
      <c r="Q1116" s="395">
        <f>SUBTOTAL(9,Q8:Q1115)</f>
        <v>44950911594.717491</v>
      </c>
      <c r="R1116" s="395">
        <f>SUBTOTAL(9,R8:R1115)</f>
        <v>44950911594.717491</v>
      </c>
      <c r="S1116" s="396"/>
    </row>
  </sheetData>
  <autoFilter ref="A8:S1115" xr:uid="{937610C3-94CD-4A39-AB0B-71391189EDEE}"/>
  <mergeCells count="16">
    <mergeCell ref="E912:E921"/>
    <mergeCell ref="A5:E5"/>
    <mergeCell ref="F5:S5"/>
    <mergeCell ref="A6:A7"/>
    <mergeCell ref="B6:B7"/>
    <mergeCell ref="C6:C7"/>
    <mergeCell ref="D6:D7"/>
    <mergeCell ref="E6:E7"/>
    <mergeCell ref="F6:F7"/>
    <mergeCell ref="G6:J6"/>
    <mergeCell ref="K6:P6"/>
    <mergeCell ref="Q6:R6"/>
    <mergeCell ref="S6:S7"/>
    <mergeCell ref="E85:E86"/>
    <mergeCell ref="E906:E907"/>
    <mergeCell ref="E908:E911"/>
  </mergeCells>
  <pageMargins left="0.70866141732283472" right="0.70866141732283472" top="0.74803149606299213" bottom="0.74803149606299213" header="0.31496062992125984" footer="0.31496062992125984"/>
  <pageSetup paperSize="9" scale="42" fitToHeight="0" orientation="landscape" r:id="rId1"/>
  <headerFooter>
    <oddFooter>&amp;L&amp;A&amp;CSEAREFICO&amp;RTrang &amp;P/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9D9A-7171-4742-B840-C85CBA30D732}">
  <sheetPr codeName="Sheet9">
    <tabColor rgb="FFCCCCFF"/>
    <pageSetUpPr fitToPage="1"/>
  </sheetPr>
  <dimension ref="A1:S27"/>
  <sheetViews>
    <sheetView topLeftCell="F1" zoomScale="115" zoomScaleNormal="115" zoomScaleSheetLayoutView="55" workbookViewId="0">
      <pane ySplit="8" topLeftCell="A20" activePane="bottomLeft" state="frozen"/>
      <selection pane="bottomLeft" activeCell="S27" sqref="S27"/>
    </sheetView>
  </sheetViews>
  <sheetFormatPr defaultColWidth="10.42578125" defaultRowHeight="15"/>
  <cols>
    <col min="1" max="1" width="6.7109375" customWidth="1"/>
    <col min="2" max="2" width="42.7109375" customWidth="1"/>
    <col min="3" max="3" width="9.28515625" customWidth="1"/>
    <col min="4" max="4" width="10.42578125" bestFit="1" customWidth="1"/>
    <col min="5" max="5" width="13.7109375" customWidth="1"/>
    <col min="6" max="6" width="15.42578125" customWidth="1"/>
    <col min="7" max="7" width="27.7109375" style="298" customWidth="1"/>
    <col min="8" max="8" width="21.140625" style="506" customWidth="1"/>
    <col min="9" max="9" width="18.7109375" style="506" customWidth="1"/>
    <col min="10" max="10" width="13.140625" style="506" bestFit="1" customWidth="1"/>
    <col min="11" max="11" width="11.42578125" bestFit="1" customWidth="1"/>
    <col min="12" max="12" width="6.85546875" customWidth="1"/>
    <col min="13" max="13" width="11.42578125" customWidth="1"/>
    <col min="14" max="15" width="8" customWidth="1"/>
    <col min="16" max="16" width="22.140625" customWidth="1"/>
    <col min="17" max="18" width="18.28515625" customWidth="1"/>
    <col min="19" max="19" width="30.7109375" customWidth="1"/>
  </cols>
  <sheetData>
    <row r="1" spans="1:19" s="314" customFormat="1" ht="19.5" customHeight="1">
      <c r="A1" s="287" t="s">
        <v>672</v>
      </c>
      <c r="B1" s="371"/>
      <c r="C1" s="371"/>
      <c r="D1" s="330"/>
      <c r="E1" s="288"/>
      <c r="F1" s="321"/>
      <c r="G1" s="300"/>
      <c r="H1" s="330"/>
      <c r="I1" s="330"/>
      <c r="J1" s="330"/>
      <c r="K1" s="128"/>
      <c r="L1" s="128"/>
      <c r="M1" s="128"/>
      <c r="N1" s="128"/>
      <c r="O1" s="128"/>
      <c r="P1" s="128"/>
      <c r="Q1" s="128"/>
      <c r="R1" s="128"/>
      <c r="S1" s="128"/>
    </row>
    <row r="2" spans="1:19" s="314" customFormat="1" ht="19.5" customHeight="1">
      <c r="A2" s="287" t="s">
        <v>670</v>
      </c>
      <c r="B2" s="371"/>
      <c r="C2" s="371"/>
      <c r="D2" s="330"/>
      <c r="E2" s="288"/>
      <c r="F2" s="321"/>
      <c r="G2" s="300"/>
      <c r="H2" s="330"/>
      <c r="I2" s="330"/>
      <c r="J2" s="330"/>
      <c r="K2" s="128"/>
      <c r="L2" s="128"/>
      <c r="M2" s="128"/>
      <c r="N2" s="128"/>
      <c r="O2" s="128"/>
      <c r="P2" s="128"/>
      <c r="Q2" s="128"/>
      <c r="R2" s="128"/>
      <c r="S2" s="128"/>
    </row>
    <row r="3" spans="1:19" s="314" customFormat="1" ht="19.5" customHeight="1">
      <c r="A3" s="287" t="s">
        <v>2668</v>
      </c>
      <c r="B3" s="371"/>
      <c r="C3" s="371"/>
      <c r="D3" s="330"/>
      <c r="E3" s="288"/>
      <c r="F3" s="321"/>
      <c r="G3" s="300"/>
      <c r="H3" s="330"/>
      <c r="I3" s="330"/>
      <c r="J3" s="330"/>
      <c r="K3" s="128"/>
      <c r="L3" s="128"/>
      <c r="M3" s="128"/>
      <c r="N3" s="128"/>
      <c r="O3" s="128"/>
      <c r="P3" s="128"/>
      <c r="Q3" s="128"/>
      <c r="R3" s="128"/>
      <c r="S3" s="128"/>
    </row>
    <row r="4" spans="1:19" s="366" customFormat="1" ht="19.5" customHeight="1">
      <c r="A4" s="350"/>
      <c r="B4" s="351"/>
      <c r="C4" s="351"/>
      <c r="D4" s="297"/>
      <c r="E4" s="352"/>
      <c r="F4" s="322"/>
      <c r="G4" s="119"/>
      <c r="H4" s="297"/>
      <c r="I4" s="297"/>
      <c r="J4" s="297"/>
      <c r="K4" s="35"/>
      <c r="L4" s="35"/>
      <c r="M4" s="35"/>
      <c r="N4" s="35"/>
      <c r="O4" s="35"/>
      <c r="P4" s="35"/>
      <c r="Q4" s="35"/>
      <c r="R4" s="35"/>
      <c r="S4" s="35"/>
    </row>
    <row r="5" spans="1:19" s="498" customFormat="1" ht="19.5" customHeight="1">
      <c r="A5" s="627" t="s">
        <v>1166</v>
      </c>
      <c r="B5" s="627"/>
      <c r="C5" s="627"/>
      <c r="D5" s="627"/>
      <c r="E5" s="627"/>
      <c r="F5" s="580" t="s">
        <v>4093</v>
      </c>
      <c r="G5" s="580"/>
      <c r="H5" s="580"/>
      <c r="I5" s="580"/>
      <c r="J5" s="580"/>
      <c r="K5" s="580"/>
      <c r="L5" s="580"/>
      <c r="M5" s="580"/>
      <c r="N5" s="580"/>
      <c r="O5" s="580"/>
      <c r="P5" s="580"/>
      <c r="Q5" s="580"/>
      <c r="R5" s="580"/>
      <c r="S5" s="580"/>
    </row>
    <row r="6" spans="1:19" s="498" customFormat="1" ht="15" customHeight="1">
      <c r="A6" s="627" t="s">
        <v>0</v>
      </c>
      <c r="B6" s="627" t="s">
        <v>2669</v>
      </c>
      <c r="C6" s="627" t="s">
        <v>481</v>
      </c>
      <c r="D6" s="625" t="s">
        <v>1165</v>
      </c>
      <c r="E6" s="628" t="s">
        <v>543</v>
      </c>
      <c r="F6" s="584" t="s">
        <v>1167</v>
      </c>
      <c r="G6" s="583" t="s">
        <v>1168</v>
      </c>
      <c r="H6" s="583"/>
      <c r="I6" s="583"/>
      <c r="J6" s="583"/>
      <c r="K6" s="583" t="s">
        <v>1169</v>
      </c>
      <c r="L6" s="583"/>
      <c r="M6" s="583"/>
      <c r="N6" s="583"/>
      <c r="O6" s="583"/>
      <c r="P6" s="583"/>
      <c r="Q6" s="576" t="s">
        <v>1170</v>
      </c>
      <c r="R6" s="577"/>
      <c r="S6" s="578" t="s">
        <v>543</v>
      </c>
    </row>
    <row r="7" spans="1:19" s="498" customFormat="1" ht="36.75" customHeight="1">
      <c r="A7" s="627"/>
      <c r="B7" s="627"/>
      <c r="C7" s="627"/>
      <c r="D7" s="626"/>
      <c r="E7" s="628"/>
      <c r="F7" s="584"/>
      <c r="G7" s="475" t="s">
        <v>1171</v>
      </c>
      <c r="H7" s="475" t="s">
        <v>799</v>
      </c>
      <c r="I7" s="475" t="s">
        <v>1008</v>
      </c>
      <c r="J7" s="475" t="s">
        <v>721</v>
      </c>
      <c r="K7" s="475" t="s">
        <v>765</v>
      </c>
      <c r="L7" s="475" t="s">
        <v>1172</v>
      </c>
      <c r="M7" s="475" t="s">
        <v>1173</v>
      </c>
      <c r="N7" s="475" t="s">
        <v>1174</v>
      </c>
      <c r="O7" s="475" t="s">
        <v>766</v>
      </c>
      <c r="P7" s="475" t="s">
        <v>1175</v>
      </c>
      <c r="Q7" s="475" t="s">
        <v>1176</v>
      </c>
      <c r="R7" s="475" t="s">
        <v>1177</v>
      </c>
      <c r="S7" s="578"/>
    </row>
    <row r="8" spans="1:19" s="498" customFormat="1" ht="28.5">
      <c r="A8" s="480">
        <v>1</v>
      </c>
      <c r="B8" s="480">
        <v>2</v>
      </c>
      <c r="C8" s="480">
        <v>3</v>
      </c>
      <c r="D8" s="481">
        <v>4</v>
      </c>
      <c r="E8" s="481">
        <v>5</v>
      </c>
      <c r="F8" s="479">
        <v>6</v>
      </c>
      <c r="G8" s="478">
        <v>7</v>
      </c>
      <c r="H8" s="478">
        <v>8</v>
      </c>
      <c r="I8" s="478">
        <v>9</v>
      </c>
      <c r="J8" s="478">
        <v>10</v>
      </c>
      <c r="K8" s="479">
        <v>11</v>
      </c>
      <c r="L8" s="479">
        <v>12</v>
      </c>
      <c r="M8" s="479">
        <v>13</v>
      </c>
      <c r="N8" s="479">
        <v>14</v>
      </c>
      <c r="O8" s="479">
        <v>15</v>
      </c>
      <c r="P8" s="479" t="s">
        <v>1178</v>
      </c>
      <c r="Q8" s="479" t="s">
        <v>1179</v>
      </c>
      <c r="R8" s="479" t="s">
        <v>1180</v>
      </c>
      <c r="S8" s="479">
        <v>19</v>
      </c>
    </row>
    <row r="9" spans="1:19" s="366" customFormat="1">
      <c r="A9" s="382" t="s">
        <v>2</v>
      </c>
      <c r="B9" s="383" t="s">
        <v>1010</v>
      </c>
      <c r="C9" s="244"/>
      <c r="D9" s="397"/>
      <c r="E9" s="244"/>
      <c r="F9" s="398"/>
      <c r="G9" s="429"/>
      <c r="H9" s="430"/>
      <c r="I9" s="430"/>
      <c r="J9" s="430"/>
      <c r="K9" s="399"/>
      <c r="L9" s="399"/>
      <c r="M9" s="399"/>
      <c r="N9" s="399"/>
      <c r="O9" s="399"/>
      <c r="P9" s="399"/>
      <c r="Q9" s="399"/>
      <c r="R9" s="399"/>
      <c r="S9" s="399"/>
    </row>
    <row r="10" spans="1:19" s="366" customFormat="1" ht="28.5">
      <c r="A10" s="353" t="s">
        <v>2670</v>
      </c>
      <c r="B10" s="289" t="s">
        <v>2671</v>
      </c>
      <c r="C10" s="353"/>
      <c r="D10" s="121"/>
      <c r="E10" s="354"/>
      <c r="F10" s="76"/>
      <c r="G10" s="112"/>
      <c r="H10" s="120"/>
      <c r="I10" s="120"/>
      <c r="J10" s="120"/>
      <c r="K10" s="77"/>
      <c r="L10" s="77"/>
      <c r="M10" s="77"/>
      <c r="N10" s="77"/>
      <c r="O10" s="77"/>
      <c r="P10" s="77"/>
      <c r="Q10" s="77"/>
      <c r="R10" s="77"/>
      <c r="S10" s="77"/>
    </row>
    <row r="11" spans="1:19" s="366" customFormat="1" ht="30">
      <c r="A11" s="355">
        <v>1</v>
      </c>
      <c r="B11" s="290" t="s">
        <v>2672</v>
      </c>
      <c r="C11" s="291" t="s">
        <v>2673</v>
      </c>
      <c r="D11" s="120">
        <v>113.43947552447553</v>
      </c>
      <c r="E11" s="290" t="s">
        <v>2674</v>
      </c>
      <c r="F11" s="356">
        <v>113.43947552447553</v>
      </c>
      <c r="G11" s="112"/>
      <c r="H11" s="120">
        <v>0</v>
      </c>
      <c r="I11" s="120" t="s">
        <v>3140</v>
      </c>
      <c r="J11" s="120" t="s">
        <v>3141</v>
      </c>
      <c r="K11" s="110">
        <v>970200</v>
      </c>
      <c r="L11" s="110"/>
      <c r="M11" s="110">
        <v>0</v>
      </c>
      <c r="N11" s="110"/>
      <c r="O11" s="110"/>
      <c r="P11" s="110">
        <f>K11+L11+M11+N11+O11</f>
        <v>970200</v>
      </c>
      <c r="Q11" s="110">
        <f>P11*D11</f>
        <v>110058979.15384616</v>
      </c>
      <c r="R11" s="110">
        <f>P11*F11</f>
        <v>110058979.15384616</v>
      </c>
      <c r="S11" s="110">
        <v>0</v>
      </c>
    </row>
    <row r="12" spans="1:19" s="366" customFormat="1" ht="45">
      <c r="A12" s="355">
        <v>2</v>
      </c>
      <c r="B12" s="290" t="s">
        <v>2675</v>
      </c>
      <c r="C12" s="291" t="s">
        <v>2676</v>
      </c>
      <c r="D12" s="120">
        <v>268.56361999999996</v>
      </c>
      <c r="E12" s="354"/>
      <c r="F12" s="356">
        <v>268.56361999999996</v>
      </c>
      <c r="G12" s="112"/>
      <c r="H12" s="120">
        <v>0</v>
      </c>
      <c r="I12" s="120" t="s">
        <v>3142</v>
      </c>
      <c r="J12" s="120" t="s">
        <v>3143</v>
      </c>
      <c r="K12" s="110">
        <v>880200</v>
      </c>
      <c r="L12" s="110"/>
      <c r="M12" s="110">
        <v>0</v>
      </c>
      <c r="N12" s="110"/>
      <c r="O12" s="110"/>
      <c r="P12" s="110">
        <f t="shared" ref="P12:P24" si="0">K12+L12+M12+N12+O12</f>
        <v>880200</v>
      </c>
      <c r="Q12" s="110">
        <f t="shared" ref="Q12:Q24" si="1">P12*D12</f>
        <v>236389698.32399997</v>
      </c>
      <c r="R12" s="110">
        <f t="shared" ref="R12:R24" si="2">P12*F12</f>
        <v>236389698.32399997</v>
      </c>
      <c r="S12" s="110">
        <v>0</v>
      </c>
    </row>
    <row r="13" spans="1:19" s="366" customFormat="1" ht="75">
      <c r="A13" s="355">
        <v>3</v>
      </c>
      <c r="B13" s="290" t="s">
        <v>2677</v>
      </c>
      <c r="C13" s="291" t="s">
        <v>720</v>
      </c>
      <c r="D13" s="120">
        <v>55.384200000000028</v>
      </c>
      <c r="E13" s="354"/>
      <c r="F13" s="356">
        <v>55.384200000000028</v>
      </c>
      <c r="G13" s="112"/>
      <c r="H13" s="120">
        <v>0</v>
      </c>
      <c r="I13" s="120">
        <v>0</v>
      </c>
      <c r="J13" s="120" t="s">
        <v>772</v>
      </c>
      <c r="K13" s="110">
        <v>0</v>
      </c>
      <c r="L13" s="110"/>
      <c r="M13" s="110">
        <v>4340000</v>
      </c>
      <c r="N13" s="110"/>
      <c r="O13" s="110"/>
      <c r="P13" s="110">
        <f t="shared" si="0"/>
        <v>4340000</v>
      </c>
      <c r="Q13" s="110">
        <f t="shared" si="1"/>
        <v>240367428.00000012</v>
      </c>
      <c r="R13" s="110">
        <f t="shared" si="2"/>
        <v>240367428.00000012</v>
      </c>
      <c r="S13" s="110">
        <v>0</v>
      </c>
    </row>
    <row r="14" spans="1:19" s="366" customFormat="1" ht="28.5">
      <c r="A14" s="353" t="s">
        <v>5</v>
      </c>
      <c r="B14" s="292" t="s">
        <v>2678</v>
      </c>
      <c r="C14" s="353"/>
      <c r="D14" s="120"/>
      <c r="E14" s="354"/>
      <c r="F14" s="356">
        <v>0</v>
      </c>
      <c r="G14" s="112"/>
      <c r="H14" s="120">
        <v>0</v>
      </c>
      <c r="I14" s="120">
        <v>0</v>
      </c>
      <c r="J14" s="120">
        <v>0</v>
      </c>
      <c r="K14" s="110">
        <v>0</v>
      </c>
      <c r="L14" s="110"/>
      <c r="M14" s="110">
        <v>0</v>
      </c>
      <c r="N14" s="110"/>
      <c r="O14" s="110"/>
      <c r="P14" s="110">
        <f t="shared" si="0"/>
        <v>0</v>
      </c>
      <c r="Q14" s="110">
        <f t="shared" si="1"/>
        <v>0</v>
      </c>
      <c r="R14" s="110">
        <f t="shared" si="2"/>
        <v>0</v>
      </c>
      <c r="S14" s="110">
        <v>0</v>
      </c>
    </row>
    <row r="15" spans="1:19" s="366" customFormat="1" ht="30">
      <c r="A15" s="355">
        <v>1</v>
      </c>
      <c r="B15" s="290" t="s">
        <v>2672</v>
      </c>
      <c r="C15" s="291" t="s">
        <v>2673</v>
      </c>
      <c r="D15" s="120">
        <v>144.39279896853157</v>
      </c>
      <c r="E15" s="290" t="s">
        <v>2674</v>
      </c>
      <c r="F15" s="356">
        <v>144.39279896853157</v>
      </c>
      <c r="G15" s="112"/>
      <c r="H15" s="120">
        <v>0</v>
      </c>
      <c r="I15" s="120" t="s">
        <v>3140</v>
      </c>
      <c r="J15" s="120" t="s">
        <v>3141</v>
      </c>
      <c r="K15" s="110">
        <v>970200</v>
      </c>
      <c r="L15" s="110"/>
      <c r="M15" s="110">
        <v>0</v>
      </c>
      <c r="N15" s="110"/>
      <c r="O15" s="110"/>
      <c r="P15" s="110">
        <f t="shared" si="0"/>
        <v>970200</v>
      </c>
      <c r="Q15" s="110">
        <f t="shared" si="1"/>
        <v>140089893.55926934</v>
      </c>
      <c r="R15" s="110">
        <f t="shared" si="2"/>
        <v>140089893.55926934</v>
      </c>
      <c r="S15" s="110">
        <v>0</v>
      </c>
    </row>
    <row r="16" spans="1:19" s="366" customFormat="1">
      <c r="A16" s="355">
        <v>2</v>
      </c>
      <c r="B16" s="290" t="s">
        <v>2679</v>
      </c>
      <c r="C16" s="291" t="s">
        <v>7</v>
      </c>
      <c r="D16" s="120">
        <v>627.94065400000034</v>
      </c>
      <c r="E16" s="354"/>
      <c r="F16" s="356">
        <v>627.94065400000034</v>
      </c>
      <c r="G16" s="112"/>
      <c r="H16" s="120">
        <v>0</v>
      </c>
      <c r="I16" s="120" t="s">
        <v>3140</v>
      </c>
      <c r="J16" s="120" t="s">
        <v>3141</v>
      </c>
      <c r="K16" s="110">
        <v>332700</v>
      </c>
      <c r="L16" s="110"/>
      <c r="M16" s="110">
        <v>0</v>
      </c>
      <c r="N16" s="110"/>
      <c r="O16" s="110"/>
      <c r="P16" s="110">
        <f t="shared" si="0"/>
        <v>332700</v>
      </c>
      <c r="Q16" s="110">
        <f t="shared" si="1"/>
        <v>208915855.58580011</v>
      </c>
      <c r="R16" s="110">
        <f t="shared" si="2"/>
        <v>208915855.58580011</v>
      </c>
      <c r="S16" s="110">
        <v>0</v>
      </c>
    </row>
    <row r="17" spans="1:19" s="366" customFormat="1" ht="60">
      <c r="A17" s="355"/>
      <c r="B17" s="290" t="s">
        <v>2680</v>
      </c>
      <c r="C17" s="291" t="s">
        <v>2676</v>
      </c>
      <c r="D17" s="120">
        <v>0</v>
      </c>
      <c r="E17" s="354"/>
      <c r="F17" s="356">
        <v>0</v>
      </c>
      <c r="G17" s="112"/>
      <c r="H17" s="120">
        <v>0</v>
      </c>
      <c r="I17" s="120" t="s">
        <v>3140</v>
      </c>
      <c r="J17" s="120" t="s">
        <v>3141</v>
      </c>
      <c r="K17" s="110">
        <v>450500</v>
      </c>
      <c r="L17" s="110"/>
      <c r="M17" s="110">
        <v>0</v>
      </c>
      <c r="N17" s="110"/>
      <c r="O17" s="110"/>
      <c r="P17" s="110">
        <f t="shared" si="0"/>
        <v>450500</v>
      </c>
      <c r="Q17" s="110">
        <f t="shared" si="1"/>
        <v>0</v>
      </c>
      <c r="R17" s="110">
        <f t="shared" si="2"/>
        <v>0</v>
      </c>
      <c r="S17" s="110">
        <v>0</v>
      </c>
    </row>
    <row r="18" spans="1:19" s="366" customFormat="1" ht="75">
      <c r="A18" s="355">
        <v>3</v>
      </c>
      <c r="B18" s="290" t="s">
        <v>2681</v>
      </c>
      <c r="C18" s="291" t="s">
        <v>2676</v>
      </c>
      <c r="D18" s="120">
        <v>93.121881000000002</v>
      </c>
      <c r="E18" s="354"/>
      <c r="F18" s="356">
        <v>93.121881000000002</v>
      </c>
      <c r="G18" s="112"/>
      <c r="H18" s="120">
        <v>0</v>
      </c>
      <c r="I18" s="120" t="s">
        <v>3142</v>
      </c>
      <c r="J18" s="120" t="s">
        <v>3143</v>
      </c>
      <c r="K18" s="110">
        <v>880200</v>
      </c>
      <c r="L18" s="110"/>
      <c r="M18" s="110">
        <v>0</v>
      </c>
      <c r="N18" s="110"/>
      <c r="O18" s="110"/>
      <c r="P18" s="110">
        <f t="shared" si="0"/>
        <v>880200</v>
      </c>
      <c r="Q18" s="110">
        <f t="shared" si="1"/>
        <v>81965879.656200007</v>
      </c>
      <c r="R18" s="110">
        <f t="shared" si="2"/>
        <v>81965879.656200007</v>
      </c>
      <c r="S18" s="110">
        <v>0</v>
      </c>
    </row>
    <row r="19" spans="1:19" s="366" customFormat="1" ht="30">
      <c r="A19" s="355">
        <v>4</v>
      </c>
      <c r="B19" s="290" t="s">
        <v>2682</v>
      </c>
      <c r="C19" s="291" t="s">
        <v>644</v>
      </c>
      <c r="D19" s="120">
        <v>547</v>
      </c>
      <c r="E19" s="354"/>
      <c r="F19" s="356">
        <v>547</v>
      </c>
      <c r="G19" s="112"/>
      <c r="H19" s="120">
        <v>0</v>
      </c>
      <c r="I19" s="120">
        <v>0</v>
      </c>
      <c r="J19" s="120" t="s">
        <v>772</v>
      </c>
      <c r="K19" s="110">
        <v>0</v>
      </c>
      <c r="L19" s="110"/>
      <c r="M19" s="110">
        <v>100800</v>
      </c>
      <c r="N19" s="110"/>
      <c r="O19" s="110"/>
      <c r="P19" s="110">
        <f t="shared" si="0"/>
        <v>100800</v>
      </c>
      <c r="Q19" s="110">
        <f t="shared" si="1"/>
        <v>55137600</v>
      </c>
      <c r="R19" s="110">
        <f t="shared" si="2"/>
        <v>55137600</v>
      </c>
      <c r="S19" s="110">
        <v>0</v>
      </c>
    </row>
    <row r="20" spans="1:19" s="366" customFormat="1" ht="75">
      <c r="A20" s="355">
        <v>5</v>
      </c>
      <c r="B20" s="290" t="s">
        <v>2677</v>
      </c>
      <c r="C20" s="291" t="s">
        <v>720</v>
      </c>
      <c r="D20" s="120">
        <v>40.730416499999983</v>
      </c>
      <c r="E20" s="354"/>
      <c r="F20" s="356">
        <v>40.730416499999983</v>
      </c>
      <c r="G20" s="112"/>
      <c r="H20" s="120">
        <v>0</v>
      </c>
      <c r="I20" s="120">
        <v>0</v>
      </c>
      <c r="J20" s="120" t="s">
        <v>772</v>
      </c>
      <c r="K20" s="110">
        <v>0</v>
      </c>
      <c r="L20" s="110"/>
      <c r="M20" s="110">
        <v>4340000</v>
      </c>
      <c r="N20" s="110"/>
      <c r="O20" s="110"/>
      <c r="P20" s="110">
        <f t="shared" si="0"/>
        <v>4340000</v>
      </c>
      <c r="Q20" s="110">
        <f t="shared" si="1"/>
        <v>176770007.60999992</v>
      </c>
      <c r="R20" s="110">
        <f t="shared" si="2"/>
        <v>176770007.60999992</v>
      </c>
      <c r="S20" s="110">
        <v>0</v>
      </c>
    </row>
    <row r="21" spans="1:19" s="366" customFormat="1" ht="28.5">
      <c r="A21" s="353" t="s">
        <v>9</v>
      </c>
      <c r="B21" s="292" t="s">
        <v>2683</v>
      </c>
      <c r="C21" s="353"/>
      <c r="D21" s="120"/>
      <c r="E21" s="354"/>
      <c r="F21" s="356">
        <v>0</v>
      </c>
      <c r="G21" s="112"/>
      <c r="H21" s="120">
        <v>0</v>
      </c>
      <c r="I21" s="120">
        <v>0</v>
      </c>
      <c r="J21" s="120">
        <v>0</v>
      </c>
      <c r="K21" s="110">
        <v>0</v>
      </c>
      <c r="L21" s="110"/>
      <c r="M21" s="110">
        <v>0</v>
      </c>
      <c r="N21" s="110"/>
      <c r="O21" s="110"/>
      <c r="P21" s="110">
        <f t="shared" si="0"/>
        <v>0</v>
      </c>
      <c r="Q21" s="110">
        <f t="shared" si="1"/>
        <v>0</v>
      </c>
      <c r="R21" s="110">
        <f t="shared" si="2"/>
        <v>0</v>
      </c>
      <c r="S21" s="110">
        <v>0</v>
      </c>
    </row>
    <row r="22" spans="1:19" s="366" customFormat="1" ht="60">
      <c r="A22" s="355">
        <v>1</v>
      </c>
      <c r="B22" s="290" t="s">
        <v>2684</v>
      </c>
      <c r="C22" s="291" t="s">
        <v>2676</v>
      </c>
      <c r="D22" s="120">
        <v>671.68000000000018</v>
      </c>
      <c r="E22" s="358"/>
      <c r="F22" s="356">
        <v>671.68000000000018</v>
      </c>
      <c r="G22" s="112"/>
      <c r="H22" s="120">
        <v>0</v>
      </c>
      <c r="I22" s="120" t="s">
        <v>3142</v>
      </c>
      <c r="J22" s="120" t="s">
        <v>3143</v>
      </c>
      <c r="K22" s="110">
        <v>880200</v>
      </c>
      <c r="L22" s="110"/>
      <c r="M22" s="110">
        <v>0</v>
      </c>
      <c r="N22" s="110"/>
      <c r="O22" s="110"/>
      <c r="P22" s="110">
        <f t="shared" si="0"/>
        <v>880200</v>
      </c>
      <c r="Q22" s="110">
        <f t="shared" si="1"/>
        <v>591212736.00000012</v>
      </c>
      <c r="R22" s="110">
        <f t="shared" si="2"/>
        <v>591212736.00000012</v>
      </c>
      <c r="S22" s="110">
        <v>0</v>
      </c>
    </row>
    <row r="23" spans="1:19" s="366" customFormat="1" ht="45">
      <c r="A23" s="355">
        <v>2</v>
      </c>
      <c r="B23" s="290" t="s">
        <v>2685</v>
      </c>
      <c r="C23" s="291" t="s">
        <v>2676</v>
      </c>
      <c r="D23" s="120">
        <v>0</v>
      </c>
      <c r="E23" s="358"/>
      <c r="F23" s="356">
        <v>0</v>
      </c>
      <c r="G23" s="112"/>
      <c r="H23" s="120">
        <v>0</v>
      </c>
      <c r="I23" s="120" t="s">
        <v>3140</v>
      </c>
      <c r="J23" s="120" t="s">
        <v>3141</v>
      </c>
      <c r="K23" s="110">
        <v>450500</v>
      </c>
      <c r="L23" s="110"/>
      <c r="M23" s="110">
        <v>0</v>
      </c>
      <c r="N23" s="110"/>
      <c r="O23" s="110"/>
      <c r="P23" s="110">
        <f t="shared" si="0"/>
        <v>450500</v>
      </c>
      <c r="Q23" s="110">
        <f t="shared" si="1"/>
        <v>0</v>
      </c>
      <c r="R23" s="110">
        <f t="shared" si="2"/>
        <v>0</v>
      </c>
      <c r="S23" s="110">
        <v>0</v>
      </c>
    </row>
    <row r="24" spans="1:19" s="366" customFormat="1" ht="30">
      <c r="A24" s="355">
        <v>3</v>
      </c>
      <c r="B24" s="290" t="s">
        <v>2686</v>
      </c>
      <c r="C24" s="291" t="s">
        <v>7</v>
      </c>
      <c r="D24" s="120">
        <v>377.7999999999999</v>
      </c>
      <c r="E24" s="400"/>
      <c r="F24" s="356">
        <v>377.7999999999999</v>
      </c>
      <c r="G24" s="112"/>
      <c r="H24" s="120">
        <v>0</v>
      </c>
      <c r="I24" s="120">
        <v>0</v>
      </c>
      <c r="J24" s="120" t="s">
        <v>772</v>
      </c>
      <c r="K24" s="110">
        <v>0</v>
      </c>
      <c r="L24" s="110"/>
      <c r="M24" s="110">
        <v>248000</v>
      </c>
      <c r="N24" s="110"/>
      <c r="O24" s="110"/>
      <c r="P24" s="110">
        <f t="shared" si="0"/>
        <v>248000</v>
      </c>
      <c r="Q24" s="110">
        <f t="shared" si="1"/>
        <v>93694399.99999997</v>
      </c>
      <c r="R24" s="110">
        <f t="shared" si="2"/>
        <v>93694399.99999997</v>
      </c>
      <c r="S24" s="110">
        <v>0</v>
      </c>
    </row>
    <row r="25" spans="1:19" s="366" customFormat="1">
      <c r="A25" s="385" t="s">
        <v>19</v>
      </c>
      <c r="B25" s="383" t="s">
        <v>1191</v>
      </c>
      <c r="C25" s="244"/>
      <c r="D25" s="398"/>
      <c r="E25" s="399"/>
      <c r="F25" s="398"/>
      <c r="G25" s="429"/>
      <c r="H25" s="430"/>
      <c r="I25" s="430"/>
      <c r="J25" s="430"/>
      <c r="K25" s="399"/>
      <c r="L25" s="399"/>
      <c r="M25" s="399"/>
      <c r="N25" s="399"/>
      <c r="O25" s="399"/>
      <c r="P25" s="399"/>
      <c r="Q25" s="399"/>
      <c r="R25" s="399"/>
      <c r="S25" s="399"/>
    </row>
    <row r="26" spans="1:19" s="366" customFormat="1">
      <c r="A26" s="27"/>
      <c r="B26" s="28" t="s">
        <v>1192</v>
      </c>
      <c r="C26" s="25"/>
      <c r="D26" s="26"/>
      <c r="E26" s="25"/>
      <c r="F26" s="336"/>
      <c r="G26" s="112"/>
      <c r="H26" s="120"/>
      <c r="I26" s="120"/>
      <c r="J26" s="120"/>
      <c r="K26" s="117"/>
      <c r="L26" s="117"/>
      <c r="M26" s="117"/>
      <c r="N26" s="117"/>
      <c r="O26" s="117"/>
      <c r="P26" s="117"/>
      <c r="Q26" s="117"/>
      <c r="R26" s="77"/>
      <c r="S26" s="77"/>
    </row>
    <row r="27" spans="1:19" s="366" customFormat="1">
      <c r="A27" s="389" t="s">
        <v>21</v>
      </c>
      <c r="B27" s="390" t="s">
        <v>1193</v>
      </c>
      <c r="C27" s="401"/>
      <c r="D27" s="402"/>
      <c r="E27" s="403"/>
      <c r="F27" s="402"/>
      <c r="G27" s="431"/>
      <c r="H27" s="432"/>
      <c r="I27" s="432"/>
      <c r="J27" s="432"/>
      <c r="K27" s="403"/>
      <c r="L27" s="403"/>
      <c r="M27" s="403"/>
      <c r="N27" s="403"/>
      <c r="O27" s="403"/>
      <c r="P27" s="403"/>
      <c r="Q27" s="404">
        <f>SUBTOTAL(9,Q9:Q26)</f>
        <v>1934602477.8891158</v>
      </c>
      <c r="R27" s="404">
        <f>SUBTOTAL(9,R9:R26)</f>
        <v>1934602477.8891158</v>
      </c>
      <c r="S27" s="405"/>
    </row>
  </sheetData>
  <autoFilter ref="A8:S26" xr:uid="{1EF59D9A-7171-4742-B840-C85CBA30D732}"/>
  <mergeCells count="12">
    <mergeCell ref="Q6:R6"/>
    <mergeCell ref="S6:S7"/>
    <mergeCell ref="A5:E5"/>
    <mergeCell ref="F5:S5"/>
    <mergeCell ref="A6:A7"/>
    <mergeCell ref="B6:B7"/>
    <mergeCell ref="C6:C7"/>
    <mergeCell ref="D6:D7"/>
    <mergeCell ref="E6:E7"/>
    <mergeCell ref="F6:F7"/>
    <mergeCell ref="G6:J6"/>
    <mergeCell ref="K6:P6"/>
  </mergeCells>
  <pageMargins left="0.70866141732283472" right="0.70866141732283472" top="0.74803149606299213" bottom="0.74803149606299213" header="0.31496062992125984" footer="0.31496062992125984"/>
  <pageSetup paperSize="9" scale="42" fitToHeight="0" orientation="landscape" r:id="rId1"/>
  <headerFooter>
    <oddFooter>&amp;L&amp;A&amp;CSEAREFICO&amp;RTrang &amp;P/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TỔNG HỢP</vt:lpstr>
      <vt:lpstr>1. HT điện</vt:lpstr>
      <vt:lpstr>2. HT điện nhẹ</vt:lpstr>
      <vt:lpstr>3. HT CTN</vt:lpstr>
      <vt:lpstr>4.1 ĐH VRV</vt:lpstr>
      <vt:lpstr>4.2 Quạt</vt:lpstr>
      <vt:lpstr>4.3 DHKK &amp; TG</vt:lpstr>
      <vt:lpstr>5. Ngăn cháy lan</vt:lpstr>
      <vt:lpstr>'1. HT điện'!Print_Titles</vt:lpstr>
      <vt:lpstr>'2. HT điện nhẹ'!Print_Titles</vt:lpstr>
      <vt:lpstr>'3. HT CTN'!Print_Titles</vt:lpstr>
      <vt:lpstr>'4.1 ĐH VRV'!Print_Titles</vt:lpstr>
      <vt:lpstr>'4.2 Quạt'!Print_Titles</vt:lpstr>
      <vt:lpstr>'4.3 DHKK &amp; TG'!Print_Titles</vt:lpstr>
      <vt:lpstr>'5. Ngăn cháy lan'!Print_Titles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Thi Lien</dc:creator>
  <cp:keywords/>
  <dc:description/>
  <cp:lastModifiedBy>Cao Thi Thanh Mai</cp:lastModifiedBy>
  <cp:revision/>
  <cp:lastPrinted>2025-12-08T10:49:28Z</cp:lastPrinted>
  <dcterms:created xsi:type="dcterms:W3CDTF">2015-06-08T11:32:33Z</dcterms:created>
  <dcterms:modified xsi:type="dcterms:W3CDTF">2025-12-11T09:37:51Z</dcterms:modified>
  <cp:category/>
  <cp:contentStatus/>
</cp:coreProperties>
</file>